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el" sheetId="1" state="visible" r:id="rId1"/>
    <sheet name="Cadastro_Produtos" sheetId="2" state="visible" r:id="rId2"/>
    <sheet name="Movimentacoes" sheetId="3" state="visible" r:id="rId3"/>
    <sheet name="Estoque_Validades" sheetId="4" state="visible" r:id="rId4"/>
    <sheet name="Instrucoes" sheetId="5" state="visible" r:id="rId5"/>
  </sheets>
  <definedNames>
    <definedName name="_xlnm._FilterDatabase" localSheetId="1" hidden="1">'Cadastro_Produtos'!$A$5:$G$2000</definedName>
    <definedName name="_xlnm._FilterDatabase" localSheetId="2" hidden="1">'Movimentacoes'!$A$5:$J$5000</definedName>
    <definedName name="_xlnm._FilterDatabase" localSheetId="3" hidden="1">'Estoque_Validades'!$A$5:$K$5000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FFFFFF"/>
    </font>
    <font>
      <b val="1"/>
    </font>
    <font>
      <i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00B050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3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left" vertical="center"/>
    </xf>
    <xf numFmtId="16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B18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adastro_Produtos'!A1" TargetMode="External" Id="rId1" /><Relationship Type="http://schemas.openxmlformats.org/officeDocument/2006/relationships/hyperlink" Target="#'Movimentacoes'!A1" TargetMode="External" Id="rId2" /><Relationship Type="http://schemas.openxmlformats.org/officeDocument/2006/relationships/hyperlink" Target="#'Estoque_Validades'!A1" TargetMode="External" Id="rId3" /><Relationship Type="http://schemas.openxmlformats.org/officeDocument/2006/relationships/hyperlink" Target="#'Instrucoes'!A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CONTROLE DE ESTOQUE - TINTAS E INFLAMAVEIS</t>
        </is>
      </c>
    </row>
    <row r="3">
      <c r="A3" s="2" t="inlineStr">
        <is>
          <t>Produtos Cadastrados
=COUNTA(Cadastro_Produtos!A6:A2000)</t>
        </is>
      </c>
      <c r="D3" s="2" t="inlineStr">
        <is>
          <t>Lotes Cadastrados
=COUNTA(Estoque_Validades!C6:C5000)</t>
        </is>
      </c>
      <c r="G3" s="2" t="inlineStr">
        <is>
          <t>Saldo Total (Unid.)
=SUM(Estoque_Validades!J6:J5000)</t>
        </is>
      </c>
    </row>
    <row r="4"/>
    <row r="5"/>
    <row r="6">
      <c r="A6" s="2" t="inlineStr">
        <is>
          <t>Vencidos
=COUNTIF(Estoque_Validades!F6:F5000,"VENCIDO")</t>
        </is>
      </c>
      <c r="D6" s="2" t="inlineStr">
        <is>
          <t>Vence em ate 30 dias
=COUNTIF(Estoque_Validades!F6:F5000,"VENCE EM &lt;= 30 DIAS")</t>
        </is>
      </c>
      <c r="G6" s="2" t="inlineStr">
        <is>
          <t>Abaixo do Estoque Minimo
=COUNTIF(Estoque_Validades!K6:K5000,"ABAIXO DO MINIMO")</t>
        </is>
      </c>
    </row>
    <row r="7"/>
    <row r="8"/>
    <row r="10">
      <c r="A10" s="3" t="inlineStr">
        <is>
          <t>Ir para Cadastro de Produtos</t>
        </is>
      </c>
      <c r="B10" s="4" t="n"/>
      <c r="C10" s="4" t="n"/>
      <c r="D10" s="3" t="inlineStr">
        <is>
          <t>Ir para Movimentacoes</t>
        </is>
      </c>
      <c r="E10" s="4" t="n"/>
      <c r="F10" s="4" t="n"/>
      <c r="G10" s="3" t="inlineStr">
        <is>
          <t>Ir para Estoque e Validades</t>
        </is>
      </c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3" t="inlineStr">
        <is>
          <t>Ir para Instrucoes de Uso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</sheetData>
  <mergeCells count="11">
    <mergeCell ref="D3:F5"/>
    <mergeCell ref="G10:J11"/>
    <mergeCell ref="A1:J1"/>
    <mergeCell ref="A10:C11"/>
    <mergeCell ref="A6:C8"/>
    <mergeCell ref="D6:F8"/>
    <mergeCell ref="G3:J5"/>
    <mergeCell ref="D10:F11"/>
    <mergeCell ref="A12:J13"/>
    <mergeCell ref="G6:J8"/>
    <mergeCell ref="A3:C5"/>
  </mergeCells>
  <hyperlinks>
    <hyperlink xmlns:r="http://schemas.openxmlformats.org/officeDocument/2006/relationships" ref="A10" r:id="rId1"/>
    <hyperlink xmlns:r="http://schemas.openxmlformats.org/officeDocument/2006/relationships" ref="D10" r:id="rId2"/>
    <hyperlink xmlns:r="http://schemas.openxmlformats.org/officeDocument/2006/relationships" ref="G10" r:id="rId3"/>
    <hyperlink xmlns:r="http://schemas.openxmlformats.org/officeDocument/2006/relationships" ref="A12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0" customWidth="1" min="4" max="4"/>
    <col width="16" customWidth="1" min="5" max="5"/>
    <col width="24" customWidth="1" min="6" max="6"/>
    <col width="30" customWidth="1" min="7" max="7"/>
  </cols>
  <sheetData>
    <row r="1">
      <c r="A1" s="1" t="inlineStr">
        <is>
          <t>CADASTRO DE PRODUTOS</t>
        </is>
      </c>
    </row>
    <row r="3">
      <c r="A3" s="5" t="inlineStr">
        <is>
          <t>Preencha os produtos a partir da linha 6.</t>
        </is>
      </c>
    </row>
    <row r="5">
      <c r="A5" s="6" t="inlineStr">
        <is>
          <t>ID_Produto</t>
        </is>
      </c>
      <c r="B5" s="6" t="inlineStr">
        <is>
          <t>Produto</t>
        </is>
      </c>
      <c r="C5" s="6" t="inlineStr">
        <is>
          <t>Categoria</t>
        </is>
      </c>
      <c r="D5" s="6" t="inlineStr">
        <is>
          <t>Unidade</t>
        </is>
      </c>
      <c r="E5" s="6" t="inlineStr">
        <is>
          <t>Estoque_Minimo</t>
        </is>
      </c>
      <c r="F5" s="6" t="inlineStr">
        <is>
          <t>Local_Armazenagem</t>
        </is>
      </c>
      <c r="G5" s="6" t="inlineStr">
        <is>
          <t>Observacoes</t>
        </is>
      </c>
    </row>
    <row r="6">
      <c r="A6" s="7" t="inlineStr">
        <is>
          <t>PRD001</t>
        </is>
      </c>
      <c r="B6" s="7" t="inlineStr">
        <is>
          <t>Tinta Epoxi Azul</t>
        </is>
      </c>
      <c r="C6" s="7" t="inlineStr">
        <is>
          <t>TINTA</t>
        </is>
      </c>
      <c r="D6" s="8" t="inlineStr">
        <is>
          <t>L</t>
        </is>
      </c>
      <c r="E6" s="8" t="n">
        <v>20</v>
      </c>
      <c r="F6" s="8" t="inlineStr">
        <is>
          <t>Dep. A - Prateleira 1</t>
        </is>
      </c>
      <c r="G6" s="8" t="inlineStr">
        <is>
          <t>Exemplo</t>
        </is>
      </c>
    </row>
    <row r="7">
      <c r="A7" s="7" t="n"/>
      <c r="B7" s="7" t="n"/>
      <c r="C7" s="7" t="n"/>
      <c r="D7" s="8" t="n"/>
      <c r="E7" s="8" t="n"/>
      <c r="F7" s="8" t="n"/>
      <c r="G7" s="8" t="n"/>
    </row>
    <row r="8">
      <c r="A8" s="7" t="n"/>
      <c r="B8" s="7" t="n"/>
      <c r="C8" s="7" t="n"/>
      <c r="D8" s="8" t="n"/>
      <c r="E8" s="8" t="n"/>
      <c r="F8" s="8" t="n"/>
      <c r="G8" s="8" t="n"/>
    </row>
    <row r="9">
      <c r="A9" s="7" t="n"/>
      <c r="B9" s="7" t="n"/>
      <c r="C9" s="7" t="n"/>
      <c r="D9" s="8" t="n"/>
      <c r="E9" s="8" t="n"/>
      <c r="F9" s="8" t="n"/>
      <c r="G9" s="8" t="n"/>
    </row>
    <row r="10">
      <c r="A10" s="7" t="n"/>
      <c r="B10" s="7" t="n"/>
      <c r="C10" s="7" t="n"/>
      <c r="D10" s="8" t="n"/>
      <c r="E10" s="8" t="n"/>
      <c r="F10" s="8" t="n"/>
      <c r="G10" s="8" t="n"/>
    </row>
    <row r="11">
      <c r="A11" s="7" t="n"/>
      <c r="B11" s="7" t="n"/>
      <c r="C11" s="7" t="n"/>
      <c r="D11" s="8" t="n"/>
      <c r="E11" s="8" t="n"/>
      <c r="F11" s="8" t="n"/>
      <c r="G11" s="8" t="n"/>
    </row>
    <row r="12">
      <c r="A12" s="7" t="n"/>
      <c r="B12" s="7" t="n"/>
      <c r="C12" s="7" t="n"/>
      <c r="D12" s="8" t="n"/>
      <c r="E12" s="8" t="n"/>
      <c r="F12" s="8" t="n"/>
      <c r="G12" s="8" t="n"/>
    </row>
    <row r="13">
      <c r="A13" s="7" t="n"/>
      <c r="B13" s="7" t="n"/>
      <c r="C13" s="7" t="n"/>
      <c r="D13" s="8" t="n"/>
      <c r="E13" s="8" t="n"/>
      <c r="F13" s="8" t="n"/>
      <c r="G13" s="8" t="n"/>
    </row>
    <row r="14">
      <c r="A14" s="7" t="n"/>
      <c r="B14" s="7" t="n"/>
      <c r="C14" s="7" t="n"/>
      <c r="D14" s="8" t="n"/>
      <c r="E14" s="8" t="n"/>
      <c r="F14" s="8" t="n"/>
      <c r="G14" s="8" t="n"/>
    </row>
    <row r="15">
      <c r="A15" s="7" t="n"/>
      <c r="B15" s="7" t="n"/>
      <c r="C15" s="7" t="n"/>
      <c r="D15" s="8" t="n"/>
      <c r="E15" s="8" t="n"/>
      <c r="F15" s="8" t="n"/>
      <c r="G15" s="8" t="n"/>
    </row>
    <row r="16">
      <c r="A16" s="7" t="n"/>
      <c r="B16" s="7" t="n"/>
      <c r="C16" s="7" t="n"/>
      <c r="D16" s="8" t="n"/>
      <c r="E16" s="8" t="n"/>
      <c r="F16" s="8" t="n"/>
      <c r="G16" s="8" t="n"/>
    </row>
    <row r="17">
      <c r="A17" s="7" t="n"/>
      <c r="B17" s="7" t="n"/>
      <c r="C17" s="7" t="n"/>
      <c r="D17" s="8" t="n"/>
      <c r="E17" s="8" t="n"/>
      <c r="F17" s="8" t="n"/>
      <c r="G17" s="8" t="n"/>
    </row>
    <row r="18">
      <c r="A18" s="7" t="n"/>
      <c r="B18" s="7" t="n"/>
      <c r="C18" s="7" t="n"/>
      <c r="D18" s="8" t="n"/>
      <c r="E18" s="8" t="n"/>
      <c r="F18" s="8" t="n"/>
      <c r="G18" s="8" t="n"/>
    </row>
    <row r="19">
      <c r="A19" s="7" t="n"/>
      <c r="B19" s="7" t="n"/>
      <c r="C19" s="7" t="n"/>
      <c r="D19" s="8" t="n"/>
      <c r="E19" s="8" t="n"/>
      <c r="F19" s="8" t="n"/>
      <c r="G19" s="8" t="n"/>
    </row>
    <row r="20">
      <c r="A20" s="7" t="n"/>
      <c r="B20" s="7" t="n"/>
      <c r="C20" s="7" t="n"/>
      <c r="D20" s="8" t="n"/>
      <c r="E20" s="8" t="n"/>
      <c r="F20" s="8" t="n"/>
      <c r="G20" s="8" t="n"/>
    </row>
    <row r="21">
      <c r="A21" s="7" t="n"/>
      <c r="B21" s="7" t="n"/>
      <c r="C21" s="7" t="n"/>
      <c r="D21" s="8" t="n"/>
      <c r="E21" s="8" t="n"/>
      <c r="F21" s="8" t="n"/>
      <c r="G21" s="8" t="n"/>
    </row>
    <row r="22">
      <c r="A22" s="7" t="n"/>
      <c r="B22" s="7" t="n"/>
      <c r="C22" s="7" t="n"/>
      <c r="D22" s="8" t="n"/>
      <c r="E22" s="8" t="n"/>
      <c r="F22" s="8" t="n"/>
      <c r="G22" s="8" t="n"/>
    </row>
    <row r="23">
      <c r="A23" s="7" t="n"/>
      <c r="B23" s="7" t="n"/>
      <c r="C23" s="7" t="n"/>
      <c r="D23" s="8" t="n"/>
      <c r="E23" s="8" t="n"/>
      <c r="F23" s="8" t="n"/>
      <c r="G23" s="8" t="n"/>
    </row>
    <row r="24">
      <c r="A24" s="7" t="n"/>
      <c r="B24" s="7" t="n"/>
      <c r="C24" s="7" t="n"/>
      <c r="D24" s="8" t="n"/>
      <c r="E24" s="8" t="n"/>
      <c r="F24" s="8" t="n"/>
      <c r="G24" s="8" t="n"/>
    </row>
    <row r="25">
      <c r="A25" s="7" t="n"/>
      <c r="B25" s="7" t="n"/>
      <c r="C25" s="7" t="n"/>
      <c r="D25" s="8" t="n"/>
      <c r="E25" s="8" t="n"/>
      <c r="F25" s="8" t="n"/>
      <c r="G25" s="8" t="n"/>
    </row>
    <row r="26">
      <c r="A26" s="7" t="n"/>
      <c r="B26" s="7" t="n"/>
      <c r="C26" s="7" t="n"/>
      <c r="D26" s="8" t="n"/>
      <c r="E26" s="8" t="n"/>
      <c r="F26" s="8" t="n"/>
      <c r="G26" s="8" t="n"/>
    </row>
    <row r="27">
      <c r="A27" s="7" t="n"/>
      <c r="B27" s="7" t="n"/>
      <c r="C27" s="7" t="n"/>
      <c r="D27" s="8" t="n"/>
      <c r="E27" s="8" t="n"/>
      <c r="F27" s="8" t="n"/>
      <c r="G27" s="8" t="n"/>
    </row>
    <row r="28">
      <c r="A28" s="7" t="n"/>
      <c r="B28" s="7" t="n"/>
      <c r="C28" s="7" t="n"/>
      <c r="D28" s="8" t="n"/>
      <c r="E28" s="8" t="n"/>
      <c r="F28" s="8" t="n"/>
      <c r="G28" s="8" t="n"/>
    </row>
    <row r="29">
      <c r="A29" s="7" t="n"/>
      <c r="B29" s="7" t="n"/>
      <c r="C29" s="7" t="n"/>
      <c r="D29" s="8" t="n"/>
      <c r="E29" s="8" t="n"/>
      <c r="F29" s="8" t="n"/>
      <c r="G29" s="8" t="n"/>
    </row>
    <row r="30">
      <c r="A30" s="7" t="n"/>
      <c r="B30" s="7" t="n"/>
      <c r="C30" s="7" t="n"/>
      <c r="D30" s="8" t="n"/>
      <c r="E30" s="8" t="n"/>
      <c r="F30" s="8" t="n"/>
      <c r="G30" s="8" t="n"/>
    </row>
    <row r="31">
      <c r="A31" s="7" t="n"/>
      <c r="B31" s="7" t="n"/>
      <c r="C31" s="7" t="n"/>
      <c r="D31" s="8" t="n"/>
      <c r="E31" s="8" t="n"/>
      <c r="F31" s="8" t="n"/>
      <c r="G31" s="8" t="n"/>
    </row>
    <row r="32">
      <c r="A32" s="7" t="n"/>
      <c r="B32" s="7" t="n"/>
      <c r="C32" s="7" t="n"/>
      <c r="D32" s="8" t="n"/>
      <c r="E32" s="8" t="n"/>
      <c r="F32" s="8" t="n"/>
      <c r="G32" s="8" t="n"/>
    </row>
    <row r="33">
      <c r="A33" s="7" t="n"/>
      <c r="B33" s="7" t="n"/>
      <c r="C33" s="7" t="n"/>
      <c r="D33" s="8" t="n"/>
      <c r="E33" s="8" t="n"/>
      <c r="F33" s="8" t="n"/>
      <c r="G33" s="8" t="n"/>
    </row>
    <row r="34">
      <c r="A34" s="7" t="n"/>
      <c r="B34" s="7" t="n"/>
      <c r="C34" s="7" t="n"/>
      <c r="D34" s="8" t="n"/>
      <c r="E34" s="8" t="n"/>
      <c r="F34" s="8" t="n"/>
      <c r="G34" s="8" t="n"/>
    </row>
    <row r="35">
      <c r="A35" s="7" t="n"/>
      <c r="B35" s="7" t="n"/>
      <c r="C35" s="7" t="n"/>
      <c r="D35" s="8" t="n"/>
      <c r="E35" s="8" t="n"/>
      <c r="F35" s="8" t="n"/>
      <c r="G35" s="8" t="n"/>
    </row>
    <row r="36">
      <c r="A36" s="7" t="n"/>
      <c r="B36" s="7" t="n"/>
      <c r="C36" s="7" t="n"/>
      <c r="D36" s="8" t="n"/>
      <c r="E36" s="8" t="n"/>
      <c r="F36" s="8" t="n"/>
      <c r="G36" s="8" t="n"/>
    </row>
    <row r="37">
      <c r="A37" s="7" t="n"/>
      <c r="B37" s="7" t="n"/>
      <c r="C37" s="7" t="n"/>
      <c r="D37" s="8" t="n"/>
      <c r="E37" s="8" t="n"/>
      <c r="F37" s="8" t="n"/>
      <c r="G37" s="8" t="n"/>
    </row>
    <row r="38">
      <c r="A38" s="7" t="n"/>
      <c r="B38" s="7" t="n"/>
      <c r="C38" s="7" t="n"/>
      <c r="D38" s="8" t="n"/>
      <c r="E38" s="8" t="n"/>
      <c r="F38" s="8" t="n"/>
      <c r="G38" s="8" t="n"/>
    </row>
    <row r="39">
      <c r="A39" s="7" t="n"/>
      <c r="B39" s="7" t="n"/>
      <c r="C39" s="7" t="n"/>
      <c r="D39" s="8" t="n"/>
      <c r="E39" s="8" t="n"/>
      <c r="F39" s="8" t="n"/>
      <c r="G39" s="8" t="n"/>
    </row>
    <row r="40">
      <c r="A40" s="7" t="n"/>
      <c r="B40" s="7" t="n"/>
      <c r="C40" s="7" t="n"/>
      <c r="D40" s="8" t="n"/>
      <c r="E40" s="8" t="n"/>
      <c r="F40" s="8" t="n"/>
      <c r="G40" s="8" t="n"/>
    </row>
    <row r="41">
      <c r="A41" s="7" t="n"/>
      <c r="B41" s="7" t="n"/>
      <c r="C41" s="7" t="n"/>
      <c r="D41" s="8" t="n"/>
      <c r="E41" s="8" t="n"/>
      <c r="F41" s="8" t="n"/>
      <c r="G41" s="8" t="n"/>
    </row>
    <row r="42">
      <c r="A42" s="7" t="n"/>
      <c r="B42" s="7" t="n"/>
      <c r="C42" s="7" t="n"/>
      <c r="D42" s="8" t="n"/>
      <c r="E42" s="8" t="n"/>
      <c r="F42" s="8" t="n"/>
      <c r="G42" s="8" t="n"/>
    </row>
    <row r="43">
      <c r="A43" s="7" t="n"/>
      <c r="B43" s="7" t="n"/>
      <c r="C43" s="7" t="n"/>
      <c r="D43" s="8" t="n"/>
      <c r="E43" s="8" t="n"/>
      <c r="F43" s="8" t="n"/>
      <c r="G43" s="8" t="n"/>
    </row>
    <row r="44">
      <c r="A44" s="7" t="n"/>
      <c r="B44" s="7" t="n"/>
      <c r="C44" s="7" t="n"/>
      <c r="D44" s="8" t="n"/>
      <c r="E44" s="8" t="n"/>
      <c r="F44" s="8" t="n"/>
      <c r="G44" s="8" t="n"/>
    </row>
    <row r="45">
      <c r="A45" s="7" t="n"/>
      <c r="B45" s="7" t="n"/>
      <c r="C45" s="7" t="n"/>
      <c r="D45" s="8" t="n"/>
      <c r="E45" s="8" t="n"/>
      <c r="F45" s="8" t="n"/>
      <c r="G45" s="8" t="n"/>
    </row>
    <row r="46">
      <c r="A46" s="7" t="n"/>
      <c r="B46" s="7" t="n"/>
      <c r="C46" s="7" t="n"/>
      <c r="D46" s="8" t="n"/>
      <c r="E46" s="8" t="n"/>
      <c r="F46" s="8" t="n"/>
      <c r="G46" s="8" t="n"/>
    </row>
    <row r="47">
      <c r="A47" s="7" t="n"/>
      <c r="B47" s="7" t="n"/>
      <c r="C47" s="7" t="n"/>
      <c r="D47" s="8" t="n"/>
      <c r="E47" s="8" t="n"/>
      <c r="F47" s="8" t="n"/>
      <c r="G47" s="8" t="n"/>
    </row>
    <row r="48">
      <c r="A48" s="7" t="n"/>
      <c r="B48" s="7" t="n"/>
      <c r="C48" s="7" t="n"/>
      <c r="D48" s="8" t="n"/>
      <c r="E48" s="8" t="n"/>
      <c r="F48" s="8" t="n"/>
      <c r="G48" s="8" t="n"/>
    </row>
    <row r="49">
      <c r="A49" s="7" t="n"/>
      <c r="B49" s="7" t="n"/>
      <c r="C49" s="7" t="n"/>
      <c r="D49" s="8" t="n"/>
      <c r="E49" s="8" t="n"/>
      <c r="F49" s="8" t="n"/>
      <c r="G49" s="8" t="n"/>
    </row>
    <row r="50">
      <c r="A50" s="7" t="n"/>
      <c r="B50" s="7" t="n"/>
      <c r="C50" s="7" t="n"/>
      <c r="D50" s="8" t="n"/>
      <c r="E50" s="8" t="n"/>
      <c r="F50" s="8" t="n"/>
      <c r="G50" s="8" t="n"/>
    </row>
    <row r="51">
      <c r="A51" s="7" t="n"/>
      <c r="B51" s="7" t="n"/>
      <c r="C51" s="7" t="n"/>
      <c r="D51" s="8" t="n"/>
      <c r="E51" s="8" t="n"/>
      <c r="F51" s="8" t="n"/>
      <c r="G51" s="8" t="n"/>
    </row>
    <row r="52">
      <c r="A52" s="7" t="n"/>
      <c r="B52" s="7" t="n"/>
      <c r="C52" s="7" t="n"/>
      <c r="D52" s="8" t="n"/>
      <c r="E52" s="8" t="n"/>
      <c r="F52" s="8" t="n"/>
      <c r="G52" s="8" t="n"/>
    </row>
    <row r="53">
      <c r="A53" s="7" t="n"/>
      <c r="B53" s="7" t="n"/>
      <c r="C53" s="7" t="n"/>
      <c r="D53" s="8" t="n"/>
      <c r="E53" s="8" t="n"/>
      <c r="F53" s="8" t="n"/>
      <c r="G53" s="8" t="n"/>
    </row>
    <row r="54">
      <c r="A54" s="7" t="n"/>
      <c r="B54" s="7" t="n"/>
      <c r="C54" s="7" t="n"/>
      <c r="D54" s="8" t="n"/>
      <c r="E54" s="8" t="n"/>
      <c r="F54" s="8" t="n"/>
      <c r="G54" s="8" t="n"/>
    </row>
    <row r="55">
      <c r="A55" s="7" t="n"/>
      <c r="B55" s="7" t="n"/>
      <c r="C55" s="7" t="n"/>
      <c r="D55" s="8" t="n"/>
      <c r="E55" s="8" t="n"/>
      <c r="F55" s="8" t="n"/>
      <c r="G55" s="8" t="n"/>
    </row>
    <row r="56">
      <c r="A56" s="7" t="n"/>
      <c r="B56" s="7" t="n"/>
      <c r="C56" s="7" t="n"/>
      <c r="D56" s="8" t="n"/>
      <c r="E56" s="8" t="n"/>
      <c r="F56" s="8" t="n"/>
      <c r="G56" s="8" t="n"/>
    </row>
    <row r="57">
      <c r="A57" s="7" t="n"/>
      <c r="B57" s="7" t="n"/>
      <c r="C57" s="7" t="n"/>
      <c r="D57" s="8" t="n"/>
      <c r="E57" s="8" t="n"/>
      <c r="F57" s="8" t="n"/>
      <c r="G57" s="8" t="n"/>
    </row>
    <row r="58">
      <c r="A58" s="7" t="n"/>
      <c r="B58" s="7" t="n"/>
      <c r="C58" s="7" t="n"/>
      <c r="D58" s="8" t="n"/>
      <c r="E58" s="8" t="n"/>
      <c r="F58" s="8" t="n"/>
      <c r="G58" s="8" t="n"/>
    </row>
    <row r="59">
      <c r="A59" s="7" t="n"/>
      <c r="B59" s="7" t="n"/>
      <c r="C59" s="7" t="n"/>
      <c r="D59" s="8" t="n"/>
      <c r="E59" s="8" t="n"/>
      <c r="F59" s="8" t="n"/>
      <c r="G59" s="8" t="n"/>
    </row>
    <row r="60">
      <c r="A60" s="7" t="n"/>
      <c r="B60" s="7" t="n"/>
      <c r="C60" s="7" t="n"/>
      <c r="D60" s="8" t="n"/>
      <c r="E60" s="8" t="n"/>
      <c r="F60" s="8" t="n"/>
      <c r="G60" s="8" t="n"/>
    </row>
    <row r="61">
      <c r="A61" s="7" t="n"/>
      <c r="B61" s="7" t="n"/>
      <c r="C61" s="7" t="n"/>
      <c r="D61" s="8" t="n"/>
      <c r="E61" s="8" t="n"/>
      <c r="F61" s="8" t="n"/>
      <c r="G61" s="8" t="n"/>
    </row>
    <row r="62">
      <c r="A62" s="7" t="n"/>
      <c r="B62" s="7" t="n"/>
      <c r="C62" s="7" t="n"/>
      <c r="D62" s="8" t="n"/>
      <c r="E62" s="8" t="n"/>
      <c r="F62" s="8" t="n"/>
      <c r="G62" s="8" t="n"/>
    </row>
    <row r="63">
      <c r="A63" s="7" t="n"/>
      <c r="B63" s="7" t="n"/>
      <c r="C63" s="7" t="n"/>
      <c r="D63" s="8" t="n"/>
      <c r="E63" s="8" t="n"/>
      <c r="F63" s="8" t="n"/>
      <c r="G63" s="8" t="n"/>
    </row>
    <row r="64">
      <c r="A64" s="7" t="n"/>
      <c r="B64" s="7" t="n"/>
      <c r="C64" s="7" t="n"/>
      <c r="D64" s="8" t="n"/>
      <c r="E64" s="8" t="n"/>
      <c r="F64" s="8" t="n"/>
      <c r="G64" s="8" t="n"/>
    </row>
    <row r="65">
      <c r="A65" s="7" t="n"/>
      <c r="B65" s="7" t="n"/>
      <c r="C65" s="7" t="n"/>
      <c r="D65" s="8" t="n"/>
      <c r="E65" s="8" t="n"/>
      <c r="F65" s="8" t="n"/>
      <c r="G65" s="8" t="n"/>
    </row>
    <row r="66">
      <c r="A66" s="7" t="n"/>
      <c r="B66" s="7" t="n"/>
      <c r="C66" s="7" t="n"/>
      <c r="D66" s="8" t="n"/>
      <c r="E66" s="8" t="n"/>
      <c r="F66" s="8" t="n"/>
      <c r="G66" s="8" t="n"/>
    </row>
    <row r="67">
      <c r="A67" s="7" t="n"/>
      <c r="B67" s="7" t="n"/>
      <c r="C67" s="7" t="n"/>
      <c r="D67" s="8" t="n"/>
      <c r="E67" s="8" t="n"/>
      <c r="F67" s="8" t="n"/>
      <c r="G67" s="8" t="n"/>
    </row>
    <row r="68">
      <c r="A68" s="7" t="n"/>
      <c r="B68" s="7" t="n"/>
      <c r="C68" s="7" t="n"/>
      <c r="D68" s="8" t="n"/>
      <c r="E68" s="8" t="n"/>
      <c r="F68" s="8" t="n"/>
      <c r="G68" s="8" t="n"/>
    </row>
    <row r="69">
      <c r="A69" s="7" t="n"/>
      <c r="B69" s="7" t="n"/>
      <c r="C69" s="7" t="n"/>
      <c r="D69" s="8" t="n"/>
      <c r="E69" s="8" t="n"/>
      <c r="F69" s="8" t="n"/>
      <c r="G69" s="8" t="n"/>
    </row>
    <row r="70">
      <c r="A70" s="7" t="n"/>
      <c r="B70" s="7" t="n"/>
      <c r="C70" s="7" t="n"/>
      <c r="D70" s="8" t="n"/>
      <c r="E70" s="8" t="n"/>
      <c r="F70" s="8" t="n"/>
      <c r="G70" s="8" t="n"/>
    </row>
    <row r="71">
      <c r="A71" s="7" t="n"/>
      <c r="B71" s="7" t="n"/>
      <c r="C71" s="7" t="n"/>
      <c r="D71" s="8" t="n"/>
      <c r="E71" s="8" t="n"/>
      <c r="F71" s="8" t="n"/>
      <c r="G71" s="8" t="n"/>
    </row>
    <row r="72">
      <c r="A72" s="7" t="n"/>
      <c r="B72" s="7" t="n"/>
      <c r="C72" s="7" t="n"/>
      <c r="D72" s="8" t="n"/>
      <c r="E72" s="8" t="n"/>
      <c r="F72" s="8" t="n"/>
      <c r="G72" s="8" t="n"/>
    </row>
    <row r="73">
      <c r="A73" s="7" t="n"/>
      <c r="B73" s="7" t="n"/>
      <c r="C73" s="7" t="n"/>
      <c r="D73" s="8" t="n"/>
      <c r="E73" s="8" t="n"/>
      <c r="F73" s="8" t="n"/>
      <c r="G73" s="8" t="n"/>
    </row>
    <row r="74">
      <c r="A74" s="7" t="n"/>
      <c r="B74" s="7" t="n"/>
      <c r="C74" s="7" t="n"/>
      <c r="D74" s="8" t="n"/>
      <c r="E74" s="8" t="n"/>
      <c r="F74" s="8" t="n"/>
      <c r="G74" s="8" t="n"/>
    </row>
    <row r="75">
      <c r="A75" s="7" t="n"/>
      <c r="B75" s="7" t="n"/>
      <c r="C75" s="7" t="n"/>
      <c r="D75" s="8" t="n"/>
      <c r="E75" s="8" t="n"/>
      <c r="F75" s="8" t="n"/>
      <c r="G75" s="8" t="n"/>
    </row>
    <row r="76">
      <c r="A76" s="7" t="n"/>
      <c r="B76" s="7" t="n"/>
      <c r="C76" s="7" t="n"/>
      <c r="D76" s="8" t="n"/>
      <c r="E76" s="8" t="n"/>
      <c r="F76" s="8" t="n"/>
      <c r="G76" s="8" t="n"/>
    </row>
    <row r="77">
      <c r="A77" s="7" t="n"/>
      <c r="B77" s="7" t="n"/>
      <c r="C77" s="7" t="n"/>
      <c r="D77" s="8" t="n"/>
      <c r="E77" s="8" t="n"/>
      <c r="F77" s="8" t="n"/>
      <c r="G77" s="8" t="n"/>
    </row>
    <row r="78">
      <c r="A78" s="7" t="n"/>
      <c r="B78" s="7" t="n"/>
      <c r="C78" s="7" t="n"/>
      <c r="D78" s="8" t="n"/>
      <c r="E78" s="8" t="n"/>
      <c r="F78" s="8" t="n"/>
      <c r="G78" s="8" t="n"/>
    </row>
    <row r="79">
      <c r="A79" s="7" t="n"/>
      <c r="B79" s="7" t="n"/>
      <c r="C79" s="7" t="n"/>
      <c r="D79" s="8" t="n"/>
      <c r="E79" s="8" t="n"/>
      <c r="F79" s="8" t="n"/>
      <c r="G79" s="8" t="n"/>
    </row>
    <row r="80">
      <c r="A80" s="7" t="n"/>
      <c r="B80" s="7" t="n"/>
      <c r="C80" s="7" t="n"/>
      <c r="D80" s="8" t="n"/>
      <c r="E80" s="8" t="n"/>
      <c r="F80" s="8" t="n"/>
      <c r="G80" s="8" t="n"/>
    </row>
    <row r="81">
      <c r="A81" s="7" t="n"/>
      <c r="B81" s="7" t="n"/>
      <c r="C81" s="7" t="n"/>
      <c r="D81" s="8" t="n"/>
      <c r="E81" s="8" t="n"/>
      <c r="F81" s="8" t="n"/>
      <c r="G81" s="8" t="n"/>
    </row>
    <row r="82">
      <c r="A82" s="7" t="n"/>
      <c r="B82" s="7" t="n"/>
      <c r="C82" s="7" t="n"/>
      <c r="D82" s="8" t="n"/>
      <c r="E82" s="8" t="n"/>
      <c r="F82" s="8" t="n"/>
      <c r="G82" s="8" t="n"/>
    </row>
    <row r="83">
      <c r="A83" s="7" t="n"/>
      <c r="B83" s="7" t="n"/>
      <c r="C83" s="7" t="n"/>
      <c r="D83" s="8" t="n"/>
      <c r="E83" s="8" t="n"/>
      <c r="F83" s="8" t="n"/>
      <c r="G83" s="8" t="n"/>
    </row>
    <row r="84">
      <c r="A84" s="7" t="n"/>
      <c r="B84" s="7" t="n"/>
      <c r="C84" s="7" t="n"/>
      <c r="D84" s="8" t="n"/>
      <c r="E84" s="8" t="n"/>
      <c r="F84" s="8" t="n"/>
      <c r="G84" s="8" t="n"/>
    </row>
    <row r="85">
      <c r="A85" s="7" t="n"/>
      <c r="B85" s="7" t="n"/>
      <c r="C85" s="7" t="n"/>
      <c r="D85" s="8" t="n"/>
      <c r="E85" s="8" t="n"/>
      <c r="F85" s="8" t="n"/>
      <c r="G85" s="8" t="n"/>
    </row>
    <row r="86">
      <c r="A86" s="7" t="n"/>
      <c r="B86" s="7" t="n"/>
      <c r="C86" s="7" t="n"/>
      <c r="D86" s="8" t="n"/>
      <c r="E86" s="8" t="n"/>
      <c r="F86" s="8" t="n"/>
      <c r="G86" s="8" t="n"/>
    </row>
    <row r="87">
      <c r="A87" s="7" t="n"/>
      <c r="B87" s="7" t="n"/>
      <c r="C87" s="7" t="n"/>
      <c r="D87" s="8" t="n"/>
      <c r="E87" s="8" t="n"/>
      <c r="F87" s="8" t="n"/>
      <c r="G87" s="8" t="n"/>
    </row>
    <row r="88">
      <c r="A88" s="7" t="n"/>
      <c r="B88" s="7" t="n"/>
      <c r="C88" s="7" t="n"/>
      <c r="D88" s="8" t="n"/>
      <c r="E88" s="8" t="n"/>
      <c r="F88" s="8" t="n"/>
      <c r="G88" s="8" t="n"/>
    </row>
    <row r="89">
      <c r="A89" s="7" t="n"/>
      <c r="B89" s="7" t="n"/>
      <c r="C89" s="7" t="n"/>
      <c r="D89" s="8" t="n"/>
      <c r="E89" s="8" t="n"/>
      <c r="F89" s="8" t="n"/>
      <c r="G89" s="8" t="n"/>
    </row>
    <row r="90">
      <c r="A90" s="7" t="n"/>
      <c r="B90" s="7" t="n"/>
      <c r="C90" s="7" t="n"/>
      <c r="D90" s="8" t="n"/>
      <c r="E90" s="8" t="n"/>
      <c r="F90" s="8" t="n"/>
      <c r="G90" s="8" t="n"/>
    </row>
    <row r="91">
      <c r="A91" s="7" t="n"/>
      <c r="B91" s="7" t="n"/>
      <c r="C91" s="7" t="n"/>
      <c r="D91" s="8" t="n"/>
      <c r="E91" s="8" t="n"/>
      <c r="F91" s="8" t="n"/>
      <c r="G91" s="8" t="n"/>
    </row>
    <row r="92">
      <c r="A92" s="7" t="n"/>
      <c r="B92" s="7" t="n"/>
      <c r="C92" s="7" t="n"/>
      <c r="D92" s="8" t="n"/>
      <c r="E92" s="8" t="n"/>
      <c r="F92" s="8" t="n"/>
      <c r="G92" s="8" t="n"/>
    </row>
    <row r="93">
      <c r="A93" s="7" t="n"/>
      <c r="B93" s="7" t="n"/>
      <c r="C93" s="7" t="n"/>
      <c r="D93" s="8" t="n"/>
      <c r="E93" s="8" t="n"/>
      <c r="F93" s="8" t="n"/>
      <c r="G93" s="8" t="n"/>
    </row>
    <row r="94">
      <c r="A94" s="7" t="n"/>
      <c r="B94" s="7" t="n"/>
      <c r="C94" s="7" t="n"/>
      <c r="D94" s="8" t="n"/>
      <c r="E94" s="8" t="n"/>
      <c r="F94" s="8" t="n"/>
      <c r="G94" s="8" t="n"/>
    </row>
    <row r="95">
      <c r="A95" s="7" t="n"/>
      <c r="B95" s="7" t="n"/>
      <c r="C95" s="7" t="n"/>
      <c r="D95" s="8" t="n"/>
      <c r="E95" s="8" t="n"/>
      <c r="F95" s="8" t="n"/>
      <c r="G95" s="8" t="n"/>
    </row>
    <row r="96">
      <c r="A96" s="7" t="n"/>
      <c r="B96" s="7" t="n"/>
      <c r="C96" s="7" t="n"/>
      <c r="D96" s="8" t="n"/>
      <c r="E96" s="8" t="n"/>
      <c r="F96" s="8" t="n"/>
      <c r="G96" s="8" t="n"/>
    </row>
    <row r="97">
      <c r="A97" s="7" t="n"/>
      <c r="B97" s="7" t="n"/>
      <c r="C97" s="7" t="n"/>
      <c r="D97" s="8" t="n"/>
      <c r="E97" s="8" t="n"/>
      <c r="F97" s="8" t="n"/>
      <c r="G97" s="8" t="n"/>
    </row>
    <row r="98">
      <c r="A98" s="7" t="n"/>
      <c r="B98" s="7" t="n"/>
      <c r="C98" s="7" t="n"/>
      <c r="D98" s="8" t="n"/>
      <c r="E98" s="8" t="n"/>
      <c r="F98" s="8" t="n"/>
      <c r="G98" s="8" t="n"/>
    </row>
    <row r="99">
      <c r="A99" s="7" t="n"/>
      <c r="B99" s="7" t="n"/>
      <c r="C99" s="7" t="n"/>
      <c r="D99" s="8" t="n"/>
      <c r="E99" s="8" t="n"/>
      <c r="F99" s="8" t="n"/>
      <c r="G99" s="8" t="n"/>
    </row>
    <row r="100">
      <c r="A100" s="7" t="n"/>
      <c r="B100" s="7" t="n"/>
      <c r="C100" s="7" t="n"/>
      <c r="D100" s="8" t="n"/>
      <c r="E100" s="8" t="n"/>
      <c r="F100" s="8" t="n"/>
      <c r="G100" s="8" t="n"/>
    </row>
    <row r="101">
      <c r="A101" s="7" t="n"/>
      <c r="B101" s="7" t="n"/>
      <c r="C101" s="7" t="n"/>
      <c r="D101" s="8" t="n"/>
      <c r="E101" s="8" t="n"/>
      <c r="F101" s="8" t="n"/>
      <c r="G101" s="8" t="n"/>
    </row>
    <row r="102">
      <c r="A102" s="7" t="n"/>
      <c r="B102" s="7" t="n"/>
      <c r="C102" s="7" t="n"/>
      <c r="D102" s="8" t="n"/>
      <c r="E102" s="8" t="n"/>
      <c r="F102" s="8" t="n"/>
      <c r="G102" s="8" t="n"/>
    </row>
    <row r="103">
      <c r="A103" s="7" t="n"/>
      <c r="B103" s="7" t="n"/>
      <c r="C103" s="7" t="n"/>
      <c r="D103" s="8" t="n"/>
      <c r="E103" s="8" t="n"/>
      <c r="F103" s="8" t="n"/>
      <c r="G103" s="8" t="n"/>
    </row>
    <row r="104">
      <c r="A104" s="7" t="n"/>
      <c r="B104" s="7" t="n"/>
      <c r="C104" s="7" t="n"/>
      <c r="D104" s="8" t="n"/>
      <c r="E104" s="8" t="n"/>
      <c r="F104" s="8" t="n"/>
      <c r="G104" s="8" t="n"/>
    </row>
    <row r="105">
      <c r="A105" s="7" t="n"/>
      <c r="B105" s="7" t="n"/>
      <c r="C105" s="7" t="n"/>
      <c r="D105" s="8" t="n"/>
      <c r="E105" s="8" t="n"/>
      <c r="F105" s="8" t="n"/>
      <c r="G105" s="8" t="n"/>
    </row>
    <row r="106">
      <c r="A106" s="7" t="n"/>
      <c r="B106" s="7" t="n"/>
      <c r="C106" s="7" t="n"/>
      <c r="D106" s="8" t="n"/>
      <c r="E106" s="8" t="n"/>
      <c r="F106" s="8" t="n"/>
      <c r="G106" s="8" t="n"/>
    </row>
    <row r="107">
      <c r="A107" s="7" t="n"/>
      <c r="B107" s="7" t="n"/>
      <c r="C107" s="7" t="n"/>
      <c r="D107" s="8" t="n"/>
      <c r="E107" s="8" t="n"/>
      <c r="F107" s="8" t="n"/>
      <c r="G107" s="8" t="n"/>
    </row>
    <row r="108">
      <c r="A108" s="7" t="n"/>
      <c r="B108" s="7" t="n"/>
      <c r="C108" s="7" t="n"/>
      <c r="D108" s="8" t="n"/>
      <c r="E108" s="8" t="n"/>
      <c r="F108" s="8" t="n"/>
      <c r="G108" s="8" t="n"/>
    </row>
    <row r="109">
      <c r="A109" s="7" t="n"/>
      <c r="B109" s="7" t="n"/>
      <c r="C109" s="7" t="n"/>
      <c r="D109" s="8" t="n"/>
      <c r="E109" s="8" t="n"/>
      <c r="F109" s="8" t="n"/>
      <c r="G109" s="8" t="n"/>
    </row>
    <row r="110">
      <c r="A110" s="7" t="n"/>
      <c r="B110" s="7" t="n"/>
      <c r="C110" s="7" t="n"/>
      <c r="D110" s="8" t="n"/>
      <c r="E110" s="8" t="n"/>
      <c r="F110" s="8" t="n"/>
      <c r="G110" s="8" t="n"/>
    </row>
    <row r="111">
      <c r="A111" s="7" t="n"/>
      <c r="B111" s="7" t="n"/>
      <c r="C111" s="7" t="n"/>
      <c r="D111" s="8" t="n"/>
      <c r="E111" s="8" t="n"/>
      <c r="F111" s="8" t="n"/>
      <c r="G111" s="8" t="n"/>
    </row>
    <row r="112">
      <c r="A112" s="7" t="n"/>
      <c r="B112" s="7" t="n"/>
      <c r="C112" s="7" t="n"/>
      <c r="D112" s="8" t="n"/>
      <c r="E112" s="8" t="n"/>
      <c r="F112" s="8" t="n"/>
      <c r="G112" s="8" t="n"/>
    </row>
    <row r="113">
      <c r="A113" s="7" t="n"/>
      <c r="B113" s="7" t="n"/>
      <c r="C113" s="7" t="n"/>
      <c r="D113" s="8" t="n"/>
      <c r="E113" s="8" t="n"/>
      <c r="F113" s="8" t="n"/>
      <c r="G113" s="8" t="n"/>
    </row>
    <row r="114">
      <c r="A114" s="7" t="n"/>
      <c r="B114" s="7" t="n"/>
      <c r="C114" s="7" t="n"/>
      <c r="D114" s="8" t="n"/>
      <c r="E114" s="8" t="n"/>
      <c r="F114" s="8" t="n"/>
      <c r="G114" s="8" t="n"/>
    </row>
    <row r="115">
      <c r="A115" s="7" t="n"/>
      <c r="B115" s="7" t="n"/>
      <c r="C115" s="7" t="n"/>
      <c r="D115" s="8" t="n"/>
      <c r="E115" s="8" t="n"/>
      <c r="F115" s="8" t="n"/>
      <c r="G115" s="8" t="n"/>
    </row>
    <row r="116">
      <c r="A116" s="7" t="n"/>
      <c r="B116" s="7" t="n"/>
      <c r="C116" s="7" t="n"/>
      <c r="D116" s="8" t="n"/>
      <c r="E116" s="8" t="n"/>
      <c r="F116" s="8" t="n"/>
      <c r="G116" s="8" t="n"/>
    </row>
    <row r="117">
      <c r="A117" s="7" t="n"/>
      <c r="B117" s="7" t="n"/>
      <c r="C117" s="7" t="n"/>
      <c r="D117" s="8" t="n"/>
      <c r="E117" s="8" t="n"/>
      <c r="F117" s="8" t="n"/>
      <c r="G117" s="8" t="n"/>
    </row>
    <row r="118">
      <c r="A118" s="7" t="n"/>
      <c r="B118" s="7" t="n"/>
      <c r="C118" s="7" t="n"/>
      <c r="D118" s="8" t="n"/>
      <c r="E118" s="8" t="n"/>
      <c r="F118" s="8" t="n"/>
      <c r="G118" s="8" t="n"/>
    </row>
    <row r="119">
      <c r="A119" s="7" t="n"/>
      <c r="B119" s="7" t="n"/>
      <c r="C119" s="7" t="n"/>
      <c r="D119" s="8" t="n"/>
      <c r="E119" s="8" t="n"/>
      <c r="F119" s="8" t="n"/>
      <c r="G119" s="8" t="n"/>
    </row>
    <row r="120">
      <c r="A120" s="7" t="n"/>
      <c r="B120" s="7" t="n"/>
      <c r="C120" s="7" t="n"/>
      <c r="D120" s="8" t="n"/>
      <c r="E120" s="8" t="n"/>
      <c r="F120" s="8" t="n"/>
      <c r="G120" s="8" t="n"/>
    </row>
    <row r="121">
      <c r="A121" s="7" t="n"/>
      <c r="B121" s="7" t="n"/>
      <c r="C121" s="7" t="n"/>
      <c r="D121" s="8" t="n"/>
      <c r="E121" s="8" t="n"/>
      <c r="F121" s="8" t="n"/>
      <c r="G121" s="8" t="n"/>
    </row>
    <row r="122">
      <c r="A122" s="7" t="n"/>
      <c r="B122" s="7" t="n"/>
      <c r="C122" s="7" t="n"/>
      <c r="D122" s="8" t="n"/>
      <c r="E122" s="8" t="n"/>
      <c r="F122" s="8" t="n"/>
      <c r="G122" s="8" t="n"/>
    </row>
    <row r="123">
      <c r="A123" s="7" t="n"/>
      <c r="B123" s="7" t="n"/>
      <c r="C123" s="7" t="n"/>
      <c r="D123" s="8" t="n"/>
      <c r="E123" s="8" t="n"/>
      <c r="F123" s="8" t="n"/>
      <c r="G123" s="8" t="n"/>
    </row>
    <row r="124">
      <c r="A124" s="7" t="n"/>
      <c r="B124" s="7" t="n"/>
      <c r="C124" s="7" t="n"/>
      <c r="D124" s="8" t="n"/>
      <c r="E124" s="8" t="n"/>
      <c r="F124" s="8" t="n"/>
      <c r="G124" s="8" t="n"/>
    </row>
    <row r="125">
      <c r="A125" s="7" t="n"/>
      <c r="B125" s="7" t="n"/>
      <c r="C125" s="7" t="n"/>
      <c r="D125" s="8" t="n"/>
      <c r="E125" s="8" t="n"/>
      <c r="F125" s="8" t="n"/>
      <c r="G125" s="8" t="n"/>
    </row>
    <row r="126">
      <c r="A126" s="7" t="n"/>
      <c r="B126" s="7" t="n"/>
      <c r="C126" s="7" t="n"/>
      <c r="D126" s="8" t="n"/>
      <c r="E126" s="8" t="n"/>
      <c r="F126" s="8" t="n"/>
      <c r="G126" s="8" t="n"/>
    </row>
    <row r="127">
      <c r="A127" s="7" t="n"/>
      <c r="B127" s="7" t="n"/>
      <c r="C127" s="7" t="n"/>
      <c r="D127" s="8" t="n"/>
      <c r="E127" s="8" t="n"/>
      <c r="F127" s="8" t="n"/>
      <c r="G127" s="8" t="n"/>
    </row>
    <row r="128">
      <c r="A128" s="7" t="n"/>
      <c r="B128" s="7" t="n"/>
      <c r="C128" s="7" t="n"/>
      <c r="D128" s="8" t="n"/>
      <c r="E128" s="8" t="n"/>
      <c r="F128" s="8" t="n"/>
      <c r="G128" s="8" t="n"/>
    </row>
    <row r="129">
      <c r="A129" s="7" t="n"/>
      <c r="B129" s="7" t="n"/>
      <c r="C129" s="7" t="n"/>
      <c r="D129" s="8" t="n"/>
      <c r="E129" s="8" t="n"/>
      <c r="F129" s="8" t="n"/>
      <c r="G129" s="8" t="n"/>
    </row>
    <row r="130">
      <c r="A130" s="7" t="n"/>
      <c r="B130" s="7" t="n"/>
      <c r="C130" s="7" t="n"/>
      <c r="D130" s="8" t="n"/>
      <c r="E130" s="8" t="n"/>
      <c r="F130" s="8" t="n"/>
      <c r="G130" s="8" t="n"/>
    </row>
    <row r="131">
      <c r="A131" s="7" t="n"/>
      <c r="B131" s="7" t="n"/>
      <c r="C131" s="7" t="n"/>
      <c r="D131" s="8" t="n"/>
      <c r="E131" s="8" t="n"/>
      <c r="F131" s="8" t="n"/>
      <c r="G131" s="8" t="n"/>
    </row>
    <row r="132">
      <c r="A132" s="7" t="n"/>
      <c r="B132" s="7" t="n"/>
      <c r="C132" s="7" t="n"/>
      <c r="D132" s="8" t="n"/>
      <c r="E132" s="8" t="n"/>
      <c r="F132" s="8" t="n"/>
      <c r="G132" s="8" t="n"/>
    </row>
    <row r="133">
      <c r="A133" s="7" t="n"/>
      <c r="B133" s="7" t="n"/>
      <c r="C133" s="7" t="n"/>
      <c r="D133" s="8" t="n"/>
      <c r="E133" s="8" t="n"/>
      <c r="F133" s="8" t="n"/>
      <c r="G133" s="8" t="n"/>
    </row>
    <row r="134">
      <c r="A134" s="7" t="n"/>
      <c r="B134" s="7" t="n"/>
      <c r="C134" s="7" t="n"/>
      <c r="D134" s="8" t="n"/>
      <c r="E134" s="8" t="n"/>
      <c r="F134" s="8" t="n"/>
      <c r="G134" s="8" t="n"/>
    </row>
    <row r="135">
      <c r="A135" s="7" t="n"/>
      <c r="B135" s="7" t="n"/>
      <c r="C135" s="7" t="n"/>
      <c r="D135" s="8" t="n"/>
      <c r="E135" s="8" t="n"/>
      <c r="F135" s="8" t="n"/>
      <c r="G135" s="8" t="n"/>
    </row>
    <row r="136">
      <c r="A136" s="7" t="n"/>
      <c r="B136" s="7" t="n"/>
      <c r="C136" s="7" t="n"/>
      <c r="D136" s="8" t="n"/>
      <c r="E136" s="8" t="n"/>
      <c r="F136" s="8" t="n"/>
      <c r="G136" s="8" t="n"/>
    </row>
    <row r="137">
      <c r="A137" s="7" t="n"/>
      <c r="B137" s="7" t="n"/>
      <c r="C137" s="7" t="n"/>
      <c r="D137" s="8" t="n"/>
      <c r="E137" s="8" t="n"/>
      <c r="F137" s="8" t="n"/>
      <c r="G137" s="8" t="n"/>
    </row>
    <row r="138">
      <c r="A138" s="7" t="n"/>
      <c r="B138" s="7" t="n"/>
      <c r="C138" s="7" t="n"/>
      <c r="D138" s="8" t="n"/>
      <c r="E138" s="8" t="n"/>
      <c r="F138" s="8" t="n"/>
      <c r="G138" s="8" t="n"/>
    </row>
    <row r="139">
      <c r="A139" s="7" t="n"/>
      <c r="B139" s="7" t="n"/>
      <c r="C139" s="7" t="n"/>
      <c r="D139" s="8" t="n"/>
      <c r="E139" s="8" t="n"/>
      <c r="F139" s="8" t="n"/>
      <c r="G139" s="8" t="n"/>
    </row>
    <row r="140">
      <c r="A140" s="7" t="n"/>
      <c r="B140" s="7" t="n"/>
      <c r="C140" s="7" t="n"/>
      <c r="D140" s="8" t="n"/>
      <c r="E140" s="8" t="n"/>
      <c r="F140" s="8" t="n"/>
      <c r="G140" s="8" t="n"/>
    </row>
    <row r="141">
      <c r="A141" s="7" t="n"/>
      <c r="B141" s="7" t="n"/>
      <c r="C141" s="7" t="n"/>
      <c r="D141" s="8" t="n"/>
      <c r="E141" s="8" t="n"/>
      <c r="F141" s="8" t="n"/>
      <c r="G141" s="8" t="n"/>
    </row>
    <row r="142">
      <c r="A142" s="7" t="n"/>
      <c r="B142" s="7" t="n"/>
      <c r="C142" s="7" t="n"/>
      <c r="D142" s="8" t="n"/>
      <c r="E142" s="8" t="n"/>
      <c r="F142" s="8" t="n"/>
      <c r="G142" s="8" t="n"/>
    </row>
    <row r="143">
      <c r="A143" s="7" t="n"/>
      <c r="B143" s="7" t="n"/>
      <c r="C143" s="7" t="n"/>
      <c r="D143" s="8" t="n"/>
      <c r="E143" s="8" t="n"/>
      <c r="F143" s="8" t="n"/>
      <c r="G143" s="8" t="n"/>
    </row>
    <row r="144">
      <c r="A144" s="7" t="n"/>
      <c r="B144" s="7" t="n"/>
      <c r="C144" s="7" t="n"/>
      <c r="D144" s="8" t="n"/>
      <c r="E144" s="8" t="n"/>
      <c r="F144" s="8" t="n"/>
      <c r="G144" s="8" t="n"/>
    </row>
    <row r="145">
      <c r="A145" s="7" t="n"/>
      <c r="B145" s="7" t="n"/>
      <c r="C145" s="7" t="n"/>
      <c r="D145" s="8" t="n"/>
      <c r="E145" s="8" t="n"/>
      <c r="F145" s="8" t="n"/>
      <c r="G145" s="8" t="n"/>
    </row>
    <row r="146">
      <c r="A146" s="7" t="n"/>
      <c r="B146" s="7" t="n"/>
      <c r="C146" s="7" t="n"/>
      <c r="D146" s="8" t="n"/>
      <c r="E146" s="8" t="n"/>
      <c r="F146" s="8" t="n"/>
      <c r="G146" s="8" t="n"/>
    </row>
    <row r="147">
      <c r="A147" s="7" t="n"/>
      <c r="B147" s="7" t="n"/>
      <c r="C147" s="7" t="n"/>
      <c r="D147" s="8" t="n"/>
      <c r="E147" s="8" t="n"/>
      <c r="F147" s="8" t="n"/>
      <c r="G147" s="8" t="n"/>
    </row>
    <row r="148">
      <c r="A148" s="7" t="n"/>
      <c r="B148" s="7" t="n"/>
      <c r="C148" s="7" t="n"/>
      <c r="D148" s="8" t="n"/>
      <c r="E148" s="8" t="n"/>
      <c r="F148" s="8" t="n"/>
      <c r="G148" s="8" t="n"/>
    </row>
    <row r="149">
      <c r="A149" s="7" t="n"/>
      <c r="B149" s="7" t="n"/>
      <c r="C149" s="7" t="n"/>
      <c r="D149" s="8" t="n"/>
      <c r="E149" s="8" t="n"/>
      <c r="F149" s="8" t="n"/>
      <c r="G149" s="8" t="n"/>
    </row>
    <row r="150">
      <c r="A150" s="7" t="n"/>
      <c r="B150" s="7" t="n"/>
      <c r="C150" s="7" t="n"/>
      <c r="D150" s="8" t="n"/>
      <c r="E150" s="8" t="n"/>
      <c r="F150" s="8" t="n"/>
      <c r="G150" s="8" t="n"/>
    </row>
    <row r="151">
      <c r="A151" s="7" t="n"/>
      <c r="B151" s="7" t="n"/>
      <c r="C151" s="7" t="n"/>
      <c r="D151" s="8" t="n"/>
      <c r="E151" s="8" t="n"/>
      <c r="F151" s="8" t="n"/>
      <c r="G151" s="8" t="n"/>
    </row>
    <row r="152">
      <c r="A152" s="7" t="n"/>
      <c r="B152" s="7" t="n"/>
      <c r="C152" s="7" t="n"/>
      <c r="D152" s="8" t="n"/>
      <c r="E152" s="8" t="n"/>
      <c r="F152" s="8" t="n"/>
      <c r="G152" s="8" t="n"/>
    </row>
    <row r="153">
      <c r="A153" s="7" t="n"/>
      <c r="B153" s="7" t="n"/>
      <c r="C153" s="7" t="n"/>
      <c r="D153" s="8" t="n"/>
      <c r="E153" s="8" t="n"/>
      <c r="F153" s="8" t="n"/>
      <c r="G153" s="8" t="n"/>
    </row>
    <row r="154">
      <c r="A154" s="7" t="n"/>
      <c r="B154" s="7" t="n"/>
      <c r="C154" s="7" t="n"/>
      <c r="D154" s="8" t="n"/>
      <c r="E154" s="8" t="n"/>
      <c r="F154" s="8" t="n"/>
      <c r="G154" s="8" t="n"/>
    </row>
    <row r="155">
      <c r="A155" s="7" t="n"/>
      <c r="B155" s="7" t="n"/>
      <c r="C155" s="7" t="n"/>
      <c r="D155" s="8" t="n"/>
      <c r="E155" s="8" t="n"/>
      <c r="F155" s="8" t="n"/>
      <c r="G155" s="8" t="n"/>
    </row>
    <row r="156">
      <c r="A156" s="7" t="n"/>
      <c r="B156" s="7" t="n"/>
      <c r="C156" s="7" t="n"/>
      <c r="D156" s="8" t="n"/>
      <c r="E156" s="8" t="n"/>
      <c r="F156" s="8" t="n"/>
      <c r="G156" s="8" t="n"/>
    </row>
    <row r="157">
      <c r="A157" s="7" t="n"/>
      <c r="B157" s="7" t="n"/>
      <c r="C157" s="7" t="n"/>
      <c r="D157" s="8" t="n"/>
      <c r="E157" s="8" t="n"/>
      <c r="F157" s="8" t="n"/>
      <c r="G157" s="8" t="n"/>
    </row>
    <row r="158">
      <c r="A158" s="7" t="n"/>
      <c r="B158" s="7" t="n"/>
      <c r="C158" s="7" t="n"/>
      <c r="D158" s="8" t="n"/>
      <c r="E158" s="8" t="n"/>
      <c r="F158" s="8" t="n"/>
      <c r="G158" s="8" t="n"/>
    </row>
    <row r="159">
      <c r="A159" s="7" t="n"/>
      <c r="B159" s="7" t="n"/>
      <c r="C159" s="7" t="n"/>
      <c r="D159" s="8" t="n"/>
      <c r="E159" s="8" t="n"/>
      <c r="F159" s="8" t="n"/>
      <c r="G159" s="8" t="n"/>
    </row>
    <row r="160">
      <c r="A160" s="7" t="n"/>
      <c r="B160" s="7" t="n"/>
      <c r="C160" s="7" t="n"/>
      <c r="D160" s="8" t="n"/>
      <c r="E160" s="8" t="n"/>
      <c r="F160" s="8" t="n"/>
      <c r="G160" s="8" t="n"/>
    </row>
    <row r="161">
      <c r="A161" s="7" t="n"/>
      <c r="B161" s="7" t="n"/>
      <c r="C161" s="7" t="n"/>
      <c r="D161" s="8" t="n"/>
      <c r="E161" s="8" t="n"/>
      <c r="F161" s="8" t="n"/>
      <c r="G161" s="8" t="n"/>
    </row>
    <row r="162">
      <c r="A162" s="7" t="n"/>
      <c r="B162" s="7" t="n"/>
      <c r="C162" s="7" t="n"/>
      <c r="D162" s="8" t="n"/>
      <c r="E162" s="8" t="n"/>
      <c r="F162" s="8" t="n"/>
      <c r="G162" s="8" t="n"/>
    </row>
    <row r="163">
      <c r="A163" s="7" t="n"/>
      <c r="B163" s="7" t="n"/>
      <c r="C163" s="7" t="n"/>
      <c r="D163" s="8" t="n"/>
      <c r="E163" s="8" t="n"/>
      <c r="F163" s="8" t="n"/>
      <c r="G163" s="8" t="n"/>
    </row>
    <row r="164">
      <c r="A164" s="7" t="n"/>
      <c r="B164" s="7" t="n"/>
      <c r="C164" s="7" t="n"/>
      <c r="D164" s="8" t="n"/>
      <c r="E164" s="8" t="n"/>
      <c r="F164" s="8" t="n"/>
      <c r="G164" s="8" t="n"/>
    </row>
    <row r="165">
      <c r="A165" s="7" t="n"/>
      <c r="B165" s="7" t="n"/>
      <c r="C165" s="7" t="n"/>
      <c r="D165" s="8" t="n"/>
      <c r="E165" s="8" t="n"/>
      <c r="F165" s="8" t="n"/>
      <c r="G165" s="8" t="n"/>
    </row>
    <row r="166">
      <c r="A166" s="7" t="n"/>
      <c r="B166" s="7" t="n"/>
      <c r="C166" s="7" t="n"/>
      <c r="D166" s="8" t="n"/>
      <c r="E166" s="8" t="n"/>
      <c r="F166" s="8" t="n"/>
      <c r="G166" s="8" t="n"/>
    </row>
    <row r="167">
      <c r="A167" s="7" t="n"/>
      <c r="B167" s="7" t="n"/>
      <c r="C167" s="7" t="n"/>
      <c r="D167" s="8" t="n"/>
      <c r="E167" s="8" t="n"/>
      <c r="F167" s="8" t="n"/>
      <c r="G167" s="8" t="n"/>
    </row>
    <row r="168">
      <c r="A168" s="7" t="n"/>
      <c r="B168" s="7" t="n"/>
      <c r="C168" s="7" t="n"/>
      <c r="D168" s="8" t="n"/>
      <c r="E168" s="8" t="n"/>
      <c r="F168" s="8" t="n"/>
      <c r="G168" s="8" t="n"/>
    </row>
    <row r="169">
      <c r="A169" s="7" t="n"/>
      <c r="B169" s="7" t="n"/>
      <c r="C169" s="7" t="n"/>
      <c r="D169" s="8" t="n"/>
      <c r="E169" s="8" t="n"/>
      <c r="F169" s="8" t="n"/>
      <c r="G169" s="8" t="n"/>
    </row>
    <row r="170">
      <c r="A170" s="7" t="n"/>
      <c r="B170" s="7" t="n"/>
      <c r="C170" s="7" t="n"/>
      <c r="D170" s="8" t="n"/>
      <c r="E170" s="8" t="n"/>
      <c r="F170" s="8" t="n"/>
      <c r="G170" s="8" t="n"/>
    </row>
    <row r="171">
      <c r="A171" s="7" t="n"/>
      <c r="B171" s="7" t="n"/>
      <c r="C171" s="7" t="n"/>
      <c r="D171" s="8" t="n"/>
      <c r="E171" s="8" t="n"/>
      <c r="F171" s="8" t="n"/>
      <c r="G171" s="8" t="n"/>
    </row>
    <row r="172">
      <c r="A172" s="7" t="n"/>
      <c r="B172" s="7" t="n"/>
      <c r="C172" s="7" t="n"/>
      <c r="D172" s="8" t="n"/>
      <c r="E172" s="8" t="n"/>
      <c r="F172" s="8" t="n"/>
      <c r="G172" s="8" t="n"/>
    </row>
    <row r="173">
      <c r="A173" s="7" t="n"/>
      <c r="B173" s="7" t="n"/>
      <c r="C173" s="7" t="n"/>
      <c r="D173" s="8" t="n"/>
      <c r="E173" s="8" t="n"/>
      <c r="F173" s="8" t="n"/>
      <c r="G173" s="8" t="n"/>
    </row>
    <row r="174">
      <c r="A174" s="7" t="n"/>
      <c r="B174" s="7" t="n"/>
      <c r="C174" s="7" t="n"/>
      <c r="D174" s="8" t="n"/>
      <c r="E174" s="8" t="n"/>
      <c r="F174" s="8" t="n"/>
      <c r="G174" s="8" t="n"/>
    </row>
    <row r="175">
      <c r="A175" s="7" t="n"/>
      <c r="B175" s="7" t="n"/>
      <c r="C175" s="7" t="n"/>
      <c r="D175" s="8" t="n"/>
      <c r="E175" s="8" t="n"/>
      <c r="F175" s="8" t="n"/>
      <c r="G175" s="8" t="n"/>
    </row>
    <row r="176">
      <c r="A176" s="7" t="n"/>
      <c r="B176" s="7" t="n"/>
      <c r="C176" s="7" t="n"/>
      <c r="D176" s="8" t="n"/>
      <c r="E176" s="8" t="n"/>
      <c r="F176" s="8" t="n"/>
      <c r="G176" s="8" t="n"/>
    </row>
    <row r="177">
      <c r="A177" s="7" t="n"/>
      <c r="B177" s="7" t="n"/>
      <c r="C177" s="7" t="n"/>
      <c r="D177" s="8" t="n"/>
      <c r="E177" s="8" t="n"/>
      <c r="F177" s="8" t="n"/>
      <c r="G177" s="8" t="n"/>
    </row>
    <row r="178">
      <c r="A178" s="7" t="n"/>
      <c r="B178" s="7" t="n"/>
      <c r="C178" s="7" t="n"/>
      <c r="D178" s="8" t="n"/>
      <c r="E178" s="8" t="n"/>
      <c r="F178" s="8" t="n"/>
      <c r="G178" s="8" t="n"/>
    </row>
    <row r="179">
      <c r="A179" s="7" t="n"/>
      <c r="B179" s="7" t="n"/>
      <c r="C179" s="7" t="n"/>
      <c r="D179" s="8" t="n"/>
      <c r="E179" s="8" t="n"/>
      <c r="F179" s="8" t="n"/>
      <c r="G179" s="8" t="n"/>
    </row>
    <row r="180">
      <c r="A180" s="7" t="n"/>
      <c r="B180" s="7" t="n"/>
      <c r="C180" s="7" t="n"/>
      <c r="D180" s="8" t="n"/>
      <c r="E180" s="8" t="n"/>
      <c r="F180" s="8" t="n"/>
      <c r="G180" s="8" t="n"/>
    </row>
    <row r="181">
      <c r="A181" s="7" t="n"/>
      <c r="B181" s="7" t="n"/>
      <c r="C181" s="7" t="n"/>
      <c r="D181" s="8" t="n"/>
      <c r="E181" s="8" t="n"/>
      <c r="F181" s="8" t="n"/>
      <c r="G181" s="8" t="n"/>
    </row>
    <row r="182">
      <c r="A182" s="7" t="n"/>
      <c r="B182" s="7" t="n"/>
      <c r="C182" s="7" t="n"/>
      <c r="D182" s="8" t="n"/>
      <c r="E182" s="8" t="n"/>
      <c r="F182" s="8" t="n"/>
      <c r="G182" s="8" t="n"/>
    </row>
    <row r="183">
      <c r="A183" s="7" t="n"/>
      <c r="B183" s="7" t="n"/>
      <c r="C183" s="7" t="n"/>
      <c r="D183" s="8" t="n"/>
      <c r="E183" s="8" t="n"/>
      <c r="F183" s="8" t="n"/>
      <c r="G183" s="8" t="n"/>
    </row>
    <row r="184">
      <c r="A184" s="7" t="n"/>
      <c r="B184" s="7" t="n"/>
      <c r="C184" s="7" t="n"/>
      <c r="D184" s="8" t="n"/>
      <c r="E184" s="8" t="n"/>
      <c r="F184" s="8" t="n"/>
      <c r="G184" s="8" t="n"/>
    </row>
    <row r="185">
      <c r="A185" s="7" t="n"/>
      <c r="B185" s="7" t="n"/>
      <c r="C185" s="7" t="n"/>
      <c r="D185" s="8" t="n"/>
      <c r="E185" s="8" t="n"/>
      <c r="F185" s="8" t="n"/>
      <c r="G185" s="8" t="n"/>
    </row>
    <row r="186">
      <c r="A186" s="7" t="n"/>
      <c r="B186" s="7" t="n"/>
      <c r="C186" s="7" t="n"/>
      <c r="D186" s="8" t="n"/>
      <c r="E186" s="8" t="n"/>
      <c r="F186" s="8" t="n"/>
      <c r="G186" s="8" t="n"/>
    </row>
    <row r="187">
      <c r="A187" s="7" t="n"/>
      <c r="B187" s="7" t="n"/>
      <c r="C187" s="7" t="n"/>
      <c r="D187" s="8" t="n"/>
      <c r="E187" s="8" t="n"/>
      <c r="F187" s="8" t="n"/>
      <c r="G187" s="8" t="n"/>
    </row>
    <row r="188">
      <c r="A188" s="7" t="n"/>
      <c r="B188" s="7" t="n"/>
      <c r="C188" s="7" t="n"/>
      <c r="D188" s="8" t="n"/>
      <c r="E188" s="8" t="n"/>
      <c r="F188" s="8" t="n"/>
      <c r="G188" s="8" t="n"/>
    </row>
    <row r="189">
      <c r="A189" s="7" t="n"/>
      <c r="B189" s="7" t="n"/>
      <c r="C189" s="7" t="n"/>
      <c r="D189" s="8" t="n"/>
      <c r="E189" s="8" t="n"/>
      <c r="F189" s="8" t="n"/>
      <c r="G189" s="8" t="n"/>
    </row>
    <row r="190">
      <c r="A190" s="7" t="n"/>
      <c r="B190" s="7" t="n"/>
      <c r="C190" s="7" t="n"/>
      <c r="D190" s="8" t="n"/>
      <c r="E190" s="8" t="n"/>
      <c r="F190" s="8" t="n"/>
      <c r="G190" s="8" t="n"/>
    </row>
    <row r="191">
      <c r="A191" s="7" t="n"/>
      <c r="B191" s="7" t="n"/>
      <c r="C191" s="7" t="n"/>
      <c r="D191" s="8" t="n"/>
      <c r="E191" s="8" t="n"/>
      <c r="F191" s="8" t="n"/>
      <c r="G191" s="8" t="n"/>
    </row>
    <row r="192">
      <c r="A192" s="7" t="n"/>
      <c r="B192" s="7" t="n"/>
      <c r="C192" s="7" t="n"/>
      <c r="D192" s="8" t="n"/>
      <c r="E192" s="8" t="n"/>
      <c r="F192" s="8" t="n"/>
      <c r="G192" s="8" t="n"/>
    </row>
    <row r="193">
      <c r="A193" s="7" t="n"/>
      <c r="B193" s="7" t="n"/>
      <c r="C193" s="7" t="n"/>
      <c r="D193" s="8" t="n"/>
      <c r="E193" s="8" t="n"/>
      <c r="F193" s="8" t="n"/>
      <c r="G193" s="8" t="n"/>
    </row>
    <row r="194">
      <c r="A194" s="7" t="n"/>
      <c r="B194" s="7" t="n"/>
      <c r="C194" s="7" t="n"/>
      <c r="D194" s="8" t="n"/>
      <c r="E194" s="8" t="n"/>
      <c r="F194" s="8" t="n"/>
      <c r="G194" s="8" t="n"/>
    </row>
    <row r="195">
      <c r="A195" s="7" t="n"/>
      <c r="B195" s="7" t="n"/>
      <c r="C195" s="7" t="n"/>
      <c r="D195" s="8" t="n"/>
      <c r="E195" s="8" t="n"/>
      <c r="F195" s="8" t="n"/>
      <c r="G195" s="8" t="n"/>
    </row>
    <row r="196">
      <c r="A196" s="7" t="n"/>
      <c r="B196" s="7" t="n"/>
      <c r="C196" s="7" t="n"/>
      <c r="D196" s="8" t="n"/>
      <c r="E196" s="8" t="n"/>
      <c r="F196" s="8" t="n"/>
      <c r="G196" s="8" t="n"/>
    </row>
    <row r="197">
      <c r="A197" s="7" t="n"/>
      <c r="B197" s="7" t="n"/>
      <c r="C197" s="7" t="n"/>
      <c r="D197" s="8" t="n"/>
      <c r="E197" s="8" t="n"/>
      <c r="F197" s="8" t="n"/>
      <c r="G197" s="8" t="n"/>
    </row>
    <row r="198">
      <c r="A198" s="7" t="n"/>
      <c r="B198" s="7" t="n"/>
      <c r="C198" s="7" t="n"/>
      <c r="D198" s="8" t="n"/>
      <c r="E198" s="8" t="n"/>
      <c r="F198" s="8" t="n"/>
      <c r="G198" s="8" t="n"/>
    </row>
    <row r="199">
      <c r="A199" s="7" t="n"/>
      <c r="B199" s="7" t="n"/>
      <c r="C199" s="7" t="n"/>
      <c r="D199" s="8" t="n"/>
      <c r="E199" s="8" t="n"/>
      <c r="F199" s="8" t="n"/>
      <c r="G199" s="8" t="n"/>
    </row>
    <row r="200">
      <c r="A200" s="7" t="n"/>
      <c r="B200" s="7" t="n"/>
      <c r="C200" s="7" t="n"/>
      <c r="D200" s="8" t="n"/>
      <c r="E200" s="8" t="n"/>
      <c r="F200" s="8" t="n"/>
      <c r="G200" s="8" t="n"/>
    </row>
  </sheetData>
  <autoFilter ref="A5:G2000"/>
  <mergeCells count="1">
    <mergeCell ref="A1:G1"/>
  </mergeCells>
  <dataValidations count="2">
    <dataValidation sqref="C6:C2000" showDropDown="0" showInputMessage="0" showErrorMessage="0" allowBlank="1" type="list">
      <formula1>"TINTA,INFLAMAVEL"</formula1>
    </dataValidation>
    <dataValidation sqref="D6:D2000" showDropDown="0" showInputMessage="0" showErrorMessage="0" allowBlank="1" type="list">
      <formula1>"L,KG,UN"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0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28" customWidth="1" min="4" max="4"/>
    <col width="14" customWidth="1" min="5" max="5"/>
    <col width="12" customWidth="1" min="6" max="6"/>
    <col width="12" customWidth="1" min="7" max="7"/>
    <col width="18" customWidth="1" min="8" max="8"/>
    <col width="24" customWidth="1" min="9" max="9"/>
    <col width="26" customWidth="1" min="10" max="10"/>
  </cols>
  <sheetData>
    <row r="1">
      <c r="A1" s="1" t="inlineStr">
        <is>
          <t>LANCAMENTO DE MOVIMENTACOES</t>
        </is>
      </c>
    </row>
    <row r="3">
      <c r="A3" s="5" t="inlineStr">
        <is>
          <t>Registre ENTRADA, SAIDA_USO e SAIDA_DESCARTE a partir da linha 6.</t>
        </is>
      </c>
    </row>
    <row r="5">
      <c r="A5" s="6" t="inlineStr">
        <is>
          <t>Data</t>
        </is>
      </c>
      <c r="B5" s="6" t="inlineStr">
        <is>
          <t>Tipo</t>
        </is>
      </c>
      <c r="C5" s="6" t="inlineStr">
        <is>
          <t>ID_Produto</t>
        </is>
      </c>
      <c r="D5" s="6" t="inlineStr">
        <is>
          <t>Produto</t>
        </is>
      </c>
      <c r="E5" s="6" t="inlineStr">
        <is>
          <t>Lote</t>
        </is>
      </c>
      <c r="F5" s="6" t="inlineStr">
        <is>
          <t>Validade</t>
        </is>
      </c>
      <c r="G5" s="6" t="inlineStr">
        <is>
          <t>Quantidade</t>
        </is>
      </c>
      <c r="H5" s="6" t="inlineStr">
        <is>
          <t>Responsavel</t>
        </is>
      </c>
      <c r="I5" s="6" t="inlineStr">
        <is>
          <t>Destino_ou_Motivo</t>
        </is>
      </c>
      <c r="J5" s="6" t="inlineStr">
        <is>
          <t>Observacoes</t>
        </is>
      </c>
    </row>
    <row r="6">
      <c r="A6" s="9" t="inlineStr">
        <is>
          <t>10/03/2026</t>
        </is>
      </c>
      <c r="B6" s="7" t="inlineStr">
        <is>
          <t>ENTRADA</t>
        </is>
      </c>
      <c r="C6" s="7" t="inlineStr">
        <is>
          <t>PRD001</t>
        </is>
      </c>
      <c r="D6" s="8">
        <f>IFERROR(VLOOKUP(C6,Cadastro_Produtos!A:B,2,FALSE),"")</f>
        <v/>
      </c>
      <c r="E6" s="8" t="inlineStr">
        <is>
          <t>LOT-001</t>
        </is>
      </c>
      <c r="F6" s="10" t="inlineStr">
        <is>
          <t>20/06/2026</t>
        </is>
      </c>
      <c r="G6" s="11" t="n">
        <v>50</v>
      </c>
      <c r="H6" s="8" t="inlineStr">
        <is>
          <t>Almoxarife</t>
        </is>
      </c>
      <c r="I6" s="8" t="inlineStr">
        <is>
          <t>Entrada inicial</t>
        </is>
      </c>
      <c r="J6" s="8" t="inlineStr">
        <is>
          <t>Exemplo</t>
        </is>
      </c>
    </row>
    <row r="7">
      <c r="A7" s="9" t="n"/>
      <c r="B7" s="7" t="n"/>
      <c r="C7" s="7" t="n"/>
      <c r="D7" s="8">
        <f>IFERROR(VLOOKUP(C7,Cadastro_Produtos!A:B,2,FALSE),"")</f>
        <v/>
      </c>
      <c r="E7" s="8" t="n"/>
      <c r="F7" s="10" t="n"/>
      <c r="G7" s="11" t="n"/>
      <c r="H7" s="8" t="n"/>
      <c r="I7" s="8" t="n"/>
      <c r="J7" s="8" t="n"/>
    </row>
    <row r="8">
      <c r="A8" s="9" t="n"/>
      <c r="B8" s="7" t="n"/>
      <c r="C8" s="7" t="n"/>
      <c r="D8" s="8">
        <f>IFERROR(VLOOKUP(C8,Cadastro_Produtos!A:B,2,FALSE),"")</f>
        <v/>
      </c>
      <c r="E8" s="8" t="n"/>
      <c r="F8" s="10" t="n"/>
      <c r="G8" s="11" t="n"/>
      <c r="H8" s="8" t="n"/>
      <c r="I8" s="8" t="n"/>
      <c r="J8" s="8" t="n"/>
    </row>
    <row r="9">
      <c r="A9" s="9" t="n"/>
      <c r="B9" s="7" t="n"/>
      <c r="C9" s="7" t="n"/>
      <c r="D9" s="8">
        <f>IFERROR(VLOOKUP(C9,Cadastro_Produtos!A:B,2,FALSE),"")</f>
        <v/>
      </c>
      <c r="E9" s="8" t="n"/>
      <c r="F9" s="10" t="n"/>
      <c r="G9" s="11" t="n"/>
      <c r="H9" s="8" t="n"/>
      <c r="I9" s="8" t="n"/>
      <c r="J9" s="8" t="n"/>
    </row>
    <row r="10">
      <c r="A10" s="9" t="n"/>
      <c r="B10" s="7" t="n"/>
      <c r="C10" s="7" t="n"/>
      <c r="D10" s="8">
        <f>IFERROR(VLOOKUP(C10,Cadastro_Produtos!A:B,2,FALSE),"")</f>
        <v/>
      </c>
      <c r="E10" s="8" t="n"/>
      <c r="F10" s="10" t="n"/>
      <c r="G10" s="11" t="n"/>
      <c r="H10" s="8" t="n"/>
      <c r="I10" s="8" t="n"/>
      <c r="J10" s="8" t="n"/>
    </row>
    <row r="11">
      <c r="A11" s="9" t="n"/>
      <c r="B11" s="7" t="n"/>
      <c r="C11" s="7" t="n"/>
      <c r="D11" s="8">
        <f>IFERROR(VLOOKUP(C11,Cadastro_Produtos!A:B,2,FALSE),"")</f>
        <v/>
      </c>
      <c r="E11" s="8" t="n"/>
      <c r="F11" s="10" t="n"/>
      <c r="G11" s="11" t="n"/>
      <c r="H11" s="8" t="n"/>
      <c r="I11" s="8" t="n"/>
      <c r="J11" s="8" t="n"/>
    </row>
    <row r="12">
      <c r="A12" s="9" t="n"/>
      <c r="B12" s="7" t="n"/>
      <c r="C12" s="7" t="n"/>
      <c r="D12" s="8">
        <f>IFERROR(VLOOKUP(C12,Cadastro_Produtos!A:B,2,FALSE),"")</f>
        <v/>
      </c>
      <c r="E12" s="8" t="n"/>
      <c r="F12" s="10" t="n"/>
      <c r="G12" s="11" t="n"/>
      <c r="H12" s="8" t="n"/>
      <c r="I12" s="8" t="n"/>
      <c r="J12" s="8" t="n"/>
    </row>
    <row r="13">
      <c r="A13" s="9" t="n"/>
      <c r="B13" s="7" t="n"/>
      <c r="C13" s="7" t="n"/>
      <c r="D13" s="8">
        <f>IFERROR(VLOOKUP(C13,Cadastro_Produtos!A:B,2,FALSE),"")</f>
        <v/>
      </c>
      <c r="E13" s="8" t="n"/>
      <c r="F13" s="10" t="n"/>
      <c r="G13" s="11" t="n"/>
      <c r="H13" s="8" t="n"/>
      <c r="I13" s="8" t="n"/>
      <c r="J13" s="8" t="n"/>
    </row>
    <row r="14">
      <c r="A14" s="9" t="n"/>
      <c r="B14" s="7" t="n"/>
      <c r="C14" s="7" t="n"/>
      <c r="D14" s="8">
        <f>IFERROR(VLOOKUP(C14,Cadastro_Produtos!A:B,2,FALSE),"")</f>
        <v/>
      </c>
      <c r="E14" s="8" t="n"/>
      <c r="F14" s="10" t="n"/>
      <c r="G14" s="11" t="n"/>
      <c r="H14" s="8" t="n"/>
      <c r="I14" s="8" t="n"/>
      <c r="J14" s="8" t="n"/>
    </row>
    <row r="15">
      <c r="A15" s="9" t="n"/>
      <c r="B15" s="7" t="n"/>
      <c r="C15" s="7" t="n"/>
      <c r="D15" s="8">
        <f>IFERROR(VLOOKUP(C15,Cadastro_Produtos!A:B,2,FALSE),"")</f>
        <v/>
      </c>
      <c r="E15" s="8" t="n"/>
      <c r="F15" s="10" t="n"/>
      <c r="G15" s="11" t="n"/>
      <c r="H15" s="8" t="n"/>
      <c r="I15" s="8" t="n"/>
      <c r="J15" s="8" t="n"/>
    </row>
    <row r="16">
      <c r="A16" s="9" t="n"/>
      <c r="B16" s="7" t="n"/>
      <c r="C16" s="7" t="n"/>
      <c r="D16" s="8">
        <f>IFERROR(VLOOKUP(C16,Cadastro_Produtos!A:B,2,FALSE),"")</f>
        <v/>
      </c>
      <c r="E16" s="8" t="n"/>
      <c r="F16" s="10" t="n"/>
      <c r="G16" s="11" t="n"/>
      <c r="H16" s="8" t="n"/>
      <c r="I16" s="8" t="n"/>
      <c r="J16" s="8" t="n"/>
    </row>
    <row r="17">
      <c r="A17" s="9" t="n"/>
      <c r="B17" s="7" t="n"/>
      <c r="C17" s="7" t="n"/>
      <c r="D17" s="8">
        <f>IFERROR(VLOOKUP(C17,Cadastro_Produtos!A:B,2,FALSE),"")</f>
        <v/>
      </c>
      <c r="E17" s="8" t="n"/>
      <c r="F17" s="10" t="n"/>
      <c r="G17" s="11" t="n"/>
      <c r="H17" s="8" t="n"/>
      <c r="I17" s="8" t="n"/>
      <c r="J17" s="8" t="n"/>
    </row>
    <row r="18">
      <c r="A18" s="9" t="n"/>
      <c r="B18" s="7" t="n"/>
      <c r="C18" s="7" t="n"/>
      <c r="D18" s="8">
        <f>IFERROR(VLOOKUP(C18,Cadastro_Produtos!A:B,2,FALSE),"")</f>
        <v/>
      </c>
      <c r="E18" s="8" t="n"/>
      <c r="F18" s="10" t="n"/>
      <c r="G18" s="11" t="n"/>
      <c r="H18" s="8" t="n"/>
      <c r="I18" s="8" t="n"/>
      <c r="J18" s="8" t="n"/>
    </row>
    <row r="19">
      <c r="A19" s="9" t="n"/>
      <c r="B19" s="7" t="n"/>
      <c r="C19" s="7" t="n"/>
      <c r="D19" s="8">
        <f>IFERROR(VLOOKUP(C19,Cadastro_Produtos!A:B,2,FALSE),"")</f>
        <v/>
      </c>
      <c r="E19" s="8" t="n"/>
      <c r="F19" s="10" t="n"/>
      <c r="G19" s="11" t="n"/>
      <c r="H19" s="8" t="n"/>
      <c r="I19" s="8" t="n"/>
      <c r="J19" s="8" t="n"/>
    </row>
    <row r="20">
      <c r="A20" s="9" t="n"/>
      <c r="B20" s="7" t="n"/>
      <c r="C20" s="7" t="n"/>
      <c r="D20" s="8">
        <f>IFERROR(VLOOKUP(C20,Cadastro_Produtos!A:B,2,FALSE),"")</f>
        <v/>
      </c>
      <c r="E20" s="8" t="n"/>
      <c r="F20" s="10" t="n"/>
      <c r="G20" s="11" t="n"/>
      <c r="H20" s="8" t="n"/>
      <c r="I20" s="8" t="n"/>
      <c r="J20" s="8" t="n"/>
    </row>
    <row r="21">
      <c r="A21" s="9" t="n"/>
      <c r="B21" s="7" t="n"/>
      <c r="C21" s="7" t="n"/>
      <c r="D21" s="8">
        <f>IFERROR(VLOOKUP(C21,Cadastro_Produtos!A:B,2,FALSE),"")</f>
        <v/>
      </c>
      <c r="E21" s="8" t="n"/>
      <c r="F21" s="10" t="n"/>
      <c r="G21" s="11" t="n"/>
      <c r="H21" s="8" t="n"/>
      <c r="I21" s="8" t="n"/>
      <c r="J21" s="8" t="n"/>
    </row>
    <row r="22">
      <c r="A22" s="9" t="n"/>
      <c r="B22" s="7" t="n"/>
      <c r="C22" s="7" t="n"/>
      <c r="D22" s="8">
        <f>IFERROR(VLOOKUP(C22,Cadastro_Produtos!A:B,2,FALSE),"")</f>
        <v/>
      </c>
      <c r="E22" s="8" t="n"/>
      <c r="F22" s="10" t="n"/>
      <c r="G22" s="11" t="n"/>
      <c r="H22" s="8" t="n"/>
      <c r="I22" s="8" t="n"/>
      <c r="J22" s="8" t="n"/>
    </row>
    <row r="23">
      <c r="A23" s="9" t="n"/>
      <c r="B23" s="7" t="n"/>
      <c r="C23" s="7" t="n"/>
      <c r="D23" s="8">
        <f>IFERROR(VLOOKUP(C23,Cadastro_Produtos!A:B,2,FALSE),"")</f>
        <v/>
      </c>
      <c r="E23" s="8" t="n"/>
      <c r="F23" s="10" t="n"/>
      <c r="G23" s="11" t="n"/>
      <c r="H23" s="8" t="n"/>
      <c r="I23" s="8" t="n"/>
      <c r="J23" s="8" t="n"/>
    </row>
    <row r="24">
      <c r="A24" s="9" t="n"/>
      <c r="B24" s="7" t="n"/>
      <c r="C24" s="7" t="n"/>
      <c r="D24" s="8">
        <f>IFERROR(VLOOKUP(C24,Cadastro_Produtos!A:B,2,FALSE),"")</f>
        <v/>
      </c>
      <c r="E24" s="8" t="n"/>
      <c r="F24" s="10" t="n"/>
      <c r="G24" s="11" t="n"/>
      <c r="H24" s="8" t="n"/>
      <c r="I24" s="8" t="n"/>
      <c r="J24" s="8" t="n"/>
    </row>
    <row r="25">
      <c r="A25" s="9" t="n"/>
      <c r="B25" s="7" t="n"/>
      <c r="C25" s="7" t="n"/>
      <c r="D25" s="8">
        <f>IFERROR(VLOOKUP(C25,Cadastro_Produtos!A:B,2,FALSE),"")</f>
        <v/>
      </c>
      <c r="E25" s="8" t="n"/>
      <c r="F25" s="10" t="n"/>
      <c r="G25" s="11" t="n"/>
      <c r="H25" s="8" t="n"/>
      <c r="I25" s="8" t="n"/>
      <c r="J25" s="8" t="n"/>
    </row>
    <row r="26">
      <c r="A26" s="9" t="n"/>
      <c r="B26" s="7" t="n"/>
      <c r="C26" s="7" t="n"/>
      <c r="D26" s="8">
        <f>IFERROR(VLOOKUP(C26,Cadastro_Produtos!A:B,2,FALSE),"")</f>
        <v/>
      </c>
      <c r="E26" s="8" t="n"/>
      <c r="F26" s="10" t="n"/>
      <c r="G26" s="11" t="n"/>
      <c r="H26" s="8" t="n"/>
      <c r="I26" s="8" t="n"/>
      <c r="J26" s="8" t="n"/>
    </row>
    <row r="27">
      <c r="A27" s="9" t="n"/>
      <c r="B27" s="7" t="n"/>
      <c r="C27" s="7" t="n"/>
      <c r="D27" s="8">
        <f>IFERROR(VLOOKUP(C27,Cadastro_Produtos!A:B,2,FALSE),"")</f>
        <v/>
      </c>
      <c r="E27" s="8" t="n"/>
      <c r="F27" s="10" t="n"/>
      <c r="G27" s="11" t="n"/>
      <c r="H27" s="8" t="n"/>
      <c r="I27" s="8" t="n"/>
      <c r="J27" s="8" t="n"/>
    </row>
    <row r="28">
      <c r="A28" s="9" t="n"/>
      <c r="B28" s="7" t="n"/>
      <c r="C28" s="7" t="n"/>
      <c r="D28" s="8">
        <f>IFERROR(VLOOKUP(C28,Cadastro_Produtos!A:B,2,FALSE),"")</f>
        <v/>
      </c>
      <c r="E28" s="8" t="n"/>
      <c r="F28" s="10" t="n"/>
      <c r="G28" s="11" t="n"/>
      <c r="H28" s="8" t="n"/>
      <c r="I28" s="8" t="n"/>
      <c r="J28" s="8" t="n"/>
    </row>
    <row r="29">
      <c r="A29" s="9" t="n"/>
      <c r="B29" s="7" t="n"/>
      <c r="C29" s="7" t="n"/>
      <c r="D29" s="8">
        <f>IFERROR(VLOOKUP(C29,Cadastro_Produtos!A:B,2,FALSE),"")</f>
        <v/>
      </c>
      <c r="E29" s="8" t="n"/>
      <c r="F29" s="10" t="n"/>
      <c r="G29" s="11" t="n"/>
      <c r="H29" s="8" t="n"/>
      <c r="I29" s="8" t="n"/>
      <c r="J29" s="8" t="n"/>
    </row>
    <row r="30">
      <c r="A30" s="9" t="n"/>
      <c r="B30" s="7" t="n"/>
      <c r="C30" s="7" t="n"/>
      <c r="D30" s="8">
        <f>IFERROR(VLOOKUP(C30,Cadastro_Produtos!A:B,2,FALSE),"")</f>
        <v/>
      </c>
      <c r="E30" s="8" t="n"/>
      <c r="F30" s="10" t="n"/>
      <c r="G30" s="11" t="n"/>
      <c r="H30" s="8" t="n"/>
      <c r="I30" s="8" t="n"/>
      <c r="J30" s="8" t="n"/>
    </row>
    <row r="31">
      <c r="A31" s="9" t="n"/>
      <c r="B31" s="7" t="n"/>
      <c r="C31" s="7" t="n"/>
      <c r="D31" s="8">
        <f>IFERROR(VLOOKUP(C31,Cadastro_Produtos!A:B,2,FALSE),"")</f>
        <v/>
      </c>
      <c r="E31" s="8" t="n"/>
      <c r="F31" s="10" t="n"/>
      <c r="G31" s="11" t="n"/>
      <c r="H31" s="8" t="n"/>
      <c r="I31" s="8" t="n"/>
      <c r="J31" s="8" t="n"/>
    </row>
    <row r="32">
      <c r="A32" s="9" t="n"/>
      <c r="B32" s="7" t="n"/>
      <c r="C32" s="7" t="n"/>
      <c r="D32" s="8">
        <f>IFERROR(VLOOKUP(C32,Cadastro_Produtos!A:B,2,FALSE),"")</f>
        <v/>
      </c>
      <c r="E32" s="8" t="n"/>
      <c r="F32" s="10" t="n"/>
      <c r="G32" s="11" t="n"/>
      <c r="H32" s="8" t="n"/>
      <c r="I32" s="8" t="n"/>
      <c r="J32" s="8" t="n"/>
    </row>
    <row r="33">
      <c r="A33" s="9" t="n"/>
      <c r="B33" s="7" t="n"/>
      <c r="C33" s="7" t="n"/>
      <c r="D33" s="8">
        <f>IFERROR(VLOOKUP(C33,Cadastro_Produtos!A:B,2,FALSE),"")</f>
        <v/>
      </c>
      <c r="E33" s="8" t="n"/>
      <c r="F33" s="10" t="n"/>
      <c r="G33" s="11" t="n"/>
      <c r="H33" s="8" t="n"/>
      <c r="I33" s="8" t="n"/>
      <c r="J33" s="8" t="n"/>
    </row>
    <row r="34">
      <c r="A34" s="9" t="n"/>
      <c r="B34" s="7" t="n"/>
      <c r="C34" s="7" t="n"/>
      <c r="D34" s="8">
        <f>IFERROR(VLOOKUP(C34,Cadastro_Produtos!A:B,2,FALSE),"")</f>
        <v/>
      </c>
      <c r="E34" s="8" t="n"/>
      <c r="F34" s="10" t="n"/>
      <c r="G34" s="11" t="n"/>
      <c r="H34" s="8" t="n"/>
      <c r="I34" s="8" t="n"/>
      <c r="J34" s="8" t="n"/>
    </row>
    <row r="35">
      <c r="A35" s="9" t="n"/>
      <c r="B35" s="7" t="n"/>
      <c r="C35" s="7" t="n"/>
      <c r="D35" s="8">
        <f>IFERROR(VLOOKUP(C35,Cadastro_Produtos!A:B,2,FALSE),"")</f>
        <v/>
      </c>
      <c r="E35" s="8" t="n"/>
      <c r="F35" s="10" t="n"/>
      <c r="G35" s="11" t="n"/>
      <c r="H35" s="8" t="n"/>
      <c r="I35" s="8" t="n"/>
      <c r="J35" s="8" t="n"/>
    </row>
    <row r="36">
      <c r="A36" s="9" t="n"/>
      <c r="B36" s="7" t="n"/>
      <c r="C36" s="7" t="n"/>
      <c r="D36" s="8">
        <f>IFERROR(VLOOKUP(C36,Cadastro_Produtos!A:B,2,FALSE),"")</f>
        <v/>
      </c>
      <c r="E36" s="8" t="n"/>
      <c r="F36" s="10" t="n"/>
      <c r="G36" s="11" t="n"/>
      <c r="H36" s="8" t="n"/>
      <c r="I36" s="8" t="n"/>
      <c r="J36" s="8" t="n"/>
    </row>
    <row r="37">
      <c r="A37" s="9" t="n"/>
      <c r="B37" s="7" t="n"/>
      <c r="C37" s="7" t="n"/>
      <c r="D37" s="8">
        <f>IFERROR(VLOOKUP(C37,Cadastro_Produtos!A:B,2,FALSE),"")</f>
        <v/>
      </c>
      <c r="E37" s="8" t="n"/>
      <c r="F37" s="10" t="n"/>
      <c r="G37" s="11" t="n"/>
      <c r="H37" s="8" t="n"/>
      <c r="I37" s="8" t="n"/>
      <c r="J37" s="8" t="n"/>
    </row>
    <row r="38">
      <c r="A38" s="9" t="n"/>
      <c r="B38" s="7" t="n"/>
      <c r="C38" s="7" t="n"/>
      <c r="D38" s="8">
        <f>IFERROR(VLOOKUP(C38,Cadastro_Produtos!A:B,2,FALSE),"")</f>
        <v/>
      </c>
      <c r="E38" s="8" t="n"/>
      <c r="F38" s="10" t="n"/>
      <c r="G38" s="11" t="n"/>
      <c r="H38" s="8" t="n"/>
      <c r="I38" s="8" t="n"/>
      <c r="J38" s="8" t="n"/>
    </row>
    <row r="39">
      <c r="A39" s="9" t="n"/>
      <c r="B39" s="7" t="n"/>
      <c r="C39" s="7" t="n"/>
      <c r="D39" s="8">
        <f>IFERROR(VLOOKUP(C39,Cadastro_Produtos!A:B,2,FALSE),"")</f>
        <v/>
      </c>
      <c r="E39" s="8" t="n"/>
      <c r="F39" s="10" t="n"/>
      <c r="G39" s="11" t="n"/>
      <c r="H39" s="8" t="n"/>
      <c r="I39" s="8" t="n"/>
      <c r="J39" s="8" t="n"/>
    </row>
    <row r="40">
      <c r="A40" s="9" t="n"/>
      <c r="B40" s="7" t="n"/>
      <c r="C40" s="7" t="n"/>
      <c r="D40" s="8">
        <f>IFERROR(VLOOKUP(C40,Cadastro_Produtos!A:B,2,FALSE),"")</f>
        <v/>
      </c>
      <c r="E40" s="8" t="n"/>
      <c r="F40" s="10" t="n"/>
      <c r="G40" s="11" t="n"/>
      <c r="H40" s="8" t="n"/>
      <c r="I40" s="8" t="n"/>
      <c r="J40" s="8" t="n"/>
    </row>
    <row r="41">
      <c r="A41" s="9" t="n"/>
      <c r="B41" s="7" t="n"/>
      <c r="C41" s="7" t="n"/>
      <c r="D41" s="8">
        <f>IFERROR(VLOOKUP(C41,Cadastro_Produtos!A:B,2,FALSE),"")</f>
        <v/>
      </c>
      <c r="E41" s="8" t="n"/>
      <c r="F41" s="10" t="n"/>
      <c r="G41" s="11" t="n"/>
      <c r="H41" s="8" t="n"/>
      <c r="I41" s="8" t="n"/>
      <c r="J41" s="8" t="n"/>
    </row>
    <row r="42">
      <c r="A42" s="9" t="n"/>
      <c r="B42" s="7" t="n"/>
      <c r="C42" s="7" t="n"/>
      <c r="D42" s="8">
        <f>IFERROR(VLOOKUP(C42,Cadastro_Produtos!A:B,2,FALSE),"")</f>
        <v/>
      </c>
      <c r="E42" s="8" t="n"/>
      <c r="F42" s="10" t="n"/>
      <c r="G42" s="11" t="n"/>
      <c r="H42" s="8" t="n"/>
      <c r="I42" s="8" t="n"/>
      <c r="J42" s="8" t="n"/>
    </row>
    <row r="43">
      <c r="A43" s="9" t="n"/>
      <c r="B43" s="7" t="n"/>
      <c r="C43" s="7" t="n"/>
      <c r="D43" s="8">
        <f>IFERROR(VLOOKUP(C43,Cadastro_Produtos!A:B,2,FALSE),"")</f>
        <v/>
      </c>
      <c r="E43" s="8" t="n"/>
      <c r="F43" s="10" t="n"/>
      <c r="G43" s="11" t="n"/>
      <c r="H43" s="8" t="n"/>
      <c r="I43" s="8" t="n"/>
      <c r="J43" s="8" t="n"/>
    </row>
    <row r="44">
      <c r="A44" s="9" t="n"/>
      <c r="B44" s="7" t="n"/>
      <c r="C44" s="7" t="n"/>
      <c r="D44" s="8">
        <f>IFERROR(VLOOKUP(C44,Cadastro_Produtos!A:B,2,FALSE),"")</f>
        <v/>
      </c>
      <c r="E44" s="8" t="n"/>
      <c r="F44" s="10" t="n"/>
      <c r="G44" s="11" t="n"/>
      <c r="H44" s="8" t="n"/>
      <c r="I44" s="8" t="n"/>
      <c r="J44" s="8" t="n"/>
    </row>
    <row r="45">
      <c r="A45" s="9" t="n"/>
      <c r="B45" s="7" t="n"/>
      <c r="C45" s="7" t="n"/>
      <c r="D45" s="8">
        <f>IFERROR(VLOOKUP(C45,Cadastro_Produtos!A:B,2,FALSE),"")</f>
        <v/>
      </c>
      <c r="E45" s="8" t="n"/>
      <c r="F45" s="10" t="n"/>
      <c r="G45" s="11" t="n"/>
      <c r="H45" s="8" t="n"/>
      <c r="I45" s="8" t="n"/>
      <c r="J45" s="8" t="n"/>
    </row>
    <row r="46">
      <c r="A46" s="9" t="n"/>
      <c r="B46" s="7" t="n"/>
      <c r="C46" s="7" t="n"/>
      <c r="D46" s="8">
        <f>IFERROR(VLOOKUP(C46,Cadastro_Produtos!A:B,2,FALSE),"")</f>
        <v/>
      </c>
      <c r="E46" s="8" t="n"/>
      <c r="F46" s="10" t="n"/>
      <c r="G46" s="11" t="n"/>
      <c r="H46" s="8" t="n"/>
      <c r="I46" s="8" t="n"/>
      <c r="J46" s="8" t="n"/>
    </row>
    <row r="47">
      <c r="A47" s="9" t="n"/>
      <c r="B47" s="7" t="n"/>
      <c r="C47" s="7" t="n"/>
      <c r="D47" s="8">
        <f>IFERROR(VLOOKUP(C47,Cadastro_Produtos!A:B,2,FALSE),"")</f>
        <v/>
      </c>
      <c r="E47" s="8" t="n"/>
      <c r="F47" s="10" t="n"/>
      <c r="G47" s="11" t="n"/>
      <c r="H47" s="8" t="n"/>
      <c r="I47" s="8" t="n"/>
      <c r="J47" s="8" t="n"/>
    </row>
    <row r="48">
      <c r="A48" s="9" t="n"/>
      <c r="B48" s="7" t="n"/>
      <c r="C48" s="7" t="n"/>
      <c r="D48" s="8">
        <f>IFERROR(VLOOKUP(C48,Cadastro_Produtos!A:B,2,FALSE),"")</f>
        <v/>
      </c>
      <c r="E48" s="8" t="n"/>
      <c r="F48" s="10" t="n"/>
      <c r="G48" s="11" t="n"/>
      <c r="H48" s="8" t="n"/>
      <c r="I48" s="8" t="n"/>
      <c r="J48" s="8" t="n"/>
    </row>
    <row r="49">
      <c r="A49" s="9" t="n"/>
      <c r="B49" s="7" t="n"/>
      <c r="C49" s="7" t="n"/>
      <c r="D49" s="8">
        <f>IFERROR(VLOOKUP(C49,Cadastro_Produtos!A:B,2,FALSE),"")</f>
        <v/>
      </c>
      <c r="E49" s="8" t="n"/>
      <c r="F49" s="10" t="n"/>
      <c r="G49" s="11" t="n"/>
      <c r="H49" s="8" t="n"/>
      <c r="I49" s="8" t="n"/>
      <c r="J49" s="8" t="n"/>
    </row>
    <row r="50">
      <c r="A50" s="9" t="n"/>
      <c r="B50" s="7" t="n"/>
      <c r="C50" s="7" t="n"/>
      <c r="D50" s="8">
        <f>IFERROR(VLOOKUP(C50,Cadastro_Produtos!A:B,2,FALSE),"")</f>
        <v/>
      </c>
      <c r="E50" s="8" t="n"/>
      <c r="F50" s="10" t="n"/>
      <c r="G50" s="11" t="n"/>
      <c r="H50" s="8" t="n"/>
      <c r="I50" s="8" t="n"/>
      <c r="J50" s="8" t="n"/>
    </row>
    <row r="51">
      <c r="A51" s="9" t="n"/>
      <c r="B51" s="7" t="n"/>
      <c r="C51" s="7" t="n"/>
      <c r="D51" s="8">
        <f>IFERROR(VLOOKUP(C51,Cadastro_Produtos!A:B,2,FALSE),"")</f>
        <v/>
      </c>
      <c r="E51" s="8" t="n"/>
      <c r="F51" s="10" t="n"/>
      <c r="G51" s="11" t="n"/>
      <c r="H51" s="8" t="n"/>
      <c r="I51" s="8" t="n"/>
      <c r="J51" s="8" t="n"/>
    </row>
    <row r="52">
      <c r="A52" s="9" t="n"/>
      <c r="B52" s="7" t="n"/>
      <c r="C52" s="7" t="n"/>
      <c r="D52" s="8">
        <f>IFERROR(VLOOKUP(C52,Cadastro_Produtos!A:B,2,FALSE),"")</f>
        <v/>
      </c>
      <c r="E52" s="8" t="n"/>
      <c r="F52" s="10" t="n"/>
      <c r="G52" s="11" t="n"/>
      <c r="H52" s="8" t="n"/>
      <c r="I52" s="8" t="n"/>
      <c r="J52" s="8" t="n"/>
    </row>
    <row r="53">
      <c r="A53" s="9" t="n"/>
      <c r="B53" s="7" t="n"/>
      <c r="C53" s="7" t="n"/>
      <c r="D53" s="8">
        <f>IFERROR(VLOOKUP(C53,Cadastro_Produtos!A:B,2,FALSE),"")</f>
        <v/>
      </c>
      <c r="E53" s="8" t="n"/>
      <c r="F53" s="10" t="n"/>
      <c r="G53" s="11" t="n"/>
      <c r="H53" s="8" t="n"/>
      <c r="I53" s="8" t="n"/>
      <c r="J53" s="8" t="n"/>
    </row>
    <row r="54">
      <c r="A54" s="9" t="n"/>
      <c r="B54" s="7" t="n"/>
      <c r="C54" s="7" t="n"/>
      <c r="D54" s="8">
        <f>IFERROR(VLOOKUP(C54,Cadastro_Produtos!A:B,2,FALSE),"")</f>
        <v/>
      </c>
      <c r="E54" s="8" t="n"/>
      <c r="F54" s="10" t="n"/>
      <c r="G54" s="11" t="n"/>
      <c r="H54" s="8" t="n"/>
      <c r="I54" s="8" t="n"/>
      <c r="J54" s="8" t="n"/>
    </row>
    <row r="55">
      <c r="A55" s="9" t="n"/>
      <c r="B55" s="7" t="n"/>
      <c r="C55" s="7" t="n"/>
      <c r="D55" s="8">
        <f>IFERROR(VLOOKUP(C55,Cadastro_Produtos!A:B,2,FALSE),"")</f>
        <v/>
      </c>
      <c r="E55" s="8" t="n"/>
      <c r="F55" s="10" t="n"/>
      <c r="G55" s="11" t="n"/>
      <c r="H55" s="8" t="n"/>
      <c r="I55" s="8" t="n"/>
      <c r="J55" s="8" t="n"/>
    </row>
    <row r="56">
      <c r="A56" s="9" t="n"/>
      <c r="B56" s="7" t="n"/>
      <c r="C56" s="7" t="n"/>
      <c r="D56" s="8">
        <f>IFERROR(VLOOKUP(C56,Cadastro_Produtos!A:B,2,FALSE),"")</f>
        <v/>
      </c>
      <c r="E56" s="8" t="n"/>
      <c r="F56" s="10" t="n"/>
      <c r="G56" s="11" t="n"/>
      <c r="H56" s="8" t="n"/>
      <c r="I56" s="8" t="n"/>
      <c r="J56" s="8" t="n"/>
    </row>
    <row r="57">
      <c r="A57" s="9" t="n"/>
      <c r="B57" s="7" t="n"/>
      <c r="C57" s="7" t="n"/>
      <c r="D57" s="8">
        <f>IFERROR(VLOOKUP(C57,Cadastro_Produtos!A:B,2,FALSE),"")</f>
        <v/>
      </c>
      <c r="E57" s="8" t="n"/>
      <c r="F57" s="10" t="n"/>
      <c r="G57" s="11" t="n"/>
      <c r="H57" s="8" t="n"/>
      <c r="I57" s="8" t="n"/>
      <c r="J57" s="8" t="n"/>
    </row>
    <row r="58">
      <c r="A58" s="9" t="n"/>
      <c r="B58" s="7" t="n"/>
      <c r="C58" s="7" t="n"/>
      <c r="D58" s="8">
        <f>IFERROR(VLOOKUP(C58,Cadastro_Produtos!A:B,2,FALSE),"")</f>
        <v/>
      </c>
      <c r="E58" s="8" t="n"/>
      <c r="F58" s="10" t="n"/>
      <c r="G58" s="11" t="n"/>
      <c r="H58" s="8" t="n"/>
      <c r="I58" s="8" t="n"/>
      <c r="J58" s="8" t="n"/>
    </row>
    <row r="59">
      <c r="A59" s="9" t="n"/>
      <c r="B59" s="7" t="n"/>
      <c r="C59" s="7" t="n"/>
      <c r="D59" s="8">
        <f>IFERROR(VLOOKUP(C59,Cadastro_Produtos!A:B,2,FALSE),"")</f>
        <v/>
      </c>
      <c r="E59" s="8" t="n"/>
      <c r="F59" s="10" t="n"/>
      <c r="G59" s="11" t="n"/>
      <c r="H59" s="8" t="n"/>
      <c r="I59" s="8" t="n"/>
      <c r="J59" s="8" t="n"/>
    </row>
    <row r="60">
      <c r="A60" s="9" t="n"/>
      <c r="B60" s="7" t="n"/>
      <c r="C60" s="7" t="n"/>
      <c r="D60" s="8">
        <f>IFERROR(VLOOKUP(C60,Cadastro_Produtos!A:B,2,FALSE),"")</f>
        <v/>
      </c>
      <c r="E60" s="8" t="n"/>
      <c r="F60" s="10" t="n"/>
      <c r="G60" s="11" t="n"/>
      <c r="H60" s="8" t="n"/>
      <c r="I60" s="8" t="n"/>
      <c r="J60" s="8" t="n"/>
    </row>
    <row r="61">
      <c r="A61" s="9" t="n"/>
      <c r="B61" s="7" t="n"/>
      <c r="C61" s="7" t="n"/>
      <c r="D61" s="8">
        <f>IFERROR(VLOOKUP(C61,Cadastro_Produtos!A:B,2,FALSE),"")</f>
        <v/>
      </c>
      <c r="E61" s="8" t="n"/>
      <c r="F61" s="10" t="n"/>
      <c r="G61" s="11" t="n"/>
      <c r="H61" s="8" t="n"/>
      <c r="I61" s="8" t="n"/>
      <c r="J61" s="8" t="n"/>
    </row>
    <row r="62">
      <c r="A62" s="9" t="n"/>
      <c r="B62" s="7" t="n"/>
      <c r="C62" s="7" t="n"/>
      <c r="D62" s="8">
        <f>IFERROR(VLOOKUP(C62,Cadastro_Produtos!A:B,2,FALSE),"")</f>
        <v/>
      </c>
      <c r="E62" s="8" t="n"/>
      <c r="F62" s="10" t="n"/>
      <c r="G62" s="11" t="n"/>
      <c r="H62" s="8" t="n"/>
      <c r="I62" s="8" t="n"/>
      <c r="J62" s="8" t="n"/>
    </row>
    <row r="63">
      <c r="A63" s="9" t="n"/>
      <c r="B63" s="7" t="n"/>
      <c r="C63" s="7" t="n"/>
      <c r="D63" s="8">
        <f>IFERROR(VLOOKUP(C63,Cadastro_Produtos!A:B,2,FALSE),"")</f>
        <v/>
      </c>
      <c r="E63" s="8" t="n"/>
      <c r="F63" s="10" t="n"/>
      <c r="G63" s="11" t="n"/>
      <c r="H63" s="8" t="n"/>
      <c r="I63" s="8" t="n"/>
      <c r="J63" s="8" t="n"/>
    </row>
    <row r="64">
      <c r="A64" s="9" t="n"/>
      <c r="B64" s="7" t="n"/>
      <c r="C64" s="7" t="n"/>
      <c r="D64" s="8">
        <f>IFERROR(VLOOKUP(C64,Cadastro_Produtos!A:B,2,FALSE),"")</f>
        <v/>
      </c>
      <c r="E64" s="8" t="n"/>
      <c r="F64" s="10" t="n"/>
      <c r="G64" s="11" t="n"/>
      <c r="H64" s="8" t="n"/>
      <c r="I64" s="8" t="n"/>
      <c r="J64" s="8" t="n"/>
    </row>
    <row r="65">
      <c r="A65" s="9" t="n"/>
      <c r="B65" s="7" t="n"/>
      <c r="C65" s="7" t="n"/>
      <c r="D65" s="8">
        <f>IFERROR(VLOOKUP(C65,Cadastro_Produtos!A:B,2,FALSE),"")</f>
        <v/>
      </c>
      <c r="E65" s="8" t="n"/>
      <c r="F65" s="10" t="n"/>
      <c r="G65" s="11" t="n"/>
      <c r="H65" s="8" t="n"/>
      <c r="I65" s="8" t="n"/>
      <c r="J65" s="8" t="n"/>
    </row>
    <row r="66">
      <c r="A66" s="9" t="n"/>
      <c r="B66" s="7" t="n"/>
      <c r="C66" s="7" t="n"/>
      <c r="D66" s="8">
        <f>IFERROR(VLOOKUP(C66,Cadastro_Produtos!A:B,2,FALSE),"")</f>
        <v/>
      </c>
      <c r="E66" s="8" t="n"/>
      <c r="F66" s="10" t="n"/>
      <c r="G66" s="11" t="n"/>
      <c r="H66" s="8" t="n"/>
      <c r="I66" s="8" t="n"/>
      <c r="J66" s="8" t="n"/>
    </row>
    <row r="67">
      <c r="A67" s="9" t="n"/>
      <c r="B67" s="7" t="n"/>
      <c r="C67" s="7" t="n"/>
      <c r="D67" s="8">
        <f>IFERROR(VLOOKUP(C67,Cadastro_Produtos!A:B,2,FALSE),"")</f>
        <v/>
      </c>
      <c r="E67" s="8" t="n"/>
      <c r="F67" s="10" t="n"/>
      <c r="G67" s="11" t="n"/>
      <c r="H67" s="8" t="n"/>
      <c r="I67" s="8" t="n"/>
      <c r="J67" s="8" t="n"/>
    </row>
    <row r="68">
      <c r="A68" s="9" t="n"/>
      <c r="B68" s="7" t="n"/>
      <c r="C68" s="7" t="n"/>
      <c r="D68" s="8">
        <f>IFERROR(VLOOKUP(C68,Cadastro_Produtos!A:B,2,FALSE),"")</f>
        <v/>
      </c>
      <c r="E68" s="8" t="n"/>
      <c r="F68" s="10" t="n"/>
      <c r="G68" s="11" t="n"/>
      <c r="H68" s="8" t="n"/>
      <c r="I68" s="8" t="n"/>
      <c r="J68" s="8" t="n"/>
    </row>
    <row r="69">
      <c r="A69" s="9" t="n"/>
      <c r="B69" s="7" t="n"/>
      <c r="C69" s="7" t="n"/>
      <c r="D69" s="8">
        <f>IFERROR(VLOOKUP(C69,Cadastro_Produtos!A:B,2,FALSE),"")</f>
        <v/>
      </c>
      <c r="E69" s="8" t="n"/>
      <c r="F69" s="10" t="n"/>
      <c r="G69" s="11" t="n"/>
      <c r="H69" s="8" t="n"/>
      <c r="I69" s="8" t="n"/>
      <c r="J69" s="8" t="n"/>
    </row>
    <row r="70">
      <c r="A70" s="9" t="n"/>
      <c r="B70" s="7" t="n"/>
      <c r="C70" s="7" t="n"/>
      <c r="D70" s="8">
        <f>IFERROR(VLOOKUP(C70,Cadastro_Produtos!A:B,2,FALSE),"")</f>
        <v/>
      </c>
      <c r="E70" s="8" t="n"/>
      <c r="F70" s="10" t="n"/>
      <c r="G70" s="11" t="n"/>
      <c r="H70" s="8" t="n"/>
      <c r="I70" s="8" t="n"/>
      <c r="J70" s="8" t="n"/>
    </row>
    <row r="71">
      <c r="A71" s="9" t="n"/>
      <c r="B71" s="7" t="n"/>
      <c r="C71" s="7" t="n"/>
      <c r="D71" s="8">
        <f>IFERROR(VLOOKUP(C71,Cadastro_Produtos!A:B,2,FALSE),"")</f>
        <v/>
      </c>
      <c r="E71" s="8" t="n"/>
      <c r="F71" s="10" t="n"/>
      <c r="G71" s="11" t="n"/>
      <c r="H71" s="8" t="n"/>
      <c r="I71" s="8" t="n"/>
      <c r="J71" s="8" t="n"/>
    </row>
    <row r="72">
      <c r="A72" s="9" t="n"/>
      <c r="B72" s="7" t="n"/>
      <c r="C72" s="7" t="n"/>
      <c r="D72" s="8">
        <f>IFERROR(VLOOKUP(C72,Cadastro_Produtos!A:B,2,FALSE),"")</f>
        <v/>
      </c>
      <c r="E72" s="8" t="n"/>
      <c r="F72" s="10" t="n"/>
      <c r="G72" s="11" t="n"/>
      <c r="H72" s="8" t="n"/>
      <c r="I72" s="8" t="n"/>
      <c r="J72" s="8" t="n"/>
    </row>
    <row r="73">
      <c r="A73" s="9" t="n"/>
      <c r="B73" s="7" t="n"/>
      <c r="C73" s="7" t="n"/>
      <c r="D73" s="8">
        <f>IFERROR(VLOOKUP(C73,Cadastro_Produtos!A:B,2,FALSE),"")</f>
        <v/>
      </c>
      <c r="E73" s="8" t="n"/>
      <c r="F73" s="10" t="n"/>
      <c r="G73" s="11" t="n"/>
      <c r="H73" s="8" t="n"/>
      <c r="I73" s="8" t="n"/>
      <c r="J73" s="8" t="n"/>
    </row>
    <row r="74">
      <c r="A74" s="9" t="n"/>
      <c r="B74" s="7" t="n"/>
      <c r="C74" s="7" t="n"/>
      <c r="D74" s="8">
        <f>IFERROR(VLOOKUP(C74,Cadastro_Produtos!A:B,2,FALSE),"")</f>
        <v/>
      </c>
      <c r="E74" s="8" t="n"/>
      <c r="F74" s="10" t="n"/>
      <c r="G74" s="11" t="n"/>
      <c r="H74" s="8" t="n"/>
      <c r="I74" s="8" t="n"/>
      <c r="J74" s="8" t="n"/>
    </row>
    <row r="75">
      <c r="A75" s="9" t="n"/>
      <c r="B75" s="7" t="n"/>
      <c r="C75" s="7" t="n"/>
      <c r="D75" s="8">
        <f>IFERROR(VLOOKUP(C75,Cadastro_Produtos!A:B,2,FALSE),"")</f>
        <v/>
      </c>
      <c r="E75" s="8" t="n"/>
      <c r="F75" s="10" t="n"/>
      <c r="G75" s="11" t="n"/>
      <c r="H75" s="8" t="n"/>
      <c r="I75" s="8" t="n"/>
      <c r="J75" s="8" t="n"/>
    </row>
    <row r="76">
      <c r="A76" s="9" t="n"/>
      <c r="B76" s="7" t="n"/>
      <c r="C76" s="7" t="n"/>
      <c r="D76" s="8">
        <f>IFERROR(VLOOKUP(C76,Cadastro_Produtos!A:B,2,FALSE),"")</f>
        <v/>
      </c>
      <c r="E76" s="8" t="n"/>
      <c r="F76" s="10" t="n"/>
      <c r="G76" s="11" t="n"/>
      <c r="H76" s="8" t="n"/>
      <c r="I76" s="8" t="n"/>
      <c r="J76" s="8" t="n"/>
    </row>
    <row r="77">
      <c r="A77" s="9" t="n"/>
      <c r="B77" s="7" t="n"/>
      <c r="C77" s="7" t="n"/>
      <c r="D77" s="8">
        <f>IFERROR(VLOOKUP(C77,Cadastro_Produtos!A:B,2,FALSE),"")</f>
        <v/>
      </c>
      <c r="E77" s="8" t="n"/>
      <c r="F77" s="10" t="n"/>
      <c r="G77" s="11" t="n"/>
      <c r="H77" s="8" t="n"/>
      <c r="I77" s="8" t="n"/>
      <c r="J77" s="8" t="n"/>
    </row>
    <row r="78">
      <c r="A78" s="9" t="n"/>
      <c r="B78" s="7" t="n"/>
      <c r="C78" s="7" t="n"/>
      <c r="D78" s="8">
        <f>IFERROR(VLOOKUP(C78,Cadastro_Produtos!A:B,2,FALSE),"")</f>
        <v/>
      </c>
      <c r="E78" s="8" t="n"/>
      <c r="F78" s="10" t="n"/>
      <c r="G78" s="11" t="n"/>
      <c r="H78" s="8" t="n"/>
      <c r="I78" s="8" t="n"/>
      <c r="J78" s="8" t="n"/>
    </row>
    <row r="79">
      <c r="A79" s="9" t="n"/>
      <c r="B79" s="7" t="n"/>
      <c r="C79" s="7" t="n"/>
      <c r="D79" s="8">
        <f>IFERROR(VLOOKUP(C79,Cadastro_Produtos!A:B,2,FALSE),"")</f>
        <v/>
      </c>
      <c r="E79" s="8" t="n"/>
      <c r="F79" s="10" t="n"/>
      <c r="G79" s="11" t="n"/>
      <c r="H79" s="8" t="n"/>
      <c r="I79" s="8" t="n"/>
      <c r="J79" s="8" t="n"/>
    </row>
    <row r="80">
      <c r="A80" s="9" t="n"/>
      <c r="B80" s="7" t="n"/>
      <c r="C80" s="7" t="n"/>
      <c r="D80" s="8">
        <f>IFERROR(VLOOKUP(C80,Cadastro_Produtos!A:B,2,FALSE),"")</f>
        <v/>
      </c>
      <c r="E80" s="8" t="n"/>
      <c r="F80" s="10" t="n"/>
      <c r="G80" s="11" t="n"/>
      <c r="H80" s="8" t="n"/>
      <c r="I80" s="8" t="n"/>
      <c r="J80" s="8" t="n"/>
    </row>
    <row r="81">
      <c r="A81" s="9" t="n"/>
      <c r="B81" s="7" t="n"/>
      <c r="C81" s="7" t="n"/>
      <c r="D81" s="8">
        <f>IFERROR(VLOOKUP(C81,Cadastro_Produtos!A:B,2,FALSE),"")</f>
        <v/>
      </c>
      <c r="E81" s="8" t="n"/>
      <c r="F81" s="10" t="n"/>
      <c r="G81" s="11" t="n"/>
      <c r="H81" s="8" t="n"/>
      <c r="I81" s="8" t="n"/>
      <c r="J81" s="8" t="n"/>
    </row>
    <row r="82">
      <c r="A82" s="9" t="n"/>
      <c r="B82" s="7" t="n"/>
      <c r="C82" s="7" t="n"/>
      <c r="D82" s="8">
        <f>IFERROR(VLOOKUP(C82,Cadastro_Produtos!A:B,2,FALSE),"")</f>
        <v/>
      </c>
      <c r="E82" s="8" t="n"/>
      <c r="F82" s="10" t="n"/>
      <c r="G82" s="11" t="n"/>
      <c r="H82" s="8" t="n"/>
      <c r="I82" s="8" t="n"/>
      <c r="J82" s="8" t="n"/>
    </row>
    <row r="83">
      <c r="A83" s="9" t="n"/>
      <c r="B83" s="7" t="n"/>
      <c r="C83" s="7" t="n"/>
      <c r="D83" s="8">
        <f>IFERROR(VLOOKUP(C83,Cadastro_Produtos!A:B,2,FALSE),"")</f>
        <v/>
      </c>
      <c r="E83" s="8" t="n"/>
      <c r="F83" s="10" t="n"/>
      <c r="G83" s="11" t="n"/>
      <c r="H83" s="8" t="n"/>
      <c r="I83" s="8" t="n"/>
      <c r="J83" s="8" t="n"/>
    </row>
    <row r="84">
      <c r="A84" s="9" t="n"/>
      <c r="B84" s="7" t="n"/>
      <c r="C84" s="7" t="n"/>
      <c r="D84" s="8">
        <f>IFERROR(VLOOKUP(C84,Cadastro_Produtos!A:B,2,FALSE),"")</f>
        <v/>
      </c>
      <c r="E84" s="8" t="n"/>
      <c r="F84" s="10" t="n"/>
      <c r="G84" s="11" t="n"/>
      <c r="H84" s="8" t="n"/>
      <c r="I84" s="8" t="n"/>
      <c r="J84" s="8" t="n"/>
    </row>
    <row r="85">
      <c r="A85" s="9" t="n"/>
      <c r="B85" s="7" t="n"/>
      <c r="C85" s="7" t="n"/>
      <c r="D85" s="8">
        <f>IFERROR(VLOOKUP(C85,Cadastro_Produtos!A:B,2,FALSE),"")</f>
        <v/>
      </c>
      <c r="E85" s="8" t="n"/>
      <c r="F85" s="10" t="n"/>
      <c r="G85" s="11" t="n"/>
      <c r="H85" s="8" t="n"/>
      <c r="I85" s="8" t="n"/>
      <c r="J85" s="8" t="n"/>
    </row>
    <row r="86">
      <c r="A86" s="9" t="n"/>
      <c r="B86" s="7" t="n"/>
      <c r="C86" s="7" t="n"/>
      <c r="D86" s="8">
        <f>IFERROR(VLOOKUP(C86,Cadastro_Produtos!A:B,2,FALSE),"")</f>
        <v/>
      </c>
      <c r="E86" s="8" t="n"/>
      <c r="F86" s="10" t="n"/>
      <c r="G86" s="11" t="n"/>
      <c r="H86" s="8" t="n"/>
      <c r="I86" s="8" t="n"/>
      <c r="J86" s="8" t="n"/>
    </row>
    <row r="87">
      <c r="A87" s="9" t="n"/>
      <c r="B87" s="7" t="n"/>
      <c r="C87" s="7" t="n"/>
      <c r="D87" s="8">
        <f>IFERROR(VLOOKUP(C87,Cadastro_Produtos!A:B,2,FALSE),"")</f>
        <v/>
      </c>
      <c r="E87" s="8" t="n"/>
      <c r="F87" s="10" t="n"/>
      <c r="G87" s="11" t="n"/>
      <c r="H87" s="8" t="n"/>
      <c r="I87" s="8" t="n"/>
      <c r="J87" s="8" t="n"/>
    </row>
    <row r="88">
      <c r="A88" s="9" t="n"/>
      <c r="B88" s="7" t="n"/>
      <c r="C88" s="7" t="n"/>
      <c r="D88" s="8">
        <f>IFERROR(VLOOKUP(C88,Cadastro_Produtos!A:B,2,FALSE),"")</f>
        <v/>
      </c>
      <c r="E88" s="8" t="n"/>
      <c r="F88" s="10" t="n"/>
      <c r="G88" s="11" t="n"/>
      <c r="H88" s="8" t="n"/>
      <c r="I88" s="8" t="n"/>
      <c r="J88" s="8" t="n"/>
    </row>
    <row r="89">
      <c r="A89" s="9" t="n"/>
      <c r="B89" s="7" t="n"/>
      <c r="C89" s="7" t="n"/>
      <c r="D89" s="8">
        <f>IFERROR(VLOOKUP(C89,Cadastro_Produtos!A:B,2,FALSE),"")</f>
        <v/>
      </c>
      <c r="E89" s="8" t="n"/>
      <c r="F89" s="10" t="n"/>
      <c r="G89" s="11" t="n"/>
      <c r="H89" s="8" t="n"/>
      <c r="I89" s="8" t="n"/>
      <c r="J89" s="8" t="n"/>
    </row>
    <row r="90">
      <c r="A90" s="9" t="n"/>
      <c r="B90" s="7" t="n"/>
      <c r="C90" s="7" t="n"/>
      <c r="D90" s="8">
        <f>IFERROR(VLOOKUP(C90,Cadastro_Produtos!A:B,2,FALSE),"")</f>
        <v/>
      </c>
      <c r="E90" s="8" t="n"/>
      <c r="F90" s="10" t="n"/>
      <c r="G90" s="11" t="n"/>
      <c r="H90" s="8" t="n"/>
      <c r="I90" s="8" t="n"/>
      <c r="J90" s="8" t="n"/>
    </row>
    <row r="91">
      <c r="A91" s="9" t="n"/>
      <c r="B91" s="7" t="n"/>
      <c r="C91" s="7" t="n"/>
      <c r="D91" s="8">
        <f>IFERROR(VLOOKUP(C91,Cadastro_Produtos!A:B,2,FALSE),"")</f>
        <v/>
      </c>
      <c r="E91" s="8" t="n"/>
      <c r="F91" s="10" t="n"/>
      <c r="G91" s="11" t="n"/>
      <c r="H91" s="8" t="n"/>
      <c r="I91" s="8" t="n"/>
      <c r="J91" s="8" t="n"/>
    </row>
    <row r="92">
      <c r="A92" s="9" t="n"/>
      <c r="B92" s="7" t="n"/>
      <c r="C92" s="7" t="n"/>
      <c r="D92" s="8">
        <f>IFERROR(VLOOKUP(C92,Cadastro_Produtos!A:B,2,FALSE),"")</f>
        <v/>
      </c>
      <c r="E92" s="8" t="n"/>
      <c r="F92" s="10" t="n"/>
      <c r="G92" s="11" t="n"/>
      <c r="H92" s="8" t="n"/>
      <c r="I92" s="8" t="n"/>
      <c r="J92" s="8" t="n"/>
    </row>
    <row r="93">
      <c r="A93" s="9" t="n"/>
      <c r="B93" s="7" t="n"/>
      <c r="C93" s="7" t="n"/>
      <c r="D93" s="8">
        <f>IFERROR(VLOOKUP(C93,Cadastro_Produtos!A:B,2,FALSE),"")</f>
        <v/>
      </c>
      <c r="E93" s="8" t="n"/>
      <c r="F93" s="10" t="n"/>
      <c r="G93" s="11" t="n"/>
      <c r="H93" s="8" t="n"/>
      <c r="I93" s="8" t="n"/>
      <c r="J93" s="8" t="n"/>
    </row>
    <row r="94">
      <c r="A94" s="9" t="n"/>
      <c r="B94" s="7" t="n"/>
      <c r="C94" s="7" t="n"/>
      <c r="D94" s="8">
        <f>IFERROR(VLOOKUP(C94,Cadastro_Produtos!A:B,2,FALSE),"")</f>
        <v/>
      </c>
      <c r="E94" s="8" t="n"/>
      <c r="F94" s="10" t="n"/>
      <c r="G94" s="11" t="n"/>
      <c r="H94" s="8" t="n"/>
      <c r="I94" s="8" t="n"/>
      <c r="J94" s="8" t="n"/>
    </row>
    <row r="95">
      <c r="A95" s="9" t="n"/>
      <c r="B95" s="7" t="n"/>
      <c r="C95" s="7" t="n"/>
      <c r="D95" s="8">
        <f>IFERROR(VLOOKUP(C95,Cadastro_Produtos!A:B,2,FALSE),"")</f>
        <v/>
      </c>
      <c r="E95" s="8" t="n"/>
      <c r="F95" s="10" t="n"/>
      <c r="G95" s="11" t="n"/>
      <c r="H95" s="8" t="n"/>
      <c r="I95" s="8" t="n"/>
      <c r="J95" s="8" t="n"/>
    </row>
    <row r="96">
      <c r="A96" s="9" t="n"/>
      <c r="B96" s="7" t="n"/>
      <c r="C96" s="7" t="n"/>
      <c r="D96" s="8">
        <f>IFERROR(VLOOKUP(C96,Cadastro_Produtos!A:B,2,FALSE),"")</f>
        <v/>
      </c>
      <c r="E96" s="8" t="n"/>
      <c r="F96" s="10" t="n"/>
      <c r="G96" s="11" t="n"/>
      <c r="H96" s="8" t="n"/>
      <c r="I96" s="8" t="n"/>
      <c r="J96" s="8" t="n"/>
    </row>
    <row r="97">
      <c r="A97" s="9" t="n"/>
      <c r="B97" s="7" t="n"/>
      <c r="C97" s="7" t="n"/>
      <c r="D97" s="8">
        <f>IFERROR(VLOOKUP(C97,Cadastro_Produtos!A:B,2,FALSE),"")</f>
        <v/>
      </c>
      <c r="E97" s="8" t="n"/>
      <c r="F97" s="10" t="n"/>
      <c r="G97" s="11" t="n"/>
      <c r="H97" s="8" t="n"/>
      <c r="I97" s="8" t="n"/>
      <c r="J97" s="8" t="n"/>
    </row>
    <row r="98">
      <c r="A98" s="9" t="n"/>
      <c r="B98" s="7" t="n"/>
      <c r="C98" s="7" t="n"/>
      <c r="D98" s="8">
        <f>IFERROR(VLOOKUP(C98,Cadastro_Produtos!A:B,2,FALSE),"")</f>
        <v/>
      </c>
      <c r="E98" s="8" t="n"/>
      <c r="F98" s="10" t="n"/>
      <c r="G98" s="11" t="n"/>
      <c r="H98" s="8" t="n"/>
      <c r="I98" s="8" t="n"/>
      <c r="J98" s="8" t="n"/>
    </row>
    <row r="99">
      <c r="A99" s="9" t="n"/>
      <c r="B99" s="7" t="n"/>
      <c r="C99" s="7" t="n"/>
      <c r="D99" s="8">
        <f>IFERROR(VLOOKUP(C99,Cadastro_Produtos!A:B,2,FALSE),"")</f>
        <v/>
      </c>
      <c r="E99" s="8" t="n"/>
      <c r="F99" s="10" t="n"/>
      <c r="G99" s="11" t="n"/>
      <c r="H99" s="8" t="n"/>
      <c r="I99" s="8" t="n"/>
      <c r="J99" s="8" t="n"/>
    </row>
    <row r="100">
      <c r="A100" s="9" t="n"/>
      <c r="B100" s="7" t="n"/>
      <c r="C100" s="7" t="n"/>
      <c r="D100" s="8">
        <f>IFERROR(VLOOKUP(C100,Cadastro_Produtos!A:B,2,FALSE),"")</f>
        <v/>
      </c>
      <c r="E100" s="8" t="n"/>
      <c r="F100" s="10" t="n"/>
      <c r="G100" s="11" t="n"/>
      <c r="H100" s="8" t="n"/>
      <c r="I100" s="8" t="n"/>
      <c r="J100" s="8" t="n"/>
    </row>
    <row r="101">
      <c r="A101" s="9" t="n"/>
      <c r="B101" s="7" t="n"/>
      <c r="C101" s="7" t="n"/>
      <c r="D101" s="8">
        <f>IFERROR(VLOOKUP(C101,Cadastro_Produtos!A:B,2,FALSE),"")</f>
        <v/>
      </c>
      <c r="E101" s="8" t="n"/>
      <c r="F101" s="10" t="n"/>
      <c r="G101" s="11" t="n"/>
      <c r="H101" s="8" t="n"/>
      <c r="I101" s="8" t="n"/>
      <c r="J101" s="8" t="n"/>
    </row>
    <row r="102">
      <c r="A102" s="9" t="n"/>
      <c r="B102" s="7" t="n"/>
      <c r="C102" s="7" t="n"/>
      <c r="D102" s="8">
        <f>IFERROR(VLOOKUP(C102,Cadastro_Produtos!A:B,2,FALSE),"")</f>
        <v/>
      </c>
      <c r="E102" s="8" t="n"/>
      <c r="F102" s="10" t="n"/>
      <c r="G102" s="11" t="n"/>
      <c r="H102" s="8" t="n"/>
      <c r="I102" s="8" t="n"/>
      <c r="J102" s="8" t="n"/>
    </row>
    <row r="103">
      <c r="A103" s="9" t="n"/>
      <c r="B103" s="7" t="n"/>
      <c r="C103" s="7" t="n"/>
      <c r="D103" s="8">
        <f>IFERROR(VLOOKUP(C103,Cadastro_Produtos!A:B,2,FALSE),"")</f>
        <v/>
      </c>
      <c r="E103" s="8" t="n"/>
      <c r="F103" s="10" t="n"/>
      <c r="G103" s="11" t="n"/>
      <c r="H103" s="8" t="n"/>
      <c r="I103" s="8" t="n"/>
      <c r="J103" s="8" t="n"/>
    </row>
    <row r="104">
      <c r="A104" s="9" t="n"/>
      <c r="B104" s="7" t="n"/>
      <c r="C104" s="7" t="n"/>
      <c r="D104" s="8">
        <f>IFERROR(VLOOKUP(C104,Cadastro_Produtos!A:B,2,FALSE),"")</f>
        <v/>
      </c>
      <c r="E104" s="8" t="n"/>
      <c r="F104" s="10" t="n"/>
      <c r="G104" s="11" t="n"/>
      <c r="H104" s="8" t="n"/>
      <c r="I104" s="8" t="n"/>
      <c r="J104" s="8" t="n"/>
    </row>
    <row r="105">
      <c r="A105" s="9" t="n"/>
      <c r="B105" s="7" t="n"/>
      <c r="C105" s="7" t="n"/>
      <c r="D105" s="8">
        <f>IFERROR(VLOOKUP(C105,Cadastro_Produtos!A:B,2,FALSE),"")</f>
        <v/>
      </c>
      <c r="E105" s="8" t="n"/>
      <c r="F105" s="10" t="n"/>
      <c r="G105" s="11" t="n"/>
      <c r="H105" s="8" t="n"/>
      <c r="I105" s="8" t="n"/>
      <c r="J105" s="8" t="n"/>
    </row>
    <row r="106">
      <c r="A106" s="9" t="n"/>
      <c r="B106" s="7" t="n"/>
      <c r="C106" s="7" t="n"/>
      <c r="D106" s="8">
        <f>IFERROR(VLOOKUP(C106,Cadastro_Produtos!A:B,2,FALSE),"")</f>
        <v/>
      </c>
      <c r="E106" s="8" t="n"/>
      <c r="F106" s="10" t="n"/>
      <c r="G106" s="11" t="n"/>
      <c r="H106" s="8" t="n"/>
      <c r="I106" s="8" t="n"/>
      <c r="J106" s="8" t="n"/>
    </row>
    <row r="107">
      <c r="A107" s="9" t="n"/>
      <c r="B107" s="7" t="n"/>
      <c r="C107" s="7" t="n"/>
      <c r="D107" s="8">
        <f>IFERROR(VLOOKUP(C107,Cadastro_Produtos!A:B,2,FALSE),"")</f>
        <v/>
      </c>
      <c r="E107" s="8" t="n"/>
      <c r="F107" s="10" t="n"/>
      <c r="G107" s="11" t="n"/>
      <c r="H107" s="8" t="n"/>
      <c r="I107" s="8" t="n"/>
      <c r="J107" s="8" t="n"/>
    </row>
    <row r="108">
      <c r="A108" s="9" t="n"/>
      <c r="B108" s="7" t="n"/>
      <c r="C108" s="7" t="n"/>
      <c r="D108" s="8">
        <f>IFERROR(VLOOKUP(C108,Cadastro_Produtos!A:B,2,FALSE),"")</f>
        <v/>
      </c>
      <c r="E108" s="8" t="n"/>
      <c r="F108" s="10" t="n"/>
      <c r="G108" s="11" t="n"/>
      <c r="H108" s="8" t="n"/>
      <c r="I108" s="8" t="n"/>
      <c r="J108" s="8" t="n"/>
    </row>
    <row r="109">
      <c r="A109" s="9" t="n"/>
      <c r="B109" s="7" t="n"/>
      <c r="C109" s="7" t="n"/>
      <c r="D109" s="8">
        <f>IFERROR(VLOOKUP(C109,Cadastro_Produtos!A:B,2,FALSE),"")</f>
        <v/>
      </c>
      <c r="E109" s="8" t="n"/>
      <c r="F109" s="10" t="n"/>
      <c r="G109" s="11" t="n"/>
      <c r="H109" s="8" t="n"/>
      <c r="I109" s="8" t="n"/>
      <c r="J109" s="8" t="n"/>
    </row>
    <row r="110">
      <c r="A110" s="9" t="n"/>
      <c r="B110" s="7" t="n"/>
      <c r="C110" s="7" t="n"/>
      <c r="D110" s="8">
        <f>IFERROR(VLOOKUP(C110,Cadastro_Produtos!A:B,2,FALSE),"")</f>
        <v/>
      </c>
      <c r="E110" s="8" t="n"/>
      <c r="F110" s="10" t="n"/>
      <c r="G110" s="11" t="n"/>
      <c r="H110" s="8" t="n"/>
      <c r="I110" s="8" t="n"/>
      <c r="J110" s="8" t="n"/>
    </row>
    <row r="111">
      <c r="A111" s="9" t="n"/>
      <c r="B111" s="7" t="n"/>
      <c r="C111" s="7" t="n"/>
      <c r="D111" s="8">
        <f>IFERROR(VLOOKUP(C111,Cadastro_Produtos!A:B,2,FALSE),"")</f>
        <v/>
      </c>
      <c r="E111" s="8" t="n"/>
      <c r="F111" s="10" t="n"/>
      <c r="G111" s="11" t="n"/>
      <c r="H111" s="8" t="n"/>
      <c r="I111" s="8" t="n"/>
      <c r="J111" s="8" t="n"/>
    </row>
    <row r="112">
      <c r="A112" s="9" t="n"/>
      <c r="B112" s="7" t="n"/>
      <c r="C112" s="7" t="n"/>
      <c r="D112" s="8">
        <f>IFERROR(VLOOKUP(C112,Cadastro_Produtos!A:B,2,FALSE),"")</f>
        <v/>
      </c>
      <c r="E112" s="8" t="n"/>
      <c r="F112" s="10" t="n"/>
      <c r="G112" s="11" t="n"/>
      <c r="H112" s="8" t="n"/>
      <c r="I112" s="8" t="n"/>
      <c r="J112" s="8" t="n"/>
    </row>
    <row r="113">
      <c r="A113" s="9" t="n"/>
      <c r="B113" s="7" t="n"/>
      <c r="C113" s="7" t="n"/>
      <c r="D113" s="8">
        <f>IFERROR(VLOOKUP(C113,Cadastro_Produtos!A:B,2,FALSE),"")</f>
        <v/>
      </c>
      <c r="E113" s="8" t="n"/>
      <c r="F113" s="10" t="n"/>
      <c r="G113" s="11" t="n"/>
      <c r="H113" s="8" t="n"/>
      <c r="I113" s="8" t="n"/>
      <c r="J113" s="8" t="n"/>
    </row>
    <row r="114">
      <c r="A114" s="9" t="n"/>
      <c r="B114" s="7" t="n"/>
      <c r="C114" s="7" t="n"/>
      <c r="D114" s="8">
        <f>IFERROR(VLOOKUP(C114,Cadastro_Produtos!A:B,2,FALSE),"")</f>
        <v/>
      </c>
      <c r="E114" s="8" t="n"/>
      <c r="F114" s="10" t="n"/>
      <c r="G114" s="11" t="n"/>
      <c r="H114" s="8" t="n"/>
      <c r="I114" s="8" t="n"/>
      <c r="J114" s="8" t="n"/>
    </row>
    <row r="115">
      <c r="A115" s="9" t="n"/>
      <c r="B115" s="7" t="n"/>
      <c r="C115" s="7" t="n"/>
      <c r="D115" s="8">
        <f>IFERROR(VLOOKUP(C115,Cadastro_Produtos!A:B,2,FALSE),"")</f>
        <v/>
      </c>
      <c r="E115" s="8" t="n"/>
      <c r="F115" s="10" t="n"/>
      <c r="G115" s="11" t="n"/>
      <c r="H115" s="8" t="n"/>
      <c r="I115" s="8" t="n"/>
      <c r="J115" s="8" t="n"/>
    </row>
    <row r="116">
      <c r="A116" s="9" t="n"/>
      <c r="B116" s="7" t="n"/>
      <c r="C116" s="7" t="n"/>
      <c r="D116" s="8">
        <f>IFERROR(VLOOKUP(C116,Cadastro_Produtos!A:B,2,FALSE),"")</f>
        <v/>
      </c>
      <c r="E116" s="8" t="n"/>
      <c r="F116" s="10" t="n"/>
      <c r="G116" s="11" t="n"/>
      <c r="H116" s="8" t="n"/>
      <c r="I116" s="8" t="n"/>
      <c r="J116" s="8" t="n"/>
    </row>
    <row r="117">
      <c r="A117" s="9" t="n"/>
      <c r="B117" s="7" t="n"/>
      <c r="C117" s="7" t="n"/>
      <c r="D117" s="8">
        <f>IFERROR(VLOOKUP(C117,Cadastro_Produtos!A:B,2,FALSE),"")</f>
        <v/>
      </c>
      <c r="E117" s="8" t="n"/>
      <c r="F117" s="10" t="n"/>
      <c r="G117" s="11" t="n"/>
      <c r="H117" s="8" t="n"/>
      <c r="I117" s="8" t="n"/>
      <c r="J117" s="8" t="n"/>
    </row>
    <row r="118">
      <c r="A118" s="9" t="n"/>
      <c r="B118" s="7" t="n"/>
      <c r="C118" s="7" t="n"/>
      <c r="D118" s="8">
        <f>IFERROR(VLOOKUP(C118,Cadastro_Produtos!A:B,2,FALSE),"")</f>
        <v/>
      </c>
      <c r="E118" s="8" t="n"/>
      <c r="F118" s="10" t="n"/>
      <c r="G118" s="11" t="n"/>
      <c r="H118" s="8" t="n"/>
      <c r="I118" s="8" t="n"/>
      <c r="J118" s="8" t="n"/>
    </row>
    <row r="119">
      <c r="A119" s="9" t="n"/>
      <c r="B119" s="7" t="n"/>
      <c r="C119" s="7" t="n"/>
      <c r="D119" s="8">
        <f>IFERROR(VLOOKUP(C119,Cadastro_Produtos!A:B,2,FALSE),"")</f>
        <v/>
      </c>
      <c r="E119" s="8" t="n"/>
      <c r="F119" s="10" t="n"/>
      <c r="G119" s="11" t="n"/>
      <c r="H119" s="8" t="n"/>
      <c r="I119" s="8" t="n"/>
      <c r="J119" s="8" t="n"/>
    </row>
    <row r="120">
      <c r="A120" s="9" t="n"/>
      <c r="B120" s="7" t="n"/>
      <c r="C120" s="7" t="n"/>
      <c r="D120" s="8">
        <f>IFERROR(VLOOKUP(C120,Cadastro_Produtos!A:B,2,FALSE),"")</f>
        <v/>
      </c>
      <c r="E120" s="8" t="n"/>
      <c r="F120" s="10" t="n"/>
      <c r="G120" s="11" t="n"/>
      <c r="H120" s="8" t="n"/>
      <c r="I120" s="8" t="n"/>
      <c r="J120" s="8" t="n"/>
    </row>
    <row r="121">
      <c r="A121" s="9" t="n"/>
      <c r="B121" s="7" t="n"/>
      <c r="C121" s="7" t="n"/>
      <c r="D121" s="8">
        <f>IFERROR(VLOOKUP(C121,Cadastro_Produtos!A:B,2,FALSE),"")</f>
        <v/>
      </c>
      <c r="E121" s="8" t="n"/>
      <c r="F121" s="10" t="n"/>
      <c r="G121" s="11" t="n"/>
      <c r="H121" s="8" t="n"/>
      <c r="I121" s="8" t="n"/>
      <c r="J121" s="8" t="n"/>
    </row>
    <row r="122">
      <c r="A122" s="9" t="n"/>
      <c r="B122" s="7" t="n"/>
      <c r="C122" s="7" t="n"/>
      <c r="D122" s="8">
        <f>IFERROR(VLOOKUP(C122,Cadastro_Produtos!A:B,2,FALSE),"")</f>
        <v/>
      </c>
      <c r="E122" s="8" t="n"/>
      <c r="F122" s="10" t="n"/>
      <c r="G122" s="11" t="n"/>
      <c r="H122" s="8" t="n"/>
      <c r="I122" s="8" t="n"/>
      <c r="J122" s="8" t="n"/>
    </row>
    <row r="123">
      <c r="A123" s="9" t="n"/>
      <c r="B123" s="7" t="n"/>
      <c r="C123" s="7" t="n"/>
      <c r="D123" s="8">
        <f>IFERROR(VLOOKUP(C123,Cadastro_Produtos!A:B,2,FALSE),"")</f>
        <v/>
      </c>
      <c r="E123" s="8" t="n"/>
      <c r="F123" s="10" t="n"/>
      <c r="G123" s="11" t="n"/>
      <c r="H123" s="8" t="n"/>
      <c r="I123" s="8" t="n"/>
      <c r="J123" s="8" t="n"/>
    </row>
    <row r="124">
      <c r="A124" s="9" t="n"/>
      <c r="B124" s="7" t="n"/>
      <c r="C124" s="7" t="n"/>
      <c r="D124" s="8">
        <f>IFERROR(VLOOKUP(C124,Cadastro_Produtos!A:B,2,FALSE),"")</f>
        <v/>
      </c>
      <c r="E124" s="8" t="n"/>
      <c r="F124" s="10" t="n"/>
      <c r="G124" s="11" t="n"/>
      <c r="H124" s="8" t="n"/>
      <c r="I124" s="8" t="n"/>
      <c r="J124" s="8" t="n"/>
    </row>
    <row r="125">
      <c r="A125" s="9" t="n"/>
      <c r="B125" s="7" t="n"/>
      <c r="C125" s="7" t="n"/>
      <c r="D125" s="8">
        <f>IFERROR(VLOOKUP(C125,Cadastro_Produtos!A:B,2,FALSE),"")</f>
        <v/>
      </c>
      <c r="E125" s="8" t="n"/>
      <c r="F125" s="10" t="n"/>
      <c r="G125" s="11" t="n"/>
      <c r="H125" s="8" t="n"/>
      <c r="I125" s="8" t="n"/>
      <c r="J125" s="8" t="n"/>
    </row>
    <row r="126">
      <c r="A126" s="9" t="n"/>
      <c r="B126" s="7" t="n"/>
      <c r="C126" s="7" t="n"/>
      <c r="D126" s="8">
        <f>IFERROR(VLOOKUP(C126,Cadastro_Produtos!A:B,2,FALSE),"")</f>
        <v/>
      </c>
      <c r="E126" s="8" t="n"/>
      <c r="F126" s="10" t="n"/>
      <c r="G126" s="11" t="n"/>
      <c r="H126" s="8" t="n"/>
      <c r="I126" s="8" t="n"/>
      <c r="J126" s="8" t="n"/>
    </row>
    <row r="127">
      <c r="A127" s="9" t="n"/>
      <c r="B127" s="7" t="n"/>
      <c r="C127" s="7" t="n"/>
      <c r="D127" s="8">
        <f>IFERROR(VLOOKUP(C127,Cadastro_Produtos!A:B,2,FALSE),"")</f>
        <v/>
      </c>
      <c r="E127" s="8" t="n"/>
      <c r="F127" s="10" t="n"/>
      <c r="G127" s="11" t="n"/>
      <c r="H127" s="8" t="n"/>
      <c r="I127" s="8" t="n"/>
      <c r="J127" s="8" t="n"/>
    </row>
    <row r="128">
      <c r="A128" s="9" t="n"/>
      <c r="B128" s="7" t="n"/>
      <c r="C128" s="7" t="n"/>
      <c r="D128" s="8">
        <f>IFERROR(VLOOKUP(C128,Cadastro_Produtos!A:B,2,FALSE),"")</f>
        <v/>
      </c>
      <c r="E128" s="8" t="n"/>
      <c r="F128" s="10" t="n"/>
      <c r="G128" s="11" t="n"/>
      <c r="H128" s="8" t="n"/>
      <c r="I128" s="8" t="n"/>
      <c r="J128" s="8" t="n"/>
    </row>
    <row r="129">
      <c r="A129" s="9" t="n"/>
      <c r="B129" s="7" t="n"/>
      <c r="C129" s="7" t="n"/>
      <c r="D129" s="8">
        <f>IFERROR(VLOOKUP(C129,Cadastro_Produtos!A:B,2,FALSE),"")</f>
        <v/>
      </c>
      <c r="E129" s="8" t="n"/>
      <c r="F129" s="10" t="n"/>
      <c r="G129" s="11" t="n"/>
      <c r="H129" s="8" t="n"/>
      <c r="I129" s="8" t="n"/>
      <c r="J129" s="8" t="n"/>
    </row>
    <row r="130">
      <c r="A130" s="9" t="n"/>
      <c r="B130" s="7" t="n"/>
      <c r="C130" s="7" t="n"/>
      <c r="D130" s="8">
        <f>IFERROR(VLOOKUP(C130,Cadastro_Produtos!A:B,2,FALSE),"")</f>
        <v/>
      </c>
      <c r="E130" s="8" t="n"/>
      <c r="F130" s="10" t="n"/>
      <c r="G130" s="11" t="n"/>
      <c r="H130" s="8" t="n"/>
      <c r="I130" s="8" t="n"/>
      <c r="J130" s="8" t="n"/>
    </row>
    <row r="131">
      <c r="A131" s="9" t="n"/>
      <c r="B131" s="7" t="n"/>
      <c r="C131" s="7" t="n"/>
      <c r="D131" s="8">
        <f>IFERROR(VLOOKUP(C131,Cadastro_Produtos!A:B,2,FALSE),"")</f>
        <v/>
      </c>
      <c r="E131" s="8" t="n"/>
      <c r="F131" s="10" t="n"/>
      <c r="G131" s="11" t="n"/>
      <c r="H131" s="8" t="n"/>
      <c r="I131" s="8" t="n"/>
      <c r="J131" s="8" t="n"/>
    </row>
    <row r="132">
      <c r="A132" s="9" t="n"/>
      <c r="B132" s="7" t="n"/>
      <c r="C132" s="7" t="n"/>
      <c r="D132" s="8">
        <f>IFERROR(VLOOKUP(C132,Cadastro_Produtos!A:B,2,FALSE),"")</f>
        <v/>
      </c>
      <c r="E132" s="8" t="n"/>
      <c r="F132" s="10" t="n"/>
      <c r="G132" s="11" t="n"/>
      <c r="H132" s="8" t="n"/>
      <c r="I132" s="8" t="n"/>
      <c r="J132" s="8" t="n"/>
    </row>
    <row r="133">
      <c r="A133" s="9" t="n"/>
      <c r="B133" s="7" t="n"/>
      <c r="C133" s="7" t="n"/>
      <c r="D133" s="8">
        <f>IFERROR(VLOOKUP(C133,Cadastro_Produtos!A:B,2,FALSE),"")</f>
        <v/>
      </c>
      <c r="E133" s="8" t="n"/>
      <c r="F133" s="10" t="n"/>
      <c r="G133" s="11" t="n"/>
      <c r="H133" s="8" t="n"/>
      <c r="I133" s="8" t="n"/>
      <c r="J133" s="8" t="n"/>
    </row>
    <row r="134">
      <c r="A134" s="9" t="n"/>
      <c r="B134" s="7" t="n"/>
      <c r="C134" s="7" t="n"/>
      <c r="D134" s="8">
        <f>IFERROR(VLOOKUP(C134,Cadastro_Produtos!A:B,2,FALSE),"")</f>
        <v/>
      </c>
      <c r="E134" s="8" t="n"/>
      <c r="F134" s="10" t="n"/>
      <c r="G134" s="11" t="n"/>
      <c r="H134" s="8" t="n"/>
      <c r="I134" s="8" t="n"/>
      <c r="J134" s="8" t="n"/>
    </row>
    <row r="135">
      <c r="A135" s="9" t="n"/>
      <c r="B135" s="7" t="n"/>
      <c r="C135" s="7" t="n"/>
      <c r="D135" s="8">
        <f>IFERROR(VLOOKUP(C135,Cadastro_Produtos!A:B,2,FALSE),"")</f>
        <v/>
      </c>
      <c r="E135" s="8" t="n"/>
      <c r="F135" s="10" t="n"/>
      <c r="G135" s="11" t="n"/>
      <c r="H135" s="8" t="n"/>
      <c r="I135" s="8" t="n"/>
      <c r="J135" s="8" t="n"/>
    </row>
    <row r="136">
      <c r="A136" s="9" t="n"/>
      <c r="B136" s="7" t="n"/>
      <c r="C136" s="7" t="n"/>
      <c r="D136" s="8">
        <f>IFERROR(VLOOKUP(C136,Cadastro_Produtos!A:B,2,FALSE),"")</f>
        <v/>
      </c>
      <c r="E136" s="8" t="n"/>
      <c r="F136" s="10" t="n"/>
      <c r="G136" s="11" t="n"/>
      <c r="H136" s="8" t="n"/>
      <c r="I136" s="8" t="n"/>
      <c r="J136" s="8" t="n"/>
    </row>
    <row r="137">
      <c r="A137" s="9" t="n"/>
      <c r="B137" s="7" t="n"/>
      <c r="C137" s="7" t="n"/>
      <c r="D137" s="8">
        <f>IFERROR(VLOOKUP(C137,Cadastro_Produtos!A:B,2,FALSE),"")</f>
        <v/>
      </c>
      <c r="E137" s="8" t="n"/>
      <c r="F137" s="10" t="n"/>
      <c r="G137" s="11" t="n"/>
      <c r="H137" s="8" t="n"/>
      <c r="I137" s="8" t="n"/>
      <c r="J137" s="8" t="n"/>
    </row>
    <row r="138">
      <c r="A138" s="9" t="n"/>
      <c r="B138" s="7" t="n"/>
      <c r="C138" s="7" t="n"/>
      <c r="D138" s="8">
        <f>IFERROR(VLOOKUP(C138,Cadastro_Produtos!A:B,2,FALSE),"")</f>
        <v/>
      </c>
      <c r="E138" s="8" t="n"/>
      <c r="F138" s="10" t="n"/>
      <c r="G138" s="11" t="n"/>
      <c r="H138" s="8" t="n"/>
      <c r="I138" s="8" t="n"/>
      <c r="J138" s="8" t="n"/>
    </row>
    <row r="139">
      <c r="A139" s="9" t="n"/>
      <c r="B139" s="7" t="n"/>
      <c r="C139" s="7" t="n"/>
      <c r="D139" s="8">
        <f>IFERROR(VLOOKUP(C139,Cadastro_Produtos!A:B,2,FALSE),"")</f>
        <v/>
      </c>
      <c r="E139" s="8" t="n"/>
      <c r="F139" s="10" t="n"/>
      <c r="G139" s="11" t="n"/>
      <c r="H139" s="8" t="n"/>
      <c r="I139" s="8" t="n"/>
      <c r="J139" s="8" t="n"/>
    </row>
    <row r="140">
      <c r="A140" s="9" t="n"/>
      <c r="B140" s="7" t="n"/>
      <c r="C140" s="7" t="n"/>
      <c r="D140" s="8">
        <f>IFERROR(VLOOKUP(C140,Cadastro_Produtos!A:B,2,FALSE),"")</f>
        <v/>
      </c>
      <c r="E140" s="8" t="n"/>
      <c r="F140" s="10" t="n"/>
      <c r="G140" s="11" t="n"/>
      <c r="H140" s="8" t="n"/>
      <c r="I140" s="8" t="n"/>
      <c r="J140" s="8" t="n"/>
    </row>
    <row r="141">
      <c r="A141" s="9" t="n"/>
      <c r="B141" s="7" t="n"/>
      <c r="C141" s="7" t="n"/>
      <c r="D141" s="8">
        <f>IFERROR(VLOOKUP(C141,Cadastro_Produtos!A:B,2,FALSE),"")</f>
        <v/>
      </c>
      <c r="E141" s="8" t="n"/>
      <c r="F141" s="10" t="n"/>
      <c r="G141" s="11" t="n"/>
      <c r="H141" s="8" t="n"/>
      <c r="I141" s="8" t="n"/>
      <c r="J141" s="8" t="n"/>
    </row>
    <row r="142">
      <c r="A142" s="9" t="n"/>
      <c r="B142" s="7" t="n"/>
      <c r="C142" s="7" t="n"/>
      <c r="D142" s="8">
        <f>IFERROR(VLOOKUP(C142,Cadastro_Produtos!A:B,2,FALSE),"")</f>
        <v/>
      </c>
      <c r="E142" s="8" t="n"/>
      <c r="F142" s="10" t="n"/>
      <c r="G142" s="11" t="n"/>
      <c r="H142" s="8" t="n"/>
      <c r="I142" s="8" t="n"/>
      <c r="J142" s="8" t="n"/>
    </row>
    <row r="143">
      <c r="A143" s="9" t="n"/>
      <c r="B143" s="7" t="n"/>
      <c r="C143" s="7" t="n"/>
      <c r="D143" s="8">
        <f>IFERROR(VLOOKUP(C143,Cadastro_Produtos!A:B,2,FALSE),"")</f>
        <v/>
      </c>
      <c r="E143" s="8" t="n"/>
      <c r="F143" s="10" t="n"/>
      <c r="G143" s="11" t="n"/>
      <c r="H143" s="8" t="n"/>
      <c r="I143" s="8" t="n"/>
      <c r="J143" s="8" t="n"/>
    </row>
    <row r="144">
      <c r="A144" s="9" t="n"/>
      <c r="B144" s="7" t="n"/>
      <c r="C144" s="7" t="n"/>
      <c r="D144" s="8">
        <f>IFERROR(VLOOKUP(C144,Cadastro_Produtos!A:B,2,FALSE),"")</f>
        <v/>
      </c>
      <c r="E144" s="8" t="n"/>
      <c r="F144" s="10" t="n"/>
      <c r="G144" s="11" t="n"/>
      <c r="H144" s="8" t="n"/>
      <c r="I144" s="8" t="n"/>
      <c r="J144" s="8" t="n"/>
    </row>
    <row r="145">
      <c r="A145" s="9" t="n"/>
      <c r="B145" s="7" t="n"/>
      <c r="C145" s="7" t="n"/>
      <c r="D145" s="8">
        <f>IFERROR(VLOOKUP(C145,Cadastro_Produtos!A:B,2,FALSE),"")</f>
        <v/>
      </c>
      <c r="E145" s="8" t="n"/>
      <c r="F145" s="10" t="n"/>
      <c r="G145" s="11" t="n"/>
      <c r="H145" s="8" t="n"/>
      <c r="I145" s="8" t="n"/>
      <c r="J145" s="8" t="n"/>
    </row>
    <row r="146">
      <c r="A146" s="9" t="n"/>
      <c r="B146" s="7" t="n"/>
      <c r="C146" s="7" t="n"/>
      <c r="D146" s="8">
        <f>IFERROR(VLOOKUP(C146,Cadastro_Produtos!A:B,2,FALSE),"")</f>
        <v/>
      </c>
      <c r="E146" s="8" t="n"/>
      <c r="F146" s="10" t="n"/>
      <c r="G146" s="11" t="n"/>
      <c r="H146" s="8" t="n"/>
      <c r="I146" s="8" t="n"/>
      <c r="J146" s="8" t="n"/>
    </row>
    <row r="147">
      <c r="A147" s="9" t="n"/>
      <c r="B147" s="7" t="n"/>
      <c r="C147" s="7" t="n"/>
      <c r="D147" s="8">
        <f>IFERROR(VLOOKUP(C147,Cadastro_Produtos!A:B,2,FALSE),"")</f>
        <v/>
      </c>
      <c r="E147" s="8" t="n"/>
      <c r="F147" s="10" t="n"/>
      <c r="G147" s="11" t="n"/>
      <c r="H147" s="8" t="n"/>
      <c r="I147" s="8" t="n"/>
      <c r="J147" s="8" t="n"/>
    </row>
    <row r="148">
      <c r="A148" s="9" t="n"/>
      <c r="B148" s="7" t="n"/>
      <c r="C148" s="7" t="n"/>
      <c r="D148" s="8">
        <f>IFERROR(VLOOKUP(C148,Cadastro_Produtos!A:B,2,FALSE),"")</f>
        <v/>
      </c>
      <c r="E148" s="8" t="n"/>
      <c r="F148" s="10" t="n"/>
      <c r="G148" s="11" t="n"/>
      <c r="H148" s="8" t="n"/>
      <c r="I148" s="8" t="n"/>
      <c r="J148" s="8" t="n"/>
    </row>
    <row r="149">
      <c r="A149" s="9" t="n"/>
      <c r="B149" s="7" t="n"/>
      <c r="C149" s="7" t="n"/>
      <c r="D149" s="8">
        <f>IFERROR(VLOOKUP(C149,Cadastro_Produtos!A:B,2,FALSE),"")</f>
        <v/>
      </c>
      <c r="E149" s="8" t="n"/>
      <c r="F149" s="10" t="n"/>
      <c r="G149" s="11" t="n"/>
      <c r="H149" s="8" t="n"/>
      <c r="I149" s="8" t="n"/>
      <c r="J149" s="8" t="n"/>
    </row>
    <row r="150">
      <c r="A150" s="9" t="n"/>
      <c r="B150" s="7" t="n"/>
      <c r="C150" s="7" t="n"/>
      <c r="D150" s="8">
        <f>IFERROR(VLOOKUP(C150,Cadastro_Produtos!A:B,2,FALSE),"")</f>
        <v/>
      </c>
      <c r="E150" s="8" t="n"/>
      <c r="F150" s="10" t="n"/>
      <c r="G150" s="11" t="n"/>
      <c r="H150" s="8" t="n"/>
      <c r="I150" s="8" t="n"/>
      <c r="J150" s="8" t="n"/>
    </row>
    <row r="151">
      <c r="A151" s="9" t="n"/>
      <c r="B151" s="7" t="n"/>
      <c r="C151" s="7" t="n"/>
      <c r="D151" s="8">
        <f>IFERROR(VLOOKUP(C151,Cadastro_Produtos!A:B,2,FALSE),"")</f>
        <v/>
      </c>
      <c r="E151" s="8" t="n"/>
      <c r="F151" s="10" t="n"/>
      <c r="G151" s="11" t="n"/>
      <c r="H151" s="8" t="n"/>
      <c r="I151" s="8" t="n"/>
      <c r="J151" s="8" t="n"/>
    </row>
    <row r="152">
      <c r="A152" s="9" t="n"/>
      <c r="B152" s="7" t="n"/>
      <c r="C152" s="7" t="n"/>
      <c r="D152" s="8">
        <f>IFERROR(VLOOKUP(C152,Cadastro_Produtos!A:B,2,FALSE),"")</f>
        <v/>
      </c>
      <c r="E152" s="8" t="n"/>
      <c r="F152" s="10" t="n"/>
      <c r="G152" s="11" t="n"/>
      <c r="H152" s="8" t="n"/>
      <c r="I152" s="8" t="n"/>
      <c r="J152" s="8" t="n"/>
    </row>
    <row r="153">
      <c r="A153" s="9" t="n"/>
      <c r="B153" s="7" t="n"/>
      <c r="C153" s="7" t="n"/>
      <c r="D153" s="8">
        <f>IFERROR(VLOOKUP(C153,Cadastro_Produtos!A:B,2,FALSE),"")</f>
        <v/>
      </c>
      <c r="E153" s="8" t="n"/>
      <c r="F153" s="10" t="n"/>
      <c r="G153" s="11" t="n"/>
      <c r="H153" s="8" t="n"/>
      <c r="I153" s="8" t="n"/>
      <c r="J153" s="8" t="n"/>
    </row>
    <row r="154">
      <c r="A154" s="9" t="n"/>
      <c r="B154" s="7" t="n"/>
      <c r="C154" s="7" t="n"/>
      <c r="D154" s="8">
        <f>IFERROR(VLOOKUP(C154,Cadastro_Produtos!A:B,2,FALSE),"")</f>
        <v/>
      </c>
      <c r="E154" s="8" t="n"/>
      <c r="F154" s="10" t="n"/>
      <c r="G154" s="11" t="n"/>
      <c r="H154" s="8" t="n"/>
      <c r="I154" s="8" t="n"/>
      <c r="J154" s="8" t="n"/>
    </row>
    <row r="155">
      <c r="A155" s="9" t="n"/>
      <c r="B155" s="7" t="n"/>
      <c r="C155" s="7" t="n"/>
      <c r="D155" s="8">
        <f>IFERROR(VLOOKUP(C155,Cadastro_Produtos!A:B,2,FALSE),"")</f>
        <v/>
      </c>
      <c r="E155" s="8" t="n"/>
      <c r="F155" s="10" t="n"/>
      <c r="G155" s="11" t="n"/>
      <c r="H155" s="8" t="n"/>
      <c r="I155" s="8" t="n"/>
      <c r="J155" s="8" t="n"/>
    </row>
    <row r="156">
      <c r="A156" s="9" t="n"/>
      <c r="B156" s="7" t="n"/>
      <c r="C156" s="7" t="n"/>
      <c r="D156" s="8">
        <f>IFERROR(VLOOKUP(C156,Cadastro_Produtos!A:B,2,FALSE),"")</f>
        <v/>
      </c>
      <c r="E156" s="8" t="n"/>
      <c r="F156" s="10" t="n"/>
      <c r="G156" s="11" t="n"/>
      <c r="H156" s="8" t="n"/>
      <c r="I156" s="8" t="n"/>
      <c r="J156" s="8" t="n"/>
    </row>
    <row r="157">
      <c r="A157" s="9" t="n"/>
      <c r="B157" s="7" t="n"/>
      <c r="C157" s="7" t="n"/>
      <c r="D157" s="8">
        <f>IFERROR(VLOOKUP(C157,Cadastro_Produtos!A:B,2,FALSE),"")</f>
        <v/>
      </c>
      <c r="E157" s="8" t="n"/>
      <c r="F157" s="10" t="n"/>
      <c r="G157" s="11" t="n"/>
      <c r="H157" s="8" t="n"/>
      <c r="I157" s="8" t="n"/>
      <c r="J157" s="8" t="n"/>
    </row>
    <row r="158">
      <c r="A158" s="9" t="n"/>
      <c r="B158" s="7" t="n"/>
      <c r="C158" s="7" t="n"/>
      <c r="D158" s="8">
        <f>IFERROR(VLOOKUP(C158,Cadastro_Produtos!A:B,2,FALSE),"")</f>
        <v/>
      </c>
      <c r="E158" s="8" t="n"/>
      <c r="F158" s="10" t="n"/>
      <c r="G158" s="11" t="n"/>
      <c r="H158" s="8" t="n"/>
      <c r="I158" s="8" t="n"/>
      <c r="J158" s="8" t="n"/>
    </row>
    <row r="159">
      <c r="A159" s="9" t="n"/>
      <c r="B159" s="7" t="n"/>
      <c r="C159" s="7" t="n"/>
      <c r="D159" s="8">
        <f>IFERROR(VLOOKUP(C159,Cadastro_Produtos!A:B,2,FALSE),"")</f>
        <v/>
      </c>
      <c r="E159" s="8" t="n"/>
      <c r="F159" s="10" t="n"/>
      <c r="G159" s="11" t="n"/>
      <c r="H159" s="8" t="n"/>
      <c r="I159" s="8" t="n"/>
      <c r="J159" s="8" t="n"/>
    </row>
    <row r="160">
      <c r="A160" s="9" t="n"/>
      <c r="B160" s="7" t="n"/>
      <c r="C160" s="7" t="n"/>
      <c r="D160" s="8">
        <f>IFERROR(VLOOKUP(C160,Cadastro_Produtos!A:B,2,FALSE),"")</f>
        <v/>
      </c>
      <c r="E160" s="8" t="n"/>
      <c r="F160" s="10" t="n"/>
      <c r="G160" s="11" t="n"/>
      <c r="H160" s="8" t="n"/>
      <c r="I160" s="8" t="n"/>
      <c r="J160" s="8" t="n"/>
    </row>
    <row r="161">
      <c r="A161" s="9" t="n"/>
      <c r="B161" s="7" t="n"/>
      <c r="C161" s="7" t="n"/>
      <c r="D161" s="8">
        <f>IFERROR(VLOOKUP(C161,Cadastro_Produtos!A:B,2,FALSE),"")</f>
        <v/>
      </c>
      <c r="E161" s="8" t="n"/>
      <c r="F161" s="10" t="n"/>
      <c r="G161" s="11" t="n"/>
      <c r="H161" s="8" t="n"/>
      <c r="I161" s="8" t="n"/>
      <c r="J161" s="8" t="n"/>
    </row>
    <row r="162">
      <c r="A162" s="9" t="n"/>
      <c r="B162" s="7" t="n"/>
      <c r="C162" s="7" t="n"/>
      <c r="D162" s="8">
        <f>IFERROR(VLOOKUP(C162,Cadastro_Produtos!A:B,2,FALSE),"")</f>
        <v/>
      </c>
      <c r="E162" s="8" t="n"/>
      <c r="F162" s="10" t="n"/>
      <c r="G162" s="11" t="n"/>
      <c r="H162" s="8" t="n"/>
      <c r="I162" s="8" t="n"/>
      <c r="J162" s="8" t="n"/>
    </row>
    <row r="163">
      <c r="A163" s="9" t="n"/>
      <c r="B163" s="7" t="n"/>
      <c r="C163" s="7" t="n"/>
      <c r="D163" s="8">
        <f>IFERROR(VLOOKUP(C163,Cadastro_Produtos!A:B,2,FALSE),"")</f>
        <v/>
      </c>
      <c r="E163" s="8" t="n"/>
      <c r="F163" s="10" t="n"/>
      <c r="G163" s="11" t="n"/>
      <c r="H163" s="8" t="n"/>
      <c r="I163" s="8" t="n"/>
      <c r="J163" s="8" t="n"/>
    </row>
    <row r="164">
      <c r="A164" s="9" t="n"/>
      <c r="B164" s="7" t="n"/>
      <c r="C164" s="7" t="n"/>
      <c r="D164" s="8">
        <f>IFERROR(VLOOKUP(C164,Cadastro_Produtos!A:B,2,FALSE),"")</f>
        <v/>
      </c>
      <c r="E164" s="8" t="n"/>
      <c r="F164" s="10" t="n"/>
      <c r="G164" s="11" t="n"/>
      <c r="H164" s="8" t="n"/>
      <c r="I164" s="8" t="n"/>
      <c r="J164" s="8" t="n"/>
    </row>
    <row r="165">
      <c r="A165" s="9" t="n"/>
      <c r="B165" s="7" t="n"/>
      <c r="C165" s="7" t="n"/>
      <c r="D165" s="8">
        <f>IFERROR(VLOOKUP(C165,Cadastro_Produtos!A:B,2,FALSE),"")</f>
        <v/>
      </c>
      <c r="E165" s="8" t="n"/>
      <c r="F165" s="10" t="n"/>
      <c r="G165" s="11" t="n"/>
      <c r="H165" s="8" t="n"/>
      <c r="I165" s="8" t="n"/>
      <c r="J165" s="8" t="n"/>
    </row>
    <row r="166">
      <c r="A166" s="9" t="n"/>
      <c r="B166" s="7" t="n"/>
      <c r="C166" s="7" t="n"/>
      <c r="D166" s="8">
        <f>IFERROR(VLOOKUP(C166,Cadastro_Produtos!A:B,2,FALSE),"")</f>
        <v/>
      </c>
      <c r="E166" s="8" t="n"/>
      <c r="F166" s="10" t="n"/>
      <c r="G166" s="11" t="n"/>
      <c r="H166" s="8" t="n"/>
      <c r="I166" s="8" t="n"/>
      <c r="J166" s="8" t="n"/>
    </row>
    <row r="167">
      <c r="A167" s="9" t="n"/>
      <c r="B167" s="7" t="n"/>
      <c r="C167" s="7" t="n"/>
      <c r="D167" s="8">
        <f>IFERROR(VLOOKUP(C167,Cadastro_Produtos!A:B,2,FALSE),"")</f>
        <v/>
      </c>
      <c r="E167" s="8" t="n"/>
      <c r="F167" s="10" t="n"/>
      <c r="G167" s="11" t="n"/>
      <c r="H167" s="8" t="n"/>
      <c r="I167" s="8" t="n"/>
      <c r="J167" s="8" t="n"/>
    </row>
    <row r="168">
      <c r="A168" s="9" t="n"/>
      <c r="B168" s="7" t="n"/>
      <c r="C168" s="7" t="n"/>
      <c r="D168" s="8">
        <f>IFERROR(VLOOKUP(C168,Cadastro_Produtos!A:B,2,FALSE),"")</f>
        <v/>
      </c>
      <c r="E168" s="8" t="n"/>
      <c r="F168" s="10" t="n"/>
      <c r="G168" s="11" t="n"/>
      <c r="H168" s="8" t="n"/>
      <c r="I168" s="8" t="n"/>
      <c r="J168" s="8" t="n"/>
    </row>
    <row r="169">
      <c r="A169" s="9" t="n"/>
      <c r="B169" s="7" t="n"/>
      <c r="C169" s="7" t="n"/>
      <c r="D169" s="8">
        <f>IFERROR(VLOOKUP(C169,Cadastro_Produtos!A:B,2,FALSE),"")</f>
        <v/>
      </c>
      <c r="E169" s="8" t="n"/>
      <c r="F169" s="10" t="n"/>
      <c r="G169" s="11" t="n"/>
      <c r="H169" s="8" t="n"/>
      <c r="I169" s="8" t="n"/>
      <c r="J169" s="8" t="n"/>
    </row>
    <row r="170">
      <c r="A170" s="9" t="n"/>
      <c r="B170" s="7" t="n"/>
      <c r="C170" s="7" t="n"/>
      <c r="D170" s="8">
        <f>IFERROR(VLOOKUP(C170,Cadastro_Produtos!A:B,2,FALSE),"")</f>
        <v/>
      </c>
      <c r="E170" s="8" t="n"/>
      <c r="F170" s="10" t="n"/>
      <c r="G170" s="11" t="n"/>
      <c r="H170" s="8" t="n"/>
      <c r="I170" s="8" t="n"/>
      <c r="J170" s="8" t="n"/>
    </row>
    <row r="171">
      <c r="A171" s="9" t="n"/>
      <c r="B171" s="7" t="n"/>
      <c r="C171" s="7" t="n"/>
      <c r="D171" s="8">
        <f>IFERROR(VLOOKUP(C171,Cadastro_Produtos!A:B,2,FALSE),"")</f>
        <v/>
      </c>
      <c r="E171" s="8" t="n"/>
      <c r="F171" s="10" t="n"/>
      <c r="G171" s="11" t="n"/>
      <c r="H171" s="8" t="n"/>
      <c r="I171" s="8" t="n"/>
      <c r="J171" s="8" t="n"/>
    </row>
    <row r="172">
      <c r="A172" s="9" t="n"/>
      <c r="B172" s="7" t="n"/>
      <c r="C172" s="7" t="n"/>
      <c r="D172" s="8">
        <f>IFERROR(VLOOKUP(C172,Cadastro_Produtos!A:B,2,FALSE),"")</f>
        <v/>
      </c>
      <c r="E172" s="8" t="n"/>
      <c r="F172" s="10" t="n"/>
      <c r="G172" s="11" t="n"/>
      <c r="H172" s="8" t="n"/>
      <c r="I172" s="8" t="n"/>
      <c r="J172" s="8" t="n"/>
    </row>
    <row r="173">
      <c r="A173" s="9" t="n"/>
      <c r="B173" s="7" t="n"/>
      <c r="C173" s="7" t="n"/>
      <c r="D173" s="8">
        <f>IFERROR(VLOOKUP(C173,Cadastro_Produtos!A:B,2,FALSE),"")</f>
        <v/>
      </c>
      <c r="E173" s="8" t="n"/>
      <c r="F173" s="10" t="n"/>
      <c r="G173" s="11" t="n"/>
      <c r="H173" s="8" t="n"/>
      <c r="I173" s="8" t="n"/>
      <c r="J173" s="8" t="n"/>
    </row>
    <row r="174">
      <c r="A174" s="9" t="n"/>
      <c r="B174" s="7" t="n"/>
      <c r="C174" s="7" t="n"/>
      <c r="D174" s="8">
        <f>IFERROR(VLOOKUP(C174,Cadastro_Produtos!A:B,2,FALSE),"")</f>
        <v/>
      </c>
      <c r="E174" s="8" t="n"/>
      <c r="F174" s="10" t="n"/>
      <c r="G174" s="11" t="n"/>
      <c r="H174" s="8" t="n"/>
      <c r="I174" s="8" t="n"/>
      <c r="J174" s="8" t="n"/>
    </row>
    <row r="175">
      <c r="A175" s="9" t="n"/>
      <c r="B175" s="7" t="n"/>
      <c r="C175" s="7" t="n"/>
      <c r="D175" s="8">
        <f>IFERROR(VLOOKUP(C175,Cadastro_Produtos!A:B,2,FALSE),"")</f>
        <v/>
      </c>
      <c r="E175" s="8" t="n"/>
      <c r="F175" s="10" t="n"/>
      <c r="G175" s="11" t="n"/>
      <c r="H175" s="8" t="n"/>
      <c r="I175" s="8" t="n"/>
      <c r="J175" s="8" t="n"/>
    </row>
    <row r="176">
      <c r="A176" s="9" t="n"/>
      <c r="B176" s="7" t="n"/>
      <c r="C176" s="7" t="n"/>
      <c r="D176" s="8">
        <f>IFERROR(VLOOKUP(C176,Cadastro_Produtos!A:B,2,FALSE),"")</f>
        <v/>
      </c>
      <c r="E176" s="8" t="n"/>
      <c r="F176" s="10" t="n"/>
      <c r="G176" s="11" t="n"/>
      <c r="H176" s="8" t="n"/>
      <c r="I176" s="8" t="n"/>
      <c r="J176" s="8" t="n"/>
    </row>
    <row r="177">
      <c r="A177" s="9" t="n"/>
      <c r="B177" s="7" t="n"/>
      <c r="C177" s="7" t="n"/>
      <c r="D177" s="8">
        <f>IFERROR(VLOOKUP(C177,Cadastro_Produtos!A:B,2,FALSE),"")</f>
        <v/>
      </c>
      <c r="E177" s="8" t="n"/>
      <c r="F177" s="10" t="n"/>
      <c r="G177" s="11" t="n"/>
      <c r="H177" s="8" t="n"/>
      <c r="I177" s="8" t="n"/>
      <c r="J177" s="8" t="n"/>
    </row>
    <row r="178">
      <c r="A178" s="9" t="n"/>
      <c r="B178" s="7" t="n"/>
      <c r="C178" s="7" t="n"/>
      <c r="D178" s="8">
        <f>IFERROR(VLOOKUP(C178,Cadastro_Produtos!A:B,2,FALSE),"")</f>
        <v/>
      </c>
      <c r="E178" s="8" t="n"/>
      <c r="F178" s="10" t="n"/>
      <c r="G178" s="11" t="n"/>
      <c r="H178" s="8" t="n"/>
      <c r="I178" s="8" t="n"/>
      <c r="J178" s="8" t="n"/>
    </row>
    <row r="179">
      <c r="A179" s="9" t="n"/>
      <c r="B179" s="7" t="n"/>
      <c r="C179" s="7" t="n"/>
      <c r="D179" s="8">
        <f>IFERROR(VLOOKUP(C179,Cadastro_Produtos!A:B,2,FALSE),"")</f>
        <v/>
      </c>
      <c r="E179" s="8" t="n"/>
      <c r="F179" s="10" t="n"/>
      <c r="G179" s="11" t="n"/>
      <c r="H179" s="8" t="n"/>
      <c r="I179" s="8" t="n"/>
      <c r="J179" s="8" t="n"/>
    </row>
    <row r="180">
      <c r="A180" s="9" t="n"/>
      <c r="B180" s="7" t="n"/>
      <c r="C180" s="7" t="n"/>
      <c r="D180" s="8">
        <f>IFERROR(VLOOKUP(C180,Cadastro_Produtos!A:B,2,FALSE),"")</f>
        <v/>
      </c>
      <c r="E180" s="8" t="n"/>
      <c r="F180" s="10" t="n"/>
      <c r="G180" s="11" t="n"/>
      <c r="H180" s="8" t="n"/>
      <c r="I180" s="8" t="n"/>
      <c r="J180" s="8" t="n"/>
    </row>
    <row r="181">
      <c r="A181" s="9" t="n"/>
      <c r="B181" s="7" t="n"/>
      <c r="C181" s="7" t="n"/>
      <c r="D181" s="8">
        <f>IFERROR(VLOOKUP(C181,Cadastro_Produtos!A:B,2,FALSE),"")</f>
        <v/>
      </c>
      <c r="E181" s="8" t="n"/>
      <c r="F181" s="10" t="n"/>
      <c r="G181" s="11" t="n"/>
      <c r="H181" s="8" t="n"/>
      <c r="I181" s="8" t="n"/>
      <c r="J181" s="8" t="n"/>
    </row>
    <row r="182">
      <c r="A182" s="9" t="n"/>
      <c r="B182" s="7" t="n"/>
      <c r="C182" s="7" t="n"/>
      <c r="D182" s="8">
        <f>IFERROR(VLOOKUP(C182,Cadastro_Produtos!A:B,2,FALSE),"")</f>
        <v/>
      </c>
      <c r="E182" s="8" t="n"/>
      <c r="F182" s="10" t="n"/>
      <c r="G182" s="11" t="n"/>
      <c r="H182" s="8" t="n"/>
      <c r="I182" s="8" t="n"/>
      <c r="J182" s="8" t="n"/>
    </row>
    <row r="183">
      <c r="A183" s="9" t="n"/>
      <c r="B183" s="7" t="n"/>
      <c r="C183" s="7" t="n"/>
      <c r="D183" s="8">
        <f>IFERROR(VLOOKUP(C183,Cadastro_Produtos!A:B,2,FALSE),"")</f>
        <v/>
      </c>
      <c r="E183" s="8" t="n"/>
      <c r="F183" s="10" t="n"/>
      <c r="G183" s="11" t="n"/>
      <c r="H183" s="8" t="n"/>
      <c r="I183" s="8" t="n"/>
      <c r="J183" s="8" t="n"/>
    </row>
    <row r="184">
      <c r="A184" s="9" t="n"/>
      <c r="B184" s="7" t="n"/>
      <c r="C184" s="7" t="n"/>
      <c r="D184" s="8">
        <f>IFERROR(VLOOKUP(C184,Cadastro_Produtos!A:B,2,FALSE),"")</f>
        <v/>
      </c>
      <c r="E184" s="8" t="n"/>
      <c r="F184" s="10" t="n"/>
      <c r="G184" s="11" t="n"/>
      <c r="H184" s="8" t="n"/>
      <c r="I184" s="8" t="n"/>
      <c r="J184" s="8" t="n"/>
    </row>
    <row r="185">
      <c r="A185" s="9" t="n"/>
      <c r="B185" s="7" t="n"/>
      <c r="C185" s="7" t="n"/>
      <c r="D185" s="8">
        <f>IFERROR(VLOOKUP(C185,Cadastro_Produtos!A:B,2,FALSE),"")</f>
        <v/>
      </c>
      <c r="E185" s="8" t="n"/>
      <c r="F185" s="10" t="n"/>
      <c r="G185" s="11" t="n"/>
      <c r="H185" s="8" t="n"/>
      <c r="I185" s="8" t="n"/>
      <c r="J185" s="8" t="n"/>
    </row>
    <row r="186">
      <c r="A186" s="9" t="n"/>
      <c r="B186" s="7" t="n"/>
      <c r="C186" s="7" t="n"/>
      <c r="D186" s="8">
        <f>IFERROR(VLOOKUP(C186,Cadastro_Produtos!A:B,2,FALSE),"")</f>
        <v/>
      </c>
      <c r="E186" s="8" t="n"/>
      <c r="F186" s="10" t="n"/>
      <c r="G186" s="11" t="n"/>
      <c r="H186" s="8" t="n"/>
      <c r="I186" s="8" t="n"/>
      <c r="J186" s="8" t="n"/>
    </row>
    <row r="187">
      <c r="A187" s="9" t="n"/>
      <c r="B187" s="7" t="n"/>
      <c r="C187" s="7" t="n"/>
      <c r="D187" s="8">
        <f>IFERROR(VLOOKUP(C187,Cadastro_Produtos!A:B,2,FALSE),"")</f>
        <v/>
      </c>
      <c r="E187" s="8" t="n"/>
      <c r="F187" s="10" t="n"/>
      <c r="G187" s="11" t="n"/>
      <c r="H187" s="8" t="n"/>
      <c r="I187" s="8" t="n"/>
      <c r="J187" s="8" t="n"/>
    </row>
    <row r="188">
      <c r="A188" s="9" t="n"/>
      <c r="B188" s="7" t="n"/>
      <c r="C188" s="7" t="n"/>
      <c r="D188" s="8">
        <f>IFERROR(VLOOKUP(C188,Cadastro_Produtos!A:B,2,FALSE),"")</f>
        <v/>
      </c>
      <c r="E188" s="8" t="n"/>
      <c r="F188" s="10" t="n"/>
      <c r="G188" s="11" t="n"/>
      <c r="H188" s="8" t="n"/>
      <c r="I188" s="8" t="n"/>
      <c r="J188" s="8" t="n"/>
    </row>
    <row r="189">
      <c r="A189" s="9" t="n"/>
      <c r="B189" s="7" t="n"/>
      <c r="C189" s="7" t="n"/>
      <c r="D189" s="8">
        <f>IFERROR(VLOOKUP(C189,Cadastro_Produtos!A:B,2,FALSE),"")</f>
        <v/>
      </c>
      <c r="E189" s="8" t="n"/>
      <c r="F189" s="10" t="n"/>
      <c r="G189" s="11" t="n"/>
      <c r="H189" s="8" t="n"/>
      <c r="I189" s="8" t="n"/>
      <c r="J189" s="8" t="n"/>
    </row>
    <row r="190">
      <c r="A190" s="9" t="n"/>
      <c r="B190" s="7" t="n"/>
      <c r="C190" s="7" t="n"/>
      <c r="D190" s="8">
        <f>IFERROR(VLOOKUP(C190,Cadastro_Produtos!A:B,2,FALSE),"")</f>
        <v/>
      </c>
      <c r="E190" s="8" t="n"/>
      <c r="F190" s="10" t="n"/>
      <c r="G190" s="11" t="n"/>
      <c r="H190" s="8" t="n"/>
      <c r="I190" s="8" t="n"/>
      <c r="J190" s="8" t="n"/>
    </row>
    <row r="191">
      <c r="A191" s="9" t="n"/>
      <c r="B191" s="7" t="n"/>
      <c r="C191" s="7" t="n"/>
      <c r="D191" s="8">
        <f>IFERROR(VLOOKUP(C191,Cadastro_Produtos!A:B,2,FALSE),"")</f>
        <v/>
      </c>
      <c r="E191" s="8" t="n"/>
      <c r="F191" s="10" t="n"/>
      <c r="G191" s="11" t="n"/>
      <c r="H191" s="8" t="n"/>
      <c r="I191" s="8" t="n"/>
      <c r="J191" s="8" t="n"/>
    </row>
    <row r="192">
      <c r="A192" s="9" t="n"/>
      <c r="B192" s="7" t="n"/>
      <c r="C192" s="7" t="n"/>
      <c r="D192" s="8">
        <f>IFERROR(VLOOKUP(C192,Cadastro_Produtos!A:B,2,FALSE),"")</f>
        <v/>
      </c>
      <c r="E192" s="8" t="n"/>
      <c r="F192" s="10" t="n"/>
      <c r="G192" s="11" t="n"/>
      <c r="H192" s="8" t="n"/>
      <c r="I192" s="8" t="n"/>
      <c r="J192" s="8" t="n"/>
    </row>
    <row r="193">
      <c r="A193" s="9" t="n"/>
      <c r="B193" s="7" t="n"/>
      <c r="C193" s="7" t="n"/>
      <c r="D193" s="8">
        <f>IFERROR(VLOOKUP(C193,Cadastro_Produtos!A:B,2,FALSE),"")</f>
        <v/>
      </c>
      <c r="E193" s="8" t="n"/>
      <c r="F193" s="10" t="n"/>
      <c r="G193" s="11" t="n"/>
      <c r="H193" s="8" t="n"/>
      <c r="I193" s="8" t="n"/>
      <c r="J193" s="8" t="n"/>
    </row>
    <row r="194">
      <c r="A194" s="9" t="n"/>
      <c r="B194" s="7" t="n"/>
      <c r="C194" s="7" t="n"/>
      <c r="D194" s="8">
        <f>IFERROR(VLOOKUP(C194,Cadastro_Produtos!A:B,2,FALSE),"")</f>
        <v/>
      </c>
      <c r="E194" s="8" t="n"/>
      <c r="F194" s="10" t="n"/>
      <c r="G194" s="11" t="n"/>
      <c r="H194" s="8" t="n"/>
      <c r="I194" s="8" t="n"/>
      <c r="J194" s="8" t="n"/>
    </row>
    <row r="195">
      <c r="A195" s="9" t="n"/>
      <c r="B195" s="7" t="n"/>
      <c r="C195" s="7" t="n"/>
      <c r="D195" s="8">
        <f>IFERROR(VLOOKUP(C195,Cadastro_Produtos!A:B,2,FALSE),"")</f>
        <v/>
      </c>
      <c r="E195" s="8" t="n"/>
      <c r="F195" s="10" t="n"/>
      <c r="G195" s="11" t="n"/>
      <c r="H195" s="8" t="n"/>
      <c r="I195" s="8" t="n"/>
      <c r="J195" s="8" t="n"/>
    </row>
    <row r="196">
      <c r="A196" s="9" t="n"/>
      <c r="B196" s="7" t="n"/>
      <c r="C196" s="7" t="n"/>
      <c r="D196" s="8">
        <f>IFERROR(VLOOKUP(C196,Cadastro_Produtos!A:B,2,FALSE),"")</f>
        <v/>
      </c>
      <c r="E196" s="8" t="n"/>
      <c r="F196" s="10" t="n"/>
      <c r="G196" s="11" t="n"/>
      <c r="H196" s="8" t="n"/>
      <c r="I196" s="8" t="n"/>
      <c r="J196" s="8" t="n"/>
    </row>
    <row r="197">
      <c r="A197" s="9" t="n"/>
      <c r="B197" s="7" t="n"/>
      <c r="C197" s="7" t="n"/>
      <c r="D197" s="8">
        <f>IFERROR(VLOOKUP(C197,Cadastro_Produtos!A:B,2,FALSE),"")</f>
        <v/>
      </c>
      <c r="E197" s="8" t="n"/>
      <c r="F197" s="10" t="n"/>
      <c r="G197" s="11" t="n"/>
      <c r="H197" s="8" t="n"/>
      <c r="I197" s="8" t="n"/>
      <c r="J197" s="8" t="n"/>
    </row>
    <row r="198">
      <c r="A198" s="9" t="n"/>
      <c r="B198" s="7" t="n"/>
      <c r="C198" s="7" t="n"/>
      <c r="D198" s="8">
        <f>IFERROR(VLOOKUP(C198,Cadastro_Produtos!A:B,2,FALSE),"")</f>
        <v/>
      </c>
      <c r="E198" s="8" t="n"/>
      <c r="F198" s="10" t="n"/>
      <c r="G198" s="11" t="n"/>
      <c r="H198" s="8" t="n"/>
      <c r="I198" s="8" t="n"/>
      <c r="J198" s="8" t="n"/>
    </row>
    <row r="199">
      <c r="A199" s="9" t="n"/>
      <c r="B199" s="7" t="n"/>
      <c r="C199" s="7" t="n"/>
      <c r="D199" s="8">
        <f>IFERROR(VLOOKUP(C199,Cadastro_Produtos!A:B,2,FALSE),"")</f>
        <v/>
      </c>
      <c r="E199" s="8" t="n"/>
      <c r="F199" s="10" t="n"/>
      <c r="G199" s="11" t="n"/>
      <c r="H199" s="8" t="n"/>
      <c r="I199" s="8" t="n"/>
      <c r="J199" s="8" t="n"/>
    </row>
    <row r="200">
      <c r="A200" s="9" t="n"/>
      <c r="B200" s="7" t="n"/>
      <c r="C200" s="7" t="n"/>
      <c r="D200" s="8">
        <f>IFERROR(VLOOKUP(C200,Cadastro_Produtos!A:B,2,FALSE),"")</f>
        <v/>
      </c>
      <c r="E200" s="8" t="n"/>
      <c r="F200" s="10" t="n"/>
      <c r="G200" s="11" t="n"/>
      <c r="H200" s="8" t="n"/>
      <c r="I200" s="8" t="n"/>
      <c r="J200" s="8" t="n"/>
    </row>
    <row r="201">
      <c r="A201" s="9" t="n"/>
      <c r="B201" s="7" t="n"/>
      <c r="C201" s="7" t="n"/>
      <c r="D201" s="8">
        <f>IFERROR(VLOOKUP(C201,Cadastro_Produtos!A:B,2,FALSE),"")</f>
        <v/>
      </c>
      <c r="E201" s="8" t="n"/>
      <c r="F201" s="10" t="n"/>
      <c r="G201" s="11" t="n"/>
      <c r="H201" s="8" t="n"/>
      <c r="I201" s="8" t="n"/>
      <c r="J201" s="8" t="n"/>
    </row>
    <row r="202">
      <c r="A202" s="9" t="n"/>
      <c r="B202" s="7" t="n"/>
      <c r="C202" s="7" t="n"/>
      <c r="D202" s="8">
        <f>IFERROR(VLOOKUP(C202,Cadastro_Produtos!A:B,2,FALSE),"")</f>
        <v/>
      </c>
      <c r="E202" s="8" t="n"/>
      <c r="F202" s="10" t="n"/>
      <c r="G202" s="11" t="n"/>
      <c r="H202" s="8" t="n"/>
      <c r="I202" s="8" t="n"/>
      <c r="J202" s="8" t="n"/>
    </row>
    <row r="203">
      <c r="A203" s="9" t="n"/>
      <c r="B203" s="7" t="n"/>
      <c r="C203" s="7" t="n"/>
      <c r="D203" s="8">
        <f>IFERROR(VLOOKUP(C203,Cadastro_Produtos!A:B,2,FALSE),"")</f>
        <v/>
      </c>
      <c r="E203" s="8" t="n"/>
      <c r="F203" s="10" t="n"/>
      <c r="G203" s="11" t="n"/>
      <c r="H203" s="8" t="n"/>
      <c r="I203" s="8" t="n"/>
      <c r="J203" s="8" t="n"/>
    </row>
    <row r="204">
      <c r="A204" s="9" t="n"/>
      <c r="B204" s="7" t="n"/>
      <c r="C204" s="7" t="n"/>
      <c r="D204" s="8">
        <f>IFERROR(VLOOKUP(C204,Cadastro_Produtos!A:B,2,FALSE),"")</f>
        <v/>
      </c>
      <c r="E204" s="8" t="n"/>
      <c r="F204" s="10" t="n"/>
      <c r="G204" s="11" t="n"/>
      <c r="H204" s="8" t="n"/>
      <c r="I204" s="8" t="n"/>
      <c r="J204" s="8" t="n"/>
    </row>
    <row r="205">
      <c r="A205" s="9" t="n"/>
      <c r="B205" s="7" t="n"/>
      <c r="C205" s="7" t="n"/>
      <c r="D205" s="8">
        <f>IFERROR(VLOOKUP(C205,Cadastro_Produtos!A:B,2,FALSE),"")</f>
        <v/>
      </c>
      <c r="E205" s="8" t="n"/>
      <c r="F205" s="10" t="n"/>
      <c r="G205" s="11" t="n"/>
      <c r="H205" s="8" t="n"/>
      <c r="I205" s="8" t="n"/>
      <c r="J205" s="8" t="n"/>
    </row>
    <row r="206">
      <c r="A206" s="9" t="n"/>
      <c r="B206" s="7" t="n"/>
      <c r="C206" s="7" t="n"/>
      <c r="D206" s="8">
        <f>IFERROR(VLOOKUP(C206,Cadastro_Produtos!A:B,2,FALSE),"")</f>
        <v/>
      </c>
      <c r="E206" s="8" t="n"/>
      <c r="F206" s="10" t="n"/>
      <c r="G206" s="11" t="n"/>
      <c r="H206" s="8" t="n"/>
      <c r="I206" s="8" t="n"/>
      <c r="J206" s="8" t="n"/>
    </row>
    <row r="207">
      <c r="A207" s="9" t="n"/>
      <c r="B207" s="7" t="n"/>
      <c r="C207" s="7" t="n"/>
      <c r="D207" s="8">
        <f>IFERROR(VLOOKUP(C207,Cadastro_Produtos!A:B,2,FALSE),"")</f>
        <v/>
      </c>
      <c r="E207" s="8" t="n"/>
      <c r="F207" s="10" t="n"/>
      <c r="G207" s="11" t="n"/>
      <c r="H207" s="8" t="n"/>
      <c r="I207" s="8" t="n"/>
      <c r="J207" s="8" t="n"/>
    </row>
    <row r="208">
      <c r="A208" s="9" t="n"/>
      <c r="B208" s="7" t="n"/>
      <c r="C208" s="7" t="n"/>
      <c r="D208" s="8">
        <f>IFERROR(VLOOKUP(C208,Cadastro_Produtos!A:B,2,FALSE),"")</f>
        <v/>
      </c>
      <c r="E208" s="8" t="n"/>
      <c r="F208" s="10" t="n"/>
      <c r="G208" s="11" t="n"/>
      <c r="H208" s="8" t="n"/>
      <c r="I208" s="8" t="n"/>
      <c r="J208" s="8" t="n"/>
    </row>
    <row r="209">
      <c r="A209" s="9" t="n"/>
      <c r="B209" s="7" t="n"/>
      <c r="C209" s="7" t="n"/>
      <c r="D209" s="8">
        <f>IFERROR(VLOOKUP(C209,Cadastro_Produtos!A:B,2,FALSE),"")</f>
        <v/>
      </c>
      <c r="E209" s="8" t="n"/>
      <c r="F209" s="10" t="n"/>
      <c r="G209" s="11" t="n"/>
      <c r="H209" s="8" t="n"/>
      <c r="I209" s="8" t="n"/>
      <c r="J209" s="8" t="n"/>
    </row>
    <row r="210">
      <c r="A210" s="9" t="n"/>
      <c r="B210" s="7" t="n"/>
      <c r="C210" s="7" t="n"/>
      <c r="D210" s="8">
        <f>IFERROR(VLOOKUP(C210,Cadastro_Produtos!A:B,2,FALSE),"")</f>
        <v/>
      </c>
      <c r="E210" s="8" t="n"/>
      <c r="F210" s="10" t="n"/>
      <c r="G210" s="11" t="n"/>
      <c r="H210" s="8" t="n"/>
      <c r="I210" s="8" t="n"/>
      <c r="J210" s="8" t="n"/>
    </row>
    <row r="211">
      <c r="A211" s="9" t="n"/>
      <c r="B211" s="7" t="n"/>
      <c r="C211" s="7" t="n"/>
      <c r="D211" s="8">
        <f>IFERROR(VLOOKUP(C211,Cadastro_Produtos!A:B,2,FALSE),"")</f>
        <v/>
      </c>
      <c r="E211" s="8" t="n"/>
      <c r="F211" s="10" t="n"/>
      <c r="G211" s="11" t="n"/>
      <c r="H211" s="8" t="n"/>
      <c r="I211" s="8" t="n"/>
      <c r="J211" s="8" t="n"/>
    </row>
    <row r="212">
      <c r="A212" s="9" t="n"/>
      <c r="B212" s="7" t="n"/>
      <c r="C212" s="7" t="n"/>
      <c r="D212" s="8">
        <f>IFERROR(VLOOKUP(C212,Cadastro_Produtos!A:B,2,FALSE),"")</f>
        <v/>
      </c>
      <c r="E212" s="8" t="n"/>
      <c r="F212" s="10" t="n"/>
      <c r="G212" s="11" t="n"/>
      <c r="H212" s="8" t="n"/>
      <c r="I212" s="8" t="n"/>
      <c r="J212" s="8" t="n"/>
    </row>
    <row r="213">
      <c r="A213" s="9" t="n"/>
      <c r="B213" s="7" t="n"/>
      <c r="C213" s="7" t="n"/>
      <c r="D213" s="8">
        <f>IFERROR(VLOOKUP(C213,Cadastro_Produtos!A:B,2,FALSE),"")</f>
        <v/>
      </c>
      <c r="E213" s="8" t="n"/>
      <c r="F213" s="10" t="n"/>
      <c r="G213" s="11" t="n"/>
      <c r="H213" s="8" t="n"/>
      <c r="I213" s="8" t="n"/>
      <c r="J213" s="8" t="n"/>
    </row>
    <row r="214">
      <c r="A214" s="9" t="n"/>
      <c r="B214" s="7" t="n"/>
      <c r="C214" s="7" t="n"/>
      <c r="D214" s="8">
        <f>IFERROR(VLOOKUP(C214,Cadastro_Produtos!A:B,2,FALSE),"")</f>
        <v/>
      </c>
      <c r="E214" s="8" t="n"/>
      <c r="F214" s="10" t="n"/>
      <c r="G214" s="11" t="n"/>
      <c r="H214" s="8" t="n"/>
      <c r="I214" s="8" t="n"/>
      <c r="J214" s="8" t="n"/>
    </row>
    <row r="215">
      <c r="A215" s="9" t="n"/>
      <c r="B215" s="7" t="n"/>
      <c r="C215" s="7" t="n"/>
      <c r="D215" s="8">
        <f>IFERROR(VLOOKUP(C215,Cadastro_Produtos!A:B,2,FALSE),"")</f>
        <v/>
      </c>
      <c r="E215" s="8" t="n"/>
      <c r="F215" s="10" t="n"/>
      <c r="G215" s="11" t="n"/>
      <c r="H215" s="8" t="n"/>
      <c r="I215" s="8" t="n"/>
      <c r="J215" s="8" t="n"/>
    </row>
    <row r="216">
      <c r="A216" s="9" t="n"/>
      <c r="B216" s="7" t="n"/>
      <c r="C216" s="7" t="n"/>
      <c r="D216" s="8">
        <f>IFERROR(VLOOKUP(C216,Cadastro_Produtos!A:B,2,FALSE),"")</f>
        <v/>
      </c>
      <c r="E216" s="8" t="n"/>
      <c r="F216" s="10" t="n"/>
      <c r="G216" s="11" t="n"/>
      <c r="H216" s="8" t="n"/>
      <c r="I216" s="8" t="n"/>
      <c r="J216" s="8" t="n"/>
    </row>
    <row r="217">
      <c r="A217" s="9" t="n"/>
      <c r="B217" s="7" t="n"/>
      <c r="C217" s="7" t="n"/>
      <c r="D217" s="8">
        <f>IFERROR(VLOOKUP(C217,Cadastro_Produtos!A:B,2,FALSE),"")</f>
        <v/>
      </c>
      <c r="E217" s="8" t="n"/>
      <c r="F217" s="10" t="n"/>
      <c r="G217" s="11" t="n"/>
      <c r="H217" s="8" t="n"/>
      <c r="I217" s="8" t="n"/>
      <c r="J217" s="8" t="n"/>
    </row>
    <row r="218">
      <c r="A218" s="9" t="n"/>
      <c r="B218" s="7" t="n"/>
      <c r="C218" s="7" t="n"/>
      <c r="D218" s="8">
        <f>IFERROR(VLOOKUP(C218,Cadastro_Produtos!A:B,2,FALSE),"")</f>
        <v/>
      </c>
      <c r="E218" s="8" t="n"/>
      <c r="F218" s="10" t="n"/>
      <c r="G218" s="11" t="n"/>
      <c r="H218" s="8" t="n"/>
      <c r="I218" s="8" t="n"/>
      <c r="J218" s="8" t="n"/>
    </row>
    <row r="219">
      <c r="A219" s="9" t="n"/>
      <c r="B219" s="7" t="n"/>
      <c r="C219" s="7" t="n"/>
      <c r="D219" s="8">
        <f>IFERROR(VLOOKUP(C219,Cadastro_Produtos!A:B,2,FALSE),"")</f>
        <v/>
      </c>
      <c r="E219" s="8" t="n"/>
      <c r="F219" s="10" t="n"/>
      <c r="G219" s="11" t="n"/>
      <c r="H219" s="8" t="n"/>
      <c r="I219" s="8" t="n"/>
      <c r="J219" s="8" t="n"/>
    </row>
    <row r="220">
      <c r="A220" s="9" t="n"/>
      <c r="B220" s="7" t="n"/>
      <c r="C220" s="7" t="n"/>
      <c r="D220" s="8">
        <f>IFERROR(VLOOKUP(C220,Cadastro_Produtos!A:B,2,FALSE),"")</f>
        <v/>
      </c>
      <c r="E220" s="8" t="n"/>
      <c r="F220" s="10" t="n"/>
      <c r="G220" s="11" t="n"/>
      <c r="H220" s="8" t="n"/>
      <c r="I220" s="8" t="n"/>
      <c r="J220" s="8" t="n"/>
    </row>
    <row r="221">
      <c r="A221" s="12" t="n"/>
      <c r="D221">
        <f>IFERROR(VLOOKUP(C221,Cadastro_Produtos!A:B,2,FALSE),"")</f>
        <v/>
      </c>
      <c r="F221" s="12" t="n"/>
      <c r="G221" s="13" t="n"/>
    </row>
    <row r="222">
      <c r="A222" s="12" t="n"/>
      <c r="D222">
        <f>IFERROR(VLOOKUP(C222,Cadastro_Produtos!A:B,2,FALSE),"")</f>
        <v/>
      </c>
      <c r="F222" s="12" t="n"/>
      <c r="G222" s="13" t="n"/>
    </row>
    <row r="223">
      <c r="A223" s="12" t="n"/>
      <c r="D223">
        <f>IFERROR(VLOOKUP(C223,Cadastro_Produtos!A:B,2,FALSE),"")</f>
        <v/>
      </c>
      <c r="F223" s="12" t="n"/>
      <c r="G223" s="13" t="n"/>
    </row>
    <row r="224">
      <c r="A224" s="12" t="n"/>
      <c r="D224">
        <f>IFERROR(VLOOKUP(C224,Cadastro_Produtos!A:B,2,FALSE),"")</f>
        <v/>
      </c>
      <c r="F224" s="12" t="n"/>
      <c r="G224" s="13" t="n"/>
    </row>
    <row r="225">
      <c r="A225" s="12" t="n"/>
      <c r="D225">
        <f>IFERROR(VLOOKUP(C225,Cadastro_Produtos!A:B,2,FALSE),"")</f>
        <v/>
      </c>
      <c r="F225" s="12" t="n"/>
      <c r="G225" s="13" t="n"/>
    </row>
    <row r="226">
      <c r="A226" s="12" t="n"/>
      <c r="D226">
        <f>IFERROR(VLOOKUP(C226,Cadastro_Produtos!A:B,2,FALSE),"")</f>
        <v/>
      </c>
      <c r="F226" s="12" t="n"/>
      <c r="G226" s="13" t="n"/>
    </row>
    <row r="227">
      <c r="A227" s="12" t="n"/>
      <c r="D227">
        <f>IFERROR(VLOOKUP(C227,Cadastro_Produtos!A:B,2,FALSE),"")</f>
        <v/>
      </c>
      <c r="F227" s="12" t="n"/>
      <c r="G227" s="13" t="n"/>
    </row>
    <row r="228">
      <c r="A228" s="12" t="n"/>
      <c r="D228">
        <f>IFERROR(VLOOKUP(C228,Cadastro_Produtos!A:B,2,FALSE),"")</f>
        <v/>
      </c>
      <c r="F228" s="12" t="n"/>
      <c r="G228" s="13" t="n"/>
    </row>
    <row r="229">
      <c r="A229" s="12" t="n"/>
      <c r="D229">
        <f>IFERROR(VLOOKUP(C229,Cadastro_Produtos!A:B,2,FALSE),"")</f>
        <v/>
      </c>
      <c r="F229" s="12" t="n"/>
      <c r="G229" s="13" t="n"/>
    </row>
    <row r="230">
      <c r="A230" s="12" t="n"/>
      <c r="D230">
        <f>IFERROR(VLOOKUP(C230,Cadastro_Produtos!A:B,2,FALSE),"")</f>
        <v/>
      </c>
      <c r="F230" s="12" t="n"/>
      <c r="G230" s="13" t="n"/>
    </row>
    <row r="231">
      <c r="A231" s="12" t="n"/>
      <c r="D231">
        <f>IFERROR(VLOOKUP(C231,Cadastro_Produtos!A:B,2,FALSE),"")</f>
        <v/>
      </c>
      <c r="F231" s="12" t="n"/>
      <c r="G231" s="13" t="n"/>
    </row>
    <row r="232">
      <c r="A232" s="12" t="n"/>
      <c r="D232">
        <f>IFERROR(VLOOKUP(C232,Cadastro_Produtos!A:B,2,FALSE),"")</f>
        <v/>
      </c>
      <c r="F232" s="12" t="n"/>
      <c r="G232" s="13" t="n"/>
    </row>
    <row r="233">
      <c r="A233" s="12" t="n"/>
      <c r="D233">
        <f>IFERROR(VLOOKUP(C233,Cadastro_Produtos!A:B,2,FALSE),"")</f>
        <v/>
      </c>
      <c r="F233" s="12" t="n"/>
      <c r="G233" s="13" t="n"/>
    </row>
    <row r="234">
      <c r="A234" s="12" t="n"/>
      <c r="D234">
        <f>IFERROR(VLOOKUP(C234,Cadastro_Produtos!A:B,2,FALSE),"")</f>
        <v/>
      </c>
      <c r="F234" s="12" t="n"/>
      <c r="G234" s="13" t="n"/>
    </row>
    <row r="235">
      <c r="A235" s="12" t="n"/>
      <c r="D235">
        <f>IFERROR(VLOOKUP(C235,Cadastro_Produtos!A:B,2,FALSE),"")</f>
        <v/>
      </c>
      <c r="F235" s="12" t="n"/>
      <c r="G235" s="13" t="n"/>
    </row>
    <row r="236">
      <c r="A236" s="12" t="n"/>
      <c r="D236">
        <f>IFERROR(VLOOKUP(C236,Cadastro_Produtos!A:B,2,FALSE),"")</f>
        <v/>
      </c>
      <c r="F236" s="12" t="n"/>
      <c r="G236" s="13" t="n"/>
    </row>
    <row r="237">
      <c r="A237" s="12" t="n"/>
      <c r="D237">
        <f>IFERROR(VLOOKUP(C237,Cadastro_Produtos!A:B,2,FALSE),"")</f>
        <v/>
      </c>
      <c r="F237" s="12" t="n"/>
      <c r="G237" s="13" t="n"/>
    </row>
    <row r="238">
      <c r="A238" s="12" t="n"/>
      <c r="D238">
        <f>IFERROR(VLOOKUP(C238,Cadastro_Produtos!A:B,2,FALSE),"")</f>
        <v/>
      </c>
      <c r="F238" s="12" t="n"/>
      <c r="G238" s="13" t="n"/>
    </row>
    <row r="239">
      <c r="A239" s="12" t="n"/>
      <c r="D239">
        <f>IFERROR(VLOOKUP(C239,Cadastro_Produtos!A:B,2,FALSE),"")</f>
        <v/>
      </c>
      <c r="F239" s="12" t="n"/>
      <c r="G239" s="13" t="n"/>
    </row>
    <row r="240">
      <c r="A240" s="12" t="n"/>
      <c r="D240">
        <f>IFERROR(VLOOKUP(C240,Cadastro_Produtos!A:B,2,FALSE),"")</f>
        <v/>
      </c>
      <c r="F240" s="12" t="n"/>
      <c r="G240" s="13" t="n"/>
    </row>
    <row r="241">
      <c r="A241" s="12" t="n"/>
      <c r="D241">
        <f>IFERROR(VLOOKUP(C241,Cadastro_Produtos!A:B,2,FALSE),"")</f>
        <v/>
      </c>
      <c r="F241" s="12" t="n"/>
      <c r="G241" s="13" t="n"/>
    </row>
    <row r="242">
      <c r="A242" s="12" t="n"/>
      <c r="D242">
        <f>IFERROR(VLOOKUP(C242,Cadastro_Produtos!A:B,2,FALSE),"")</f>
        <v/>
      </c>
      <c r="F242" s="12" t="n"/>
      <c r="G242" s="13" t="n"/>
    </row>
    <row r="243">
      <c r="A243" s="12" t="n"/>
      <c r="D243">
        <f>IFERROR(VLOOKUP(C243,Cadastro_Produtos!A:B,2,FALSE),"")</f>
        <v/>
      </c>
      <c r="F243" s="12" t="n"/>
      <c r="G243" s="13" t="n"/>
    </row>
    <row r="244">
      <c r="A244" s="12" t="n"/>
      <c r="D244">
        <f>IFERROR(VLOOKUP(C244,Cadastro_Produtos!A:B,2,FALSE),"")</f>
        <v/>
      </c>
      <c r="F244" s="12" t="n"/>
      <c r="G244" s="13" t="n"/>
    </row>
    <row r="245">
      <c r="A245" s="12" t="n"/>
      <c r="D245">
        <f>IFERROR(VLOOKUP(C245,Cadastro_Produtos!A:B,2,FALSE),"")</f>
        <v/>
      </c>
      <c r="F245" s="12" t="n"/>
      <c r="G245" s="13" t="n"/>
    </row>
    <row r="246">
      <c r="A246" s="12" t="n"/>
      <c r="D246">
        <f>IFERROR(VLOOKUP(C246,Cadastro_Produtos!A:B,2,FALSE),"")</f>
        <v/>
      </c>
      <c r="F246" s="12" t="n"/>
      <c r="G246" s="13" t="n"/>
    </row>
    <row r="247">
      <c r="A247" s="12" t="n"/>
      <c r="D247">
        <f>IFERROR(VLOOKUP(C247,Cadastro_Produtos!A:B,2,FALSE),"")</f>
        <v/>
      </c>
      <c r="F247" s="12" t="n"/>
      <c r="G247" s="13" t="n"/>
    </row>
    <row r="248">
      <c r="A248" s="12" t="n"/>
      <c r="D248">
        <f>IFERROR(VLOOKUP(C248,Cadastro_Produtos!A:B,2,FALSE),"")</f>
        <v/>
      </c>
      <c r="F248" s="12" t="n"/>
      <c r="G248" s="13" t="n"/>
    </row>
    <row r="249">
      <c r="A249" s="12" t="n"/>
      <c r="D249">
        <f>IFERROR(VLOOKUP(C249,Cadastro_Produtos!A:B,2,FALSE),"")</f>
        <v/>
      </c>
      <c r="F249" s="12" t="n"/>
      <c r="G249" s="13" t="n"/>
    </row>
    <row r="250">
      <c r="A250" s="12" t="n"/>
      <c r="D250">
        <f>IFERROR(VLOOKUP(C250,Cadastro_Produtos!A:B,2,FALSE),"")</f>
        <v/>
      </c>
      <c r="F250" s="12" t="n"/>
      <c r="G250" s="13" t="n"/>
    </row>
    <row r="251">
      <c r="A251" s="12" t="n"/>
      <c r="D251">
        <f>IFERROR(VLOOKUP(C251,Cadastro_Produtos!A:B,2,FALSE),"")</f>
        <v/>
      </c>
      <c r="F251" s="12" t="n"/>
      <c r="G251" s="13" t="n"/>
    </row>
    <row r="252">
      <c r="A252" s="12" t="n"/>
      <c r="D252">
        <f>IFERROR(VLOOKUP(C252,Cadastro_Produtos!A:B,2,FALSE),"")</f>
        <v/>
      </c>
      <c r="F252" s="12" t="n"/>
      <c r="G252" s="13" t="n"/>
    </row>
    <row r="253">
      <c r="A253" s="12" t="n"/>
      <c r="D253">
        <f>IFERROR(VLOOKUP(C253,Cadastro_Produtos!A:B,2,FALSE),"")</f>
        <v/>
      </c>
      <c r="F253" s="12" t="n"/>
      <c r="G253" s="13" t="n"/>
    </row>
    <row r="254">
      <c r="A254" s="12" t="n"/>
      <c r="D254">
        <f>IFERROR(VLOOKUP(C254,Cadastro_Produtos!A:B,2,FALSE),"")</f>
        <v/>
      </c>
      <c r="F254" s="12" t="n"/>
      <c r="G254" s="13" t="n"/>
    </row>
    <row r="255">
      <c r="A255" s="12" t="n"/>
      <c r="D255">
        <f>IFERROR(VLOOKUP(C255,Cadastro_Produtos!A:B,2,FALSE),"")</f>
        <v/>
      </c>
      <c r="F255" s="12" t="n"/>
      <c r="G255" s="13" t="n"/>
    </row>
    <row r="256">
      <c r="A256" s="12" t="n"/>
      <c r="D256">
        <f>IFERROR(VLOOKUP(C256,Cadastro_Produtos!A:B,2,FALSE),"")</f>
        <v/>
      </c>
      <c r="F256" s="12" t="n"/>
      <c r="G256" s="13" t="n"/>
    </row>
    <row r="257">
      <c r="A257" s="12" t="n"/>
      <c r="D257">
        <f>IFERROR(VLOOKUP(C257,Cadastro_Produtos!A:B,2,FALSE),"")</f>
        <v/>
      </c>
      <c r="F257" s="12" t="n"/>
      <c r="G257" s="13" t="n"/>
    </row>
    <row r="258">
      <c r="A258" s="12" t="n"/>
      <c r="D258">
        <f>IFERROR(VLOOKUP(C258,Cadastro_Produtos!A:B,2,FALSE),"")</f>
        <v/>
      </c>
      <c r="F258" s="12" t="n"/>
      <c r="G258" s="13" t="n"/>
    </row>
    <row r="259">
      <c r="A259" s="12" t="n"/>
      <c r="D259">
        <f>IFERROR(VLOOKUP(C259,Cadastro_Produtos!A:B,2,FALSE),"")</f>
        <v/>
      </c>
      <c r="F259" s="12" t="n"/>
      <c r="G259" s="13" t="n"/>
    </row>
    <row r="260">
      <c r="A260" s="12" t="n"/>
      <c r="D260">
        <f>IFERROR(VLOOKUP(C260,Cadastro_Produtos!A:B,2,FALSE),"")</f>
        <v/>
      </c>
      <c r="F260" s="12" t="n"/>
      <c r="G260" s="13" t="n"/>
    </row>
    <row r="261">
      <c r="A261" s="12" t="n"/>
      <c r="D261">
        <f>IFERROR(VLOOKUP(C261,Cadastro_Produtos!A:B,2,FALSE),"")</f>
        <v/>
      </c>
      <c r="F261" s="12" t="n"/>
      <c r="G261" s="13" t="n"/>
    </row>
    <row r="262">
      <c r="A262" s="12" t="n"/>
      <c r="D262">
        <f>IFERROR(VLOOKUP(C262,Cadastro_Produtos!A:B,2,FALSE),"")</f>
        <v/>
      </c>
      <c r="F262" s="12" t="n"/>
      <c r="G262" s="13" t="n"/>
    </row>
    <row r="263">
      <c r="A263" s="12" t="n"/>
      <c r="D263">
        <f>IFERROR(VLOOKUP(C263,Cadastro_Produtos!A:B,2,FALSE),"")</f>
        <v/>
      </c>
      <c r="F263" s="12" t="n"/>
      <c r="G263" s="13" t="n"/>
    </row>
    <row r="264">
      <c r="A264" s="12" t="n"/>
      <c r="D264">
        <f>IFERROR(VLOOKUP(C264,Cadastro_Produtos!A:B,2,FALSE),"")</f>
        <v/>
      </c>
      <c r="F264" s="12" t="n"/>
      <c r="G264" s="13" t="n"/>
    </row>
    <row r="265">
      <c r="A265" s="12" t="n"/>
      <c r="D265">
        <f>IFERROR(VLOOKUP(C265,Cadastro_Produtos!A:B,2,FALSE),"")</f>
        <v/>
      </c>
      <c r="F265" s="12" t="n"/>
      <c r="G265" s="13" t="n"/>
    </row>
    <row r="266">
      <c r="A266" s="12" t="n"/>
      <c r="D266">
        <f>IFERROR(VLOOKUP(C266,Cadastro_Produtos!A:B,2,FALSE),"")</f>
        <v/>
      </c>
      <c r="F266" s="12" t="n"/>
      <c r="G266" s="13" t="n"/>
    </row>
    <row r="267">
      <c r="A267" s="12" t="n"/>
      <c r="D267">
        <f>IFERROR(VLOOKUP(C267,Cadastro_Produtos!A:B,2,FALSE),"")</f>
        <v/>
      </c>
      <c r="F267" s="12" t="n"/>
      <c r="G267" s="13" t="n"/>
    </row>
    <row r="268">
      <c r="A268" s="12" t="n"/>
      <c r="D268">
        <f>IFERROR(VLOOKUP(C268,Cadastro_Produtos!A:B,2,FALSE),"")</f>
        <v/>
      </c>
      <c r="F268" s="12" t="n"/>
      <c r="G268" s="13" t="n"/>
    </row>
    <row r="269">
      <c r="A269" s="12" t="n"/>
      <c r="D269">
        <f>IFERROR(VLOOKUP(C269,Cadastro_Produtos!A:B,2,FALSE),"")</f>
        <v/>
      </c>
      <c r="F269" s="12" t="n"/>
      <c r="G269" s="13" t="n"/>
    </row>
    <row r="270">
      <c r="A270" s="12" t="n"/>
      <c r="D270">
        <f>IFERROR(VLOOKUP(C270,Cadastro_Produtos!A:B,2,FALSE),"")</f>
        <v/>
      </c>
      <c r="F270" s="12" t="n"/>
      <c r="G270" s="13" t="n"/>
    </row>
    <row r="271">
      <c r="A271" s="12" t="n"/>
      <c r="D271">
        <f>IFERROR(VLOOKUP(C271,Cadastro_Produtos!A:B,2,FALSE),"")</f>
        <v/>
      </c>
      <c r="F271" s="12" t="n"/>
      <c r="G271" s="13" t="n"/>
    </row>
    <row r="272">
      <c r="A272" s="12" t="n"/>
      <c r="D272">
        <f>IFERROR(VLOOKUP(C272,Cadastro_Produtos!A:B,2,FALSE),"")</f>
        <v/>
      </c>
      <c r="F272" s="12" t="n"/>
      <c r="G272" s="13" t="n"/>
    </row>
    <row r="273">
      <c r="A273" s="12" t="n"/>
      <c r="D273">
        <f>IFERROR(VLOOKUP(C273,Cadastro_Produtos!A:B,2,FALSE),"")</f>
        <v/>
      </c>
      <c r="F273" s="12" t="n"/>
      <c r="G273" s="13" t="n"/>
    </row>
    <row r="274">
      <c r="A274" s="12" t="n"/>
      <c r="D274">
        <f>IFERROR(VLOOKUP(C274,Cadastro_Produtos!A:B,2,FALSE),"")</f>
        <v/>
      </c>
      <c r="F274" s="12" t="n"/>
      <c r="G274" s="13" t="n"/>
    </row>
    <row r="275">
      <c r="A275" s="12" t="n"/>
      <c r="D275">
        <f>IFERROR(VLOOKUP(C275,Cadastro_Produtos!A:B,2,FALSE),"")</f>
        <v/>
      </c>
      <c r="F275" s="12" t="n"/>
      <c r="G275" s="13" t="n"/>
    </row>
    <row r="276">
      <c r="A276" s="12" t="n"/>
      <c r="D276">
        <f>IFERROR(VLOOKUP(C276,Cadastro_Produtos!A:B,2,FALSE),"")</f>
        <v/>
      </c>
      <c r="F276" s="12" t="n"/>
      <c r="G276" s="13" t="n"/>
    </row>
    <row r="277">
      <c r="A277" s="12" t="n"/>
      <c r="D277">
        <f>IFERROR(VLOOKUP(C277,Cadastro_Produtos!A:B,2,FALSE),"")</f>
        <v/>
      </c>
      <c r="F277" s="12" t="n"/>
      <c r="G277" s="13" t="n"/>
    </row>
    <row r="278">
      <c r="A278" s="12" t="n"/>
      <c r="D278">
        <f>IFERROR(VLOOKUP(C278,Cadastro_Produtos!A:B,2,FALSE),"")</f>
        <v/>
      </c>
      <c r="F278" s="12" t="n"/>
      <c r="G278" s="13" t="n"/>
    </row>
    <row r="279">
      <c r="A279" s="12" t="n"/>
      <c r="D279">
        <f>IFERROR(VLOOKUP(C279,Cadastro_Produtos!A:B,2,FALSE),"")</f>
        <v/>
      </c>
      <c r="F279" s="12" t="n"/>
      <c r="G279" s="13" t="n"/>
    </row>
    <row r="280">
      <c r="A280" s="12" t="n"/>
      <c r="D280">
        <f>IFERROR(VLOOKUP(C280,Cadastro_Produtos!A:B,2,FALSE),"")</f>
        <v/>
      </c>
      <c r="F280" s="12" t="n"/>
      <c r="G280" s="13" t="n"/>
    </row>
    <row r="281">
      <c r="A281" s="12" t="n"/>
      <c r="D281">
        <f>IFERROR(VLOOKUP(C281,Cadastro_Produtos!A:B,2,FALSE),"")</f>
        <v/>
      </c>
      <c r="F281" s="12" t="n"/>
      <c r="G281" s="13" t="n"/>
    </row>
    <row r="282">
      <c r="A282" s="12" t="n"/>
      <c r="D282">
        <f>IFERROR(VLOOKUP(C282,Cadastro_Produtos!A:B,2,FALSE),"")</f>
        <v/>
      </c>
      <c r="F282" s="12" t="n"/>
      <c r="G282" s="13" t="n"/>
    </row>
    <row r="283">
      <c r="A283" s="12" t="n"/>
      <c r="D283">
        <f>IFERROR(VLOOKUP(C283,Cadastro_Produtos!A:B,2,FALSE),"")</f>
        <v/>
      </c>
      <c r="F283" s="12" t="n"/>
      <c r="G283" s="13" t="n"/>
    </row>
    <row r="284">
      <c r="A284" s="12" t="n"/>
      <c r="D284">
        <f>IFERROR(VLOOKUP(C284,Cadastro_Produtos!A:B,2,FALSE),"")</f>
        <v/>
      </c>
      <c r="F284" s="12" t="n"/>
      <c r="G284" s="13" t="n"/>
    </row>
    <row r="285">
      <c r="A285" s="12" t="n"/>
      <c r="D285">
        <f>IFERROR(VLOOKUP(C285,Cadastro_Produtos!A:B,2,FALSE),"")</f>
        <v/>
      </c>
      <c r="F285" s="12" t="n"/>
      <c r="G285" s="13" t="n"/>
    </row>
    <row r="286">
      <c r="A286" s="12" t="n"/>
      <c r="D286">
        <f>IFERROR(VLOOKUP(C286,Cadastro_Produtos!A:B,2,FALSE),"")</f>
        <v/>
      </c>
      <c r="F286" s="12" t="n"/>
      <c r="G286" s="13" t="n"/>
    </row>
    <row r="287">
      <c r="A287" s="12" t="n"/>
      <c r="D287">
        <f>IFERROR(VLOOKUP(C287,Cadastro_Produtos!A:B,2,FALSE),"")</f>
        <v/>
      </c>
      <c r="F287" s="12" t="n"/>
      <c r="G287" s="13" t="n"/>
    </row>
    <row r="288">
      <c r="A288" s="12" t="n"/>
      <c r="D288">
        <f>IFERROR(VLOOKUP(C288,Cadastro_Produtos!A:B,2,FALSE),"")</f>
        <v/>
      </c>
      <c r="F288" s="12" t="n"/>
      <c r="G288" s="13" t="n"/>
    </row>
    <row r="289">
      <c r="A289" s="12" t="n"/>
      <c r="D289">
        <f>IFERROR(VLOOKUP(C289,Cadastro_Produtos!A:B,2,FALSE),"")</f>
        <v/>
      </c>
      <c r="F289" s="12" t="n"/>
      <c r="G289" s="13" t="n"/>
    </row>
    <row r="290">
      <c r="A290" s="12" t="n"/>
      <c r="D290">
        <f>IFERROR(VLOOKUP(C290,Cadastro_Produtos!A:B,2,FALSE),"")</f>
        <v/>
      </c>
      <c r="F290" s="12" t="n"/>
      <c r="G290" s="13" t="n"/>
    </row>
    <row r="291">
      <c r="A291" s="12" t="n"/>
      <c r="D291">
        <f>IFERROR(VLOOKUP(C291,Cadastro_Produtos!A:B,2,FALSE),"")</f>
        <v/>
      </c>
      <c r="F291" s="12" t="n"/>
      <c r="G291" s="13" t="n"/>
    </row>
    <row r="292">
      <c r="A292" s="12" t="n"/>
      <c r="D292">
        <f>IFERROR(VLOOKUP(C292,Cadastro_Produtos!A:B,2,FALSE),"")</f>
        <v/>
      </c>
      <c r="F292" s="12" t="n"/>
      <c r="G292" s="13" t="n"/>
    </row>
    <row r="293">
      <c r="A293" s="12" t="n"/>
      <c r="D293">
        <f>IFERROR(VLOOKUP(C293,Cadastro_Produtos!A:B,2,FALSE),"")</f>
        <v/>
      </c>
      <c r="F293" s="12" t="n"/>
      <c r="G293" s="13" t="n"/>
    </row>
    <row r="294">
      <c r="A294" s="12" t="n"/>
      <c r="D294">
        <f>IFERROR(VLOOKUP(C294,Cadastro_Produtos!A:B,2,FALSE),"")</f>
        <v/>
      </c>
      <c r="F294" s="12" t="n"/>
      <c r="G294" s="13" t="n"/>
    </row>
    <row r="295">
      <c r="A295" s="12" t="n"/>
      <c r="D295">
        <f>IFERROR(VLOOKUP(C295,Cadastro_Produtos!A:B,2,FALSE),"")</f>
        <v/>
      </c>
      <c r="F295" s="12" t="n"/>
      <c r="G295" s="13" t="n"/>
    </row>
    <row r="296">
      <c r="A296" s="12" t="n"/>
      <c r="D296">
        <f>IFERROR(VLOOKUP(C296,Cadastro_Produtos!A:B,2,FALSE),"")</f>
        <v/>
      </c>
      <c r="F296" s="12" t="n"/>
      <c r="G296" s="13" t="n"/>
    </row>
    <row r="297">
      <c r="A297" s="12" t="n"/>
      <c r="D297">
        <f>IFERROR(VLOOKUP(C297,Cadastro_Produtos!A:B,2,FALSE),"")</f>
        <v/>
      </c>
      <c r="F297" s="12" t="n"/>
      <c r="G297" s="13" t="n"/>
    </row>
    <row r="298">
      <c r="A298" s="12" t="n"/>
      <c r="D298">
        <f>IFERROR(VLOOKUP(C298,Cadastro_Produtos!A:B,2,FALSE),"")</f>
        <v/>
      </c>
      <c r="F298" s="12" t="n"/>
      <c r="G298" s="13" t="n"/>
    </row>
    <row r="299">
      <c r="A299" s="12" t="n"/>
      <c r="D299">
        <f>IFERROR(VLOOKUP(C299,Cadastro_Produtos!A:B,2,FALSE),"")</f>
        <v/>
      </c>
      <c r="F299" s="12" t="n"/>
      <c r="G299" s="13" t="n"/>
    </row>
    <row r="300">
      <c r="A300" s="12" t="n"/>
      <c r="D300">
        <f>IFERROR(VLOOKUP(C300,Cadastro_Produtos!A:B,2,FALSE),"")</f>
        <v/>
      </c>
      <c r="F300" s="12" t="n"/>
      <c r="G300" s="13" t="n"/>
    </row>
    <row r="301">
      <c r="A301" s="12" t="n"/>
      <c r="D301">
        <f>IFERROR(VLOOKUP(C301,Cadastro_Produtos!A:B,2,FALSE),"")</f>
        <v/>
      </c>
      <c r="F301" s="12" t="n"/>
      <c r="G301" s="13" t="n"/>
    </row>
    <row r="302">
      <c r="A302" s="12" t="n"/>
      <c r="D302">
        <f>IFERROR(VLOOKUP(C302,Cadastro_Produtos!A:B,2,FALSE),"")</f>
        <v/>
      </c>
      <c r="F302" s="12" t="n"/>
      <c r="G302" s="13" t="n"/>
    </row>
    <row r="303">
      <c r="A303" s="12" t="n"/>
      <c r="D303">
        <f>IFERROR(VLOOKUP(C303,Cadastro_Produtos!A:B,2,FALSE),"")</f>
        <v/>
      </c>
      <c r="F303" s="12" t="n"/>
      <c r="G303" s="13" t="n"/>
    </row>
    <row r="304">
      <c r="A304" s="12" t="n"/>
      <c r="D304">
        <f>IFERROR(VLOOKUP(C304,Cadastro_Produtos!A:B,2,FALSE),"")</f>
        <v/>
      </c>
      <c r="F304" s="12" t="n"/>
      <c r="G304" s="13" t="n"/>
    </row>
    <row r="305">
      <c r="A305" s="12" t="n"/>
      <c r="D305">
        <f>IFERROR(VLOOKUP(C305,Cadastro_Produtos!A:B,2,FALSE),"")</f>
        <v/>
      </c>
      <c r="F305" s="12" t="n"/>
      <c r="G305" s="13" t="n"/>
    </row>
    <row r="306">
      <c r="A306" s="12" t="n"/>
      <c r="D306">
        <f>IFERROR(VLOOKUP(C306,Cadastro_Produtos!A:B,2,FALSE),"")</f>
        <v/>
      </c>
      <c r="F306" s="12" t="n"/>
      <c r="G306" s="13" t="n"/>
    </row>
    <row r="307">
      <c r="A307" s="12" t="n"/>
      <c r="D307">
        <f>IFERROR(VLOOKUP(C307,Cadastro_Produtos!A:B,2,FALSE),"")</f>
        <v/>
      </c>
      <c r="F307" s="12" t="n"/>
      <c r="G307" s="13" t="n"/>
    </row>
    <row r="308">
      <c r="A308" s="12" t="n"/>
      <c r="D308">
        <f>IFERROR(VLOOKUP(C308,Cadastro_Produtos!A:B,2,FALSE),"")</f>
        <v/>
      </c>
      <c r="F308" s="12" t="n"/>
      <c r="G308" s="13" t="n"/>
    </row>
    <row r="309">
      <c r="A309" s="12" t="n"/>
      <c r="D309">
        <f>IFERROR(VLOOKUP(C309,Cadastro_Produtos!A:B,2,FALSE),"")</f>
        <v/>
      </c>
      <c r="F309" s="12" t="n"/>
      <c r="G309" s="13" t="n"/>
    </row>
    <row r="310">
      <c r="A310" s="12" t="n"/>
      <c r="D310">
        <f>IFERROR(VLOOKUP(C310,Cadastro_Produtos!A:B,2,FALSE),"")</f>
        <v/>
      </c>
      <c r="F310" s="12" t="n"/>
      <c r="G310" s="13" t="n"/>
    </row>
    <row r="311">
      <c r="A311" s="12" t="n"/>
      <c r="D311">
        <f>IFERROR(VLOOKUP(C311,Cadastro_Produtos!A:B,2,FALSE),"")</f>
        <v/>
      </c>
      <c r="F311" s="12" t="n"/>
      <c r="G311" s="13" t="n"/>
    </row>
    <row r="312">
      <c r="A312" s="12" t="n"/>
      <c r="D312">
        <f>IFERROR(VLOOKUP(C312,Cadastro_Produtos!A:B,2,FALSE),"")</f>
        <v/>
      </c>
      <c r="F312" s="12" t="n"/>
      <c r="G312" s="13" t="n"/>
    </row>
    <row r="313">
      <c r="A313" s="12" t="n"/>
      <c r="D313">
        <f>IFERROR(VLOOKUP(C313,Cadastro_Produtos!A:B,2,FALSE),"")</f>
        <v/>
      </c>
      <c r="F313" s="12" t="n"/>
      <c r="G313" s="13" t="n"/>
    </row>
    <row r="314">
      <c r="A314" s="12" t="n"/>
      <c r="D314">
        <f>IFERROR(VLOOKUP(C314,Cadastro_Produtos!A:B,2,FALSE),"")</f>
        <v/>
      </c>
      <c r="F314" s="12" t="n"/>
      <c r="G314" s="13" t="n"/>
    </row>
    <row r="315">
      <c r="A315" s="12" t="n"/>
      <c r="D315">
        <f>IFERROR(VLOOKUP(C315,Cadastro_Produtos!A:B,2,FALSE),"")</f>
        <v/>
      </c>
      <c r="F315" s="12" t="n"/>
      <c r="G315" s="13" t="n"/>
    </row>
    <row r="316">
      <c r="A316" s="12" t="n"/>
      <c r="D316">
        <f>IFERROR(VLOOKUP(C316,Cadastro_Produtos!A:B,2,FALSE),"")</f>
        <v/>
      </c>
      <c r="F316" s="12" t="n"/>
      <c r="G316" s="13" t="n"/>
    </row>
    <row r="317">
      <c r="A317" s="12" t="n"/>
      <c r="D317">
        <f>IFERROR(VLOOKUP(C317,Cadastro_Produtos!A:B,2,FALSE),"")</f>
        <v/>
      </c>
      <c r="F317" s="12" t="n"/>
      <c r="G317" s="13" t="n"/>
    </row>
    <row r="318">
      <c r="A318" s="12" t="n"/>
      <c r="D318">
        <f>IFERROR(VLOOKUP(C318,Cadastro_Produtos!A:B,2,FALSE),"")</f>
        <v/>
      </c>
      <c r="F318" s="12" t="n"/>
      <c r="G318" s="13" t="n"/>
    </row>
    <row r="319">
      <c r="A319" s="12" t="n"/>
      <c r="D319">
        <f>IFERROR(VLOOKUP(C319,Cadastro_Produtos!A:B,2,FALSE),"")</f>
        <v/>
      </c>
      <c r="F319" s="12" t="n"/>
      <c r="G319" s="13" t="n"/>
    </row>
    <row r="320">
      <c r="A320" s="12" t="n"/>
      <c r="D320">
        <f>IFERROR(VLOOKUP(C320,Cadastro_Produtos!A:B,2,FALSE),"")</f>
        <v/>
      </c>
      <c r="F320" s="12" t="n"/>
      <c r="G320" s="13" t="n"/>
    </row>
    <row r="321">
      <c r="A321" s="12" t="n"/>
      <c r="D321">
        <f>IFERROR(VLOOKUP(C321,Cadastro_Produtos!A:B,2,FALSE),"")</f>
        <v/>
      </c>
      <c r="F321" s="12" t="n"/>
      <c r="G321" s="13" t="n"/>
    </row>
    <row r="322">
      <c r="A322" s="12" t="n"/>
      <c r="D322">
        <f>IFERROR(VLOOKUP(C322,Cadastro_Produtos!A:B,2,FALSE),"")</f>
        <v/>
      </c>
      <c r="F322" s="12" t="n"/>
      <c r="G322" s="13" t="n"/>
    </row>
    <row r="323">
      <c r="A323" s="12" t="n"/>
      <c r="D323">
        <f>IFERROR(VLOOKUP(C323,Cadastro_Produtos!A:B,2,FALSE),"")</f>
        <v/>
      </c>
      <c r="F323" s="12" t="n"/>
      <c r="G323" s="13" t="n"/>
    </row>
    <row r="324">
      <c r="A324" s="12" t="n"/>
      <c r="D324">
        <f>IFERROR(VLOOKUP(C324,Cadastro_Produtos!A:B,2,FALSE),"")</f>
        <v/>
      </c>
      <c r="F324" s="12" t="n"/>
      <c r="G324" s="13" t="n"/>
    </row>
    <row r="325">
      <c r="A325" s="12" t="n"/>
      <c r="D325">
        <f>IFERROR(VLOOKUP(C325,Cadastro_Produtos!A:B,2,FALSE),"")</f>
        <v/>
      </c>
      <c r="F325" s="12" t="n"/>
      <c r="G325" s="13" t="n"/>
    </row>
    <row r="326">
      <c r="A326" s="12" t="n"/>
      <c r="D326">
        <f>IFERROR(VLOOKUP(C326,Cadastro_Produtos!A:B,2,FALSE),"")</f>
        <v/>
      </c>
      <c r="F326" s="12" t="n"/>
      <c r="G326" s="13" t="n"/>
    </row>
    <row r="327">
      <c r="A327" s="12" t="n"/>
      <c r="D327">
        <f>IFERROR(VLOOKUP(C327,Cadastro_Produtos!A:B,2,FALSE),"")</f>
        <v/>
      </c>
      <c r="F327" s="12" t="n"/>
      <c r="G327" s="13" t="n"/>
    </row>
    <row r="328">
      <c r="A328" s="12" t="n"/>
      <c r="D328">
        <f>IFERROR(VLOOKUP(C328,Cadastro_Produtos!A:B,2,FALSE),"")</f>
        <v/>
      </c>
      <c r="F328" s="12" t="n"/>
      <c r="G328" s="13" t="n"/>
    </row>
    <row r="329">
      <c r="A329" s="12" t="n"/>
      <c r="D329">
        <f>IFERROR(VLOOKUP(C329,Cadastro_Produtos!A:B,2,FALSE),"")</f>
        <v/>
      </c>
      <c r="F329" s="12" t="n"/>
      <c r="G329" s="13" t="n"/>
    </row>
    <row r="330">
      <c r="A330" s="12" t="n"/>
      <c r="D330">
        <f>IFERROR(VLOOKUP(C330,Cadastro_Produtos!A:B,2,FALSE),"")</f>
        <v/>
      </c>
      <c r="F330" s="12" t="n"/>
      <c r="G330" s="13" t="n"/>
    </row>
    <row r="331">
      <c r="A331" s="12" t="n"/>
      <c r="D331">
        <f>IFERROR(VLOOKUP(C331,Cadastro_Produtos!A:B,2,FALSE),"")</f>
        <v/>
      </c>
      <c r="F331" s="12" t="n"/>
      <c r="G331" s="13" t="n"/>
    </row>
    <row r="332">
      <c r="A332" s="12" t="n"/>
      <c r="D332">
        <f>IFERROR(VLOOKUP(C332,Cadastro_Produtos!A:B,2,FALSE),"")</f>
        <v/>
      </c>
      <c r="F332" s="12" t="n"/>
      <c r="G332" s="13" t="n"/>
    </row>
    <row r="333">
      <c r="A333" s="12" t="n"/>
      <c r="D333">
        <f>IFERROR(VLOOKUP(C333,Cadastro_Produtos!A:B,2,FALSE),"")</f>
        <v/>
      </c>
      <c r="F333" s="12" t="n"/>
      <c r="G333" s="13" t="n"/>
    </row>
    <row r="334">
      <c r="A334" s="12" t="n"/>
      <c r="D334">
        <f>IFERROR(VLOOKUP(C334,Cadastro_Produtos!A:B,2,FALSE),"")</f>
        <v/>
      </c>
      <c r="F334" s="12" t="n"/>
      <c r="G334" s="13" t="n"/>
    </row>
    <row r="335">
      <c r="A335" s="12" t="n"/>
      <c r="D335">
        <f>IFERROR(VLOOKUP(C335,Cadastro_Produtos!A:B,2,FALSE),"")</f>
        <v/>
      </c>
      <c r="F335" s="12" t="n"/>
      <c r="G335" s="13" t="n"/>
    </row>
    <row r="336">
      <c r="A336" s="12" t="n"/>
      <c r="D336">
        <f>IFERROR(VLOOKUP(C336,Cadastro_Produtos!A:B,2,FALSE),"")</f>
        <v/>
      </c>
      <c r="F336" s="12" t="n"/>
      <c r="G336" s="13" t="n"/>
    </row>
    <row r="337">
      <c r="A337" s="12" t="n"/>
      <c r="D337">
        <f>IFERROR(VLOOKUP(C337,Cadastro_Produtos!A:B,2,FALSE),"")</f>
        <v/>
      </c>
      <c r="F337" s="12" t="n"/>
      <c r="G337" s="13" t="n"/>
    </row>
    <row r="338">
      <c r="A338" s="12" t="n"/>
      <c r="D338">
        <f>IFERROR(VLOOKUP(C338,Cadastro_Produtos!A:B,2,FALSE),"")</f>
        <v/>
      </c>
      <c r="F338" s="12" t="n"/>
      <c r="G338" s="13" t="n"/>
    </row>
    <row r="339">
      <c r="A339" s="12" t="n"/>
      <c r="D339">
        <f>IFERROR(VLOOKUP(C339,Cadastro_Produtos!A:B,2,FALSE),"")</f>
        <v/>
      </c>
      <c r="F339" s="12" t="n"/>
      <c r="G339" s="13" t="n"/>
    </row>
    <row r="340">
      <c r="A340" s="12" t="n"/>
      <c r="D340">
        <f>IFERROR(VLOOKUP(C340,Cadastro_Produtos!A:B,2,FALSE),"")</f>
        <v/>
      </c>
      <c r="F340" s="12" t="n"/>
      <c r="G340" s="13" t="n"/>
    </row>
    <row r="341">
      <c r="A341" s="12" t="n"/>
      <c r="D341">
        <f>IFERROR(VLOOKUP(C341,Cadastro_Produtos!A:B,2,FALSE),"")</f>
        <v/>
      </c>
      <c r="F341" s="12" t="n"/>
      <c r="G341" s="13" t="n"/>
    </row>
    <row r="342">
      <c r="A342" s="12" t="n"/>
      <c r="D342">
        <f>IFERROR(VLOOKUP(C342,Cadastro_Produtos!A:B,2,FALSE),"")</f>
        <v/>
      </c>
      <c r="F342" s="12" t="n"/>
      <c r="G342" s="13" t="n"/>
    </row>
    <row r="343">
      <c r="A343" s="12" t="n"/>
      <c r="D343">
        <f>IFERROR(VLOOKUP(C343,Cadastro_Produtos!A:B,2,FALSE),"")</f>
        <v/>
      </c>
      <c r="F343" s="12" t="n"/>
      <c r="G343" s="13" t="n"/>
    </row>
    <row r="344">
      <c r="A344" s="12" t="n"/>
      <c r="D344">
        <f>IFERROR(VLOOKUP(C344,Cadastro_Produtos!A:B,2,FALSE),"")</f>
        <v/>
      </c>
      <c r="F344" s="12" t="n"/>
      <c r="G344" s="13" t="n"/>
    </row>
    <row r="345">
      <c r="A345" s="12" t="n"/>
      <c r="D345">
        <f>IFERROR(VLOOKUP(C345,Cadastro_Produtos!A:B,2,FALSE),"")</f>
        <v/>
      </c>
      <c r="F345" s="12" t="n"/>
      <c r="G345" s="13" t="n"/>
    </row>
    <row r="346">
      <c r="A346" s="12" t="n"/>
      <c r="D346">
        <f>IFERROR(VLOOKUP(C346,Cadastro_Produtos!A:B,2,FALSE),"")</f>
        <v/>
      </c>
      <c r="F346" s="12" t="n"/>
      <c r="G346" s="13" t="n"/>
    </row>
    <row r="347">
      <c r="A347" s="12" t="n"/>
      <c r="D347">
        <f>IFERROR(VLOOKUP(C347,Cadastro_Produtos!A:B,2,FALSE),"")</f>
        <v/>
      </c>
      <c r="F347" s="12" t="n"/>
      <c r="G347" s="13" t="n"/>
    </row>
    <row r="348">
      <c r="A348" s="12" t="n"/>
      <c r="D348">
        <f>IFERROR(VLOOKUP(C348,Cadastro_Produtos!A:B,2,FALSE),"")</f>
        <v/>
      </c>
      <c r="F348" s="12" t="n"/>
      <c r="G348" s="13" t="n"/>
    </row>
    <row r="349">
      <c r="A349" s="12" t="n"/>
      <c r="D349">
        <f>IFERROR(VLOOKUP(C349,Cadastro_Produtos!A:B,2,FALSE),"")</f>
        <v/>
      </c>
      <c r="F349" s="12" t="n"/>
      <c r="G349" s="13" t="n"/>
    </row>
    <row r="350">
      <c r="A350" s="12" t="n"/>
      <c r="D350">
        <f>IFERROR(VLOOKUP(C350,Cadastro_Produtos!A:B,2,FALSE),"")</f>
        <v/>
      </c>
      <c r="F350" s="12" t="n"/>
      <c r="G350" s="13" t="n"/>
    </row>
    <row r="351">
      <c r="A351" s="12" t="n"/>
      <c r="D351">
        <f>IFERROR(VLOOKUP(C351,Cadastro_Produtos!A:B,2,FALSE),"")</f>
        <v/>
      </c>
      <c r="F351" s="12" t="n"/>
      <c r="G351" s="13" t="n"/>
    </row>
    <row r="352">
      <c r="A352" s="12" t="n"/>
      <c r="D352">
        <f>IFERROR(VLOOKUP(C352,Cadastro_Produtos!A:B,2,FALSE),"")</f>
        <v/>
      </c>
      <c r="F352" s="12" t="n"/>
      <c r="G352" s="13" t="n"/>
    </row>
    <row r="353">
      <c r="A353" s="12" t="n"/>
      <c r="D353">
        <f>IFERROR(VLOOKUP(C353,Cadastro_Produtos!A:B,2,FALSE),"")</f>
        <v/>
      </c>
      <c r="F353" s="12" t="n"/>
      <c r="G353" s="13" t="n"/>
    </row>
    <row r="354">
      <c r="A354" s="12" t="n"/>
      <c r="D354">
        <f>IFERROR(VLOOKUP(C354,Cadastro_Produtos!A:B,2,FALSE),"")</f>
        <v/>
      </c>
      <c r="F354" s="12" t="n"/>
      <c r="G354" s="13" t="n"/>
    </row>
    <row r="355">
      <c r="A355" s="12" t="n"/>
      <c r="D355">
        <f>IFERROR(VLOOKUP(C355,Cadastro_Produtos!A:B,2,FALSE),"")</f>
        <v/>
      </c>
      <c r="F355" s="12" t="n"/>
      <c r="G355" s="13" t="n"/>
    </row>
    <row r="356">
      <c r="A356" s="12" t="n"/>
      <c r="D356">
        <f>IFERROR(VLOOKUP(C356,Cadastro_Produtos!A:B,2,FALSE),"")</f>
        <v/>
      </c>
      <c r="F356" s="12" t="n"/>
      <c r="G356" s="13" t="n"/>
    </row>
    <row r="357">
      <c r="A357" s="12" t="n"/>
      <c r="D357">
        <f>IFERROR(VLOOKUP(C357,Cadastro_Produtos!A:B,2,FALSE),"")</f>
        <v/>
      </c>
      <c r="F357" s="12" t="n"/>
      <c r="G357" s="13" t="n"/>
    </row>
    <row r="358">
      <c r="A358" s="12" t="n"/>
      <c r="D358">
        <f>IFERROR(VLOOKUP(C358,Cadastro_Produtos!A:B,2,FALSE),"")</f>
        <v/>
      </c>
      <c r="F358" s="12" t="n"/>
      <c r="G358" s="13" t="n"/>
    </row>
    <row r="359">
      <c r="A359" s="12" t="n"/>
      <c r="D359">
        <f>IFERROR(VLOOKUP(C359,Cadastro_Produtos!A:B,2,FALSE),"")</f>
        <v/>
      </c>
      <c r="F359" s="12" t="n"/>
      <c r="G359" s="13" t="n"/>
    </row>
    <row r="360">
      <c r="A360" s="12" t="n"/>
      <c r="D360">
        <f>IFERROR(VLOOKUP(C360,Cadastro_Produtos!A:B,2,FALSE),"")</f>
        <v/>
      </c>
      <c r="F360" s="12" t="n"/>
      <c r="G360" s="13" t="n"/>
    </row>
    <row r="361">
      <c r="A361" s="12" t="n"/>
      <c r="D361">
        <f>IFERROR(VLOOKUP(C361,Cadastro_Produtos!A:B,2,FALSE),"")</f>
        <v/>
      </c>
      <c r="F361" s="12" t="n"/>
      <c r="G361" s="13" t="n"/>
    </row>
    <row r="362">
      <c r="A362" s="12" t="n"/>
      <c r="D362">
        <f>IFERROR(VLOOKUP(C362,Cadastro_Produtos!A:B,2,FALSE),"")</f>
        <v/>
      </c>
      <c r="F362" s="12" t="n"/>
      <c r="G362" s="13" t="n"/>
    </row>
    <row r="363">
      <c r="A363" s="12" t="n"/>
      <c r="D363">
        <f>IFERROR(VLOOKUP(C363,Cadastro_Produtos!A:B,2,FALSE),"")</f>
        <v/>
      </c>
      <c r="F363" s="12" t="n"/>
      <c r="G363" s="13" t="n"/>
    </row>
    <row r="364">
      <c r="A364" s="12" t="n"/>
      <c r="D364">
        <f>IFERROR(VLOOKUP(C364,Cadastro_Produtos!A:B,2,FALSE),"")</f>
        <v/>
      </c>
      <c r="F364" s="12" t="n"/>
      <c r="G364" s="13" t="n"/>
    </row>
    <row r="365">
      <c r="A365" s="12" t="n"/>
      <c r="D365">
        <f>IFERROR(VLOOKUP(C365,Cadastro_Produtos!A:B,2,FALSE),"")</f>
        <v/>
      </c>
      <c r="F365" s="12" t="n"/>
      <c r="G365" s="13" t="n"/>
    </row>
    <row r="366">
      <c r="A366" s="12" t="n"/>
      <c r="D366">
        <f>IFERROR(VLOOKUP(C366,Cadastro_Produtos!A:B,2,FALSE),"")</f>
        <v/>
      </c>
      <c r="F366" s="12" t="n"/>
      <c r="G366" s="13" t="n"/>
    </row>
    <row r="367">
      <c r="A367" s="12" t="n"/>
      <c r="D367">
        <f>IFERROR(VLOOKUP(C367,Cadastro_Produtos!A:B,2,FALSE),"")</f>
        <v/>
      </c>
      <c r="F367" s="12" t="n"/>
      <c r="G367" s="13" t="n"/>
    </row>
    <row r="368">
      <c r="A368" s="12" t="n"/>
      <c r="D368">
        <f>IFERROR(VLOOKUP(C368,Cadastro_Produtos!A:B,2,FALSE),"")</f>
        <v/>
      </c>
      <c r="F368" s="12" t="n"/>
      <c r="G368" s="13" t="n"/>
    </row>
    <row r="369">
      <c r="A369" s="12" t="n"/>
      <c r="D369">
        <f>IFERROR(VLOOKUP(C369,Cadastro_Produtos!A:B,2,FALSE),"")</f>
        <v/>
      </c>
      <c r="F369" s="12" t="n"/>
      <c r="G369" s="13" t="n"/>
    </row>
    <row r="370">
      <c r="A370" s="12" t="n"/>
      <c r="D370">
        <f>IFERROR(VLOOKUP(C370,Cadastro_Produtos!A:B,2,FALSE),"")</f>
        <v/>
      </c>
      <c r="F370" s="12" t="n"/>
      <c r="G370" s="13" t="n"/>
    </row>
    <row r="371">
      <c r="A371" s="12" t="n"/>
      <c r="D371">
        <f>IFERROR(VLOOKUP(C371,Cadastro_Produtos!A:B,2,FALSE),"")</f>
        <v/>
      </c>
      <c r="F371" s="12" t="n"/>
      <c r="G371" s="13" t="n"/>
    </row>
    <row r="372">
      <c r="A372" s="12" t="n"/>
      <c r="D372">
        <f>IFERROR(VLOOKUP(C372,Cadastro_Produtos!A:B,2,FALSE),"")</f>
        <v/>
      </c>
      <c r="F372" s="12" t="n"/>
      <c r="G372" s="13" t="n"/>
    </row>
    <row r="373">
      <c r="A373" s="12" t="n"/>
      <c r="D373">
        <f>IFERROR(VLOOKUP(C373,Cadastro_Produtos!A:B,2,FALSE),"")</f>
        <v/>
      </c>
      <c r="F373" s="12" t="n"/>
      <c r="G373" s="13" t="n"/>
    </row>
    <row r="374">
      <c r="A374" s="12" t="n"/>
      <c r="D374">
        <f>IFERROR(VLOOKUP(C374,Cadastro_Produtos!A:B,2,FALSE),"")</f>
        <v/>
      </c>
      <c r="F374" s="12" t="n"/>
      <c r="G374" s="13" t="n"/>
    </row>
    <row r="375">
      <c r="A375" s="12" t="n"/>
      <c r="D375">
        <f>IFERROR(VLOOKUP(C375,Cadastro_Produtos!A:B,2,FALSE),"")</f>
        <v/>
      </c>
      <c r="F375" s="12" t="n"/>
      <c r="G375" s="13" t="n"/>
    </row>
    <row r="376">
      <c r="A376" s="12" t="n"/>
      <c r="D376">
        <f>IFERROR(VLOOKUP(C376,Cadastro_Produtos!A:B,2,FALSE),"")</f>
        <v/>
      </c>
      <c r="F376" s="12" t="n"/>
      <c r="G376" s="13" t="n"/>
    </row>
    <row r="377">
      <c r="A377" s="12" t="n"/>
      <c r="D377">
        <f>IFERROR(VLOOKUP(C377,Cadastro_Produtos!A:B,2,FALSE),"")</f>
        <v/>
      </c>
      <c r="F377" s="12" t="n"/>
      <c r="G377" s="13" t="n"/>
    </row>
    <row r="378">
      <c r="A378" s="12" t="n"/>
      <c r="D378">
        <f>IFERROR(VLOOKUP(C378,Cadastro_Produtos!A:B,2,FALSE),"")</f>
        <v/>
      </c>
      <c r="F378" s="12" t="n"/>
      <c r="G378" s="13" t="n"/>
    </row>
    <row r="379">
      <c r="A379" s="12" t="n"/>
      <c r="D379">
        <f>IFERROR(VLOOKUP(C379,Cadastro_Produtos!A:B,2,FALSE),"")</f>
        <v/>
      </c>
      <c r="F379" s="12" t="n"/>
      <c r="G379" s="13" t="n"/>
    </row>
    <row r="380">
      <c r="A380" s="12" t="n"/>
      <c r="D380">
        <f>IFERROR(VLOOKUP(C380,Cadastro_Produtos!A:B,2,FALSE),"")</f>
        <v/>
      </c>
      <c r="F380" s="12" t="n"/>
      <c r="G380" s="13" t="n"/>
    </row>
    <row r="381">
      <c r="A381" s="12" t="n"/>
      <c r="D381">
        <f>IFERROR(VLOOKUP(C381,Cadastro_Produtos!A:B,2,FALSE),"")</f>
        <v/>
      </c>
      <c r="F381" s="12" t="n"/>
      <c r="G381" s="13" t="n"/>
    </row>
    <row r="382">
      <c r="A382" s="12" t="n"/>
      <c r="D382">
        <f>IFERROR(VLOOKUP(C382,Cadastro_Produtos!A:B,2,FALSE),"")</f>
        <v/>
      </c>
      <c r="F382" s="12" t="n"/>
      <c r="G382" s="13" t="n"/>
    </row>
    <row r="383">
      <c r="A383" s="12" t="n"/>
      <c r="D383">
        <f>IFERROR(VLOOKUP(C383,Cadastro_Produtos!A:B,2,FALSE),"")</f>
        <v/>
      </c>
      <c r="F383" s="12" t="n"/>
      <c r="G383" s="13" t="n"/>
    </row>
    <row r="384">
      <c r="A384" s="12" t="n"/>
      <c r="D384">
        <f>IFERROR(VLOOKUP(C384,Cadastro_Produtos!A:B,2,FALSE),"")</f>
        <v/>
      </c>
      <c r="F384" s="12" t="n"/>
      <c r="G384" s="13" t="n"/>
    </row>
    <row r="385">
      <c r="A385" s="12" t="n"/>
      <c r="D385">
        <f>IFERROR(VLOOKUP(C385,Cadastro_Produtos!A:B,2,FALSE),"")</f>
        <v/>
      </c>
      <c r="F385" s="12" t="n"/>
      <c r="G385" s="13" t="n"/>
    </row>
    <row r="386">
      <c r="A386" s="12" t="n"/>
      <c r="D386">
        <f>IFERROR(VLOOKUP(C386,Cadastro_Produtos!A:B,2,FALSE),"")</f>
        <v/>
      </c>
      <c r="F386" s="12" t="n"/>
      <c r="G386" s="13" t="n"/>
    </row>
    <row r="387">
      <c r="A387" s="12" t="n"/>
      <c r="D387">
        <f>IFERROR(VLOOKUP(C387,Cadastro_Produtos!A:B,2,FALSE),"")</f>
        <v/>
      </c>
      <c r="F387" s="12" t="n"/>
      <c r="G387" s="13" t="n"/>
    </row>
    <row r="388">
      <c r="A388" s="12" t="n"/>
      <c r="D388">
        <f>IFERROR(VLOOKUP(C388,Cadastro_Produtos!A:B,2,FALSE),"")</f>
        <v/>
      </c>
      <c r="F388" s="12" t="n"/>
      <c r="G388" s="13" t="n"/>
    </row>
    <row r="389">
      <c r="A389" s="12" t="n"/>
      <c r="D389">
        <f>IFERROR(VLOOKUP(C389,Cadastro_Produtos!A:B,2,FALSE),"")</f>
        <v/>
      </c>
      <c r="F389" s="12" t="n"/>
      <c r="G389" s="13" t="n"/>
    </row>
    <row r="390">
      <c r="A390" s="12" t="n"/>
      <c r="D390">
        <f>IFERROR(VLOOKUP(C390,Cadastro_Produtos!A:B,2,FALSE),"")</f>
        <v/>
      </c>
      <c r="F390" s="12" t="n"/>
      <c r="G390" s="13" t="n"/>
    </row>
    <row r="391">
      <c r="A391" s="12" t="n"/>
      <c r="D391">
        <f>IFERROR(VLOOKUP(C391,Cadastro_Produtos!A:B,2,FALSE),"")</f>
        <v/>
      </c>
      <c r="F391" s="12" t="n"/>
      <c r="G391" s="13" t="n"/>
    </row>
    <row r="392">
      <c r="A392" s="12" t="n"/>
      <c r="D392">
        <f>IFERROR(VLOOKUP(C392,Cadastro_Produtos!A:B,2,FALSE),"")</f>
        <v/>
      </c>
      <c r="F392" s="12" t="n"/>
      <c r="G392" s="13" t="n"/>
    </row>
    <row r="393">
      <c r="A393" s="12" t="n"/>
      <c r="D393">
        <f>IFERROR(VLOOKUP(C393,Cadastro_Produtos!A:B,2,FALSE),"")</f>
        <v/>
      </c>
      <c r="F393" s="12" t="n"/>
      <c r="G393" s="13" t="n"/>
    </row>
    <row r="394">
      <c r="A394" s="12" t="n"/>
      <c r="D394">
        <f>IFERROR(VLOOKUP(C394,Cadastro_Produtos!A:B,2,FALSE),"")</f>
        <v/>
      </c>
      <c r="F394" s="12" t="n"/>
      <c r="G394" s="13" t="n"/>
    </row>
    <row r="395">
      <c r="A395" s="12" t="n"/>
      <c r="D395">
        <f>IFERROR(VLOOKUP(C395,Cadastro_Produtos!A:B,2,FALSE),"")</f>
        <v/>
      </c>
      <c r="F395" s="12" t="n"/>
      <c r="G395" s="13" t="n"/>
    </row>
    <row r="396">
      <c r="A396" s="12" t="n"/>
      <c r="D396">
        <f>IFERROR(VLOOKUP(C396,Cadastro_Produtos!A:B,2,FALSE),"")</f>
        <v/>
      </c>
      <c r="F396" s="12" t="n"/>
      <c r="G396" s="13" t="n"/>
    </row>
    <row r="397">
      <c r="A397" s="12" t="n"/>
      <c r="D397">
        <f>IFERROR(VLOOKUP(C397,Cadastro_Produtos!A:B,2,FALSE),"")</f>
        <v/>
      </c>
      <c r="F397" s="12" t="n"/>
      <c r="G397" s="13" t="n"/>
    </row>
    <row r="398">
      <c r="A398" s="12" t="n"/>
      <c r="D398">
        <f>IFERROR(VLOOKUP(C398,Cadastro_Produtos!A:B,2,FALSE),"")</f>
        <v/>
      </c>
      <c r="F398" s="12" t="n"/>
      <c r="G398" s="13" t="n"/>
    </row>
    <row r="399">
      <c r="A399" s="12" t="n"/>
      <c r="D399">
        <f>IFERROR(VLOOKUP(C399,Cadastro_Produtos!A:B,2,FALSE),"")</f>
        <v/>
      </c>
      <c r="F399" s="12" t="n"/>
      <c r="G399" s="13" t="n"/>
    </row>
    <row r="400">
      <c r="A400" s="12" t="n"/>
      <c r="D400">
        <f>IFERROR(VLOOKUP(C400,Cadastro_Produtos!A:B,2,FALSE),"")</f>
        <v/>
      </c>
      <c r="F400" s="12" t="n"/>
      <c r="G400" s="13" t="n"/>
    </row>
    <row r="401">
      <c r="A401" s="12" t="n"/>
      <c r="D401">
        <f>IFERROR(VLOOKUP(C401,Cadastro_Produtos!A:B,2,FALSE),"")</f>
        <v/>
      </c>
      <c r="F401" s="12" t="n"/>
      <c r="G401" s="13" t="n"/>
    </row>
    <row r="402">
      <c r="A402" s="12" t="n"/>
      <c r="D402">
        <f>IFERROR(VLOOKUP(C402,Cadastro_Produtos!A:B,2,FALSE),"")</f>
        <v/>
      </c>
      <c r="F402" s="12" t="n"/>
      <c r="G402" s="13" t="n"/>
    </row>
    <row r="403">
      <c r="A403" s="12" t="n"/>
      <c r="D403">
        <f>IFERROR(VLOOKUP(C403,Cadastro_Produtos!A:B,2,FALSE),"")</f>
        <v/>
      </c>
      <c r="F403" s="12" t="n"/>
      <c r="G403" s="13" t="n"/>
    </row>
    <row r="404">
      <c r="A404" s="12" t="n"/>
      <c r="D404">
        <f>IFERROR(VLOOKUP(C404,Cadastro_Produtos!A:B,2,FALSE),"")</f>
        <v/>
      </c>
      <c r="F404" s="12" t="n"/>
      <c r="G404" s="13" t="n"/>
    </row>
    <row r="405">
      <c r="A405" s="12" t="n"/>
      <c r="D405">
        <f>IFERROR(VLOOKUP(C405,Cadastro_Produtos!A:B,2,FALSE),"")</f>
        <v/>
      </c>
      <c r="F405" s="12" t="n"/>
      <c r="G405" s="13" t="n"/>
    </row>
    <row r="406">
      <c r="A406" s="12" t="n"/>
      <c r="D406">
        <f>IFERROR(VLOOKUP(C406,Cadastro_Produtos!A:B,2,FALSE),"")</f>
        <v/>
      </c>
      <c r="F406" s="12" t="n"/>
      <c r="G406" s="13" t="n"/>
    </row>
    <row r="407">
      <c r="A407" s="12" t="n"/>
      <c r="D407">
        <f>IFERROR(VLOOKUP(C407,Cadastro_Produtos!A:B,2,FALSE),"")</f>
        <v/>
      </c>
      <c r="F407" s="12" t="n"/>
      <c r="G407" s="13" t="n"/>
    </row>
    <row r="408">
      <c r="A408" s="12" t="n"/>
      <c r="D408">
        <f>IFERROR(VLOOKUP(C408,Cadastro_Produtos!A:B,2,FALSE),"")</f>
        <v/>
      </c>
      <c r="F408" s="12" t="n"/>
      <c r="G408" s="13" t="n"/>
    </row>
    <row r="409">
      <c r="A409" s="12" t="n"/>
      <c r="D409">
        <f>IFERROR(VLOOKUP(C409,Cadastro_Produtos!A:B,2,FALSE),"")</f>
        <v/>
      </c>
      <c r="F409" s="12" t="n"/>
      <c r="G409" s="13" t="n"/>
    </row>
    <row r="410">
      <c r="A410" s="12" t="n"/>
      <c r="D410">
        <f>IFERROR(VLOOKUP(C410,Cadastro_Produtos!A:B,2,FALSE),"")</f>
        <v/>
      </c>
      <c r="F410" s="12" t="n"/>
      <c r="G410" s="13" t="n"/>
    </row>
    <row r="411">
      <c r="A411" s="12" t="n"/>
      <c r="D411">
        <f>IFERROR(VLOOKUP(C411,Cadastro_Produtos!A:B,2,FALSE),"")</f>
        <v/>
      </c>
      <c r="F411" s="12" t="n"/>
      <c r="G411" s="13" t="n"/>
    </row>
    <row r="412">
      <c r="A412" s="12" t="n"/>
      <c r="D412">
        <f>IFERROR(VLOOKUP(C412,Cadastro_Produtos!A:B,2,FALSE),"")</f>
        <v/>
      </c>
      <c r="F412" s="12" t="n"/>
      <c r="G412" s="13" t="n"/>
    </row>
    <row r="413">
      <c r="A413" s="12" t="n"/>
      <c r="D413">
        <f>IFERROR(VLOOKUP(C413,Cadastro_Produtos!A:B,2,FALSE),"")</f>
        <v/>
      </c>
      <c r="F413" s="12" t="n"/>
      <c r="G413" s="13" t="n"/>
    </row>
    <row r="414">
      <c r="A414" s="12" t="n"/>
      <c r="D414">
        <f>IFERROR(VLOOKUP(C414,Cadastro_Produtos!A:B,2,FALSE),"")</f>
        <v/>
      </c>
      <c r="F414" s="12" t="n"/>
      <c r="G414" s="13" t="n"/>
    </row>
    <row r="415">
      <c r="A415" s="12" t="n"/>
      <c r="D415">
        <f>IFERROR(VLOOKUP(C415,Cadastro_Produtos!A:B,2,FALSE),"")</f>
        <v/>
      </c>
      <c r="F415" s="12" t="n"/>
      <c r="G415" s="13" t="n"/>
    </row>
    <row r="416">
      <c r="A416" s="12" t="n"/>
      <c r="D416">
        <f>IFERROR(VLOOKUP(C416,Cadastro_Produtos!A:B,2,FALSE),"")</f>
        <v/>
      </c>
      <c r="F416" s="12" t="n"/>
      <c r="G416" s="13" t="n"/>
    </row>
    <row r="417">
      <c r="A417" s="12" t="n"/>
      <c r="D417">
        <f>IFERROR(VLOOKUP(C417,Cadastro_Produtos!A:B,2,FALSE),"")</f>
        <v/>
      </c>
      <c r="F417" s="12" t="n"/>
      <c r="G417" s="13" t="n"/>
    </row>
    <row r="418">
      <c r="A418" s="12" t="n"/>
      <c r="D418">
        <f>IFERROR(VLOOKUP(C418,Cadastro_Produtos!A:B,2,FALSE),"")</f>
        <v/>
      </c>
      <c r="F418" s="12" t="n"/>
      <c r="G418" s="13" t="n"/>
    </row>
    <row r="419">
      <c r="A419" s="12" t="n"/>
      <c r="D419">
        <f>IFERROR(VLOOKUP(C419,Cadastro_Produtos!A:B,2,FALSE),"")</f>
        <v/>
      </c>
      <c r="F419" s="12" t="n"/>
      <c r="G419" s="13" t="n"/>
    </row>
    <row r="420">
      <c r="A420" s="12" t="n"/>
      <c r="D420">
        <f>IFERROR(VLOOKUP(C420,Cadastro_Produtos!A:B,2,FALSE),"")</f>
        <v/>
      </c>
      <c r="F420" s="12" t="n"/>
      <c r="G420" s="13" t="n"/>
    </row>
    <row r="421">
      <c r="A421" s="12" t="n"/>
      <c r="D421">
        <f>IFERROR(VLOOKUP(C421,Cadastro_Produtos!A:B,2,FALSE),"")</f>
        <v/>
      </c>
      <c r="F421" s="12" t="n"/>
      <c r="G421" s="13" t="n"/>
    </row>
    <row r="422">
      <c r="A422" s="12" t="n"/>
      <c r="D422">
        <f>IFERROR(VLOOKUP(C422,Cadastro_Produtos!A:B,2,FALSE),"")</f>
        <v/>
      </c>
      <c r="F422" s="12" t="n"/>
      <c r="G422" s="13" t="n"/>
    </row>
    <row r="423">
      <c r="A423" s="12" t="n"/>
      <c r="D423">
        <f>IFERROR(VLOOKUP(C423,Cadastro_Produtos!A:B,2,FALSE),"")</f>
        <v/>
      </c>
      <c r="F423" s="12" t="n"/>
      <c r="G423" s="13" t="n"/>
    </row>
    <row r="424">
      <c r="A424" s="12" t="n"/>
      <c r="D424">
        <f>IFERROR(VLOOKUP(C424,Cadastro_Produtos!A:B,2,FALSE),"")</f>
        <v/>
      </c>
      <c r="F424" s="12" t="n"/>
      <c r="G424" s="13" t="n"/>
    </row>
    <row r="425">
      <c r="A425" s="12" t="n"/>
      <c r="D425">
        <f>IFERROR(VLOOKUP(C425,Cadastro_Produtos!A:B,2,FALSE),"")</f>
        <v/>
      </c>
      <c r="F425" s="12" t="n"/>
      <c r="G425" s="13" t="n"/>
    </row>
    <row r="426">
      <c r="A426" s="12" t="n"/>
      <c r="D426">
        <f>IFERROR(VLOOKUP(C426,Cadastro_Produtos!A:B,2,FALSE),"")</f>
        <v/>
      </c>
      <c r="F426" s="12" t="n"/>
      <c r="G426" s="13" t="n"/>
    </row>
    <row r="427">
      <c r="A427" s="12" t="n"/>
      <c r="D427">
        <f>IFERROR(VLOOKUP(C427,Cadastro_Produtos!A:B,2,FALSE),"")</f>
        <v/>
      </c>
      <c r="F427" s="12" t="n"/>
      <c r="G427" s="13" t="n"/>
    </row>
    <row r="428">
      <c r="A428" s="12" t="n"/>
      <c r="D428">
        <f>IFERROR(VLOOKUP(C428,Cadastro_Produtos!A:B,2,FALSE),"")</f>
        <v/>
      </c>
      <c r="F428" s="12" t="n"/>
      <c r="G428" s="13" t="n"/>
    </row>
    <row r="429">
      <c r="A429" s="12" t="n"/>
      <c r="D429">
        <f>IFERROR(VLOOKUP(C429,Cadastro_Produtos!A:B,2,FALSE),"")</f>
        <v/>
      </c>
      <c r="F429" s="12" t="n"/>
      <c r="G429" s="13" t="n"/>
    </row>
    <row r="430">
      <c r="A430" s="12" t="n"/>
      <c r="D430">
        <f>IFERROR(VLOOKUP(C430,Cadastro_Produtos!A:B,2,FALSE),"")</f>
        <v/>
      </c>
      <c r="F430" s="12" t="n"/>
      <c r="G430" s="13" t="n"/>
    </row>
    <row r="431">
      <c r="A431" s="12" t="n"/>
      <c r="D431">
        <f>IFERROR(VLOOKUP(C431,Cadastro_Produtos!A:B,2,FALSE),"")</f>
        <v/>
      </c>
      <c r="F431" s="12" t="n"/>
      <c r="G431" s="13" t="n"/>
    </row>
    <row r="432">
      <c r="A432" s="12" t="n"/>
      <c r="D432">
        <f>IFERROR(VLOOKUP(C432,Cadastro_Produtos!A:B,2,FALSE),"")</f>
        <v/>
      </c>
      <c r="F432" s="12" t="n"/>
      <c r="G432" s="13" t="n"/>
    </row>
    <row r="433">
      <c r="A433" s="12" t="n"/>
      <c r="D433">
        <f>IFERROR(VLOOKUP(C433,Cadastro_Produtos!A:B,2,FALSE),"")</f>
        <v/>
      </c>
      <c r="F433" s="12" t="n"/>
      <c r="G433" s="13" t="n"/>
    </row>
    <row r="434">
      <c r="A434" s="12" t="n"/>
      <c r="D434">
        <f>IFERROR(VLOOKUP(C434,Cadastro_Produtos!A:B,2,FALSE),"")</f>
        <v/>
      </c>
      <c r="F434" s="12" t="n"/>
      <c r="G434" s="13" t="n"/>
    </row>
    <row r="435">
      <c r="A435" s="12" t="n"/>
      <c r="D435">
        <f>IFERROR(VLOOKUP(C435,Cadastro_Produtos!A:B,2,FALSE),"")</f>
        <v/>
      </c>
      <c r="F435" s="12" t="n"/>
      <c r="G435" s="13" t="n"/>
    </row>
    <row r="436">
      <c r="A436" s="12" t="n"/>
      <c r="D436">
        <f>IFERROR(VLOOKUP(C436,Cadastro_Produtos!A:B,2,FALSE),"")</f>
        <v/>
      </c>
      <c r="F436" s="12" t="n"/>
      <c r="G436" s="13" t="n"/>
    </row>
    <row r="437">
      <c r="A437" s="12" t="n"/>
      <c r="D437">
        <f>IFERROR(VLOOKUP(C437,Cadastro_Produtos!A:B,2,FALSE),"")</f>
        <v/>
      </c>
      <c r="F437" s="12" t="n"/>
      <c r="G437" s="13" t="n"/>
    </row>
    <row r="438">
      <c r="A438" s="12" t="n"/>
      <c r="D438">
        <f>IFERROR(VLOOKUP(C438,Cadastro_Produtos!A:B,2,FALSE),"")</f>
        <v/>
      </c>
      <c r="F438" s="12" t="n"/>
      <c r="G438" s="13" t="n"/>
    </row>
    <row r="439">
      <c r="A439" s="12" t="n"/>
      <c r="D439">
        <f>IFERROR(VLOOKUP(C439,Cadastro_Produtos!A:B,2,FALSE),"")</f>
        <v/>
      </c>
      <c r="F439" s="12" t="n"/>
      <c r="G439" s="13" t="n"/>
    </row>
    <row r="440">
      <c r="A440" s="12" t="n"/>
      <c r="D440">
        <f>IFERROR(VLOOKUP(C440,Cadastro_Produtos!A:B,2,FALSE),"")</f>
        <v/>
      </c>
      <c r="F440" s="12" t="n"/>
      <c r="G440" s="13" t="n"/>
    </row>
    <row r="441">
      <c r="A441" s="12" t="n"/>
      <c r="D441">
        <f>IFERROR(VLOOKUP(C441,Cadastro_Produtos!A:B,2,FALSE),"")</f>
        <v/>
      </c>
      <c r="F441" s="12" t="n"/>
      <c r="G441" s="13" t="n"/>
    </row>
    <row r="442">
      <c r="A442" s="12" t="n"/>
      <c r="D442">
        <f>IFERROR(VLOOKUP(C442,Cadastro_Produtos!A:B,2,FALSE),"")</f>
        <v/>
      </c>
      <c r="F442" s="12" t="n"/>
      <c r="G442" s="13" t="n"/>
    </row>
    <row r="443">
      <c r="A443" s="12" t="n"/>
      <c r="D443">
        <f>IFERROR(VLOOKUP(C443,Cadastro_Produtos!A:B,2,FALSE),"")</f>
        <v/>
      </c>
      <c r="F443" s="12" t="n"/>
      <c r="G443" s="13" t="n"/>
    </row>
    <row r="444">
      <c r="A444" s="12" t="n"/>
      <c r="D444">
        <f>IFERROR(VLOOKUP(C444,Cadastro_Produtos!A:B,2,FALSE),"")</f>
        <v/>
      </c>
      <c r="F444" s="12" t="n"/>
      <c r="G444" s="13" t="n"/>
    </row>
    <row r="445">
      <c r="A445" s="12" t="n"/>
      <c r="D445">
        <f>IFERROR(VLOOKUP(C445,Cadastro_Produtos!A:B,2,FALSE),"")</f>
        <v/>
      </c>
      <c r="F445" s="12" t="n"/>
      <c r="G445" s="13" t="n"/>
    </row>
    <row r="446">
      <c r="A446" s="12" t="n"/>
      <c r="D446">
        <f>IFERROR(VLOOKUP(C446,Cadastro_Produtos!A:B,2,FALSE),"")</f>
        <v/>
      </c>
      <c r="F446" s="12" t="n"/>
      <c r="G446" s="13" t="n"/>
    </row>
    <row r="447">
      <c r="A447" s="12" t="n"/>
      <c r="D447">
        <f>IFERROR(VLOOKUP(C447,Cadastro_Produtos!A:B,2,FALSE),"")</f>
        <v/>
      </c>
      <c r="F447" s="12" t="n"/>
      <c r="G447" s="13" t="n"/>
    </row>
    <row r="448">
      <c r="A448" s="12" t="n"/>
      <c r="D448">
        <f>IFERROR(VLOOKUP(C448,Cadastro_Produtos!A:B,2,FALSE),"")</f>
        <v/>
      </c>
      <c r="F448" s="12" t="n"/>
      <c r="G448" s="13" t="n"/>
    </row>
    <row r="449">
      <c r="A449" s="12" t="n"/>
      <c r="D449">
        <f>IFERROR(VLOOKUP(C449,Cadastro_Produtos!A:B,2,FALSE),"")</f>
        <v/>
      </c>
      <c r="F449" s="12" t="n"/>
      <c r="G449" s="13" t="n"/>
    </row>
    <row r="450">
      <c r="A450" s="12" t="n"/>
      <c r="D450">
        <f>IFERROR(VLOOKUP(C450,Cadastro_Produtos!A:B,2,FALSE),"")</f>
        <v/>
      </c>
      <c r="F450" s="12" t="n"/>
      <c r="G450" s="13" t="n"/>
    </row>
    <row r="451">
      <c r="A451" s="12" t="n"/>
      <c r="D451">
        <f>IFERROR(VLOOKUP(C451,Cadastro_Produtos!A:B,2,FALSE),"")</f>
        <v/>
      </c>
      <c r="F451" s="12" t="n"/>
      <c r="G451" s="13" t="n"/>
    </row>
    <row r="452">
      <c r="A452" s="12" t="n"/>
      <c r="D452">
        <f>IFERROR(VLOOKUP(C452,Cadastro_Produtos!A:B,2,FALSE),"")</f>
        <v/>
      </c>
      <c r="F452" s="12" t="n"/>
      <c r="G452" s="13" t="n"/>
    </row>
    <row r="453">
      <c r="A453" s="12" t="n"/>
      <c r="D453">
        <f>IFERROR(VLOOKUP(C453,Cadastro_Produtos!A:B,2,FALSE),"")</f>
        <v/>
      </c>
      <c r="F453" s="12" t="n"/>
      <c r="G453" s="13" t="n"/>
    </row>
    <row r="454">
      <c r="A454" s="12" t="n"/>
      <c r="D454">
        <f>IFERROR(VLOOKUP(C454,Cadastro_Produtos!A:B,2,FALSE),"")</f>
        <v/>
      </c>
      <c r="F454" s="12" t="n"/>
      <c r="G454" s="13" t="n"/>
    </row>
    <row r="455">
      <c r="A455" s="12" t="n"/>
      <c r="D455">
        <f>IFERROR(VLOOKUP(C455,Cadastro_Produtos!A:B,2,FALSE),"")</f>
        <v/>
      </c>
      <c r="F455" s="12" t="n"/>
      <c r="G455" s="13" t="n"/>
    </row>
    <row r="456">
      <c r="A456" s="12" t="n"/>
      <c r="D456">
        <f>IFERROR(VLOOKUP(C456,Cadastro_Produtos!A:B,2,FALSE),"")</f>
        <v/>
      </c>
      <c r="F456" s="12" t="n"/>
      <c r="G456" s="13" t="n"/>
    </row>
    <row r="457">
      <c r="A457" s="12" t="n"/>
      <c r="D457">
        <f>IFERROR(VLOOKUP(C457,Cadastro_Produtos!A:B,2,FALSE),"")</f>
        <v/>
      </c>
      <c r="F457" s="12" t="n"/>
      <c r="G457" s="13" t="n"/>
    </row>
    <row r="458">
      <c r="A458" s="12" t="n"/>
      <c r="D458">
        <f>IFERROR(VLOOKUP(C458,Cadastro_Produtos!A:B,2,FALSE),"")</f>
        <v/>
      </c>
      <c r="F458" s="12" t="n"/>
      <c r="G458" s="13" t="n"/>
    </row>
    <row r="459">
      <c r="A459" s="12" t="n"/>
      <c r="D459">
        <f>IFERROR(VLOOKUP(C459,Cadastro_Produtos!A:B,2,FALSE),"")</f>
        <v/>
      </c>
      <c r="F459" s="12" t="n"/>
      <c r="G459" s="13" t="n"/>
    </row>
    <row r="460">
      <c r="A460" s="12" t="n"/>
      <c r="D460">
        <f>IFERROR(VLOOKUP(C460,Cadastro_Produtos!A:B,2,FALSE),"")</f>
        <v/>
      </c>
      <c r="F460" s="12" t="n"/>
      <c r="G460" s="13" t="n"/>
    </row>
    <row r="461">
      <c r="A461" s="12" t="n"/>
      <c r="D461">
        <f>IFERROR(VLOOKUP(C461,Cadastro_Produtos!A:B,2,FALSE),"")</f>
        <v/>
      </c>
      <c r="F461" s="12" t="n"/>
      <c r="G461" s="13" t="n"/>
    </row>
    <row r="462">
      <c r="A462" s="12" t="n"/>
      <c r="D462">
        <f>IFERROR(VLOOKUP(C462,Cadastro_Produtos!A:B,2,FALSE),"")</f>
        <v/>
      </c>
      <c r="F462" s="12" t="n"/>
      <c r="G462" s="13" t="n"/>
    </row>
    <row r="463">
      <c r="A463" s="12" t="n"/>
      <c r="D463">
        <f>IFERROR(VLOOKUP(C463,Cadastro_Produtos!A:B,2,FALSE),"")</f>
        <v/>
      </c>
      <c r="F463" s="12" t="n"/>
      <c r="G463" s="13" t="n"/>
    </row>
    <row r="464">
      <c r="A464" s="12" t="n"/>
      <c r="D464">
        <f>IFERROR(VLOOKUP(C464,Cadastro_Produtos!A:B,2,FALSE),"")</f>
        <v/>
      </c>
      <c r="F464" s="12" t="n"/>
      <c r="G464" s="13" t="n"/>
    </row>
    <row r="465">
      <c r="A465" s="12" t="n"/>
      <c r="D465">
        <f>IFERROR(VLOOKUP(C465,Cadastro_Produtos!A:B,2,FALSE),"")</f>
        <v/>
      </c>
      <c r="F465" s="12" t="n"/>
      <c r="G465" s="13" t="n"/>
    </row>
    <row r="466">
      <c r="A466" s="12" t="n"/>
      <c r="D466">
        <f>IFERROR(VLOOKUP(C466,Cadastro_Produtos!A:B,2,FALSE),"")</f>
        <v/>
      </c>
      <c r="F466" s="12" t="n"/>
      <c r="G466" s="13" t="n"/>
    </row>
    <row r="467">
      <c r="A467" s="12" t="n"/>
      <c r="D467">
        <f>IFERROR(VLOOKUP(C467,Cadastro_Produtos!A:B,2,FALSE),"")</f>
        <v/>
      </c>
      <c r="F467" s="12" t="n"/>
      <c r="G467" s="13" t="n"/>
    </row>
    <row r="468">
      <c r="A468" s="12" t="n"/>
      <c r="D468">
        <f>IFERROR(VLOOKUP(C468,Cadastro_Produtos!A:B,2,FALSE),"")</f>
        <v/>
      </c>
      <c r="F468" s="12" t="n"/>
      <c r="G468" s="13" t="n"/>
    </row>
    <row r="469">
      <c r="A469" s="12" t="n"/>
      <c r="D469">
        <f>IFERROR(VLOOKUP(C469,Cadastro_Produtos!A:B,2,FALSE),"")</f>
        <v/>
      </c>
      <c r="F469" s="12" t="n"/>
      <c r="G469" s="13" t="n"/>
    </row>
    <row r="470">
      <c r="A470" s="12" t="n"/>
      <c r="D470">
        <f>IFERROR(VLOOKUP(C470,Cadastro_Produtos!A:B,2,FALSE),"")</f>
        <v/>
      </c>
      <c r="F470" s="12" t="n"/>
      <c r="G470" s="13" t="n"/>
    </row>
    <row r="471">
      <c r="A471" s="12" t="n"/>
      <c r="D471">
        <f>IFERROR(VLOOKUP(C471,Cadastro_Produtos!A:B,2,FALSE),"")</f>
        <v/>
      </c>
      <c r="F471" s="12" t="n"/>
      <c r="G471" s="13" t="n"/>
    </row>
    <row r="472">
      <c r="A472" s="12" t="n"/>
      <c r="D472">
        <f>IFERROR(VLOOKUP(C472,Cadastro_Produtos!A:B,2,FALSE),"")</f>
        <v/>
      </c>
      <c r="F472" s="12" t="n"/>
      <c r="G472" s="13" t="n"/>
    </row>
    <row r="473">
      <c r="A473" s="12" t="n"/>
      <c r="D473">
        <f>IFERROR(VLOOKUP(C473,Cadastro_Produtos!A:B,2,FALSE),"")</f>
        <v/>
      </c>
      <c r="F473" s="12" t="n"/>
      <c r="G473" s="13" t="n"/>
    </row>
    <row r="474">
      <c r="A474" s="12" t="n"/>
      <c r="D474">
        <f>IFERROR(VLOOKUP(C474,Cadastro_Produtos!A:B,2,FALSE),"")</f>
        <v/>
      </c>
      <c r="F474" s="12" t="n"/>
      <c r="G474" s="13" t="n"/>
    </row>
    <row r="475">
      <c r="A475" s="12" t="n"/>
      <c r="D475">
        <f>IFERROR(VLOOKUP(C475,Cadastro_Produtos!A:B,2,FALSE),"")</f>
        <v/>
      </c>
      <c r="F475" s="12" t="n"/>
      <c r="G475" s="13" t="n"/>
    </row>
    <row r="476">
      <c r="A476" s="12" t="n"/>
      <c r="D476">
        <f>IFERROR(VLOOKUP(C476,Cadastro_Produtos!A:B,2,FALSE),"")</f>
        <v/>
      </c>
      <c r="F476" s="12" t="n"/>
      <c r="G476" s="13" t="n"/>
    </row>
    <row r="477">
      <c r="A477" s="12" t="n"/>
      <c r="D477">
        <f>IFERROR(VLOOKUP(C477,Cadastro_Produtos!A:B,2,FALSE),"")</f>
        <v/>
      </c>
      <c r="F477" s="12" t="n"/>
      <c r="G477" s="13" t="n"/>
    </row>
    <row r="478">
      <c r="A478" s="12" t="n"/>
      <c r="D478">
        <f>IFERROR(VLOOKUP(C478,Cadastro_Produtos!A:B,2,FALSE),"")</f>
        <v/>
      </c>
      <c r="F478" s="12" t="n"/>
      <c r="G478" s="13" t="n"/>
    </row>
    <row r="479">
      <c r="A479" s="12" t="n"/>
      <c r="D479">
        <f>IFERROR(VLOOKUP(C479,Cadastro_Produtos!A:B,2,FALSE),"")</f>
        <v/>
      </c>
      <c r="F479" s="12" t="n"/>
      <c r="G479" s="13" t="n"/>
    </row>
    <row r="480">
      <c r="A480" s="12" t="n"/>
      <c r="D480">
        <f>IFERROR(VLOOKUP(C480,Cadastro_Produtos!A:B,2,FALSE),"")</f>
        <v/>
      </c>
      <c r="F480" s="12" t="n"/>
      <c r="G480" s="13" t="n"/>
    </row>
    <row r="481">
      <c r="A481" s="12" t="n"/>
      <c r="D481">
        <f>IFERROR(VLOOKUP(C481,Cadastro_Produtos!A:B,2,FALSE),"")</f>
        <v/>
      </c>
      <c r="F481" s="12" t="n"/>
      <c r="G481" s="13" t="n"/>
    </row>
    <row r="482">
      <c r="A482" s="12" t="n"/>
      <c r="D482">
        <f>IFERROR(VLOOKUP(C482,Cadastro_Produtos!A:B,2,FALSE),"")</f>
        <v/>
      </c>
      <c r="F482" s="12" t="n"/>
      <c r="G482" s="13" t="n"/>
    </row>
    <row r="483">
      <c r="A483" s="12" t="n"/>
      <c r="D483">
        <f>IFERROR(VLOOKUP(C483,Cadastro_Produtos!A:B,2,FALSE),"")</f>
        <v/>
      </c>
      <c r="F483" s="12" t="n"/>
      <c r="G483" s="13" t="n"/>
    </row>
    <row r="484">
      <c r="A484" s="12" t="n"/>
      <c r="D484">
        <f>IFERROR(VLOOKUP(C484,Cadastro_Produtos!A:B,2,FALSE),"")</f>
        <v/>
      </c>
      <c r="F484" s="12" t="n"/>
      <c r="G484" s="13" t="n"/>
    </row>
    <row r="485">
      <c r="A485" s="12" t="n"/>
      <c r="D485">
        <f>IFERROR(VLOOKUP(C485,Cadastro_Produtos!A:B,2,FALSE),"")</f>
        <v/>
      </c>
      <c r="F485" s="12" t="n"/>
      <c r="G485" s="13" t="n"/>
    </row>
    <row r="486">
      <c r="A486" s="12" t="n"/>
      <c r="D486">
        <f>IFERROR(VLOOKUP(C486,Cadastro_Produtos!A:B,2,FALSE),"")</f>
        <v/>
      </c>
      <c r="F486" s="12" t="n"/>
      <c r="G486" s="13" t="n"/>
    </row>
    <row r="487">
      <c r="A487" s="12" t="n"/>
      <c r="D487">
        <f>IFERROR(VLOOKUP(C487,Cadastro_Produtos!A:B,2,FALSE),"")</f>
        <v/>
      </c>
      <c r="F487" s="12" t="n"/>
      <c r="G487" s="13" t="n"/>
    </row>
    <row r="488">
      <c r="A488" s="12" t="n"/>
      <c r="D488">
        <f>IFERROR(VLOOKUP(C488,Cadastro_Produtos!A:B,2,FALSE),"")</f>
        <v/>
      </c>
      <c r="F488" s="12" t="n"/>
      <c r="G488" s="13" t="n"/>
    </row>
    <row r="489">
      <c r="A489" s="12" t="n"/>
      <c r="D489">
        <f>IFERROR(VLOOKUP(C489,Cadastro_Produtos!A:B,2,FALSE),"")</f>
        <v/>
      </c>
      <c r="F489" s="12" t="n"/>
      <c r="G489" s="13" t="n"/>
    </row>
    <row r="490">
      <c r="A490" s="12" t="n"/>
      <c r="D490">
        <f>IFERROR(VLOOKUP(C490,Cadastro_Produtos!A:B,2,FALSE),"")</f>
        <v/>
      </c>
      <c r="F490" s="12" t="n"/>
      <c r="G490" s="13" t="n"/>
    </row>
    <row r="491">
      <c r="A491" s="12" t="n"/>
      <c r="D491">
        <f>IFERROR(VLOOKUP(C491,Cadastro_Produtos!A:B,2,FALSE),"")</f>
        <v/>
      </c>
      <c r="F491" s="12" t="n"/>
      <c r="G491" s="13" t="n"/>
    </row>
    <row r="492">
      <c r="A492" s="12" t="n"/>
      <c r="D492">
        <f>IFERROR(VLOOKUP(C492,Cadastro_Produtos!A:B,2,FALSE),"")</f>
        <v/>
      </c>
      <c r="F492" s="12" t="n"/>
      <c r="G492" s="13" t="n"/>
    </row>
    <row r="493">
      <c r="A493" s="12" t="n"/>
      <c r="D493">
        <f>IFERROR(VLOOKUP(C493,Cadastro_Produtos!A:B,2,FALSE),"")</f>
        <v/>
      </c>
      <c r="F493" s="12" t="n"/>
      <c r="G493" s="13" t="n"/>
    </row>
    <row r="494">
      <c r="A494" s="12" t="n"/>
      <c r="D494">
        <f>IFERROR(VLOOKUP(C494,Cadastro_Produtos!A:B,2,FALSE),"")</f>
        <v/>
      </c>
      <c r="F494" s="12" t="n"/>
      <c r="G494" s="13" t="n"/>
    </row>
    <row r="495">
      <c r="A495" s="12" t="n"/>
      <c r="D495">
        <f>IFERROR(VLOOKUP(C495,Cadastro_Produtos!A:B,2,FALSE),"")</f>
        <v/>
      </c>
      <c r="F495" s="12" t="n"/>
      <c r="G495" s="13" t="n"/>
    </row>
    <row r="496">
      <c r="A496" s="12" t="n"/>
      <c r="D496">
        <f>IFERROR(VLOOKUP(C496,Cadastro_Produtos!A:B,2,FALSE),"")</f>
        <v/>
      </c>
      <c r="F496" s="12" t="n"/>
      <c r="G496" s="13" t="n"/>
    </row>
    <row r="497">
      <c r="A497" s="12" t="n"/>
      <c r="D497">
        <f>IFERROR(VLOOKUP(C497,Cadastro_Produtos!A:B,2,FALSE),"")</f>
        <v/>
      </c>
      <c r="F497" s="12" t="n"/>
      <c r="G497" s="13" t="n"/>
    </row>
    <row r="498">
      <c r="A498" s="12" t="n"/>
      <c r="D498">
        <f>IFERROR(VLOOKUP(C498,Cadastro_Produtos!A:B,2,FALSE),"")</f>
        <v/>
      </c>
      <c r="F498" s="12" t="n"/>
      <c r="G498" s="13" t="n"/>
    </row>
    <row r="499">
      <c r="A499" s="12" t="n"/>
      <c r="D499">
        <f>IFERROR(VLOOKUP(C499,Cadastro_Produtos!A:B,2,FALSE),"")</f>
        <v/>
      </c>
      <c r="F499" s="12" t="n"/>
      <c r="G499" s="13" t="n"/>
    </row>
    <row r="500">
      <c r="A500" s="12" t="n"/>
      <c r="D500">
        <f>IFERROR(VLOOKUP(C500,Cadastro_Produtos!A:B,2,FALSE),"")</f>
        <v/>
      </c>
      <c r="F500" s="12" t="n"/>
      <c r="G500" s="13" t="n"/>
    </row>
    <row r="501">
      <c r="A501" s="12" t="n"/>
      <c r="D501">
        <f>IFERROR(VLOOKUP(C501,Cadastro_Produtos!A:B,2,FALSE),"")</f>
        <v/>
      </c>
      <c r="F501" s="12" t="n"/>
      <c r="G501" s="13" t="n"/>
    </row>
    <row r="502">
      <c r="A502" s="12" t="n"/>
      <c r="D502">
        <f>IFERROR(VLOOKUP(C502,Cadastro_Produtos!A:B,2,FALSE),"")</f>
        <v/>
      </c>
      <c r="F502" s="12" t="n"/>
      <c r="G502" s="13" t="n"/>
    </row>
    <row r="503">
      <c r="A503" s="12" t="n"/>
      <c r="D503">
        <f>IFERROR(VLOOKUP(C503,Cadastro_Produtos!A:B,2,FALSE),"")</f>
        <v/>
      </c>
      <c r="F503" s="12" t="n"/>
      <c r="G503" s="13" t="n"/>
    </row>
    <row r="504">
      <c r="A504" s="12" t="n"/>
      <c r="D504">
        <f>IFERROR(VLOOKUP(C504,Cadastro_Produtos!A:B,2,FALSE),"")</f>
        <v/>
      </c>
      <c r="F504" s="12" t="n"/>
      <c r="G504" s="13" t="n"/>
    </row>
    <row r="505">
      <c r="A505" s="12" t="n"/>
      <c r="D505">
        <f>IFERROR(VLOOKUP(C505,Cadastro_Produtos!A:B,2,FALSE),"")</f>
        <v/>
      </c>
      <c r="F505" s="12" t="n"/>
      <c r="G505" s="13" t="n"/>
    </row>
    <row r="506">
      <c r="A506" s="12" t="n"/>
      <c r="D506">
        <f>IFERROR(VLOOKUP(C506,Cadastro_Produtos!A:B,2,FALSE),"")</f>
        <v/>
      </c>
      <c r="F506" s="12" t="n"/>
      <c r="G506" s="13" t="n"/>
    </row>
    <row r="507">
      <c r="A507" s="12" t="n"/>
      <c r="D507">
        <f>IFERROR(VLOOKUP(C507,Cadastro_Produtos!A:B,2,FALSE),"")</f>
        <v/>
      </c>
      <c r="F507" s="12" t="n"/>
      <c r="G507" s="13" t="n"/>
    </row>
    <row r="508">
      <c r="A508" s="12" t="n"/>
      <c r="D508">
        <f>IFERROR(VLOOKUP(C508,Cadastro_Produtos!A:B,2,FALSE),"")</f>
        <v/>
      </c>
      <c r="F508" s="12" t="n"/>
      <c r="G508" s="13" t="n"/>
    </row>
    <row r="509">
      <c r="A509" s="12" t="n"/>
      <c r="D509">
        <f>IFERROR(VLOOKUP(C509,Cadastro_Produtos!A:B,2,FALSE),"")</f>
        <v/>
      </c>
      <c r="F509" s="12" t="n"/>
      <c r="G509" s="13" t="n"/>
    </row>
    <row r="510">
      <c r="A510" s="12" t="n"/>
      <c r="D510">
        <f>IFERROR(VLOOKUP(C510,Cadastro_Produtos!A:B,2,FALSE),"")</f>
        <v/>
      </c>
      <c r="F510" s="12" t="n"/>
      <c r="G510" s="13" t="n"/>
    </row>
    <row r="511">
      <c r="A511" s="12" t="n"/>
      <c r="D511">
        <f>IFERROR(VLOOKUP(C511,Cadastro_Produtos!A:B,2,FALSE),"")</f>
        <v/>
      </c>
      <c r="F511" s="12" t="n"/>
      <c r="G511" s="13" t="n"/>
    </row>
    <row r="512">
      <c r="A512" s="12" t="n"/>
      <c r="D512">
        <f>IFERROR(VLOOKUP(C512,Cadastro_Produtos!A:B,2,FALSE),"")</f>
        <v/>
      </c>
      <c r="F512" s="12" t="n"/>
      <c r="G512" s="13" t="n"/>
    </row>
    <row r="513">
      <c r="A513" s="12" t="n"/>
      <c r="D513">
        <f>IFERROR(VLOOKUP(C513,Cadastro_Produtos!A:B,2,FALSE),"")</f>
        <v/>
      </c>
      <c r="F513" s="12" t="n"/>
      <c r="G513" s="13" t="n"/>
    </row>
    <row r="514">
      <c r="A514" s="12" t="n"/>
      <c r="D514">
        <f>IFERROR(VLOOKUP(C514,Cadastro_Produtos!A:B,2,FALSE),"")</f>
        <v/>
      </c>
      <c r="F514" s="12" t="n"/>
      <c r="G514" s="13" t="n"/>
    </row>
    <row r="515">
      <c r="A515" s="12" t="n"/>
      <c r="D515">
        <f>IFERROR(VLOOKUP(C515,Cadastro_Produtos!A:B,2,FALSE),"")</f>
        <v/>
      </c>
      <c r="F515" s="12" t="n"/>
      <c r="G515" s="13" t="n"/>
    </row>
    <row r="516">
      <c r="A516" s="12" t="n"/>
      <c r="D516">
        <f>IFERROR(VLOOKUP(C516,Cadastro_Produtos!A:B,2,FALSE),"")</f>
        <v/>
      </c>
      <c r="F516" s="12" t="n"/>
      <c r="G516" s="13" t="n"/>
    </row>
    <row r="517">
      <c r="A517" s="12" t="n"/>
      <c r="D517">
        <f>IFERROR(VLOOKUP(C517,Cadastro_Produtos!A:B,2,FALSE),"")</f>
        <v/>
      </c>
      <c r="F517" s="12" t="n"/>
      <c r="G517" s="13" t="n"/>
    </row>
    <row r="518">
      <c r="A518" s="12" t="n"/>
      <c r="D518">
        <f>IFERROR(VLOOKUP(C518,Cadastro_Produtos!A:B,2,FALSE),"")</f>
        <v/>
      </c>
      <c r="F518" s="12" t="n"/>
      <c r="G518" s="13" t="n"/>
    </row>
    <row r="519">
      <c r="A519" s="12" t="n"/>
      <c r="D519">
        <f>IFERROR(VLOOKUP(C519,Cadastro_Produtos!A:B,2,FALSE),"")</f>
        <v/>
      </c>
      <c r="F519" s="12" t="n"/>
      <c r="G519" s="13" t="n"/>
    </row>
    <row r="520">
      <c r="A520" s="12" t="n"/>
      <c r="D520">
        <f>IFERROR(VLOOKUP(C520,Cadastro_Produtos!A:B,2,FALSE),"")</f>
        <v/>
      </c>
      <c r="F520" s="12" t="n"/>
      <c r="G520" s="13" t="n"/>
    </row>
    <row r="521">
      <c r="A521" s="12" t="n"/>
      <c r="D521">
        <f>IFERROR(VLOOKUP(C521,Cadastro_Produtos!A:B,2,FALSE),"")</f>
        <v/>
      </c>
      <c r="F521" s="12" t="n"/>
      <c r="G521" s="13" t="n"/>
    </row>
    <row r="522">
      <c r="A522" s="12" t="n"/>
      <c r="D522">
        <f>IFERROR(VLOOKUP(C522,Cadastro_Produtos!A:B,2,FALSE),"")</f>
        <v/>
      </c>
      <c r="F522" s="12" t="n"/>
      <c r="G522" s="13" t="n"/>
    </row>
    <row r="523">
      <c r="A523" s="12" t="n"/>
      <c r="D523">
        <f>IFERROR(VLOOKUP(C523,Cadastro_Produtos!A:B,2,FALSE),"")</f>
        <v/>
      </c>
      <c r="F523" s="12" t="n"/>
      <c r="G523" s="13" t="n"/>
    </row>
    <row r="524">
      <c r="A524" s="12" t="n"/>
      <c r="D524">
        <f>IFERROR(VLOOKUP(C524,Cadastro_Produtos!A:B,2,FALSE),"")</f>
        <v/>
      </c>
      <c r="F524" s="12" t="n"/>
      <c r="G524" s="13" t="n"/>
    </row>
    <row r="525">
      <c r="A525" s="12" t="n"/>
      <c r="D525">
        <f>IFERROR(VLOOKUP(C525,Cadastro_Produtos!A:B,2,FALSE),"")</f>
        <v/>
      </c>
      <c r="F525" s="12" t="n"/>
      <c r="G525" s="13" t="n"/>
    </row>
    <row r="526">
      <c r="A526" s="12" t="n"/>
      <c r="D526">
        <f>IFERROR(VLOOKUP(C526,Cadastro_Produtos!A:B,2,FALSE),"")</f>
        <v/>
      </c>
      <c r="F526" s="12" t="n"/>
      <c r="G526" s="13" t="n"/>
    </row>
    <row r="527">
      <c r="A527" s="12" t="n"/>
      <c r="D527">
        <f>IFERROR(VLOOKUP(C527,Cadastro_Produtos!A:B,2,FALSE),"")</f>
        <v/>
      </c>
      <c r="F527" s="12" t="n"/>
      <c r="G527" s="13" t="n"/>
    </row>
    <row r="528">
      <c r="A528" s="12" t="n"/>
      <c r="D528">
        <f>IFERROR(VLOOKUP(C528,Cadastro_Produtos!A:B,2,FALSE),"")</f>
        <v/>
      </c>
      <c r="F528" s="12" t="n"/>
      <c r="G528" s="13" t="n"/>
    </row>
    <row r="529">
      <c r="A529" s="12" t="n"/>
      <c r="D529">
        <f>IFERROR(VLOOKUP(C529,Cadastro_Produtos!A:B,2,FALSE),"")</f>
        <v/>
      </c>
      <c r="F529" s="12" t="n"/>
      <c r="G529" s="13" t="n"/>
    </row>
    <row r="530">
      <c r="A530" s="12" t="n"/>
      <c r="D530">
        <f>IFERROR(VLOOKUP(C530,Cadastro_Produtos!A:B,2,FALSE),"")</f>
        <v/>
      </c>
      <c r="F530" s="12" t="n"/>
      <c r="G530" s="13" t="n"/>
    </row>
    <row r="531">
      <c r="A531" s="12" t="n"/>
      <c r="D531">
        <f>IFERROR(VLOOKUP(C531,Cadastro_Produtos!A:B,2,FALSE),"")</f>
        <v/>
      </c>
      <c r="F531" s="12" t="n"/>
      <c r="G531" s="13" t="n"/>
    </row>
    <row r="532">
      <c r="A532" s="12" t="n"/>
      <c r="D532">
        <f>IFERROR(VLOOKUP(C532,Cadastro_Produtos!A:B,2,FALSE),"")</f>
        <v/>
      </c>
      <c r="F532" s="12" t="n"/>
      <c r="G532" s="13" t="n"/>
    </row>
    <row r="533">
      <c r="A533" s="12" t="n"/>
      <c r="D533">
        <f>IFERROR(VLOOKUP(C533,Cadastro_Produtos!A:B,2,FALSE),"")</f>
        <v/>
      </c>
      <c r="F533" s="12" t="n"/>
      <c r="G533" s="13" t="n"/>
    </row>
    <row r="534">
      <c r="A534" s="12" t="n"/>
      <c r="D534">
        <f>IFERROR(VLOOKUP(C534,Cadastro_Produtos!A:B,2,FALSE),"")</f>
        <v/>
      </c>
      <c r="F534" s="12" t="n"/>
      <c r="G534" s="13" t="n"/>
    </row>
    <row r="535">
      <c r="A535" s="12" t="n"/>
      <c r="D535">
        <f>IFERROR(VLOOKUP(C535,Cadastro_Produtos!A:B,2,FALSE),"")</f>
        <v/>
      </c>
      <c r="F535" s="12" t="n"/>
      <c r="G535" s="13" t="n"/>
    </row>
    <row r="536">
      <c r="A536" s="12" t="n"/>
      <c r="D536">
        <f>IFERROR(VLOOKUP(C536,Cadastro_Produtos!A:B,2,FALSE),"")</f>
        <v/>
      </c>
      <c r="F536" s="12" t="n"/>
      <c r="G536" s="13" t="n"/>
    </row>
    <row r="537">
      <c r="A537" s="12" t="n"/>
      <c r="D537">
        <f>IFERROR(VLOOKUP(C537,Cadastro_Produtos!A:B,2,FALSE),"")</f>
        <v/>
      </c>
      <c r="F537" s="12" t="n"/>
      <c r="G537" s="13" t="n"/>
    </row>
    <row r="538">
      <c r="A538" s="12" t="n"/>
      <c r="D538">
        <f>IFERROR(VLOOKUP(C538,Cadastro_Produtos!A:B,2,FALSE),"")</f>
        <v/>
      </c>
      <c r="F538" s="12" t="n"/>
      <c r="G538" s="13" t="n"/>
    </row>
    <row r="539">
      <c r="A539" s="12" t="n"/>
      <c r="D539">
        <f>IFERROR(VLOOKUP(C539,Cadastro_Produtos!A:B,2,FALSE),"")</f>
        <v/>
      </c>
      <c r="F539" s="12" t="n"/>
      <c r="G539" s="13" t="n"/>
    </row>
    <row r="540">
      <c r="A540" s="12" t="n"/>
      <c r="D540">
        <f>IFERROR(VLOOKUP(C540,Cadastro_Produtos!A:B,2,FALSE),"")</f>
        <v/>
      </c>
      <c r="F540" s="12" t="n"/>
      <c r="G540" s="13" t="n"/>
    </row>
    <row r="541">
      <c r="A541" s="12" t="n"/>
      <c r="D541">
        <f>IFERROR(VLOOKUP(C541,Cadastro_Produtos!A:B,2,FALSE),"")</f>
        <v/>
      </c>
      <c r="F541" s="12" t="n"/>
      <c r="G541" s="13" t="n"/>
    </row>
    <row r="542">
      <c r="A542" s="12" t="n"/>
      <c r="D542">
        <f>IFERROR(VLOOKUP(C542,Cadastro_Produtos!A:B,2,FALSE),"")</f>
        <v/>
      </c>
      <c r="F542" s="12" t="n"/>
      <c r="G542" s="13" t="n"/>
    </row>
    <row r="543">
      <c r="A543" s="12" t="n"/>
      <c r="D543">
        <f>IFERROR(VLOOKUP(C543,Cadastro_Produtos!A:B,2,FALSE),"")</f>
        <v/>
      </c>
      <c r="F543" s="12" t="n"/>
      <c r="G543" s="13" t="n"/>
    </row>
    <row r="544">
      <c r="A544" s="12" t="n"/>
      <c r="D544">
        <f>IFERROR(VLOOKUP(C544,Cadastro_Produtos!A:B,2,FALSE),"")</f>
        <v/>
      </c>
      <c r="F544" s="12" t="n"/>
      <c r="G544" s="13" t="n"/>
    </row>
    <row r="545">
      <c r="A545" s="12" t="n"/>
      <c r="D545">
        <f>IFERROR(VLOOKUP(C545,Cadastro_Produtos!A:B,2,FALSE),"")</f>
        <v/>
      </c>
      <c r="F545" s="12" t="n"/>
      <c r="G545" s="13" t="n"/>
    </row>
    <row r="546">
      <c r="A546" s="12" t="n"/>
      <c r="D546">
        <f>IFERROR(VLOOKUP(C546,Cadastro_Produtos!A:B,2,FALSE),"")</f>
        <v/>
      </c>
      <c r="F546" s="12" t="n"/>
      <c r="G546" s="13" t="n"/>
    </row>
    <row r="547">
      <c r="A547" s="12" t="n"/>
      <c r="D547">
        <f>IFERROR(VLOOKUP(C547,Cadastro_Produtos!A:B,2,FALSE),"")</f>
        <v/>
      </c>
      <c r="F547" s="12" t="n"/>
      <c r="G547" s="13" t="n"/>
    </row>
    <row r="548">
      <c r="A548" s="12" t="n"/>
      <c r="D548">
        <f>IFERROR(VLOOKUP(C548,Cadastro_Produtos!A:B,2,FALSE),"")</f>
        <v/>
      </c>
      <c r="F548" s="12" t="n"/>
      <c r="G548" s="13" t="n"/>
    </row>
    <row r="549">
      <c r="A549" s="12" t="n"/>
      <c r="D549">
        <f>IFERROR(VLOOKUP(C549,Cadastro_Produtos!A:B,2,FALSE),"")</f>
        <v/>
      </c>
      <c r="F549" s="12" t="n"/>
      <c r="G549" s="13" t="n"/>
    </row>
    <row r="550">
      <c r="A550" s="12" t="n"/>
      <c r="D550">
        <f>IFERROR(VLOOKUP(C550,Cadastro_Produtos!A:B,2,FALSE),"")</f>
        <v/>
      </c>
      <c r="F550" s="12" t="n"/>
      <c r="G550" s="13" t="n"/>
    </row>
    <row r="551">
      <c r="A551" s="12" t="n"/>
      <c r="D551">
        <f>IFERROR(VLOOKUP(C551,Cadastro_Produtos!A:B,2,FALSE),"")</f>
        <v/>
      </c>
      <c r="F551" s="12" t="n"/>
      <c r="G551" s="13" t="n"/>
    </row>
    <row r="552">
      <c r="A552" s="12" t="n"/>
      <c r="D552">
        <f>IFERROR(VLOOKUP(C552,Cadastro_Produtos!A:B,2,FALSE),"")</f>
        <v/>
      </c>
      <c r="F552" s="12" t="n"/>
      <c r="G552" s="13" t="n"/>
    </row>
    <row r="553">
      <c r="A553" s="12" t="n"/>
      <c r="D553">
        <f>IFERROR(VLOOKUP(C553,Cadastro_Produtos!A:B,2,FALSE),"")</f>
        <v/>
      </c>
      <c r="F553" s="12" t="n"/>
      <c r="G553" s="13" t="n"/>
    </row>
    <row r="554">
      <c r="A554" s="12" t="n"/>
      <c r="D554">
        <f>IFERROR(VLOOKUP(C554,Cadastro_Produtos!A:B,2,FALSE),"")</f>
        <v/>
      </c>
      <c r="F554" s="12" t="n"/>
      <c r="G554" s="13" t="n"/>
    </row>
    <row r="555">
      <c r="A555" s="12" t="n"/>
      <c r="D555">
        <f>IFERROR(VLOOKUP(C555,Cadastro_Produtos!A:B,2,FALSE),"")</f>
        <v/>
      </c>
      <c r="F555" s="12" t="n"/>
      <c r="G555" s="13" t="n"/>
    </row>
    <row r="556">
      <c r="A556" s="12" t="n"/>
      <c r="D556">
        <f>IFERROR(VLOOKUP(C556,Cadastro_Produtos!A:B,2,FALSE),"")</f>
        <v/>
      </c>
      <c r="F556" s="12" t="n"/>
      <c r="G556" s="13" t="n"/>
    </row>
    <row r="557">
      <c r="A557" s="12" t="n"/>
      <c r="D557">
        <f>IFERROR(VLOOKUP(C557,Cadastro_Produtos!A:B,2,FALSE),"")</f>
        <v/>
      </c>
      <c r="F557" s="12" t="n"/>
      <c r="G557" s="13" t="n"/>
    </row>
    <row r="558">
      <c r="A558" s="12" t="n"/>
      <c r="D558">
        <f>IFERROR(VLOOKUP(C558,Cadastro_Produtos!A:B,2,FALSE),"")</f>
        <v/>
      </c>
      <c r="F558" s="12" t="n"/>
      <c r="G558" s="13" t="n"/>
    </row>
    <row r="559">
      <c r="A559" s="12" t="n"/>
      <c r="D559">
        <f>IFERROR(VLOOKUP(C559,Cadastro_Produtos!A:B,2,FALSE),"")</f>
        <v/>
      </c>
      <c r="F559" s="12" t="n"/>
      <c r="G559" s="13" t="n"/>
    </row>
    <row r="560">
      <c r="A560" s="12" t="n"/>
      <c r="D560">
        <f>IFERROR(VLOOKUP(C560,Cadastro_Produtos!A:B,2,FALSE),"")</f>
        <v/>
      </c>
      <c r="F560" s="12" t="n"/>
      <c r="G560" s="13" t="n"/>
    </row>
    <row r="561">
      <c r="A561" s="12" t="n"/>
      <c r="D561">
        <f>IFERROR(VLOOKUP(C561,Cadastro_Produtos!A:B,2,FALSE),"")</f>
        <v/>
      </c>
      <c r="F561" s="12" t="n"/>
      <c r="G561" s="13" t="n"/>
    </row>
    <row r="562">
      <c r="A562" s="12" t="n"/>
      <c r="D562">
        <f>IFERROR(VLOOKUP(C562,Cadastro_Produtos!A:B,2,FALSE),"")</f>
        <v/>
      </c>
      <c r="F562" s="12" t="n"/>
      <c r="G562" s="13" t="n"/>
    </row>
    <row r="563">
      <c r="A563" s="12" t="n"/>
      <c r="D563">
        <f>IFERROR(VLOOKUP(C563,Cadastro_Produtos!A:B,2,FALSE),"")</f>
        <v/>
      </c>
      <c r="F563" s="12" t="n"/>
      <c r="G563" s="13" t="n"/>
    </row>
    <row r="564">
      <c r="A564" s="12" t="n"/>
      <c r="D564">
        <f>IFERROR(VLOOKUP(C564,Cadastro_Produtos!A:B,2,FALSE),"")</f>
        <v/>
      </c>
      <c r="F564" s="12" t="n"/>
      <c r="G564" s="13" t="n"/>
    </row>
    <row r="565">
      <c r="A565" s="12" t="n"/>
      <c r="D565">
        <f>IFERROR(VLOOKUP(C565,Cadastro_Produtos!A:B,2,FALSE),"")</f>
        <v/>
      </c>
      <c r="F565" s="12" t="n"/>
      <c r="G565" s="13" t="n"/>
    </row>
    <row r="566">
      <c r="A566" s="12" t="n"/>
      <c r="D566">
        <f>IFERROR(VLOOKUP(C566,Cadastro_Produtos!A:B,2,FALSE),"")</f>
        <v/>
      </c>
      <c r="F566" s="12" t="n"/>
      <c r="G566" s="13" t="n"/>
    </row>
    <row r="567">
      <c r="A567" s="12" t="n"/>
      <c r="D567">
        <f>IFERROR(VLOOKUP(C567,Cadastro_Produtos!A:B,2,FALSE),"")</f>
        <v/>
      </c>
      <c r="F567" s="12" t="n"/>
      <c r="G567" s="13" t="n"/>
    </row>
    <row r="568">
      <c r="A568" s="12" t="n"/>
      <c r="D568">
        <f>IFERROR(VLOOKUP(C568,Cadastro_Produtos!A:B,2,FALSE),"")</f>
        <v/>
      </c>
      <c r="F568" s="12" t="n"/>
      <c r="G568" s="13" t="n"/>
    </row>
    <row r="569">
      <c r="A569" s="12" t="n"/>
      <c r="D569">
        <f>IFERROR(VLOOKUP(C569,Cadastro_Produtos!A:B,2,FALSE),"")</f>
        <v/>
      </c>
      <c r="F569" s="12" t="n"/>
      <c r="G569" s="13" t="n"/>
    </row>
    <row r="570">
      <c r="A570" s="12" t="n"/>
      <c r="D570">
        <f>IFERROR(VLOOKUP(C570,Cadastro_Produtos!A:B,2,FALSE),"")</f>
        <v/>
      </c>
      <c r="F570" s="12" t="n"/>
      <c r="G570" s="13" t="n"/>
    </row>
    <row r="571">
      <c r="A571" s="12" t="n"/>
      <c r="D571">
        <f>IFERROR(VLOOKUP(C571,Cadastro_Produtos!A:B,2,FALSE),"")</f>
        <v/>
      </c>
      <c r="F571" s="12" t="n"/>
      <c r="G571" s="13" t="n"/>
    </row>
    <row r="572">
      <c r="A572" s="12" t="n"/>
      <c r="D572">
        <f>IFERROR(VLOOKUP(C572,Cadastro_Produtos!A:B,2,FALSE),"")</f>
        <v/>
      </c>
      <c r="F572" s="12" t="n"/>
      <c r="G572" s="13" t="n"/>
    </row>
    <row r="573">
      <c r="A573" s="12" t="n"/>
      <c r="D573">
        <f>IFERROR(VLOOKUP(C573,Cadastro_Produtos!A:B,2,FALSE),"")</f>
        <v/>
      </c>
      <c r="F573" s="12" t="n"/>
      <c r="G573" s="13" t="n"/>
    </row>
    <row r="574">
      <c r="A574" s="12" t="n"/>
      <c r="D574">
        <f>IFERROR(VLOOKUP(C574,Cadastro_Produtos!A:B,2,FALSE),"")</f>
        <v/>
      </c>
      <c r="F574" s="12" t="n"/>
      <c r="G574" s="13" t="n"/>
    </row>
    <row r="575">
      <c r="A575" s="12" t="n"/>
      <c r="D575">
        <f>IFERROR(VLOOKUP(C575,Cadastro_Produtos!A:B,2,FALSE),"")</f>
        <v/>
      </c>
      <c r="F575" s="12" t="n"/>
      <c r="G575" s="13" t="n"/>
    </row>
    <row r="576">
      <c r="A576" s="12" t="n"/>
      <c r="D576">
        <f>IFERROR(VLOOKUP(C576,Cadastro_Produtos!A:B,2,FALSE),"")</f>
        <v/>
      </c>
      <c r="F576" s="12" t="n"/>
      <c r="G576" s="13" t="n"/>
    </row>
    <row r="577">
      <c r="A577" s="12" t="n"/>
      <c r="D577">
        <f>IFERROR(VLOOKUP(C577,Cadastro_Produtos!A:B,2,FALSE),"")</f>
        <v/>
      </c>
      <c r="F577" s="12" t="n"/>
      <c r="G577" s="13" t="n"/>
    </row>
    <row r="578">
      <c r="A578" s="12" t="n"/>
      <c r="D578">
        <f>IFERROR(VLOOKUP(C578,Cadastro_Produtos!A:B,2,FALSE),"")</f>
        <v/>
      </c>
      <c r="F578" s="12" t="n"/>
      <c r="G578" s="13" t="n"/>
    </row>
    <row r="579">
      <c r="A579" s="12" t="n"/>
      <c r="D579">
        <f>IFERROR(VLOOKUP(C579,Cadastro_Produtos!A:B,2,FALSE),"")</f>
        <v/>
      </c>
      <c r="F579" s="12" t="n"/>
      <c r="G579" s="13" t="n"/>
    </row>
    <row r="580">
      <c r="A580" s="12" t="n"/>
      <c r="D580">
        <f>IFERROR(VLOOKUP(C580,Cadastro_Produtos!A:B,2,FALSE),"")</f>
        <v/>
      </c>
      <c r="F580" s="12" t="n"/>
      <c r="G580" s="13" t="n"/>
    </row>
    <row r="581">
      <c r="A581" s="12" t="n"/>
      <c r="D581">
        <f>IFERROR(VLOOKUP(C581,Cadastro_Produtos!A:B,2,FALSE),"")</f>
        <v/>
      </c>
      <c r="F581" s="12" t="n"/>
      <c r="G581" s="13" t="n"/>
    </row>
    <row r="582">
      <c r="A582" s="12" t="n"/>
      <c r="D582">
        <f>IFERROR(VLOOKUP(C582,Cadastro_Produtos!A:B,2,FALSE),"")</f>
        <v/>
      </c>
      <c r="F582" s="12" t="n"/>
      <c r="G582" s="13" t="n"/>
    </row>
    <row r="583">
      <c r="A583" s="12" t="n"/>
      <c r="D583">
        <f>IFERROR(VLOOKUP(C583,Cadastro_Produtos!A:B,2,FALSE),"")</f>
        <v/>
      </c>
      <c r="F583" s="12" t="n"/>
      <c r="G583" s="13" t="n"/>
    </row>
    <row r="584">
      <c r="A584" s="12" t="n"/>
      <c r="D584">
        <f>IFERROR(VLOOKUP(C584,Cadastro_Produtos!A:B,2,FALSE),"")</f>
        <v/>
      </c>
      <c r="F584" s="12" t="n"/>
      <c r="G584" s="13" t="n"/>
    </row>
    <row r="585">
      <c r="A585" s="12" t="n"/>
      <c r="D585">
        <f>IFERROR(VLOOKUP(C585,Cadastro_Produtos!A:B,2,FALSE),"")</f>
        <v/>
      </c>
      <c r="F585" s="12" t="n"/>
      <c r="G585" s="13" t="n"/>
    </row>
    <row r="586">
      <c r="A586" s="12" t="n"/>
      <c r="D586">
        <f>IFERROR(VLOOKUP(C586,Cadastro_Produtos!A:B,2,FALSE),"")</f>
        <v/>
      </c>
      <c r="F586" s="12" t="n"/>
      <c r="G586" s="13" t="n"/>
    </row>
    <row r="587">
      <c r="A587" s="12" t="n"/>
      <c r="D587">
        <f>IFERROR(VLOOKUP(C587,Cadastro_Produtos!A:B,2,FALSE),"")</f>
        <v/>
      </c>
      <c r="F587" s="12" t="n"/>
      <c r="G587" s="13" t="n"/>
    </row>
    <row r="588">
      <c r="A588" s="12" t="n"/>
      <c r="D588">
        <f>IFERROR(VLOOKUP(C588,Cadastro_Produtos!A:B,2,FALSE),"")</f>
        <v/>
      </c>
      <c r="F588" s="12" t="n"/>
      <c r="G588" s="13" t="n"/>
    </row>
    <row r="589">
      <c r="A589" s="12" t="n"/>
      <c r="D589">
        <f>IFERROR(VLOOKUP(C589,Cadastro_Produtos!A:B,2,FALSE),"")</f>
        <v/>
      </c>
      <c r="F589" s="12" t="n"/>
      <c r="G589" s="13" t="n"/>
    </row>
    <row r="590">
      <c r="A590" s="12" t="n"/>
      <c r="D590">
        <f>IFERROR(VLOOKUP(C590,Cadastro_Produtos!A:B,2,FALSE),"")</f>
        <v/>
      </c>
      <c r="F590" s="12" t="n"/>
      <c r="G590" s="13" t="n"/>
    </row>
    <row r="591">
      <c r="A591" s="12" t="n"/>
      <c r="D591">
        <f>IFERROR(VLOOKUP(C591,Cadastro_Produtos!A:B,2,FALSE),"")</f>
        <v/>
      </c>
      <c r="F591" s="12" t="n"/>
      <c r="G591" s="13" t="n"/>
    </row>
    <row r="592">
      <c r="A592" s="12" t="n"/>
      <c r="D592">
        <f>IFERROR(VLOOKUP(C592,Cadastro_Produtos!A:B,2,FALSE),"")</f>
        <v/>
      </c>
      <c r="F592" s="12" t="n"/>
      <c r="G592" s="13" t="n"/>
    </row>
    <row r="593">
      <c r="A593" s="12" t="n"/>
      <c r="D593">
        <f>IFERROR(VLOOKUP(C593,Cadastro_Produtos!A:B,2,FALSE),"")</f>
        <v/>
      </c>
      <c r="F593" s="12" t="n"/>
      <c r="G593" s="13" t="n"/>
    </row>
    <row r="594">
      <c r="A594" s="12" t="n"/>
      <c r="D594">
        <f>IFERROR(VLOOKUP(C594,Cadastro_Produtos!A:B,2,FALSE),"")</f>
        <v/>
      </c>
      <c r="F594" s="12" t="n"/>
      <c r="G594" s="13" t="n"/>
    </row>
    <row r="595">
      <c r="A595" s="12" t="n"/>
      <c r="D595">
        <f>IFERROR(VLOOKUP(C595,Cadastro_Produtos!A:B,2,FALSE),"")</f>
        <v/>
      </c>
      <c r="F595" s="12" t="n"/>
      <c r="G595" s="13" t="n"/>
    </row>
    <row r="596">
      <c r="A596" s="12" t="n"/>
      <c r="D596">
        <f>IFERROR(VLOOKUP(C596,Cadastro_Produtos!A:B,2,FALSE),"")</f>
        <v/>
      </c>
      <c r="F596" s="12" t="n"/>
      <c r="G596" s="13" t="n"/>
    </row>
    <row r="597">
      <c r="A597" s="12" t="n"/>
      <c r="D597">
        <f>IFERROR(VLOOKUP(C597,Cadastro_Produtos!A:B,2,FALSE),"")</f>
        <v/>
      </c>
      <c r="F597" s="12" t="n"/>
      <c r="G597" s="13" t="n"/>
    </row>
    <row r="598">
      <c r="A598" s="12" t="n"/>
      <c r="D598">
        <f>IFERROR(VLOOKUP(C598,Cadastro_Produtos!A:B,2,FALSE),"")</f>
        <v/>
      </c>
      <c r="F598" s="12" t="n"/>
      <c r="G598" s="13" t="n"/>
    </row>
    <row r="599">
      <c r="A599" s="12" t="n"/>
      <c r="D599">
        <f>IFERROR(VLOOKUP(C599,Cadastro_Produtos!A:B,2,FALSE),"")</f>
        <v/>
      </c>
      <c r="F599" s="12" t="n"/>
      <c r="G599" s="13" t="n"/>
    </row>
    <row r="600">
      <c r="A600" s="12" t="n"/>
      <c r="D600">
        <f>IFERROR(VLOOKUP(C600,Cadastro_Produtos!A:B,2,FALSE),"")</f>
        <v/>
      </c>
      <c r="F600" s="12" t="n"/>
      <c r="G600" s="13" t="n"/>
    </row>
    <row r="601">
      <c r="A601" s="12" t="n"/>
      <c r="D601">
        <f>IFERROR(VLOOKUP(C601,Cadastro_Produtos!A:B,2,FALSE),"")</f>
        <v/>
      </c>
      <c r="F601" s="12" t="n"/>
      <c r="G601" s="13" t="n"/>
    </row>
    <row r="602">
      <c r="A602" s="12" t="n"/>
      <c r="D602">
        <f>IFERROR(VLOOKUP(C602,Cadastro_Produtos!A:B,2,FALSE),"")</f>
        <v/>
      </c>
      <c r="F602" s="12" t="n"/>
      <c r="G602" s="13" t="n"/>
    </row>
    <row r="603">
      <c r="A603" s="12" t="n"/>
      <c r="D603">
        <f>IFERROR(VLOOKUP(C603,Cadastro_Produtos!A:B,2,FALSE),"")</f>
        <v/>
      </c>
      <c r="F603" s="12" t="n"/>
      <c r="G603" s="13" t="n"/>
    </row>
    <row r="604">
      <c r="A604" s="12" t="n"/>
      <c r="D604">
        <f>IFERROR(VLOOKUP(C604,Cadastro_Produtos!A:B,2,FALSE),"")</f>
        <v/>
      </c>
      <c r="F604" s="12" t="n"/>
      <c r="G604" s="13" t="n"/>
    </row>
    <row r="605">
      <c r="A605" s="12" t="n"/>
      <c r="D605">
        <f>IFERROR(VLOOKUP(C605,Cadastro_Produtos!A:B,2,FALSE),"")</f>
        <v/>
      </c>
      <c r="F605" s="12" t="n"/>
      <c r="G605" s="13" t="n"/>
    </row>
    <row r="606">
      <c r="A606" s="12" t="n"/>
      <c r="D606">
        <f>IFERROR(VLOOKUP(C606,Cadastro_Produtos!A:B,2,FALSE),"")</f>
        <v/>
      </c>
      <c r="F606" s="12" t="n"/>
      <c r="G606" s="13" t="n"/>
    </row>
    <row r="607">
      <c r="A607" s="12" t="n"/>
      <c r="D607">
        <f>IFERROR(VLOOKUP(C607,Cadastro_Produtos!A:B,2,FALSE),"")</f>
        <v/>
      </c>
      <c r="F607" s="12" t="n"/>
      <c r="G607" s="13" t="n"/>
    </row>
    <row r="608">
      <c r="A608" s="12" t="n"/>
      <c r="D608">
        <f>IFERROR(VLOOKUP(C608,Cadastro_Produtos!A:B,2,FALSE),"")</f>
        <v/>
      </c>
      <c r="F608" s="12" t="n"/>
      <c r="G608" s="13" t="n"/>
    </row>
    <row r="609">
      <c r="A609" s="12" t="n"/>
      <c r="D609">
        <f>IFERROR(VLOOKUP(C609,Cadastro_Produtos!A:B,2,FALSE),"")</f>
        <v/>
      </c>
      <c r="F609" s="12" t="n"/>
      <c r="G609" s="13" t="n"/>
    </row>
    <row r="610">
      <c r="A610" s="12" t="n"/>
      <c r="D610">
        <f>IFERROR(VLOOKUP(C610,Cadastro_Produtos!A:B,2,FALSE),"")</f>
        <v/>
      </c>
      <c r="F610" s="12" t="n"/>
      <c r="G610" s="13" t="n"/>
    </row>
    <row r="611">
      <c r="A611" s="12" t="n"/>
      <c r="D611">
        <f>IFERROR(VLOOKUP(C611,Cadastro_Produtos!A:B,2,FALSE),"")</f>
        <v/>
      </c>
      <c r="F611" s="12" t="n"/>
      <c r="G611" s="13" t="n"/>
    </row>
    <row r="612">
      <c r="A612" s="12" t="n"/>
      <c r="D612">
        <f>IFERROR(VLOOKUP(C612,Cadastro_Produtos!A:B,2,FALSE),"")</f>
        <v/>
      </c>
      <c r="F612" s="12" t="n"/>
      <c r="G612" s="13" t="n"/>
    </row>
    <row r="613">
      <c r="A613" s="12" t="n"/>
      <c r="D613">
        <f>IFERROR(VLOOKUP(C613,Cadastro_Produtos!A:B,2,FALSE),"")</f>
        <v/>
      </c>
      <c r="F613" s="12" t="n"/>
      <c r="G613" s="13" t="n"/>
    </row>
    <row r="614">
      <c r="A614" s="12" t="n"/>
      <c r="D614">
        <f>IFERROR(VLOOKUP(C614,Cadastro_Produtos!A:B,2,FALSE),"")</f>
        <v/>
      </c>
      <c r="F614" s="12" t="n"/>
      <c r="G614" s="13" t="n"/>
    </row>
    <row r="615">
      <c r="A615" s="12" t="n"/>
      <c r="D615">
        <f>IFERROR(VLOOKUP(C615,Cadastro_Produtos!A:B,2,FALSE),"")</f>
        <v/>
      </c>
      <c r="F615" s="12" t="n"/>
      <c r="G615" s="13" t="n"/>
    </row>
    <row r="616">
      <c r="A616" s="12" t="n"/>
      <c r="D616">
        <f>IFERROR(VLOOKUP(C616,Cadastro_Produtos!A:B,2,FALSE),"")</f>
        <v/>
      </c>
      <c r="F616" s="12" t="n"/>
      <c r="G616" s="13" t="n"/>
    </row>
    <row r="617">
      <c r="A617" s="12" t="n"/>
      <c r="D617">
        <f>IFERROR(VLOOKUP(C617,Cadastro_Produtos!A:B,2,FALSE),"")</f>
        <v/>
      </c>
      <c r="F617" s="12" t="n"/>
      <c r="G617" s="13" t="n"/>
    </row>
    <row r="618">
      <c r="A618" s="12" t="n"/>
      <c r="D618">
        <f>IFERROR(VLOOKUP(C618,Cadastro_Produtos!A:B,2,FALSE),"")</f>
        <v/>
      </c>
      <c r="F618" s="12" t="n"/>
      <c r="G618" s="13" t="n"/>
    </row>
    <row r="619">
      <c r="A619" s="12" t="n"/>
      <c r="D619">
        <f>IFERROR(VLOOKUP(C619,Cadastro_Produtos!A:B,2,FALSE),"")</f>
        <v/>
      </c>
      <c r="F619" s="12" t="n"/>
      <c r="G619" s="13" t="n"/>
    </row>
    <row r="620">
      <c r="A620" s="12" t="n"/>
      <c r="D620">
        <f>IFERROR(VLOOKUP(C620,Cadastro_Produtos!A:B,2,FALSE),"")</f>
        <v/>
      </c>
      <c r="F620" s="12" t="n"/>
      <c r="G620" s="13" t="n"/>
    </row>
    <row r="621">
      <c r="A621" s="12" t="n"/>
      <c r="D621">
        <f>IFERROR(VLOOKUP(C621,Cadastro_Produtos!A:B,2,FALSE),"")</f>
        <v/>
      </c>
      <c r="F621" s="12" t="n"/>
      <c r="G621" s="13" t="n"/>
    </row>
    <row r="622">
      <c r="A622" s="12" t="n"/>
      <c r="D622">
        <f>IFERROR(VLOOKUP(C622,Cadastro_Produtos!A:B,2,FALSE),"")</f>
        <v/>
      </c>
      <c r="F622" s="12" t="n"/>
      <c r="G622" s="13" t="n"/>
    </row>
    <row r="623">
      <c r="A623" s="12" t="n"/>
      <c r="D623">
        <f>IFERROR(VLOOKUP(C623,Cadastro_Produtos!A:B,2,FALSE),"")</f>
        <v/>
      </c>
      <c r="F623" s="12" t="n"/>
      <c r="G623" s="13" t="n"/>
    </row>
    <row r="624">
      <c r="A624" s="12" t="n"/>
      <c r="D624">
        <f>IFERROR(VLOOKUP(C624,Cadastro_Produtos!A:B,2,FALSE),"")</f>
        <v/>
      </c>
      <c r="F624" s="12" t="n"/>
      <c r="G624" s="13" t="n"/>
    </row>
    <row r="625">
      <c r="A625" s="12" t="n"/>
      <c r="D625">
        <f>IFERROR(VLOOKUP(C625,Cadastro_Produtos!A:B,2,FALSE),"")</f>
        <v/>
      </c>
      <c r="F625" s="12" t="n"/>
      <c r="G625" s="13" t="n"/>
    </row>
    <row r="626">
      <c r="A626" s="12" t="n"/>
      <c r="D626">
        <f>IFERROR(VLOOKUP(C626,Cadastro_Produtos!A:B,2,FALSE),"")</f>
        <v/>
      </c>
      <c r="F626" s="12" t="n"/>
      <c r="G626" s="13" t="n"/>
    </row>
    <row r="627">
      <c r="A627" s="12" t="n"/>
      <c r="D627">
        <f>IFERROR(VLOOKUP(C627,Cadastro_Produtos!A:B,2,FALSE),"")</f>
        <v/>
      </c>
      <c r="F627" s="12" t="n"/>
      <c r="G627" s="13" t="n"/>
    </row>
    <row r="628">
      <c r="A628" s="12" t="n"/>
      <c r="D628">
        <f>IFERROR(VLOOKUP(C628,Cadastro_Produtos!A:B,2,FALSE),"")</f>
        <v/>
      </c>
      <c r="F628" s="12" t="n"/>
      <c r="G628" s="13" t="n"/>
    </row>
    <row r="629">
      <c r="A629" s="12" t="n"/>
      <c r="D629">
        <f>IFERROR(VLOOKUP(C629,Cadastro_Produtos!A:B,2,FALSE),"")</f>
        <v/>
      </c>
      <c r="F629" s="12" t="n"/>
      <c r="G629" s="13" t="n"/>
    </row>
    <row r="630">
      <c r="A630" s="12" t="n"/>
      <c r="D630">
        <f>IFERROR(VLOOKUP(C630,Cadastro_Produtos!A:B,2,FALSE),"")</f>
        <v/>
      </c>
      <c r="F630" s="12" t="n"/>
      <c r="G630" s="13" t="n"/>
    </row>
    <row r="631">
      <c r="A631" s="12" t="n"/>
      <c r="D631">
        <f>IFERROR(VLOOKUP(C631,Cadastro_Produtos!A:B,2,FALSE),"")</f>
        <v/>
      </c>
      <c r="F631" s="12" t="n"/>
      <c r="G631" s="13" t="n"/>
    </row>
    <row r="632">
      <c r="A632" s="12" t="n"/>
      <c r="D632">
        <f>IFERROR(VLOOKUP(C632,Cadastro_Produtos!A:B,2,FALSE),"")</f>
        <v/>
      </c>
      <c r="F632" s="12" t="n"/>
      <c r="G632" s="13" t="n"/>
    </row>
    <row r="633">
      <c r="A633" s="12" t="n"/>
      <c r="D633">
        <f>IFERROR(VLOOKUP(C633,Cadastro_Produtos!A:B,2,FALSE),"")</f>
        <v/>
      </c>
      <c r="F633" s="12" t="n"/>
      <c r="G633" s="13" t="n"/>
    </row>
    <row r="634">
      <c r="A634" s="12" t="n"/>
      <c r="D634">
        <f>IFERROR(VLOOKUP(C634,Cadastro_Produtos!A:B,2,FALSE),"")</f>
        <v/>
      </c>
      <c r="F634" s="12" t="n"/>
      <c r="G634" s="13" t="n"/>
    </row>
    <row r="635">
      <c r="A635" s="12" t="n"/>
      <c r="D635">
        <f>IFERROR(VLOOKUP(C635,Cadastro_Produtos!A:B,2,FALSE),"")</f>
        <v/>
      </c>
      <c r="F635" s="12" t="n"/>
      <c r="G635" s="13" t="n"/>
    </row>
    <row r="636">
      <c r="A636" s="12" t="n"/>
      <c r="D636">
        <f>IFERROR(VLOOKUP(C636,Cadastro_Produtos!A:B,2,FALSE),"")</f>
        <v/>
      </c>
      <c r="F636" s="12" t="n"/>
      <c r="G636" s="13" t="n"/>
    </row>
    <row r="637">
      <c r="A637" s="12" t="n"/>
      <c r="D637">
        <f>IFERROR(VLOOKUP(C637,Cadastro_Produtos!A:B,2,FALSE),"")</f>
        <v/>
      </c>
      <c r="F637" s="12" t="n"/>
      <c r="G637" s="13" t="n"/>
    </row>
    <row r="638">
      <c r="A638" s="12" t="n"/>
      <c r="D638">
        <f>IFERROR(VLOOKUP(C638,Cadastro_Produtos!A:B,2,FALSE),"")</f>
        <v/>
      </c>
      <c r="F638" s="12" t="n"/>
      <c r="G638" s="13" t="n"/>
    </row>
    <row r="639">
      <c r="A639" s="12" t="n"/>
      <c r="D639">
        <f>IFERROR(VLOOKUP(C639,Cadastro_Produtos!A:B,2,FALSE),"")</f>
        <v/>
      </c>
      <c r="F639" s="12" t="n"/>
      <c r="G639" s="13" t="n"/>
    </row>
    <row r="640">
      <c r="A640" s="12" t="n"/>
      <c r="D640">
        <f>IFERROR(VLOOKUP(C640,Cadastro_Produtos!A:B,2,FALSE),"")</f>
        <v/>
      </c>
      <c r="F640" s="12" t="n"/>
      <c r="G640" s="13" t="n"/>
    </row>
    <row r="641">
      <c r="A641" s="12" t="n"/>
      <c r="D641">
        <f>IFERROR(VLOOKUP(C641,Cadastro_Produtos!A:B,2,FALSE),"")</f>
        <v/>
      </c>
      <c r="F641" s="12" t="n"/>
      <c r="G641" s="13" t="n"/>
    </row>
    <row r="642">
      <c r="A642" s="12" t="n"/>
      <c r="D642">
        <f>IFERROR(VLOOKUP(C642,Cadastro_Produtos!A:B,2,FALSE),"")</f>
        <v/>
      </c>
      <c r="F642" s="12" t="n"/>
      <c r="G642" s="13" t="n"/>
    </row>
    <row r="643">
      <c r="A643" s="12" t="n"/>
      <c r="D643">
        <f>IFERROR(VLOOKUP(C643,Cadastro_Produtos!A:B,2,FALSE),"")</f>
        <v/>
      </c>
      <c r="F643" s="12" t="n"/>
      <c r="G643" s="13" t="n"/>
    </row>
    <row r="644">
      <c r="A644" s="12" t="n"/>
      <c r="D644">
        <f>IFERROR(VLOOKUP(C644,Cadastro_Produtos!A:B,2,FALSE),"")</f>
        <v/>
      </c>
      <c r="F644" s="12" t="n"/>
      <c r="G644" s="13" t="n"/>
    </row>
    <row r="645">
      <c r="A645" s="12" t="n"/>
      <c r="D645">
        <f>IFERROR(VLOOKUP(C645,Cadastro_Produtos!A:B,2,FALSE),"")</f>
        <v/>
      </c>
      <c r="F645" s="12" t="n"/>
      <c r="G645" s="13" t="n"/>
    </row>
    <row r="646">
      <c r="A646" s="12" t="n"/>
      <c r="D646">
        <f>IFERROR(VLOOKUP(C646,Cadastro_Produtos!A:B,2,FALSE),"")</f>
        <v/>
      </c>
      <c r="F646" s="12" t="n"/>
      <c r="G646" s="13" t="n"/>
    </row>
    <row r="647">
      <c r="A647" s="12" t="n"/>
      <c r="D647">
        <f>IFERROR(VLOOKUP(C647,Cadastro_Produtos!A:B,2,FALSE),"")</f>
        <v/>
      </c>
      <c r="F647" s="12" t="n"/>
      <c r="G647" s="13" t="n"/>
    </row>
    <row r="648">
      <c r="A648" s="12" t="n"/>
      <c r="D648">
        <f>IFERROR(VLOOKUP(C648,Cadastro_Produtos!A:B,2,FALSE),"")</f>
        <v/>
      </c>
      <c r="F648" s="12" t="n"/>
      <c r="G648" s="13" t="n"/>
    </row>
    <row r="649">
      <c r="A649" s="12" t="n"/>
      <c r="D649">
        <f>IFERROR(VLOOKUP(C649,Cadastro_Produtos!A:B,2,FALSE),"")</f>
        <v/>
      </c>
      <c r="F649" s="12" t="n"/>
      <c r="G649" s="13" t="n"/>
    </row>
    <row r="650">
      <c r="A650" s="12" t="n"/>
      <c r="D650">
        <f>IFERROR(VLOOKUP(C650,Cadastro_Produtos!A:B,2,FALSE),"")</f>
        <v/>
      </c>
      <c r="F650" s="12" t="n"/>
      <c r="G650" s="13" t="n"/>
    </row>
    <row r="651">
      <c r="A651" s="12" t="n"/>
      <c r="D651">
        <f>IFERROR(VLOOKUP(C651,Cadastro_Produtos!A:B,2,FALSE),"")</f>
        <v/>
      </c>
      <c r="F651" s="12" t="n"/>
      <c r="G651" s="13" t="n"/>
    </row>
    <row r="652">
      <c r="A652" s="12" t="n"/>
      <c r="D652">
        <f>IFERROR(VLOOKUP(C652,Cadastro_Produtos!A:B,2,FALSE),"")</f>
        <v/>
      </c>
      <c r="F652" s="12" t="n"/>
      <c r="G652" s="13" t="n"/>
    </row>
    <row r="653">
      <c r="A653" s="12" t="n"/>
      <c r="D653">
        <f>IFERROR(VLOOKUP(C653,Cadastro_Produtos!A:B,2,FALSE),"")</f>
        <v/>
      </c>
      <c r="F653" s="12" t="n"/>
      <c r="G653" s="13" t="n"/>
    </row>
    <row r="654">
      <c r="A654" s="12" t="n"/>
      <c r="D654">
        <f>IFERROR(VLOOKUP(C654,Cadastro_Produtos!A:B,2,FALSE),"")</f>
        <v/>
      </c>
      <c r="F654" s="12" t="n"/>
      <c r="G654" s="13" t="n"/>
    </row>
    <row r="655">
      <c r="A655" s="12" t="n"/>
      <c r="D655">
        <f>IFERROR(VLOOKUP(C655,Cadastro_Produtos!A:B,2,FALSE),"")</f>
        <v/>
      </c>
      <c r="F655" s="12" t="n"/>
      <c r="G655" s="13" t="n"/>
    </row>
    <row r="656">
      <c r="A656" s="12" t="n"/>
      <c r="D656">
        <f>IFERROR(VLOOKUP(C656,Cadastro_Produtos!A:B,2,FALSE),"")</f>
        <v/>
      </c>
      <c r="F656" s="12" t="n"/>
      <c r="G656" s="13" t="n"/>
    </row>
    <row r="657">
      <c r="A657" s="12" t="n"/>
      <c r="D657">
        <f>IFERROR(VLOOKUP(C657,Cadastro_Produtos!A:B,2,FALSE),"")</f>
        <v/>
      </c>
      <c r="F657" s="12" t="n"/>
      <c r="G657" s="13" t="n"/>
    </row>
    <row r="658">
      <c r="A658" s="12" t="n"/>
      <c r="D658">
        <f>IFERROR(VLOOKUP(C658,Cadastro_Produtos!A:B,2,FALSE),"")</f>
        <v/>
      </c>
      <c r="F658" s="12" t="n"/>
      <c r="G658" s="13" t="n"/>
    </row>
    <row r="659">
      <c r="A659" s="12" t="n"/>
      <c r="D659">
        <f>IFERROR(VLOOKUP(C659,Cadastro_Produtos!A:B,2,FALSE),"")</f>
        <v/>
      </c>
      <c r="F659" s="12" t="n"/>
      <c r="G659" s="13" t="n"/>
    </row>
    <row r="660">
      <c r="A660" s="12" t="n"/>
      <c r="D660">
        <f>IFERROR(VLOOKUP(C660,Cadastro_Produtos!A:B,2,FALSE),"")</f>
        <v/>
      </c>
      <c r="F660" s="12" t="n"/>
      <c r="G660" s="13" t="n"/>
    </row>
    <row r="661">
      <c r="A661" s="12" t="n"/>
      <c r="D661">
        <f>IFERROR(VLOOKUP(C661,Cadastro_Produtos!A:B,2,FALSE),"")</f>
        <v/>
      </c>
      <c r="F661" s="12" t="n"/>
      <c r="G661" s="13" t="n"/>
    </row>
    <row r="662">
      <c r="A662" s="12" t="n"/>
      <c r="D662">
        <f>IFERROR(VLOOKUP(C662,Cadastro_Produtos!A:B,2,FALSE),"")</f>
        <v/>
      </c>
      <c r="F662" s="12" t="n"/>
      <c r="G662" s="13" t="n"/>
    </row>
    <row r="663">
      <c r="A663" s="12" t="n"/>
      <c r="D663">
        <f>IFERROR(VLOOKUP(C663,Cadastro_Produtos!A:B,2,FALSE),"")</f>
        <v/>
      </c>
      <c r="F663" s="12" t="n"/>
      <c r="G663" s="13" t="n"/>
    </row>
    <row r="664">
      <c r="A664" s="12" t="n"/>
      <c r="D664">
        <f>IFERROR(VLOOKUP(C664,Cadastro_Produtos!A:B,2,FALSE),"")</f>
        <v/>
      </c>
      <c r="F664" s="12" t="n"/>
      <c r="G664" s="13" t="n"/>
    </row>
    <row r="665">
      <c r="A665" s="12" t="n"/>
      <c r="D665">
        <f>IFERROR(VLOOKUP(C665,Cadastro_Produtos!A:B,2,FALSE),"")</f>
        <v/>
      </c>
      <c r="F665" s="12" t="n"/>
      <c r="G665" s="13" t="n"/>
    </row>
    <row r="666">
      <c r="A666" s="12" t="n"/>
      <c r="D666">
        <f>IFERROR(VLOOKUP(C666,Cadastro_Produtos!A:B,2,FALSE),"")</f>
        <v/>
      </c>
      <c r="F666" s="12" t="n"/>
      <c r="G666" s="13" t="n"/>
    </row>
    <row r="667">
      <c r="A667" s="12" t="n"/>
      <c r="D667">
        <f>IFERROR(VLOOKUP(C667,Cadastro_Produtos!A:B,2,FALSE),"")</f>
        <v/>
      </c>
      <c r="F667" s="12" t="n"/>
      <c r="G667" s="13" t="n"/>
    </row>
    <row r="668">
      <c r="A668" s="12" t="n"/>
      <c r="D668">
        <f>IFERROR(VLOOKUP(C668,Cadastro_Produtos!A:B,2,FALSE),"")</f>
        <v/>
      </c>
      <c r="F668" s="12" t="n"/>
      <c r="G668" s="13" t="n"/>
    </row>
    <row r="669">
      <c r="A669" s="12" t="n"/>
      <c r="D669">
        <f>IFERROR(VLOOKUP(C669,Cadastro_Produtos!A:B,2,FALSE),"")</f>
        <v/>
      </c>
      <c r="F669" s="12" t="n"/>
      <c r="G669" s="13" t="n"/>
    </row>
    <row r="670">
      <c r="A670" s="12" t="n"/>
      <c r="D670">
        <f>IFERROR(VLOOKUP(C670,Cadastro_Produtos!A:B,2,FALSE),"")</f>
        <v/>
      </c>
      <c r="F670" s="12" t="n"/>
      <c r="G670" s="13" t="n"/>
    </row>
    <row r="671">
      <c r="A671" s="12" t="n"/>
      <c r="D671">
        <f>IFERROR(VLOOKUP(C671,Cadastro_Produtos!A:B,2,FALSE),"")</f>
        <v/>
      </c>
      <c r="F671" s="12" t="n"/>
      <c r="G671" s="13" t="n"/>
    </row>
    <row r="672">
      <c r="A672" s="12" t="n"/>
      <c r="D672">
        <f>IFERROR(VLOOKUP(C672,Cadastro_Produtos!A:B,2,FALSE),"")</f>
        <v/>
      </c>
      <c r="F672" s="12" t="n"/>
      <c r="G672" s="13" t="n"/>
    </row>
    <row r="673">
      <c r="A673" s="12" t="n"/>
      <c r="D673">
        <f>IFERROR(VLOOKUP(C673,Cadastro_Produtos!A:B,2,FALSE),"")</f>
        <v/>
      </c>
      <c r="F673" s="12" t="n"/>
      <c r="G673" s="13" t="n"/>
    </row>
    <row r="674">
      <c r="A674" s="12" t="n"/>
      <c r="D674">
        <f>IFERROR(VLOOKUP(C674,Cadastro_Produtos!A:B,2,FALSE),"")</f>
        <v/>
      </c>
      <c r="F674" s="12" t="n"/>
      <c r="G674" s="13" t="n"/>
    </row>
    <row r="675">
      <c r="A675" s="12" t="n"/>
      <c r="D675">
        <f>IFERROR(VLOOKUP(C675,Cadastro_Produtos!A:B,2,FALSE),"")</f>
        <v/>
      </c>
      <c r="F675" s="12" t="n"/>
      <c r="G675" s="13" t="n"/>
    </row>
    <row r="676">
      <c r="A676" s="12" t="n"/>
      <c r="D676">
        <f>IFERROR(VLOOKUP(C676,Cadastro_Produtos!A:B,2,FALSE),"")</f>
        <v/>
      </c>
      <c r="F676" s="12" t="n"/>
      <c r="G676" s="13" t="n"/>
    </row>
    <row r="677">
      <c r="A677" s="12" t="n"/>
      <c r="D677">
        <f>IFERROR(VLOOKUP(C677,Cadastro_Produtos!A:B,2,FALSE),"")</f>
        <v/>
      </c>
      <c r="F677" s="12" t="n"/>
      <c r="G677" s="13" t="n"/>
    </row>
    <row r="678">
      <c r="A678" s="12" t="n"/>
      <c r="D678">
        <f>IFERROR(VLOOKUP(C678,Cadastro_Produtos!A:B,2,FALSE),"")</f>
        <v/>
      </c>
      <c r="F678" s="12" t="n"/>
      <c r="G678" s="13" t="n"/>
    </row>
    <row r="679">
      <c r="A679" s="12" t="n"/>
      <c r="D679">
        <f>IFERROR(VLOOKUP(C679,Cadastro_Produtos!A:B,2,FALSE),"")</f>
        <v/>
      </c>
      <c r="F679" s="12" t="n"/>
      <c r="G679" s="13" t="n"/>
    </row>
    <row r="680">
      <c r="A680" s="12" t="n"/>
      <c r="D680">
        <f>IFERROR(VLOOKUP(C680,Cadastro_Produtos!A:B,2,FALSE),"")</f>
        <v/>
      </c>
      <c r="F680" s="12" t="n"/>
      <c r="G680" s="13" t="n"/>
    </row>
    <row r="681">
      <c r="A681" s="12" t="n"/>
      <c r="D681">
        <f>IFERROR(VLOOKUP(C681,Cadastro_Produtos!A:B,2,FALSE),"")</f>
        <v/>
      </c>
      <c r="F681" s="12" t="n"/>
      <c r="G681" s="13" t="n"/>
    </row>
    <row r="682">
      <c r="A682" s="12" t="n"/>
      <c r="D682">
        <f>IFERROR(VLOOKUP(C682,Cadastro_Produtos!A:B,2,FALSE),"")</f>
        <v/>
      </c>
      <c r="F682" s="12" t="n"/>
      <c r="G682" s="13" t="n"/>
    </row>
    <row r="683">
      <c r="A683" s="12" t="n"/>
      <c r="D683">
        <f>IFERROR(VLOOKUP(C683,Cadastro_Produtos!A:B,2,FALSE),"")</f>
        <v/>
      </c>
      <c r="F683" s="12" t="n"/>
      <c r="G683" s="13" t="n"/>
    </row>
    <row r="684">
      <c r="A684" s="12" t="n"/>
      <c r="D684">
        <f>IFERROR(VLOOKUP(C684,Cadastro_Produtos!A:B,2,FALSE),"")</f>
        <v/>
      </c>
      <c r="F684" s="12" t="n"/>
      <c r="G684" s="13" t="n"/>
    </row>
    <row r="685">
      <c r="A685" s="12" t="n"/>
      <c r="D685">
        <f>IFERROR(VLOOKUP(C685,Cadastro_Produtos!A:B,2,FALSE),"")</f>
        <v/>
      </c>
      <c r="F685" s="12" t="n"/>
      <c r="G685" s="13" t="n"/>
    </row>
    <row r="686">
      <c r="A686" s="12" t="n"/>
      <c r="D686">
        <f>IFERROR(VLOOKUP(C686,Cadastro_Produtos!A:B,2,FALSE),"")</f>
        <v/>
      </c>
      <c r="F686" s="12" t="n"/>
      <c r="G686" s="13" t="n"/>
    </row>
    <row r="687">
      <c r="A687" s="12" t="n"/>
      <c r="D687">
        <f>IFERROR(VLOOKUP(C687,Cadastro_Produtos!A:B,2,FALSE),"")</f>
        <v/>
      </c>
      <c r="F687" s="12" t="n"/>
      <c r="G687" s="13" t="n"/>
    </row>
    <row r="688">
      <c r="A688" s="12" t="n"/>
      <c r="D688">
        <f>IFERROR(VLOOKUP(C688,Cadastro_Produtos!A:B,2,FALSE),"")</f>
        <v/>
      </c>
      <c r="F688" s="12" t="n"/>
      <c r="G688" s="13" t="n"/>
    </row>
    <row r="689">
      <c r="A689" s="12" t="n"/>
      <c r="D689">
        <f>IFERROR(VLOOKUP(C689,Cadastro_Produtos!A:B,2,FALSE),"")</f>
        <v/>
      </c>
      <c r="F689" s="12" t="n"/>
      <c r="G689" s="13" t="n"/>
    </row>
    <row r="690">
      <c r="A690" s="12" t="n"/>
      <c r="D690">
        <f>IFERROR(VLOOKUP(C690,Cadastro_Produtos!A:B,2,FALSE),"")</f>
        <v/>
      </c>
      <c r="F690" s="12" t="n"/>
      <c r="G690" s="13" t="n"/>
    </row>
    <row r="691">
      <c r="A691" s="12" t="n"/>
      <c r="D691">
        <f>IFERROR(VLOOKUP(C691,Cadastro_Produtos!A:B,2,FALSE),"")</f>
        <v/>
      </c>
      <c r="F691" s="12" t="n"/>
      <c r="G691" s="13" t="n"/>
    </row>
    <row r="692">
      <c r="A692" s="12" t="n"/>
      <c r="D692">
        <f>IFERROR(VLOOKUP(C692,Cadastro_Produtos!A:B,2,FALSE),"")</f>
        <v/>
      </c>
      <c r="F692" s="12" t="n"/>
      <c r="G692" s="13" t="n"/>
    </row>
    <row r="693">
      <c r="A693" s="12" t="n"/>
      <c r="D693">
        <f>IFERROR(VLOOKUP(C693,Cadastro_Produtos!A:B,2,FALSE),"")</f>
        <v/>
      </c>
      <c r="F693" s="12" t="n"/>
      <c r="G693" s="13" t="n"/>
    </row>
    <row r="694">
      <c r="A694" s="12" t="n"/>
      <c r="D694">
        <f>IFERROR(VLOOKUP(C694,Cadastro_Produtos!A:B,2,FALSE),"")</f>
        <v/>
      </c>
      <c r="F694" s="12" t="n"/>
      <c r="G694" s="13" t="n"/>
    </row>
    <row r="695">
      <c r="A695" s="12" t="n"/>
      <c r="D695">
        <f>IFERROR(VLOOKUP(C695,Cadastro_Produtos!A:B,2,FALSE),"")</f>
        <v/>
      </c>
      <c r="F695" s="12" t="n"/>
      <c r="G695" s="13" t="n"/>
    </row>
    <row r="696">
      <c r="A696" s="12" t="n"/>
      <c r="D696">
        <f>IFERROR(VLOOKUP(C696,Cadastro_Produtos!A:B,2,FALSE),"")</f>
        <v/>
      </c>
      <c r="F696" s="12" t="n"/>
      <c r="G696" s="13" t="n"/>
    </row>
    <row r="697">
      <c r="A697" s="12" t="n"/>
      <c r="D697">
        <f>IFERROR(VLOOKUP(C697,Cadastro_Produtos!A:B,2,FALSE),"")</f>
        <v/>
      </c>
      <c r="F697" s="12" t="n"/>
      <c r="G697" s="13" t="n"/>
    </row>
    <row r="698">
      <c r="A698" s="12" t="n"/>
      <c r="D698">
        <f>IFERROR(VLOOKUP(C698,Cadastro_Produtos!A:B,2,FALSE),"")</f>
        <v/>
      </c>
      <c r="F698" s="12" t="n"/>
      <c r="G698" s="13" t="n"/>
    </row>
    <row r="699">
      <c r="A699" s="12" t="n"/>
      <c r="D699">
        <f>IFERROR(VLOOKUP(C699,Cadastro_Produtos!A:B,2,FALSE),"")</f>
        <v/>
      </c>
      <c r="F699" s="12" t="n"/>
      <c r="G699" s="13" t="n"/>
    </row>
    <row r="700">
      <c r="A700" s="12" t="n"/>
      <c r="D700">
        <f>IFERROR(VLOOKUP(C700,Cadastro_Produtos!A:B,2,FALSE),"")</f>
        <v/>
      </c>
      <c r="F700" s="12" t="n"/>
      <c r="G700" s="13" t="n"/>
    </row>
    <row r="701">
      <c r="A701" s="12" t="n"/>
      <c r="D701">
        <f>IFERROR(VLOOKUP(C701,Cadastro_Produtos!A:B,2,FALSE),"")</f>
        <v/>
      </c>
      <c r="F701" s="12" t="n"/>
      <c r="G701" s="13" t="n"/>
    </row>
    <row r="702">
      <c r="A702" s="12" t="n"/>
      <c r="D702">
        <f>IFERROR(VLOOKUP(C702,Cadastro_Produtos!A:B,2,FALSE),"")</f>
        <v/>
      </c>
      <c r="F702" s="12" t="n"/>
      <c r="G702" s="13" t="n"/>
    </row>
    <row r="703">
      <c r="A703" s="12" t="n"/>
      <c r="D703">
        <f>IFERROR(VLOOKUP(C703,Cadastro_Produtos!A:B,2,FALSE),"")</f>
        <v/>
      </c>
      <c r="F703" s="12" t="n"/>
      <c r="G703" s="13" t="n"/>
    </row>
    <row r="704">
      <c r="A704" s="12" t="n"/>
      <c r="D704">
        <f>IFERROR(VLOOKUP(C704,Cadastro_Produtos!A:B,2,FALSE),"")</f>
        <v/>
      </c>
      <c r="F704" s="12" t="n"/>
      <c r="G704" s="13" t="n"/>
    </row>
    <row r="705">
      <c r="A705" s="12" t="n"/>
      <c r="D705">
        <f>IFERROR(VLOOKUP(C705,Cadastro_Produtos!A:B,2,FALSE),"")</f>
        <v/>
      </c>
      <c r="F705" s="12" t="n"/>
      <c r="G705" s="13" t="n"/>
    </row>
    <row r="706">
      <c r="A706" s="12" t="n"/>
      <c r="D706">
        <f>IFERROR(VLOOKUP(C706,Cadastro_Produtos!A:B,2,FALSE),"")</f>
        <v/>
      </c>
      <c r="F706" s="12" t="n"/>
      <c r="G706" s="13" t="n"/>
    </row>
    <row r="707">
      <c r="A707" s="12" t="n"/>
      <c r="D707">
        <f>IFERROR(VLOOKUP(C707,Cadastro_Produtos!A:B,2,FALSE),"")</f>
        <v/>
      </c>
      <c r="F707" s="12" t="n"/>
      <c r="G707" s="13" t="n"/>
    </row>
    <row r="708">
      <c r="A708" s="12" t="n"/>
      <c r="D708">
        <f>IFERROR(VLOOKUP(C708,Cadastro_Produtos!A:B,2,FALSE),"")</f>
        <v/>
      </c>
      <c r="F708" s="12" t="n"/>
      <c r="G708" s="13" t="n"/>
    </row>
    <row r="709">
      <c r="A709" s="12" t="n"/>
      <c r="D709">
        <f>IFERROR(VLOOKUP(C709,Cadastro_Produtos!A:B,2,FALSE),"")</f>
        <v/>
      </c>
      <c r="F709" s="12" t="n"/>
      <c r="G709" s="13" t="n"/>
    </row>
    <row r="710">
      <c r="A710" s="12" t="n"/>
      <c r="D710">
        <f>IFERROR(VLOOKUP(C710,Cadastro_Produtos!A:B,2,FALSE),"")</f>
        <v/>
      </c>
      <c r="F710" s="12" t="n"/>
      <c r="G710" s="13" t="n"/>
    </row>
    <row r="711">
      <c r="A711" s="12" t="n"/>
      <c r="D711">
        <f>IFERROR(VLOOKUP(C711,Cadastro_Produtos!A:B,2,FALSE),"")</f>
        <v/>
      </c>
      <c r="F711" s="12" t="n"/>
      <c r="G711" s="13" t="n"/>
    </row>
    <row r="712">
      <c r="A712" s="12" t="n"/>
      <c r="D712">
        <f>IFERROR(VLOOKUP(C712,Cadastro_Produtos!A:B,2,FALSE),"")</f>
        <v/>
      </c>
      <c r="F712" s="12" t="n"/>
      <c r="G712" s="13" t="n"/>
    </row>
    <row r="713">
      <c r="A713" s="12" t="n"/>
      <c r="D713">
        <f>IFERROR(VLOOKUP(C713,Cadastro_Produtos!A:B,2,FALSE),"")</f>
        <v/>
      </c>
      <c r="F713" s="12" t="n"/>
      <c r="G713" s="13" t="n"/>
    </row>
    <row r="714">
      <c r="A714" s="12" t="n"/>
      <c r="D714">
        <f>IFERROR(VLOOKUP(C714,Cadastro_Produtos!A:B,2,FALSE),"")</f>
        <v/>
      </c>
      <c r="F714" s="12" t="n"/>
      <c r="G714" s="13" t="n"/>
    </row>
    <row r="715">
      <c r="A715" s="12" t="n"/>
      <c r="D715">
        <f>IFERROR(VLOOKUP(C715,Cadastro_Produtos!A:B,2,FALSE),"")</f>
        <v/>
      </c>
      <c r="F715" s="12" t="n"/>
      <c r="G715" s="13" t="n"/>
    </row>
    <row r="716">
      <c r="A716" s="12" t="n"/>
      <c r="D716">
        <f>IFERROR(VLOOKUP(C716,Cadastro_Produtos!A:B,2,FALSE),"")</f>
        <v/>
      </c>
      <c r="F716" s="12" t="n"/>
      <c r="G716" s="13" t="n"/>
    </row>
    <row r="717">
      <c r="A717" s="12" t="n"/>
      <c r="D717">
        <f>IFERROR(VLOOKUP(C717,Cadastro_Produtos!A:B,2,FALSE),"")</f>
        <v/>
      </c>
      <c r="F717" s="12" t="n"/>
      <c r="G717" s="13" t="n"/>
    </row>
    <row r="718">
      <c r="A718" s="12" t="n"/>
      <c r="D718">
        <f>IFERROR(VLOOKUP(C718,Cadastro_Produtos!A:B,2,FALSE),"")</f>
        <v/>
      </c>
      <c r="F718" s="12" t="n"/>
      <c r="G718" s="13" t="n"/>
    </row>
    <row r="719">
      <c r="A719" s="12" t="n"/>
      <c r="D719">
        <f>IFERROR(VLOOKUP(C719,Cadastro_Produtos!A:B,2,FALSE),"")</f>
        <v/>
      </c>
      <c r="F719" s="12" t="n"/>
      <c r="G719" s="13" t="n"/>
    </row>
    <row r="720">
      <c r="A720" s="12" t="n"/>
      <c r="D720">
        <f>IFERROR(VLOOKUP(C720,Cadastro_Produtos!A:B,2,FALSE),"")</f>
        <v/>
      </c>
      <c r="F720" s="12" t="n"/>
      <c r="G720" s="13" t="n"/>
    </row>
    <row r="721">
      <c r="A721" s="12" t="n"/>
      <c r="D721">
        <f>IFERROR(VLOOKUP(C721,Cadastro_Produtos!A:B,2,FALSE),"")</f>
        <v/>
      </c>
      <c r="F721" s="12" t="n"/>
      <c r="G721" s="13" t="n"/>
    </row>
    <row r="722">
      <c r="A722" s="12" t="n"/>
      <c r="D722">
        <f>IFERROR(VLOOKUP(C722,Cadastro_Produtos!A:B,2,FALSE),"")</f>
        <v/>
      </c>
      <c r="F722" s="12" t="n"/>
      <c r="G722" s="13" t="n"/>
    </row>
    <row r="723">
      <c r="A723" s="12" t="n"/>
      <c r="D723">
        <f>IFERROR(VLOOKUP(C723,Cadastro_Produtos!A:B,2,FALSE),"")</f>
        <v/>
      </c>
      <c r="F723" s="12" t="n"/>
      <c r="G723" s="13" t="n"/>
    </row>
    <row r="724">
      <c r="A724" s="12" t="n"/>
      <c r="D724">
        <f>IFERROR(VLOOKUP(C724,Cadastro_Produtos!A:B,2,FALSE),"")</f>
        <v/>
      </c>
      <c r="F724" s="12" t="n"/>
      <c r="G724" s="13" t="n"/>
    </row>
    <row r="725">
      <c r="A725" s="12" t="n"/>
      <c r="D725">
        <f>IFERROR(VLOOKUP(C725,Cadastro_Produtos!A:B,2,FALSE),"")</f>
        <v/>
      </c>
      <c r="F725" s="12" t="n"/>
      <c r="G725" s="13" t="n"/>
    </row>
    <row r="726">
      <c r="A726" s="12" t="n"/>
      <c r="D726">
        <f>IFERROR(VLOOKUP(C726,Cadastro_Produtos!A:B,2,FALSE),"")</f>
        <v/>
      </c>
      <c r="F726" s="12" t="n"/>
      <c r="G726" s="13" t="n"/>
    </row>
    <row r="727">
      <c r="A727" s="12" t="n"/>
      <c r="D727">
        <f>IFERROR(VLOOKUP(C727,Cadastro_Produtos!A:B,2,FALSE),"")</f>
        <v/>
      </c>
      <c r="F727" s="12" t="n"/>
      <c r="G727" s="13" t="n"/>
    </row>
    <row r="728">
      <c r="A728" s="12" t="n"/>
      <c r="D728">
        <f>IFERROR(VLOOKUP(C728,Cadastro_Produtos!A:B,2,FALSE),"")</f>
        <v/>
      </c>
      <c r="F728" s="12" t="n"/>
      <c r="G728" s="13" t="n"/>
    </row>
    <row r="729">
      <c r="A729" s="12" t="n"/>
      <c r="D729">
        <f>IFERROR(VLOOKUP(C729,Cadastro_Produtos!A:B,2,FALSE),"")</f>
        <v/>
      </c>
      <c r="F729" s="12" t="n"/>
      <c r="G729" s="13" t="n"/>
    </row>
    <row r="730">
      <c r="A730" s="12" t="n"/>
      <c r="D730">
        <f>IFERROR(VLOOKUP(C730,Cadastro_Produtos!A:B,2,FALSE),"")</f>
        <v/>
      </c>
      <c r="F730" s="12" t="n"/>
      <c r="G730" s="13" t="n"/>
    </row>
    <row r="731">
      <c r="A731" s="12" t="n"/>
      <c r="D731">
        <f>IFERROR(VLOOKUP(C731,Cadastro_Produtos!A:B,2,FALSE),"")</f>
        <v/>
      </c>
      <c r="F731" s="12" t="n"/>
      <c r="G731" s="13" t="n"/>
    </row>
    <row r="732">
      <c r="A732" s="12" t="n"/>
      <c r="D732">
        <f>IFERROR(VLOOKUP(C732,Cadastro_Produtos!A:B,2,FALSE),"")</f>
        <v/>
      </c>
      <c r="F732" s="12" t="n"/>
      <c r="G732" s="13" t="n"/>
    </row>
    <row r="733">
      <c r="A733" s="12" t="n"/>
      <c r="D733">
        <f>IFERROR(VLOOKUP(C733,Cadastro_Produtos!A:B,2,FALSE),"")</f>
        <v/>
      </c>
      <c r="F733" s="12" t="n"/>
      <c r="G733" s="13" t="n"/>
    </row>
    <row r="734">
      <c r="A734" s="12" t="n"/>
      <c r="D734">
        <f>IFERROR(VLOOKUP(C734,Cadastro_Produtos!A:B,2,FALSE),"")</f>
        <v/>
      </c>
      <c r="F734" s="12" t="n"/>
      <c r="G734" s="13" t="n"/>
    </row>
    <row r="735">
      <c r="A735" s="12" t="n"/>
      <c r="D735">
        <f>IFERROR(VLOOKUP(C735,Cadastro_Produtos!A:B,2,FALSE),"")</f>
        <v/>
      </c>
      <c r="F735" s="12" t="n"/>
      <c r="G735" s="13" t="n"/>
    </row>
    <row r="736">
      <c r="A736" s="12" t="n"/>
      <c r="D736">
        <f>IFERROR(VLOOKUP(C736,Cadastro_Produtos!A:B,2,FALSE),"")</f>
        <v/>
      </c>
      <c r="F736" s="12" t="n"/>
      <c r="G736" s="13" t="n"/>
    </row>
    <row r="737">
      <c r="A737" s="12" t="n"/>
      <c r="D737">
        <f>IFERROR(VLOOKUP(C737,Cadastro_Produtos!A:B,2,FALSE),"")</f>
        <v/>
      </c>
      <c r="F737" s="12" t="n"/>
      <c r="G737" s="13" t="n"/>
    </row>
    <row r="738">
      <c r="A738" s="12" t="n"/>
      <c r="D738">
        <f>IFERROR(VLOOKUP(C738,Cadastro_Produtos!A:B,2,FALSE),"")</f>
        <v/>
      </c>
      <c r="F738" s="12" t="n"/>
      <c r="G738" s="13" t="n"/>
    </row>
    <row r="739">
      <c r="A739" s="12" t="n"/>
      <c r="D739">
        <f>IFERROR(VLOOKUP(C739,Cadastro_Produtos!A:B,2,FALSE),"")</f>
        <v/>
      </c>
      <c r="F739" s="12" t="n"/>
      <c r="G739" s="13" t="n"/>
    </row>
    <row r="740">
      <c r="A740" s="12" t="n"/>
      <c r="D740">
        <f>IFERROR(VLOOKUP(C740,Cadastro_Produtos!A:B,2,FALSE),"")</f>
        <v/>
      </c>
      <c r="F740" s="12" t="n"/>
      <c r="G740" s="13" t="n"/>
    </row>
    <row r="741">
      <c r="A741" s="12" t="n"/>
      <c r="D741">
        <f>IFERROR(VLOOKUP(C741,Cadastro_Produtos!A:B,2,FALSE),"")</f>
        <v/>
      </c>
      <c r="F741" s="12" t="n"/>
      <c r="G741" s="13" t="n"/>
    </row>
    <row r="742">
      <c r="A742" s="12" t="n"/>
      <c r="D742">
        <f>IFERROR(VLOOKUP(C742,Cadastro_Produtos!A:B,2,FALSE),"")</f>
        <v/>
      </c>
      <c r="F742" s="12" t="n"/>
      <c r="G742" s="13" t="n"/>
    </row>
    <row r="743">
      <c r="A743" s="12" t="n"/>
      <c r="D743">
        <f>IFERROR(VLOOKUP(C743,Cadastro_Produtos!A:B,2,FALSE),"")</f>
        <v/>
      </c>
      <c r="F743" s="12" t="n"/>
      <c r="G743" s="13" t="n"/>
    </row>
    <row r="744">
      <c r="A744" s="12" t="n"/>
      <c r="D744">
        <f>IFERROR(VLOOKUP(C744,Cadastro_Produtos!A:B,2,FALSE),"")</f>
        <v/>
      </c>
      <c r="F744" s="12" t="n"/>
      <c r="G744" s="13" t="n"/>
    </row>
    <row r="745">
      <c r="A745" s="12" t="n"/>
      <c r="D745">
        <f>IFERROR(VLOOKUP(C745,Cadastro_Produtos!A:B,2,FALSE),"")</f>
        <v/>
      </c>
      <c r="F745" s="12" t="n"/>
      <c r="G745" s="13" t="n"/>
    </row>
    <row r="746">
      <c r="A746" s="12" t="n"/>
      <c r="D746">
        <f>IFERROR(VLOOKUP(C746,Cadastro_Produtos!A:B,2,FALSE),"")</f>
        <v/>
      </c>
      <c r="F746" s="12" t="n"/>
      <c r="G746" s="13" t="n"/>
    </row>
    <row r="747">
      <c r="A747" s="12" t="n"/>
      <c r="D747">
        <f>IFERROR(VLOOKUP(C747,Cadastro_Produtos!A:B,2,FALSE),"")</f>
        <v/>
      </c>
      <c r="F747" s="12" t="n"/>
      <c r="G747" s="13" t="n"/>
    </row>
    <row r="748">
      <c r="A748" s="12" t="n"/>
      <c r="D748">
        <f>IFERROR(VLOOKUP(C748,Cadastro_Produtos!A:B,2,FALSE),"")</f>
        <v/>
      </c>
      <c r="F748" s="12" t="n"/>
      <c r="G748" s="13" t="n"/>
    </row>
    <row r="749">
      <c r="A749" s="12" t="n"/>
      <c r="D749">
        <f>IFERROR(VLOOKUP(C749,Cadastro_Produtos!A:B,2,FALSE),"")</f>
        <v/>
      </c>
      <c r="F749" s="12" t="n"/>
      <c r="G749" s="13" t="n"/>
    </row>
    <row r="750">
      <c r="A750" s="12" t="n"/>
      <c r="D750">
        <f>IFERROR(VLOOKUP(C750,Cadastro_Produtos!A:B,2,FALSE),"")</f>
        <v/>
      </c>
      <c r="F750" s="12" t="n"/>
      <c r="G750" s="13" t="n"/>
    </row>
    <row r="751">
      <c r="A751" s="12" t="n"/>
      <c r="D751">
        <f>IFERROR(VLOOKUP(C751,Cadastro_Produtos!A:B,2,FALSE),"")</f>
        <v/>
      </c>
      <c r="F751" s="12" t="n"/>
      <c r="G751" s="13" t="n"/>
    </row>
    <row r="752">
      <c r="A752" s="12" t="n"/>
      <c r="D752">
        <f>IFERROR(VLOOKUP(C752,Cadastro_Produtos!A:B,2,FALSE),"")</f>
        <v/>
      </c>
      <c r="F752" s="12" t="n"/>
      <c r="G752" s="13" t="n"/>
    </row>
    <row r="753">
      <c r="A753" s="12" t="n"/>
      <c r="D753">
        <f>IFERROR(VLOOKUP(C753,Cadastro_Produtos!A:B,2,FALSE),"")</f>
        <v/>
      </c>
      <c r="F753" s="12" t="n"/>
      <c r="G753" s="13" t="n"/>
    </row>
    <row r="754">
      <c r="A754" s="12" t="n"/>
      <c r="D754">
        <f>IFERROR(VLOOKUP(C754,Cadastro_Produtos!A:B,2,FALSE),"")</f>
        <v/>
      </c>
      <c r="F754" s="12" t="n"/>
      <c r="G754" s="13" t="n"/>
    </row>
    <row r="755">
      <c r="A755" s="12" t="n"/>
      <c r="D755">
        <f>IFERROR(VLOOKUP(C755,Cadastro_Produtos!A:B,2,FALSE),"")</f>
        <v/>
      </c>
      <c r="F755" s="12" t="n"/>
      <c r="G755" s="13" t="n"/>
    </row>
    <row r="756">
      <c r="A756" s="12" t="n"/>
      <c r="D756">
        <f>IFERROR(VLOOKUP(C756,Cadastro_Produtos!A:B,2,FALSE),"")</f>
        <v/>
      </c>
      <c r="F756" s="12" t="n"/>
      <c r="G756" s="13" t="n"/>
    </row>
    <row r="757">
      <c r="A757" s="12" t="n"/>
      <c r="D757">
        <f>IFERROR(VLOOKUP(C757,Cadastro_Produtos!A:B,2,FALSE),"")</f>
        <v/>
      </c>
      <c r="F757" s="12" t="n"/>
      <c r="G757" s="13" t="n"/>
    </row>
    <row r="758">
      <c r="A758" s="12" t="n"/>
      <c r="D758">
        <f>IFERROR(VLOOKUP(C758,Cadastro_Produtos!A:B,2,FALSE),"")</f>
        <v/>
      </c>
      <c r="F758" s="12" t="n"/>
      <c r="G758" s="13" t="n"/>
    </row>
    <row r="759">
      <c r="A759" s="12" t="n"/>
      <c r="D759">
        <f>IFERROR(VLOOKUP(C759,Cadastro_Produtos!A:B,2,FALSE),"")</f>
        <v/>
      </c>
      <c r="F759" s="12" t="n"/>
      <c r="G759" s="13" t="n"/>
    </row>
    <row r="760">
      <c r="A760" s="12" t="n"/>
      <c r="D760">
        <f>IFERROR(VLOOKUP(C760,Cadastro_Produtos!A:B,2,FALSE),"")</f>
        <v/>
      </c>
      <c r="F760" s="12" t="n"/>
      <c r="G760" s="13" t="n"/>
    </row>
    <row r="761">
      <c r="A761" s="12" t="n"/>
      <c r="D761">
        <f>IFERROR(VLOOKUP(C761,Cadastro_Produtos!A:B,2,FALSE),"")</f>
        <v/>
      </c>
      <c r="F761" s="12" t="n"/>
      <c r="G761" s="13" t="n"/>
    </row>
    <row r="762">
      <c r="A762" s="12" t="n"/>
      <c r="D762">
        <f>IFERROR(VLOOKUP(C762,Cadastro_Produtos!A:B,2,FALSE),"")</f>
        <v/>
      </c>
      <c r="F762" s="12" t="n"/>
      <c r="G762" s="13" t="n"/>
    </row>
    <row r="763">
      <c r="A763" s="12" t="n"/>
      <c r="D763">
        <f>IFERROR(VLOOKUP(C763,Cadastro_Produtos!A:B,2,FALSE),"")</f>
        <v/>
      </c>
      <c r="F763" s="12" t="n"/>
      <c r="G763" s="13" t="n"/>
    </row>
    <row r="764">
      <c r="A764" s="12" t="n"/>
      <c r="D764">
        <f>IFERROR(VLOOKUP(C764,Cadastro_Produtos!A:B,2,FALSE),"")</f>
        <v/>
      </c>
      <c r="F764" s="12" t="n"/>
      <c r="G764" s="13" t="n"/>
    </row>
    <row r="765">
      <c r="A765" s="12" t="n"/>
      <c r="D765">
        <f>IFERROR(VLOOKUP(C765,Cadastro_Produtos!A:B,2,FALSE),"")</f>
        <v/>
      </c>
      <c r="F765" s="12" t="n"/>
      <c r="G765" s="13" t="n"/>
    </row>
    <row r="766">
      <c r="A766" s="12" t="n"/>
      <c r="D766">
        <f>IFERROR(VLOOKUP(C766,Cadastro_Produtos!A:B,2,FALSE),"")</f>
        <v/>
      </c>
      <c r="F766" s="12" t="n"/>
      <c r="G766" s="13" t="n"/>
    </row>
    <row r="767">
      <c r="A767" s="12" t="n"/>
      <c r="D767">
        <f>IFERROR(VLOOKUP(C767,Cadastro_Produtos!A:B,2,FALSE),"")</f>
        <v/>
      </c>
      <c r="F767" s="12" t="n"/>
      <c r="G767" s="13" t="n"/>
    </row>
    <row r="768">
      <c r="A768" s="12" t="n"/>
      <c r="D768">
        <f>IFERROR(VLOOKUP(C768,Cadastro_Produtos!A:B,2,FALSE),"")</f>
        <v/>
      </c>
      <c r="F768" s="12" t="n"/>
      <c r="G768" s="13" t="n"/>
    </row>
    <row r="769">
      <c r="A769" s="12" t="n"/>
      <c r="D769">
        <f>IFERROR(VLOOKUP(C769,Cadastro_Produtos!A:B,2,FALSE),"")</f>
        <v/>
      </c>
      <c r="F769" s="12" t="n"/>
      <c r="G769" s="13" t="n"/>
    </row>
    <row r="770">
      <c r="A770" s="12" t="n"/>
      <c r="D770">
        <f>IFERROR(VLOOKUP(C770,Cadastro_Produtos!A:B,2,FALSE),"")</f>
        <v/>
      </c>
      <c r="F770" s="12" t="n"/>
      <c r="G770" s="13" t="n"/>
    </row>
    <row r="771">
      <c r="A771" s="12" t="n"/>
      <c r="D771">
        <f>IFERROR(VLOOKUP(C771,Cadastro_Produtos!A:B,2,FALSE),"")</f>
        <v/>
      </c>
      <c r="F771" s="12" t="n"/>
      <c r="G771" s="13" t="n"/>
    </row>
    <row r="772">
      <c r="A772" s="12" t="n"/>
      <c r="D772">
        <f>IFERROR(VLOOKUP(C772,Cadastro_Produtos!A:B,2,FALSE),"")</f>
        <v/>
      </c>
      <c r="F772" s="12" t="n"/>
      <c r="G772" s="13" t="n"/>
    </row>
    <row r="773">
      <c r="A773" s="12" t="n"/>
      <c r="D773">
        <f>IFERROR(VLOOKUP(C773,Cadastro_Produtos!A:B,2,FALSE),"")</f>
        <v/>
      </c>
      <c r="F773" s="12" t="n"/>
      <c r="G773" s="13" t="n"/>
    </row>
    <row r="774">
      <c r="A774" s="12" t="n"/>
      <c r="D774">
        <f>IFERROR(VLOOKUP(C774,Cadastro_Produtos!A:B,2,FALSE),"")</f>
        <v/>
      </c>
      <c r="F774" s="12" t="n"/>
      <c r="G774" s="13" t="n"/>
    </row>
    <row r="775">
      <c r="A775" s="12" t="n"/>
      <c r="D775">
        <f>IFERROR(VLOOKUP(C775,Cadastro_Produtos!A:B,2,FALSE),"")</f>
        <v/>
      </c>
      <c r="F775" s="12" t="n"/>
      <c r="G775" s="13" t="n"/>
    </row>
    <row r="776">
      <c r="A776" s="12" t="n"/>
      <c r="D776">
        <f>IFERROR(VLOOKUP(C776,Cadastro_Produtos!A:B,2,FALSE),"")</f>
        <v/>
      </c>
      <c r="F776" s="12" t="n"/>
      <c r="G776" s="13" t="n"/>
    </row>
    <row r="777">
      <c r="A777" s="12" t="n"/>
      <c r="D777">
        <f>IFERROR(VLOOKUP(C777,Cadastro_Produtos!A:B,2,FALSE),"")</f>
        <v/>
      </c>
      <c r="F777" s="12" t="n"/>
      <c r="G777" s="13" t="n"/>
    </row>
    <row r="778">
      <c r="A778" s="12" t="n"/>
      <c r="D778">
        <f>IFERROR(VLOOKUP(C778,Cadastro_Produtos!A:B,2,FALSE),"")</f>
        <v/>
      </c>
      <c r="F778" s="12" t="n"/>
      <c r="G778" s="13" t="n"/>
    </row>
    <row r="779">
      <c r="A779" s="12" t="n"/>
      <c r="D779">
        <f>IFERROR(VLOOKUP(C779,Cadastro_Produtos!A:B,2,FALSE),"")</f>
        <v/>
      </c>
      <c r="F779" s="12" t="n"/>
      <c r="G779" s="13" t="n"/>
    </row>
    <row r="780">
      <c r="A780" s="12" t="n"/>
      <c r="D780">
        <f>IFERROR(VLOOKUP(C780,Cadastro_Produtos!A:B,2,FALSE),"")</f>
        <v/>
      </c>
      <c r="F780" s="12" t="n"/>
      <c r="G780" s="13" t="n"/>
    </row>
    <row r="781">
      <c r="A781" s="12" t="n"/>
      <c r="D781">
        <f>IFERROR(VLOOKUP(C781,Cadastro_Produtos!A:B,2,FALSE),"")</f>
        <v/>
      </c>
      <c r="F781" s="12" t="n"/>
      <c r="G781" s="13" t="n"/>
    </row>
    <row r="782">
      <c r="A782" s="12" t="n"/>
      <c r="D782">
        <f>IFERROR(VLOOKUP(C782,Cadastro_Produtos!A:B,2,FALSE),"")</f>
        <v/>
      </c>
      <c r="F782" s="12" t="n"/>
      <c r="G782" s="13" t="n"/>
    </row>
    <row r="783">
      <c r="A783" s="12" t="n"/>
      <c r="D783">
        <f>IFERROR(VLOOKUP(C783,Cadastro_Produtos!A:B,2,FALSE),"")</f>
        <v/>
      </c>
      <c r="F783" s="12" t="n"/>
      <c r="G783" s="13" t="n"/>
    </row>
    <row r="784">
      <c r="A784" s="12" t="n"/>
      <c r="D784">
        <f>IFERROR(VLOOKUP(C784,Cadastro_Produtos!A:B,2,FALSE),"")</f>
        <v/>
      </c>
      <c r="F784" s="12" t="n"/>
      <c r="G784" s="13" t="n"/>
    </row>
    <row r="785">
      <c r="A785" s="12" t="n"/>
      <c r="D785">
        <f>IFERROR(VLOOKUP(C785,Cadastro_Produtos!A:B,2,FALSE),"")</f>
        <v/>
      </c>
      <c r="F785" s="12" t="n"/>
      <c r="G785" s="13" t="n"/>
    </row>
    <row r="786">
      <c r="A786" s="12" t="n"/>
      <c r="D786">
        <f>IFERROR(VLOOKUP(C786,Cadastro_Produtos!A:B,2,FALSE),"")</f>
        <v/>
      </c>
      <c r="F786" s="12" t="n"/>
      <c r="G786" s="13" t="n"/>
    </row>
    <row r="787">
      <c r="A787" s="12" t="n"/>
      <c r="D787">
        <f>IFERROR(VLOOKUP(C787,Cadastro_Produtos!A:B,2,FALSE),"")</f>
        <v/>
      </c>
      <c r="F787" s="12" t="n"/>
      <c r="G787" s="13" t="n"/>
    </row>
    <row r="788">
      <c r="A788" s="12" t="n"/>
      <c r="D788">
        <f>IFERROR(VLOOKUP(C788,Cadastro_Produtos!A:B,2,FALSE),"")</f>
        <v/>
      </c>
      <c r="F788" s="12" t="n"/>
      <c r="G788" s="13" t="n"/>
    </row>
    <row r="789">
      <c r="A789" s="12" t="n"/>
      <c r="D789">
        <f>IFERROR(VLOOKUP(C789,Cadastro_Produtos!A:B,2,FALSE),"")</f>
        <v/>
      </c>
      <c r="F789" s="12" t="n"/>
      <c r="G789" s="13" t="n"/>
    </row>
    <row r="790">
      <c r="A790" s="12" t="n"/>
      <c r="D790">
        <f>IFERROR(VLOOKUP(C790,Cadastro_Produtos!A:B,2,FALSE),"")</f>
        <v/>
      </c>
      <c r="F790" s="12" t="n"/>
      <c r="G790" s="13" t="n"/>
    </row>
    <row r="791">
      <c r="A791" s="12" t="n"/>
      <c r="D791">
        <f>IFERROR(VLOOKUP(C791,Cadastro_Produtos!A:B,2,FALSE),"")</f>
        <v/>
      </c>
      <c r="F791" s="12" t="n"/>
      <c r="G791" s="13" t="n"/>
    </row>
    <row r="792">
      <c r="A792" s="12" t="n"/>
      <c r="D792">
        <f>IFERROR(VLOOKUP(C792,Cadastro_Produtos!A:B,2,FALSE),"")</f>
        <v/>
      </c>
      <c r="F792" s="12" t="n"/>
      <c r="G792" s="13" t="n"/>
    </row>
    <row r="793">
      <c r="A793" s="12" t="n"/>
      <c r="D793">
        <f>IFERROR(VLOOKUP(C793,Cadastro_Produtos!A:B,2,FALSE),"")</f>
        <v/>
      </c>
      <c r="F793" s="12" t="n"/>
      <c r="G793" s="13" t="n"/>
    </row>
    <row r="794">
      <c r="A794" s="12" t="n"/>
      <c r="D794">
        <f>IFERROR(VLOOKUP(C794,Cadastro_Produtos!A:B,2,FALSE),"")</f>
        <v/>
      </c>
      <c r="F794" s="12" t="n"/>
      <c r="G794" s="13" t="n"/>
    </row>
    <row r="795">
      <c r="A795" s="12" t="n"/>
      <c r="D795">
        <f>IFERROR(VLOOKUP(C795,Cadastro_Produtos!A:B,2,FALSE),"")</f>
        <v/>
      </c>
      <c r="F795" s="12" t="n"/>
      <c r="G795" s="13" t="n"/>
    </row>
    <row r="796">
      <c r="A796" s="12" t="n"/>
      <c r="D796">
        <f>IFERROR(VLOOKUP(C796,Cadastro_Produtos!A:B,2,FALSE),"")</f>
        <v/>
      </c>
      <c r="F796" s="12" t="n"/>
      <c r="G796" s="13" t="n"/>
    </row>
    <row r="797">
      <c r="A797" s="12" t="n"/>
      <c r="D797">
        <f>IFERROR(VLOOKUP(C797,Cadastro_Produtos!A:B,2,FALSE),"")</f>
        <v/>
      </c>
      <c r="F797" s="12" t="n"/>
      <c r="G797" s="13" t="n"/>
    </row>
    <row r="798">
      <c r="A798" s="12" t="n"/>
      <c r="D798">
        <f>IFERROR(VLOOKUP(C798,Cadastro_Produtos!A:B,2,FALSE),"")</f>
        <v/>
      </c>
      <c r="F798" s="12" t="n"/>
      <c r="G798" s="13" t="n"/>
    </row>
    <row r="799">
      <c r="A799" s="12" t="n"/>
      <c r="D799">
        <f>IFERROR(VLOOKUP(C799,Cadastro_Produtos!A:B,2,FALSE),"")</f>
        <v/>
      </c>
      <c r="F799" s="12" t="n"/>
      <c r="G799" s="13" t="n"/>
    </row>
    <row r="800">
      <c r="A800" s="12" t="n"/>
      <c r="D800">
        <f>IFERROR(VLOOKUP(C800,Cadastro_Produtos!A:B,2,FALSE),"")</f>
        <v/>
      </c>
      <c r="F800" s="12" t="n"/>
      <c r="G800" s="13" t="n"/>
    </row>
    <row r="801">
      <c r="A801" s="12" t="n"/>
      <c r="D801">
        <f>IFERROR(VLOOKUP(C801,Cadastro_Produtos!A:B,2,FALSE),"")</f>
        <v/>
      </c>
      <c r="F801" s="12" t="n"/>
      <c r="G801" s="13" t="n"/>
    </row>
    <row r="802">
      <c r="A802" s="12" t="n"/>
      <c r="D802">
        <f>IFERROR(VLOOKUP(C802,Cadastro_Produtos!A:B,2,FALSE),"")</f>
        <v/>
      </c>
      <c r="F802" s="12" t="n"/>
      <c r="G802" s="13" t="n"/>
    </row>
    <row r="803">
      <c r="A803" s="12" t="n"/>
      <c r="D803">
        <f>IFERROR(VLOOKUP(C803,Cadastro_Produtos!A:B,2,FALSE),"")</f>
        <v/>
      </c>
      <c r="F803" s="12" t="n"/>
      <c r="G803" s="13" t="n"/>
    </row>
    <row r="804">
      <c r="A804" s="12" t="n"/>
      <c r="D804">
        <f>IFERROR(VLOOKUP(C804,Cadastro_Produtos!A:B,2,FALSE),"")</f>
        <v/>
      </c>
      <c r="F804" s="12" t="n"/>
      <c r="G804" s="13" t="n"/>
    </row>
    <row r="805">
      <c r="A805" s="12" t="n"/>
      <c r="D805">
        <f>IFERROR(VLOOKUP(C805,Cadastro_Produtos!A:B,2,FALSE),"")</f>
        <v/>
      </c>
      <c r="F805" s="12" t="n"/>
      <c r="G805" s="13" t="n"/>
    </row>
    <row r="806">
      <c r="A806" s="12" t="n"/>
      <c r="D806">
        <f>IFERROR(VLOOKUP(C806,Cadastro_Produtos!A:B,2,FALSE),"")</f>
        <v/>
      </c>
      <c r="F806" s="12" t="n"/>
      <c r="G806" s="13" t="n"/>
    </row>
    <row r="807">
      <c r="A807" s="12" t="n"/>
      <c r="D807">
        <f>IFERROR(VLOOKUP(C807,Cadastro_Produtos!A:B,2,FALSE),"")</f>
        <v/>
      </c>
      <c r="F807" s="12" t="n"/>
      <c r="G807" s="13" t="n"/>
    </row>
    <row r="808">
      <c r="A808" s="12" t="n"/>
      <c r="D808">
        <f>IFERROR(VLOOKUP(C808,Cadastro_Produtos!A:B,2,FALSE),"")</f>
        <v/>
      </c>
      <c r="F808" s="12" t="n"/>
      <c r="G808" s="13" t="n"/>
    </row>
    <row r="809">
      <c r="A809" s="12" t="n"/>
      <c r="D809">
        <f>IFERROR(VLOOKUP(C809,Cadastro_Produtos!A:B,2,FALSE),"")</f>
        <v/>
      </c>
      <c r="F809" s="12" t="n"/>
      <c r="G809" s="13" t="n"/>
    </row>
    <row r="810">
      <c r="A810" s="12" t="n"/>
      <c r="D810">
        <f>IFERROR(VLOOKUP(C810,Cadastro_Produtos!A:B,2,FALSE),"")</f>
        <v/>
      </c>
      <c r="F810" s="12" t="n"/>
      <c r="G810" s="13" t="n"/>
    </row>
    <row r="811">
      <c r="A811" s="12" t="n"/>
      <c r="D811">
        <f>IFERROR(VLOOKUP(C811,Cadastro_Produtos!A:B,2,FALSE),"")</f>
        <v/>
      </c>
      <c r="F811" s="12" t="n"/>
      <c r="G811" s="13" t="n"/>
    </row>
    <row r="812">
      <c r="A812" s="12" t="n"/>
      <c r="D812">
        <f>IFERROR(VLOOKUP(C812,Cadastro_Produtos!A:B,2,FALSE),"")</f>
        <v/>
      </c>
      <c r="F812" s="12" t="n"/>
      <c r="G812" s="13" t="n"/>
    </row>
    <row r="813">
      <c r="A813" s="12" t="n"/>
      <c r="D813">
        <f>IFERROR(VLOOKUP(C813,Cadastro_Produtos!A:B,2,FALSE),"")</f>
        <v/>
      </c>
      <c r="F813" s="12" t="n"/>
      <c r="G813" s="13" t="n"/>
    </row>
    <row r="814">
      <c r="A814" s="12" t="n"/>
      <c r="D814">
        <f>IFERROR(VLOOKUP(C814,Cadastro_Produtos!A:B,2,FALSE),"")</f>
        <v/>
      </c>
      <c r="F814" s="12" t="n"/>
      <c r="G814" s="13" t="n"/>
    </row>
    <row r="815">
      <c r="A815" s="12" t="n"/>
      <c r="D815">
        <f>IFERROR(VLOOKUP(C815,Cadastro_Produtos!A:B,2,FALSE),"")</f>
        <v/>
      </c>
      <c r="F815" s="12" t="n"/>
      <c r="G815" s="13" t="n"/>
    </row>
    <row r="816">
      <c r="A816" s="12" t="n"/>
      <c r="D816">
        <f>IFERROR(VLOOKUP(C816,Cadastro_Produtos!A:B,2,FALSE),"")</f>
        <v/>
      </c>
      <c r="F816" s="12" t="n"/>
      <c r="G816" s="13" t="n"/>
    </row>
    <row r="817">
      <c r="A817" s="12" t="n"/>
      <c r="D817">
        <f>IFERROR(VLOOKUP(C817,Cadastro_Produtos!A:B,2,FALSE),"")</f>
        <v/>
      </c>
      <c r="F817" s="12" t="n"/>
      <c r="G817" s="13" t="n"/>
    </row>
    <row r="818">
      <c r="A818" s="12" t="n"/>
      <c r="D818">
        <f>IFERROR(VLOOKUP(C818,Cadastro_Produtos!A:B,2,FALSE),"")</f>
        <v/>
      </c>
      <c r="F818" s="12" t="n"/>
      <c r="G818" s="13" t="n"/>
    </row>
    <row r="819">
      <c r="A819" s="12" t="n"/>
      <c r="D819">
        <f>IFERROR(VLOOKUP(C819,Cadastro_Produtos!A:B,2,FALSE),"")</f>
        <v/>
      </c>
      <c r="F819" s="12" t="n"/>
      <c r="G819" s="13" t="n"/>
    </row>
    <row r="820">
      <c r="A820" s="12" t="n"/>
      <c r="D820">
        <f>IFERROR(VLOOKUP(C820,Cadastro_Produtos!A:B,2,FALSE),"")</f>
        <v/>
      </c>
      <c r="F820" s="12" t="n"/>
      <c r="G820" s="13" t="n"/>
    </row>
    <row r="821">
      <c r="A821" s="12" t="n"/>
      <c r="D821">
        <f>IFERROR(VLOOKUP(C821,Cadastro_Produtos!A:B,2,FALSE),"")</f>
        <v/>
      </c>
      <c r="F821" s="12" t="n"/>
      <c r="G821" s="13" t="n"/>
    </row>
    <row r="822">
      <c r="A822" s="12" t="n"/>
      <c r="D822">
        <f>IFERROR(VLOOKUP(C822,Cadastro_Produtos!A:B,2,FALSE),"")</f>
        <v/>
      </c>
      <c r="F822" s="12" t="n"/>
      <c r="G822" s="13" t="n"/>
    </row>
    <row r="823">
      <c r="A823" s="12" t="n"/>
      <c r="D823">
        <f>IFERROR(VLOOKUP(C823,Cadastro_Produtos!A:B,2,FALSE),"")</f>
        <v/>
      </c>
      <c r="F823" s="12" t="n"/>
      <c r="G823" s="13" t="n"/>
    </row>
    <row r="824">
      <c r="A824" s="12" t="n"/>
      <c r="D824">
        <f>IFERROR(VLOOKUP(C824,Cadastro_Produtos!A:B,2,FALSE),"")</f>
        <v/>
      </c>
      <c r="F824" s="12" t="n"/>
      <c r="G824" s="13" t="n"/>
    </row>
    <row r="825">
      <c r="A825" s="12" t="n"/>
      <c r="D825">
        <f>IFERROR(VLOOKUP(C825,Cadastro_Produtos!A:B,2,FALSE),"")</f>
        <v/>
      </c>
      <c r="F825" s="12" t="n"/>
      <c r="G825" s="13" t="n"/>
    </row>
    <row r="826">
      <c r="A826" s="12" t="n"/>
      <c r="D826">
        <f>IFERROR(VLOOKUP(C826,Cadastro_Produtos!A:B,2,FALSE),"")</f>
        <v/>
      </c>
      <c r="F826" s="12" t="n"/>
      <c r="G826" s="13" t="n"/>
    </row>
    <row r="827">
      <c r="A827" s="12" t="n"/>
      <c r="D827">
        <f>IFERROR(VLOOKUP(C827,Cadastro_Produtos!A:B,2,FALSE),"")</f>
        <v/>
      </c>
      <c r="F827" s="12" t="n"/>
      <c r="G827" s="13" t="n"/>
    </row>
    <row r="828">
      <c r="A828" s="12" t="n"/>
      <c r="D828">
        <f>IFERROR(VLOOKUP(C828,Cadastro_Produtos!A:B,2,FALSE),"")</f>
        <v/>
      </c>
      <c r="F828" s="12" t="n"/>
      <c r="G828" s="13" t="n"/>
    </row>
    <row r="829">
      <c r="A829" s="12" t="n"/>
      <c r="D829">
        <f>IFERROR(VLOOKUP(C829,Cadastro_Produtos!A:B,2,FALSE),"")</f>
        <v/>
      </c>
      <c r="F829" s="12" t="n"/>
      <c r="G829" s="13" t="n"/>
    </row>
    <row r="830">
      <c r="A830" s="12" t="n"/>
      <c r="D830">
        <f>IFERROR(VLOOKUP(C830,Cadastro_Produtos!A:B,2,FALSE),"")</f>
        <v/>
      </c>
      <c r="F830" s="12" t="n"/>
      <c r="G830" s="13" t="n"/>
    </row>
    <row r="831">
      <c r="A831" s="12" t="n"/>
      <c r="D831">
        <f>IFERROR(VLOOKUP(C831,Cadastro_Produtos!A:B,2,FALSE),"")</f>
        <v/>
      </c>
      <c r="F831" s="12" t="n"/>
      <c r="G831" s="13" t="n"/>
    </row>
    <row r="832">
      <c r="A832" s="12" t="n"/>
      <c r="D832">
        <f>IFERROR(VLOOKUP(C832,Cadastro_Produtos!A:B,2,FALSE),"")</f>
        <v/>
      </c>
      <c r="F832" s="12" t="n"/>
      <c r="G832" s="13" t="n"/>
    </row>
    <row r="833">
      <c r="A833" s="12" t="n"/>
      <c r="D833">
        <f>IFERROR(VLOOKUP(C833,Cadastro_Produtos!A:B,2,FALSE),"")</f>
        <v/>
      </c>
      <c r="F833" s="12" t="n"/>
      <c r="G833" s="13" t="n"/>
    </row>
    <row r="834">
      <c r="A834" s="12" t="n"/>
      <c r="D834">
        <f>IFERROR(VLOOKUP(C834,Cadastro_Produtos!A:B,2,FALSE),"")</f>
        <v/>
      </c>
      <c r="F834" s="12" t="n"/>
      <c r="G834" s="13" t="n"/>
    </row>
    <row r="835">
      <c r="A835" s="12" t="n"/>
      <c r="D835">
        <f>IFERROR(VLOOKUP(C835,Cadastro_Produtos!A:B,2,FALSE),"")</f>
        <v/>
      </c>
      <c r="F835" s="12" t="n"/>
      <c r="G835" s="13" t="n"/>
    </row>
    <row r="836">
      <c r="A836" s="12" t="n"/>
      <c r="D836">
        <f>IFERROR(VLOOKUP(C836,Cadastro_Produtos!A:B,2,FALSE),"")</f>
        <v/>
      </c>
      <c r="F836" s="12" t="n"/>
      <c r="G836" s="13" t="n"/>
    </row>
    <row r="837">
      <c r="A837" s="12" t="n"/>
      <c r="D837">
        <f>IFERROR(VLOOKUP(C837,Cadastro_Produtos!A:B,2,FALSE),"")</f>
        <v/>
      </c>
      <c r="F837" s="12" t="n"/>
      <c r="G837" s="13" t="n"/>
    </row>
    <row r="838">
      <c r="A838" s="12" t="n"/>
      <c r="D838">
        <f>IFERROR(VLOOKUP(C838,Cadastro_Produtos!A:B,2,FALSE),"")</f>
        <v/>
      </c>
      <c r="F838" s="12" t="n"/>
      <c r="G838" s="13" t="n"/>
    </row>
    <row r="839">
      <c r="A839" s="12" t="n"/>
      <c r="D839">
        <f>IFERROR(VLOOKUP(C839,Cadastro_Produtos!A:B,2,FALSE),"")</f>
        <v/>
      </c>
      <c r="F839" s="12" t="n"/>
      <c r="G839" s="13" t="n"/>
    </row>
    <row r="840">
      <c r="A840" s="12" t="n"/>
      <c r="D840">
        <f>IFERROR(VLOOKUP(C840,Cadastro_Produtos!A:B,2,FALSE),"")</f>
        <v/>
      </c>
      <c r="F840" s="12" t="n"/>
      <c r="G840" s="13" t="n"/>
    </row>
    <row r="841">
      <c r="A841" s="12" t="n"/>
      <c r="D841">
        <f>IFERROR(VLOOKUP(C841,Cadastro_Produtos!A:B,2,FALSE),"")</f>
        <v/>
      </c>
      <c r="F841" s="12" t="n"/>
      <c r="G841" s="13" t="n"/>
    </row>
    <row r="842">
      <c r="A842" s="12" t="n"/>
      <c r="D842">
        <f>IFERROR(VLOOKUP(C842,Cadastro_Produtos!A:B,2,FALSE),"")</f>
        <v/>
      </c>
      <c r="F842" s="12" t="n"/>
      <c r="G842" s="13" t="n"/>
    </row>
    <row r="843">
      <c r="A843" s="12" t="n"/>
      <c r="D843">
        <f>IFERROR(VLOOKUP(C843,Cadastro_Produtos!A:B,2,FALSE),"")</f>
        <v/>
      </c>
      <c r="F843" s="12" t="n"/>
      <c r="G843" s="13" t="n"/>
    </row>
    <row r="844">
      <c r="A844" s="12" t="n"/>
      <c r="D844">
        <f>IFERROR(VLOOKUP(C844,Cadastro_Produtos!A:B,2,FALSE),"")</f>
        <v/>
      </c>
      <c r="F844" s="12" t="n"/>
      <c r="G844" s="13" t="n"/>
    </row>
    <row r="845">
      <c r="A845" s="12" t="n"/>
      <c r="D845">
        <f>IFERROR(VLOOKUP(C845,Cadastro_Produtos!A:B,2,FALSE),"")</f>
        <v/>
      </c>
      <c r="F845" s="12" t="n"/>
      <c r="G845" s="13" t="n"/>
    </row>
    <row r="846">
      <c r="A846" s="12" t="n"/>
      <c r="D846">
        <f>IFERROR(VLOOKUP(C846,Cadastro_Produtos!A:B,2,FALSE),"")</f>
        <v/>
      </c>
      <c r="F846" s="12" t="n"/>
      <c r="G846" s="13" t="n"/>
    </row>
    <row r="847">
      <c r="A847" s="12" t="n"/>
      <c r="D847">
        <f>IFERROR(VLOOKUP(C847,Cadastro_Produtos!A:B,2,FALSE),"")</f>
        <v/>
      </c>
      <c r="F847" s="12" t="n"/>
      <c r="G847" s="13" t="n"/>
    </row>
    <row r="848">
      <c r="A848" s="12" t="n"/>
      <c r="D848">
        <f>IFERROR(VLOOKUP(C848,Cadastro_Produtos!A:B,2,FALSE),"")</f>
        <v/>
      </c>
      <c r="F848" s="12" t="n"/>
      <c r="G848" s="13" t="n"/>
    </row>
    <row r="849">
      <c r="A849" s="12" t="n"/>
      <c r="D849">
        <f>IFERROR(VLOOKUP(C849,Cadastro_Produtos!A:B,2,FALSE),"")</f>
        <v/>
      </c>
      <c r="F849" s="12" t="n"/>
      <c r="G849" s="13" t="n"/>
    </row>
    <row r="850">
      <c r="A850" s="12" t="n"/>
      <c r="D850">
        <f>IFERROR(VLOOKUP(C850,Cadastro_Produtos!A:B,2,FALSE),"")</f>
        <v/>
      </c>
      <c r="F850" s="12" t="n"/>
      <c r="G850" s="13" t="n"/>
    </row>
    <row r="851">
      <c r="A851" s="12" t="n"/>
      <c r="D851">
        <f>IFERROR(VLOOKUP(C851,Cadastro_Produtos!A:B,2,FALSE),"")</f>
        <v/>
      </c>
      <c r="F851" s="12" t="n"/>
      <c r="G851" s="13" t="n"/>
    </row>
    <row r="852">
      <c r="A852" s="12" t="n"/>
      <c r="D852">
        <f>IFERROR(VLOOKUP(C852,Cadastro_Produtos!A:B,2,FALSE),"")</f>
        <v/>
      </c>
      <c r="F852" s="12" t="n"/>
      <c r="G852" s="13" t="n"/>
    </row>
    <row r="853">
      <c r="A853" s="12" t="n"/>
      <c r="D853">
        <f>IFERROR(VLOOKUP(C853,Cadastro_Produtos!A:B,2,FALSE),"")</f>
        <v/>
      </c>
      <c r="F853" s="12" t="n"/>
      <c r="G853" s="13" t="n"/>
    </row>
    <row r="854">
      <c r="A854" s="12" t="n"/>
      <c r="D854">
        <f>IFERROR(VLOOKUP(C854,Cadastro_Produtos!A:B,2,FALSE),"")</f>
        <v/>
      </c>
      <c r="F854" s="12" t="n"/>
      <c r="G854" s="13" t="n"/>
    </row>
    <row r="855">
      <c r="A855" s="12" t="n"/>
      <c r="D855">
        <f>IFERROR(VLOOKUP(C855,Cadastro_Produtos!A:B,2,FALSE),"")</f>
        <v/>
      </c>
      <c r="F855" s="12" t="n"/>
      <c r="G855" s="13" t="n"/>
    </row>
    <row r="856">
      <c r="A856" s="12" t="n"/>
      <c r="D856">
        <f>IFERROR(VLOOKUP(C856,Cadastro_Produtos!A:B,2,FALSE),"")</f>
        <v/>
      </c>
      <c r="F856" s="12" t="n"/>
      <c r="G856" s="13" t="n"/>
    </row>
    <row r="857">
      <c r="A857" s="12" t="n"/>
      <c r="D857">
        <f>IFERROR(VLOOKUP(C857,Cadastro_Produtos!A:B,2,FALSE),"")</f>
        <v/>
      </c>
      <c r="F857" s="12" t="n"/>
      <c r="G857" s="13" t="n"/>
    </row>
    <row r="858">
      <c r="A858" s="12" t="n"/>
      <c r="D858">
        <f>IFERROR(VLOOKUP(C858,Cadastro_Produtos!A:B,2,FALSE),"")</f>
        <v/>
      </c>
      <c r="F858" s="12" t="n"/>
      <c r="G858" s="13" t="n"/>
    </row>
    <row r="859">
      <c r="A859" s="12" t="n"/>
      <c r="D859">
        <f>IFERROR(VLOOKUP(C859,Cadastro_Produtos!A:B,2,FALSE),"")</f>
        <v/>
      </c>
      <c r="F859" s="12" t="n"/>
      <c r="G859" s="13" t="n"/>
    </row>
    <row r="860">
      <c r="A860" s="12" t="n"/>
      <c r="D860">
        <f>IFERROR(VLOOKUP(C860,Cadastro_Produtos!A:B,2,FALSE),"")</f>
        <v/>
      </c>
      <c r="F860" s="12" t="n"/>
      <c r="G860" s="13" t="n"/>
    </row>
    <row r="861">
      <c r="A861" s="12" t="n"/>
      <c r="D861">
        <f>IFERROR(VLOOKUP(C861,Cadastro_Produtos!A:B,2,FALSE),"")</f>
        <v/>
      </c>
      <c r="F861" s="12" t="n"/>
      <c r="G861" s="13" t="n"/>
    </row>
    <row r="862">
      <c r="A862" s="12" t="n"/>
      <c r="D862">
        <f>IFERROR(VLOOKUP(C862,Cadastro_Produtos!A:B,2,FALSE),"")</f>
        <v/>
      </c>
      <c r="F862" s="12" t="n"/>
      <c r="G862" s="13" t="n"/>
    </row>
    <row r="863">
      <c r="A863" s="12" t="n"/>
      <c r="D863">
        <f>IFERROR(VLOOKUP(C863,Cadastro_Produtos!A:B,2,FALSE),"")</f>
        <v/>
      </c>
      <c r="F863" s="12" t="n"/>
      <c r="G863" s="13" t="n"/>
    </row>
    <row r="864">
      <c r="A864" s="12" t="n"/>
      <c r="D864">
        <f>IFERROR(VLOOKUP(C864,Cadastro_Produtos!A:B,2,FALSE),"")</f>
        <v/>
      </c>
      <c r="F864" s="12" t="n"/>
      <c r="G864" s="13" t="n"/>
    </row>
    <row r="865">
      <c r="A865" s="12" t="n"/>
      <c r="D865">
        <f>IFERROR(VLOOKUP(C865,Cadastro_Produtos!A:B,2,FALSE),"")</f>
        <v/>
      </c>
      <c r="F865" s="12" t="n"/>
      <c r="G865" s="13" t="n"/>
    </row>
    <row r="866">
      <c r="A866" s="12" t="n"/>
      <c r="D866">
        <f>IFERROR(VLOOKUP(C866,Cadastro_Produtos!A:B,2,FALSE),"")</f>
        <v/>
      </c>
      <c r="F866" s="12" t="n"/>
      <c r="G866" s="13" t="n"/>
    </row>
    <row r="867">
      <c r="A867" s="12" t="n"/>
      <c r="D867">
        <f>IFERROR(VLOOKUP(C867,Cadastro_Produtos!A:B,2,FALSE),"")</f>
        <v/>
      </c>
      <c r="F867" s="12" t="n"/>
      <c r="G867" s="13" t="n"/>
    </row>
    <row r="868">
      <c r="A868" s="12" t="n"/>
      <c r="D868">
        <f>IFERROR(VLOOKUP(C868,Cadastro_Produtos!A:B,2,FALSE),"")</f>
        <v/>
      </c>
      <c r="F868" s="12" t="n"/>
      <c r="G868" s="13" t="n"/>
    </row>
    <row r="869">
      <c r="A869" s="12" t="n"/>
      <c r="D869">
        <f>IFERROR(VLOOKUP(C869,Cadastro_Produtos!A:B,2,FALSE),"")</f>
        <v/>
      </c>
      <c r="F869" s="12" t="n"/>
      <c r="G869" s="13" t="n"/>
    </row>
    <row r="870">
      <c r="A870" s="12" t="n"/>
      <c r="D870">
        <f>IFERROR(VLOOKUP(C870,Cadastro_Produtos!A:B,2,FALSE),"")</f>
        <v/>
      </c>
      <c r="F870" s="12" t="n"/>
      <c r="G870" s="13" t="n"/>
    </row>
    <row r="871">
      <c r="A871" s="12" t="n"/>
      <c r="D871">
        <f>IFERROR(VLOOKUP(C871,Cadastro_Produtos!A:B,2,FALSE),"")</f>
        <v/>
      </c>
      <c r="F871" s="12" t="n"/>
      <c r="G871" s="13" t="n"/>
    </row>
    <row r="872">
      <c r="A872" s="12" t="n"/>
      <c r="D872">
        <f>IFERROR(VLOOKUP(C872,Cadastro_Produtos!A:B,2,FALSE),"")</f>
        <v/>
      </c>
      <c r="F872" s="12" t="n"/>
      <c r="G872" s="13" t="n"/>
    </row>
    <row r="873">
      <c r="A873" s="12" t="n"/>
      <c r="D873">
        <f>IFERROR(VLOOKUP(C873,Cadastro_Produtos!A:B,2,FALSE),"")</f>
        <v/>
      </c>
      <c r="F873" s="12" t="n"/>
      <c r="G873" s="13" t="n"/>
    </row>
    <row r="874">
      <c r="A874" s="12" t="n"/>
      <c r="D874">
        <f>IFERROR(VLOOKUP(C874,Cadastro_Produtos!A:B,2,FALSE),"")</f>
        <v/>
      </c>
      <c r="F874" s="12" t="n"/>
      <c r="G874" s="13" t="n"/>
    </row>
    <row r="875">
      <c r="A875" s="12" t="n"/>
      <c r="D875">
        <f>IFERROR(VLOOKUP(C875,Cadastro_Produtos!A:B,2,FALSE),"")</f>
        <v/>
      </c>
      <c r="F875" s="12" t="n"/>
      <c r="G875" s="13" t="n"/>
    </row>
    <row r="876">
      <c r="A876" s="12" t="n"/>
      <c r="D876">
        <f>IFERROR(VLOOKUP(C876,Cadastro_Produtos!A:B,2,FALSE),"")</f>
        <v/>
      </c>
      <c r="F876" s="12" t="n"/>
      <c r="G876" s="13" t="n"/>
    </row>
    <row r="877">
      <c r="A877" s="12" t="n"/>
      <c r="D877">
        <f>IFERROR(VLOOKUP(C877,Cadastro_Produtos!A:B,2,FALSE),"")</f>
        <v/>
      </c>
      <c r="F877" s="12" t="n"/>
      <c r="G877" s="13" t="n"/>
    </row>
    <row r="878">
      <c r="A878" s="12" t="n"/>
      <c r="D878">
        <f>IFERROR(VLOOKUP(C878,Cadastro_Produtos!A:B,2,FALSE),"")</f>
        <v/>
      </c>
      <c r="F878" s="12" t="n"/>
      <c r="G878" s="13" t="n"/>
    </row>
    <row r="879">
      <c r="A879" s="12" t="n"/>
      <c r="D879">
        <f>IFERROR(VLOOKUP(C879,Cadastro_Produtos!A:B,2,FALSE),"")</f>
        <v/>
      </c>
      <c r="F879" s="12" t="n"/>
      <c r="G879" s="13" t="n"/>
    </row>
    <row r="880">
      <c r="A880" s="12" t="n"/>
      <c r="D880">
        <f>IFERROR(VLOOKUP(C880,Cadastro_Produtos!A:B,2,FALSE),"")</f>
        <v/>
      </c>
      <c r="F880" s="12" t="n"/>
      <c r="G880" s="13" t="n"/>
    </row>
    <row r="881">
      <c r="A881" s="12" t="n"/>
      <c r="D881">
        <f>IFERROR(VLOOKUP(C881,Cadastro_Produtos!A:B,2,FALSE),"")</f>
        <v/>
      </c>
      <c r="F881" s="12" t="n"/>
      <c r="G881" s="13" t="n"/>
    </row>
    <row r="882">
      <c r="A882" s="12" t="n"/>
      <c r="D882">
        <f>IFERROR(VLOOKUP(C882,Cadastro_Produtos!A:B,2,FALSE),"")</f>
        <v/>
      </c>
      <c r="F882" s="12" t="n"/>
      <c r="G882" s="13" t="n"/>
    </row>
    <row r="883">
      <c r="A883" s="12" t="n"/>
      <c r="D883">
        <f>IFERROR(VLOOKUP(C883,Cadastro_Produtos!A:B,2,FALSE),"")</f>
        <v/>
      </c>
      <c r="F883" s="12" t="n"/>
      <c r="G883" s="13" t="n"/>
    </row>
    <row r="884">
      <c r="A884" s="12" t="n"/>
      <c r="D884">
        <f>IFERROR(VLOOKUP(C884,Cadastro_Produtos!A:B,2,FALSE),"")</f>
        <v/>
      </c>
      <c r="F884" s="12" t="n"/>
      <c r="G884" s="13" t="n"/>
    </row>
    <row r="885">
      <c r="A885" s="12" t="n"/>
      <c r="D885">
        <f>IFERROR(VLOOKUP(C885,Cadastro_Produtos!A:B,2,FALSE),"")</f>
        <v/>
      </c>
      <c r="F885" s="12" t="n"/>
      <c r="G885" s="13" t="n"/>
    </row>
    <row r="886">
      <c r="A886" s="12" t="n"/>
      <c r="D886">
        <f>IFERROR(VLOOKUP(C886,Cadastro_Produtos!A:B,2,FALSE),"")</f>
        <v/>
      </c>
      <c r="F886" s="12" t="n"/>
      <c r="G886" s="13" t="n"/>
    </row>
    <row r="887">
      <c r="A887" s="12" t="n"/>
      <c r="D887">
        <f>IFERROR(VLOOKUP(C887,Cadastro_Produtos!A:B,2,FALSE),"")</f>
        <v/>
      </c>
      <c r="F887" s="12" t="n"/>
      <c r="G887" s="13" t="n"/>
    </row>
    <row r="888">
      <c r="A888" s="12" t="n"/>
      <c r="D888">
        <f>IFERROR(VLOOKUP(C888,Cadastro_Produtos!A:B,2,FALSE),"")</f>
        <v/>
      </c>
      <c r="F888" s="12" t="n"/>
      <c r="G888" s="13" t="n"/>
    </row>
    <row r="889">
      <c r="A889" s="12" t="n"/>
      <c r="D889">
        <f>IFERROR(VLOOKUP(C889,Cadastro_Produtos!A:B,2,FALSE),"")</f>
        <v/>
      </c>
      <c r="F889" s="12" t="n"/>
      <c r="G889" s="13" t="n"/>
    </row>
    <row r="890">
      <c r="A890" s="12" t="n"/>
      <c r="D890">
        <f>IFERROR(VLOOKUP(C890,Cadastro_Produtos!A:B,2,FALSE),"")</f>
        <v/>
      </c>
      <c r="F890" s="12" t="n"/>
      <c r="G890" s="13" t="n"/>
    </row>
    <row r="891">
      <c r="A891" s="12" t="n"/>
      <c r="D891">
        <f>IFERROR(VLOOKUP(C891,Cadastro_Produtos!A:B,2,FALSE),"")</f>
        <v/>
      </c>
      <c r="F891" s="12" t="n"/>
      <c r="G891" s="13" t="n"/>
    </row>
    <row r="892">
      <c r="A892" s="12" t="n"/>
      <c r="D892">
        <f>IFERROR(VLOOKUP(C892,Cadastro_Produtos!A:B,2,FALSE),"")</f>
        <v/>
      </c>
      <c r="F892" s="12" t="n"/>
      <c r="G892" s="13" t="n"/>
    </row>
    <row r="893">
      <c r="A893" s="12" t="n"/>
      <c r="D893">
        <f>IFERROR(VLOOKUP(C893,Cadastro_Produtos!A:B,2,FALSE),"")</f>
        <v/>
      </c>
      <c r="F893" s="12" t="n"/>
      <c r="G893" s="13" t="n"/>
    </row>
    <row r="894">
      <c r="A894" s="12" t="n"/>
      <c r="D894">
        <f>IFERROR(VLOOKUP(C894,Cadastro_Produtos!A:B,2,FALSE),"")</f>
        <v/>
      </c>
      <c r="F894" s="12" t="n"/>
      <c r="G894" s="13" t="n"/>
    </row>
    <row r="895">
      <c r="A895" s="12" t="n"/>
      <c r="D895">
        <f>IFERROR(VLOOKUP(C895,Cadastro_Produtos!A:B,2,FALSE),"")</f>
        <v/>
      </c>
      <c r="F895" s="12" t="n"/>
      <c r="G895" s="13" t="n"/>
    </row>
    <row r="896">
      <c r="A896" s="12" t="n"/>
      <c r="D896">
        <f>IFERROR(VLOOKUP(C896,Cadastro_Produtos!A:B,2,FALSE),"")</f>
        <v/>
      </c>
      <c r="F896" s="12" t="n"/>
      <c r="G896" s="13" t="n"/>
    </row>
    <row r="897">
      <c r="A897" s="12" t="n"/>
      <c r="D897">
        <f>IFERROR(VLOOKUP(C897,Cadastro_Produtos!A:B,2,FALSE),"")</f>
        <v/>
      </c>
      <c r="F897" s="12" t="n"/>
      <c r="G897" s="13" t="n"/>
    </row>
    <row r="898">
      <c r="A898" s="12" t="n"/>
      <c r="D898">
        <f>IFERROR(VLOOKUP(C898,Cadastro_Produtos!A:B,2,FALSE),"")</f>
        <v/>
      </c>
      <c r="F898" s="12" t="n"/>
      <c r="G898" s="13" t="n"/>
    </row>
    <row r="899">
      <c r="A899" s="12" t="n"/>
      <c r="D899">
        <f>IFERROR(VLOOKUP(C899,Cadastro_Produtos!A:B,2,FALSE),"")</f>
        <v/>
      </c>
      <c r="F899" s="12" t="n"/>
      <c r="G899" s="13" t="n"/>
    </row>
    <row r="900">
      <c r="A900" s="12" t="n"/>
      <c r="D900">
        <f>IFERROR(VLOOKUP(C900,Cadastro_Produtos!A:B,2,FALSE),"")</f>
        <v/>
      </c>
      <c r="F900" s="12" t="n"/>
      <c r="G900" s="13" t="n"/>
    </row>
    <row r="901">
      <c r="A901" s="12" t="n"/>
      <c r="D901">
        <f>IFERROR(VLOOKUP(C901,Cadastro_Produtos!A:B,2,FALSE),"")</f>
        <v/>
      </c>
      <c r="F901" s="12" t="n"/>
      <c r="G901" s="13" t="n"/>
    </row>
    <row r="902">
      <c r="A902" s="12" t="n"/>
      <c r="D902">
        <f>IFERROR(VLOOKUP(C902,Cadastro_Produtos!A:B,2,FALSE),"")</f>
        <v/>
      </c>
      <c r="F902" s="12" t="n"/>
      <c r="G902" s="13" t="n"/>
    </row>
    <row r="903">
      <c r="A903" s="12" t="n"/>
      <c r="D903">
        <f>IFERROR(VLOOKUP(C903,Cadastro_Produtos!A:B,2,FALSE),"")</f>
        <v/>
      </c>
      <c r="F903" s="12" t="n"/>
      <c r="G903" s="13" t="n"/>
    </row>
    <row r="904">
      <c r="A904" s="12" t="n"/>
      <c r="D904">
        <f>IFERROR(VLOOKUP(C904,Cadastro_Produtos!A:B,2,FALSE),"")</f>
        <v/>
      </c>
      <c r="F904" s="12" t="n"/>
      <c r="G904" s="13" t="n"/>
    </row>
    <row r="905">
      <c r="A905" s="12" t="n"/>
      <c r="D905">
        <f>IFERROR(VLOOKUP(C905,Cadastro_Produtos!A:B,2,FALSE),"")</f>
        <v/>
      </c>
      <c r="F905" s="12" t="n"/>
      <c r="G905" s="13" t="n"/>
    </row>
    <row r="906">
      <c r="A906" s="12" t="n"/>
      <c r="D906">
        <f>IFERROR(VLOOKUP(C906,Cadastro_Produtos!A:B,2,FALSE),"")</f>
        <v/>
      </c>
      <c r="F906" s="12" t="n"/>
      <c r="G906" s="13" t="n"/>
    </row>
    <row r="907">
      <c r="A907" s="12" t="n"/>
      <c r="D907">
        <f>IFERROR(VLOOKUP(C907,Cadastro_Produtos!A:B,2,FALSE),"")</f>
        <v/>
      </c>
      <c r="F907" s="12" t="n"/>
      <c r="G907" s="13" t="n"/>
    </row>
    <row r="908">
      <c r="A908" s="12" t="n"/>
      <c r="D908">
        <f>IFERROR(VLOOKUP(C908,Cadastro_Produtos!A:B,2,FALSE),"")</f>
        <v/>
      </c>
      <c r="F908" s="12" t="n"/>
      <c r="G908" s="13" t="n"/>
    </row>
    <row r="909">
      <c r="A909" s="12" t="n"/>
      <c r="D909">
        <f>IFERROR(VLOOKUP(C909,Cadastro_Produtos!A:B,2,FALSE),"")</f>
        <v/>
      </c>
      <c r="F909" s="12" t="n"/>
      <c r="G909" s="13" t="n"/>
    </row>
    <row r="910">
      <c r="A910" s="12" t="n"/>
      <c r="D910">
        <f>IFERROR(VLOOKUP(C910,Cadastro_Produtos!A:B,2,FALSE),"")</f>
        <v/>
      </c>
      <c r="F910" s="12" t="n"/>
      <c r="G910" s="13" t="n"/>
    </row>
    <row r="911">
      <c r="A911" s="12" t="n"/>
      <c r="D911">
        <f>IFERROR(VLOOKUP(C911,Cadastro_Produtos!A:B,2,FALSE),"")</f>
        <v/>
      </c>
      <c r="F911" s="12" t="n"/>
      <c r="G911" s="13" t="n"/>
    </row>
    <row r="912">
      <c r="A912" s="12" t="n"/>
      <c r="D912">
        <f>IFERROR(VLOOKUP(C912,Cadastro_Produtos!A:B,2,FALSE),"")</f>
        <v/>
      </c>
      <c r="F912" s="12" t="n"/>
      <c r="G912" s="13" t="n"/>
    </row>
    <row r="913">
      <c r="A913" s="12" t="n"/>
      <c r="D913">
        <f>IFERROR(VLOOKUP(C913,Cadastro_Produtos!A:B,2,FALSE),"")</f>
        <v/>
      </c>
      <c r="F913" s="12" t="n"/>
      <c r="G913" s="13" t="n"/>
    </row>
    <row r="914">
      <c r="A914" s="12" t="n"/>
      <c r="D914">
        <f>IFERROR(VLOOKUP(C914,Cadastro_Produtos!A:B,2,FALSE),"")</f>
        <v/>
      </c>
      <c r="F914" s="12" t="n"/>
      <c r="G914" s="13" t="n"/>
    </row>
    <row r="915">
      <c r="A915" s="12" t="n"/>
      <c r="D915">
        <f>IFERROR(VLOOKUP(C915,Cadastro_Produtos!A:B,2,FALSE),"")</f>
        <v/>
      </c>
      <c r="F915" s="12" t="n"/>
      <c r="G915" s="13" t="n"/>
    </row>
    <row r="916">
      <c r="A916" s="12" t="n"/>
      <c r="D916">
        <f>IFERROR(VLOOKUP(C916,Cadastro_Produtos!A:B,2,FALSE),"")</f>
        <v/>
      </c>
      <c r="F916" s="12" t="n"/>
      <c r="G916" s="13" t="n"/>
    </row>
    <row r="917">
      <c r="A917" s="12" t="n"/>
      <c r="D917">
        <f>IFERROR(VLOOKUP(C917,Cadastro_Produtos!A:B,2,FALSE),"")</f>
        <v/>
      </c>
      <c r="F917" s="12" t="n"/>
      <c r="G917" s="13" t="n"/>
    </row>
    <row r="918">
      <c r="A918" s="12" t="n"/>
      <c r="D918">
        <f>IFERROR(VLOOKUP(C918,Cadastro_Produtos!A:B,2,FALSE),"")</f>
        <v/>
      </c>
      <c r="F918" s="12" t="n"/>
      <c r="G918" s="13" t="n"/>
    </row>
    <row r="919">
      <c r="A919" s="12" t="n"/>
      <c r="D919">
        <f>IFERROR(VLOOKUP(C919,Cadastro_Produtos!A:B,2,FALSE),"")</f>
        <v/>
      </c>
      <c r="F919" s="12" t="n"/>
      <c r="G919" s="13" t="n"/>
    </row>
    <row r="920">
      <c r="A920" s="12" t="n"/>
      <c r="D920">
        <f>IFERROR(VLOOKUP(C920,Cadastro_Produtos!A:B,2,FALSE),"")</f>
        <v/>
      </c>
      <c r="F920" s="12" t="n"/>
      <c r="G920" s="13" t="n"/>
    </row>
    <row r="921">
      <c r="A921" s="12" t="n"/>
      <c r="D921">
        <f>IFERROR(VLOOKUP(C921,Cadastro_Produtos!A:B,2,FALSE),"")</f>
        <v/>
      </c>
      <c r="F921" s="12" t="n"/>
      <c r="G921" s="13" t="n"/>
    </row>
    <row r="922">
      <c r="A922" s="12" t="n"/>
      <c r="D922">
        <f>IFERROR(VLOOKUP(C922,Cadastro_Produtos!A:B,2,FALSE),"")</f>
        <v/>
      </c>
      <c r="F922" s="12" t="n"/>
      <c r="G922" s="13" t="n"/>
    </row>
    <row r="923">
      <c r="A923" s="12" t="n"/>
      <c r="D923">
        <f>IFERROR(VLOOKUP(C923,Cadastro_Produtos!A:B,2,FALSE),"")</f>
        <v/>
      </c>
      <c r="F923" s="12" t="n"/>
      <c r="G923" s="13" t="n"/>
    </row>
    <row r="924">
      <c r="A924" s="12" t="n"/>
      <c r="D924">
        <f>IFERROR(VLOOKUP(C924,Cadastro_Produtos!A:B,2,FALSE),"")</f>
        <v/>
      </c>
      <c r="F924" s="12" t="n"/>
      <c r="G924" s="13" t="n"/>
    </row>
    <row r="925">
      <c r="A925" s="12" t="n"/>
      <c r="D925">
        <f>IFERROR(VLOOKUP(C925,Cadastro_Produtos!A:B,2,FALSE),"")</f>
        <v/>
      </c>
      <c r="F925" s="12" t="n"/>
      <c r="G925" s="13" t="n"/>
    </row>
    <row r="926">
      <c r="A926" s="12" t="n"/>
      <c r="D926">
        <f>IFERROR(VLOOKUP(C926,Cadastro_Produtos!A:B,2,FALSE),"")</f>
        <v/>
      </c>
      <c r="F926" s="12" t="n"/>
      <c r="G926" s="13" t="n"/>
    </row>
    <row r="927">
      <c r="A927" s="12" t="n"/>
      <c r="D927">
        <f>IFERROR(VLOOKUP(C927,Cadastro_Produtos!A:B,2,FALSE),"")</f>
        <v/>
      </c>
      <c r="F927" s="12" t="n"/>
      <c r="G927" s="13" t="n"/>
    </row>
    <row r="928">
      <c r="A928" s="12" t="n"/>
      <c r="D928">
        <f>IFERROR(VLOOKUP(C928,Cadastro_Produtos!A:B,2,FALSE),"")</f>
        <v/>
      </c>
      <c r="F928" s="12" t="n"/>
      <c r="G928" s="13" t="n"/>
    </row>
    <row r="929">
      <c r="A929" s="12" t="n"/>
      <c r="D929">
        <f>IFERROR(VLOOKUP(C929,Cadastro_Produtos!A:B,2,FALSE),"")</f>
        <v/>
      </c>
      <c r="F929" s="12" t="n"/>
      <c r="G929" s="13" t="n"/>
    </row>
    <row r="930">
      <c r="A930" s="12" t="n"/>
      <c r="D930">
        <f>IFERROR(VLOOKUP(C930,Cadastro_Produtos!A:B,2,FALSE),"")</f>
        <v/>
      </c>
      <c r="F930" s="12" t="n"/>
      <c r="G930" s="13" t="n"/>
    </row>
    <row r="931">
      <c r="A931" s="12" t="n"/>
      <c r="D931">
        <f>IFERROR(VLOOKUP(C931,Cadastro_Produtos!A:B,2,FALSE),"")</f>
        <v/>
      </c>
      <c r="F931" s="12" t="n"/>
      <c r="G931" s="13" t="n"/>
    </row>
    <row r="932">
      <c r="A932" s="12" t="n"/>
      <c r="D932">
        <f>IFERROR(VLOOKUP(C932,Cadastro_Produtos!A:B,2,FALSE),"")</f>
        <v/>
      </c>
      <c r="F932" s="12" t="n"/>
      <c r="G932" s="13" t="n"/>
    </row>
    <row r="933">
      <c r="A933" s="12" t="n"/>
      <c r="D933">
        <f>IFERROR(VLOOKUP(C933,Cadastro_Produtos!A:B,2,FALSE),"")</f>
        <v/>
      </c>
      <c r="F933" s="12" t="n"/>
      <c r="G933" s="13" t="n"/>
    </row>
    <row r="934">
      <c r="A934" s="12" t="n"/>
      <c r="D934">
        <f>IFERROR(VLOOKUP(C934,Cadastro_Produtos!A:B,2,FALSE),"")</f>
        <v/>
      </c>
      <c r="F934" s="12" t="n"/>
      <c r="G934" s="13" t="n"/>
    </row>
    <row r="935">
      <c r="A935" s="12" t="n"/>
      <c r="D935">
        <f>IFERROR(VLOOKUP(C935,Cadastro_Produtos!A:B,2,FALSE),"")</f>
        <v/>
      </c>
      <c r="F935" s="12" t="n"/>
      <c r="G935" s="13" t="n"/>
    </row>
    <row r="936">
      <c r="A936" s="12" t="n"/>
      <c r="D936">
        <f>IFERROR(VLOOKUP(C936,Cadastro_Produtos!A:B,2,FALSE),"")</f>
        <v/>
      </c>
      <c r="F936" s="12" t="n"/>
      <c r="G936" s="13" t="n"/>
    </row>
    <row r="937">
      <c r="A937" s="12" t="n"/>
      <c r="D937">
        <f>IFERROR(VLOOKUP(C937,Cadastro_Produtos!A:B,2,FALSE),"")</f>
        <v/>
      </c>
      <c r="F937" s="12" t="n"/>
      <c r="G937" s="13" t="n"/>
    </row>
    <row r="938">
      <c r="A938" s="12" t="n"/>
      <c r="D938">
        <f>IFERROR(VLOOKUP(C938,Cadastro_Produtos!A:B,2,FALSE),"")</f>
        <v/>
      </c>
      <c r="F938" s="12" t="n"/>
      <c r="G938" s="13" t="n"/>
    </row>
    <row r="939">
      <c r="A939" s="12" t="n"/>
      <c r="D939">
        <f>IFERROR(VLOOKUP(C939,Cadastro_Produtos!A:B,2,FALSE),"")</f>
        <v/>
      </c>
      <c r="F939" s="12" t="n"/>
      <c r="G939" s="13" t="n"/>
    </row>
    <row r="940">
      <c r="A940" s="12" t="n"/>
      <c r="D940">
        <f>IFERROR(VLOOKUP(C940,Cadastro_Produtos!A:B,2,FALSE),"")</f>
        <v/>
      </c>
      <c r="F940" s="12" t="n"/>
      <c r="G940" s="13" t="n"/>
    </row>
    <row r="941">
      <c r="A941" s="12" t="n"/>
      <c r="D941">
        <f>IFERROR(VLOOKUP(C941,Cadastro_Produtos!A:B,2,FALSE),"")</f>
        <v/>
      </c>
      <c r="F941" s="12" t="n"/>
      <c r="G941" s="13" t="n"/>
    </row>
    <row r="942">
      <c r="A942" s="12" t="n"/>
      <c r="D942">
        <f>IFERROR(VLOOKUP(C942,Cadastro_Produtos!A:B,2,FALSE),"")</f>
        <v/>
      </c>
      <c r="F942" s="12" t="n"/>
      <c r="G942" s="13" t="n"/>
    </row>
    <row r="943">
      <c r="A943" s="12" t="n"/>
      <c r="D943">
        <f>IFERROR(VLOOKUP(C943,Cadastro_Produtos!A:B,2,FALSE),"")</f>
        <v/>
      </c>
      <c r="F943" s="12" t="n"/>
      <c r="G943" s="13" t="n"/>
    </row>
    <row r="944">
      <c r="A944" s="12" t="n"/>
      <c r="D944">
        <f>IFERROR(VLOOKUP(C944,Cadastro_Produtos!A:B,2,FALSE),"")</f>
        <v/>
      </c>
      <c r="F944" s="12" t="n"/>
      <c r="G944" s="13" t="n"/>
    </row>
    <row r="945">
      <c r="A945" s="12" t="n"/>
      <c r="D945">
        <f>IFERROR(VLOOKUP(C945,Cadastro_Produtos!A:B,2,FALSE),"")</f>
        <v/>
      </c>
      <c r="F945" s="12" t="n"/>
      <c r="G945" s="13" t="n"/>
    </row>
    <row r="946">
      <c r="A946" s="12" t="n"/>
      <c r="D946">
        <f>IFERROR(VLOOKUP(C946,Cadastro_Produtos!A:B,2,FALSE),"")</f>
        <v/>
      </c>
      <c r="F946" s="12" t="n"/>
      <c r="G946" s="13" t="n"/>
    </row>
    <row r="947">
      <c r="A947" s="12" t="n"/>
      <c r="D947">
        <f>IFERROR(VLOOKUP(C947,Cadastro_Produtos!A:B,2,FALSE),"")</f>
        <v/>
      </c>
      <c r="F947" s="12" t="n"/>
      <c r="G947" s="13" t="n"/>
    </row>
    <row r="948">
      <c r="A948" s="12" t="n"/>
      <c r="D948">
        <f>IFERROR(VLOOKUP(C948,Cadastro_Produtos!A:B,2,FALSE),"")</f>
        <v/>
      </c>
      <c r="F948" s="12" t="n"/>
      <c r="G948" s="13" t="n"/>
    </row>
    <row r="949">
      <c r="A949" s="12" t="n"/>
      <c r="D949">
        <f>IFERROR(VLOOKUP(C949,Cadastro_Produtos!A:B,2,FALSE),"")</f>
        <v/>
      </c>
      <c r="F949" s="12" t="n"/>
      <c r="G949" s="13" t="n"/>
    </row>
    <row r="950">
      <c r="A950" s="12" t="n"/>
      <c r="D950">
        <f>IFERROR(VLOOKUP(C950,Cadastro_Produtos!A:B,2,FALSE),"")</f>
        <v/>
      </c>
      <c r="F950" s="12" t="n"/>
      <c r="G950" s="13" t="n"/>
    </row>
    <row r="951">
      <c r="A951" s="12" t="n"/>
      <c r="D951">
        <f>IFERROR(VLOOKUP(C951,Cadastro_Produtos!A:B,2,FALSE),"")</f>
        <v/>
      </c>
      <c r="F951" s="12" t="n"/>
      <c r="G951" s="13" t="n"/>
    </row>
    <row r="952">
      <c r="A952" s="12" t="n"/>
      <c r="D952">
        <f>IFERROR(VLOOKUP(C952,Cadastro_Produtos!A:B,2,FALSE),"")</f>
        <v/>
      </c>
      <c r="F952" s="12" t="n"/>
      <c r="G952" s="13" t="n"/>
    </row>
    <row r="953">
      <c r="A953" s="12" t="n"/>
      <c r="D953">
        <f>IFERROR(VLOOKUP(C953,Cadastro_Produtos!A:B,2,FALSE),"")</f>
        <v/>
      </c>
      <c r="F953" s="12" t="n"/>
      <c r="G953" s="13" t="n"/>
    </row>
    <row r="954">
      <c r="A954" s="12" t="n"/>
      <c r="D954">
        <f>IFERROR(VLOOKUP(C954,Cadastro_Produtos!A:B,2,FALSE),"")</f>
        <v/>
      </c>
      <c r="F954" s="12" t="n"/>
      <c r="G954" s="13" t="n"/>
    </row>
    <row r="955">
      <c r="A955" s="12" t="n"/>
      <c r="D955">
        <f>IFERROR(VLOOKUP(C955,Cadastro_Produtos!A:B,2,FALSE),"")</f>
        <v/>
      </c>
      <c r="F955" s="12" t="n"/>
      <c r="G955" s="13" t="n"/>
    </row>
    <row r="956">
      <c r="A956" s="12" t="n"/>
      <c r="D956">
        <f>IFERROR(VLOOKUP(C956,Cadastro_Produtos!A:B,2,FALSE),"")</f>
        <v/>
      </c>
      <c r="F956" s="12" t="n"/>
      <c r="G956" s="13" t="n"/>
    </row>
    <row r="957">
      <c r="A957" s="12" t="n"/>
      <c r="D957">
        <f>IFERROR(VLOOKUP(C957,Cadastro_Produtos!A:B,2,FALSE),"")</f>
        <v/>
      </c>
      <c r="F957" s="12" t="n"/>
      <c r="G957" s="13" t="n"/>
    </row>
    <row r="958">
      <c r="A958" s="12" t="n"/>
      <c r="D958">
        <f>IFERROR(VLOOKUP(C958,Cadastro_Produtos!A:B,2,FALSE),"")</f>
        <v/>
      </c>
      <c r="F958" s="12" t="n"/>
      <c r="G958" s="13" t="n"/>
    </row>
    <row r="959">
      <c r="A959" s="12" t="n"/>
      <c r="D959">
        <f>IFERROR(VLOOKUP(C959,Cadastro_Produtos!A:B,2,FALSE),"")</f>
        <v/>
      </c>
      <c r="F959" s="12" t="n"/>
      <c r="G959" s="13" t="n"/>
    </row>
    <row r="960">
      <c r="A960" s="12" t="n"/>
      <c r="D960">
        <f>IFERROR(VLOOKUP(C960,Cadastro_Produtos!A:B,2,FALSE),"")</f>
        <v/>
      </c>
      <c r="F960" s="12" t="n"/>
      <c r="G960" s="13" t="n"/>
    </row>
    <row r="961">
      <c r="A961" s="12" t="n"/>
      <c r="D961">
        <f>IFERROR(VLOOKUP(C961,Cadastro_Produtos!A:B,2,FALSE),"")</f>
        <v/>
      </c>
      <c r="F961" s="12" t="n"/>
      <c r="G961" s="13" t="n"/>
    </row>
    <row r="962">
      <c r="A962" s="12" t="n"/>
      <c r="D962">
        <f>IFERROR(VLOOKUP(C962,Cadastro_Produtos!A:B,2,FALSE),"")</f>
        <v/>
      </c>
      <c r="F962" s="12" t="n"/>
      <c r="G962" s="13" t="n"/>
    </row>
    <row r="963">
      <c r="A963" s="12" t="n"/>
      <c r="D963">
        <f>IFERROR(VLOOKUP(C963,Cadastro_Produtos!A:B,2,FALSE),"")</f>
        <v/>
      </c>
      <c r="F963" s="12" t="n"/>
      <c r="G963" s="13" t="n"/>
    </row>
    <row r="964">
      <c r="A964" s="12" t="n"/>
      <c r="D964">
        <f>IFERROR(VLOOKUP(C964,Cadastro_Produtos!A:B,2,FALSE),"")</f>
        <v/>
      </c>
      <c r="F964" s="12" t="n"/>
      <c r="G964" s="13" t="n"/>
    </row>
    <row r="965">
      <c r="A965" s="12" t="n"/>
      <c r="D965">
        <f>IFERROR(VLOOKUP(C965,Cadastro_Produtos!A:B,2,FALSE),"")</f>
        <v/>
      </c>
      <c r="F965" s="12" t="n"/>
      <c r="G965" s="13" t="n"/>
    </row>
    <row r="966">
      <c r="A966" s="12" t="n"/>
      <c r="D966">
        <f>IFERROR(VLOOKUP(C966,Cadastro_Produtos!A:B,2,FALSE),"")</f>
        <v/>
      </c>
      <c r="F966" s="12" t="n"/>
      <c r="G966" s="13" t="n"/>
    </row>
    <row r="967">
      <c r="A967" s="12" t="n"/>
      <c r="D967">
        <f>IFERROR(VLOOKUP(C967,Cadastro_Produtos!A:B,2,FALSE),"")</f>
        <v/>
      </c>
      <c r="F967" s="12" t="n"/>
      <c r="G967" s="13" t="n"/>
    </row>
    <row r="968">
      <c r="A968" s="12" t="n"/>
      <c r="D968">
        <f>IFERROR(VLOOKUP(C968,Cadastro_Produtos!A:B,2,FALSE),"")</f>
        <v/>
      </c>
      <c r="F968" s="12" t="n"/>
      <c r="G968" s="13" t="n"/>
    </row>
    <row r="969">
      <c r="A969" s="12" t="n"/>
      <c r="D969">
        <f>IFERROR(VLOOKUP(C969,Cadastro_Produtos!A:B,2,FALSE),"")</f>
        <v/>
      </c>
      <c r="F969" s="12" t="n"/>
      <c r="G969" s="13" t="n"/>
    </row>
    <row r="970">
      <c r="A970" s="12" t="n"/>
      <c r="D970">
        <f>IFERROR(VLOOKUP(C970,Cadastro_Produtos!A:B,2,FALSE),"")</f>
        <v/>
      </c>
      <c r="F970" s="12" t="n"/>
      <c r="G970" s="13" t="n"/>
    </row>
    <row r="971">
      <c r="A971" s="12" t="n"/>
      <c r="D971">
        <f>IFERROR(VLOOKUP(C971,Cadastro_Produtos!A:B,2,FALSE),"")</f>
        <v/>
      </c>
      <c r="F971" s="12" t="n"/>
      <c r="G971" s="13" t="n"/>
    </row>
    <row r="972">
      <c r="A972" s="12" t="n"/>
      <c r="D972">
        <f>IFERROR(VLOOKUP(C972,Cadastro_Produtos!A:B,2,FALSE),"")</f>
        <v/>
      </c>
      <c r="F972" s="12" t="n"/>
      <c r="G972" s="13" t="n"/>
    </row>
    <row r="973">
      <c r="A973" s="12" t="n"/>
      <c r="D973">
        <f>IFERROR(VLOOKUP(C973,Cadastro_Produtos!A:B,2,FALSE),"")</f>
        <v/>
      </c>
      <c r="F973" s="12" t="n"/>
      <c r="G973" s="13" t="n"/>
    </row>
    <row r="974">
      <c r="A974" s="12" t="n"/>
      <c r="D974">
        <f>IFERROR(VLOOKUP(C974,Cadastro_Produtos!A:B,2,FALSE),"")</f>
        <v/>
      </c>
      <c r="F974" s="12" t="n"/>
      <c r="G974" s="13" t="n"/>
    </row>
    <row r="975">
      <c r="A975" s="12" t="n"/>
      <c r="D975">
        <f>IFERROR(VLOOKUP(C975,Cadastro_Produtos!A:B,2,FALSE),"")</f>
        <v/>
      </c>
      <c r="F975" s="12" t="n"/>
      <c r="G975" s="13" t="n"/>
    </row>
    <row r="976">
      <c r="A976" s="12" t="n"/>
      <c r="D976">
        <f>IFERROR(VLOOKUP(C976,Cadastro_Produtos!A:B,2,FALSE),"")</f>
        <v/>
      </c>
      <c r="F976" s="12" t="n"/>
      <c r="G976" s="13" t="n"/>
    </row>
    <row r="977">
      <c r="A977" s="12" t="n"/>
      <c r="D977">
        <f>IFERROR(VLOOKUP(C977,Cadastro_Produtos!A:B,2,FALSE),"")</f>
        <v/>
      </c>
      <c r="F977" s="12" t="n"/>
      <c r="G977" s="13" t="n"/>
    </row>
    <row r="978">
      <c r="A978" s="12" t="n"/>
      <c r="D978">
        <f>IFERROR(VLOOKUP(C978,Cadastro_Produtos!A:B,2,FALSE),"")</f>
        <v/>
      </c>
      <c r="F978" s="12" t="n"/>
      <c r="G978" s="13" t="n"/>
    </row>
    <row r="979">
      <c r="A979" s="12" t="n"/>
      <c r="D979">
        <f>IFERROR(VLOOKUP(C979,Cadastro_Produtos!A:B,2,FALSE),"")</f>
        <v/>
      </c>
      <c r="F979" s="12" t="n"/>
      <c r="G979" s="13" t="n"/>
    </row>
    <row r="980">
      <c r="A980" s="12" t="n"/>
      <c r="D980">
        <f>IFERROR(VLOOKUP(C980,Cadastro_Produtos!A:B,2,FALSE),"")</f>
        <v/>
      </c>
      <c r="F980" s="12" t="n"/>
      <c r="G980" s="13" t="n"/>
    </row>
    <row r="981">
      <c r="A981" s="12" t="n"/>
      <c r="D981">
        <f>IFERROR(VLOOKUP(C981,Cadastro_Produtos!A:B,2,FALSE),"")</f>
        <v/>
      </c>
      <c r="F981" s="12" t="n"/>
      <c r="G981" s="13" t="n"/>
    </row>
    <row r="982">
      <c r="A982" s="12" t="n"/>
      <c r="D982">
        <f>IFERROR(VLOOKUP(C982,Cadastro_Produtos!A:B,2,FALSE),"")</f>
        <v/>
      </c>
      <c r="F982" s="12" t="n"/>
      <c r="G982" s="13" t="n"/>
    </row>
    <row r="983">
      <c r="A983" s="12" t="n"/>
      <c r="D983">
        <f>IFERROR(VLOOKUP(C983,Cadastro_Produtos!A:B,2,FALSE),"")</f>
        <v/>
      </c>
      <c r="F983" s="12" t="n"/>
      <c r="G983" s="13" t="n"/>
    </row>
    <row r="984">
      <c r="A984" s="12" t="n"/>
      <c r="D984">
        <f>IFERROR(VLOOKUP(C984,Cadastro_Produtos!A:B,2,FALSE),"")</f>
        <v/>
      </c>
      <c r="F984" s="12" t="n"/>
      <c r="G984" s="13" t="n"/>
    </row>
    <row r="985">
      <c r="A985" s="12" t="n"/>
      <c r="D985">
        <f>IFERROR(VLOOKUP(C985,Cadastro_Produtos!A:B,2,FALSE),"")</f>
        <v/>
      </c>
      <c r="F985" s="12" t="n"/>
      <c r="G985" s="13" t="n"/>
    </row>
    <row r="986">
      <c r="A986" s="12" t="n"/>
      <c r="D986">
        <f>IFERROR(VLOOKUP(C986,Cadastro_Produtos!A:B,2,FALSE),"")</f>
        <v/>
      </c>
      <c r="F986" s="12" t="n"/>
      <c r="G986" s="13" t="n"/>
    </row>
    <row r="987">
      <c r="A987" s="12" t="n"/>
      <c r="D987">
        <f>IFERROR(VLOOKUP(C987,Cadastro_Produtos!A:B,2,FALSE),"")</f>
        <v/>
      </c>
      <c r="F987" s="12" t="n"/>
      <c r="G987" s="13" t="n"/>
    </row>
    <row r="988">
      <c r="A988" s="12" t="n"/>
      <c r="D988">
        <f>IFERROR(VLOOKUP(C988,Cadastro_Produtos!A:B,2,FALSE),"")</f>
        <v/>
      </c>
      <c r="F988" s="12" t="n"/>
      <c r="G988" s="13" t="n"/>
    </row>
    <row r="989">
      <c r="A989" s="12" t="n"/>
      <c r="D989">
        <f>IFERROR(VLOOKUP(C989,Cadastro_Produtos!A:B,2,FALSE),"")</f>
        <v/>
      </c>
      <c r="F989" s="12" t="n"/>
      <c r="G989" s="13" t="n"/>
    </row>
    <row r="990">
      <c r="A990" s="12" t="n"/>
      <c r="D990">
        <f>IFERROR(VLOOKUP(C990,Cadastro_Produtos!A:B,2,FALSE),"")</f>
        <v/>
      </c>
      <c r="F990" s="12" t="n"/>
      <c r="G990" s="13" t="n"/>
    </row>
    <row r="991">
      <c r="A991" s="12" t="n"/>
      <c r="D991">
        <f>IFERROR(VLOOKUP(C991,Cadastro_Produtos!A:B,2,FALSE),"")</f>
        <v/>
      </c>
      <c r="F991" s="12" t="n"/>
      <c r="G991" s="13" t="n"/>
    </row>
    <row r="992">
      <c r="A992" s="12" t="n"/>
      <c r="D992">
        <f>IFERROR(VLOOKUP(C992,Cadastro_Produtos!A:B,2,FALSE),"")</f>
        <v/>
      </c>
      <c r="F992" s="12" t="n"/>
      <c r="G992" s="13" t="n"/>
    </row>
    <row r="993">
      <c r="A993" s="12" t="n"/>
      <c r="D993">
        <f>IFERROR(VLOOKUP(C993,Cadastro_Produtos!A:B,2,FALSE),"")</f>
        <v/>
      </c>
      <c r="F993" s="12" t="n"/>
      <c r="G993" s="13" t="n"/>
    </row>
    <row r="994">
      <c r="A994" s="12" t="n"/>
      <c r="D994">
        <f>IFERROR(VLOOKUP(C994,Cadastro_Produtos!A:B,2,FALSE),"")</f>
        <v/>
      </c>
      <c r="F994" s="12" t="n"/>
      <c r="G994" s="13" t="n"/>
    </row>
    <row r="995">
      <c r="A995" s="12" t="n"/>
      <c r="D995">
        <f>IFERROR(VLOOKUP(C995,Cadastro_Produtos!A:B,2,FALSE),"")</f>
        <v/>
      </c>
      <c r="F995" s="12" t="n"/>
      <c r="G995" s="13" t="n"/>
    </row>
    <row r="996">
      <c r="A996" s="12" t="n"/>
      <c r="D996">
        <f>IFERROR(VLOOKUP(C996,Cadastro_Produtos!A:B,2,FALSE),"")</f>
        <v/>
      </c>
      <c r="F996" s="12" t="n"/>
      <c r="G996" s="13" t="n"/>
    </row>
    <row r="997">
      <c r="A997" s="12" t="n"/>
      <c r="D997">
        <f>IFERROR(VLOOKUP(C997,Cadastro_Produtos!A:B,2,FALSE),"")</f>
        <v/>
      </c>
      <c r="F997" s="12" t="n"/>
      <c r="G997" s="13" t="n"/>
    </row>
    <row r="998">
      <c r="A998" s="12" t="n"/>
      <c r="D998">
        <f>IFERROR(VLOOKUP(C998,Cadastro_Produtos!A:B,2,FALSE),"")</f>
        <v/>
      </c>
      <c r="F998" s="12" t="n"/>
      <c r="G998" s="13" t="n"/>
    </row>
    <row r="999">
      <c r="A999" s="12" t="n"/>
      <c r="D999">
        <f>IFERROR(VLOOKUP(C999,Cadastro_Produtos!A:B,2,FALSE),"")</f>
        <v/>
      </c>
      <c r="F999" s="12" t="n"/>
      <c r="G999" s="13" t="n"/>
    </row>
    <row r="1000">
      <c r="A1000" s="12" t="n"/>
      <c r="D1000">
        <f>IFERROR(VLOOKUP(C1000,Cadastro_Produtos!A:B,2,FALSE),"")</f>
        <v/>
      </c>
      <c r="F1000" s="12" t="n"/>
      <c r="G1000" s="13" t="n"/>
    </row>
    <row r="1001">
      <c r="A1001" s="12" t="n"/>
      <c r="D1001">
        <f>IFERROR(VLOOKUP(C1001,Cadastro_Produtos!A:B,2,FALSE),"")</f>
        <v/>
      </c>
      <c r="F1001" s="12" t="n"/>
      <c r="G1001" s="13" t="n"/>
    </row>
    <row r="1002">
      <c r="A1002" s="12" t="n"/>
      <c r="D1002">
        <f>IFERROR(VLOOKUP(C1002,Cadastro_Produtos!A:B,2,FALSE),"")</f>
        <v/>
      </c>
      <c r="F1002" s="12" t="n"/>
      <c r="G1002" s="13" t="n"/>
    </row>
    <row r="1003">
      <c r="A1003" s="12" t="n"/>
      <c r="D1003">
        <f>IFERROR(VLOOKUP(C1003,Cadastro_Produtos!A:B,2,FALSE),"")</f>
        <v/>
      </c>
      <c r="F1003" s="12" t="n"/>
      <c r="G1003" s="13" t="n"/>
    </row>
    <row r="1004">
      <c r="A1004" s="12" t="n"/>
      <c r="D1004">
        <f>IFERROR(VLOOKUP(C1004,Cadastro_Produtos!A:B,2,FALSE),"")</f>
        <v/>
      </c>
      <c r="F1004" s="12" t="n"/>
      <c r="G1004" s="13" t="n"/>
    </row>
    <row r="1005">
      <c r="A1005" s="12" t="n"/>
      <c r="D1005">
        <f>IFERROR(VLOOKUP(C1005,Cadastro_Produtos!A:B,2,FALSE),"")</f>
        <v/>
      </c>
      <c r="F1005" s="12" t="n"/>
      <c r="G1005" s="13" t="n"/>
    </row>
    <row r="1006">
      <c r="A1006" s="12" t="n"/>
      <c r="D1006">
        <f>IFERROR(VLOOKUP(C1006,Cadastro_Produtos!A:B,2,FALSE),"")</f>
        <v/>
      </c>
      <c r="F1006" s="12" t="n"/>
      <c r="G1006" s="13" t="n"/>
    </row>
    <row r="1007">
      <c r="A1007" s="12" t="n"/>
      <c r="D1007">
        <f>IFERROR(VLOOKUP(C1007,Cadastro_Produtos!A:B,2,FALSE),"")</f>
        <v/>
      </c>
      <c r="F1007" s="12" t="n"/>
      <c r="G1007" s="13" t="n"/>
    </row>
    <row r="1008">
      <c r="A1008" s="12" t="n"/>
      <c r="D1008">
        <f>IFERROR(VLOOKUP(C1008,Cadastro_Produtos!A:B,2,FALSE),"")</f>
        <v/>
      </c>
      <c r="F1008" s="12" t="n"/>
      <c r="G1008" s="13" t="n"/>
    </row>
    <row r="1009">
      <c r="A1009" s="12" t="n"/>
      <c r="D1009">
        <f>IFERROR(VLOOKUP(C1009,Cadastro_Produtos!A:B,2,FALSE),"")</f>
        <v/>
      </c>
      <c r="F1009" s="12" t="n"/>
      <c r="G1009" s="13" t="n"/>
    </row>
    <row r="1010">
      <c r="A1010" s="12" t="n"/>
      <c r="D1010">
        <f>IFERROR(VLOOKUP(C1010,Cadastro_Produtos!A:B,2,FALSE),"")</f>
        <v/>
      </c>
      <c r="F1010" s="12" t="n"/>
      <c r="G1010" s="13" t="n"/>
    </row>
    <row r="1011">
      <c r="A1011" s="12" t="n"/>
      <c r="D1011">
        <f>IFERROR(VLOOKUP(C1011,Cadastro_Produtos!A:B,2,FALSE),"")</f>
        <v/>
      </c>
      <c r="F1011" s="12" t="n"/>
      <c r="G1011" s="13" t="n"/>
    </row>
    <row r="1012">
      <c r="A1012" s="12" t="n"/>
      <c r="D1012">
        <f>IFERROR(VLOOKUP(C1012,Cadastro_Produtos!A:B,2,FALSE),"")</f>
        <v/>
      </c>
      <c r="F1012" s="12" t="n"/>
      <c r="G1012" s="13" t="n"/>
    </row>
    <row r="1013">
      <c r="A1013" s="12" t="n"/>
      <c r="D1013">
        <f>IFERROR(VLOOKUP(C1013,Cadastro_Produtos!A:B,2,FALSE),"")</f>
        <v/>
      </c>
      <c r="F1013" s="12" t="n"/>
      <c r="G1013" s="13" t="n"/>
    </row>
    <row r="1014">
      <c r="A1014" s="12" t="n"/>
      <c r="D1014">
        <f>IFERROR(VLOOKUP(C1014,Cadastro_Produtos!A:B,2,FALSE),"")</f>
        <v/>
      </c>
      <c r="F1014" s="12" t="n"/>
      <c r="G1014" s="13" t="n"/>
    </row>
    <row r="1015">
      <c r="A1015" s="12" t="n"/>
      <c r="D1015">
        <f>IFERROR(VLOOKUP(C1015,Cadastro_Produtos!A:B,2,FALSE),"")</f>
        <v/>
      </c>
      <c r="F1015" s="12" t="n"/>
      <c r="G1015" s="13" t="n"/>
    </row>
    <row r="1016">
      <c r="A1016" s="12" t="n"/>
      <c r="D1016">
        <f>IFERROR(VLOOKUP(C1016,Cadastro_Produtos!A:B,2,FALSE),"")</f>
        <v/>
      </c>
      <c r="F1016" s="12" t="n"/>
      <c r="G1016" s="13" t="n"/>
    </row>
    <row r="1017">
      <c r="A1017" s="12" t="n"/>
      <c r="D1017">
        <f>IFERROR(VLOOKUP(C1017,Cadastro_Produtos!A:B,2,FALSE),"")</f>
        <v/>
      </c>
      <c r="F1017" s="12" t="n"/>
      <c r="G1017" s="13" t="n"/>
    </row>
    <row r="1018">
      <c r="A1018" s="12" t="n"/>
      <c r="D1018">
        <f>IFERROR(VLOOKUP(C1018,Cadastro_Produtos!A:B,2,FALSE),"")</f>
        <v/>
      </c>
      <c r="F1018" s="12" t="n"/>
      <c r="G1018" s="13" t="n"/>
    </row>
    <row r="1019">
      <c r="A1019" s="12" t="n"/>
      <c r="D1019">
        <f>IFERROR(VLOOKUP(C1019,Cadastro_Produtos!A:B,2,FALSE),"")</f>
        <v/>
      </c>
      <c r="F1019" s="12" t="n"/>
      <c r="G1019" s="13" t="n"/>
    </row>
    <row r="1020">
      <c r="A1020" s="12" t="n"/>
      <c r="D1020">
        <f>IFERROR(VLOOKUP(C1020,Cadastro_Produtos!A:B,2,FALSE),"")</f>
        <v/>
      </c>
      <c r="F1020" s="12" t="n"/>
      <c r="G1020" s="13" t="n"/>
    </row>
    <row r="1021">
      <c r="A1021" s="12" t="n"/>
      <c r="D1021">
        <f>IFERROR(VLOOKUP(C1021,Cadastro_Produtos!A:B,2,FALSE),"")</f>
        <v/>
      </c>
      <c r="F1021" s="12" t="n"/>
      <c r="G1021" s="13" t="n"/>
    </row>
    <row r="1022">
      <c r="A1022" s="12" t="n"/>
      <c r="D1022">
        <f>IFERROR(VLOOKUP(C1022,Cadastro_Produtos!A:B,2,FALSE),"")</f>
        <v/>
      </c>
      <c r="F1022" s="12" t="n"/>
      <c r="G1022" s="13" t="n"/>
    </row>
    <row r="1023">
      <c r="A1023" s="12" t="n"/>
      <c r="D1023">
        <f>IFERROR(VLOOKUP(C1023,Cadastro_Produtos!A:B,2,FALSE),"")</f>
        <v/>
      </c>
      <c r="F1023" s="12" t="n"/>
      <c r="G1023" s="13" t="n"/>
    </row>
    <row r="1024">
      <c r="A1024" s="12" t="n"/>
      <c r="D1024">
        <f>IFERROR(VLOOKUP(C1024,Cadastro_Produtos!A:B,2,FALSE),"")</f>
        <v/>
      </c>
      <c r="F1024" s="12" t="n"/>
      <c r="G1024" s="13" t="n"/>
    </row>
    <row r="1025">
      <c r="A1025" s="12" t="n"/>
      <c r="D1025">
        <f>IFERROR(VLOOKUP(C1025,Cadastro_Produtos!A:B,2,FALSE),"")</f>
        <v/>
      </c>
      <c r="F1025" s="12" t="n"/>
      <c r="G1025" s="13" t="n"/>
    </row>
    <row r="1026">
      <c r="A1026" s="12" t="n"/>
      <c r="D1026">
        <f>IFERROR(VLOOKUP(C1026,Cadastro_Produtos!A:B,2,FALSE),"")</f>
        <v/>
      </c>
      <c r="F1026" s="12" t="n"/>
      <c r="G1026" s="13" t="n"/>
    </row>
    <row r="1027">
      <c r="A1027" s="12" t="n"/>
      <c r="D1027">
        <f>IFERROR(VLOOKUP(C1027,Cadastro_Produtos!A:B,2,FALSE),"")</f>
        <v/>
      </c>
      <c r="F1027" s="12" t="n"/>
      <c r="G1027" s="13" t="n"/>
    </row>
    <row r="1028">
      <c r="A1028" s="12" t="n"/>
      <c r="D1028">
        <f>IFERROR(VLOOKUP(C1028,Cadastro_Produtos!A:B,2,FALSE),"")</f>
        <v/>
      </c>
      <c r="F1028" s="12" t="n"/>
      <c r="G1028" s="13" t="n"/>
    </row>
    <row r="1029">
      <c r="A1029" s="12" t="n"/>
      <c r="D1029">
        <f>IFERROR(VLOOKUP(C1029,Cadastro_Produtos!A:B,2,FALSE),"")</f>
        <v/>
      </c>
      <c r="F1029" s="12" t="n"/>
      <c r="G1029" s="13" t="n"/>
    </row>
    <row r="1030">
      <c r="A1030" s="12" t="n"/>
      <c r="D1030">
        <f>IFERROR(VLOOKUP(C1030,Cadastro_Produtos!A:B,2,FALSE),"")</f>
        <v/>
      </c>
      <c r="F1030" s="12" t="n"/>
      <c r="G1030" s="13" t="n"/>
    </row>
    <row r="1031">
      <c r="A1031" s="12" t="n"/>
      <c r="D1031">
        <f>IFERROR(VLOOKUP(C1031,Cadastro_Produtos!A:B,2,FALSE),"")</f>
        <v/>
      </c>
      <c r="F1031" s="12" t="n"/>
      <c r="G1031" s="13" t="n"/>
    </row>
    <row r="1032">
      <c r="A1032" s="12" t="n"/>
      <c r="D1032">
        <f>IFERROR(VLOOKUP(C1032,Cadastro_Produtos!A:B,2,FALSE),"")</f>
        <v/>
      </c>
      <c r="F1032" s="12" t="n"/>
      <c r="G1032" s="13" t="n"/>
    </row>
    <row r="1033">
      <c r="A1033" s="12" t="n"/>
      <c r="D1033">
        <f>IFERROR(VLOOKUP(C1033,Cadastro_Produtos!A:B,2,FALSE),"")</f>
        <v/>
      </c>
      <c r="F1033" s="12" t="n"/>
      <c r="G1033" s="13" t="n"/>
    </row>
    <row r="1034">
      <c r="A1034" s="12" t="n"/>
      <c r="D1034">
        <f>IFERROR(VLOOKUP(C1034,Cadastro_Produtos!A:B,2,FALSE),"")</f>
        <v/>
      </c>
      <c r="F1034" s="12" t="n"/>
      <c r="G1034" s="13" t="n"/>
    </row>
    <row r="1035">
      <c r="A1035" s="12" t="n"/>
      <c r="D1035">
        <f>IFERROR(VLOOKUP(C1035,Cadastro_Produtos!A:B,2,FALSE),"")</f>
        <v/>
      </c>
      <c r="F1035" s="12" t="n"/>
      <c r="G1035" s="13" t="n"/>
    </row>
    <row r="1036">
      <c r="A1036" s="12" t="n"/>
      <c r="D1036">
        <f>IFERROR(VLOOKUP(C1036,Cadastro_Produtos!A:B,2,FALSE),"")</f>
        <v/>
      </c>
      <c r="F1036" s="12" t="n"/>
      <c r="G1036" s="13" t="n"/>
    </row>
    <row r="1037">
      <c r="A1037" s="12" t="n"/>
      <c r="D1037">
        <f>IFERROR(VLOOKUP(C1037,Cadastro_Produtos!A:B,2,FALSE),"")</f>
        <v/>
      </c>
      <c r="F1037" s="12" t="n"/>
      <c r="G1037" s="13" t="n"/>
    </row>
    <row r="1038">
      <c r="A1038" s="12" t="n"/>
      <c r="D1038">
        <f>IFERROR(VLOOKUP(C1038,Cadastro_Produtos!A:B,2,FALSE),"")</f>
        <v/>
      </c>
      <c r="F1038" s="12" t="n"/>
      <c r="G1038" s="13" t="n"/>
    </row>
    <row r="1039">
      <c r="A1039" s="12" t="n"/>
      <c r="D1039">
        <f>IFERROR(VLOOKUP(C1039,Cadastro_Produtos!A:B,2,FALSE),"")</f>
        <v/>
      </c>
      <c r="F1039" s="12" t="n"/>
      <c r="G1039" s="13" t="n"/>
    </row>
    <row r="1040">
      <c r="A1040" s="12" t="n"/>
      <c r="D1040">
        <f>IFERROR(VLOOKUP(C1040,Cadastro_Produtos!A:B,2,FALSE),"")</f>
        <v/>
      </c>
      <c r="F1040" s="12" t="n"/>
      <c r="G1040" s="13" t="n"/>
    </row>
    <row r="1041">
      <c r="A1041" s="12" t="n"/>
      <c r="D1041">
        <f>IFERROR(VLOOKUP(C1041,Cadastro_Produtos!A:B,2,FALSE),"")</f>
        <v/>
      </c>
      <c r="F1041" s="12" t="n"/>
      <c r="G1041" s="13" t="n"/>
    </row>
    <row r="1042">
      <c r="A1042" s="12" t="n"/>
      <c r="D1042">
        <f>IFERROR(VLOOKUP(C1042,Cadastro_Produtos!A:B,2,FALSE),"")</f>
        <v/>
      </c>
      <c r="F1042" s="12" t="n"/>
      <c r="G1042" s="13" t="n"/>
    </row>
    <row r="1043">
      <c r="A1043" s="12" t="n"/>
      <c r="D1043">
        <f>IFERROR(VLOOKUP(C1043,Cadastro_Produtos!A:B,2,FALSE),"")</f>
        <v/>
      </c>
      <c r="F1043" s="12" t="n"/>
      <c r="G1043" s="13" t="n"/>
    </row>
    <row r="1044">
      <c r="A1044" s="12" t="n"/>
      <c r="D1044">
        <f>IFERROR(VLOOKUP(C1044,Cadastro_Produtos!A:B,2,FALSE),"")</f>
        <v/>
      </c>
      <c r="F1044" s="12" t="n"/>
      <c r="G1044" s="13" t="n"/>
    </row>
    <row r="1045">
      <c r="A1045" s="12" t="n"/>
      <c r="D1045">
        <f>IFERROR(VLOOKUP(C1045,Cadastro_Produtos!A:B,2,FALSE),"")</f>
        <v/>
      </c>
      <c r="F1045" s="12" t="n"/>
      <c r="G1045" s="13" t="n"/>
    </row>
    <row r="1046">
      <c r="A1046" s="12" t="n"/>
      <c r="D1046">
        <f>IFERROR(VLOOKUP(C1046,Cadastro_Produtos!A:B,2,FALSE),"")</f>
        <v/>
      </c>
      <c r="F1046" s="12" t="n"/>
      <c r="G1046" s="13" t="n"/>
    </row>
    <row r="1047">
      <c r="A1047" s="12" t="n"/>
      <c r="D1047">
        <f>IFERROR(VLOOKUP(C1047,Cadastro_Produtos!A:B,2,FALSE),"")</f>
        <v/>
      </c>
      <c r="F1047" s="12" t="n"/>
      <c r="G1047" s="13" t="n"/>
    </row>
    <row r="1048">
      <c r="A1048" s="12" t="n"/>
      <c r="D1048">
        <f>IFERROR(VLOOKUP(C1048,Cadastro_Produtos!A:B,2,FALSE),"")</f>
        <v/>
      </c>
      <c r="F1048" s="12" t="n"/>
      <c r="G1048" s="13" t="n"/>
    </row>
    <row r="1049">
      <c r="A1049" s="12" t="n"/>
      <c r="D1049">
        <f>IFERROR(VLOOKUP(C1049,Cadastro_Produtos!A:B,2,FALSE),"")</f>
        <v/>
      </c>
      <c r="F1049" s="12" t="n"/>
      <c r="G1049" s="13" t="n"/>
    </row>
    <row r="1050">
      <c r="A1050" s="12" t="n"/>
      <c r="D1050">
        <f>IFERROR(VLOOKUP(C1050,Cadastro_Produtos!A:B,2,FALSE),"")</f>
        <v/>
      </c>
      <c r="F1050" s="12" t="n"/>
      <c r="G1050" s="13" t="n"/>
    </row>
    <row r="1051">
      <c r="A1051" s="12" t="n"/>
      <c r="D1051">
        <f>IFERROR(VLOOKUP(C1051,Cadastro_Produtos!A:B,2,FALSE),"")</f>
        <v/>
      </c>
      <c r="F1051" s="12" t="n"/>
      <c r="G1051" s="13" t="n"/>
    </row>
    <row r="1052">
      <c r="A1052" s="12" t="n"/>
      <c r="D1052">
        <f>IFERROR(VLOOKUP(C1052,Cadastro_Produtos!A:B,2,FALSE),"")</f>
        <v/>
      </c>
      <c r="F1052" s="12" t="n"/>
      <c r="G1052" s="13" t="n"/>
    </row>
    <row r="1053">
      <c r="A1053" s="12" t="n"/>
      <c r="D1053">
        <f>IFERROR(VLOOKUP(C1053,Cadastro_Produtos!A:B,2,FALSE),"")</f>
        <v/>
      </c>
      <c r="F1053" s="12" t="n"/>
      <c r="G1053" s="13" t="n"/>
    </row>
    <row r="1054">
      <c r="A1054" s="12" t="n"/>
      <c r="D1054">
        <f>IFERROR(VLOOKUP(C1054,Cadastro_Produtos!A:B,2,FALSE),"")</f>
        <v/>
      </c>
      <c r="F1054" s="12" t="n"/>
      <c r="G1054" s="13" t="n"/>
    </row>
    <row r="1055">
      <c r="A1055" s="12" t="n"/>
      <c r="D1055">
        <f>IFERROR(VLOOKUP(C1055,Cadastro_Produtos!A:B,2,FALSE),"")</f>
        <v/>
      </c>
      <c r="F1055" s="12" t="n"/>
      <c r="G1055" s="13" t="n"/>
    </row>
    <row r="1056">
      <c r="A1056" s="12" t="n"/>
      <c r="D1056">
        <f>IFERROR(VLOOKUP(C1056,Cadastro_Produtos!A:B,2,FALSE),"")</f>
        <v/>
      </c>
      <c r="F1056" s="12" t="n"/>
      <c r="G1056" s="13" t="n"/>
    </row>
    <row r="1057">
      <c r="A1057" s="12" t="n"/>
      <c r="D1057">
        <f>IFERROR(VLOOKUP(C1057,Cadastro_Produtos!A:B,2,FALSE),"")</f>
        <v/>
      </c>
      <c r="F1057" s="12" t="n"/>
      <c r="G1057" s="13" t="n"/>
    </row>
    <row r="1058">
      <c r="A1058" s="12" t="n"/>
      <c r="D1058">
        <f>IFERROR(VLOOKUP(C1058,Cadastro_Produtos!A:B,2,FALSE),"")</f>
        <v/>
      </c>
      <c r="F1058" s="12" t="n"/>
      <c r="G1058" s="13" t="n"/>
    </row>
    <row r="1059">
      <c r="A1059" s="12" t="n"/>
      <c r="D1059">
        <f>IFERROR(VLOOKUP(C1059,Cadastro_Produtos!A:B,2,FALSE),"")</f>
        <v/>
      </c>
      <c r="F1059" s="12" t="n"/>
      <c r="G1059" s="13" t="n"/>
    </row>
    <row r="1060">
      <c r="A1060" s="12" t="n"/>
      <c r="D1060">
        <f>IFERROR(VLOOKUP(C1060,Cadastro_Produtos!A:B,2,FALSE),"")</f>
        <v/>
      </c>
      <c r="F1060" s="12" t="n"/>
      <c r="G1060" s="13" t="n"/>
    </row>
    <row r="1061">
      <c r="A1061" s="12" t="n"/>
      <c r="D1061">
        <f>IFERROR(VLOOKUP(C1061,Cadastro_Produtos!A:B,2,FALSE),"")</f>
        <v/>
      </c>
      <c r="F1061" s="12" t="n"/>
      <c r="G1061" s="13" t="n"/>
    </row>
    <row r="1062">
      <c r="A1062" s="12" t="n"/>
      <c r="D1062">
        <f>IFERROR(VLOOKUP(C1062,Cadastro_Produtos!A:B,2,FALSE),"")</f>
        <v/>
      </c>
      <c r="F1062" s="12" t="n"/>
      <c r="G1062" s="13" t="n"/>
    </row>
    <row r="1063">
      <c r="A1063" s="12" t="n"/>
      <c r="D1063">
        <f>IFERROR(VLOOKUP(C1063,Cadastro_Produtos!A:B,2,FALSE),"")</f>
        <v/>
      </c>
      <c r="F1063" s="12" t="n"/>
      <c r="G1063" s="13" t="n"/>
    </row>
    <row r="1064">
      <c r="A1064" s="12" t="n"/>
      <c r="D1064">
        <f>IFERROR(VLOOKUP(C1064,Cadastro_Produtos!A:B,2,FALSE),"")</f>
        <v/>
      </c>
      <c r="F1064" s="12" t="n"/>
      <c r="G1064" s="13" t="n"/>
    </row>
    <row r="1065">
      <c r="A1065" s="12" t="n"/>
      <c r="D1065">
        <f>IFERROR(VLOOKUP(C1065,Cadastro_Produtos!A:B,2,FALSE),"")</f>
        <v/>
      </c>
      <c r="F1065" s="12" t="n"/>
      <c r="G1065" s="13" t="n"/>
    </row>
    <row r="1066">
      <c r="A1066" s="12" t="n"/>
      <c r="D1066">
        <f>IFERROR(VLOOKUP(C1066,Cadastro_Produtos!A:B,2,FALSE),"")</f>
        <v/>
      </c>
      <c r="F1066" s="12" t="n"/>
      <c r="G1066" s="13" t="n"/>
    </row>
    <row r="1067">
      <c r="A1067" s="12" t="n"/>
      <c r="D1067">
        <f>IFERROR(VLOOKUP(C1067,Cadastro_Produtos!A:B,2,FALSE),"")</f>
        <v/>
      </c>
      <c r="F1067" s="12" t="n"/>
      <c r="G1067" s="13" t="n"/>
    </row>
    <row r="1068">
      <c r="A1068" s="12" t="n"/>
      <c r="D1068">
        <f>IFERROR(VLOOKUP(C1068,Cadastro_Produtos!A:B,2,FALSE),"")</f>
        <v/>
      </c>
      <c r="F1068" s="12" t="n"/>
      <c r="G1068" s="13" t="n"/>
    </row>
    <row r="1069">
      <c r="A1069" s="12" t="n"/>
      <c r="D1069">
        <f>IFERROR(VLOOKUP(C1069,Cadastro_Produtos!A:B,2,FALSE),"")</f>
        <v/>
      </c>
      <c r="F1069" s="12" t="n"/>
      <c r="G1069" s="13" t="n"/>
    </row>
    <row r="1070">
      <c r="A1070" s="12" t="n"/>
      <c r="D1070">
        <f>IFERROR(VLOOKUP(C1070,Cadastro_Produtos!A:B,2,FALSE),"")</f>
        <v/>
      </c>
      <c r="F1070" s="12" t="n"/>
      <c r="G1070" s="13" t="n"/>
    </row>
    <row r="1071">
      <c r="A1071" s="12" t="n"/>
      <c r="D1071">
        <f>IFERROR(VLOOKUP(C1071,Cadastro_Produtos!A:B,2,FALSE),"")</f>
        <v/>
      </c>
      <c r="F1071" s="12" t="n"/>
      <c r="G1071" s="13" t="n"/>
    </row>
    <row r="1072">
      <c r="A1072" s="12" t="n"/>
      <c r="D1072">
        <f>IFERROR(VLOOKUP(C1072,Cadastro_Produtos!A:B,2,FALSE),"")</f>
        <v/>
      </c>
      <c r="F1072" s="12" t="n"/>
      <c r="G1072" s="13" t="n"/>
    </row>
    <row r="1073">
      <c r="A1073" s="12" t="n"/>
      <c r="D1073">
        <f>IFERROR(VLOOKUP(C1073,Cadastro_Produtos!A:B,2,FALSE),"")</f>
        <v/>
      </c>
      <c r="F1073" s="12" t="n"/>
      <c r="G1073" s="13" t="n"/>
    </row>
    <row r="1074">
      <c r="A1074" s="12" t="n"/>
      <c r="D1074">
        <f>IFERROR(VLOOKUP(C1074,Cadastro_Produtos!A:B,2,FALSE),"")</f>
        <v/>
      </c>
      <c r="F1074" s="12" t="n"/>
      <c r="G1074" s="13" t="n"/>
    </row>
    <row r="1075">
      <c r="A1075" s="12" t="n"/>
      <c r="D1075">
        <f>IFERROR(VLOOKUP(C1075,Cadastro_Produtos!A:B,2,FALSE),"")</f>
        <v/>
      </c>
      <c r="F1075" s="12" t="n"/>
      <c r="G1075" s="13" t="n"/>
    </row>
    <row r="1076">
      <c r="A1076" s="12" t="n"/>
      <c r="D1076">
        <f>IFERROR(VLOOKUP(C1076,Cadastro_Produtos!A:B,2,FALSE),"")</f>
        <v/>
      </c>
      <c r="F1076" s="12" t="n"/>
      <c r="G1076" s="13" t="n"/>
    </row>
    <row r="1077">
      <c r="A1077" s="12" t="n"/>
      <c r="D1077">
        <f>IFERROR(VLOOKUP(C1077,Cadastro_Produtos!A:B,2,FALSE),"")</f>
        <v/>
      </c>
      <c r="F1077" s="12" t="n"/>
      <c r="G1077" s="13" t="n"/>
    </row>
    <row r="1078">
      <c r="A1078" s="12" t="n"/>
      <c r="D1078">
        <f>IFERROR(VLOOKUP(C1078,Cadastro_Produtos!A:B,2,FALSE),"")</f>
        <v/>
      </c>
      <c r="F1078" s="12" t="n"/>
      <c r="G1078" s="13" t="n"/>
    </row>
    <row r="1079">
      <c r="A1079" s="12" t="n"/>
      <c r="D1079">
        <f>IFERROR(VLOOKUP(C1079,Cadastro_Produtos!A:B,2,FALSE),"")</f>
        <v/>
      </c>
      <c r="F1079" s="12" t="n"/>
      <c r="G1079" s="13" t="n"/>
    </row>
    <row r="1080">
      <c r="A1080" s="12" t="n"/>
      <c r="D1080">
        <f>IFERROR(VLOOKUP(C1080,Cadastro_Produtos!A:B,2,FALSE),"")</f>
        <v/>
      </c>
      <c r="F1080" s="12" t="n"/>
      <c r="G1080" s="13" t="n"/>
    </row>
    <row r="1081">
      <c r="A1081" s="12" t="n"/>
      <c r="D1081">
        <f>IFERROR(VLOOKUP(C1081,Cadastro_Produtos!A:B,2,FALSE),"")</f>
        <v/>
      </c>
      <c r="F1081" s="12" t="n"/>
      <c r="G1081" s="13" t="n"/>
    </row>
    <row r="1082">
      <c r="A1082" s="12" t="n"/>
      <c r="D1082">
        <f>IFERROR(VLOOKUP(C1082,Cadastro_Produtos!A:B,2,FALSE),"")</f>
        <v/>
      </c>
      <c r="F1082" s="12" t="n"/>
      <c r="G1082" s="13" t="n"/>
    </row>
    <row r="1083">
      <c r="A1083" s="12" t="n"/>
      <c r="D1083">
        <f>IFERROR(VLOOKUP(C1083,Cadastro_Produtos!A:B,2,FALSE),"")</f>
        <v/>
      </c>
      <c r="F1083" s="12" t="n"/>
      <c r="G1083" s="13" t="n"/>
    </row>
    <row r="1084">
      <c r="A1084" s="12" t="n"/>
      <c r="D1084">
        <f>IFERROR(VLOOKUP(C1084,Cadastro_Produtos!A:B,2,FALSE),"")</f>
        <v/>
      </c>
      <c r="F1084" s="12" t="n"/>
      <c r="G1084" s="13" t="n"/>
    </row>
    <row r="1085">
      <c r="A1085" s="12" t="n"/>
      <c r="D1085">
        <f>IFERROR(VLOOKUP(C1085,Cadastro_Produtos!A:B,2,FALSE),"")</f>
        <v/>
      </c>
      <c r="F1085" s="12" t="n"/>
      <c r="G1085" s="13" t="n"/>
    </row>
    <row r="1086">
      <c r="A1086" s="12" t="n"/>
      <c r="D1086">
        <f>IFERROR(VLOOKUP(C1086,Cadastro_Produtos!A:B,2,FALSE),"")</f>
        <v/>
      </c>
      <c r="F1086" s="12" t="n"/>
      <c r="G1086" s="13" t="n"/>
    </row>
    <row r="1087">
      <c r="A1087" s="12" t="n"/>
      <c r="D1087">
        <f>IFERROR(VLOOKUP(C1087,Cadastro_Produtos!A:B,2,FALSE),"")</f>
        <v/>
      </c>
      <c r="F1087" s="12" t="n"/>
      <c r="G1087" s="13" t="n"/>
    </row>
    <row r="1088">
      <c r="A1088" s="12" t="n"/>
      <c r="D1088">
        <f>IFERROR(VLOOKUP(C1088,Cadastro_Produtos!A:B,2,FALSE),"")</f>
        <v/>
      </c>
      <c r="F1088" s="12" t="n"/>
      <c r="G1088" s="13" t="n"/>
    </row>
    <row r="1089">
      <c r="A1089" s="12" t="n"/>
      <c r="D1089">
        <f>IFERROR(VLOOKUP(C1089,Cadastro_Produtos!A:B,2,FALSE),"")</f>
        <v/>
      </c>
      <c r="F1089" s="12" t="n"/>
      <c r="G1089" s="13" t="n"/>
    </row>
    <row r="1090">
      <c r="A1090" s="12" t="n"/>
      <c r="D1090">
        <f>IFERROR(VLOOKUP(C1090,Cadastro_Produtos!A:B,2,FALSE),"")</f>
        <v/>
      </c>
      <c r="F1090" s="12" t="n"/>
      <c r="G1090" s="13" t="n"/>
    </row>
    <row r="1091">
      <c r="A1091" s="12" t="n"/>
      <c r="D1091">
        <f>IFERROR(VLOOKUP(C1091,Cadastro_Produtos!A:B,2,FALSE),"")</f>
        <v/>
      </c>
      <c r="F1091" s="12" t="n"/>
      <c r="G1091" s="13" t="n"/>
    </row>
    <row r="1092">
      <c r="A1092" s="12" t="n"/>
      <c r="D1092">
        <f>IFERROR(VLOOKUP(C1092,Cadastro_Produtos!A:B,2,FALSE),"")</f>
        <v/>
      </c>
      <c r="F1092" s="12" t="n"/>
      <c r="G1092" s="13" t="n"/>
    </row>
    <row r="1093">
      <c r="A1093" s="12" t="n"/>
      <c r="D1093">
        <f>IFERROR(VLOOKUP(C1093,Cadastro_Produtos!A:B,2,FALSE),"")</f>
        <v/>
      </c>
      <c r="F1093" s="12" t="n"/>
      <c r="G1093" s="13" t="n"/>
    </row>
    <row r="1094">
      <c r="A1094" s="12" t="n"/>
      <c r="D1094">
        <f>IFERROR(VLOOKUP(C1094,Cadastro_Produtos!A:B,2,FALSE),"")</f>
        <v/>
      </c>
      <c r="F1094" s="12" t="n"/>
      <c r="G1094" s="13" t="n"/>
    </row>
    <row r="1095">
      <c r="A1095" s="12" t="n"/>
      <c r="D1095">
        <f>IFERROR(VLOOKUP(C1095,Cadastro_Produtos!A:B,2,FALSE),"")</f>
        <v/>
      </c>
      <c r="F1095" s="12" t="n"/>
      <c r="G1095" s="13" t="n"/>
    </row>
    <row r="1096">
      <c r="A1096" s="12" t="n"/>
      <c r="D1096">
        <f>IFERROR(VLOOKUP(C1096,Cadastro_Produtos!A:B,2,FALSE),"")</f>
        <v/>
      </c>
      <c r="F1096" s="12" t="n"/>
      <c r="G1096" s="13" t="n"/>
    </row>
    <row r="1097">
      <c r="A1097" s="12" t="n"/>
      <c r="D1097">
        <f>IFERROR(VLOOKUP(C1097,Cadastro_Produtos!A:B,2,FALSE),"")</f>
        <v/>
      </c>
      <c r="F1097" s="12" t="n"/>
      <c r="G1097" s="13" t="n"/>
    </row>
    <row r="1098">
      <c r="A1098" s="12" t="n"/>
      <c r="D1098">
        <f>IFERROR(VLOOKUP(C1098,Cadastro_Produtos!A:B,2,FALSE),"")</f>
        <v/>
      </c>
      <c r="F1098" s="12" t="n"/>
      <c r="G1098" s="13" t="n"/>
    </row>
    <row r="1099">
      <c r="A1099" s="12" t="n"/>
      <c r="D1099">
        <f>IFERROR(VLOOKUP(C1099,Cadastro_Produtos!A:B,2,FALSE),"")</f>
        <v/>
      </c>
      <c r="F1099" s="12" t="n"/>
      <c r="G1099" s="13" t="n"/>
    </row>
    <row r="1100">
      <c r="A1100" s="12" t="n"/>
      <c r="D1100">
        <f>IFERROR(VLOOKUP(C1100,Cadastro_Produtos!A:B,2,FALSE),"")</f>
        <v/>
      </c>
      <c r="F1100" s="12" t="n"/>
      <c r="G1100" s="13" t="n"/>
    </row>
    <row r="1101">
      <c r="A1101" s="12" t="n"/>
      <c r="D1101">
        <f>IFERROR(VLOOKUP(C1101,Cadastro_Produtos!A:B,2,FALSE),"")</f>
        <v/>
      </c>
      <c r="F1101" s="12" t="n"/>
      <c r="G1101" s="13" t="n"/>
    </row>
    <row r="1102">
      <c r="A1102" s="12" t="n"/>
      <c r="D1102">
        <f>IFERROR(VLOOKUP(C1102,Cadastro_Produtos!A:B,2,FALSE),"")</f>
        <v/>
      </c>
      <c r="F1102" s="12" t="n"/>
      <c r="G1102" s="13" t="n"/>
    </row>
    <row r="1103">
      <c r="A1103" s="12" t="n"/>
      <c r="D1103">
        <f>IFERROR(VLOOKUP(C1103,Cadastro_Produtos!A:B,2,FALSE),"")</f>
        <v/>
      </c>
      <c r="F1103" s="12" t="n"/>
      <c r="G1103" s="13" t="n"/>
    </row>
    <row r="1104">
      <c r="A1104" s="12" t="n"/>
      <c r="D1104">
        <f>IFERROR(VLOOKUP(C1104,Cadastro_Produtos!A:B,2,FALSE),"")</f>
        <v/>
      </c>
      <c r="F1104" s="12" t="n"/>
      <c r="G1104" s="13" t="n"/>
    </row>
    <row r="1105">
      <c r="A1105" s="12" t="n"/>
      <c r="D1105">
        <f>IFERROR(VLOOKUP(C1105,Cadastro_Produtos!A:B,2,FALSE),"")</f>
        <v/>
      </c>
      <c r="F1105" s="12" t="n"/>
      <c r="G1105" s="13" t="n"/>
    </row>
    <row r="1106">
      <c r="A1106" s="12" t="n"/>
      <c r="D1106">
        <f>IFERROR(VLOOKUP(C1106,Cadastro_Produtos!A:B,2,FALSE),"")</f>
        <v/>
      </c>
      <c r="F1106" s="12" t="n"/>
      <c r="G1106" s="13" t="n"/>
    </row>
    <row r="1107">
      <c r="A1107" s="12" t="n"/>
      <c r="D1107">
        <f>IFERROR(VLOOKUP(C1107,Cadastro_Produtos!A:B,2,FALSE),"")</f>
        <v/>
      </c>
      <c r="F1107" s="12" t="n"/>
      <c r="G1107" s="13" t="n"/>
    </row>
    <row r="1108">
      <c r="A1108" s="12" t="n"/>
      <c r="D1108">
        <f>IFERROR(VLOOKUP(C1108,Cadastro_Produtos!A:B,2,FALSE),"")</f>
        <v/>
      </c>
      <c r="F1108" s="12" t="n"/>
      <c r="G1108" s="13" t="n"/>
    </row>
    <row r="1109">
      <c r="A1109" s="12" t="n"/>
      <c r="D1109">
        <f>IFERROR(VLOOKUP(C1109,Cadastro_Produtos!A:B,2,FALSE),"")</f>
        <v/>
      </c>
      <c r="F1109" s="12" t="n"/>
      <c r="G1109" s="13" t="n"/>
    </row>
    <row r="1110">
      <c r="A1110" s="12" t="n"/>
      <c r="D1110">
        <f>IFERROR(VLOOKUP(C1110,Cadastro_Produtos!A:B,2,FALSE),"")</f>
        <v/>
      </c>
      <c r="F1110" s="12" t="n"/>
      <c r="G1110" s="13" t="n"/>
    </row>
    <row r="1111">
      <c r="A1111" s="12" t="n"/>
      <c r="D1111">
        <f>IFERROR(VLOOKUP(C1111,Cadastro_Produtos!A:B,2,FALSE),"")</f>
        <v/>
      </c>
      <c r="F1111" s="12" t="n"/>
      <c r="G1111" s="13" t="n"/>
    </row>
    <row r="1112">
      <c r="A1112" s="12" t="n"/>
      <c r="D1112">
        <f>IFERROR(VLOOKUP(C1112,Cadastro_Produtos!A:B,2,FALSE),"")</f>
        <v/>
      </c>
      <c r="F1112" s="12" t="n"/>
      <c r="G1112" s="13" t="n"/>
    </row>
    <row r="1113">
      <c r="A1113" s="12" t="n"/>
      <c r="D1113">
        <f>IFERROR(VLOOKUP(C1113,Cadastro_Produtos!A:B,2,FALSE),"")</f>
        <v/>
      </c>
      <c r="F1113" s="12" t="n"/>
      <c r="G1113" s="13" t="n"/>
    </row>
    <row r="1114">
      <c r="A1114" s="12" t="n"/>
      <c r="D1114">
        <f>IFERROR(VLOOKUP(C1114,Cadastro_Produtos!A:B,2,FALSE),"")</f>
        <v/>
      </c>
      <c r="F1114" s="12" t="n"/>
      <c r="G1114" s="13" t="n"/>
    </row>
    <row r="1115">
      <c r="A1115" s="12" t="n"/>
      <c r="D1115">
        <f>IFERROR(VLOOKUP(C1115,Cadastro_Produtos!A:B,2,FALSE),"")</f>
        <v/>
      </c>
      <c r="F1115" s="12" t="n"/>
      <c r="G1115" s="13" t="n"/>
    </row>
    <row r="1116">
      <c r="A1116" s="12" t="n"/>
      <c r="D1116">
        <f>IFERROR(VLOOKUP(C1116,Cadastro_Produtos!A:B,2,FALSE),"")</f>
        <v/>
      </c>
      <c r="F1116" s="12" t="n"/>
      <c r="G1116" s="13" t="n"/>
    </row>
    <row r="1117">
      <c r="A1117" s="12" t="n"/>
      <c r="D1117">
        <f>IFERROR(VLOOKUP(C1117,Cadastro_Produtos!A:B,2,FALSE),"")</f>
        <v/>
      </c>
      <c r="F1117" s="12" t="n"/>
      <c r="G1117" s="13" t="n"/>
    </row>
    <row r="1118">
      <c r="A1118" s="12" t="n"/>
      <c r="D1118">
        <f>IFERROR(VLOOKUP(C1118,Cadastro_Produtos!A:B,2,FALSE),"")</f>
        <v/>
      </c>
      <c r="F1118" s="12" t="n"/>
      <c r="G1118" s="13" t="n"/>
    </row>
    <row r="1119">
      <c r="A1119" s="12" t="n"/>
      <c r="D1119">
        <f>IFERROR(VLOOKUP(C1119,Cadastro_Produtos!A:B,2,FALSE),"")</f>
        <v/>
      </c>
      <c r="F1119" s="12" t="n"/>
      <c r="G1119" s="13" t="n"/>
    </row>
    <row r="1120">
      <c r="A1120" s="12" t="n"/>
      <c r="D1120">
        <f>IFERROR(VLOOKUP(C1120,Cadastro_Produtos!A:B,2,FALSE),"")</f>
        <v/>
      </c>
      <c r="F1120" s="12" t="n"/>
      <c r="G1120" s="13" t="n"/>
    </row>
    <row r="1121">
      <c r="A1121" s="12" t="n"/>
      <c r="D1121">
        <f>IFERROR(VLOOKUP(C1121,Cadastro_Produtos!A:B,2,FALSE),"")</f>
        <v/>
      </c>
      <c r="F1121" s="12" t="n"/>
      <c r="G1121" s="13" t="n"/>
    </row>
    <row r="1122">
      <c r="A1122" s="12" t="n"/>
      <c r="D1122">
        <f>IFERROR(VLOOKUP(C1122,Cadastro_Produtos!A:B,2,FALSE),"")</f>
        <v/>
      </c>
      <c r="F1122" s="12" t="n"/>
      <c r="G1122" s="13" t="n"/>
    </row>
    <row r="1123">
      <c r="A1123" s="12" t="n"/>
      <c r="D1123">
        <f>IFERROR(VLOOKUP(C1123,Cadastro_Produtos!A:B,2,FALSE),"")</f>
        <v/>
      </c>
      <c r="F1123" s="12" t="n"/>
      <c r="G1123" s="13" t="n"/>
    </row>
    <row r="1124">
      <c r="A1124" s="12" t="n"/>
      <c r="D1124">
        <f>IFERROR(VLOOKUP(C1124,Cadastro_Produtos!A:B,2,FALSE),"")</f>
        <v/>
      </c>
      <c r="F1124" s="12" t="n"/>
      <c r="G1124" s="13" t="n"/>
    </row>
    <row r="1125">
      <c r="A1125" s="12" t="n"/>
      <c r="D1125">
        <f>IFERROR(VLOOKUP(C1125,Cadastro_Produtos!A:B,2,FALSE),"")</f>
        <v/>
      </c>
      <c r="F1125" s="12" t="n"/>
      <c r="G1125" s="13" t="n"/>
    </row>
    <row r="1126">
      <c r="A1126" s="12" t="n"/>
      <c r="D1126">
        <f>IFERROR(VLOOKUP(C1126,Cadastro_Produtos!A:B,2,FALSE),"")</f>
        <v/>
      </c>
      <c r="F1126" s="12" t="n"/>
      <c r="G1126" s="13" t="n"/>
    </row>
    <row r="1127">
      <c r="A1127" s="12" t="n"/>
      <c r="D1127">
        <f>IFERROR(VLOOKUP(C1127,Cadastro_Produtos!A:B,2,FALSE),"")</f>
        <v/>
      </c>
      <c r="F1127" s="12" t="n"/>
      <c r="G1127" s="13" t="n"/>
    </row>
    <row r="1128">
      <c r="A1128" s="12" t="n"/>
      <c r="D1128">
        <f>IFERROR(VLOOKUP(C1128,Cadastro_Produtos!A:B,2,FALSE),"")</f>
        <v/>
      </c>
      <c r="F1128" s="12" t="n"/>
      <c r="G1128" s="13" t="n"/>
    </row>
    <row r="1129">
      <c r="A1129" s="12" t="n"/>
      <c r="D1129">
        <f>IFERROR(VLOOKUP(C1129,Cadastro_Produtos!A:B,2,FALSE),"")</f>
        <v/>
      </c>
      <c r="F1129" s="12" t="n"/>
      <c r="G1129" s="13" t="n"/>
    </row>
    <row r="1130">
      <c r="A1130" s="12" t="n"/>
      <c r="D1130">
        <f>IFERROR(VLOOKUP(C1130,Cadastro_Produtos!A:B,2,FALSE),"")</f>
        <v/>
      </c>
      <c r="F1130" s="12" t="n"/>
      <c r="G1130" s="13" t="n"/>
    </row>
    <row r="1131">
      <c r="A1131" s="12" t="n"/>
      <c r="D1131">
        <f>IFERROR(VLOOKUP(C1131,Cadastro_Produtos!A:B,2,FALSE),"")</f>
        <v/>
      </c>
      <c r="F1131" s="12" t="n"/>
      <c r="G1131" s="13" t="n"/>
    </row>
    <row r="1132">
      <c r="A1132" s="12" t="n"/>
      <c r="D1132">
        <f>IFERROR(VLOOKUP(C1132,Cadastro_Produtos!A:B,2,FALSE),"")</f>
        <v/>
      </c>
      <c r="F1132" s="12" t="n"/>
      <c r="G1132" s="13" t="n"/>
    </row>
    <row r="1133">
      <c r="A1133" s="12" t="n"/>
      <c r="D1133">
        <f>IFERROR(VLOOKUP(C1133,Cadastro_Produtos!A:B,2,FALSE),"")</f>
        <v/>
      </c>
      <c r="F1133" s="12" t="n"/>
      <c r="G1133" s="13" t="n"/>
    </row>
    <row r="1134">
      <c r="A1134" s="12" t="n"/>
      <c r="D1134">
        <f>IFERROR(VLOOKUP(C1134,Cadastro_Produtos!A:B,2,FALSE),"")</f>
        <v/>
      </c>
      <c r="F1134" s="12" t="n"/>
      <c r="G1134" s="13" t="n"/>
    </row>
    <row r="1135">
      <c r="A1135" s="12" t="n"/>
      <c r="D1135">
        <f>IFERROR(VLOOKUP(C1135,Cadastro_Produtos!A:B,2,FALSE),"")</f>
        <v/>
      </c>
      <c r="F1135" s="12" t="n"/>
      <c r="G1135" s="13" t="n"/>
    </row>
    <row r="1136">
      <c r="A1136" s="12" t="n"/>
      <c r="D1136">
        <f>IFERROR(VLOOKUP(C1136,Cadastro_Produtos!A:B,2,FALSE),"")</f>
        <v/>
      </c>
      <c r="F1136" s="12" t="n"/>
      <c r="G1136" s="13" t="n"/>
    </row>
    <row r="1137">
      <c r="A1137" s="12" t="n"/>
      <c r="D1137">
        <f>IFERROR(VLOOKUP(C1137,Cadastro_Produtos!A:B,2,FALSE),"")</f>
        <v/>
      </c>
      <c r="F1137" s="12" t="n"/>
      <c r="G1137" s="13" t="n"/>
    </row>
    <row r="1138">
      <c r="A1138" s="12" t="n"/>
      <c r="D1138">
        <f>IFERROR(VLOOKUP(C1138,Cadastro_Produtos!A:B,2,FALSE),"")</f>
        <v/>
      </c>
      <c r="F1138" s="12" t="n"/>
      <c r="G1138" s="13" t="n"/>
    </row>
    <row r="1139">
      <c r="A1139" s="12" t="n"/>
      <c r="D1139">
        <f>IFERROR(VLOOKUP(C1139,Cadastro_Produtos!A:B,2,FALSE),"")</f>
        <v/>
      </c>
      <c r="F1139" s="12" t="n"/>
      <c r="G1139" s="13" t="n"/>
    </row>
    <row r="1140">
      <c r="A1140" s="12" t="n"/>
      <c r="D1140">
        <f>IFERROR(VLOOKUP(C1140,Cadastro_Produtos!A:B,2,FALSE),"")</f>
        <v/>
      </c>
      <c r="F1140" s="12" t="n"/>
      <c r="G1140" s="13" t="n"/>
    </row>
    <row r="1141">
      <c r="A1141" s="12" t="n"/>
      <c r="D1141">
        <f>IFERROR(VLOOKUP(C1141,Cadastro_Produtos!A:B,2,FALSE),"")</f>
        <v/>
      </c>
      <c r="F1141" s="12" t="n"/>
      <c r="G1141" s="13" t="n"/>
    </row>
    <row r="1142">
      <c r="A1142" s="12" t="n"/>
      <c r="D1142">
        <f>IFERROR(VLOOKUP(C1142,Cadastro_Produtos!A:B,2,FALSE),"")</f>
        <v/>
      </c>
      <c r="F1142" s="12" t="n"/>
      <c r="G1142" s="13" t="n"/>
    </row>
    <row r="1143">
      <c r="A1143" s="12" t="n"/>
      <c r="D1143">
        <f>IFERROR(VLOOKUP(C1143,Cadastro_Produtos!A:B,2,FALSE),"")</f>
        <v/>
      </c>
      <c r="F1143" s="12" t="n"/>
      <c r="G1143" s="13" t="n"/>
    </row>
    <row r="1144">
      <c r="A1144" s="12" t="n"/>
      <c r="D1144">
        <f>IFERROR(VLOOKUP(C1144,Cadastro_Produtos!A:B,2,FALSE),"")</f>
        <v/>
      </c>
      <c r="F1144" s="12" t="n"/>
      <c r="G1144" s="13" t="n"/>
    </row>
    <row r="1145">
      <c r="A1145" s="12" t="n"/>
      <c r="D1145">
        <f>IFERROR(VLOOKUP(C1145,Cadastro_Produtos!A:B,2,FALSE),"")</f>
        <v/>
      </c>
      <c r="F1145" s="12" t="n"/>
      <c r="G1145" s="13" t="n"/>
    </row>
    <row r="1146">
      <c r="A1146" s="12" t="n"/>
      <c r="D1146">
        <f>IFERROR(VLOOKUP(C1146,Cadastro_Produtos!A:B,2,FALSE),"")</f>
        <v/>
      </c>
      <c r="F1146" s="12" t="n"/>
      <c r="G1146" s="13" t="n"/>
    </row>
    <row r="1147">
      <c r="A1147" s="12" t="n"/>
      <c r="D1147">
        <f>IFERROR(VLOOKUP(C1147,Cadastro_Produtos!A:B,2,FALSE),"")</f>
        <v/>
      </c>
      <c r="F1147" s="12" t="n"/>
      <c r="G1147" s="13" t="n"/>
    </row>
    <row r="1148">
      <c r="A1148" s="12" t="n"/>
      <c r="D1148">
        <f>IFERROR(VLOOKUP(C1148,Cadastro_Produtos!A:B,2,FALSE),"")</f>
        <v/>
      </c>
      <c r="F1148" s="12" t="n"/>
      <c r="G1148" s="13" t="n"/>
    </row>
    <row r="1149">
      <c r="A1149" s="12" t="n"/>
      <c r="D1149">
        <f>IFERROR(VLOOKUP(C1149,Cadastro_Produtos!A:B,2,FALSE),"")</f>
        <v/>
      </c>
      <c r="F1149" s="12" t="n"/>
      <c r="G1149" s="13" t="n"/>
    </row>
    <row r="1150">
      <c r="A1150" s="12" t="n"/>
      <c r="D1150">
        <f>IFERROR(VLOOKUP(C1150,Cadastro_Produtos!A:B,2,FALSE),"")</f>
        <v/>
      </c>
      <c r="F1150" s="12" t="n"/>
      <c r="G1150" s="13" t="n"/>
    </row>
    <row r="1151">
      <c r="A1151" s="12" t="n"/>
      <c r="D1151">
        <f>IFERROR(VLOOKUP(C1151,Cadastro_Produtos!A:B,2,FALSE),"")</f>
        <v/>
      </c>
      <c r="F1151" s="12" t="n"/>
      <c r="G1151" s="13" t="n"/>
    </row>
    <row r="1152">
      <c r="A1152" s="12" t="n"/>
      <c r="D1152">
        <f>IFERROR(VLOOKUP(C1152,Cadastro_Produtos!A:B,2,FALSE),"")</f>
        <v/>
      </c>
      <c r="F1152" s="12" t="n"/>
      <c r="G1152" s="13" t="n"/>
    </row>
    <row r="1153">
      <c r="A1153" s="12" t="n"/>
      <c r="D1153">
        <f>IFERROR(VLOOKUP(C1153,Cadastro_Produtos!A:B,2,FALSE),"")</f>
        <v/>
      </c>
      <c r="F1153" s="12" t="n"/>
      <c r="G1153" s="13" t="n"/>
    </row>
    <row r="1154">
      <c r="A1154" s="12" t="n"/>
      <c r="D1154">
        <f>IFERROR(VLOOKUP(C1154,Cadastro_Produtos!A:B,2,FALSE),"")</f>
        <v/>
      </c>
      <c r="F1154" s="12" t="n"/>
      <c r="G1154" s="13" t="n"/>
    </row>
    <row r="1155">
      <c r="A1155" s="12" t="n"/>
      <c r="D1155">
        <f>IFERROR(VLOOKUP(C1155,Cadastro_Produtos!A:B,2,FALSE),"")</f>
        <v/>
      </c>
      <c r="F1155" s="12" t="n"/>
      <c r="G1155" s="13" t="n"/>
    </row>
    <row r="1156">
      <c r="A1156" s="12" t="n"/>
      <c r="D1156">
        <f>IFERROR(VLOOKUP(C1156,Cadastro_Produtos!A:B,2,FALSE),"")</f>
        <v/>
      </c>
      <c r="F1156" s="12" t="n"/>
      <c r="G1156" s="13" t="n"/>
    </row>
    <row r="1157">
      <c r="A1157" s="12" t="n"/>
      <c r="D1157">
        <f>IFERROR(VLOOKUP(C1157,Cadastro_Produtos!A:B,2,FALSE),"")</f>
        <v/>
      </c>
      <c r="F1157" s="12" t="n"/>
      <c r="G1157" s="13" t="n"/>
    </row>
    <row r="1158">
      <c r="A1158" s="12" t="n"/>
      <c r="D1158">
        <f>IFERROR(VLOOKUP(C1158,Cadastro_Produtos!A:B,2,FALSE),"")</f>
        <v/>
      </c>
      <c r="F1158" s="12" t="n"/>
      <c r="G1158" s="13" t="n"/>
    </row>
    <row r="1159">
      <c r="A1159" s="12" t="n"/>
      <c r="D1159">
        <f>IFERROR(VLOOKUP(C1159,Cadastro_Produtos!A:B,2,FALSE),"")</f>
        <v/>
      </c>
      <c r="F1159" s="12" t="n"/>
      <c r="G1159" s="13" t="n"/>
    </row>
    <row r="1160">
      <c r="A1160" s="12" t="n"/>
      <c r="D1160">
        <f>IFERROR(VLOOKUP(C1160,Cadastro_Produtos!A:B,2,FALSE),"")</f>
        <v/>
      </c>
      <c r="F1160" s="12" t="n"/>
      <c r="G1160" s="13" t="n"/>
    </row>
    <row r="1161">
      <c r="A1161" s="12" t="n"/>
      <c r="D1161">
        <f>IFERROR(VLOOKUP(C1161,Cadastro_Produtos!A:B,2,FALSE),"")</f>
        <v/>
      </c>
      <c r="F1161" s="12" t="n"/>
      <c r="G1161" s="13" t="n"/>
    </row>
    <row r="1162">
      <c r="A1162" s="12" t="n"/>
      <c r="D1162">
        <f>IFERROR(VLOOKUP(C1162,Cadastro_Produtos!A:B,2,FALSE),"")</f>
        <v/>
      </c>
      <c r="F1162" s="12" t="n"/>
      <c r="G1162" s="13" t="n"/>
    </row>
    <row r="1163">
      <c r="A1163" s="12" t="n"/>
      <c r="D1163">
        <f>IFERROR(VLOOKUP(C1163,Cadastro_Produtos!A:B,2,FALSE),"")</f>
        <v/>
      </c>
      <c r="F1163" s="12" t="n"/>
      <c r="G1163" s="13" t="n"/>
    </row>
    <row r="1164">
      <c r="A1164" s="12" t="n"/>
      <c r="D1164">
        <f>IFERROR(VLOOKUP(C1164,Cadastro_Produtos!A:B,2,FALSE),"")</f>
        <v/>
      </c>
      <c r="F1164" s="12" t="n"/>
      <c r="G1164" s="13" t="n"/>
    </row>
    <row r="1165">
      <c r="A1165" s="12" t="n"/>
      <c r="D1165">
        <f>IFERROR(VLOOKUP(C1165,Cadastro_Produtos!A:B,2,FALSE),"")</f>
        <v/>
      </c>
      <c r="F1165" s="12" t="n"/>
      <c r="G1165" s="13" t="n"/>
    </row>
    <row r="1166">
      <c r="A1166" s="12" t="n"/>
      <c r="D1166">
        <f>IFERROR(VLOOKUP(C1166,Cadastro_Produtos!A:B,2,FALSE),"")</f>
        <v/>
      </c>
      <c r="F1166" s="12" t="n"/>
      <c r="G1166" s="13" t="n"/>
    </row>
    <row r="1167">
      <c r="A1167" s="12" t="n"/>
      <c r="D1167">
        <f>IFERROR(VLOOKUP(C1167,Cadastro_Produtos!A:B,2,FALSE),"")</f>
        <v/>
      </c>
      <c r="F1167" s="12" t="n"/>
      <c r="G1167" s="13" t="n"/>
    </row>
    <row r="1168">
      <c r="A1168" s="12" t="n"/>
      <c r="D1168">
        <f>IFERROR(VLOOKUP(C1168,Cadastro_Produtos!A:B,2,FALSE),"")</f>
        <v/>
      </c>
      <c r="F1168" s="12" t="n"/>
      <c r="G1168" s="13" t="n"/>
    </row>
    <row r="1169">
      <c r="A1169" s="12" t="n"/>
      <c r="D1169">
        <f>IFERROR(VLOOKUP(C1169,Cadastro_Produtos!A:B,2,FALSE),"")</f>
        <v/>
      </c>
      <c r="F1169" s="12" t="n"/>
      <c r="G1169" s="13" t="n"/>
    </row>
    <row r="1170">
      <c r="A1170" s="12" t="n"/>
      <c r="D1170">
        <f>IFERROR(VLOOKUP(C1170,Cadastro_Produtos!A:B,2,FALSE),"")</f>
        <v/>
      </c>
      <c r="F1170" s="12" t="n"/>
      <c r="G1170" s="13" t="n"/>
    </row>
    <row r="1171">
      <c r="A1171" s="12" t="n"/>
      <c r="D1171">
        <f>IFERROR(VLOOKUP(C1171,Cadastro_Produtos!A:B,2,FALSE),"")</f>
        <v/>
      </c>
      <c r="F1171" s="12" t="n"/>
      <c r="G1171" s="13" t="n"/>
    </row>
    <row r="1172">
      <c r="A1172" s="12" t="n"/>
      <c r="D1172">
        <f>IFERROR(VLOOKUP(C1172,Cadastro_Produtos!A:B,2,FALSE),"")</f>
        <v/>
      </c>
      <c r="F1172" s="12" t="n"/>
      <c r="G1172" s="13" t="n"/>
    </row>
    <row r="1173">
      <c r="A1173" s="12" t="n"/>
      <c r="D1173">
        <f>IFERROR(VLOOKUP(C1173,Cadastro_Produtos!A:B,2,FALSE),"")</f>
        <v/>
      </c>
      <c r="F1173" s="12" t="n"/>
      <c r="G1173" s="13" t="n"/>
    </row>
    <row r="1174">
      <c r="A1174" s="12" t="n"/>
      <c r="D1174">
        <f>IFERROR(VLOOKUP(C1174,Cadastro_Produtos!A:B,2,FALSE),"")</f>
        <v/>
      </c>
      <c r="F1174" s="12" t="n"/>
      <c r="G1174" s="13" t="n"/>
    </row>
    <row r="1175">
      <c r="A1175" s="12" t="n"/>
      <c r="D1175">
        <f>IFERROR(VLOOKUP(C1175,Cadastro_Produtos!A:B,2,FALSE),"")</f>
        <v/>
      </c>
      <c r="F1175" s="12" t="n"/>
      <c r="G1175" s="13" t="n"/>
    </row>
    <row r="1176">
      <c r="A1176" s="12" t="n"/>
      <c r="D1176">
        <f>IFERROR(VLOOKUP(C1176,Cadastro_Produtos!A:B,2,FALSE),"")</f>
        <v/>
      </c>
      <c r="F1176" s="12" t="n"/>
      <c r="G1176" s="13" t="n"/>
    </row>
    <row r="1177">
      <c r="A1177" s="12" t="n"/>
      <c r="D1177">
        <f>IFERROR(VLOOKUP(C1177,Cadastro_Produtos!A:B,2,FALSE),"")</f>
        <v/>
      </c>
      <c r="F1177" s="12" t="n"/>
      <c r="G1177" s="13" t="n"/>
    </row>
    <row r="1178">
      <c r="A1178" s="12" t="n"/>
      <c r="D1178">
        <f>IFERROR(VLOOKUP(C1178,Cadastro_Produtos!A:B,2,FALSE),"")</f>
        <v/>
      </c>
      <c r="F1178" s="12" t="n"/>
      <c r="G1178" s="13" t="n"/>
    </row>
    <row r="1179">
      <c r="A1179" s="12" t="n"/>
      <c r="D1179">
        <f>IFERROR(VLOOKUP(C1179,Cadastro_Produtos!A:B,2,FALSE),"")</f>
        <v/>
      </c>
      <c r="F1179" s="12" t="n"/>
      <c r="G1179" s="13" t="n"/>
    </row>
    <row r="1180">
      <c r="A1180" s="12" t="n"/>
      <c r="D1180">
        <f>IFERROR(VLOOKUP(C1180,Cadastro_Produtos!A:B,2,FALSE),"")</f>
        <v/>
      </c>
      <c r="F1180" s="12" t="n"/>
      <c r="G1180" s="13" t="n"/>
    </row>
    <row r="1181">
      <c r="A1181" s="12" t="n"/>
      <c r="D1181">
        <f>IFERROR(VLOOKUP(C1181,Cadastro_Produtos!A:B,2,FALSE),"")</f>
        <v/>
      </c>
      <c r="F1181" s="12" t="n"/>
      <c r="G1181" s="13" t="n"/>
    </row>
    <row r="1182">
      <c r="A1182" s="12" t="n"/>
      <c r="D1182">
        <f>IFERROR(VLOOKUP(C1182,Cadastro_Produtos!A:B,2,FALSE),"")</f>
        <v/>
      </c>
      <c r="F1182" s="12" t="n"/>
      <c r="G1182" s="13" t="n"/>
    </row>
    <row r="1183">
      <c r="A1183" s="12" t="n"/>
      <c r="D1183">
        <f>IFERROR(VLOOKUP(C1183,Cadastro_Produtos!A:B,2,FALSE),"")</f>
        <v/>
      </c>
      <c r="F1183" s="12" t="n"/>
      <c r="G1183" s="13" t="n"/>
    </row>
    <row r="1184">
      <c r="A1184" s="12" t="n"/>
      <c r="D1184">
        <f>IFERROR(VLOOKUP(C1184,Cadastro_Produtos!A:B,2,FALSE),"")</f>
        <v/>
      </c>
      <c r="F1184" s="12" t="n"/>
      <c r="G1184" s="13" t="n"/>
    </row>
    <row r="1185">
      <c r="A1185" s="12" t="n"/>
      <c r="D1185">
        <f>IFERROR(VLOOKUP(C1185,Cadastro_Produtos!A:B,2,FALSE),"")</f>
        <v/>
      </c>
      <c r="F1185" s="12" t="n"/>
      <c r="G1185" s="13" t="n"/>
    </row>
    <row r="1186">
      <c r="A1186" s="12" t="n"/>
      <c r="D1186">
        <f>IFERROR(VLOOKUP(C1186,Cadastro_Produtos!A:B,2,FALSE),"")</f>
        <v/>
      </c>
      <c r="F1186" s="12" t="n"/>
      <c r="G1186" s="13" t="n"/>
    </row>
    <row r="1187">
      <c r="A1187" s="12" t="n"/>
      <c r="D1187">
        <f>IFERROR(VLOOKUP(C1187,Cadastro_Produtos!A:B,2,FALSE),"")</f>
        <v/>
      </c>
      <c r="F1187" s="12" t="n"/>
      <c r="G1187" s="13" t="n"/>
    </row>
    <row r="1188">
      <c r="A1188" s="12" t="n"/>
      <c r="D1188">
        <f>IFERROR(VLOOKUP(C1188,Cadastro_Produtos!A:B,2,FALSE),"")</f>
        <v/>
      </c>
      <c r="F1188" s="12" t="n"/>
      <c r="G1188" s="13" t="n"/>
    </row>
    <row r="1189">
      <c r="A1189" s="12" t="n"/>
      <c r="D1189">
        <f>IFERROR(VLOOKUP(C1189,Cadastro_Produtos!A:B,2,FALSE),"")</f>
        <v/>
      </c>
      <c r="F1189" s="12" t="n"/>
      <c r="G1189" s="13" t="n"/>
    </row>
    <row r="1190">
      <c r="A1190" s="12" t="n"/>
      <c r="D1190">
        <f>IFERROR(VLOOKUP(C1190,Cadastro_Produtos!A:B,2,FALSE),"")</f>
        <v/>
      </c>
      <c r="F1190" s="12" t="n"/>
      <c r="G1190" s="13" t="n"/>
    </row>
    <row r="1191">
      <c r="A1191" s="12" t="n"/>
      <c r="D1191">
        <f>IFERROR(VLOOKUP(C1191,Cadastro_Produtos!A:B,2,FALSE),"")</f>
        <v/>
      </c>
      <c r="F1191" s="12" t="n"/>
      <c r="G1191" s="13" t="n"/>
    </row>
    <row r="1192">
      <c r="A1192" s="12" t="n"/>
      <c r="D1192">
        <f>IFERROR(VLOOKUP(C1192,Cadastro_Produtos!A:B,2,FALSE),"")</f>
        <v/>
      </c>
      <c r="F1192" s="12" t="n"/>
      <c r="G1192" s="13" t="n"/>
    </row>
    <row r="1193">
      <c r="A1193" s="12" t="n"/>
      <c r="D1193">
        <f>IFERROR(VLOOKUP(C1193,Cadastro_Produtos!A:B,2,FALSE),"")</f>
        <v/>
      </c>
      <c r="F1193" s="12" t="n"/>
      <c r="G1193" s="13" t="n"/>
    </row>
    <row r="1194">
      <c r="A1194" s="12" t="n"/>
      <c r="D1194">
        <f>IFERROR(VLOOKUP(C1194,Cadastro_Produtos!A:B,2,FALSE),"")</f>
        <v/>
      </c>
      <c r="F1194" s="12" t="n"/>
      <c r="G1194" s="13" t="n"/>
    </row>
    <row r="1195">
      <c r="A1195" s="12" t="n"/>
      <c r="D1195">
        <f>IFERROR(VLOOKUP(C1195,Cadastro_Produtos!A:B,2,FALSE),"")</f>
        <v/>
      </c>
      <c r="F1195" s="12" t="n"/>
      <c r="G1195" s="13" t="n"/>
    </row>
    <row r="1196">
      <c r="A1196" s="12" t="n"/>
      <c r="D1196">
        <f>IFERROR(VLOOKUP(C1196,Cadastro_Produtos!A:B,2,FALSE),"")</f>
        <v/>
      </c>
      <c r="F1196" s="12" t="n"/>
      <c r="G1196" s="13" t="n"/>
    </row>
    <row r="1197">
      <c r="A1197" s="12" t="n"/>
      <c r="D1197">
        <f>IFERROR(VLOOKUP(C1197,Cadastro_Produtos!A:B,2,FALSE),"")</f>
        <v/>
      </c>
      <c r="F1197" s="12" t="n"/>
      <c r="G1197" s="13" t="n"/>
    </row>
    <row r="1198">
      <c r="A1198" s="12" t="n"/>
      <c r="D1198">
        <f>IFERROR(VLOOKUP(C1198,Cadastro_Produtos!A:B,2,FALSE),"")</f>
        <v/>
      </c>
      <c r="F1198" s="12" t="n"/>
      <c r="G1198" s="13" t="n"/>
    </row>
    <row r="1199">
      <c r="A1199" s="12" t="n"/>
      <c r="D1199">
        <f>IFERROR(VLOOKUP(C1199,Cadastro_Produtos!A:B,2,FALSE),"")</f>
        <v/>
      </c>
      <c r="F1199" s="12" t="n"/>
      <c r="G1199" s="13" t="n"/>
    </row>
    <row r="1200">
      <c r="A1200" s="12" t="n"/>
      <c r="D1200">
        <f>IFERROR(VLOOKUP(C1200,Cadastro_Produtos!A:B,2,FALSE),"")</f>
        <v/>
      </c>
      <c r="F1200" s="12" t="n"/>
      <c r="G1200" s="13" t="n"/>
    </row>
    <row r="1201">
      <c r="A1201" s="12" t="n"/>
      <c r="D1201">
        <f>IFERROR(VLOOKUP(C1201,Cadastro_Produtos!A:B,2,FALSE),"")</f>
        <v/>
      </c>
      <c r="F1201" s="12" t="n"/>
      <c r="G1201" s="13" t="n"/>
    </row>
    <row r="1202">
      <c r="A1202" s="12" t="n"/>
      <c r="D1202">
        <f>IFERROR(VLOOKUP(C1202,Cadastro_Produtos!A:B,2,FALSE),"")</f>
        <v/>
      </c>
      <c r="F1202" s="12" t="n"/>
      <c r="G1202" s="13" t="n"/>
    </row>
    <row r="1203">
      <c r="A1203" s="12" t="n"/>
      <c r="D1203">
        <f>IFERROR(VLOOKUP(C1203,Cadastro_Produtos!A:B,2,FALSE),"")</f>
        <v/>
      </c>
      <c r="F1203" s="12" t="n"/>
      <c r="G1203" s="13" t="n"/>
    </row>
    <row r="1204">
      <c r="A1204" s="12" t="n"/>
      <c r="D1204">
        <f>IFERROR(VLOOKUP(C1204,Cadastro_Produtos!A:B,2,FALSE),"")</f>
        <v/>
      </c>
      <c r="F1204" s="12" t="n"/>
      <c r="G1204" s="13" t="n"/>
    </row>
    <row r="1205">
      <c r="A1205" s="12" t="n"/>
      <c r="D1205">
        <f>IFERROR(VLOOKUP(C1205,Cadastro_Produtos!A:B,2,FALSE),"")</f>
        <v/>
      </c>
      <c r="F1205" s="12" t="n"/>
      <c r="G1205" s="13" t="n"/>
    </row>
    <row r="1206">
      <c r="A1206" s="12" t="n"/>
      <c r="D1206">
        <f>IFERROR(VLOOKUP(C1206,Cadastro_Produtos!A:B,2,FALSE),"")</f>
        <v/>
      </c>
      <c r="F1206" s="12" t="n"/>
      <c r="G1206" s="13" t="n"/>
    </row>
    <row r="1207">
      <c r="A1207" s="12" t="n"/>
      <c r="D1207">
        <f>IFERROR(VLOOKUP(C1207,Cadastro_Produtos!A:B,2,FALSE),"")</f>
        <v/>
      </c>
      <c r="F1207" s="12" t="n"/>
      <c r="G1207" s="13" t="n"/>
    </row>
    <row r="1208">
      <c r="A1208" s="12" t="n"/>
      <c r="D1208">
        <f>IFERROR(VLOOKUP(C1208,Cadastro_Produtos!A:B,2,FALSE),"")</f>
        <v/>
      </c>
      <c r="F1208" s="12" t="n"/>
      <c r="G1208" s="13" t="n"/>
    </row>
    <row r="1209">
      <c r="A1209" s="12" t="n"/>
      <c r="D1209">
        <f>IFERROR(VLOOKUP(C1209,Cadastro_Produtos!A:B,2,FALSE),"")</f>
        <v/>
      </c>
      <c r="F1209" s="12" t="n"/>
      <c r="G1209" s="13" t="n"/>
    </row>
    <row r="1210">
      <c r="A1210" s="12" t="n"/>
      <c r="D1210">
        <f>IFERROR(VLOOKUP(C1210,Cadastro_Produtos!A:B,2,FALSE),"")</f>
        <v/>
      </c>
      <c r="F1210" s="12" t="n"/>
      <c r="G1210" s="13" t="n"/>
    </row>
    <row r="1211">
      <c r="A1211" s="12" t="n"/>
      <c r="D1211">
        <f>IFERROR(VLOOKUP(C1211,Cadastro_Produtos!A:B,2,FALSE),"")</f>
        <v/>
      </c>
      <c r="F1211" s="12" t="n"/>
      <c r="G1211" s="13" t="n"/>
    </row>
    <row r="1212">
      <c r="A1212" s="12" t="n"/>
      <c r="D1212">
        <f>IFERROR(VLOOKUP(C1212,Cadastro_Produtos!A:B,2,FALSE),"")</f>
        <v/>
      </c>
      <c r="F1212" s="12" t="n"/>
      <c r="G1212" s="13" t="n"/>
    </row>
    <row r="1213">
      <c r="A1213" s="12" t="n"/>
      <c r="D1213">
        <f>IFERROR(VLOOKUP(C1213,Cadastro_Produtos!A:B,2,FALSE),"")</f>
        <v/>
      </c>
      <c r="F1213" s="12" t="n"/>
      <c r="G1213" s="13" t="n"/>
    </row>
    <row r="1214">
      <c r="A1214" s="12" t="n"/>
      <c r="D1214">
        <f>IFERROR(VLOOKUP(C1214,Cadastro_Produtos!A:B,2,FALSE),"")</f>
        <v/>
      </c>
      <c r="F1214" s="12" t="n"/>
      <c r="G1214" s="13" t="n"/>
    </row>
    <row r="1215">
      <c r="A1215" s="12" t="n"/>
      <c r="D1215">
        <f>IFERROR(VLOOKUP(C1215,Cadastro_Produtos!A:B,2,FALSE),"")</f>
        <v/>
      </c>
      <c r="F1215" s="12" t="n"/>
      <c r="G1215" s="13" t="n"/>
    </row>
    <row r="1216">
      <c r="A1216" s="12" t="n"/>
      <c r="D1216">
        <f>IFERROR(VLOOKUP(C1216,Cadastro_Produtos!A:B,2,FALSE),"")</f>
        <v/>
      </c>
      <c r="F1216" s="12" t="n"/>
      <c r="G1216" s="13" t="n"/>
    </row>
    <row r="1217">
      <c r="A1217" s="12" t="n"/>
      <c r="D1217">
        <f>IFERROR(VLOOKUP(C1217,Cadastro_Produtos!A:B,2,FALSE),"")</f>
        <v/>
      </c>
      <c r="F1217" s="12" t="n"/>
      <c r="G1217" s="13" t="n"/>
    </row>
    <row r="1218">
      <c r="A1218" s="12" t="n"/>
      <c r="D1218">
        <f>IFERROR(VLOOKUP(C1218,Cadastro_Produtos!A:B,2,FALSE),"")</f>
        <v/>
      </c>
      <c r="F1218" s="12" t="n"/>
      <c r="G1218" s="13" t="n"/>
    </row>
    <row r="1219">
      <c r="A1219" s="12" t="n"/>
      <c r="D1219">
        <f>IFERROR(VLOOKUP(C1219,Cadastro_Produtos!A:B,2,FALSE),"")</f>
        <v/>
      </c>
      <c r="F1219" s="12" t="n"/>
      <c r="G1219" s="13" t="n"/>
    </row>
    <row r="1220">
      <c r="A1220" s="12" t="n"/>
      <c r="D1220">
        <f>IFERROR(VLOOKUP(C1220,Cadastro_Produtos!A:B,2,FALSE),"")</f>
        <v/>
      </c>
      <c r="F1220" s="12" t="n"/>
      <c r="G1220" s="13" t="n"/>
    </row>
    <row r="1221">
      <c r="A1221" s="12" t="n"/>
      <c r="D1221">
        <f>IFERROR(VLOOKUP(C1221,Cadastro_Produtos!A:B,2,FALSE),"")</f>
        <v/>
      </c>
      <c r="F1221" s="12" t="n"/>
      <c r="G1221" s="13" t="n"/>
    </row>
    <row r="1222">
      <c r="A1222" s="12" t="n"/>
      <c r="D1222">
        <f>IFERROR(VLOOKUP(C1222,Cadastro_Produtos!A:B,2,FALSE),"")</f>
        <v/>
      </c>
      <c r="F1222" s="12" t="n"/>
      <c r="G1222" s="13" t="n"/>
    </row>
    <row r="1223">
      <c r="A1223" s="12" t="n"/>
      <c r="D1223">
        <f>IFERROR(VLOOKUP(C1223,Cadastro_Produtos!A:B,2,FALSE),"")</f>
        <v/>
      </c>
      <c r="F1223" s="12" t="n"/>
      <c r="G1223" s="13" t="n"/>
    </row>
    <row r="1224">
      <c r="A1224" s="12" t="n"/>
      <c r="D1224">
        <f>IFERROR(VLOOKUP(C1224,Cadastro_Produtos!A:B,2,FALSE),"")</f>
        <v/>
      </c>
      <c r="F1224" s="12" t="n"/>
      <c r="G1224" s="13" t="n"/>
    </row>
    <row r="1225">
      <c r="A1225" s="12" t="n"/>
      <c r="D1225">
        <f>IFERROR(VLOOKUP(C1225,Cadastro_Produtos!A:B,2,FALSE),"")</f>
        <v/>
      </c>
      <c r="F1225" s="12" t="n"/>
      <c r="G1225" s="13" t="n"/>
    </row>
    <row r="1226">
      <c r="A1226" s="12" t="n"/>
      <c r="D1226">
        <f>IFERROR(VLOOKUP(C1226,Cadastro_Produtos!A:B,2,FALSE),"")</f>
        <v/>
      </c>
      <c r="F1226" s="12" t="n"/>
      <c r="G1226" s="13" t="n"/>
    </row>
    <row r="1227">
      <c r="A1227" s="12" t="n"/>
      <c r="D1227">
        <f>IFERROR(VLOOKUP(C1227,Cadastro_Produtos!A:B,2,FALSE),"")</f>
        <v/>
      </c>
      <c r="F1227" s="12" t="n"/>
      <c r="G1227" s="13" t="n"/>
    </row>
    <row r="1228">
      <c r="A1228" s="12" t="n"/>
      <c r="D1228">
        <f>IFERROR(VLOOKUP(C1228,Cadastro_Produtos!A:B,2,FALSE),"")</f>
        <v/>
      </c>
      <c r="F1228" s="12" t="n"/>
      <c r="G1228" s="13" t="n"/>
    </row>
    <row r="1229">
      <c r="A1229" s="12" t="n"/>
      <c r="D1229">
        <f>IFERROR(VLOOKUP(C1229,Cadastro_Produtos!A:B,2,FALSE),"")</f>
        <v/>
      </c>
      <c r="F1229" s="12" t="n"/>
      <c r="G1229" s="13" t="n"/>
    </row>
    <row r="1230">
      <c r="A1230" s="12" t="n"/>
      <c r="D1230">
        <f>IFERROR(VLOOKUP(C1230,Cadastro_Produtos!A:B,2,FALSE),"")</f>
        <v/>
      </c>
      <c r="F1230" s="12" t="n"/>
      <c r="G1230" s="13" t="n"/>
    </row>
    <row r="1231">
      <c r="A1231" s="12" t="n"/>
      <c r="D1231">
        <f>IFERROR(VLOOKUP(C1231,Cadastro_Produtos!A:B,2,FALSE),"")</f>
        <v/>
      </c>
      <c r="F1231" s="12" t="n"/>
      <c r="G1231" s="13" t="n"/>
    </row>
    <row r="1232">
      <c r="A1232" s="12" t="n"/>
      <c r="D1232">
        <f>IFERROR(VLOOKUP(C1232,Cadastro_Produtos!A:B,2,FALSE),"")</f>
        <v/>
      </c>
      <c r="F1232" s="12" t="n"/>
      <c r="G1232" s="13" t="n"/>
    </row>
    <row r="1233">
      <c r="A1233" s="12" t="n"/>
      <c r="D1233">
        <f>IFERROR(VLOOKUP(C1233,Cadastro_Produtos!A:B,2,FALSE),"")</f>
        <v/>
      </c>
      <c r="F1233" s="12" t="n"/>
      <c r="G1233" s="13" t="n"/>
    </row>
    <row r="1234">
      <c r="A1234" s="12" t="n"/>
      <c r="D1234">
        <f>IFERROR(VLOOKUP(C1234,Cadastro_Produtos!A:B,2,FALSE),"")</f>
        <v/>
      </c>
      <c r="F1234" s="12" t="n"/>
      <c r="G1234" s="13" t="n"/>
    </row>
    <row r="1235">
      <c r="A1235" s="12" t="n"/>
      <c r="D1235">
        <f>IFERROR(VLOOKUP(C1235,Cadastro_Produtos!A:B,2,FALSE),"")</f>
        <v/>
      </c>
      <c r="F1235" s="12" t="n"/>
      <c r="G1235" s="13" t="n"/>
    </row>
    <row r="1236">
      <c r="A1236" s="12" t="n"/>
      <c r="D1236">
        <f>IFERROR(VLOOKUP(C1236,Cadastro_Produtos!A:B,2,FALSE),"")</f>
        <v/>
      </c>
      <c r="F1236" s="12" t="n"/>
      <c r="G1236" s="13" t="n"/>
    </row>
    <row r="1237">
      <c r="A1237" s="12" t="n"/>
      <c r="D1237">
        <f>IFERROR(VLOOKUP(C1237,Cadastro_Produtos!A:B,2,FALSE),"")</f>
        <v/>
      </c>
      <c r="F1237" s="12" t="n"/>
      <c r="G1237" s="13" t="n"/>
    </row>
    <row r="1238">
      <c r="A1238" s="12" t="n"/>
      <c r="D1238">
        <f>IFERROR(VLOOKUP(C1238,Cadastro_Produtos!A:B,2,FALSE),"")</f>
        <v/>
      </c>
      <c r="F1238" s="12" t="n"/>
      <c r="G1238" s="13" t="n"/>
    </row>
    <row r="1239">
      <c r="A1239" s="12" t="n"/>
      <c r="D1239">
        <f>IFERROR(VLOOKUP(C1239,Cadastro_Produtos!A:B,2,FALSE),"")</f>
        <v/>
      </c>
      <c r="F1239" s="12" t="n"/>
      <c r="G1239" s="13" t="n"/>
    </row>
    <row r="1240">
      <c r="A1240" s="12" t="n"/>
      <c r="D1240">
        <f>IFERROR(VLOOKUP(C1240,Cadastro_Produtos!A:B,2,FALSE),"")</f>
        <v/>
      </c>
      <c r="F1240" s="12" t="n"/>
      <c r="G1240" s="13" t="n"/>
    </row>
    <row r="1241">
      <c r="A1241" s="12" t="n"/>
      <c r="D1241">
        <f>IFERROR(VLOOKUP(C1241,Cadastro_Produtos!A:B,2,FALSE),"")</f>
        <v/>
      </c>
      <c r="F1241" s="12" t="n"/>
      <c r="G1241" s="13" t="n"/>
    </row>
    <row r="1242">
      <c r="A1242" s="12" t="n"/>
      <c r="D1242">
        <f>IFERROR(VLOOKUP(C1242,Cadastro_Produtos!A:B,2,FALSE),"")</f>
        <v/>
      </c>
      <c r="F1242" s="12" t="n"/>
      <c r="G1242" s="13" t="n"/>
    </row>
    <row r="1243">
      <c r="A1243" s="12" t="n"/>
      <c r="D1243">
        <f>IFERROR(VLOOKUP(C1243,Cadastro_Produtos!A:B,2,FALSE),"")</f>
        <v/>
      </c>
      <c r="F1243" s="12" t="n"/>
      <c r="G1243" s="13" t="n"/>
    </row>
    <row r="1244">
      <c r="A1244" s="12" t="n"/>
      <c r="D1244">
        <f>IFERROR(VLOOKUP(C1244,Cadastro_Produtos!A:B,2,FALSE),"")</f>
        <v/>
      </c>
      <c r="F1244" s="12" t="n"/>
      <c r="G1244" s="13" t="n"/>
    </row>
    <row r="1245">
      <c r="A1245" s="12" t="n"/>
      <c r="D1245">
        <f>IFERROR(VLOOKUP(C1245,Cadastro_Produtos!A:B,2,FALSE),"")</f>
        <v/>
      </c>
      <c r="F1245" s="12" t="n"/>
      <c r="G1245" s="13" t="n"/>
    </row>
    <row r="1246">
      <c r="A1246" s="12" t="n"/>
      <c r="D1246">
        <f>IFERROR(VLOOKUP(C1246,Cadastro_Produtos!A:B,2,FALSE),"")</f>
        <v/>
      </c>
      <c r="F1246" s="12" t="n"/>
      <c r="G1246" s="13" t="n"/>
    </row>
    <row r="1247">
      <c r="A1247" s="12" t="n"/>
      <c r="D1247">
        <f>IFERROR(VLOOKUP(C1247,Cadastro_Produtos!A:B,2,FALSE),"")</f>
        <v/>
      </c>
      <c r="F1247" s="12" t="n"/>
      <c r="G1247" s="13" t="n"/>
    </row>
    <row r="1248">
      <c r="A1248" s="12" t="n"/>
      <c r="D1248">
        <f>IFERROR(VLOOKUP(C1248,Cadastro_Produtos!A:B,2,FALSE),"")</f>
        <v/>
      </c>
      <c r="F1248" s="12" t="n"/>
      <c r="G1248" s="13" t="n"/>
    </row>
    <row r="1249">
      <c r="A1249" s="12" t="n"/>
      <c r="D1249">
        <f>IFERROR(VLOOKUP(C1249,Cadastro_Produtos!A:B,2,FALSE),"")</f>
        <v/>
      </c>
      <c r="F1249" s="12" t="n"/>
      <c r="G1249" s="13" t="n"/>
    </row>
    <row r="1250">
      <c r="A1250" s="12" t="n"/>
      <c r="D1250">
        <f>IFERROR(VLOOKUP(C1250,Cadastro_Produtos!A:B,2,FALSE),"")</f>
        <v/>
      </c>
      <c r="F1250" s="12" t="n"/>
      <c r="G1250" s="13" t="n"/>
    </row>
    <row r="1251">
      <c r="A1251" s="12" t="n"/>
      <c r="D1251">
        <f>IFERROR(VLOOKUP(C1251,Cadastro_Produtos!A:B,2,FALSE),"")</f>
        <v/>
      </c>
      <c r="F1251" s="12" t="n"/>
      <c r="G1251" s="13" t="n"/>
    </row>
    <row r="1252">
      <c r="A1252" s="12" t="n"/>
      <c r="D1252">
        <f>IFERROR(VLOOKUP(C1252,Cadastro_Produtos!A:B,2,FALSE),"")</f>
        <v/>
      </c>
      <c r="F1252" s="12" t="n"/>
      <c r="G1252" s="13" t="n"/>
    </row>
    <row r="1253">
      <c r="A1253" s="12" t="n"/>
      <c r="D1253">
        <f>IFERROR(VLOOKUP(C1253,Cadastro_Produtos!A:B,2,FALSE),"")</f>
        <v/>
      </c>
      <c r="F1253" s="12" t="n"/>
      <c r="G1253" s="13" t="n"/>
    </row>
    <row r="1254">
      <c r="A1254" s="12" t="n"/>
      <c r="D1254">
        <f>IFERROR(VLOOKUP(C1254,Cadastro_Produtos!A:B,2,FALSE),"")</f>
        <v/>
      </c>
      <c r="F1254" s="12" t="n"/>
      <c r="G1254" s="13" t="n"/>
    </row>
    <row r="1255">
      <c r="A1255" s="12" t="n"/>
      <c r="D1255">
        <f>IFERROR(VLOOKUP(C1255,Cadastro_Produtos!A:B,2,FALSE),"")</f>
        <v/>
      </c>
      <c r="F1255" s="12" t="n"/>
      <c r="G1255" s="13" t="n"/>
    </row>
    <row r="1256">
      <c r="A1256" s="12" t="n"/>
      <c r="D1256">
        <f>IFERROR(VLOOKUP(C1256,Cadastro_Produtos!A:B,2,FALSE),"")</f>
        <v/>
      </c>
      <c r="F1256" s="12" t="n"/>
      <c r="G1256" s="13" t="n"/>
    </row>
    <row r="1257">
      <c r="A1257" s="12" t="n"/>
      <c r="D1257">
        <f>IFERROR(VLOOKUP(C1257,Cadastro_Produtos!A:B,2,FALSE),"")</f>
        <v/>
      </c>
      <c r="F1257" s="12" t="n"/>
      <c r="G1257" s="13" t="n"/>
    </row>
    <row r="1258">
      <c r="A1258" s="12" t="n"/>
      <c r="D1258">
        <f>IFERROR(VLOOKUP(C1258,Cadastro_Produtos!A:B,2,FALSE),"")</f>
        <v/>
      </c>
      <c r="F1258" s="12" t="n"/>
      <c r="G1258" s="13" t="n"/>
    </row>
    <row r="1259">
      <c r="A1259" s="12" t="n"/>
      <c r="D1259">
        <f>IFERROR(VLOOKUP(C1259,Cadastro_Produtos!A:B,2,FALSE),"")</f>
        <v/>
      </c>
      <c r="F1259" s="12" t="n"/>
      <c r="G1259" s="13" t="n"/>
    </row>
    <row r="1260">
      <c r="A1260" s="12" t="n"/>
      <c r="D1260">
        <f>IFERROR(VLOOKUP(C1260,Cadastro_Produtos!A:B,2,FALSE),"")</f>
        <v/>
      </c>
      <c r="F1260" s="12" t="n"/>
      <c r="G1260" s="13" t="n"/>
    </row>
    <row r="1261">
      <c r="A1261" s="12" t="n"/>
      <c r="D1261">
        <f>IFERROR(VLOOKUP(C1261,Cadastro_Produtos!A:B,2,FALSE),"")</f>
        <v/>
      </c>
      <c r="F1261" s="12" t="n"/>
      <c r="G1261" s="13" t="n"/>
    </row>
    <row r="1262">
      <c r="A1262" s="12" t="n"/>
      <c r="D1262">
        <f>IFERROR(VLOOKUP(C1262,Cadastro_Produtos!A:B,2,FALSE),"")</f>
        <v/>
      </c>
      <c r="F1262" s="12" t="n"/>
      <c r="G1262" s="13" t="n"/>
    </row>
    <row r="1263">
      <c r="A1263" s="12" t="n"/>
      <c r="D1263">
        <f>IFERROR(VLOOKUP(C1263,Cadastro_Produtos!A:B,2,FALSE),"")</f>
        <v/>
      </c>
      <c r="F1263" s="12" t="n"/>
      <c r="G1263" s="13" t="n"/>
    </row>
    <row r="1264">
      <c r="A1264" s="12" t="n"/>
      <c r="D1264">
        <f>IFERROR(VLOOKUP(C1264,Cadastro_Produtos!A:B,2,FALSE),"")</f>
        <v/>
      </c>
      <c r="F1264" s="12" t="n"/>
      <c r="G1264" s="13" t="n"/>
    </row>
    <row r="1265">
      <c r="A1265" s="12" t="n"/>
      <c r="D1265">
        <f>IFERROR(VLOOKUP(C1265,Cadastro_Produtos!A:B,2,FALSE),"")</f>
        <v/>
      </c>
      <c r="F1265" s="12" t="n"/>
      <c r="G1265" s="13" t="n"/>
    </row>
    <row r="1266">
      <c r="A1266" s="12" t="n"/>
      <c r="D1266">
        <f>IFERROR(VLOOKUP(C1266,Cadastro_Produtos!A:B,2,FALSE),"")</f>
        <v/>
      </c>
      <c r="F1266" s="12" t="n"/>
      <c r="G1266" s="13" t="n"/>
    </row>
    <row r="1267">
      <c r="A1267" s="12" t="n"/>
      <c r="D1267">
        <f>IFERROR(VLOOKUP(C1267,Cadastro_Produtos!A:B,2,FALSE),"")</f>
        <v/>
      </c>
      <c r="F1267" s="12" t="n"/>
      <c r="G1267" s="13" t="n"/>
    </row>
    <row r="1268">
      <c r="A1268" s="12" t="n"/>
      <c r="D1268">
        <f>IFERROR(VLOOKUP(C1268,Cadastro_Produtos!A:B,2,FALSE),"")</f>
        <v/>
      </c>
      <c r="F1268" s="12" t="n"/>
      <c r="G1268" s="13" t="n"/>
    </row>
    <row r="1269">
      <c r="A1269" s="12" t="n"/>
      <c r="D1269">
        <f>IFERROR(VLOOKUP(C1269,Cadastro_Produtos!A:B,2,FALSE),"")</f>
        <v/>
      </c>
      <c r="F1269" s="12" t="n"/>
      <c r="G1269" s="13" t="n"/>
    </row>
    <row r="1270">
      <c r="A1270" s="12" t="n"/>
      <c r="D1270">
        <f>IFERROR(VLOOKUP(C1270,Cadastro_Produtos!A:B,2,FALSE),"")</f>
        <v/>
      </c>
      <c r="F1270" s="12" t="n"/>
      <c r="G1270" s="13" t="n"/>
    </row>
    <row r="1271">
      <c r="A1271" s="12" t="n"/>
      <c r="D1271">
        <f>IFERROR(VLOOKUP(C1271,Cadastro_Produtos!A:B,2,FALSE),"")</f>
        <v/>
      </c>
      <c r="F1271" s="12" t="n"/>
      <c r="G1271" s="13" t="n"/>
    </row>
    <row r="1272">
      <c r="A1272" s="12" t="n"/>
      <c r="D1272">
        <f>IFERROR(VLOOKUP(C1272,Cadastro_Produtos!A:B,2,FALSE),"")</f>
        <v/>
      </c>
      <c r="F1272" s="12" t="n"/>
      <c r="G1272" s="13" t="n"/>
    </row>
    <row r="1273">
      <c r="A1273" s="12" t="n"/>
      <c r="D1273">
        <f>IFERROR(VLOOKUP(C1273,Cadastro_Produtos!A:B,2,FALSE),"")</f>
        <v/>
      </c>
      <c r="F1273" s="12" t="n"/>
      <c r="G1273" s="13" t="n"/>
    </row>
    <row r="1274">
      <c r="A1274" s="12" t="n"/>
      <c r="D1274">
        <f>IFERROR(VLOOKUP(C1274,Cadastro_Produtos!A:B,2,FALSE),"")</f>
        <v/>
      </c>
      <c r="F1274" s="12" t="n"/>
      <c r="G1274" s="13" t="n"/>
    </row>
    <row r="1275">
      <c r="A1275" s="12" t="n"/>
      <c r="D1275">
        <f>IFERROR(VLOOKUP(C1275,Cadastro_Produtos!A:B,2,FALSE),"")</f>
        <v/>
      </c>
      <c r="F1275" s="12" t="n"/>
      <c r="G1275" s="13" t="n"/>
    </row>
    <row r="1276">
      <c r="A1276" s="12" t="n"/>
      <c r="D1276">
        <f>IFERROR(VLOOKUP(C1276,Cadastro_Produtos!A:B,2,FALSE),"")</f>
        <v/>
      </c>
      <c r="F1276" s="12" t="n"/>
      <c r="G1276" s="13" t="n"/>
    </row>
    <row r="1277">
      <c r="A1277" s="12" t="n"/>
      <c r="D1277">
        <f>IFERROR(VLOOKUP(C1277,Cadastro_Produtos!A:B,2,FALSE),"")</f>
        <v/>
      </c>
      <c r="F1277" s="12" t="n"/>
      <c r="G1277" s="13" t="n"/>
    </row>
    <row r="1278">
      <c r="A1278" s="12" t="n"/>
      <c r="D1278">
        <f>IFERROR(VLOOKUP(C1278,Cadastro_Produtos!A:B,2,FALSE),"")</f>
        <v/>
      </c>
      <c r="F1278" s="12" t="n"/>
      <c r="G1278" s="13" t="n"/>
    </row>
    <row r="1279">
      <c r="A1279" s="12" t="n"/>
      <c r="D1279">
        <f>IFERROR(VLOOKUP(C1279,Cadastro_Produtos!A:B,2,FALSE),"")</f>
        <v/>
      </c>
      <c r="F1279" s="12" t="n"/>
      <c r="G1279" s="13" t="n"/>
    </row>
    <row r="1280">
      <c r="A1280" s="12" t="n"/>
      <c r="D1280">
        <f>IFERROR(VLOOKUP(C1280,Cadastro_Produtos!A:B,2,FALSE),"")</f>
        <v/>
      </c>
      <c r="F1280" s="12" t="n"/>
      <c r="G1280" s="13" t="n"/>
    </row>
    <row r="1281">
      <c r="A1281" s="12" t="n"/>
      <c r="D1281">
        <f>IFERROR(VLOOKUP(C1281,Cadastro_Produtos!A:B,2,FALSE),"")</f>
        <v/>
      </c>
      <c r="F1281" s="12" t="n"/>
      <c r="G1281" s="13" t="n"/>
    </row>
    <row r="1282">
      <c r="A1282" s="12" t="n"/>
      <c r="D1282">
        <f>IFERROR(VLOOKUP(C1282,Cadastro_Produtos!A:B,2,FALSE),"")</f>
        <v/>
      </c>
      <c r="F1282" s="12" t="n"/>
      <c r="G1282" s="13" t="n"/>
    </row>
    <row r="1283">
      <c r="A1283" s="12" t="n"/>
      <c r="D1283">
        <f>IFERROR(VLOOKUP(C1283,Cadastro_Produtos!A:B,2,FALSE),"")</f>
        <v/>
      </c>
      <c r="F1283" s="12" t="n"/>
      <c r="G1283" s="13" t="n"/>
    </row>
    <row r="1284">
      <c r="A1284" s="12" t="n"/>
      <c r="D1284">
        <f>IFERROR(VLOOKUP(C1284,Cadastro_Produtos!A:B,2,FALSE),"")</f>
        <v/>
      </c>
      <c r="F1284" s="12" t="n"/>
      <c r="G1284" s="13" t="n"/>
    </row>
    <row r="1285">
      <c r="A1285" s="12" t="n"/>
      <c r="D1285">
        <f>IFERROR(VLOOKUP(C1285,Cadastro_Produtos!A:B,2,FALSE),"")</f>
        <v/>
      </c>
      <c r="F1285" s="12" t="n"/>
      <c r="G1285" s="13" t="n"/>
    </row>
    <row r="1286">
      <c r="A1286" s="12" t="n"/>
      <c r="D1286">
        <f>IFERROR(VLOOKUP(C1286,Cadastro_Produtos!A:B,2,FALSE),"")</f>
        <v/>
      </c>
      <c r="F1286" s="12" t="n"/>
      <c r="G1286" s="13" t="n"/>
    </row>
    <row r="1287">
      <c r="A1287" s="12" t="n"/>
      <c r="D1287">
        <f>IFERROR(VLOOKUP(C1287,Cadastro_Produtos!A:B,2,FALSE),"")</f>
        <v/>
      </c>
      <c r="F1287" s="12" t="n"/>
      <c r="G1287" s="13" t="n"/>
    </row>
    <row r="1288">
      <c r="A1288" s="12" t="n"/>
      <c r="D1288">
        <f>IFERROR(VLOOKUP(C1288,Cadastro_Produtos!A:B,2,FALSE),"")</f>
        <v/>
      </c>
      <c r="F1288" s="12" t="n"/>
      <c r="G1288" s="13" t="n"/>
    </row>
    <row r="1289">
      <c r="A1289" s="12" t="n"/>
      <c r="D1289">
        <f>IFERROR(VLOOKUP(C1289,Cadastro_Produtos!A:B,2,FALSE),"")</f>
        <v/>
      </c>
      <c r="F1289" s="12" t="n"/>
      <c r="G1289" s="13" t="n"/>
    </row>
    <row r="1290">
      <c r="A1290" s="12" t="n"/>
      <c r="D1290">
        <f>IFERROR(VLOOKUP(C1290,Cadastro_Produtos!A:B,2,FALSE),"")</f>
        <v/>
      </c>
      <c r="F1290" s="12" t="n"/>
      <c r="G1290" s="13" t="n"/>
    </row>
    <row r="1291">
      <c r="A1291" s="12" t="n"/>
      <c r="D1291">
        <f>IFERROR(VLOOKUP(C1291,Cadastro_Produtos!A:B,2,FALSE),"")</f>
        <v/>
      </c>
      <c r="F1291" s="12" t="n"/>
      <c r="G1291" s="13" t="n"/>
    </row>
    <row r="1292">
      <c r="A1292" s="12" t="n"/>
      <c r="D1292">
        <f>IFERROR(VLOOKUP(C1292,Cadastro_Produtos!A:B,2,FALSE),"")</f>
        <v/>
      </c>
      <c r="F1292" s="12" t="n"/>
      <c r="G1292" s="13" t="n"/>
    </row>
    <row r="1293">
      <c r="A1293" s="12" t="n"/>
      <c r="D1293">
        <f>IFERROR(VLOOKUP(C1293,Cadastro_Produtos!A:B,2,FALSE),"")</f>
        <v/>
      </c>
      <c r="F1293" s="12" t="n"/>
      <c r="G1293" s="13" t="n"/>
    </row>
    <row r="1294">
      <c r="A1294" s="12" t="n"/>
      <c r="D1294">
        <f>IFERROR(VLOOKUP(C1294,Cadastro_Produtos!A:B,2,FALSE),"")</f>
        <v/>
      </c>
      <c r="F1294" s="12" t="n"/>
      <c r="G1294" s="13" t="n"/>
    </row>
    <row r="1295">
      <c r="A1295" s="12" t="n"/>
      <c r="D1295">
        <f>IFERROR(VLOOKUP(C1295,Cadastro_Produtos!A:B,2,FALSE),"")</f>
        <v/>
      </c>
      <c r="F1295" s="12" t="n"/>
      <c r="G1295" s="13" t="n"/>
    </row>
    <row r="1296">
      <c r="A1296" s="12" t="n"/>
      <c r="D1296">
        <f>IFERROR(VLOOKUP(C1296,Cadastro_Produtos!A:B,2,FALSE),"")</f>
        <v/>
      </c>
      <c r="F1296" s="12" t="n"/>
      <c r="G1296" s="13" t="n"/>
    </row>
    <row r="1297">
      <c r="A1297" s="12" t="n"/>
      <c r="D1297">
        <f>IFERROR(VLOOKUP(C1297,Cadastro_Produtos!A:B,2,FALSE),"")</f>
        <v/>
      </c>
      <c r="F1297" s="12" t="n"/>
      <c r="G1297" s="13" t="n"/>
    </row>
    <row r="1298">
      <c r="A1298" s="12" t="n"/>
      <c r="D1298">
        <f>IFERROR(VLOOKUP(C1298,Cadastro_Produtos!A:B,2,FALSE),"")</f>
        <v/>
      </c>
      <c r="F1298" s="12" t="n"/>
      <c r="G1298" s="13" t="n"/>
    </row>
    <row r="1299">
      <c r="A1299" s="12" t="n"/>
      <c r="D1299">
        <f>IFERROR(VLOOKUP(C1299,Cadastro_Produtos!A:B,2,FALSE),"")</f>
        <v/>
      </c>
      <c r="F1299" s="12" t="n"/>
      <c r="G1299" s="13" t="n"/>
    </row>
    <row r="1300">
      <c r="A1300" s="12" t="n"/>
      <c r="D1300">
        <f>IFERROR(VLOOKUP(C1300,Cadastro_Produtos!A:B,2,FALSE),"")</f>
        <v/>
      </c>
      <c r="F1300" s="12" t="n"/>
      <c r="G1300" s="13" t="n"/>
    </row>
    <row r="1301">
      <c r="A1301" s="12" t="n"/>
      <c r="D1301">
        <f>IFERROR(VLOOKUP(C1301,Cadastro_Produtos!A:B,2,FALSE),"")</f>
        <v/>
      </c>
      <c r="F1301" s="12" t="n"/>
      <c r="G1301" s="13" t="n"/>
    </row>
    <row r="1302">
      <c r="A1302" s="12" t="n"/>
      <c r="D1302">
        <f>IFERROR(VLOOKUP(C1302,Cadastro_Produtos!A:B,2,FALSE),"")</f>
        <v/>
      </c>
      <c r="F1302" s="12" t="n"/>
      <c r="G1302" s="13" t="n"/>
    </row>
    <row r="1303">
      <c r="A1303" s="12" t="n"/>
      <c r="D1303">
        <f>IFERROR(VLOOKUP(C1303,Cadastro_Produtos!A:B,2,FALSE),"")</f>
        <v/>
      </c>
      <c r="F1303" s="12" t="n"/>
      <c r="G1303" s="13" t="n"/>
    </row>
    <row r="1304">
      <c r="A1304" s="12" t="n"/>
      <c r="D1304">
        <f>IFERROR(VLOOKUP(C1304,Cadastro_Produtos!A:B,2,FALSE),"")</f>
        <v/>
      </c>
      <c r="F1304" s="12" t="n"/>
      <c r="G1304" s="13" t="n"/>
    </row>
    <row r="1305">
      <c r="A1305" s="12" t="n"/>
      <c r="D1305">
        <f>IFERROR(VLOOKUP(C1305,Cadastro_Produtos!A:B,2,FALSE),"")</f>
        <v/>
      </c>
      <c r="F1305" s="12" t="n"/>
      <c r="G1305" s="13" t="n"/>
    </row>
    <row r="1306">
      <c r="A1306" s="12" t="n"/>
      <c r="D1306">
        <f>IFERROR(VLOOKUP(C1306,Cadastro_Produtos!A:B,2,FALSE),"")</f>
        <v/>
      </c>
      <c r="F1306" s="12" t="n"/>
      <c r="G1306" s="13" t="n"/>
    </row>
    <row r="1307">
      <c r="A1307" s="12" t="n"/>
      <c r="D1307">
        <f>IFERROR(VLOOKUP(C1307,Cadastro_Produtos!A:B,2,FALSE),"")</f>
        <v/>
      </c>
      <c r="F1307" s="12" t="n"/>
      <c r="G1307" s="13" t="n"/>
    </row>
    <row r="1308">
      <c r="A1308" s="12" t="n"/>
      <c r="D1308">
        <f>IFERROR(VLOOKUP(C1308,Cadastro_Produtos!A:B,2,FALSE),"")</f>
        <v/>
      </c>
      <c r="F1308" s="12" t="n"/>
      <c r="G1308" s="13" t="n"/>
    </row>
    <row r="1309">
      <c r="A1309" s="12" t="n"/>
      <c r="D1309">
        <f>IFERROR(VLOOKUP(C1309,Cadastro_Produtos!A:B,2,FALSE),"")</f>
        <v/>
      </c>
      <c r="F1309" s="12" t="n"/>
      <c r="G1309" s="13" t="n"/>
    </row>
    <row r="1310">
      <c r="A1310" s="12" t="n"/>
      <c r="D1310">
        <f>IFERROR(VLOOKUP(C1310,Cadastro_Produtos!A:B,2,FALSE),"")</f>
        <v/>
      </c>
      <c r="F1310" s="12" t="n"/>
      <c r="G1310" s="13" t="n"/>
    </row>
    <row r="1311">
      <c r="A1311" s="12" t="n"/>
      <c r="D1311">
        <f>IFERROR(VLOOKUP(C1311,Cadastro_Produtos!A:B,2,FALSE),"")</f>
        <v/>
      </c>
      <c r="F1311" s="12" t="n"/>
      <c r="G1311" s="13" t="n"/>
    </row>
    <row r="1312">
      <c r="A1312" s="12" t="n"/>
      <c r="D1312">
        <f>IFERROR(VLOOKUP(C1312,Cadastro_Produtos!A:B,2,FALSE),"")</f>
        <v/>
      </c>
      <c r="F1312" s="12" t="n"/>
      <c r="G1312" s="13" t="n"/>
    </row>
    <row r="1313">
      <c r="A1313" s="12" t="n"/>
      <c r="D1313">
        <f>IFERROR(VLOOKUP(C1313,Cadastro_Produtos!A:B,2,FALSE),"")</f>
        <v/>
      </c>
      <c r="F1313" s="12" t="n"/>
      <c r="G1313" s="13" t="n"/>
    </row>
    <row r="1314">
      <c r="A1314" s="12" t="n"/>
      <c r="D1314">
        <f>IFERROR(VLOOKUP(C1314,Cadastro_Produtos!A:B,2,FALSE),"")</f>
        <v/>
      </c>
      <c r="F1314" s="12" t="n"/>
      <c r="G1314" s="13" t="n"/>
    </row>
    <row r="1315">
      <c r="A1315" s="12" t="n"/>
      <c r="D1315">
        <f>IFERROR(VLOOKUP(C1315,Cadastro_Produtos!A:B,2,FALSE),"")</f>
        <v/>
      </c>
      <c r="F1315" s="12" t="n"/>
      <c r="G1315" s="13" t="n"/>
    </row>
    <row r="1316">
      <c r="A1316" s="12" t="n"/>
      <c r="D1316">
        <f>IFERROR(VLOOKUP(C1316,Cadastro_Produtos!A:B,2,FALSE),"")</f>
        <v/>
      </c>
      <c r="F1316" s="12" t="n"/>
      <c r="G1316" s="13" t="n"/>
    </row>
    <row r="1317">
      <c r="A1317" s="12" t="n"/>
      <c r="D1317">
        <f>IFERROR(VLOOKUP(C1317,Cadastro_Produtos!A:B,2,FALSE),"")</f>
        <v/>
      </c>
      <c r="F1317" s="12" t="n"/>
      <c r="G1317" s="13" t="n"/>
    </row>
    <row r="1318">
      <c r="A1318" s="12" t="n"/>
      <c r="D1318">
        <f>IFERROR(VLOOKUP(C1318,Cadastro_Produtos!A:B,2,FALSE),"")</f>
        <v/>
      </c>
      <c r="F1318" s="12" t="n"/>
      <c r="G1318" s="13" t="n"/>
    </row>
    <row r="1319">
      <c r="A1319" s="12" t="n"/>
      <c r="D1319">
        <f>IFERROR(VLOOKUP(C1319,Cadastro_Produtos!A:B,2,FALSE),"")</f>
        <v/>
      </c>
      <c r="F1319" s="12" t="n"/>
      <c r="G1319" s="13" t="n"/>
    </row>
    <row r="1320">
      <c r="A1320" s="12" t="n"/>
      <c r="D1320">
        <f>IFERROR(VLOOKUP(C1320,Cadastro_Produtos!A:B,2,FALSE),"")</f>
        <v/>
      </c>
      <c r="F1320" s="12" t="n"/>
      <c r="G1320" s="13" t="n"/>
    </row>
    <row r="1321">
      <c r="A1321" s="12" t="n"/>
      <c r="D1321">
        <f>IFERROR(VLOOKUP(C1321,Cadastro_Produtos!A:B,2,FALSE),"")</f>
        <v/>
      </c>
      <c r="F1321" s="12" t="n"/>
      <c r="G1321" s="13" t="n"/>
    </row>
    <row r="1322">
      <c r="A1322" s="12" t="n"/>
      <c r="D1322">
        <f>IFERROR(VLOOKUP(C1322,Cadastro_Produtos!A:B,2,FALSE),"")</f>
        <v/>
      </c>
      <c r="F1322" s="12" t="n"/>
      <c r="G1322" s="13" t="n"/>
    </row>
    <row r="1323">
      <c r="A1323" s="12" t="n"/>
      <c r="D1323">
        <f>IFERROR(VLOOKUP(C1323,Cadastro_Produtos!A:B,2,FALSE),"")</f>
        <v/>
      </c>
      <c r="F1323" s="12" t="n"/>
      <c r="G1323" s="13" t="n"/>
    </row>
    <row r="1324">
      <c r="A1324" s="12" t="n"/>
      <c r="D1324">
        <f>IFERROR(VLOOKUP(C1324,Cadastro_Produtos!A:B,2,FALSE),"")</f>
        <v/>
      </c>
      <c r="F1324" s="12" t="n"/>
      <c r="G1324" s="13" t="n"/>
    </row>
    <row r="1325">
      <c r="A1325" s="12" t="n"/>
      <c r="D1325">
        <f>IFERROR(VLOOKUP(C1325,Cadastro_Produtos!A:B,2,FALSE),"")</f>
        <v/>
      </c>
      <c r="F1325" s="12" t="n"/>
      <c r="G1325" s="13" t="n"/>
    </row>
    <row r="1326">
      <c r="A1326" s="12" t="n"/>
      <c r="D1326">
        <f>IFERROR(VLOOKUP(C1326,Cadastro_Produtos!A:B,2,FALSE),"")</f>
        <v/>
      </c>
      <c r="F1326" s="12" t="n"/>
      <c r="G1326" s="13" t="n"/>
    </row>
    <row r="1327">
      <c r="A1327" s="12" t="n"/>
      <c r="D1327">
        <f>IFERROR(VLOOKUP(C1327,Cadastro_Produtos!A:B,2,FALSE),"")</f>
        <v/>
      </c>
      <c r="F1327" s="12" t="n"/>
      <c r="G1327" s="13" t="n"/>
    </row>
    <row r="1328">
      <c r="A1328" s="12" t="n"/>
      <c r="D1328">
        <f>IFERROR(VLOOKUP(C1328,Cadastro_Produtos!A:B,2,FALSE),"")</f>
        <v/>
      </c>
      <c r="F1328" s="12" t="n"/>
      <c r="G1328" s="13" t="n"/>
    </row>
    <row r="1329">
      <c r="A1329" s="12" t="n"/>
      <c r="D1329">
        <f>IFERROR(VLOOKUP(C1329,Cadastro_Produtos!A:B,2,FALSE),"")</f>
        <v/>
      </c>
      <c r="F1329" s="12" t="n"/>
      <c r="G1329" s="13" t="n"/>
    </row>
    <row r="1330">
      <c r="A1330" s="12" t="n"/>
      <c r="D1330">
        <f>IFERROR(VLOOKUP(C1330,Cadastro_Produtos!A:B,2,FALSE),"")</f>
        <v/>
      </c>
      <c r="F1330" s="12" t="n"/>
      <c r="G1330" s="13" t="n"/>
    </row>
    <row r="1331">
      <c r="A1331" s="12" t="n"/>
      <c r="D1331">
        <f>IFERROR(VLOOKUP(C1331,Cadastro_Produtos!A:B,2,FALSE),"")</f>
        <v/>
      </c>
      <c r="F1331" s="12" t="n"/>
      <c r="G1331" s="13" t="n"/>
    </row>
    <row r="1332">
      <c r="A1332" s="12" t="n"/>
      <c r="D1332">
        <f>IFERROR(VLOOKUP(C1332,Cadastro_Produtos!A:B,2,FALSE),"")</f>
        <v/>
      </c>
      <c r="F1332" s="12" t="n"/>
      <c r="G1332" s="13" t="n"/>
    </row>
    <row r="1333">
      <c r="A1333" s="12" t="n"/>
      <c r="D1333">
        <f>IFERROR(VLOOKUP(C1333,Cadastro_Produtos!A:B,2,FALSE),"")</f>
        <v/>
      </c>
      <c r="F1333" s="12" t="n"/>
      <c r="G1333" s="13" t="n"/>
    </row>
    <row r="1334">
      <c r="A1334" s="12" t="n"/>
      <c r="D1334">
        <f>IFERROR(VLOOKUP(C1334,Cadastro_Produtos!A:B,2,FALSE),"")</f>
        <v/>
      </c>
      <c r="F1334" s="12" t="n"/>
      <c r="G1334" s="13" t="n"/>
    </row>
    <row r="1335">
      <c r="A1335" s="12" t="n"/>
      <c r="D1335">
        <f>IFERROR(VLOOKUP(C1335,Cadastro_Produtos!A:B,2,FALSE),"")</f>
        <v/>
      </c>
      <c r="F1335" s="12" t="n"/>
      <c r="G1335" s="13" t="n"/>
    </row>
    <row r="1336">
      <c r="A1336" s="12" t="n"/>
      <c r="D1336">
        <f>IFERROR(VLOOKUP(C1336,Cadastro_Produtos!A:B,2,FALSE),"")</f>
        <v/>
      </c>
      <c r="F1336" s="12" t="n"/>
      <c r="G1336" s="13" t="n"/>
    </row>
    <row r="1337">
      <c r="A1337" s="12" t="n"/>
      <c r="D1337">
        <f>IFERROR(VLOOKUP(C1337,Cadastro_Produtos!A:B,2,FALSE),"")</f>
        <v/>
      </c>
      <c r="F1337" s="12" t="n"/>
      <c r="G1337" s="13" t="n"/>
    </row>
    <row r="1338">
      <c r="A1338" s="12" t="n"/>
      <c r="D1338">
        <f>IFERROR(VLOOKUP(C1338,Cadastro_Produtos!A:B,2,FALSE),"")</f>
        <v/>
      </c>
      <c r="F1338" s="12" t="n"/>
      <c r="G1338" s="13" t="n"/>
    </row>
    <row r="1339">
      <c r="A1339" s="12" t="n"/>
      <c r="D1339">
        <f>IFERROR(VLOOKUP(C1339,Cadastro_Produtos!A:B,2,FALSE),"")</f>
        <v/>
      </c>
      <c r="F1339" s="12" t="n"/>
      <c r="G1339" s="13" t="n"/>
    </row>
    <row r="1340">
      <c r="A1340" s="12" t="n"/>
      <c r="D1340">
        <f>IFERROR(VLOOKUP(C1340,Cadastro_Produtos!A:B,2,FALSE),"")</f>
        <v/>
      </c>
      <c r="F1340" s="12" t="n"/>
      <c r="G1340" s="13" t="n"/>
    </row>
    <row r="1341">
      <c r="A1341" s="12" t="n"/>
      <c r="D1341">
        <f>IFERROR(VLOOKUP(C1341,Cadastro_Produtos!A:B,2,FALSE),"")</f>
        <v/>
      </c>
      <c r="F1341" s="12" t="n"/>
      <c r="G1341" s="13" t="n"/>
    </row>
    <row r="1342">
      <c r="A1342" s="12" t="n"/>
      <c r="D1342">
        <f>IFERROR(VLOOKUP(C1342,Cadastro_Produtos!A:B,2,FALSE),"")</f>
        <v/>
      </c>
      <c r="F1342" s="12" t="n"/>
      <c r="G1342" s="13" t="n"/>
    </row>
    <row r="1343">
      <c r="A1343" s="12" t="n"/>
      <c r="D1343">
        <f>IFERROR(VLOOKUP(C1343,Cadastro_Produtos!A:B,2,FALSE),"")</f>
        <v/>
      </c>
      <c r="F1343" s="12" t="n"/>
      <c r="G1343" s="13" t="n"/>
    </row>
    <row r="1344">
      <c r="A1344" s="12" t="n"/>
      <c r="D1344">
        <f>IFERROR(VLOOKUP(C1344,Cadastro_Produtos!A:B,2,FALSE),"")</f>
        <v/>
      </c>
      <c r="F1344" s="12" t="n"/>
      <c r="G1344" s="13" t="n"/>
    </row>
    <row r="1345">
      <c r="A1345" s="12" t="n"/>
      <c r="D1345">
        <f>IFERROR(VLOOKUP(C1345,Cadastro_Produtos!A:B,2,FALSE),"")</f>
        <v/>
      </c>
      <c r="F1345" s="12" t="n"/>
      <c r="G1345" s="13" t="n"/>
    </row>
    <row r="1346">
      <c r="A1346" s="12" t="n"/>
      <c r="D1346">
        <f>IFERROR(VLOOKUP(C1346,Cadastro_Produtos!A:B,2,FALSE),"")</f>
        <v/>
      </c>
      <c r="F1346" s="12" t="n"/>
      <c r="G1346" s="13" t="n"/>
    </row>
    <row r="1347">
      <c r="A1347" s="12" t="n"/>
      <c r="D1347">
        <f>IFERROR(VLOOKUP(C1347,Cadastro_Produtos!A:B,2,FALSE),"")</f>
        <v/>
      </c>
      <c r="F1347" s="12" t="n"/>
      <c r="G1347" s="13" t="n"/>
    </row>
    <row r="1348">
      <c r="A1348" s="12" t="n"/>
      <c r="D1348">
        <f>IFERROR(VLOOKUP(C1348,Cadastro_Produtos!A:B,2,FALSE),"")</f>
        <v/>
      </c>
      <c r="F1348" s="12" t="n"/>
      <c r="G1348" s="13" t="n"/>
    </row>
    <row r="1349">
      <c r="A1349" s="12" t="n"/>
      <c r="D1349">
        <f>IFERROR(VLOOKUP(C1349,Cadastro_Produtos!A:B,2,FALSE),"")</f>
        <v/>
      </c>
      <c r="F1349" s="12" t="n"/>
      <c r="G1349" s="13" t="n"/>
    </row>
    <row r="1350">
      <c r="A1350" s="12" t="n"/>
      <c r="D1350">
        <f>IFERROR(VLOOKUP(C1350,Cadastro_Produtos!A:B,2,FALSE),"")</f>
        <v/>
      </c>
      <c r="F1350" s="12" t="n"/>
      <c r="G1350" s="13" t="n"/>
    </row>
    <row r="1351">
      <c r="A1351" s="12" t="n"/>
      <c r="D1351">
        <f>IFERROR(VLOOKUP(C1351,Cadastro_Produtos!A:B,2,FALSE),"")</f>
        <v/>
      </c>
      <c r="F1351" s="12" t="n"/>
      <c r="G1351" s="13" t="n"/>
    </row>
    <row r="1352">
      <c r="A1352" s="12" t="n"/>
      <c r="D1352">
        <f>IFERROR(VLOOKUP(C1352,Cadastro_Produtos!A:B,2,FALSE),"")</f>
        <v/>
      </c>
      <c r="F1352" s="12" t="n"/>
      <c r="G1352" s="13" t="n"/>
    </row>
    <row r="1353">
      <c r="A1353" s="12" t="n"/>
      <c r="D1353">
        <f>IFERROR(VLOOKUP(C1353,Cadastro_Produtos!A:B,2,FALSE),"")</f>
        <v/>
      </c>
      <c r="F1353" s="12" t="n"/>
      <c r="G1353" s="13" t="n"/>
    </row>
    <row r="1354">
      <c r="A1354" s="12" t="n"/>
      <c r="D1354">
        <f>IFERROR(VLOOKUP(C1354,Cadastro_Produtos!A:B,2,FALSE),"")</f>
        <v/>
      </c>
      <c r="F1354" s="12" t="n"/>
      <c r="G1354" s="13" t="n"/>
    </row>
    <row r="1355">
      <c r="A1355" s="12" t="n"/>
      <c r="D1355">
        <f>IFERROR(VLOOKUP(C1355,Cadastro_Produtos!A:B,2,FALSE),"")</f>
        <v/>
      </c>
      <c r="F1355" s="12" t="n"/>
      <c r="G1355" s="13" t="n"/>
    </row>
    <row r="1356">
      <c r="A1356" s="12" t="n"/>
      <c r="D1356">
        <f>IFERROR(VLOOKUP(C1356,Cadastro_Produtos!A:B,2,FALSE),"")</f>
        <v/>
      </c>
      <c r="F1356" s="12" t="n"/>
      <c r="G1356" s="13" t="n"/>
    </row>
    <row r="1357">
      <c r="A1357" s="12" t="n"/>
      <c r="D1357">
        <f>IFERROR(VLOOKUP(C1357,Cadastro_Produtos!A:B,2,FALSE),"")</f>
        <v/>
      </c>
      <c r="F1357" s="12" t="n"/>
      <c r="G1357" s="13" t="n"/>
    </row>
    <row r="1358">
      <c r="A1358" s="12" t="n"/>
      <c r="D1358">
        <f>IFERROR(VLOOKUP(C1358,Cadastro_Produtos!A:B,2,FALSE),"")</f>
        <v/>
      </c>
      <c r="F1358" s="12" t="n"/>
      <c r="G1358" s="13" t="n"/>
    </row>
    <row r="1359">
      <c r="A1359" s="12" t="n"/>
      <c r="D1359">
        <f>IFERROR(VLOOKUP(C1359,Cadastro_Produtos!A:B,2,FALSE),"")</f>
        <v/>
      </c>
      <c r="F1359" s="12" t="n"/>
      <c r="G1359" s="13" t="n"/>
    </row>
    <row r="1360">
      <c r="A1360" s="12" t="n"/>
      <c r="D1360">
        <f>IFERROR(VLOOKUP(C1360,Cadastro_Produtos!A:B,2,FALSE),"")</f>
        <v/>
      </c>
      <c r="F1360" s="12" t="n"/>
      <c r="G1360" s="13" t="n"/>
    </row>
    <row r="1361">
      <c r="A1361" s="12" t="n"/>
      <c r="D1361">
        <f>IFERROR(VLOOKUP(C1361,Cadastro_Produtos!A:B,2,FALSE),"")</f>
        <v/>
      </c>
      <c r="F1361" s="12" t="n"/>
      <c r="G1361" s="13" t="n"/>
    </row>
    <row r="1362">
      <c r="A1362" s="12" t="n"/>
      <c r="D1362">
        <f>IFERROR(VLOOKUP(C1362,Cadastro_Produtos!A:B,2,FALSE),"")</f>
        <v/>
      </c>
      <c r="F1362" s="12" t="n"/>
      <c r="G1362" s="13" t="n"/>
    </row>
    <row r="1363">
      <c r="A1363" s="12" t="n"/>
      <c r="D1363">
        <f>IFERROR(VLOOKUP(C1363,Cadastro_Produtos!A:B,2,FALSE),"")</f>
        <v/>
      </c>
      <c r="F1363" s="12" t="n"/>
      <c r="G1363" s="13" t="n"/>
    </row>
    <row r="1364">
      <c r="A1364" s="12" t="n"/>
      <c r="D1364">
        <f>IFERROR(VLOOKUP(C1364,Cadastro_Produtos!A:B,2,FALSE),"")</f>
        <v/>
      </c>
      <c r="F1364" s="12" t="n"/>
      <c r="G1364" s="13" t="n"/>
    </row>
    <row r="1365">
      <c r="A1365" s="12" t="n"/>
      <c r="D1365">
        <f>IFERROR(VLOOKUP(C1365,Cadastro_Produtos!A:B,2,FALSE),"")</f>
        <v/>
      </c>
      <c r="F1365" s="12" t="n"/>
      <c r="G1365" s="13" t="n"/>
    </row>
    <row r="1366">
      <c r="A1366" s="12" t="n"/>
      <c r="D1366">
        <f>IFERROR(VLOOKUP(C1366,Cadastro_Produtos!A:B,2,FALSE),"")</f>
        <v/>
      </c>
      <c r="F1366" s="12" t="n"/>
      <c r="G1366" s="13" t="n"/>
    </row>
    <row r="1367">
      <c r="A1367" s="12" t="n"/>
      <c r="D1367">
        <f>IFERROR(VLOOKUP(C1367,Cadastro_Produtos!A:B,2,FALSE),"")</f>
        <v/>
      </c>
      <c r="F1367" s="12" t="n"/>
      <c r="G1367" s="13" t="n"/>
    </row>
    <row r="1368">
      <c r="A1368" s="12" t="n"/>
      <c r="D1368">
        <f>IFERROR(VLOOKUP(C1368,Cadastro_Produtos!A:B,2,FALSE),"")</f>
        <v/>
      </c>
      <c r="F1368" s="12" t="n"/>
      <c r="G1368" s="13" t="n"/>
    </row>
    <row r="1369">
      <c r="A1369" s="12" t="n"/>
      <c r="D1369">
        <f>IFERROR(VLOOKUP(C1369,Cadastro_Produtos!A:B,2,FALSE),"")</f>
        <v/>
      </c>
      <c r="F1369" s="12" t="n"/>
      <c r="G1369" s="13" t="n"/>
    </row>
    <row r="1370">
      <c r="A1370" s="12" t="n"/>
      <c r="D1370">
        <f>IFERROR(VLOOKUP(C1370,Cadastro_Produtos!A:B,2,FALSE),"")</f>
        <v/>
      </c>
      <c r="F1370" s="12" t="n"/>
      <c r="G1370" s="13" t="n"/>
    </row>
    <row r="1371">
      <c r="A1371" s="12" t="n"/>
      <c r="D1371">
        <f>IFERROR(VLOOKUP(C1371,Cadastro_Produtos!A:B,2,FALSE),"")</f>
        <v/>
      </c>
      <c r="F1371" s="12" t="n"/>
      <c r="G1371" s="13" t="n"/>
    </row>
    <row r="1372">
      <c r="A1372" s="12" t="n"/>
      <c r="D1372">
        <f>IFERROR(VLOOKUP(C1372,Cadastro_Produtos!A:B,2,FALSE),"")</f>
        <v/>
      </c>
      <c r="F1372" s="12" t="n"/>
      <c r="G1372" s="13" t="n"/>
    </row>
    <row r="1373">
      <c r="A1373" s="12" t="n"/>
      <c r="D1373">
        <f>IFERROR(VLOOKUP(C1373,Cadastro_Produtos!A:B,2,FALSE),"")</f>
        <v/>
      </c>
      <c r="F1373" s="12" t="n"/>
      <c r="G1373" s="13" t="n"/>
    </row>
    <row r="1374">
      <c r="A1374" s="12" t="n"/>
      <c r="D1374">
        <f>IFERROR(VLOOKUP(C1374,Cadastro_Produtos!A:B,2,FALSE),"")</f>
        <v/>
      </c>
      <c r="F1374" s="12" t="n"/>
      <c r="G1374" s="13" t="n"/>
    </row>
    <row r="1375">
      <c r="A1375" s="12" t="n"/>
      <c r="D1375">
        <f>IFERROR(VLOOKUP(C1375,Cadastro_Produtos!A:B,2,FALSE),"")</f>
        <v/>
      </c>
      <c r="F1375" s="12" t="n"/>
      <c r="G1375" s="13" t="n"/>
    </row>
    <row r="1376">
      <c r="A1376" s="12" t="n"/>
      <c r="D1376">
        <f>IFERROR(VLOOKUP(C1376,Cadastro_Produtos!A:B,2,FALSE),"")</f>
        <v/>
      </c>
      <c r="F1376" s="12" t="n"/>
      <c r="G1376" s="13" t="n"/>
    </row>
    <row r="1377">
      <c r="A1377" s="12" t="n"/>
      <c r="D1377">
        <f>IFERROR(VLOOKUP(C1377,Cadastro_Produtos!A:B,2,FALSE),"")</f>
        <v/>
      </c>
      <c r="F1377" s="12" t="n"/>
      <c r="G1377" s="13" t="n"/>
    </row>
    <row r="1378">
      <c r="A1378" s="12" t="n"/>
      <c r="D1378">
        <f>IFERROR(VLOOKUP(C1378,Cadastro_Produtos!A:B,2,FALSE),"")</f>
        <v/>
      </c>
      <c r="F1378" s="12" t="n"/>
      <c r="G1378" s="13" t="n"/>
    </row>
    <row r="1379">
      <c r="A1379" s="12" t="n"/>
      <c r="D1379">
        <f>IFERROR(VLOOKUP(C1379,Cadastro_Produtos!A:B,2,FALSE),"")</f>
        <v/>
      </c>
      <c r="F1379" s="12" t="n"/>
      <c r="G1379" s="13" t="n"/>
    </row>
    <row r="1380">
      <c r="A1380" s="12" t="n"/>
      <c r="D1380">
        <f>IFERROR(VLOOKUP(C1380,Cadastro_Produtos!A:B,2,FALSE),"")</f>
        <v/>
      </c>
      <c r="F1380" s="12" t="n"/>
      <c r="G1380" s="13" t="n"/>
    </row>
    <row r="1381">
      <c r="A1381" s="12" t="n"/>
      <c r="D1381">
        <f>IFERROR(VLOOKUP(C1381,Cadastro_Produtos!A:B,2,FALSE),"")</f>
        <v/>
      </c>
      <c r="F1381" s="12" t="n"/>
      <c r="G1381" s="13" t="n"/>
    </row>
    <row r="1382">
      <c r="A1382" s="12" t="n"/>
      <c r="D1382">
        <f>IFERROR(VLOOKUP(C1382,Cadastro_Produtos!A:B,2,FALSE),"")</f>
        <v/>
      </c>
      <c r="F1382" s="12" t="n"/>
      <c r="G1382" s="13" t="n"/>
    </row>
    <row r="1383">
      <c r="A1383" s="12" t="n"/>
      <c r="D1383">
        <f>IFERROR(VLOOKUP(C1383,Cadastro_Produtos!A:B,2,FALSE),"")</f>
        <v/>
      </c>
      <c r="F1383" s="12" t="n"/>
      <c r="G1383" s="13" t="n"/>
    </row>
    <row r="1384">
      <c r="A1384" s="12" t="n"/>
      <c r="D1384">
        <f>IFERROR(VLOOKUP(C1384,Cadastro_Produtos!A:B,2,FALSE),"")</f>
        <v/>
      </c>
      <c r="F1384" s="12" t="n"/>
      <c r="G1384" s="13" t="n"/>
    </row>
    <row r="1385">
      <c r="A1385" s="12" t="n"/>
      <c r="D1385">
        <f>IFERROR(VLOOKUP(C1385,Cadastro_Produtos!A:B,2,FALSE),"")</f>
        <v/>
      </c>
      <c r="F1385" s="12" t="n"/>
      <c r="G1385" s="13" t="n"/>
    </row>
    <row r="1386">
      <c r="A1386" s="12" t="n"/>
      <c r="D1386">
        <f>IFERROR(VLOOKUP(C1386,Cadastro_Produtos!A:B,2,FALSE),"")</f>
        <v/>
      </c>
      <c r="F1386" s="12" t="n"/>
      <c r="G1386" s="13" t="n"/>
    </row>
    <row r="1387">
      <c r="A1387" s="12" t="n"/>
      <c r="D1387">
        <f>IFERROR(VLOOKUP(C1387,Cadastro_Produtos!A:B,2,FALSE),"")</f>
        <v/>
      </c>
      <c r="F1387" s="12" t="n"/>
      <c r="G1387" s="13" t="n"/>
    </row>
    <row r="1388">
      <c r="A1388" s="12" t="n"/>
      <c r="D1388">
        <f>IFERROR(VLOOKUP(C1388,Cadastro_Produtos!A:B,2,FALSE),"")</f>
        <v/>
      </c>
      <c r="F1388" s="12" t="n"/>
      <c r="G1388" s="13" t="n"/>
    </row>
    <row r="1389">
      <c r="A1389" s="12" t="n"/>
      <c r="D1389">
        <f>IFERROR(VLOOKUP(C1389,Cadastro_Produtos!A:B,2,FALSE),"")</f>
        <v/>
      </c>
      <c r="F1389" s="12" t="n"/>
      <c r="G1389" s="13" t="n"/>
    </row>
    <row r="1390">
      <c r="A1390" s="12" t="n"/>
      <c r="D1390">
        <f>IFERROR(VLOOKUP(C1390,Cadastro_Produtos!A:B,2,FALSE),"")</f>
        <v/>
      </c>
      <c r="F1390" s="12" t="n"/>
      <c r="G1390" s="13" t="n"/>
    </row>
    <row r="1391">
      <c r="A1391" s="12" t="n"/>
      <c r="D1391">
        <f>IFERROR(VLOOKUP(C1391,Cadastro_Produtos!A:B,2,FALSE),"")</f>
        <v/>
      </c>
      <c r="F1391" s="12" t="n"/>
      <c r="G1391" s="13" t="n"/>
    </row>
    <row r="1392">
      <c r="A1392" s="12" t="n"/>
      <c r="D1392">
        <f>IFERROR(VLOOKUP(C1392,Cadastro_Produtos!A:B,2,FALSE),"")</f>
        <v/>
      </c>
      <c r="F1392" s="12" t="n"/>
      <c r="G1392" s="13" t="n"/>
    </row>
    <row r="1393">
      <c r="A1393" s="12" t="n"/>
      <c r="D1393">
        <f>IFERROR(VLOOKUP(C1393,Cadastro_Produtos!A:B,2,FALSE),"")</f>
        <v/>
      </c>
      <c r="F1393" s="12" t="n"/>
      <c r="G1393" s="13" t="n"/>
    </row>
    <row r="1394">
      <c r="A1394" s="12" t="n"/>
      <c r="D1394">
        <f>IFERROR(VLOOKUP(C1394,Cadastro_Produtos!A:B,2,FALSE),"")</f>
        <v/>
      </c>
      <c r="F1394" s="12" t="n"/>
      <c r="G1394" s="13" t="n"/>
    </row>
    <row r="1395">
      <c r="A1395" s="12" t="n"/>
      <c r="D1395">
        <f>IFERROR(VLOOKUP(C1395,Cadastro_Produtos!A:B,2,FALSE),"")</f>
        <v/>
      </c>
      <c r="F1395" s="12" t="n"/>
      <c r="G1395" s="13" t="n"/>
    </row>
    <row r="1396">
      <c r="A1396" s="12" t="n"/>
      <c r="D1396">
        <f>IFERROR(VLOOKUP(C1396,Cadastro_Produtos!A:B,2,FALSE),"")</f>
        <v/>
      </c>
      <c r="F1396" s="12" t="n"/>
      <c r="G1396" s="13" t="n"/>
    </row>
    <row r="1397">
      <c r="A1397" s="12" t="n"/>
      <c r="D1397">
        <f>IFERROR(VLOOKUP(C1397,Cadastro_Produtos!A:B,2,FALSE),"")</f>
        <v/>
      </c>
      <c r="F1397" s="12" t="n"/>
      <c r="G1397" s="13" t="n"/>
    </row>
    <row r="1398">
      <c r="A1398" s="12" t="n"/>
      <c r="D1398">
        <f>IFERROR(VLOOKUP(C1398,Cadastro_Produtos!A:B,2,FALSE),"")</f>
        <v/>
      </c>
      <c r="F1398" s="12" t="n"/>
      <c r="G1398" s="13" t="n"/>
    </row>
    <row r="1399">
      <c r="A1399" s="12" t="n"/>
      <c r="D1399">
        <f>IFERROR(VLOOKUP(C1399,Cadastro_Produtos!A:B,2,FALSE),"")</f>
        <v/>
      </c>
      <c r="F1399" s="12" t="n"/>
      <c r="G1399" s="13" t="n"/>
    </row>
    <row r="1400">
      <c r="A1400" s="12" t="n"/>
      <c r="D1400">
        <f>IFERROR(VLOOKUP(C1400,Cadastro_Produtos!A:B,2,FALSE),"")</f>
        <v/>
      </c>
      <c r="F1400" s="12" t="n"/>
      <c r="G1400" s="13" t="n"/>
    </row>
    <row r="1401">
      <c r="A1401" s="12" t="n"/>
      <c r="D1401">
        <f>IFERROR(VLOOKUP(C1401,Cadastro_Produtos!A:B,2,FALSE),"")</f>
        <v/>
      </c>
      <c r="F1401" s="12" t="n"/>
      <c r="G1401" s="13" t="n"/>
    </row>
    <row r="1402">
      <c r="A1402" s="12" t="n"/>
      <c r="D1402">
        <f>IFERROR(VLOOKUP(C1402,Cadastro_Produtos!A:B,2,FALSE),"")</f>
        <v/>
      </c>
      <c r="F1402" s="12" t="n"/>
      <c r="G1402" s="13" t="n"/>
    </row>
    <row r="1403">
      <c r="A1403" s="12" t="n"/>
      <c r="D1403">
        <f>IFERROR(VLOOKUP(C1403,Cadastro_Produtos!A:B,2,FALSE),"")</f>
        <v/>
      </c>
      <c r="F1403" s="12" t="n"/>
      <c r="G1403" s="13" t="n"/>
    </row>
    <row r="1404">
      <c r="A1404" s="12" t="n"/>
      <c r="D1404">
        <f>IFERROR(VLOOKUP(C1404,Cadastro_Produtos!A:B,2,FALSE),"")</f>
        <v/>
      </c>
      <c r="F1404" s="12" t="n"/>
      <c r="G1404" s="13" t="n"/>
    </row>
    <row r="1405">
      <c r="A1405" s="12" t="n"/>
      <c r="D1405">
        <f>IFERROR(VLOOKUP(C1405,Cadastro_Produtos!A:B,2,FALSE),"")</f>
        <v/>
      </c>
      <c r="F1405" s="12" t="n"/>
      <c r="G1405" s="13" t="n"/>
    </row>
    <row r="1406">
      <c r="A1406" s="12" t="n"/>
      <c r="D1406">
        <f>IFERROR(VLOOKUP(C1406,Cadastro_Produtos!A:B,2,FALSE),"")</f>
        <v/>
      </c>
      <c r="F1406" s="12" t="n"/>
      <c r="G1406" s="13" t="n"/>
    </row>
    <row r="1407">
      <c r="A1407" s="12" t="n"/>
      <c r="D1407">
        <f>IFERROR(VLOOKUP(C1407,Cadastro_Produtos!A:B,2,FALSE),"")</f>
        <v/>
      </c>
      <c r="F1407" s="12" t="n"/>
      <c r="G1407" s="13" t="n"/>
    </row>
    <row r="1408">
      <c r="A1408" s="12" t="n"/>
      <c r="D1408">
        <f>IFERROR(VLOOKUP(C1408,Cadastro_Produtos!A:B,2,FALSE),"")</f>
        <v/>
      </c>
      <c r="F1408" s="12" t="n"/>
      <c r="G1408" s="13" t="n"/>
    </row>
    <row r="1409">
      <c r="A1409" s="12" t="n"/>
      <c r="D1409">
        <f>IFERROR(VLOOKUP(C1409,Cadastro_Produtos!A:B,2,FALSE),"")</f>
        <v/>
      </c>
      <c r="F1409" s="12" t="n"/>
      <c r="G1409" s="13" t="n"/>
    </row>
    <row r="1410">
      <c r="A1410" s="12" t="n"/>
      <c r="D1410">
        <f>IFERROR(VLOOKUP(C1410,Cadastro_Produtos!A:B,2,FALSE),"")</f>
        <v/>
      </c>
      <c r="F1410" s="12" t="n"/>
      <c r="G1410" s="13" t="n"/>
    </row>
    <row r="1411">
      <c r="A1411" s="12" t="n"/>
      <c r="D1411">
        <f>IFERROR(VLOOKUP(C1411,Cadastro_Produtos!A:B,2,FALSE),"")</f>
        <v/>
      </c>
      <c r="F1411" s="12" t="n"/>
      <c r="G1411" s="13" t="n"/>
    </row>
    <row r="1412">
      <c r="A1412" s="12" t="n"/>
      <c r="D1412">
        <f>IFERROR(VLOOKUP(C1412,Cadastro_Produtos!A:B,2,FALSE),"")</f>
        <v/>
      </c>
      <c r="F1412" s="12" t="n"/>
      <c r="G1412" s="13" t="n"/>
    </row>
    <row r="1413">
      <c r="A1413" s="12" t="n"/>
      <c r="D1413">
        <f>IFERROR(VLOOKUP(C1413,Cadastro_Produtos!A:B,2,FALSE),"")</f>
        <v/>
      </c>
      <c r="F1413" s="12" t="n"/>
      <c r="G1413" s="13" t="n"/>
    </row>
    <row r="1414">
      <c r="A1414" s="12" t="n"/>
      <c r="D1414">
        <f>IFERROR(VLOOKUP(C1414,Cadastro_Produtos!A:B,2,FALSE),"")</f>
        <v/>
      </c>
      <c r="F1414" s="12" t="n"/>
      <c r="G1414" s="13" t="n"/>
    </row>
    <row r="1415">
      <c r="A1415" s="12" t="n"/>
      <c r="D1415">
        <f>IFERROR(VLOOKUP(C1415,Cadastro_Produtos!A:B,2,FALSE),"")</f>
        <v/>
      </c>
      <c r="F1415" s="12" t="n"/>
      <c r="G1415" s="13" t="n"/>
    </row>
    <row r="1416">
      <c r="A1416" s="12" t="n"/>
      <c r="D1416">
        <f>IFERROR(VLOOKUP(C1416,Cadastro_Produtos!A:B,2,FALSE),"")</f>
        <v/>
      </c>
      <c r="F1416" s="12" t="n"/>
      <c r="G1416" s="13" t="n"/>
    </row>
    <row r="1417">
      <c r="A1417" s="12" t="n"/>
      <c r="D1417">
        <f>IFERROR(VLOOKUP(C1417,Cadastro_Produtos!A:B,2,FALSE),"")</f>
        <v/>
      </c>
      <c r="F1417" s="12" t="n"/>
      <c r="G1417" s="13" t="n"/>
    </row>
    <row r="1418">
      <c r="A1418" s="12" t="n"/>
      <c r="D1418">
        <f>IFERROR(VLOOKUP(C1418,Cadastro_Produtos!A:B,2,FALSE),"")</f>
        <v/>
      </c>
      <c r="F1418" s="12" t="n"/>
      <c r="G1418" s="13" t="n"/>
    </row>
    <row r="1419">
      <c r="A1419" s="12" t="n"/>
      <c r="D1419">
        <f>IFERROR(VLOOKUP(C1419,Cadastro_Produtos!A:B,2,FALSE),"")</f>
        <v/>
      </c>
      <c r="F1419" s="12" t="n"/>
      <c r="G1419" s="13" t="n"/>
    </row>
    <row r="1420">
      <c r="A1420" s="12" t="n"/>
      <c r="D1420">
        <f>IFERROR(VLOOKUP(C1420,Cadastro_Produtos!A:B,2,FALSE),"")</f>
        <v/>
      </c>
      <c r="F1420" s="12" t="n"/>
      <c r="G1420" s="13" t="n"/>
    </row>
    <row r="1421">
      <c r="A1421" s="12" t="n"/>
      <c r="D1421">
        <f>IFERROR(VLOOKUP(C1421,Cadastro_Produtos!A:B,2,FALSE),"")</f>
        <v/>
      </c>
      <c r="F1421" s="12" t="n"/>
      <c r="G1421" s="13" t="n"/>
    </row>
    <row r="1422">
      <c r="A1422" s="12" t="n"/>
      <c r="D1422">
        <f>IFERROR(VLOOKUP(C1422,Cadastro_Produtos!A:B,2,FALSE),"")</f>
        <v/>
      </c>
      <c r="F1422" s="12" t="n"/>
      <c r="G1422" s="13" t="n"/>
    </row>
    <row r="1423">
      <c r="A1423" s="12" t="n"/>
      <c r="D1423">
        <f>IFERROR(VLOOKUP(C1423,Cadastro_Produtos!A:B,2,FALSE),"")</f>
        <v/>
      </c>
      <c r="F1423" s="12" t="n"/>
      <c r="G1423" s="13" t="n"/>
    </row>
    <row r="1424">
      <c r="A1424" s="12" t="n"/>
      <c r="D1424">
        <f>IFERROR(VLOOKUP(C1424,Cadastro_Produtos!A:B,2,FALSE),"")</f>
        <v/>
      </c>
      <c r="F1424" s="12" t="n"/>
      <c r="G1424" s="13" t="n"/>
    </row>
    <row r="1425">
      <c r="A1425" s="12" t="n"/>
      <c r="D1425">
        <f>IFERROR(VLOOKUP(C1425,Cadastro_Produtos!A:B,2,FALSE),"")</f>
        <v/>
      </c>
      <c r="F1425" s="12" t="n"/>
      <c r="G1425" s="13" t="n"/>
    </row>
    <row r="1426">
      <c r="A1426" s="12" t="n"/>
      <c r="D1426">
        <f>IFERROR(VLOOKUP(C1426,Cadastro_Produtos!A:B,2,FALSE),"")</f>
        <v/>
      </c>
      <c r="F1426" s="12" t="n"/>
      <c r="G1426" s="13" t="n"/>
    </row>
    <row r="1427">
      <c r="A1427" s="12" t="n"/>
      <c r="D1427">
        <f>IFERROR(VLOOKUP(C1427,Cadastro_Produtos!A:B,2,FALSE),"")</f>
        <v/>
      </c>
      <c r="F1427" s="12" t="n"/>
      <c r="G1427" s="13" t="n"/>
    </row>
    <row r="1428">
      <c r="A1428" s="12" t="n"/>
      <c r="D1428">
        <f>IFERROR(VLOOKUP(C1428,Cadastro_Produtos!A:B,2,FALSE),"")</f>
        <v/>
      </c>
      <c r="F1428" s="12" t="n"/>
      <c r="G1428" s="13" t="n"/>
    </row>
    <row r="1429">
      <c r="A1429" s="12" t="n"/>
      <c r="D1429">
        <f>IFERROR(VLOOKUP(C1429,Cadastro_Produtos!A:B,2,FALSE),"")</f>
        <v/>
      </c>
      <c r="F1429" s="12" t="n"/>
      <c r="G1429" s="13" t="n"/>
    </row>
    <row r="1430">
      <c r="A1430" s="12" t="n"/>
      <c r="D1430">
        <f>IFERROR(VLOOKUP(C1430,Cadastro_Produtos!A:B,2,FALSE),"")</f>
        <v/>
      </c>
      <c r="F1430" s="12" t="n"/>
      <c r="G1430" s="13" t="n"/>
    </row>
    <row r="1431">
      <c r="A1431" s="12" t="n"/>
      <c r="D1431">
        <f>IFERROR(VLOOKUP(C1431,Cadastro_Produtos!A:B,2,FALSE),"")</f>
        <v/>
      </c>
      <c r="F1431" s="12" t="n"/>
      <c r="G1431" s="13" t="n"/>
    </row>
    <row r="1432">
      <c r="A1432" s="12" t="n"/>
      <c r="D1432">
        <f>IFERROR(VLOOKUP(C1432,Cadastro_Produtos!A:B,2,FALSE),"")</f>
        <v/>
      </c>
      <c r="F1432" s="12" t="n"/>
      <c r="G1432" s="13" t="n"/>
    </row>
    <row r="1433">
      <c r="A1433" s="12" t="n"/>
      <c r="D1433">
        <f>IFERROR(VLOOKUP(C1433,Cadastro_Produtos!A:B,2,FALSE),"")</f>
        <v/>
      </c>
      <c r="F1433" s="12" t="n"/>
      <c r="G1433" s="13" t="n"/>
    </row>
    <row r="1434">
      <c r="A1434" s="12" t="n"/>
      <c r="D1434">
        <f>IFERROR(VLOOKUP(C1434,Cadastro_Produtos!A:B,2,FALSE),"")</f>
        <v/>
      </c>
      <c r="F1434" s="12" t="n"/>
      <c r="G1434" s="13" t="n"/>
    </row>
    <row r="1435">
      <c r="A1435" s="12" t="n"/>
      <c r="D1435">
        <f>IFERROR(VLOOKUP(C1435,Cadastro_Produtos!A:B,2,FALSE),"")</f>
        <v/>
      </c>
      <c r="F1435" s="12" t="n"/>
      <c r="G1435" s="13" t="n"/>
    </row>
    <row r="1436">
      <c r="A1436" s="12" t="n"/>
      <c r="D1436">
        <f>IFERROR(VLOOKUP(C1436,Cadastro_Produtos!A:B,2,FALSE),"")</f>
        <v/>
      </c>
      <c r="F1436" s="12" t="n"/>
      <c r="G1436" s="13" t="n"/>
    </row>
    <row r="1437">
      <c r="A1437" s="12" t="n"/>
      <c r="D1437">
        <f>IFERROR(VLOOKUP(C1437,Cadastro_Produtos!A:B,2,FALSE),"")</f>
        <v/>
      </c>
      <c r="F1437" s="12" t="n"/>
      <c r="G1437" s="13" t="n"/>
    </row>
    <row r="1438">
      <c r="A1438" s="12" t="n"/>
      <c r="D1438">
        <f>IFERROR(VLOOKUP(C1438,Cadastro_Produtos!A:B,2,FALSE),"")</f>
        <v/>
      </c>
      <c r="F1438" s="12" t="n"/>
      <c r="G1438" s="13" t="n"/>
    </row>
    <row r="1439">
      <c r="A1439" s="12" t="n"/>
      <c r="D1439">
        <f>IFERROR(VLOOKUP(C1439,Cadastro_Produtos!A:B,2,FALSE),"")</f>
        <v/>
      </c>
      <c r="F1439" s="12" t="n"/>
      <c r="G1439" s="13" t="n"/>
    </row>
    <row r="1440">
      <c r="A1440" s="12" t="n"/>
      <c r="D1440">
        <f>IFERROR(VLOOKUP(C1440,Cadastro_Produtos!A:B,2,FALSE),"")</f>
        <v/>
      </c>
      <c r="F1440" s="12" t="n"/>
      <c r="G1440" s="13" t="n"/>
    </row>
    <row r="1441">
      <c r="A1441" s="12" t="n"/>
      <c r="D1441">
        <f>IFERROR(VLOOKUP(C1441,Cadastro_Produtos!A:B,2,FALSE),"")</f>
        <v/>
      </c>
      <c r="F1441" s="12" t="n"/>
      <c r="G1441" s="13" t="n"/>
    </row>
    <row r="1442">
      <c r="A1442" s="12" t="n"/>
      <c r="D1442">
        <f>IFERROR(VLOOKUP(C1442,Cadastro_Produtos!A:B,2,FALSE),"")</f>
        <v/>
      </c>
      <c r="F1442" s="12" t="n"/>
      <c r="G1442" s="13" t="n"/>
    </row>
    <row r="1443">
      <c r="A1443" s="12" t="n"/>
      <c r="D1443">
        <f>IFERROR(VLOOKUP(C1443,Cadastro_Produtos!A:B,2,FALSE),"")</f>
        <v/>
      </c>
      <c r="F1443" s="12" t="n"/>
      <c r="G1443" s="13" t="n"/>
    </row>
    <row r="1444">
      <c r="A1444" s="12" t="n"/>
      <c r="D1444">
        <f>IFERROR(VLOOKUP(C1444,Cadastro_Produtos!A:B,2,FALSE),"")</f>
        <v/>
      </c>
      <c r="F1444" s="12" t="n"/>
      <c r="G1444" s="13" t="n"/>
    </row>
    <row r="1445">
      <c r="A1445" s="12" t="n"/>
      <c r="D1445">
        <f>IFERROR(VLOOKUP(C1445,Cadastro_Produtos!A:B,2,FALSE),"")</f>
        <v/>
      </c>
      <c r="F1445" s="12" t="n"/>
      <c r="G1445" s="13" t="n"/>
    </row>
    <row r="1446">
      <c r="A1446" s="12" t="n"/>
      <c r="D1446">
        <f>IFERROR(VLOOKUP(C1446,Cadastro_Produtos!A:B,2,FALSE),"")</f>
        <v/>
      </c>
      <c r="F1446" s="12" t="n"/>
      <c r="G1446" s="13" t="n"/>
    </row>
    <row r="1447">
      <c r="A1447" s="12" t="n"/>
      <c r="D1447">
        <f>IFERROR(VLOOKUP(C1447,Cadastro_Produtos!A:B,2,FALSE),"")</f>
        <v/>
      </c>
      <c r="F1447" s="12" t="n"/>
      <c r="G1447" s="13" t="n"/>
    </row>
    <row r="1448">
      <c r="A1448" s="12" t="n"/>
      <c r="D1448">
        <f>IFERROR(VLOOKUP(C1448,Cadastro_Produtos!A:B,2,FALSE),"")</f>
        <v/>
      </c>
      <c r="F1448" s="12" t="n"/>
      <c r="G1448" s="13" t="n"/>
    </row>
    <row r="1449">
      <c r="A1449" s="12" t="n"/>
      <c r="D1449">
        <f>IFERROR(VLOOKUP(C1449,Cadastro_Produtos!A:B,2,FALSE),"")</f>
        <v/>
      </c>
      <c r="F1449" s="12" t="n"/>
      <c r="G1449" s="13" t="n"/>
    </row>
    <row r="1450">
      <c r="A1450" s="12" t="n"/>
      <c r="D1450">
        <f>IFERROR(VLOOKUP(C1450,Cadastro_Produtos!A:B,2,FALSE),"")</f>
        <v/>
      </c>
      <c r="F1450" s="12" t="n"/>
      <c r="G1450" s="13" t="n"/>
    </row>
    <row r="1451">
      <c r="A1451" s="12" t="n"/>
      <c r="D1451">
        <f>IFERROR(VLOOKUP(C1451,Cadastro_Produtos!A:B,2,FALSE),"")</f>
        <v/>
      </c>
      <c r="F1451" s="12" t="n"/>
      <c r="G1451" s="13" t="n"/>
    </row>
    <row r="1452">
      <c r="A1452" s="12" t="n"/>
      <c r="D1452">
        <f>IFERROR(VLOOKUP(C1452,Cadastro_Produtos!A:B,2,FALSE),"")</f>
        <v/>
      </c>
      <c r="F1452" s="12" t="n"/>
      <c r="G1452" s="13" t="n"/>
    </row>
    <row r="1453">
      <c r="A1453" s="12" t="n"/>
      <c r="D1453">
        <f>IFERROR(VLOOKUP(C1453,Cadastro_Produtos!A:B,2,FALSE),"")</f>
        <v/>
      </c>
      <c r="F1453" s="12" t="n"/>
      <c r="G1453" s="13" t="n"/>
    </row>
    <row r="1454">
      <c r="A1454" s="12" t="n"/>
      <c r="D1454">
        <f>IFERROR(VLOOKUP(C1454,Cadastro_Produtos!A:B,2,FALSE),"")</f>
        <v/>
      </c>
      <c r="F1454" s="12" t="n"/>
      <c r="G1454" s="13" t="n"/>
    </row>
    <row r="1455">
      <c r="A1455" s="12" t="n"/>
      <c r="D1455">
        <f>IFERROR(VLOOKUP(C1455,Cadastro_Produtos!A:B,2,FALSE),"")</f>
        <v/>
      </c>
      <c r="F1455" s="12" t="n"/>
      <c r="G1455" s="13" t="n"/>
    </row>
    <row r="1456">
      <c r="A1456" s="12" t="n"/>
      <c r="D1456">
        <f>IFERROR(VLOOKUP(C1456,Cadastro_Produtos!A:B,2,FALSE),"")</f>
        <v/>
      </c>
      <c r="F1456" s="12" t="n"/>
      <c r="G1456" s="13" t="n"/>
    </row>
    <row r="1457">
      <c r="A1457" s="12" t="n"/>
      <c r="D1457">
        <f>IFERROR(VLOOKUP(C1457,Cadastro_Produtos!A:B,2,FALSE),"")</f>
        <v/>
      </c>
      <c r="F1457" s="12" t="n"/>
      <c r="G1457" s="13" t="n"/>
    </row>
    <row r="1458">
      <c r="A1458" s="12" t="n"/>
      <c r="D1458">
        <f>IFERROR(VLOOKUP(C1458,Cadastro_Produtos!A:B,2,FALSE),"")</f>
        <v/>
      </c>
      <c r="F1458" s="12" t="n"/>
      <c r="G1458" s="13" t="n"/>
    </row>
    <row r="1459">
      <c r="A1459" s="12" t="n"/>
      <c r="D1459">
        <f>IFERROR(VLOOKUP(C1459,Cadastro_Produtos!A:B,2,FALSE),"")</f>
        <v/>
      </c>
      <c r="F1459" s="12" t="n"/>
      <c r="G1459" s="13" t="n"/>
    </row>
    <row r="1460">
      <c r="A1460" s="12" t="n"/>
      <c r="D1460">
        <f>IFERROR(VLOOKUP(C1460,Cadastro_Produtos!A:B,2,FALSE),"")</f>
        <v/>
      </c>
      <c r="F1460" s="12" t="n"/>
      <c r="G1460" s="13" t="n"/>
    </row>
    <row r="1461">
      <c r="A1461" s="12" t="n"/>
      <c r="D1461">
        <f>IFERROR(VLOOKUP(C1461,Cadastro_Produtos!A:B,2,FALSE),"")</f>
        <v/>
      </c>
      <c r="F1461" s="12" t="n"/>
      <c r="G1461" s="13" t="n"/>
    </row>
    <row r="1462">
      <c r="A1462" s="12" t="n"/>
      <c r="D1462">
        <f>IFERROR(VLOOKUP(C1462,Cadastro_Produtos!A:B,2,FALSE),"")</f>
        <v/>
      </c>
      <c r="F1462" s="12" t="n"/>
      <c r="G1462" s="13" t="n"/>
    </row>
    <row r="1463">
      <c r="A1463" s="12" t="n"/>
      <c r="D1463">
        <f>IFERROR(VLOOKUP(C1463,Cadastro_Produtos!A:B,2,FALSE),"")</f>
        <v/>
      </c>
      <c r="F1463" s="12" t="n"/>
      <c r="G1463" s="13" t="n"/>
    </row>
    <row r="1464">
      <c r="A1464" s="12" t="n"/>
      <c r="D1464">
        <f>IFERROR(VLOOKUP(C1464,Cadastro_Produtos!A:B,2,FALSE),"")</f>
        <v/>
      </c>
      <c r="F1464" s="12" t="n"/>
      <c r="G1464" s="13" t="n"/>
    </row>
    <row r="1465">
      <c r="A1465" s="12" t="n"/>
      <c r="D1465">
        <f>IFERROR(VLOOKUP(C1465,Cadastro_Produtos!A:B,2,FALSE),"")</f>
        <v/>
      </c>
      <c r="F1465" s="12" t="n"/>
      <c r="G1465" s="13" t="n"/>
    </row>
    <row r="1466">
      <c r="A1466" s="12" t="n"/>
      <c r="D1466">
        <f>IFERROR(VLOOKUP(C1466,Cadastro_Produtos!A:B,2,FALSE),"")</f>
        <v/>
      </c>
      <c r="F1466" s="12" t="n"/>
      <c r="G1466" s="13" t="n"/>
    </row>
    <row r="1467">
      <c r="A1467" s="12" t="n"/>
      <c r="D1467">
        <f>IFERROR(VLOOKUP(C1467,Cadastro_Produtos!A:B,2,FALSE),"")</f>
        <v/>
      </c>
      <c r="F1467" s="12" t="n"/>
      <c r="G1467" s="13" t="n"/>
    </row>
    <row r="1468">
      <c r="A1468" s="12" t="n"/>
      <c r="D1468">
        <f>IFERROR(VLOOKUP(C1468,Cadastro_Produtos!A:B,2,FALSE),"")</f>
        <v/>
      </c>
      <c r="F1468" s="12" t="n"/>
      <c r="G1468" s="13" t="n"/>
    </row>
    <row r="1469">
      <c r="A1469" s="12" t="n"/>
      <c r="D1469">
        <f>IFERROR(VLOOKUP(C1469,Cadastro_Produtos!A:B,2,FALSE),"")</f>
        <v/>
      </c>
      <c r="F1469" s="12" t="n"/>
      <c r="G1469" s="13" t="n"/>
    </row>
    <row r="1470">
      <c r="A1470" s="12" t="n"/>
      <c r="D1470">
        <f>IFERROR(VLOOKUP(C1470,Cadastro_Produtos!A:B,2,FALSE),"")</f>
        <v/>
      </c>
      <c r="F1470" s="12" t="n"/>
      <c r="G1470" s="13" t="n"/>
    </row>
    <row r="1471">
      <c r="A1471" s="12" t="n"/>
      <c r="D1471">
        <f>IFERROR(VLOOKUP(C1471,Cadastro_Produtos!A:B,2,FALSE),"")</f>
        <v/>
      </c>
      <c r="F1471" s="12" t="n"/>
      <c r="G1471" s="13" t="n"/>
    </row>
    <row r="1472">
      <c r="A1472" s="12" t="n"/>
      <c r="D1472">
        <f>IFERROR(VLOOKUP(C1472,Cadastro_Produtos!A:B,2,FALSE),"")</f>
        <v/>
      </c>
      <c r="F1472" s="12" t="n"/>
      <c r="G1472" s="13" t="n"/>
    </row>
    <row r="1473">
      <c r="A1473" s="12" t="n"/>
      <c r="D1473">
        <f>IFERROR(VLOOKUP(C1473,Cadastro_Produtos!A:B,2,FALSE),"")</f>
        <v/>
      </c>
      <c r="F1473" s="12" t="n"/>
      <c r="G1473" s="13" t="n"/>
    </row>
    <row r="1474">
      <c r="A1474" s="12" t="n"/>
      <c r="D1474">
        <f>IFERROR(VLOOKUP(C1474,Cadastro_Produtos!A:B,2,FALSE),"")</f>
        <v/>
      </c>
      <c r="F1474" s="12" t="n"/>
      <c r="G1474" s="13" t="n"/>
    </row>
    <row r="1475">
      <c r="A1475" s="12" t="n"/>
      <c r="D1475">
        <f>IFERROR(VLOOKUP(C1475,Cadastro_Produtos!A:B,2,FALSE),"")</f>
        <v/>
      </c>
      <c r="F1475" s="12" t="n"/>
      <c r="G1475" s="13" t="n"/>
    </row>
    <row r="1476">
      <c r="A1476" s="12" t="n"/>
      <c r="D1476">
        <f>IFERROR(VLOOKUP(C1476,Cadastro_Produtos!A:B,2,FALSE),"")</f>
        <v/>
      </c>
      <c r="F1476" s="12" t="n"/>
      <c r="G1476" s="13" t="n"/>
    </row>
    <row r="1477">
      <c r="A1477" s="12" t="n"/>
      <c r="D1477">
        <f>IFERROR(VLOOKUP(C1477,Cadastro_Produtos!A:B,2,FALSE),"")</f>
        <v/>
      </c>
      <c r="F1477" s="12" t="n"/>
      <c r="G1477" s="13" t="n"/>
    </row>
    <row r="1478">
      <c r="A1478" s="12" t="n"/>
      <c r="D1478">
        <f>IFERROR(VLOOKUP(C1478,Cadastro_Produtos!A:B,2,FALSE),"")</f>
        <v/>
      </c>
      <c r="F1478" s="12" t="n"/>
      <c r="G1478" s="13" t="n"/>
    </row>
    <row r="1479">
      <c r="A1479" s="12" t="n"/>
      <c r="D1479">
        <f>IFERROR(VLOOKUP(C1479,Cadastro_Produtos!A:B,2,FALSE),"")</f>
        <v/>
      </c>
      <c r="F1479" s="12" t="n"/>
      <c r="G1479" s="13" t="n"/>
    </row>
    <row r="1480">
      <c r="A1480" s="12" t="n"/>
      <c r="D1480">
        <f>IFERROR(VLOOKUP(C1480,Cadastro_Produtos!A:B,2,FALSE),"")</f>
        <v/>
      </c>
      <c r="F1480" s="12" t="n"/>
      <c r="G1480" s="13" t="n"/>
    </row>
    <row r="1481">
      <c r="A1481" s="12" t="n"/>
      <c r="D1481">
        <f>IFERROR(VLOOKUP(C1481,Cadastro_Produtos!A:B,2,FALSE),"")</f>
        <v/>
      </c>
      <c r="F1481" s="12" t="n"/>
      <c r="G1481" s="13" t="n"/>
    </row>
    <row r="1482">
      <c r="A1482" s="12" t="n"/>
      <c r="D1482">
        <f>IFERROR(VLOOKUP(C1482,Cadastro_Produtos!A:B,2,FALSE),"")</f>
        <v/>
      </c>
      <c r="F1482" s="12" t="n"/>
      <c r="G1482" s="13" t="n"/>
    </row>
    <row r="1483">
      <c r="A1483" s="12" t="n"/>
      <c r="D1483">
        <f>IFERROR(VLOOKUP(C1483,Cadastro_Produtos!A:B,2,FALSE),"")</f>
        <v/>
      </c>
      <c r="F1483" s="12" t="n"/>
      <c r="G1483" s="13" t="n"/>
    </row>
    <row r="1484">
      <c r="A1484" s="12" t="n"/>
      <c r="D1484">
        <f>IFERROR(VLOOKUP(C1484,Cadastro_Produtos!A:B,2,FALSE),"")</f>
        <v/>
      </c>
      <c r="F1484" s="12" t="n"/>
      <c r="G1484" s="13" t="n"/>
    </row>
    <row r="1485">
      <c r="A1485" s="12" t="n"/>
      <c r="D1485">
        <f>IFERROR(VLOOKUP(C1485,Cadastro_Produtos!A:B,2,FALSE),"")</f>
        <v/>
      </c>
      <c r="F1485" s="12" t="n"/>
      <c r="G1485" s="13" t="n"/>
    </row>
    <row r="1486">
      <c r="A1486" s="12" t="n"/>
      <c r="D1486">
        <f>IFERROR(VLOOKUP(C1486,Cadastro_Produtos!A:B,2,FALSE),"")</f>
        <v/>
      </c>
      <c r="F1486" s="12" t="n"/>
      <c r="G1486" s="13" t="n"/>
    </row>
    <row r="1487">
      <c r="A1487" s="12" t="n"/>
      <c r="D1487">
        <f>IFERROR(VLOOKUP(C1487,Cadastro_Produtos!A:B,2,FALSE),"")</f>
        <v/>
      </c>
      <c r="F1487" s="12" t="n"/>
      <c r="G1487" s="13" t="n"/>
    </row>
    <row r="1488">
      <c r="A1488" s="12" t="n"/>
      <c r="D1488">
        <f>IFERROR(VLOOKUP(C1488,Cadastro_Produtos!A:B,2,FALSE),"")</f>
        <v/>
      </c>
      <c r="F1488" s="12" t="n"/>
      <c r="G1488" s="13" t="n"/>
    </row>
    <row r="1489">
      <c r="A1489" s="12" t="n"/>
      <c r="D1489">
        <f>IFERROR(VLOOKUP(C1489,Cadastro_Produtos!A:B,2,FALSE),"")</f>
        <v/>
      </c>
      <c r="F1489" s="12" t="n"/>
      <c r="G1489" s="13" t="n"/>
    </row>
    <row r="1490">
      <c r="A1490" s="12" t="n"/>
      <c r="D1490">
        <f>IFERROR(VLOOKUP(C1490,Cadastro_Produtos!A:B,2,FALSE),"")</f>
        <v/>
      </c>
      <c r="F1490" s="12" t="n"/>
      <c r="G1490" s="13" t="n"/>
    </row>
    <row r="1491">
      <c r="A1491" s="12" t="n"/>
      <c r="D1491">
        <f>IFERROR(VLOOKUP(C1491,Cadastro_Produtos!A:B,2,FALSE),"")</f>
        <v/>
      </c>
      <c r="F1491" s="12" t="n"/>
      <c r="G1491" s="13" t="n"/>
    </row>
    <row r="1492">
      <c r="A1492" s="12" t="n"/>
      <c r="D1492">
        <f>IFERROR(VLOOKUP(C1492,Cadastro_Produtos!A:B,2,FALSE),"")</f>
        <v/>
      </c>
      <c r="F1492" s="12" t="n"/>
      <c r="G1492" s="13" t="n"/>
    </row>
    <row r="1493">
      <c r="A1493" s="12" t="n"/>
      <c r="D1493">
        <f>IFERROR(VLOOKUP(C1493,Cadastro_Produtos!A:B,2,FALSE),"")</f>
        <v/>
      </c>
      <c r="F1493" s="12" t="n"/>
      <c r="G1493" s="13" t="n"/>
    </row>
    <row r="1494">
      <c r="A1494" s="12" t="n"/>
      <c r="D1494">
        <f>IFERROR(VLOOKUP(C1494,Cadastro_Produtos!A:B,2,FALSE),"")</f>
        <v/>
      </c>
      <c r="F1494" s="12" t="n"/>
      <c r="G1494" s="13" t="n"/>
    </row>
    <row r="1495">
      <c r="A1495" s="12" t="n"/>
      <c r="D1495">
        <f>IFERROR(VLOOKUP(C1495,Cadastro_Produtos!A:B,2,FALSE),"")</f>
        <v/>
      </c>
      <c r="F1495" s="12" t="n"/>
      <c r="G1495" s="13" t="n"/>
    </row>
    <row r="1496">
      <c r="A1496" s="12" t="n"/>
      <c r="D1496">
        <f>IFERROR(VLOOKUP(C1496,Cadastro_Produtos!A:B,2,FALSE),"")</f>
        <v/>
      </c>
      <c r="F1496" s="12" t="n"/>
      <c r="G1496" s="13" t="n"/>
    </row>
    <row r="1497">
      <c r="A1497" s="12" t="n"/>
      <c r="D1497">
        <f>IFERROR(VLOOKUP(C1497,Cadastro_Produtos!A:B,2,FALSE),"")</f>
        <v/>
      </c>
      <c r="F1497" s="12" t="n"/>
      <c r="G1497" s="13" t="n"/>
    </row>
    <row r="1498">
      <c r="A1498" s="12" t="n"/>
      <c r="D1498">
        <f>IFERROR(VLOOKUP(C1498,Cadastro_Produtos!A:B,2,FALSE),"")</f>
        <v/>
      </c>
      <c r="F1498" s="12" t="n"/>
      <c r="G1498" s="13" t="n"/>
    </row>
    <row r="1499">
      <c r="A1499" s="12" t="n"/>
      <c r="D1499">
        <f>IFERROR(VLOOKUP(C1499,Cadastro_Produtos!A:B,2,FALSE),"")</f>
        <v/>
      </c>
      <c r="F1499" s="12" t="n"/>
      <c r="G1499" s="13" t="n"/>
    </row>
    <row r="1500">
      <c r="A1500" s="12" t="n"/>
      <c r="D1500">
        <f>IFERROR(VLOOKUP(C1500,Cadastro_Produtos!A:B,2,FALSE),"")</f>
        <v/>
      </c>
      <c r="F1500" s="12" t="n"/>
      <c r="G1500" s="13" t="n"/>
    </row>
    <row r="1501">
      <c r="A1501" s="12" t="n"/>
      <c r="D1501">
        <f>IFERROR(VLOOKUP(C1501,Cadastro_Produtos!A:B,2,FALSE),"")</f>
        <v/>
      </c>
      <c r="F1501" s="12" t="n"/>
      <c r="G1501" s="13" t="n"/>
    </row>
    <row r="1502">
      <c r="A1502" s="12" t="n"/>
      <c r="D1502">
        <f>IFERROR(VLOOKUP(C1502,Cadastro_Produtos!A:B,2,FALSE),"")</f>
        <v/>
      </c>
      <c r="F1502" s="12" t="n"/>
      <c r="G1502" s="13" t="n"/>
    </row>
    <row r="1503">
      <c r="A1503" s="12" t="n"/>
      <c r="D1503">
        <f>IFERROR(VLOOKUP(C1503,Cadastro_Produtos!A:B,2,FALSE),"")</f>
        <v/>
      </c>
      <c r="F1503" s="12" t="n"/>
      <c r="G1503" s="13" t="n"/>
    </row>
    <row r="1504">
      <c r="A1504" s="12" t="n"/>
      <c r="D1504">
        <f>IFERROR(VLOOKUP(C1504,Cadastro_Produtos!A:B,2,FALSE),"")</f>
        <v/>
      </c>
      <c r="F1504" s="12" t="n"/>
      <c r="G1504" s="13" t="n"/>
    </row>
    <row r="1505">
      <c r="A1505" s="12" t="n"/>
      <c r="D1505">
        <f>IFERROR(VLOOKUP(C1505,Cadastro_Produtos!A:B,2,FALSE),"")</f>
        <v/>
      </c>
      <c r="F1505" s="12" t="n"/>
      <c r="G1505" s="13" t="n"/>
    </row>
    <row r="1506">
      <c r="A1506" s="12" t="n"/>
      <c r="D1506">
        <f>IFERROR(VLOOKUP(C1506,Cadastro_Produtos!A:B,2,FALSE),"")</f>
        <v/>
      </c>
      <c r="F1506" s="12" t="n"/>
      <c r="G1506" s="13" t="n"/>
    </row>
    <row r="1507">
      <c r="A1507" s="12" t="n"/>
      <c r="D1507">
        <f>IFERROR(VLOOKUP(C1507,Cadastro_Produtos!A:B,2,FALSE),"")</f>
        <v/>
      </c>
      <c r="F1507" s="12" t="n"/>
      <c r="G1507" s="13" t="n"/>
    </row>
    <row r="1508">
      <c r="A1508" s="12" t="n"/>
      <c r="D1508">
        <f>IFERROR(VLOOKUP(C1508,Cadastro_Produtos!A:B,2,FALSE),"")</f>
        <v/>
      </c>
      <c r="F1508" s="12" t="n"/>
      <c r="G1508" s="13" t="n"/>
    </row>
    <row r="1509">
      <c r="A1509" s="12" t="n"/>
      <c r="D1509">
        <f>IFERROR(VLOOKUP(C1509,Cadastro_Produtos!A:B,2,FALSE),"")</f>
        <v/>
      </c>
      <c r="F1509" s="12" t="n"/>
      <c r="G1509" s="13" t="n"/>
    </row>
    <row r="1510">
      <c r="A1510" s="12" t="n"/>
      <c r="D1510">
        <f>IFERROR(VLOOKUP(C1510,Cadastro_Produtos!A:B,2,FALSE),"")</f>
        <v/>
      </c>
      <c r="F1510" s="12" t="n"/>
      <c r="G1510" s="13" t="n"/>
    </row>
    <row r="1511">
      <c r="A1511" s="12" t="n"/>
      <c r="D1511">
        <f>IFERROR(VLOOKUP(C1511,Cadastro_Produtos!A:B,2,FALSE),"")</f>
        <v/>
      </c>
      <c r="F1511" s="12" t="n"/>
      <c r="G1511" s="13" t="n"/>
    </row>
    <row r="1512">
      <c r="A1512" s="12" t="n"/>
      <c r="D1512">
        <f>IFERROR(VLOOKUP(C1512,Cadastro_Produtos!A:B,2,FALSE),"")</f>
        <v/>
      </c>
      <c r="F1512" s="12" t="n"/>
      <c r="G1512" s="13" t="n"/>
    </row>
    <row r="1513">
      <c r="A1513" s="12" t="n"/>
      <c r="D1513">
        <f>IFERROR(VLOOKUP(C1513,Cadastro_Produtos!A:B,2,FALSE),"")</f>
        <v/>
      </c>
      <c r="F1513" s="12" t="n"/>
      <c r="G1513" s="13" t="n"/>
    </row>
    <row r="1514">
      <c r="A1514" s="12" t="n"/>
      <c r="D1514">
        <f>IFERROR(VLOOKUP(C1514,Cadastro_Produtos!A:B,2,FALSE),"")</f>
        <v/>
      </c>
      <c r="F1514" s="12" t="n"/>
      <c r="G1514" s="13" t="n"/>
    </row>
    <row r="1515">
      <c r="A1515" s="12" t="n"/>
      <c r="D1515">
        <f>IFERROR(VLOOKUP(C1515,Cadastro_Produtos!A:B,2,FALSE),"")</f>
        <v/>
      </c>
      <c r="F1515" s="12" t="n"/>
      <c r="G1515" s="13" t="n"/>
    </row>
    <row r="1516">
      <c r="A1516" s="12" t="n"/>
      <c r="D1516">
        <f>IFERROR(VLOOKUP(C1516,Cadastro_Produtos!A:B,2,FALSE),"")</f>
        <v/>
      </c>
      <c r="F1516" s="12" t="n"/>
      <c r="G1516" s="13" t="n"/>
    </row>
    <row r="1517">
      <c r="A1517" s="12" t="n"/>
      <c r="D1517">
        <f>IFERROR(VLOOKUP(C1517,Cadastro_Produtos!A:B,2,FALSE),"")</f>
        <v/>
      </c>
      <c r="F1517" s="12" t="n"/>
      <c r="G1517" s="13" t="n"/>
    </row>
    <row r="1518">
      <c r="A1518" s="12" t="n"/>
      <c r="D1518">
        <f>IFERROR(VLOOKUP(C1518,Cadastro_Produtos!A:B,2,FALSE),"")</f>
        <v/>
      </c>
      <c r="F1518" s="12" t="n"/>
      <c r="G1518" s="13" t="n"/>
    </row>
    <row r="1519">
      <c r="A1519" s="12" t="n"/>
      <c r="D1519">
        <f>IFERROR(VLOOKUP(C1519,Cadastro_Produtos!A:B,2,FALSE),"")</f>
        <v/>
      </c>
      <c r="F1519" s="12" t="n"/>
      <c r="G1519" s="13" t="n"/>
    </row>
    <row r="1520">
      <c r="A1520" s="12" t="n"/>
      <c r="D1520">
        <f>IFERROR(VLOOKUP(C1520,Cadastro_Produtos!A:B,2,FALSE),"")</f>
        <v/>
      </c>
      <c r="F1520" s="12" t="n"/>
      <c r="G1520" s="13" t="n"/>
    </row>
    <row r="1521">
      <c r="A1521" s="12" t="n"/>
      <c r="D1521">
        <f>IFERROR(VLOOKUP(C1521,Cadastro_Produtos!A:B,2,FALSE),"")</f>
        <v/>
      </c>
      <c r="F1521" s="12" t="n"/>
      <c r="G1521" s="13" t="n"/>
    </row>
    <row r="1522">
      <c r="A1522" s="12" t="n"/>
      <c r="D1522">
        <f>IFERROR(VLOOKUP(C1522,Cadastro_Produtos!A:B,2,FALSE),"")</f>
        <v/>
      </c>
      <c r="F1522" s="12" t="n"/>
      <c r="G1522" s="13" t="n"/>
    </row>
    <row r="1523">
      <c r="A1523" s="12" t="n"/>
      <c r="D1523">
        <f>IFERROR(VLOOKUP(C1523,Cadastro_Produtos!A:B,2,FALSE),"")</f>
        <v/>
      </c>
      <c r="F1523" s="12" t="n"/>
      <c r="G1523" s="13" t="n"/>
    </row>
    <row r="1524">
      <c r="A1524" s="12" t="n"/>
      <c r="D1524">
        <f>IFERROR(VLOOKUP(C1524,Cadastro_Produtos!A:B,2,FALSE),"")</f>
        <v/>
      </c>
      <c r="F1524" s="12" t="n"/>
      <c r="G1524" s="13" t="n"/>
    </row>
    <row r="1525">
      <c r="A1525" s="12" t="n"/>
      <c r="D1525">
        <f>IFERROR(VLOOKUP(C1525,Cadastro_Produtos!A:B,2,FALSE),"")</f>
        <v/>
      </c>
      <c r="F1525" s="12" t="n"/>
      <c r="G1525" s="13" t="n"/>
    </row>
    <row r="1526">
      <c r="A1526" s="12" t="n"/>
      <c r="D1526">
        <f>IFERROR(VLOOKUP(C1526,Cadastro_Produtos!A:B,2,FALSE),"")</f>
        <v/>
      </c>
      <c r="F1526" s="12" t="n"/>
      <c r="G1526" s="13" t="n"/>
    </row>
    <row r="1527">
      <c r="A1527" s="12" t="n"/>
      <c r="D1527">
        <f>IFERROR(VLOOKUP(C1527,Cadastro_Produtos!A:B,2,FALSE),"")</f>
        <v/>
      </c>
      <c r="F1527" s="12" t="n"/>
      <c r="G1527" s="13" t="n"/>
    </row>
    <row r="1528">
      <c r="A1528" s="12" t="n"/>
      <c r="D1528">
        <f>IFERROR(VLOOKUP(C1528,Cadastro_Produtos!A:B,2,FALSE),"")</f>
        <v/>
      </c>
      <c r="F1528" s="12" t="n"/>
      <c r="G1528" s="13" t="n"/>
    </row>
    <row r="1529">
      <c r="A1529" s="12" t="n"/>
      <c r="D1529">
        <f>IFERROR(VLOOKUP(C1529,Cadastro_Produtos!A:B,2,FALSE),"")</f>
        <v/>
      </c>
      <c r="F1529" s="12" t="n"/>
      <c r="G1529" s="13" t="n"/>
    </row>
    <row r="1530">
      <c r="A1530" s="12" t="n"/>
      <c r="D1530">
        <f>IFERROR(VLOOKUP(C1530,Cadastro_Produtos!A:B,2,FALSE),"")</f>
        <v/>
      </c>
      <c r="F1530" s="12" t="n"/>
      <c r="G1530" s="13" t="n"/>
    </row>
    <row r="1531">
      <c r="A1531" s="12" t="n"/>
      <c r="D1531">
        <f>IFERROR(VLOOKUP(C1531,Cadastro_Produtos!A:B,2,FALSE),"")</f>
        <v/>
      </c>
      <c r="F1531" s="12" t="n"/>
      <c r="G1531" s="13" t="n"/>
    </row>
    <row r="1532">
      <c r="A1532" s="12" t="n"/>
      <c r="D1532">
        <f>IFERROR(VLOOKUP(C1532,Cadastro_Produtos!A:B,2,FALSE),"")</f>
        <v/>
      </c>
      <c r="F1532" s="12" t="n"/>
      <c r="G1532" s="13" t="n"/>
    </row>
    <row r="1533">
      <c r="A1533" s="12" t="n"/>
      <c r="D1533">
        <f>IFERROR(VLOOKUP(C1533,Cadastro_Produtos!A:B,2,FALSE),"")</f>
        <v/>
      </c>
      <c r="F1533" s="12" t="n"/>
      <c r="G1533" s="13" t="n"/>
    </row>
    <row r="1534">
      <c r="A1534" s="12" t="n"/>
      <c r="D1534">
        <f>IFERROR(VLOOKUP(C1534,Cadastro_Produtos!A:B,2,FALSE),"")</f>
        <v/>
      </c>
      <c r="F1534" s="12" t="n"/>
      <c r="G1534" s="13" t="n"/>
    </row>
    <row r="1535">
      <c r="A1535" s="12" t="n"/>
      <c r="D1535">
        <f>IFERROR(VLOOKUP(C1535,Cadastro_Produtos!A:B,2,FALSE),"")</f>
        <v/>
      </c>
      <c r="F1535" s="12" t="n"/>
      <c r="G1535" s="13" t="n"/>
    </row>
    <row r="1536">
      <c r="A1536" s="12" t="n"/>
      <c r="D1536">
        <f>IFERROR(VLOOKUP(C1536,Cadastro_Produtos!A:B,2,FALSE),"")</f>
        <v/>
      </c>
      <c r="F1536" s="12" t="n"/>
      <c r="G1536" s="13" t="n"/>
    </row>
    <row r="1537">
      <c r="A1537" s="12" t="n"/>
      <c r="D1537">
        <f>IFERROR(VLOOKUP(C1537,Cadastro_Produtos!A:B,2,FALSE),"")</f>
        <v/>
      </c>
      <c r="F1537" s="12" t="n"/>
      <c r="G1537" s="13" t="n"/>
    </row>
    <row r="1538">
      <c r="A1538" s="12" t="n"/>
      <c r="D1538">
        <f>IFERROR(VLOOKUP(C1538,Cadastro_Produtos!A:B,2,FALSE),"")</f>
        <v/>
      </c>
      <c r="F1538" s="12" t="n"/>
      <c r="G1538" s="13" t="n"/>
    </row>
    <row r="1539">
      <c r="A1539" s="12" t="n"/>
      <c r="D1539">
        <f>IFERROR(VLOOKUP(C1539,Cadastro_Produtos!A:B,2,FALSE),"")</f>
        <v/>
      </c>
      <c r="F1539" s="12" t="n"/>
      <c r="G1539" s="13" t="n"/>
    </row>
    <row r="1540">
      <c r="A1540" s="12" t="n"/>
      <c r="D1540">
        <f>IFERROR(VLOOKUP(C1540,Cadastro_Produtos!A:B,2,FALSE),"")</f>
        <v/>
      </c>
      <c r="F1540" s="12" t="n"/>
      <c r="G1540" s="13" t="n"/>
    </row>
    <row r="1541">
      <c r="A1541" s="12" t="n"/>
      <c r="D1541">
        <f>IFERROR(VLOOKUP(C1541,Cadastro_Produtos!A:B,2,FALSE),"")</f>
        <v/>
      </c>
      <c r="F1541" s="12" t="n"/>
      <c r="G1541" s="13" t="n"/>
    </row>
    <row r="1542">
      <c r="A1542" s="12" t="n"/>
      <c r="D1542">
        <f>IFERROR(VLOOKUP(C1542,Cadastro_Produtos!A:B,2,FALSE),"")</f>
        <v/>
      </c>
      <c r="F1542" s="12" t="n"/>
      <c r="G1542" s="13" t="n"/>
    </row>
    <row r="1543">
      <c r="A1543" s="12" t="n"/>
      <c r="D1543">
        <f>IFERROR(VLOOKUP(C1543,Cadastro_Produtos!A:B,2,FALSE),"")</f>
        <v/>
      </c>
      <c r="F1543" s="12" t="n"/>
      <c r="G1543" s="13" t="n"/>
    </row>
    <row r="1544">
      <c r="A1544" s="12" t="n"/>
      <c r="D1544">
        <f>IFERROR(VLOOKUP(C1544,Cadastro_Produtos!A:B,2,FALSE),"")</f>
        <v/>
      </c>
      <c r="F1544" s="12" t="n"/>
      <c r="G1544" s="13" t="n"/>
    </row>
    <row r="1545">
      <c r="A1545" s="12" t="n"/>
      <c r="D1545">
        <f>IFERROR(VLOOKUP(C1545,Cadastro_Produtos!A:B,2,FALSE),"")</f>
        <v/>
      </c>
      <c r="F1545" s="12" t="n"/>
      <c r="G1545" s="13" t="n"/>
    </row>
    <row r="1546">
      <c r="A1546" s="12" t="n"/>
      <c r="D1546">
        <f>IFERROR(VLOOKUP(C1546,Cadastro_Produtos!A:B,2,FALSE),"")</f>
        <v/>
      </c>
      <c r="F1546" s="12" t="n"/>
      <c r="G1546" s="13" t="n"/>
    </row>
    <row r="1547">
      <c r="A1547" s="12" t="n"/>
      <c r="D1547">
        <f>IFERROR(VLOOKUP(C1547,Cadastro_Produtos!A:B,2,FALSE),"")</f>
        <v/>
      </c>
      <c r="F1547" s="12" t="n"/>
      <c r="G1547" s="13" t="n"/>
    </row>
    <row r="1548">
      <c r="A1548" s="12" t="n"/>
      <c r="D1548">
        <f>IFERROR(VLOOKUP(C1548,Cadastro_Produtos!A:B,2,FALSE),"")</f>
        <v/>
      </c>
      <c r="F1548" s="12" t="n"/>
      <c r="G1548" s="13" t="n"/>
    </row>
    <row r="1549">
      <c r="A1549" s="12" t="n"/>
      <c r="D1549">
        <f>IFERROR(VLOOKUP(C1549,Cadastro_Produtos!A:B,2,FALSE),"")</f>
        <v/>
      </c>
      <c r="F1549" s="12" t="n"/>
      <c r="G1549" s="13" t="n"/>
    </row>
    <row r="1550">
      <c r="A1550" s="12" t="n"/>
      <c r="D1550">
        <f>IFERROR(VLOOKUP(C1550,Cadastro_Produtos!A:B,2,FALSE),"")</f>
        <v/>
      </c>
      <c r="F1550" s="12" t="n"/>
      <c r="G1550" s="13" t="n"/>
    </row>
    <row r="1551">
      <c r="A1551" s="12" t="n"/>
      <c r="D1551">
        <f>IFERROR(VLOOKUP(C1551,Cadastro_Produtos!A:B,2,FALSE),"")</f>
        <v/>
      </c>
      <c r="F1551" s="12" t="n"/>
      <c r="G1551" s="13" t="n"/>
    </row>
    <row r="1552">
      <c r="A1552" s="12" t="n"/>
      <c r="D1552">
        <f>IFERROR(VLOOKUP(C1552,Cadastro_Produtos!A:B,2,FALSE),"")</f>
        <v/>
      </c>
      <c r="F1552" s="12" t="n"/>
      <c r="G1552" s="13" t="n"/>
    </row>
    <row r="1553">
      <c r="A1553" s="12" t="n"/>
      <c r="D1553">
        <f>IFERROR(VLOOKUP(C1553,Cadastro_Produtos!A:B,2,FALSE),"")</f>
        <v/>
      </c>
      <c r="F1553" s="12" t="n"/>
      <c r="G1553" s="13" t="n"/>
    </row>
    <row r="1554">
      <c r="A1554" s="12" t="n"/>
      <c r="D1554">
        <f>IFERROR(VLOOKUP(C1554,Cadastro_Produtos!A:B,2,FALSE),"")</f>
        <v/>
      </c>
      <c r="F1554" s="12" t="n"/>
      <c r="G1554" s="13" t="n"/>
    </row>
    <row r="1555">
      <c r="A1555" s="12" t="n"/>
      <c r="D1555">
        <f>IFERROR(VLOOKUP(C1555,Cadastro_Produtos!A:B,2,FALSE),"")</f>
        <v/>
      </c>
      <c r="F1555" s="12" t="n"/>
      <c r="G1555" s="13" t="n"/>
    </row>
    <row r="1556">
      <c r="A1556" s="12" t="n"/>
      <c r="D1556">
        <f>IFERROR(VLOOKUP(C1556,Cadastro_Produtos!A:B,2,FALSE),"")</f>
        <v/>
      </c>
      <c r="F1556" s="12" t="n"/>
      <c r="G1556" s="13" t="n"/>
    </row>
    <row r="1557">
      <c r="A1557" s="12" t="n"/>
      <c r="D1557">
        <f>IFERROR(VLOOKUP(C1557,Cadastro_Produtos!A:B,2,FALSE),"")</f>
        <v/>
      </c>
      <c r="F1557" s="12" t="n"/>
      <c r="G1557" s="13" t="n"/>
    </row>
    <row r="1558">
      <c r="A1558" s="12" t="n"/>
      <c r="D1558">
        <f>IFERROR(VLOOKUP(C1558,Cadastro_Produtos!A:B,2,FALSE),"")</f>
        <v/>
      </c>
      <c r="F1558" s="12" t="n"/>
      <c r="G1558" s="13" t="n"/>
    </row>
    <row r="1559">
      <c r="A1559" s="12" t="n"/>
      <c r="D1559">
        <f>IFERROR(VLOOKUP(C1559,Cadastro_Produtos!A:B,2,FALSE),"")</f>
        <v/>
      </c>
      <c r="F1559" s="12" t="n"/>
      <c r="G1559" s="13" t="n"/>
    </row>
    <row r="1560">
      <c r="A1560" s="12" t="n"/>
      <c r="D1560">
        <f>IFERROR(VLOOKUP(C1560,Cadastro_Produtos!A:B,2,FALSE),"")</f>
        <v/>
      </c>
      <c r="F1560" s="12" t="n"/>
      <c r="G1560" s="13" t="n"/>
    </row>
    <row r="1561">
      <c r="A1561" s="12" t="n"/>
      <c r="D1561">
        <f>IFERROR(VLOOKUP(C1561,Cadastro_Produtos!A:B,2,FALSE),"")</f>
        <v/>
      </c>
      <c r="F1561" s="12" t="n"/>
      <c r="G1561" s="13" t="n"/>
    </row>
    <row r="1562">
      <c r="A1562" s="12" t="n"/>
      <c r="D1562">
        <f>IFERROR(VLOOKUP(C1562,Cadastro_Produtos!A:B,2,FALSE),"")</f>
        <v/>
      </c>
      <c r="F1562" s="12" t="n"/>
      <c r="G1562" s="13" t="n"/>
    </row>
    <row r="1563">
      <c r="A1563" s="12" t="n"/>
      <c r="D1563">
        <f>IFERROR(VLOOKUP(C1563,Cadastro_Produtos!A:B,2,FALSE),"")</f>
        <v/>
      </c>
      <c r="F1563" s="12" t="n"/>
      <c r="G1563" s="13" t="n"/>
    </row>
    <row r="1564">
      <c r="A1564" s="12" t="n"/>
      <c r="D1564">
        <f>IFERROR(VLOOKUP(C1564,Cadastro_Produtos!A:B,2,FALSE),"")</f>
        <v/>
      </c>
      <c r="F1564" s="12" t="n"/>
      <c r="G1564" s="13" t="n"/>
    </row>
    <row r="1565">
      <c r="A1565" s="12" t="n"/>
      <c r="D1565">
        <f>IFERROR(VLOOKUP(C1565,Cadastro_Produtos!A:B,2,FALSE),"")</f>
        <v/>
      </c>
      <c r="F1565" s="12" t="n"/>
      <c r="G1565" s="13" t="n"/>
    </row>
    <row r="1566">
      <c r="A1566" s="12" t="n"/>
      <c r="D1566">
        <f>IFERROR(VLOOKUP(C1566,Cadastro_Produtos!A:B,2,FALSE),"")</f>
        <v/>
      </c>
      <c r="F1566" s="12" t="n"/>
      <c r="G1566" s="13" t="n"/>
    </row>
    <row r="1567">
      <c r="A1567" s="12" t="n"/>
      <c r="D1567">
        <f>IFERROR(VLOOKUP(C1567,Cadastro_Produtos!A:B,2,FALSE),"")</f>
        <v/>
      </c>
      <c r="F1567" s="12" t="n"/>
      <c r="G1567" s="13" t="n"/>
    </row>
    <row r="1568">
      <c r="A1568" s="12" t="n"/>
      <c r="D1568">
        <f>IFERROR(VLOOKUP(C1568,Cadastro_Produtos!A:B,2,FALSE),"")</f>
        <v/>
      </c>
      <c r="F1568" s="12" t="n"/>
      <c r="G1568" s="13" t="n"/>
    </row>
    <row r="1569">
      <c r="A1569" s="12" t="n"/>
      <c r="D1569">
        <f>IFERROR(VLOOKUP(C1569,Cadastro_Produtos!A:B,2,FALSE),"")</f>
        <v/>
      </c>
      <c r="F1569" s="12" t="n"/>
      <c r="G1569" s="13" t="n"/>
    </row>
    <row r="1570">
      <c r="A1570" s="12" t="n"/>
      <c r="D1570">
        <f>IFERROR(VLOOKUP(C1570,Cadastro_Produtos!A:B,2,FALSE),"")</f>
        <v/>
      </c>
      <c r="F1570" s="12" t="n"/>
      <c r="G1570" s="13" t="n"/>
    </row>
    <row r="1571">
      <c r="A1571" s="12" t="n"/>
      <c r="D1571">
        <f>IFERROR(VLOOKUP(C1571,Cadastro_Produtos!A:B,2,FALSE),"")</f>
        <v/>
      </c>
      <c r="F1571" s="12" t="n"/>
      <c r="G1571" s="13" t="n"/>
    </row>
    <row r="1572">
      <c r="A1572" s="12" t="n"/>
      <c r="D1572">
        <f>IFERROR(VLOOKUP(C1572,Cadastro_Produtos!A:B,2,FALSE),"")</f>
        <v/>
      </c>
      <c r="F1572" s="12" t="n"/>
      <c r="G1572" s="13" t="n"/>
    </row>
    <row r="1573">
      <c r="A1573" s="12" t="n"/>
      <c r="D1573">
        <f>IFERROR(VLOOKUP(C1573,Cadastro_Produtos!A:B,2,FALSE),"")</f>
        <v/>
      </c>
      <c r="F1573" s="12" t="n"/>
      <c r="G1573" s="13" t="n"/>
    </row>
    <row r="1574">
      <c r="A1574" s="12" t="n"/>
      <c r="D1574">
        <f>IFERROR(VLOOKUP(C1574,Cadastro_Produtos!A:B,2,FALSE),"")</f>
        <v/>
      </c>
      <c r="F1574" s="12" t="n"/>
      <c r="G1574" s="13" t="n"/>
    </row>
    <row r="1575">
      <c r="A1575" s="12" t="n"/>
      <c r="D1575">
        <f>IFERROR(VLOOKUP(C1575,Cadastro_Produtos!A:B,2,FALSE),"")</f>
        <v/>
      </c>
      <c r="F1575" s="12" t="n"/>
      <c r="G1575" s="13" t="n"/>
    </row>
    <row r="1576">
      <c r="A1576" s="12" t="n"/>
      <c r="D1576">
        <f>IFERROR(VLOOKUP(C1576,Cadastro_Produtos!A:B,2,FALSE),"")</f>
        <v/>
      </c>
      <c r="F1576" s="12" t="n"/>
      <c r="G1576" s="13" t="n"/>
    </row>
    <row r="1577">
      <c r="A1577" s="12" t="n"/>
      <c r="D1577">
        <f>IFERROR(VLOOKUP(C1577,Cadastro_Produtos!A:B,2,FALSE),"")</f>
        <v/>
      </c>
      <c r="F1577" s="12" t="n"/>
      <c r="G1577" s="13" t="n"/>
    </row>
    <row r="1578">
      <c r="A1578" s="12" t="n"/>
      <c r="D1578">
        <f>IFERROR(VLOOKUP(C1578,Cadastro_Produtos!A:B,2,FALSE),"")</f>
        <v/>
      </c>
      <c r="F1578" s="12" t="n"/>
      <c r="G1578" s="13" t="n"/>
    </row>
    <row r="1579">
      <c r="A1579" s="12" t="n"/>
      <c r="D1579">
        <f>IFERROR(VLOOKUP(C1579,Cadastro_Produtos!A:B,2,FALSE),"")</f>
        <v/>
      </c>
      <c r="F1579" s="12" t="n"/>
      <c r="G1579" s="13" t="n"/>
    </row>
    <row r="1580">
      <c r="A1580" s="12" t="n"/>
      <c r="D1580">
        <f>IFERROR(VLOOKUP(C1580,Cadastro_Produtos!A:B,2,FALSE),"")</f>
        <v/>
      </c>
      <c r="F1580" s="12" t="n"/>
      <c r="G1580" s="13" t="n"/>
    </row>
    <row r="1581">
      <c r="A1581" s="12" t="n"/>
      <c r="D1581">
        <f>IFERROR(VLOOKUP(C1581,Cadastro_Produtos!A:B,2,FALSE),"")</f>
        <v/>
      </c>
      <c r="F1581" s="12" t="n"/>
      <c r="G1581" s="13" t="n"/>
    </row>
    <row r="1582">
      <c r="A1582" s="12" t="n"/>
      <c r="D1582">
        <f>IFERROR(VLOOKUP(C1582,Cadastro_Produtos!A:B,2,FALSE),"")</f>
        <v/>
      </c>
      <c r="F1582" s="12" t="n"/>
      <c r="G1582" s="13" t="n"/>
    </row>
    <row r="1583">
      <c r="A1583" s="12" t="n"/>
      <c r="D1583">
        <f>IFERROR(VLOOKUP(C1583,Cadastro_Produtos!A:B,2,FALSE),"")</f>
        <v/>
      </c>
      <c r="F1583" s="12" t="n"/>
      <c r="G1583" s="13" t="n"/>
    </row>
    <row r="1584">
      <c r="A1584" s="12" t="n"/>
      <c r="D1584">
        <f>IFERROR(VLOOKUP(C1584,Cadastro_Produtos!A:B,2,FALSE),"")</f>
        <v/>
      </c>
      <c r="F1584" s="12" t="n"/>
      <c r="G1584" s="13" t="n"/>
    </row>
    <row r="1585">
      <c r="A1585" s="12" t="n"/>
      <c r="D1585">
        <f>IFERROR(VLOOKUP(C1585,Cadastro_Produtos!A:B,2,FALSE),"")</f>
        <v/>
      </c>
      <c r="F1585" s="12" t="n"/>
      <c r="G1585" s="13" t="n"/>
    </row>
    <row r="1586">
      <c r="A1586" s="12" t="n"/>
      <c r="D1586">
        <f>IFERROR(VLOOKUP(C1586,Cadastro_Produtos!A:B,2,FALSE),"")</f>
        <v/>
      </c>
      <c r="F1586" s="12" t="n"/>
      <c r="G1586" s="13" t="n"/>
    </row>
    <row r="1587">
      <c r="A1587" s="12" t="n"/>
      <c r="D1587">
        <f>IFERROR(VLOOKUP(C1587,Cadastro_Produtos!A:B,2,FALSE),"")</f>
        <v/>
      </c>
      <c r="F1587" s="12" t="n"/>
      <c r="G1587" s="13" t="n"/>
    </row>
    <row r="1588">
      <c r="A1588" s="12" t="n"/>
      <c r="D1588">
        <f>IFERROR(VLOOKUP(C1588,Cadastro_Produtos!A:B,2,FALSE),"")</f>
        <v/>
      </c>
      <c r="F1588" s="12" t="n"/>
      <c r="G1588" s="13" t="n"/>
    </row>
    <row r="1589">
      <c r="A1589" s="12" t="n"/>
      <c r="D1589">
        <f>IFERROR(VLOOKUP(C1589,Cadastro_Produtos!A:B,2,FALSE),"")</f>
        <v/>
      </c>
      <c r="F1589" s="12" t="n"/>
      <c r="G1589" s="13" t="n"/>
    </row>
    <row r="1590">
      <c r="A1590" s="12" t="n"/>
      <c r="D1590">
        <f>IFERROR(VLOOKUP(C1590,Cadastro_Produtos!A:B,2,FALSE),"")</f>
        <v/>
      </c>
      <c r="F1590" s="12" t="n"/>
      <c r="G1590" s="13" t="n"/>
    </row>
    <row r="1591">
      <c r="A1591" s="12" t="n"/>
      <c r="D1591">
        <f>IFERROR(VLOOKUP(C1591,Cadastro_Produtos!A:B,2,FALSE),"")</f>
        <v/>
      </c>
      <c r="F1591" s="12" t="n"/>
      <c r="G1591" s="13" t="n"/>
    </row>
    <row r="1592">
      <c r="A1592" s="12" t="n"/>
      <c r="D1592">
        <f>IFERROR(VLOOKUP(C1592,Cadastro_Produtos!A:B,2,FALSE),"")</f>
        <v/>
      </c>
      <c r="F1592" s="12" t="n"/>
      <c r="G1592" s="13" t="n"/>
    </row>
    <row r="1593">
      <c r="A1593" s="12" t="n"/>
      <c r="D1593">
        <f>IFERROR(VLOOKUP(C1593,Cadastro_Produtos!A:B,2,FALSE),"")</f>
        <v/>
      </c>
      <c r="F1593" s="12" t="n"/>
      <c r="G1593" s="13" t="n"/>
    </row>
    <row r="1594">
      <c r="A1594" s="12" t="n"/>
      <c r="D1594">
        <f>IFERROR(VLOOKUP(C1594,Cadastro_Produtos!A:B,2,FALSE),"")</f>
        <v/>
      </c>
      <c r="F1594" s="12" t="n"/>
      <c r="G1594" s="13" t="n"/>
    </row>
    <row r="1595">
      <c r="A1595" s="12" t="n"/>
      <c r="D1595">
        <f>IFERROR(VLOOKUP(C1595,Cadastro_Produtos!A:B,2,FALSE),"")</f>
        <v/>
      </c>
      <c r="F1595" s="12" t="n"/>
      <c r="G1595" s="13" t="n"/>
    </row>
    <row r="1596">
      <c r="A1596" s="12" t="n"/>
      <c r="D1596">
        <f>IFERROR(VLOOKUP(C1596,Cadastro_Produtos!A:B,2,FALSE),"")</f>
        <v/>
      </c>
      <c r="F1596" s="12" t="n"/>
      <c r="G1596" s="13" t="n"/>
    </row>
    <row r="1597">
      <c r="A1597" s="12" t="n"/>
      <c r="D1597">
        <f>IFERROR(VLOOKUP(C1597,Cadastro_Produtos!A:B,2,FALSE),"")</f>
        <v/>
      </c>
      <c r="F1597" s="12" t="n"/>
      <c r="G1597" s="13" t="n"/>
    </row>
    <row r="1598">
      <c r="A1598" s="12" t="n"/>
      <c r="D1598">
        <f>IFERROR(VLOOKUP(C1598,Cadastro_Produtos!A:B,2,FALSE),"")</f>
        <v/>
      </c>
      <c r="F1598" s="12" t="n"/>
      <c r="G1598" s="13" t="n"/>
    </row>
    <row r="1599">
      <c r="A1599" s="12" t="n"/>
      <c r="D1599">
        <f>IFERROR(VLOOKUP(C1599,Cadastro_Produtos!A:B,2,FALSE),"")</f>
        <v/>
      </c>
      <c r="F1599" s="12" t="n"/>
      <c r="G1599" s="13" t="n"/>
    </row>
    <row r="1600">
      <c r="A1600" s="12" t="n"/>
      <c r="D1600">
        <f>IFERROR(VLOOKUP(C1600,Cadastro_Produtos!A:B,2,FALSE),"")</f>
        <v/>
      </c>
      <c r="F1600" s="12" t="n"/>
      <c r="G1600" s="13" t="n"/>
    </row>
    <row r="1601">
      <c r="A1601" s="12" t="n"/>
      <c r="D1601">
        <f>IFERROR(VLOOKUP(C1601,Cadastro_Produtos!A:B,2,FALSE),"")</f>
        <v/>
      </c>
      <c r="F1601" s="12" t="n"/>
      <c r="G1601" s="13" t="n"/>
    </row>
    <row r="1602">
      <c r="A1602" s="12" t="n"/>
      <c r="D1602">
        <f>IFERROR(VLOOKUP(C1602,Cadastro_Produtos!A:B,2,FALSE),"")</f>
        <v/>
      </c>
      <c r="F1602" s="12" t="n"/>
      <c r="G1602" s="13" t="n"/>
    </row>
    <row r="1603">
      <c r="A1603" s="12" t="n"/>
      <c r="D1603">
        <f>IFERROR(VLOOKUP(C1603,Cadastro_Produtos!A:B,2,FALSE),"")</f>
        <v/>
      </c>
      <c r="F1603" s="12" t="n"/>
      <c r="G1603" s="13" t="n"/>
    </row>
    <row r="1604">
      <c r="A1604" s="12" t="n"/>
      <c r="D1604">
        <f>IFERROR(VLOOKUP(C1604,Cadastro_Produtos!A:B,2,FALSE),"")</f>
        <v/>
      </c>
      <c r="F1604" s="12" t="n"/>
      <c r="G1604" s="13" t="n"/>
    </row>
    <row r="1605">
      <c r="A1605" s="12" t="n"/>
      <c r="D1605">
        <f>IFERROR(VLOOKUP(C1605,Cadastro_Produtos!A:B,2,FALSE),"")</f>
        <v/>
      </c>
      <c r="F1605" s="12" t="n"/>
      <c r="G1605" s="13" t="n"/>
    </row>
    <row r="1606">
      <c r="A1606" s="12" t="n"/>
      <c r="D1606">
        <f>IFERROR(VLOOKUP(C1606,Cadastro_Produtos!A:B,2,FALSE),"")</f>
        <v/>
      </c>
      <c r="F1606" s="12" t="n"/>
      <c r="G1606" s="13" t="n"/>
    </row>
    <row r="1607">
      <c r="A1607" s="12" t="n"/>
      <c r="D1607">
        <f>IFERROR(VLOOKUP(C1607,Cadastro_Produtos!A:B,2,FALSE),"")</f>
        <v/>
      </c>
      <c r="F1607" s="12" t="n"/>
      <c r="G1607" s="13" t="n"/>
    </row>
    <row r="1608">
      <c r="A1608" s="12" t="n"/>
      <c r="D1608">
        <f>IFERROR(VLOOKUP(C1608,Cadastro_Produtos!A:B,2,FALSE),"")</f>
        <v/>
      </c>
      <c r="F1608" s="12" t="n"/>
      <c r="G1608" s="13" t="n"/>
    </row>
    <row r="1609">
      <c r="A1609" s="12" t="n"/>
      <c r="D1609">
        <f>IFERROR(VLOOKUP(C1609,Cadastro_Produtos!A:B,2,FALSE),"")</f>
        <v/>
      </c>
      <c r="F1609" s="12" t="n"/>
      <c r="G1609" s="13" t="n"/>
    </row>
    <row r="1610">
      <c r="A1610" s="12" t="n"/>
      <c r="D1610">
        <f>IFERROR(VLOOKUP(C1610,Cadastro_Produtos!A:B,2,FALSE),"")</f>
        <v/>
      </c>
      <c r="F1610" s="12" t="n"/>
      <c r="G1610" s="13" t="n"/>
    </row>
    <row r="1611">
      <c r="A1611" s="12" t="n"/>
      <c r="D1611">
        <f>IFERROR(VLOOKUP(C1611,Cadastro_Produtos!A:B,2,FALSE),"")</f>
        <v/>
      </c>
      <c r="F1611" s="12" t="n"/>
      <c r="G1611" s="13" t="n"/>
    </row>
    <row r="1612">
      <c r="A1612" s="12" t="n"/>
      <c r="D1612">
        <f>IFERROR(VLOOKUP(C1612,Cadastro_Produtos!A:B,2,FALSE),"")</f>
        <v/>
      </c>
      <c r="F1612" s="12" t="n"/>
      <c r="G1612" s="13" t="n"/>
    </row>
    <row r="1613">
      <c r="A1613" s="12" t="n"/>
      <c r="D1613">
        <f>IFERROR(VLOOKUP(C1613,Cadastro_Produtos!A:B,2,FALSE),"")</f>
        <v/>
      </c>
      <c r="F1613" s="12" t="n"/>
      <c r="G1613" s="13" t="n"/>
    </row>
    <row r="1614">
      <c r="A1614" s="12" t="n"/>
      <c r="D1614">
        <f>IFERROR(VLOOKUP(C1614,Cadastro_Produtos!A:B,2,FALSE),"")</f>
        <v/>
      </c>
      <c r="F1614" s="12" t="n"/>
      <c r="G1614" s="13" t="n"/>
    </row>
    <row r="1615">
      <c r="A1615" s="12" t="n"/>
      <c r="D1615">
        <f>IFERROR(VLOOKUP(C1615,Cadastro_Produtos!A:B,2,FALSE),"")</f>
        <v/>
      </c>
      <c r="F1615" s="12" t="n"/>
      <c r="G1615" s="13" t="n"/>
    </row>
    <row r="1616">
      <c r="A1616" s="12" t="n"/>
      <c r="D1616">
        <f>IFERROR(VLOOKUP(C1616,Cadastro_Produtos!A:B,2,FALSE),"")</f>
        <v/>
      </c>
      <c r="F1616" s="12" t="n"/>
      <c r="G1616" s="13" t="n"/>
    </row>
    <row r="1617">
      <c r="A1617" s="12" t="n"/>
      <c r="D1617">
        <f>IFERROR(VLOOKUP(C1617,Cadastro_Produtos!A:B,2,FALSE),"")</f>
        <v/>
      </c>
      <c r="F1617" s="12" t="n"/>
      <c r="G1617" s="13" t="n"/>
    </row>
    <row r="1618">
      <c r="A1618" s="12" t="n"/>
      <c r="D1618">
        <f>IFERROR(VLOOKUP(C1618,Cadastro_Produtos!A:B,2,FALSE),"")</f>
        <v/>
      </c>
      <c r="F1618" s="12" t="n"/>
      <c r="G1618" s="13" t="n"/>
    </row>
    <row r="1619">
      <c r="A1619" s="12" t="n"/>
      <c r="D1619">
        <f>IFERROR(VLOOKUP(C1619,Cadastro_Produtos!A:B,2,FALSE),"")</f>
        <v/>
      </c>
      <c r="F1619" s="12" t="n"/>
      <c r="G1619" s="13" t="n"/>
    </row>
    <row r="1620">
      <c r="A1620" s="12" t="n"/>
      <c r="D1620">
        <f>IFERROR(VLOOKUP(C1620,Cadastro_Produtos!A:B,2,FALSE),"")</f>
        <v/>
      </c>
      <c r="F1620" s="12" t="n"/>
      <c r="G1620" s="13" t="n"/>
    </row>
    <row r="1621">
      <c r="A1621" s="12" t="n"/>
      <c r="D1621">
        <f>IFERROR(VLOOKUP(C1621,Cadastro_Produtos!A:B,2,FALSE),"")</f>
        <v/>
      </c>
      <c r="F1621" s="12" t="n"/>
      <c r="G1621" s="13" t="n"/>
    </row>
    <row r="1622">
      <c r="A1622" s="12" t="n"/>
      <c r="D1622">
        <f>IFERROR(VLOOKUP(C1622,Cadastro_Produtos!A:B,2,FALSE),"")</f>
        <v/>
      </c>
      <c r="F1622" s="12" t="n"/>
      <c r="G1622" s="13" t="n"/>
    </row>
    <row r="1623">
      <c r="A1623" s="12" t="n"/>
      <c r="D1623">
        <f>IFERROR(VLOOKUP(C1623,Cadastro_Produtos!A:B,2,FALSE),"")</f>
        <v/>
      </c>
      <c r="F1623" s="12" t="n"/>
      <c r="G1623" s="13" t="n"/>
    </row>
    <row r="1624">
      <c r="A1624" s="12" t="n"/>
      <c r="D1624">
        <f>IFERROR(VLOOKUP(C1624,Cadastro_Produtos!A:B,2,FALSE),"")</f>
        <v/>
      </c>
      <c r="F1624" s="12" t="n"/>
      <c r="G1624" s="13" t="n"/>
    </row>
    <row r="1625">
      <c r="A1625" s="12" t="n"/>
      <c r="D1625">
        <f>IFERROR(VLOOKUP(C1625,Cadastro_Produtos!A:B,2,FALSE),"")</f>
        <v/>
      </c>
      <c r="F1625" s="12" t="n"/>
      <c r="G1625" s="13" t="n"/>
    </row>
    <row r="1626">
      <c r="A1626" s="12" t="n"/>
      <c r="D1626">
        <f>IFERROR(VLOOKUP(C1626,Cadastro_Produtos!A:B,2,FALSE),"")</f>
        <v/>
      </c>
      <c r="F1626" s="12" t="n"/>
      <c r="G1626" s="13" t="n"/>
    </row>
    <row r="1627">
      <c r="A1627" s="12" t="n"/>
      <c r="D1627">
        <f>IFERROR(VLOOKUP(C1627,Cadastro_Produtos!A:B,2,FALSE),"")</f>
        <v/>
      </c>
      <c r="F1627" s="12" t="n"/>
      <c r="G1627" s="13" t="n"/>
    </row>
    <row r="1628">
      <c r="A1628" s="12" t="n"/>
      <c r="D1628">
        <f>IFERROR(VLOOKUP(C1628,Cadastro_Produtos!A:B,2,FALSE),"")</f>
        <v/>
      </c>
      <c r="F1628" s="12" t="n"/>
      <c r="G1628" s="13" t="n"/>
    </row>
    <row r="1629">
      <c r="A1629" s="12" t="n"/>
      <c r="D1629">
        <f>IFERROR(VLOOKUP(C1629,Cadastro_Produtos!A:B,2,FALSE),"")</f>
        <v/>
      </c>
      <c r="F1629" s="12" t="n"/>
      <c r="G1629" s="13" t="n"/>
    </row>
    <row r="1630">
      <c r="A1630" s="12" t="n"/>
      <c r="D1630">
        <f>IFERROR(VLOOKUP(C1630,Cadastro_Produtos!A:B,2,FALSE),"")</f>
        <v/>
      </c>
      <c r="F1630" s="12" t="n"/>
      <c r="G1630" s="13" t="n"/>
    </row>
    <row r="1631">
      <c r="A1631" s="12" t="n"/>
      <c r="D1631">
        <f>IFERROR(VLOOKUP(C1631,Cadastro_Produtos!A:B,2,FALSE),"")</f>
        <v/>
      </c>
      <c r="F1631" s="12" t="n"/>
      <c r="G1631" s="13" t="n"/>
    </row>
    <row r="1632">
      <c r="A1632" s="12" t="n"/>
      <c r="D1632">
        <f>IFERROR(VLOOKUP(C1632,Cadastro_Produtos!A:B,2,FALSE),"")</f>
        <v/>
      </c>
      <c r="F1632" s="12" t="n"/>
      <c r="G1632" s="13" t="n"/>
    </row>
    <row r="1633">
      <c r="A1633" s="12" t="n"/>
      <c r="D1633">
        <f>IFERROR(VLOOKUP(C1633,Cadastro_Produtos!A:B,2,FALSE),"")</f>
        <v/>
      </c>
      <c r="F1633" s="12" t="n"/>
      <c r="G1633" s="13" t="n"/>
    </row>
    <row r="1634">
      <c r="A1634" s="12" t="n"/>
      <c r="D1634">
        <f>IFERROR(VLOOKUP(C1634,Cadastro_Produtos!A:B,2,FALSE),"")</f>
        <v/>
      </c>
      <c r="F1634" s="12" t="n"/>
      <c r="G1634" s="13" t="n"/>
    </row>
    <row r="1635">
      <c r="A1635" s="12" t="n"/>
      <c r="D1635">
        <f>IFERROR(VLOOKUP(C1635,Cadastro_Produtos!A:B,2,FALSE),"")</f>
        <v/>
      </c>
      <c r="F1635" s="12" t="n"/>
      <c r="G1635" s="13" t="n"/>
    </row>
    <row r="1636">
      <c r="A1636" s="12" t="n"/>
      <c r="D1636">
        <f>IFERROR(VLOOKUP(C1636,Cadastro_Produtos!A:B,2,FALSE),"")</f>
        <v/>
      </c>
      <c r="F1636" s="12" t="n"/>
      <c r="G1636" s="13" t="n"/>
    </row>
    <row r="1637">
      <c r="A1637" s="12" t="n"/>
      <c r="D1637">
        <f>IFERROR(VLOOKUP(C1637,Cadastro_Produtos!A:B,2,FALSE),"")</f>
        <v/>
      </c>
      <c r="F1637" s="12" t="n"/>
      <c r="G1637" s="13" t="n"/>
    </row>
    <row r="1638">
      <c r="A1638" s="12" t="n"/>
      <c r="D1638">
        <f>IFERROR(VLOOKUP(C1638,Cadastro_Produtos!A:B,2,FALSE),"")</f>
        <v/>
      </c>
      <c r="F1638" s="12" t="n"/>
      <c r="G1638" s="13" t="n"/>
    </row>
    <row r="1639">
      <c r="A1639" s="12" t="n"/>
      <c r="D1639">
        <f>IFERROR(VLOOKUP(C1639,Cadastro_Produtos!A:B,2,FALSE),"")</f>
        <v/>
      </c>
      <c r="F1639" s="12" t="n"/>
      <c r="G1639" s="13" t="n"/>
    </row>
    <row r="1640">
      <c r="A1640" s="12" t="n"/>
      <c r="D1640">
        <f>IFERROR(VLOOKUP(C1640,Cadastro_Produtos!A:B,2,FALSE),"")</f>
        <v/>
      </c>
      <c r="F1640" s="12" t="n"/>
      <c r="G1640" s="13" t="n"/>
    </row>
    <row r="1641">
      <c r="A1641" s="12" t="n"/>
      <c r="D1641">
        <f>IFERROR(VLOOKUP(C1641,Cadastro_Produtos!A:B,2,FALSE),"")</f>
        <v/>
      </c>
      <c r="F1641" s="12" t="n"/>
      <c r="G1641" s="13" t="n"/>
    </row>
    <row r="1642">
      <c r="A1642" s="12" t="n"/>
      <c r="D1642">
        <f>IFERROR(VLOOKUP(C1642,Cadastro_Produtos!A:B,2,FALSE),"")</f>
        <v/>
      </c>
      <c r="F1642" s="12" t="n"/>
      <c r="G1642" s="13" t="n"/>
    </row>
    <row r="1643">
      <c r="A1643" s="12" t="n"/>
      <c r="D1643">
        <f>IFERROR(VLOOKUP(C1643,Cadastro_Produtos!A:B,2,FALSE),"")</f>
        <v/>
      </c>
      <c r="F1643" s="12" t="n"/>
      <c r="G1643" s="13" t="n"/>
    </row>
    <row r="1644">
      <c r="A1644" s="12" t="n"/>
      <c r="D1644">
        <f>IFERROR(VLOOKUP(C1644,Cadastro_Produtos!A:B,2,FALSE),"")</f>
        <v/>
      </c>
      <c r="F1644" s="12" t="n"/>
      <c r="G1644" s="13" t="n"/>
    </row>
    <row r="1645">
      <c r="A1645" s="12" t="n"/>
      <c r="D1645">
        <f>IFERROR(VLOOKUP(C1645,Cadastro_Produtos!A:B,2,FALSE),"")</f>
        <v/>
      </c>
      <c r="F1645" s="12" t="n"/>
      <c r="G1645" s="13" t="n"/>
    </row>
    <row r="1646">
      <c r="A1646" s="12" t="n"/>
      <c r="D1646">
        <f>IFERROR(VLOOKUP(C1646,Cadastro_Produtos!A:B,2,FALSE),"")</f>
        <v/>
      </c>
      <c r="F1646" s="12" t="n"/>
      <c r="G1646" s="13" t="n"/>
    </row>
    <row r="1647">
      <c r="A1647" s="12" t="n"/>
      <c r="D1647">
        <f>IFERROR(VLOOKUP(C1647,Cadastro_Produtos!A:B,2,FALSE),"")</f>
        <v/>
      </c>
      <c r="F1647" s="12" t="n"/>
      <c r="G1647" s="13" t="n"/>
    </row>
    <row r="1648">
      <c r="A1648" s="12" t="n"/>
      <c r="D1648">
        <f>IFERROR(VLOOKUP(C1648,Cadastro_Produtos!A:B,2,FALSE),"")</f>
        <v/>
      </c>
      <c r="F1648" s="12" t="n"/>
      <c r="G1648" s="13" t="n"/>
    </row>
    <row r="1649">
      <c r="A1649" s="12" t="n"/>
      <c r="D1649">
        <f>IFERROR(VLOOKUP(C1649,Cadastro_Produtos!A:B,2,FALSE),"")</f>
        <v/>
      </c>
      <c r="F1649" s="12" t="n"/>
      <c r="G1649" s="13" t="n"/>
    </row>
    <row r="1650">
      <c r="A1650" s="12" t="n"/>
      <c r="D1650">
        <f>IFERROR(VLOOKUP(C1650,Cadastro_Produtos!A:B,2,FALSE),"")</f>
        <v/>
      </c>
      <c r="F1650" s="12" t="n"/>
      <c r="G1650" s="13" t="n"/>
    </row>
    <row r="1651">
      <c r="A1651" s="12" t="n"/>
      <c r="D1651">
        <f>IFERROR(VLOOKUP(C1651,Cadastro_Produtos!A:B,2,FALSE),"")</f>
        <v/>
      </c>
      <c r="F1651" s="12" t="n"/>
      <c r="G1651" s="13" t="n"/>
    </row>
    <row r="1652">
      <c r="A1652" s="12" t="n"/>
      <c r="D1652">
        <f>IFERROR(VLOOKUP(C1652,Cadastro_Produtos!A:B,2,FALSE),"")</f>
        <v/>
      </c>
      <c r="F1652" s="12" t="n"/>
      <c r="G1652" s="13" t="n"/>
    </row>
    <row r="1653">
      <c r="A1653" s="12" t="n"/>
      <c r="D1653">
        <f>IFERROR(VLOOKUP(C1653,Cadastro_Produtos!A:B,2,FALSE),"")</f>
        <v/>
      </c>
      <c r="F1653" s="12" t="n"/>
      <c r="G1653" s="13" t="n"/>
    </row>
    <row r="1654">
      <c r="A1654" s="12" t="n"/>
      <c r="D1654">
        <f>IFERROR(VLOOKUP(C1654,Cadastro_Produtos!A:B,2,FALSE),"")</f>
        <v/>
      </c>
      <c r="F1654" s="12" t="n"/>
      <c r="G1654" s="13" t="n"/>
    </row>
    <row r="1655">
      <c r="A1655" s="12" t="n"/>
      <c r="D1655">
        <f>IFERROR(VLOOKUP(C1655,Cadastro_Produtos!A:B,2,FALSE),"")</f>
        <v/>
      </c>
      <c r="F1655" s="12" t="n"/>
      <c r="G1655" s="13" t="n"/>
    </row>
    <row r="1656">
      <c r="A1656" s="12" t="n"/>
      <c r="D1656">
        <f>IFERROR(VLOOKUP(C1656,Cadastro_Produtos!A:B,2,FALSE),"")</f>
        <v/>
      </c>
      <c r="F1656" s="12" t="n"/>
      <c r="G1656" s="13" t="n"/>
    </row>
    <row r="1657">
      <c r="A1657" s="12" t="n"/>
      <c r="D1657">
        <f>IFERROR(VLOOKUP(C1657,Cadastro_Produtos!A:B,2,FALSE),"")</f>
        <v/>
      </c>
      <c r="F1657" s="12" t="n"/>
      <c r="G1657" s="13" t="n"/>
    </row>
    <row r="1658">
      <c r="A1658" s="12" t="n"/>
      <c r="D1658">
        <f>IFERROR(VLOOKUP(C1658,Cadastro_Produtos!A:B,2,FALSE),"")</f>
        <v/>
      </c>
      <c r="F1658" s="12" t="n"/>
      <c r="G1658" s="13" t="n"/>
    </row>
    <row r="1659">
      <c r="A1659" s="12" t="n"/>
      <c r="D1659">
        <f>IFERROR(VLOOKUP(C1659,Cadastro_Produtos!A:B,2,FALSE),"")</f>
        <v/>
      </c>
      <c r="F1659" s="12" t="n"/>
      <c r="G1659" s="13" t="n"/>
    </row>
    <row r="1660">
      <c r="A1660" s="12" t="n"/>
      <c r="D1660">
        <f>IFERROR(VLOOKUP(C1660,Cadastro_Produtos!A:B,2,FALSE),"")</f>
        <v/>
      </c>
      <c r="F1660" s="12" t="n"/>
      <c r="G1660" s="13" t="n"/>
    </row>
    <row r="1661">
      <c r="A1661" s="12" t="n"/>
      <c r="D1661">
        <f>IFERROR(VLOOKUP(C1661,Cadastro_Produtos!A:B,2,FALSE),"")</f>
        <v/>
      </c>
      <c r="F1661" s="12" t="n"/>
      <c r="G1661" s="13" t="n"/>
    </row>
    <row r="1662">
      <c r="A1662" s="12" t="n"/>
      <c r="D1662">
        <f>IFERROR(VLOOKUP(C1662,Cadastro_Produtos!A:B,2,FALSE),"")</f>
        <v/>
      </c>
      <c r="F1662" s="12" t="n"/>
      <c r="G1662" s="13" t="n"/>
    </row>
    <row r="1663">
      <c r="A1663" s="12" t="n"/>
      <c r="D1663">
        <f>IFERROR(VLOOKUP(C1663,Cadastro_Produtos!A:B,2,FALSE),"")</f>
        <v/>
      </c>
      <c r="F1663" s="12" t="n"/>
      <c r="G1663" s="13" t="n"/>
    </row>
    <row r="1664">
      <c r="A1664" s="12" t="n"/>
      <c r="D1664">
        <f>IFERROR(VLOOKUP(C1664,Cadastro_Produtos!A:B,2,FALSE),"")</f>
        <v/>
      </c>
      <c r="F1664" s="12" t="n"/>
      <c r="G1664" s="13" t="n"/>
    </row>
    <row r="1665">
      <c r="A1665" s="12" t="n"/>
      <c r="D1665">
        <f>IFERROR(VLOOKUP(C1665,Cadastro_Produtos!A:B,2,FALSE),"")</f>
        <v/>
      </c>
      <c r="F1665" s="12" t="n"/>
      <c r="G1665" s="13" t="n"/>
    </row>
    <row r="1666">
      <c r="A1666" s="12" t="n"/>
      <c r="D1666">
        <f>IFERROR(VLOOKUP(C1666,Cadastro_Produtos!A:B,2,FALSE),"")</f>
        <v/>
      </c>
      <c r="F1666" s="12" t="n"/>
      <c r="G1666" s="13" t="n"/>
    </row>
    <row r="1667">
      <c r="A1667" s="12" t="n"/>
      <c r="D1667">
        <f>IFERROR(VLOOKUP(C1667,Cadastro_Produtos!A:B,2,FALSE),"")</f>
        <v/>
      </c>
      <c r="F1667" s="12" t="n"/>
      <c r="G1667" s="13" t="n"/>
    </row>
    <row r="1668">
      <c r="A1668" s="12" t="n"/>
      <c r="D1668">
        <f>IFERROR(VLOOKUP(C1668,Cadastro_Produtos!A:B,2,FALSE),"")</f>
        <v/>
      </c>
      <c r="F1668" s="12" t="n"/>
      <c r="G1668" s="13" t="n"/>
    </row>
    <row r="1669">
      <c r="A1669" s="12" t="n"/>
      <c r="D1669">
        <f>IFERROR(VLOOKUP(C1669,Cadastro_Produtos!A:B,2,FALSE),"")</f>
        <v/>
      </c>
      <c r="F1669" s="12" t="n"/>
      <c r="G1669" s="13" t="n"/>
    </row>
    <row r="1670">
      <c r="A1670" s="12" t="n"/>
      <c r="D1670">
        <f>IFERROR(VLOOKUP(C1670,Cadastro_Produtos!A:B,2,FALSE),"")</f>
        <v/>
      </c>
      <c r="F1670" s="12" t="n"/>
      <c r="G1670" s="13" t="n"/>
    </row>
    <row r="1671">
      <c r="A1671" s="12" t="n"/>
      <c r="D1671">
        <f>IFERROR(VLOOKUP(C1671,Cadastro_Produtos!A:B,2,FALSE),"")</f>
        <v/>
      </c>
      <c r="F1671" s="12" t="n"/>
      <c r="G1671" s="13" t="n"/>
    </row>
    <row r="1672">
      <c r="A1672" s="12" t="n"/>
      <c r="D1672">
        <f>IFERROR(VLOOKUP(C1672,Cadastro_Produtos!A:B,2,FALSE),"")</f>
        <v/>
      </c>
      <c r="F1672" s="12" t="n"/>
      <c r="G1672" s="13" t="n"/>
    </row>
    <row r="1673">
      <c r="A1673" s="12" t="n"/>
      <c r="D1673">
        <f>IFERROR(VLOOKUP(C1673,Cadastro_Produtos!A:B,2,FALSE),"")</f>
        <v/>
      </c>
      <c r="F1673" s="12" t="n"/>
      <c r="G1673" s="13" t="n"/>
    </row>
    <row r="1674">
      <c r="A1674" s="12" t="n"/>
      <c r="D1674">
        <f>IFERROR(VLOOKUP(C1674,Cadastro_Produtos!A:B,2,FALSE),"")</f>
        <v/>
      </c>
      <c r="F1674" s="12" t="n"/>
      <c r="G1674" s="13" t="n"/>
    </row>
    <row r="1675">
      <c r="A1675" s="12" t="n"/>
      <c r="D1675">
        <f>IFERROR(VLOOKUP(C1675,Cadastro_Produtos!A:B,2,FALSE),"")</f>
        <v/>
      </c>
      <c r="F1675" s="12" t="n"/>
      <c r="G1675" s="13" t="n"/>
    </row>
    <row r="1676">
      <c r="A1676" s="12" t="n"/>
      <c r="D1676">
        <f>IFERROR(VLOOKUP(C1676,Cadastro_Produtos!A:B,2,FALSE),"")</f>
        <v/>
      </c>
      <c r="F1676" s="12" t="n"/>
      <c r="G1676" s="13" t="n"/>
    </row>
    <row r="1677">
      <c r="A1677" s="12" t="n"/>
      <c r="D1677">
        <f>IFERROR(VLOOKUP(C1677,Cadastro_Produtos!A:B,2,FALSE),"")</f>
        <v/>
      </c>
      <c r="F1677" s="12" t="n"/>
      <c r="G1677" s="13" t="n"/>
    </row>
    <row r="1678">
      <c r="A1678" s="12" t="n"/>
      <c r="D1678">
        <f>IFERROR(VLOOKUP(C1678,Cadastro_Produtos!A:B,2,FALSE),"")</f>
        <v/>
      </c>
      <c r="F1678" s="12" t="n"/>
      <c r="G1678" s="13" t="n"/>
    </row>
    <row r="1679">
      <c r="A1679" s="12" t="n"/>
      <c r="D1679">
        <f>IFERROR(VLOOKUP(C1679,Cadastro_Produtos!A:B,2,FALSE),"")</f>
        <v/>
      </c>
      <c r="F1679" s="12" t="n"/>
      <c r="G1679" s="13" t="n"/>
    </row>
    <row r="1680">
      <c r="A1680" s="12" t="n"/>
      <c r="D1680">
        <f>IFERROR(VLOOKUP(C1680,Cadastro_Produtos!A:B,2,FALSE),"")</f>
        <v/>
      </c>
      <c r="F1680" s="12" t="n"/>
      <c r="G1680" s="13" t="n"/>
    </row>
    <row r="1681">
      <c r="A1681" s="12" t="n"/>
      <c r="D1681">
        <f>IFERROR(VLOOKUP(C1681,Cadastro_Produtos!A:B,2,FALSE),"")</f>
        <v/>
      </c>
      <c r="F1681" s="12" t="n"/>
      <c r="G1681" s="13" t="n"/>
    </row>
    <row r="1682">
      <c r="A1682" s="12" t="n"/>
      <c r="D1682">
        <f>IFERROR(VLOOKUP(C1682,Cadastro_Produtos!A:B,2,FALSE),"")</f>
        <v/>
      </c>
      <c r="F1682" s="12" t="n"/>
      <c r="G1682" s="13" t="n"/>
    </row>
    <row r="1683">
      <c r="A1683" s="12" t="n"/>
      <c r="D1683">
        <f>IFERROR(VLOOKUP(C1683,Cadastro_Produtos!A:B,2,FALSE),"")</f>
        <v/>
      </c>
      <c r="F1683" s="12" t="n"/>
      <c r="G1683" s="13" t="n"/>
    </row>
    <row r="1684">
      <c r="A1684" s="12" t="n"/>
      <c r="D1684">
        <f>IFERROR(VLOOKUP(C1684,Cadastro_Produtos!A:B,2,FALSE),"")</f>
        <v/>
      </c>
      <c r="F1684" s="12" t="n"/>
      <c r="G1684" s="13" t="n"/>
    </row>
    <row r="1685">
      <c r="A1685" s="12" t="n"/>
      <c r="D1685">
        <f>IFERROR(VLOOKUP(C1685,Cadastro_Produtos!A:B,2,FALSE),"")</f>
        <v/>
      </c>
      <c r="F1685" s="12" t="n"/>
      <c r="G1685" s="13" t="n"/>
    </row>
    <row r="1686">
      <c r="A1686" s="12" t="n"/>
      <c r="D1686">
        <f>IFERROR(VLOOKUP(C1686,Cadastro_Produtos!A:B,2,FALSE),"")</f>
        <v/>
      </c>
      <c r="F1686" s="12" t="n"/>
      <c r="G1686" s="13" t="n"/>
    </row>
    <row r="1687">
      <c r="A1687" s="12" t="n"/>
      <c r="D1687">
        <f>IFERROR(VLOOKUP(C1687,Cadastro_Produtos!A:B,2,FALSE),"")</f>
        <v/>
      </c>
      <c r="F1687" s="12" t="n"/>
      <c r="G1687" s="13" t="n"/>
    </row>
    <row r="1688">
      <c r="A1688" s="12" t="n"/>
      <c r="D1688">
        <f>IFERROR(VLOOKUP(C1688,Cadastro_Produtos!A:B,2,FALSE),"")</f>
        <v/>
      </c>
      <c r="F1688" s="12" t="n"/>
      <c r="G1688" s="13" t="n"/>
    </row>
    <row r="1689">
      <c r="A1689" s="12" t="n"/>
      <c r="D1689">
        <f>IFERROR(VLOOKUP(C1689,Cadastro_Produtos!A:B,2,FALSE),"")</f>
        <v/>
      </c>
      <c r="F1689" s="12" t="n"/>
      <c r="G1689" s="13" t="n"/>
    </row>
    <row r="1690">
      <c r="A1690" s="12" t="n"/>
      <c r="D1690">
        <f>IFERROR(VLOOKUP(C1690,Cadastro_Produtos!A:B,2,FALSE),"")</f>
        <v/>
      </c>
      <c r="F1690" s="12" t="n"/>
      <c r="G1690" s="13" t="n"/>
    </row>
    <row r="1691">
      <c r="A1691" s="12" t="n"/>
      <c r="D1691">
        <f>IFERROR(VLOOKUP(C1691,Cadastro_Produtos!A:B,2,FALSE),"")</f>
        <v/>
      </c>
      <c r="F1691" s="12" t="n"/>
      <c r="G1691" s="13" t="n"/>
    </row>
    <row r="1692">
      <c r="A1692" s="12" t="n"/>
      <c r="D1692">
        <f>IFERROR(VLOOKUP(C1692,Cadastro_Produtos!A:B,2,FALSE),"")</f>
        <v/>
      </c>
      <c r="F1692" s="12" t="n"/>
      <c r="G1692" s="13" t="n"/>
    </row>
    <row r="1693">
      <c r="A1693" s="12" t="n"/>
      <c r="D1693">
        <f>IFERROR(VLOOKUP(C1693,Cadastro_Produtos!A:B,2,FALSE),"")</f>
        <v/>
      </c>
      <c r="F1693" s="12" t="n"/>
      <c r="G1693" s="13" t="n"/>
    </row>
    <row r="1694">
      <c r="A1694" s="12" t="n"/>
      <c r="D1694">
        <f>IFERROR(VLOOKUP(C1694,Cadastro_Produtos!A:B,2,FALSE),"")</f>
        <v/>
      </c>
      <c r="F1694" s="12" t="n"/>
      <c r="G1694" s="13" t="n"/>
    </row>
    <row r="1695">
      <c r="A1695" s="12" t="n"/>
      <c r="D1695">
        <f>IFERROR(VLOOKUP(C1695,Cadastro_Produtos!A:B,2,FALSE),"")</f>
        <v/>
      </c>
      <c r="F1695" s="12" t="n"/>
      <c r="G1695" s="13" t="n"/>
    </row>
    <row r="1696">
      <c r="A1696" s="12" t="n"/>
      <c r="D1696">
        <f>IFERROR(VLOOKUP(C1696,Cadastro_Produtos!A:B,2,FALSE),"")</f>
        <v/>
      </c>
      <c r="F1696" s="12" t="n"/>
      <c r="G1696" s="13" t="n"/>
    </row>
    <row r="1697">
      <c r="A1697" s="12" t="n"/>
      <c r="D1697">
        <f>IFERROR(VLOOKUP(C1697,Cadastro_Produtos!A:B,2,FALSE),"")</f>
        <v/>
      </c>
      <c r="F1697" s="12" t="n"/>
      <c r="G1697" s="13" t="n"/>
    </row>
    <row r="1698">
      <c r="A1698" s="12" t="n"/>
      <c r="D1698">
        <f>IFERROR(VLOOKUP(C1698,Cadastro_Produtos!A:B,2,FALSE),"")</f>
        <v/>
      </c>
      <c r="F1698" s="12" t="n"/>
      <c r="G1698" s="13" t="n"/>
    </row>
    <row r="1699">
      <c r="A1699" s="12" t="n"/>
      <c r="D1699">
        <f>IFERROR(VLOOKUP(C1699,Cadastro_Produtos!A:B,2,FALSE),"")</f>
        <v/>
      </c>
      <c r="F1699" s="12" t="n"/>
      <c r="G1699" s="13" t="n"/>
    </row>
    <row r="1700">
      <c r="A1700" s="12" t="n"/>
      <c r="D1700">
        <f>IFERROR(VLOOKUP(C1700,Cadastro_Produtos!A:B,2,FALSE),"")</f>
        <v/>
      </c>
      <c r="F1700" s="12" t="n"/>
      <c r="G1700" s="13" t="n"/>
    </row>
    <row r="1701">
      <c r="A1701" s="12" t="n"/>
      <c r="D1701">
        <f>IFERROR(VLOOKUP(C1701,Cadastro_Produtos!A:B,2,FALSE),"")</f>
        <v/>
      </c>
      <c r="F1701" s="12" t="n"/>
      <c r="G1701" s="13" t="n"/>
    </row>
    <row r="1702">
      <c r="A1702" s="12" t="n"/>
      <c r="D1702">
        <f>IFERROR(VLOOKUP(C1702,Cadastro_Produtos!A:B,2,FALSE),"")</f>
        <v/>
      </c>
      <c r="F1702" s="12" t="n"/>
      <c r="G1702" s="13" t="n"/>
    </row>
    <row r="1703">
      <c r="A1703" s="12" t="n"/>
      <c r="D1703">
        <f>IFERROR(VLOOKUP(C1703,Cadastro_Produtos!A:B,2,FALSE),"")</f>
        <v/>
      </c>
      <c r="F1703" s="12" t="n"/>
      <c r="G1703" s="13" t="n"/>
    </row>
    <row r="1704">
      <c r="A1704" s="12" t="n"/>
      <c r="D1704">
        <f>IFERROR(VLOOKUP(C1704,Cadastro_Produtos!A:B,2,FALSE),"")</f>
        <v/>
      </c>
      <c r="F1704" s="12" t="n"/>
      <c r="G1704" s="13" t="n"/>
    </row>
    <row r="1705">
      <c r="A1705" s="12" t="n"/>
      <c r="D1705">
        <f>IFERROR(VLOOKUP(C1705,Cadastro_Produtos!A:B,2,FALSE),"")</f>
        <v/>
      </c>
      <c r="F1705" s="12" t="n"/>
      <c r="G1705" s="13" t="n"/>
    </row>
    <row r="1706">
      <c r="A1706" s="12" t="n"/>
      <c r="D1706">
        <f>IFERROR(VLOOKUP(C1706,Cadastro_Produtos!A:B,2,FALSE),"")</f>
        <v/>
      </c>
      <c r="F1706" s="12" t="n"/>
      <c r="G1706" s="13" t="n"/>
    </row>
    <row r="1707">
      <c r="A1707" s="12" t="n"/>
      <c r="D1707">
        <f>IFERROR(VLOOKUP(C1707,Cadastro_Produtos!A:B,2,FALSE),"")</f>
        <v/>
      </c>
      <c r="F1707" s="12" t="n"/>
      <c r="G1707" s="13" t="n"/>
    </row>
    <row r="1708">
      <c r="A1708" s="12" t="n"/>
      <c r="D1708">
        <f>IFERROR(VLOOKUP(C1708,Cadastro_Produtos!A:B,2,FALSE),"")</f>
        <v/>
      </c>
      <c r="F1708" s="12" t="n"/>
      <c r="G1708" s="13" t="n"/>
    </row>
    <row r="1709">
      <c r="A1709" s="12" t="n"/>
      <c r="D1709">
        <f>IFERROR(VLOOKUP(C1709,Cadastro_Produtos!A:B,2,FALSE),"")</f>
        <v/>
      </c>
      <c r="F1709" s="12" t="n"/>
      <c r="G1709" s="13" t="n"/>
    </row>
    <row r="1710">
      <c r="A1710" s="12" t="n"/>
      <c r="D1710">
        <f>IFERROR(VLOOKUP(C1710,Cadastro_Produtos!A:B,2,FALSE),"")</f>
        <v/>
      </c>
      <c r="F1710" s="12" t="n"/>
      <c r="G1710" s="13" t="n"/>
    </row>
    <row r="1711">
      <c r="A1711" s="12" t="n"/>
      <c r="D1711">
        <f>IFERROR(VLOOKUP(C1711,Cadastro_Produtos!A:B,2,FALSE),"")</f>
        <v/>
      </c>
      <c r="F1711" s="12" t="n"/>
      <c r="G1711" s="13" t="n"/>
    </row>
    <row r="1712">
      <c r="A1712" s="12" t="n"/>
      <c r="D1712">
        <f>IFERROR(VLOOKUP(C1712,Cadastro_Produtos!A:B,2,FALSE),"")</f>
        <v/>
      </c>
      <c r="F1712" s="12" t="n"/>
      <c r="G1712" s="13" t="n"/>
    </row>
    <row r="1713">
      <c r="A1713" s="12" t="n"/>
      <c r="D1713">
        <f>IFERROR(VLOOKUP(C1713,Cadastro_Produtos!A:B,2,FALSE),"")</f>
        <v/>
      </c>
      <c r="F1713" s="12" t="n"/>
      <c r="G1713" s="13" t="n"/>
    </row>
    <row r="1714">
      <c r="A1714" s="12" t="n"/>
      <c r="D1714">
        <f>IFERROR(VLOOKUP(C1714,Cadastro_Produtos!A:B,2,FALSE),"")</f>
        <v/>
      </c>
      <c r="F1714" s="12" t="n"/>
      <c r="G1714" s="13" t="n"/>
    </row>
    <row r="1715">
      <c r="A1715" s="12" t="n"/>
      <c r="D1715">
        <f>IFERROR(VLOOKUP(C1715,Cadastro_Produtos!A:B,2,FALSE),"")</f>
        <v/>
      </c>
      <c r="F1715" s="12" t="n"/>
      <c r="G1715" s="13" t="n"/>
    </row>
    <row r="1716">
      <c r="A1716" s="12" t="n"/>
      <c r="D1716">
        <f>IFERROR(VLOOKUP(C1716,Cadastro_Produtos!A:B,2,FALSE),"")</f>
        <v/>
      </c>
      <c r="F1716" s="12" t="n"/>
      <c r="G1716" s="13" t="n"/>
    </row>
    <row r="1717">
      <c r="A1717" s="12" t="n"/>
      <c r="D1717">
        <f>IFERROR(VLOOKUP(C1717,Cadastro_Produtos!A:B,2,FALSE),"")</f>
        <v/>
      </c>
      <c r="F1717" s="12" t="n"/>
      <c r="G1717" s="13" t="n"/>
    </row>
    <row r="1718">
      <c r="A1718" s="12" t="n"/>
      <c r="D1718">
        <f>IFERROR(VLOOKUP(C1718,Cadastro_Produtos!A:B,2,FALSE),"")</f>
        <v/>
      </c>
      <c r="F1718" s="12" t="n"/>
      <c r="G1718" s="13" t="n"/>
    </row>
    <row r="1719">
      <c r="A1719" s="12" t="n"/>
      <c r="D1719">
        <f>IFERROR(VLOOKUP(C1719,Cadastro_Produtos!A:B,2,FALSE),"")</f>
        <v/>
      </c>
      <c r="F1719" s="12" t="n"/>
      <c r="G1719" s="13" t="n"/>
    </row>
    <row r="1720">
      <c r="A1720" s="12" t="n"/>
      <c r="D1720">
        <f>IFERROR(VLOOKUP(C1720,Cadastro_Produtos!A:B,2,FALSE),"")</f>
        <v/>
      </c>
      <c r="F1720" s="12" t="n"/>
      <c r="G1720" s="13" t="n"/>
    </row>
    <row r="1721">
      <c r="A1721" s="12" t="n"/>
      <c r="D1721">
        <f>IFERROR(VLOOKUP(C1721,Cadastro_Produtos!A:B,2,FALSE),"")</f>
        <v/>
      </c>
      <c r="F1721" s="12" t="n"/>
      <c r="G1721" s="13" t="n"/>
    </row>
    <row r="1722">
      <c r="A1722" s="12" t="n"/>
      <c r="D1722">
        <f>IFERROR(VLOOKUP(C1722,Cadastro_Produtos!A:B,2,FALSE),"")</f>
        <v/>
      </c>
      <c r="F1722" s="12" t="n"/>
      <c r="G1722" s="13" t="n"/>
    </row>
    <row r="1723">
      <c r="A1723" s="12" t="n"/>
      <c r="D1723">
        <f>IFERROR(VLOOKUP(C1723,Cadastro_Produtos!A:B,2,FALSE),"")</f>
        <v/>
      </c>
      <c r="F1723" s="12" t="n"/>
      <c r="G1723" s="13" t="n"/>
    </row>
    <row r="1724">
      <c r="A1724" s="12" t="n"/>
      <c r="D1724">
        <f>IFERROR(VLOOKUP(C1724,Cadastro_Produtos!A:B,2,FALSE),"")</f>
        <v/>
      </c>
      <c r="F1724" s="12" t="n"/>
      <c r="G1724" s="13" t="n"/>
    </row>
    <row r="1725">
      <c r="A1725" s="12" t="n"/>
      <c r="D1725">
        <f>IFERROR(VLOOKUP(C1725,Cadastro_Produtos!A:B,2,FALSE),"")</f>
        <v/>
      </c>
      <c r="F1725" s="12" t="n"/>
      <c r="G1725" s="13" t="n"/>
    </row>
    <row r="1726">
      <c r="A1726" s="12" t="n"/>
      <c r="D1726">
        <f>IFERROR(VLOOKUP(C1726,Cadastro_Produtos!A:B,2,FALSE),"")</f>
        <v/>
      </c>
      <c r="F1726" s="12" t="n"/>
      <c r="G1726" s="13" t="n"/>
    </row>
    <row r="1727">
      <c r="A1727" s="12" t="n"/>
      <c r="D1727">
        <f>IFERROR(VLOOKUP(C1727,Cadastro_Produtos!A:B,2,FALSE),"")</f>
        <v/>
      </c>
      <c r="F1727" s="12" t="n"/>
      <c r="G1727" s="13" t="n"/>
    </row>
    <row r="1728">
      <c r="A1728" s="12" t="n"/>
      <c r="D1728">
        <f>IFERROR(VLOOKUP(C1728,Cadastro_Produtos!A:B,2,FALSE),"")</f>
        <v/>
      </c>
      <c r="F1728" s="12" t="n"/>
      <c r="G1728" s="13" t="n"/>
    </row>
    <row r="1729">
      <c r="A1729" s="12" t="n"/>
      <c r="D1729">
        <f>IFERROR(VLOOKUP(C1729,Cadastro_Produtos!A:B,2,FALSE),"")</f>
        <v/>
      </c>
      <c r="F1729" s="12" t="n"/>
      <c r="G1729" s="13" t="n"/>
    </row>
    <row r="1730">
      <c r="A1730" s="12" t="n"/>
      <c r="D1730">
        <f>IFERROR(VLOOKUP(C1730,Cadastro_Produtos!A:B,2,FALSE),"")</f>
        <v/>
      </c>
      <c r="F1730" s="12" t="n"/>
      <c r="G1730" s="13" t="n"/>
    </row>
    <row r="1731">
      <c r="A1731" s="12" t="n"/>
      <c r="D1731">
        <f>IFERROR(VLOOKUP(C1731,Cadastro_Produtos!A:B,2,FALSE),"")</f>
        <v/>
      </c>
      <c r="F1731" s="12" t="n"/>
      <c r="G1731" s="13" t="n"/>
    </row>
    <row r="1732">
      <c r="A1732" s="12" t="n"/>
      <c r="D1732">
        <f>IFERROR(VLOOKUP(C1732,Cadastro_Produtos!A:B,2,FALSE),"")</f>
        <v/>
      </c>
      <c r="F1732" s="12" t="n"/>
      <c r="G1732" s="13" t="n"/>
    </row>
    <row r="1733">
      <c r="A1733" s="12" t="n"/>
      <c r="D1733">
        <f>IFERROR(VLOOKUP(C1733,Cadastro_Produtos!A:B,2,FALSE),"")</f>
        <v/>
      </c>
      <c r="F1733" s="12" t="n"/>
      <c r="G1733" s="13" t="n"/>
    </row>
    <row r="1734">
      <c r="A1734" s="12" t="n"/>
      <c r="D1734">
        <f>IFERROR(VLOOKUP(C1734,Cadastro_Produtos!A:B,2,FALSE),"")</f>
        <v/>
      </c>
      <c r="F1734" s="12" t="n"/>
      <c r="G1734" s="13" t="n"/>
    </row>
    <row r="1735">
      <c r="A1735" s="12" t="n"/>
      <c r="D1735">
        <f>IFERROR(VLOOKUP(C1735,Cadastro_Produtos!A:B,2,FALSE),"")</f>
        <v/>
      </c>
      <c r="F1735" s="12" t="n"/>
      <c r="G1735" s="13" t="n"/>
    </row>
    <row r="1736">
      <c r="A1736" s="12" t="n"/>
      <c r="D1736">
        <f>IFERROR(VLOOKUP(C1736,Cadastro_Produtos!A:B,2,FALSE),"")</f>
        <v/>
      </c>
      <c r="F1736" s="12" t="n"/>
      <c r="G1736" s="13" t="n"/>
    </row>
    <row r="1737">
      <c r="A1737" s="12" t="n"/>
      <c r="D1737">
        <f>IFERROR(VLOOKUP(C1737,Cadastro_Produtos!A:B,2,FALSE),"")</f>
        <v/>
      </c>
      <c r="F1737" s="12" t="n"/>
      <c r="G1737" s="13" t="n"/>
    </row>
    <row r="1738">
      <c r="A1738" s="12" t="n"/>
      <c r="D1738">
        <f>IFERROR(VLOOKUP(C1738,Cadastro_Produtos!A:B,2,FALSE),"")</f>
        <v/>
      </c>
      <c r="F1738" s="12" t="n"/>
      <c r="G1738" s="13" t="n"/>
    </row>
    <row r="1739">
      <c r="A1739" s="12" t="n"/>
      <c r="D1739">
        <f>IFERROR(VLOOKUP(C1739,Cadastro_Produtos!A:B,2,FALSE),"")</f>
        <v/>
      </c>
      <c r="F1739" s="12" t="n"/>
      <c r="G1739" s="13" t="n"/>
    </row>
    <row r="1740">
      <c r="A1740" s="12" t="n"/>
      <c r="D1740">
        <f>IFERROR(VLOOKUP(C1740,Cadastro_Produtos!A:B,2,FALSE),"")</f>
        <v/>
      </c>
      <c r="F1740" s="12" t="n"/>
      <c r="G1740" s="13" t="n"/>
    </row>
    <row r="1741">
      <c r="A1741" s="12" t="n"/>
      <c r="D1741">
        <f>IFERROR(VLOOKUP(C1741,Cadastro_Produtos!A:B,2,FALSE),"")</f>
        <v/>
      </c>
      <c r="F1741" s="12" t="n"/>
      <c r="G1741" s="13" t="n"/>
    </row>
    <row r="1742">
      <c r="A1742" s="12" t="n"/>
      <c r="D1742">
        <f>IFERROR(VLOOKUP(C1742,Cadastro_Produtos!A:B,2,FALSE),"")</f>
        <v/>
      </c>
      <c r="F1742" s="12" t="n"/>
      <c r="G1742" s="13" t="n"/>
    </row>
    <row r="1743">
      <c r="A1743" s="12" t="n"/>
      <c r="D1743">
        <f>IFERROR(VLOOKUP(C1743,Cadastro_Produtos!A:B,2,FALSE),"")</f>
        <v/>
      </c>
      <c r="F1743" s="12" t="n"/>
      <c r="G1743" s="13" t="n"/>
    </row>
    <row r="1744">
      <c r="A1744" s="12" t="n"/>
      <c r="D1744">
        <f>IFERROR(VLOOKUP(C1744,Cadastro_Produtos!A:B,2,FALSE),"")</f>
        <v/>
      </c>
      <c r="F1744" s="12" t="n"/>
      <c r="G1744" s="13" t="n"/>
    </row>
    <row r="1745">
      <c r="A1745" s="12" t="n"/>
      <c r="D1745">
        <f>IFERROR(VLOOKUP(C1745,Cadastro_Produtos!A:B,2,FALSE),"")</f>
        <v/>
      </c>
      <c r="F1745" s="12" t="n"/>
      <c r="G1745" s="13" t="n"/>
    </row>
    <row r="1746">
      <c r="A1746" s="12" t="n"/>
      <c r="D1746">
        <f>IFERROR(VLOOKUP(C1746,Cadastro_Produtos!A:B,2,FALSE),"")</f>
        <v/>
      </c>
      <c r="F1746" s="12" t="n"/>
      <c r="G1746" s="13" t="n"/>
    </row>
    <row r="1747">
      <c r="A1747" s="12" t="n"/>
      <c r="D1747">
        <f>IFERROR(VLOOKUP(C1747,Cadastro_Produtos!A:B,2,FALSE),"")</f>
        <v/>
      </c>
      <c r="F1747" s="12" t="n"/>
      <c r="G1747" s="13" t="n"/>
    </row>
    <row r="1748">
      <c r="A1748" s="12" t="n"/>
      <c r="D1748">
        <f>IFERROR(VLOOKUP(C1748,Cadastro_Produtos!A:B,2,FALSE),"")</f>
        <v/>
      </c>
      <c r="F1748" s="12" t="n"/>
      <c r="G1748" s="13" t="n"/>
    </row>
    <row r="1749">
      <c r="A1749" s="12" t="n"/>
      <c r="D1749">
        <f>IFERROR(VLOOKUP(C1749,Cadastro_Produtos!A:B,2,FALSE),"")</f>
        <v/>
      </c>
      <c r="F1749" s="12" t="n"/>
      <c r="G1749" s="13" t="n"/>
    </row>
    <row r="1750">
      <c r="A1750" s="12" t="n"/>
      <c r="D1750">
        <f>IFERROR(VLOOKUP(C1750,Cadastro_Produtos!A:B,2,FALSE),"")</f>
        <v/>
      </c>
      <c r="F1750" s="12" t="n"/>
      <c r="G1750" s="13" t="n"/>
    </row>
    <row r="1751">
      <c r="A1751" s="12" t="n"/>
      <c r="D1751">
        <f>IFERROR(VLOOKUP(C1751,Cadastro_Produtos!A:B,2,FALSE),"")</f>
        <v/>
      </c>
      <c r="F1751" s="12" t="n"/>
      <c r="G1751" s="13" t="n"/>
    </row>
    <row r="1752">
      <c r="A1752" s="12" t="n"/>
      <c r="D1752">
        <f>IFERROR(VLOOKUP(C1752,Cadastro_Produtos!A:B,2,FALSE),"")</f>
        <v/>
      </c>
      <c r="F1752" s="12" t="n"/>
      <c r="G1752" s="13" t="n"/>
    </row>
    <row r="1753">
      <c r="A1753" s="12" t="n"/>
      <c r="D1753">
        <f>IFERROR(VLOOKUP(C1753,Cadastro_Produtos!A:B,2,FALSE),"")</f>
        <v/>
      </c>
      <c r="F1753" s="12" t="n"/>
      <c r="G1753" s="13" t="n"/>
    </row>
    <row r="1754">
      <c r="A1754" s="12" t="n"/>
      <c r="D1754">
        <f>IFERROR(VLOOKUP(C1754,Cadastro_Produtos!A:B,2,FALSE),"")</f>
        <v/>
      </c>
      <c r="F1754" s="12" t="n"/>
      <c r="G1754" s="13" t="n"/>
    </row>
    <row r="1755">
      <c r="A1755" s="12" t="n"/>
      <c r="D1755">
        <f>IFERROR(VLOOKUP(C1755,Cadastro_Produtos!A:B,2,FALSE),"")</f>
        <v/>
      </c>
      <c r="F1755" s="12" t="n"/>
      <c r="G1755" s="13" t="n"/>
    </row>
    <row r="1756">
      <c r="A1756" s="12" t="n"/>
      <c r="D1756">
        <f>IFERROR(VLOOKUP(C1756,Cadastro_Produtos!A:B,2,FALSE),"")</f>
        <v/>
      </c>
      <c r="F1756" s="12" t="n"/>
      <c r="G1756" s="13" t="n"/>
    </row>
    <row r="1757">
      <c r="A1757" s="12" t="n"/>
      <c r="D1757">
        <f>IFERROR(VLOOKUP(C1757,Cadastro_Produtos!A:B,2,FALSE),"")</f>
        <v/>
      </c>
      <c r="F1757" s="12" t="n"/>
      <c r="G1757" s="13" t="n"/>
    </row>
    <row r="1758">
      <c r="A1758" s="12" t="n"/>
      <c r="D1758">
        <f>IFERROR(VLOOKUP(C1758,Cadastro_Produtos!A:B,2,FALSE),"")</f>
        <v/>
      </c>
      <c r="F1758" s="12" t="n"/>
      <c r="G1758" s="13" t="n"/>
    </row>
    <row r="1759">
      <c r="A1759" s="12" t="n"/>
      <c r="D1759">
        <f>IFERROR(VLOOKUP(C1759,Cadastro_Produtos!A:B,2,FALSE),"")</f>
        <v/>
      </c>
      <c r="F1759" s="12" t="n"/>
      <c r="G1759" s="13" t="n"/>
    </row>
    <row r="1760">
      <c r="A1760" s="12" t="n"/>
      <c r="D1760">
        <f>IFERROR(VLOOKUP(C1760,Cadastro_Produtos!A:B,2,FALSE),"")</f>
        <v/>
      </c>
      <c r="F1760" s="12" t="n"/>
      <c r="G1760" s="13" t="n"/>
    </row>
    <row r="1761">
      <c r="A1761" s="12" t="n"/>
      <c r="D1761">
        <f>IFERROR(VLOOKUP(C1761,Cadastro_Produtos!A:B,2,FALSE),"")</f>
        <v/>
      </c>
      <c r="F1761" s="12" t="n"/>
      <c r="G1761" s="13" t="n"/>
    </row>
    <row r="1762">
      <c r="A1762" s="12" t="n"/>
      <c r="D1762">
        <f>IFERROR(VLOOKUP(C1762,Cadastro_Produtos!A:B,2,FALSE),"")</f>
        <v/>
      </c>
      <c r="F1762" s="12" t="n"/>
      <c r="G1762" s="13" t="n"/>
    </row>
    <row r="1763">
      <c r="A1763" s="12" t="n"/>
      <c r="D1763">
        <f>IFERROR(VLOOKUP(C1763,Cadastro_Produtos!A:B,2,FALSE),"")</f>
        <v/>
      </c>
      <c r="F1763" s="12" t="n"/>
      <c r="G1763" s="13" t="n"/>
    </row>
    <row r="1764">
      <c r="A1764" s="12" t="n"/>
      <c r="D1764">
        <f>IFERROR(VLOOKUP(C1764,Cadastro_Produtos!A:B,2,FALSE),"")</f>
        <v/>
      </c>
      <c r="F1764" s="12" t="n"/>
      <c r="G1764" s="13" t="n"/>
    </row>
    <row r="1765">
      <c r="A1765" s="12" t="n"/>
      <c r="D1765">
        <f>IFERROR(VLOOKUP(C1765,Cadastro_Produtos!A:B,2,FALSE),"")</f>
        <v/>
      </c>
      <c r="F1765" s="12" t="n"/>
      <c r="G1765" s="13" t="n"/>
    </row>
    <row r="1766">
      <c r="A1766" s="12" t="n"/>
      <c r="D1766">
        <f>IFERROR(VLOOKUP(C1766,Cadastro_Produtos!A:B,2,FALSE),"")</f>
        <v/>
      </c>
      <c r="F1766" s="12" t="n"/>
      <c r="G1766" s="13" t="n"/>
    </row>
    <row r="1767">
      <c r="A1767" s="12" t="n"/>
      <c r="D1767">
        <f>IFERROR(VLOOKUP(C1767,Cadastro_Produtos!A:B,2,FALSE),"")</f>
        <v/>
      </c>
      <c r="F1767" s="12" t="n"/>
      <c r="G1767" s="13" t="n"/>
    </row>
    <row r="1768">
      <c r="A1768" s="12" t="n"/>
      <c r="D1768">
        <f>IFERROR(VLOOKUP(C1768,Cadastro_Produtos!A:B,2,FALSE),"")</f>
        <v/>
      </c>
      <c r="F1768" s="12" t="n"/>
      <c r="G1768" s="13" t="n"/>
    </row>
    <row r="1769">
      <c r="A1769" s="12" t="n"/>
      <c r="D1769">
        <f>IFERROR(VLOOKUP(C1769,Cadastro_Produtos!A:B,2,FALSE),"")</f>
        <v/>
      </c>
      <c r="F1769" s="12" t="n"/>
      <c r="G1769" s="13" t="n"/>
    </row>
    <row r="1770">
      <c r="A1770" s="12" t="n"/>
      <c r="D1770">
        <f>IFERROR(VLOOKUP(C1770,Cadastro_Produtos!A:B,2,FALSE),"")</f>
        <v/>
      </c>
      <c r="F1770" s="12" t="n"/>
      <c r="G1770" s="13" t="n"/>
    </row>
    <row r="1771">
      <c r="A1771" s="12" t="n"/>
      <c r="D1771">
        <f>IFERROR(VLOOKUP(C1771,Cadastro_Produtos!A:B,2,FALSE),"")</f>
        <v/>
      </c>
      <c r="F1771" s="12" t="n"/>
      <c r="G1771" s="13" t="n"/>
    </row>
    <row r="1772">
      <c r="A1772" s="12" t="n"/>
      <c r="D1772">
        <f>IFERROR(VLOOKUP(C1772,Cadastro_Produtos!A:B,2,FALSE),"")</f>
        <v/>
      </c>
      <c r="F1772" s="12" t="n"/>
      <c r="G1772" s="13" t="n"/>
    </row>
    <row r="1773">
      <c r="A1773" s="12" t="n"/>
      <c r="D1773">
        <f>IFERROR(VLOOKUP(C1773,Cadastro_Produtos!A:B,2,FALSE),"")</f>
        <v/>
      </c>
      <c r="F1773" s="12" t="n"/>
      <c r="G1773" s="13" t="n"/>
    </row>
    <row r="1774">
      <c r="A1774" s="12" t="n"/>
      <c r="D1774">
        <f>IFERROR(VLOOKUP(C1774,Cadastro_Produtos!A:B,2,FALSE),"")</f>
        <v/>
      </c>
      <c r="F1774" s="12" t="n"/>
      <c r="G1774" s="13" t="n"/>
    </row>
    <row r="1775">
      <c r="A1775" s="12" t="n"/>
      <c r="D1775">
        <f>IFERROR(VLOOKUP(C1775,Cadastro_Produtos!A:B,2,FALSE),"")</f>
        <v/>
      </c>
      <c r="F1775" s="12" t="n"/>
      <c r="G1775" s="13" t="n"/>
    </row>
    <row r="1776">
      <c r="A1776" s="12" t="n"/>
      <c r="D1776">
        <f>IFERROR(VLOOKUP(C1776,Cadastro_Produtos!A:B,2,FALSE),"")</f>
        <v/>
      </c>
      <c r="F1776" s="12" t="n"/>
      <c r="G1776" s="13" t="n"/>
    </row>
    <row r="1777">
      <c r="A1777" s="12" t="n"/>
      <c r="D1777">
        <f>IFERROR(VLOOKUP(C1777,Cadastro_Produtos!A:B,2,FALSE),"")</f>
        <v/>
      </c>
      <c r="F1777" s="12" t="n"/>
      <c r="G1777" s="13" t="n"/>
    </row>
    <row r="1778">
      <c r="A1778" s="12" t="n"/>
      <c r="D1778">
        <f>IFERROR(VLOOKUP(C1778,Cadastro_Produtos!A:B,2,FALSE),"")</f>
        <v/>
      </c>
      <c r="F1778" s="12" t="n"/>
      <c r="G1778" s="13" t="n"/>
    </row>
    <row r="1779">
      <c r="A1779" s="12" t="n"/>
      <c r="D1779">
        <f>IFERROR(VLOOKUP(C1779,Cadastro_Produtos!A:B,2,FALSE),"")</f>
        <v/>
      </c>
      <c r="F1779" s="12" t="n"/>
      <c r="G1779" s="13" t="n"/>
    </row>
    <row r="1780">
      <c r="A1780" s="12" t="n"/>
      <c r="D1780">
        <f>IFERROR(VLOOKUP(C1780,Cadastro_Produtos!A:B,2,FALSE),"")</f>
        <v/>
      </c>
      <c r="F1780" s="12" t="n"/>
      <c r="G1780" s="13" t="n"/>
    </row>
    <row r="1781">
      <c r="A1781" s="12" t="n"/>
      <c r="D1781">
        <f>IFERROR(VLOOKUP(C1781,Cadastro_Produtos!A:B,2,FALSE),"")</f>
        <v/>
      </c>
      <c r="F1781" s="12" t="n"/>
      <c r="G1781" s="13" t="n"/>
    </row>
    <row r="1782">
      <c r="A1782" s="12" t="n"/>
      <c r="D1782">
        <f>IFERROR(VLOOKUP(C1782,Cadastro_Produtos!A:B,2,FALSE),"")</f>
        <v/>
      </c>
      <c r="F1782" s="12" t="n"/>
      <c r="G1782" s="13" t="n"/>
    </row>
    <row r="1783">
      <c r="A1783" s="12" t="n"/>
      <c r="D1783">
        <f>IFERROR(VLOOKUP(C1783,Cadastro_Produtos!A:B,2,FALSE),"")</f>
        <v/>
      </c>
      <c r="F1783" s="12" t="n"/>
      <c r="G1783" s="13" t="n"/>
    </row>
    <row r="1784">
      <c r="A1784" s="12" t="n"/>
      <c r="D1784">
        <f>IFERROR(VLOOKUP(C1784,Cadastro_Produtos!A:B,2,FALSE),"")</f>
        <v/>
      </c>
      <c r="F1784" s="12" t="n"/>
      <c r="G1784" s="13" t="n"/>
    </row>
    <row r="1785">
      <c r="A1785" s="12" t="n"/>
      <c r="D1785">
        <f>IFERROR(VLOOKUP(C1785,Cadastro_Produtos!A:B,2,FALSE),"")</f>
        <v/>
      </c>
      <c r="F1785" s="12" t="n"/>
      <c r="G1785" s="13" t="n"/>
    </row>
    <row r="1786">
      <c r="A1786" s="12" t="n"/>
      <c r="D1786">
        <f>IFERROR(VLOOKUP(C1786,Cadastro_Produtos!A:B,2,FALSE),"")</f>
        <v/>
      </c>
      <c r="F1786" s="12" t="n"/>
      <c r="G1786" s="13" t="n"/>
    </row>
    <row r="1787">
      <c r="A1787" s="12" t="n"/>
      <c r="D1787">
        <f>IFERROR(VLOOKUP(C1787,Cadastro_Produtos!A:B,2,FALSE),"")</f>
        <v/>
      </c>
      <c r="F1787" s="12" t="n"/>
      <c r="G1787" s="13" t="n"/>
    </row>
    <row r="1788">
      <c r="A1788" s="12" t="n"/>
      <c r="D1788">
        <f>IFERROR(VLOOKUP(C1788,Cadastro_Produtos!A:B,2,FALSE),"")</f>
        <v/>
      </c>
      <c r="F1788" s="12" t="n"/>
      <c r="G1788" s="13" t="n"/>
    </row>
    <row r="1789">
      <c r="A1789" s="12" t="n"/>
      <c r="D1789">
        <f>IFERROR(VLOOKUP(C1789,Cadastro_Produtos!A:B,2,FALSE),"")</f>
        <v/>
      </c>
      <c r="F1789" s="12" t="n"/>
      <c r="G1789" s="13" t="n"/>
    </row>
    <row r="1790">
      <c r="A1790" s="12" t="n"/>
      <c r="D1790">
        <f>IFERROR(VLOOKUP(C1790,Cadastro_Produtos!A:B,2,FALSE),"")</f>
        <v/>
      </c>
      <c r="F1790" s="12" t="n"/>
      <c r="G1790" s="13" t="n"/>
    </row>
    <row r="1791">
      <c r="A1791" s="12" t="n"/>
      <c r="D1791">
        <f>IFERROR(VLOOKUP(C1791,Cadastro_Produtos!A:B,2,FALSE),"")</f>
        <v/>
      </c>
      <c r="F1791" s="12" t="n"/>
      <c r="G1791" s="13" t="n"/>
    </row>
    <row r="1792">
      <c r="A1792" s="12" t="n"/>
      <c r="D1792">
        <f>IFERROR(VLOOKUP(C1792,Cadastro_Produtos!A:B,2,FALSE),"")</f>
        <v/>
      </c>
      <c r="F1792" s="12" t="n"/>
      <c r="G1792" s="13" t="n"/>
    </row>
    <row r="1793">
      <c r="A1793" s="12" t="n"/>
      <c r="D1793">
        <f>IFERROR(VLOOKUP(C1793,Cadastro_Produtos!A:B,2,FALSE),"")</f>
        <v/>
      </c>
      <c r="F1793" s="12" t="n"/>
      <c r="G1793" s="13" t="n"/>
    </row>
    <row r="1794">
      <c r="A1794" s="12" t="n"/>
      <c r="D1794">
        <f>IFERROR(VLOOKUP(C1794,Cadastro_Produtos!A:B,2,FALSE),"")</f>
        <v/>
      </c>
      <c r="F1794" s="12" t="n"/>
      <c r="G1794" s="13" t="n"/>
    </row>
    <row r="1795">
      <c r="A1795" s="12" t="n"/>
      <c r="D1795">
        <f>IFERROR(VLOOKUP(C1795,Cadastro_Produtos!A:B,2,FALSE),"")</f>
        <v/>
      </c>
      <c r="F1795" s="12" t="n"/>
      <c r="G1795" s="13" t="n"/>
    </row>
    <row r="1796">
      <c r="A1796" s="12" t="n"/>
      <c r="D1796">
        <f>IFERROR(VLOOKUP(C1796,Cadastro_Produtos!A:B,2,FALSE),"")</f>
        <v/>
      </c>
      <c r="F1796" s="12" t="n"/>
      <c r="G1796" s="13" t="n"/>
    </row>
    <row r="1797">
      <c r="A1797" s="12" t="n"/>
      <c r="D1797">
        <f>IFERROR(VLOOKUP(C1797,Cadastro_Produtos!A:B,2,FALSE),"")</f>
        <v/>
      </c>
      <c r="F1797" s="12" t="n"/>
      <c r="G1797" s="13" t="n"/>
    </row>
    <row r="1798">
      <c r="A1798" s="12" t="n"/>
      <c r="D1798">
        <f>IFERROR(VLOOKUP(C1798,Cadastro_Produtos!A:B,2,FALSE),"")</f>
        <v/>
      </c>
      <c r="F1798" s="12" t="n"/>
      <c r="G1798" s="13" t="n"/>
    </row>
    <row r="1799">
      <c r="A1799" s="12" t="n"/>
      <c r="D1799">
        <f>IFERROR(VLOOKUP(C1799,Cadastro_Produtos!A:B,2,FALSE),"")</f>
        <v/>
      </c>
      <c r="F1799" s="12" t="n"/>
      <c r="G1799" s="13" t="n"/>
    </row>
    <row r="1800">
      <c r="A1800" s="12" t="n"/>
      <c r="D1800">
        <f>IFERROR(VLOOKUP(C1800,Cadastro_Produtos!A:B,2,FALSE),"")</f>
        <v/>
      </c>
      <c r="F1800" s="12" t="n"/>
      <c r="G1800" s="13" t="n"/>
    </row>
    <row r="1801">
      <c r="A1801" s="12" t="n"/>
      <c r="D1801">
        <f>IFERROR(VLOOKUP(C1801,Cadastro_Produtos!A:B,2,FALSE),"")</f>
        <v/>
      </c>
      <c r="F1801" s="12" t="n"/>
      <c r="G1801" s="13" t="n"/>
    </row>
    <row r="1802">
      <c r="A1802" s="12" t="n"/>
      <c r="D1802">
        <f>IFERROR(VLOOKUP(C1802,Cadastro_Produtos!A:B,2,FALSE),"")</f>
        <v/>
      </c>
      <c r="F1802" s="12" t="n"/>
      <c r="G1802" s="13" t="n"/>
    </row>
    <row r="1803">
      <c r="A1803" s="12" t="n"/>
      <c r="D1803">
        <f>IFERROR(VLOOKUP(C1803,Cadastro_Produtos!A:B,2,FALSE),"")</f>
        <v/>
      </c>
      <c r="F1803" s="12" t="n"/>
      <c r="G1803" s="13" t="n"/>
    </row>
    <row r="1804">
      <c r="A1804" s="12" t="n"/>
      <c r="D1804">
        <f>IFERROR(VLOOKUP(C1804,Cadastro_Produtos!A:B,2,FALSE),"")</f>
        <v/>
      </c>
      <c r="F1804" s="12" t="n"/>
      <c r="G1804" s="13" t="n"/>
    </row>
    <row r="1805">
      <c r="A1805" s="12" t="n"/>
      <c r="D1805">
        <f>IFERROR(VLOOKUP(C1805,Cadastro_Produtos!A:B,2,FALSE),"")</f>
        <v/>
      </c>
      <c r="F1805" s="12" t="n"/>
      <c r="G1805" s="13" t="n"/>
    </row>
    <row r="1806">
      <c r="A1806" s="12" t="n"/>
      <c r="D1806">
        <f>IFERROR(VLOOKUP(C1806,Cadastro_Produtos!A:B,2,FALSE),"")</f>
        <v/>
      </c>
      <c r="F1806" s="12" t="n"/>
      <c r="G1806" s="13" t="n"/>
    </row>
    <row r="1807">
      <c r="A1807" s="12" t="n"/>
      <c r="D1807">
        <f>IFERROR(VLOOKUP(C1807,Cadastro_Produtos!A:B,2,FALSE),"")</f>
        <v/>
      </c>
      <c r="F1807" s="12" t="n"/>
      <c r="G1807" s="13" t="n"/>
    </row>
    <row r="1808">
      <c r="A1808" s="12" t="n"/>
      <c r="D1808">
        <f>IFERROR(VLOOKUP(C1808,Cadastro_Produtos!A:B,2,FALSE),"")</f>
        <v/>
      </c>
      <c r="F1808" s="12" t="n"/>
      <c r="G1808" s="13" t="n"/>
    </row>
    <row r="1809">
      <c r="A1809" s="12" t="n"/>
      <c r="D1809">
        <f>IFERROR(VLOOKUP(C1809,Cadastro_Produtos!A:B,2,FALSE),"")</f>
        <v/>
      </c>
      <c r="F1809" s="12" t="n"/>
      <c r="G1809" s="13" t="n"/>
    </row>
    <row r="1810">
      <c r="A1810" s="12" t="n"/>
      <c r="D1810">
        <f>IFERROR(VLOOKUP(C1810,Cadastro_Produtos!A:B,2,FALSE),"")</f>
        <v/>
      </c>
      <c r="F1810" s="12" t="n"/>
      <c r="G1810" s="13" t="n"/>
    </row>
    <row r="1811">
      <c r="A1811" s="12" t="n"/>
      <c r="D1811">
        <f>IFERROR(VLOOKUP(C1811,Cadastro_Produtos!A:B,2,FALSE),"")</f>
        <v/>
      </c>
      <c r="F1811" s="12" t="n"/>
      <c r="G1811" s="13" t="n"/>
    </row>
    <row r="1812">
      <c r="A1812" s="12" t="n"/>
      <c r="D1812">
        <f>IFERROR(VLOOKUP(C1812,Cadastro_Produtos!A:B,2,FALSE),"")</f>
        <v/>
      </c>
      <c r="F1812" s="12" t="n"/>
      <c r="G1812" s="13" t="n"/>
    </row>
    <row r="1813">
      <c r="A1813" s="12" t="n"/>
      <c r="D1813">
        <f>IFERROR(VLOOKUP(C1813,Cadastro_Produtos!A:B,2,FALSE),"")</f>
        <v/>
      </c>
      <c r="F1813" s="12" t="n"/>
      <c r="G1813" s="13" t="n"/>
    </row>
    <row r="1814">
      <c r="A1814" s="12" t="n"/>
      <c r="D1814">
        <f>IFERROR(VLOOKUP(C1814,Cadastro_Produtos!A:B,2,FALSE),"")</f>
        <v/>
      </c>
      <c r="F1814" s="12" t="n"/>
      <c r="G1814" s="13" t="n"/>
    </row>
    <row r="1815">
      <c r="A1815" s="12" t="n"/>
      <c r="D1815">
        <f>IFERROR(VLOOKUP(C1815,Cadastro_Produtos!A:B,2,FALSE),"")</f>
        <v/>
      </c>
      <c r="F1815" s="12" t="n"/>
      <c r="G1815" s="13" t="n"/>
    </row>
    <row r="1816">
      <c r="A1816" s="12" t="n"/>
      <c r="D1816">
        <f>IFERROR(VLOOKUP(C1816,Cadastro_Produtos!A:B,2,FALSE),"")</f>
        <v/>
      </c>
      <c r="F1816" s="12" t="n"/>
      <c r="G1816" s="13" t="n"/>
    </row>
    <row r="1817">
      <c r="A1817" s="12" t="n"/>
      <c r="D1817">
        <f>IFERROR(VLOOKUP(C1817,Cadastro_Produtos!A:B,2,FALSE),"")</f>
        <v/>
      </c>
      <c r="F1817" s="12" t="n"/>
      <c r="G1817" s="13" t="n"/>
    </row>
    <row r="1818">
      <c r="A1818" s="12" t="n"/>
      <c r="D1818">
        <f>IFERROR(VLOOKUP(C1818,Cadastro_Produtos!A:B,2,FALSE),"")</f>
        <v/>
      </c>
      <c r="F1818" s="12" t="n"/>
      <c r="G1818" s="13" t="n"/>
    </row>
    <row r="1819">
      <c r="A1819" s="12" t="n"/>
      <c r="D1819">
        <f>IFERROR(VLOOKUP(C1819,Cadastro_Produtos!A:B,2,FALSE),"")</f>
        <v/>
      </c>
      <c r="F1819" s="12" t="n"/>
      <c r="G1819" s="13" t="n"/>
    </row>
    <row r="1820">
      <c r="A1820" s="12" t="n"/>
      <c r="D1820">
        <f>IFERROR(VLOOKUP(C1820,Cadastro_Produtos!A:B,2,FALSE),"")</f>
        <v/>
      </c>
      <c r="F1820" s="12" t="n"/>
      <c r="G1820" s="13" t="n"/>
    </row>
    <row r="1821">
      <c r="A1821" s="12" t="n"/>
      <c r="D1821">
        <f>IFERROR(VLOOKUP(C1821,Cadastro_Produtos!A:B,2,FALSE),"")</f>
        <v/>
      </c>
      <c r="F1821" s="12" t="n"/>
      <c r="G1821" s="13" t="n"/>
    </row>
    <row r="1822">
      <c r="A1822" s="12" t="n"/>
      <c r="D1822">
        <f>IFERROR(VLOOKUP(C1822,Cadastro_Produtos!A:B,2,FALSE),"")</f>
        <v/>
      </c>
      <c r="F1822" s="12" t="n"/>
      <c r="G1822" s="13" t="n"/>
    </row>
    <row r="1823">
      <c r="A1823" s="12" t="n"/>
      <c r="D1823">
        <f>IFERROR(VLOOKUP(C1823,Cadastro_Produtos!A:B,2,FALSE),"")</f>
        <v/>
      </c>
      <c r="F1823" s="12" t="n"/>
      <c r="G1823" s="13" t="n"/>
    </row>
    <row r="1824">
      <c r="A1824" s="12" t="n"/>
      <c r="D1824">
        <f>IFERROR(VLOOKUP(C1824,Cadastro_Produtos!A:B,2,FALSE),"")</f>
        <v/>
      </c>
      <c r="F1824" s="12" t="n"/>
      <c r="G1824" s="13" t="n"/>
    </row>
    <row r="1825">
      <c r="A1825" s="12" t="n"/>
      <c r="D1825">
        <f>IFERROR(VLOOKUP(C1825,Cadastro_Produtos!A:B,2,FALSE),"")</f>
        <v/>
      </c>
      <c r="F1825" s="12" t="n"/>
      <c r="G1825" s="13" t="n"/>
    </row>
    <row r="1826">
      <c r="A1826" s="12" t="n"/>
      <c r="D1826">
        <f>IFERROR(VLOOKUP(C1826,Cadastro_Produtos!A:B,2,FALSE),"")</f>
        <v/>
      </c>
      <c r="F1826" s="12" t="n"/>
      <c r="G1826" s="13" t="n"/>
    </row>
    <row r="1827">
      <c r="A1827" s="12" t="n"/>
      <c r="D1827">
        <f>IFERROR(VLOOKUP(C1827,Cadastro_Produtos!A:B,2,FALSE),"")</f>
        <v/>
      </c>
      <c r="F1827" s="12" t="n"/>
      <c r="G1827" s="13" t="n"/>
    </row>
    <row r="1828">
      <c r="A1828" s="12" t="n"/>
      <c r="D1828">
        <f>IFERROR(VLOOKUP(C1828,Cadastro_Produtos!A:B,2,FALSE),"")</f>
        <v/>
      </c>
      <c r="F1828" s="12" t="n"/>
      <c r="G1828" s="13" t="n"/>
    </row>
    <row r="1829">
      <c r="A1829" s="12" t="n"/>
      <c r="D1829">
        <f>IFERROR(VLOOKUP(C1829,Cadastro_Produtos!A:B,2,FALSE),"")</f>
        <v/>
      </c>
      <c r="F1829" s="12" t="n"/>
      <c r="G1829" s="13" t="n"/>
    </row>
    <row r="1830">
      <c r="A1830" s="12" t="n"/>
      <c r="D1830">
        <f>IFERROR(VLOOKUP(C1830,Cadastro_Produtos!A:B,2,FALSE),"")</f>
        <v/>
      </c>
      <c r="F1830" s="12" t="n"/>
      <c r="G1830" s="13" t="n"/>
    </row>
    <row r="1831">
      <c r="A1831" s="12" t="n"/>
      <c r="D1831">
        <f>IFERROR(VLOOKUP(C1831,Cadastro_Produtos!A:B,2,FALSE),"")</f>
        <v/>
      </c>
      <c r="F1831" s="12" t="n"/>
      <c r="G1831" s="13" t="n"/>
    </row>
    <row r="1832">
      <c r="A1832" s="12" t="n"/>
      <c r="D1832">
        <f>IFERROR(VLOOKUP(C1832,Cadastro_Produtos!A:B,2,FALSE),"")</f>
        <v/>
      </c>
      <c r="F1832" s="12" t="n"/>
      <c r="G1832" s="13" t="n"/>
    </row>
    <row r="1833">
      <c r="A1833" s="12" t="n"/>
      <c r="D1833">
        <f>IFERROR(VLOOKUP(C1833,Cadastro_Produtos!A:B,2,FALSE),"")</f>
        <v/>
      </c>
      <c r="F1833" s="12" t="n"/>
      <c r="G1833" s="13" t="n"/>
    </row>
    <row r="1834">
      <c r="A1834" s="12" t="n"/>
      <c r="D1834">
        <f>IFERROR(VLOOKUP(C1834,Cadastro_Produtos!A:B,2,FALSE),"")</f>
        <v/>
      </c>
      <c r="F1834" s="12" t="n"/>
      <c r="G1834" s="13" t="n"/>
    </row>
    <row r="1835">
      <c r="A1835" s="12" t="n"/>
      <c r="D1835">
        <f>IFERROR(VLOOKUP(C1835,Cadastro_Produtos!A:B,2,FALSE),"")</f>
        <v/>
      </c>
      <c r="F1835" s="12" t="n"/>
      <c r="G1835" s="13" t="n"/>
    </row>
    <row r="1836">
      <c r="A1836" s="12" t="n"/>
      <c r="D1836">
        <f>IFERROR(VLOOKUP(C1836,Cadastro_Produtos!A:B,2,FALSE),"")</f>
        <v/>
      </c>
      <c r="F1836" s="12" t="n"/>
      <c r="G1836" s="13" t="n"/>
    </row>
    <row r="1837">
      <c r="A1837" s="12" t="n"/>
      <c r="D1837">
        <f>IFERROR(VLOOKUP(C1837,Cadastro_Produtos!A:B,2,FALSE),"")</f>
        <v/>
      </c>
      <c r="F1837" s="12" t="n"/>
      <c r="G1837" s="13" t="n"/>
    </row>
    <row r="1838">
      <c r="A1838" s="12" t="n"/>
      <c r="D1838">
        <f>IFERROR(VLOOKUP(C1838,Cadastro_Produtos!A:B,2,FALSE),"")</f>
        <v/>
      </c>
      <c r="F1838" s="12" t="n"/>
      <c r="G1838" s="13" t="n"/>
    </row>
    <row r="1839">
      <c r="A1839" s="12" t="n"/>
      <c r="D1839">
        <f>IFERROR(VLOOKUP(C1839,Cadastro_Produtos!A:B,2,FALSE),"")</f>
        <v/>
      </c>
      <c r="F1839" s="12" t="n"/>
      <c r="G1839" s="13" t="n"/>
    </row>
    <row r="1840">
      <c r="A1840" s="12" t="n"/>
      <c r="D1840">
        <f>IFERROR(VLOOKUP(C1840,Cadastro_Produtos!A:B,2,FALSE),"")</f>
        <v/>
      </c>
      <c r="F1840" s="12" t="n"/>
      <c r="G1840" s="13" t="n"/>
    </row>
    <row r="1841">
      <c r="A1841" s="12" t="n"/>
      <c r="D1841">
        <f>IFERROR(VLOOKUP(C1841,Cadastro_Produtos!A:B,2,FALSE),"")</f>
        <v/>
      </c>
      <c r="F1841" s="12" t="n"/>
      <c r="G1841" s="13" t="n"/>
    </row>
    <row r="1842">
      <c r="A1842" s="12" t="n"/>
      <c r="D1842">
        <f>IFERROR(VLOOKUP(C1842,Cadastro_Produtos!A:B,2,FALSE),"")</f>
        <v/>
      </c>
      <c r="F1842" s="12" t="n"/>
      <c r="G1842" s="13" t="n"/>
    </row>
    <row r="1843">
      <c r="A1843" s="12" t="n"/>
      <c r="D1843">
        <f>IFERROR(VLOOKUP(C1843,Cadastro_Produtos!A:B,2,FALSE),"")</f>
        <v/>
      </c>
      <c r="F1843" s="12" t="n"/>
      <c r="G1843" s="13" t="n"/>
    </row>
    <row r="1844">
      <c r="A1844" s="12" t="n"/>
      <c r="D1844">
        <f>IFERROR(VLOOKUP(C1844,Cadastro_Produtos!A:B,2,FALSE),"")</f>
        <v/>
      </c>
      <c r="F1844" s="12" t="n"/>
      <c r="G1844" s="13" t="n"/>
    </row>
    <row r="1845">
      <c r="A1845" s="12" t="n"/>
      <c r="D1845">
        <f>IFERROR(VLOOKUP(C1845,Cadastro_Produtos!A:B,2,FALSE),"")</f>
        <v/>
      </c>
      <c r="F1845" s="12" t="n"/>
      <c r="G1845" s="13" t="n"/>
    </row>
    <row r="1846">
      <c r="A1846" s="12" t="n"/>
      <c r="D1846">
        <f>IFERROR(VLOOKUP(C1846,Cadastro_Produtos!A:B,2,FALSE),"")</f>
        <v/>
      </c>
      <c r="F1846" s="12" t="n"/>
      <c r="G1846" s="13" t="n"/>
    </row>
    <row r="1847">
      <c r="A1847" s="12" t="n"/>
      <c r="D1847">
        <f>IFERROR(VLOOKUP(C1847,Cadastro_Produtos!A:B,2,FALSE),"")</f>
        <v/>
      </c>
      <c r="F1847" s="12" t="n"/>
      <c r="G1847" s="13" t="n"/>
    </row>
    <row r="1848">
      <c r="A1848" s="12" t="n"/>
      <c r="D1848">
        <f>IFERROR(VLOOKUP(C1848,Cadastro_Produtos!A:B,2,FALSE),"")</f>
        <v/>
      </c>
      <c r="F1848" s="12" t="n"/>
      <c r="G1848" s="13" t="n"/>
    </row>
    <row r="1849">
      <c r="A1849" s="12" t="n"/>
      <c r="D1849">
        <f>IFERROR(VLOOKUP(C1849,Cadastro_Produtos!A:B,2,FALSE),"")</f>
        <v/>
      </c>
      <c r="F1849" s="12" t="n"/>
      <c r="G1849" s="13" t="n"/>
    </row>
    <row r="1850">
      <c r="A1850" s="12" t="n"/>
      <c r="D1850">
        <f>IFERROR(VLOOKUP(C1850,Cadastro_Produtos!A:B,2,FALSE),"")</f>
        <v/>
      </c>
      <c r="F1850" s="12" t="n"/>
      <c r="G1850" s="13" t="n"/>
    </row>
    <row r="1851">
      <c r="A1851" s="12" t="n"/>
      <c r="D1851">
        <f>IFERROR(VLOOKUP(C1851,Cadastro_Produtos!A:B,2,FALSE),"")</f>
        <v/>
      </c>
      <c r="F1851" s="12" t="n"/>
      <c r="G1851" s="13" t="n"/>
    </row>
    <row r="1852">
      <c r="A1852" s="12" t="n"/>
      <c r="D1852">
        <f>IFERROR(VLOOKUP(C1852,Cadastro_Produtos!A:B,2,FALSE),"")</f>
        <v/>
      </c>
      <c r="F1852" s="12" t="n"/>
      <c r="G1852" s="13" t="n"/>
    </row>
    <row r="1853">
      <c r="A1853" s="12" t="n"/>
      <c r="D1853">
        <f>IFERROR(VLOOKUP(C1853,Cadastro_Produtos!A:B,2,FALSE),"")</f>
        <v/>
      </c>
      <c r="F1853" s="12" t="n"/>
      <c r="G1853" s="13" t="n"/>
    </row>
    <row r="1854">
      <c r="A1854" s="12" t="n"/>
      <c r="D1854">
        <f>IFERROR(VLOOKUP(C1854,Cadastro_Produtos!A:B,2,FALSE),"")</f>
        <v/>
      </c>
      <c r="F1854" s="12" t="n"/>
      <c r="G1854" s="13" t="n"/>
    </row>
    <row r="1855">
      <c r="A1855" s="12" t="n"/>
      <c r="D1855">
        <f>IFERROR(VLOOKUP(C1855,Cadastro_Produtos!A:B,2,FALSE),"")</f>
        <v/>
      </c>
      <c r="F1855" s="12" t="n"/>
      <c r="G1855" s="13" t="n"/>
    </row>
    <row r="1856">
      <c r="A1856" s="12" t="n"/>
      <c r="D1856">
        <f>IFERROR(VLOOKUP(C1856,Cadastro_Produtos!A:B,2,FALSE),"")</f>
        <v/>
      </c>
      <c r="F1856" s="12" t="n"/>
      <c r="G1856" s="13" t="n"/>
    </row>
    <row r="1857">
      <c r="A1857" s="12" t="n"/>
      <c r="D1857">
        <f>IFERROR(VLOOKUP(C1857,Cadastro_Produtos!A:B,2,FALSE),"")</f>
        <v/>
      </c>
      <c r="F1857" s="12" t="n"/>
      <c r="G1857" s="13" t="n"/>
    </row>
    <row r="1858">
      <c r="A1858" s="12" t="n"/>
      <c r="D1858">
        <f>IFERROR(VLOOKUP(C1858,Cadastro_Produtos!A:B,2,FALSE),"")</f>
        <v/>
      </c>
      <c r="F1858" s="12" t="n"/>
      <c r="G1858" s="13" t="n"/>
    </row>
    <row r="1859">
      <c r="A1859" s="12" t="n"/>
      <c r="D1859">
        <f>IFERROR(VLOOKUP(C1859,Cadastro_Produtos!A:B,2,FALSE),"")</f>
        <v/>
      </c>
      <c r="F1859" s="12" t="n"/>
      <c r="G1859" s="13" t="n"/>
    </row>
    <row r="1860">
      <c r="A1860" s="12" t="n"/>
      <c r="D1860">
        <f>IFERROR(VLOOKUP(C1860,Cadastro_Produtos!A:B,2,FALSE),"")</f>
        <v/>
      </c>
      <c r="F1860" s="12" t="n"/>
      <c r="G1860" s="13" t="n"/>
    </row>
    <row r="1861">
      <c r="A1861" s="12" t="n"/>
      <c r="D1861">
        <f>IFERROR(VLOOKUP(C1861,Cadastro_Produtos!A:B,2,FALSE),"")</f>
        <v/>
      </c>
      <c r="F1861" s="12" t="n"/>
      <c r="G1861" s="13" t="n"/>
    </row>
    <row r="1862">
      <c r="A1862" s="12" t="n"/>
      <c r="D1862">
        <f>IFERROR(VLOOKUP(C1862,Cadastro_Produtos!A:B,2,FALSE),"")</f>
        <v/>
      </c>
      <c r="F1862" s="12" t="n"/>
      <c r="G1862" s="13" t="n"/>
    </row>
    <row r="1863">
      <c r="A1863" s="12" t="n"/>
      <c r="D1863">
        <f>IFERROR(VLOOKUP(C1863,Cadastro_Produtos!A:B,2,FALSE),"")</f>
        <v/>
      </c>
      <c r="F1863" s="12" t="n"/>
      <c r="G1863" s="13" t="n"/>
    </row>
    <row r="1864">
      <c r="A1864" s="12" t="n"/>
      <c r="D1864">
        <f>IFERROR(VLOOKUP(C1864,Cadastro_Produtos!A:B,2,FALSE),"")</f>
        <v/>
      </c>
      <c r="F1864" s="12" t="n"/>
      <c r="G1864" s="13" t="n"/>
    </row>
    <row r="1865">
      <c r="A1865" s="12" t="n"/>
      <c r="D1865">
        <f>IFERROR(VLOOKUP(C1865,Cadastro_Produtos!A:B,2,FALSE),"")</f>
        <v/>
      </c>
      <c r="F1865" s="12" t="n"/>
      <c r="G1865" s="13" t="n"/>
    </row>
    <row r="1866">
      <c r="A1866" s="12" t="n"/>
      <c r="D1866">
        <f>IFERROR(VLOOKUP(C1866,Cadastro_Produtos!A:B,2,FALSE),"")</f>
        <v/>
      </c>
      <c r="F1866" s="12" t="n"/>
      <c r="G1866" s="13" t="n"/>
    </row>
    <row r="1867">
      <c r="A1867" s="12" t="n"/>
      <c r="D1867">
        <f>IFERROR(VLOOKUP(C1867,Cadastro_Produtos!A:B,2,FALSE),"")</f>
        <v/>
      </c>
      <c r="F1867" s="12" t="n"/>
      <c r="G1867" s="13" t="n"/>
    </row>
    <row r="1868">
      <c r="A1868" s="12" t="n"/>
      <c r="D1868">
        <f>IFERROR(VLOOKUP(C1868,Cadastro_Produtos!A:B,2,FALSE),"")</f>
        <v/>
      </c>
      <c r="F1868" s="12" t="n"/>
      <c r="G1868" s="13" t="n"/>
    </row>
    <row r="1869">
      <c r="A1869" s="12" t="n"/>
      <c r="D1869">
        <f>IFERROR(VLOOKUP(C1869,Cadastro_Produtos!A:B,2,FALSE),"")</f>
        <v/>
      </c>
      <c r="F1869" s="12" t="n"/>
      <c r="G1869" s="13" t="n"/>
    </row>
    <row r="1870">
      <c r="A1870" s="12" t="n"/>
      <c r="D1870">
        <f>IFERROR(VLOOKUP(C1870,Cadastro_Produtos!A:B,2,FALSE),"")</f>
        <v/>
      </c>
      <c r="F1870" s="12" t="n"/>
      <c r="G1870" s="13" t="n"/>
    </row>
    <row r="1871">
      <c r="A1871" s="12" t="n"/>
      <c r="D1871">
        <f>IFERROR(VLOOKUP(C1871,Cadastro_Produtos!A:B,2,FALSE),"")</f>
        <v/>
      </c>
      <c r="F1871" s="12" t="n"/>
      <c r="G1871" s="13" t="n"/>
    </row>
    <row r="1872">
      <c r="A1872" s="12" t="n"/>
      <c r="D1872">
        <f>IFERROR(VLOOKUP(C1872,Cadastro_Produtos!A:B,2,FALSE),"")</f>
        <v/>
      </c>
      <c r="F1872" s="12" t="n"/>
      <c r="G1872" s="13" t="n"/>
    </row>
    <row r="1873">
      <c r="A1873" s="12" t="n"/>
      <c r="D1873">
        <f>IFERROR(VLOOKUP(C1873,Cadastro_Produtos!A:B,2,FALSE),"")</f>
        <v/>
      </c>
      <c r="F1873" s="12" t="n"/>
      <c r="G1873" s="13" t="n"/>
    </row>
    <row r="1874">
      <c r="A1874" s="12" t="n"/>
      <c r="D1874">
        <f>IFERROR(VLOOKUP(C1874,Cadastro_Produtos!A:B,2,FALSE),"")</f>
        <v/>
      </c>
      <c r="F1874" s="12" t="n"/>
      <c r="G1874" s="13" t="n"/>
    </row>
    <row r="1875">
      <c r="A1875" s="12" t="n"/>
      <c r="D1875">
        <f>IFERROR(VLOOKUP(C1875,Cadastro_Produtos!A:B,2,FALSE),"")</f>
        <v/>
      </c>
      <c r="F1875" s="12" t="n"/>
      <c r="G1875" s="13" t="n"/>
    </row>
    <row r="1876">
      <c r="A1876" s="12" t="n"/>
      <c r="D1876">
        <f>IFERROR(VLOOKUP(C1876,Cadastro_Produtos!A:B,2,FALSE),"")</f>
        <v/>
      </c>
      <c r="F1876" s="12" t="n"/>
      <c r="G1876" s="13" t="n"/>
    </row>
    <row r="1877">
      <c r="A1877" s="12" t="n"/>
      <c r="D1877">
        <f>IFERROR(VLOOKUP(C1877,Cadastro_Produtos!A:B,2,FALSE),"")</f>
        <v/>
      </c>
      <c r="F1877" s="12" t="n"/>
      <c r="G1877" s="13" t="n"/>
    </row>
    <row r="1878">
      <c r="A1878" s="12" t="n"/>
      <c r="D1878">
        <f>IFERROR(VLOOKUP(C1878,Cadastro_Produtos!A:B,2,FALSE),"")</f>
        <v/>
      </c>
      <c r="F1878" s="12" t="n"/>
      <c r="G1878" s="13" t="n"/>
    </row>
    <row r="1879">
      <c r="A1879" s="12" t="n"/>
      <c r="D1879">
        <f>IFERROR(VLOOKUP(C1879,Cadastro_Produtos!A:B,2,FALSE),"")</f>
        <v/>
      </c>
      <c r="F1879" s="12" t="n"/>
      <c r="G1879" s="13" t="n"/>
    </row>
    <row r="1880">
      <c r="A1880" s="12" t="n"/>
      <c r="D1880">
        <f>IFERROR(VLOOKUP(C1880,Cadastro_Produtos!A:B,2,FALSE),"")</f>
        <v/>
      </c>
      <c r="F1880" s="12" t="n"/>
      <c r="G1880" s="13" t="n"/>
    </row>
    <row r="1881">
      <c r="A1881" s="12" t="n"/>
      <c r="D1881">
        <f>IFERROR(VLOOKUP(C1881,Cadastro_Produtos!A:B,2,FALSE),"")</f>
        <v/>
      </c>
      <c r="F1881" s="12" t="n"/>
      <c r="G1881" s="13" t="n"/>
    </row>
    <row r="1882">
      <c r="A1882" s="12" t="n"/>
      <c r="D1882">
        <f>IFERROR(VLOOKUP(C1882,Cadastro_Produtos!A:B,2,FALSE),"")</f>
        <v/>
      </c>
      <c r="F1882" s="12" t="n"/>
      <c r="G1882" s="13" t="n"/>
    </row>
    <row r="1883">
      <c r="A1883" s="12" t="n"/>
      <c r="D1883">
        <f>IFERROR(VLOOKUP(C1883,Cadastro_Produtos!A:B,2,FALSE),"")</f>
        <v/>
      </c>
      <c r="F1883" s="12" t="n"/>
      <c r="G1883" s="13" t="n"/>
    </row>
    <row r="1884">
      <c r="A1884" s="12" t="n"/>
      <c r="D1884">
        <f>IFERROR(VLOOKUP(C1884,Cadastro_Produtos!A:B,2,FALSE),"")</f>
        <v/>
      </c>
      <c r="F1884" s="12" t="n"/>
      <c r="G1884" s="13" t="n"/>
    </row>
    <row r="1885">
      <c r="A1885" s="12" t="n"/>
      <c r="D1885">
        <f>IFERROR(VLOOKUP(C1885,Cadastro_Produtos!A:B,2,FALSE),"")</f>
        <v/>
      </c>
      <c r="F1885" s="12" t="n"/>
      <c r="G1885" s="13" t="n"/>
    </row>
    <row r="1886">
      <c r="A1886" s="12" t="n"/>
      <c r="D1886">
        <f>IFERROR(VLOOKUP(C1886,Cadastro_Produtos!A:B,2,FALSE),"")</f>
        <v/>
      </c>
      <c r="F1886" s="12" t="n"/>
      <c r="G1886" s="13" t="n"/>
    </row>
    <row r="1887">
      <c r="A1887" s="12" t="n"/>
      <c r="D1887">
        <f>IFERROR(VLOOKUP(C1887,Cadastro_Produtos!A:B,2,FALSE),"")</f>
        <v/>
      </c>
      <c r="F1887" s="12" t="n"/>
      <c r="G1887" s="13" t="n"/>
    </row>
    <row r="1888">
      <c r="A1888" s="12" t="n"/>
      <c r="D1888">
        <f>IFERROR(VLOOKUP(C1888,Cadastro_Produtos!A:B,2,FALSE),"")</f>
        <v/>
      </c>
      <c r="F1888" s="12" t="n"/>
      <c r="G1888" s="13" t="n"/>
    </row>
    <row r="1889">
      <c r="A1889" s="12" t="n"/>
      <c r="D1889">
        <f>IFERROR(VLOOKUP(C1889,Cadastro_Produtos!A:B,2,FALSE),"")</f>
        <v/>
      </c>
      <c r="F1889" s="12" t="n"/>
      <c r="G1889" s="13" t="n"/>
    </row>
    <row r="1890">
      <c r="A1890" s="12" t="n"/>
      <c r="D1890">
        <f>IFERROR(VLOOKUP(C1890,Cadastro_Produtos!A:B,2,FALSE),"")</f>
        <v/>
      </c>
      <c r="F1890" s="12" t="n"/>
      <c r="G1890" s="13" t="n"/>
    </row>
    <row r="1891">
      <c r="A1891" s="12" t="n"/>
      <c r="D1891">
        <f>IFERROR(VLOOKUP(C1891,Cadastro_Produtos!A:B,2,FALSE),"")</f>
        <v/>
      </c>
      <c r="F1891" s="12" t="n"/>
      <c r="G1891" s="13" t="n"/>
    </row>
    <row r="1892">
      <c r="A1892" s="12" t="n"/>
      <c r="D1892">
        <f>IFERROR(VLOOKUP(C1892,Cadastro_Produtos!A:B,2,FALSE),"")</f>
        <v/>
      </c>
      <c r="F1892" s="12" t="n"/>
      <c r="G1892" s="13" t="n"/>
    </row>
    <row r="1893">
      <c r="A1893" s="12" t="n"/>
      <c r="D1893">
        <f>IFERROR(VLOOKUP(C1893,Cadastro_Produtos!A:B,2,FALSE),"")</f>
        <v/>
      </c>
      <c r="F1893" s="12" t="n"/>
      <c r="G1893" s="13" t="n"/>
    </row>
    <row r="1894">
      <c r="A1894" s="12" t="n"/>
      <c r="D1894">
        <f>IFERROR(VLOOKUP(C1894,Cadastro_Produtos!A:B,2,FALSE),"")</f>
        <v/>
      </c>
      <c r="F1894" s="12" t="n"/>
      <c r="G1894" s="13" t="n"/>
    </row>
    <row r="1895">
      <c r="A1895" s="12" t="n"/>
      <c r="D1895">
        <f>IFERROR(VLOOKUP(C1895,Cadastro_Produtos!A:B,2,FALSE),"")</f>
        <v/>
      </c>
      <c r="F1895" s="12" t="n"/>
      <c r="G1895" s="13" t="n"/>
    </row>
    <row r="1896">
      <c r="A1896" s="12" t="n"/>
      <c r="D1896">
        <f>IFERROR(VLOOKUP(C1896,Cadastro_Produtos!A:B,2,FALSE),"")</f>
        <v/>
      </c>
      <c r="F1896" s="12" t="n"/>
      <c r="G1896" s="13" t="n"/>
    </row>
    <row r="1897">
      <c r="A1897" s="12" t="n"/>
      <c r="D1897">
        <f>IFERROR(VLOOKUP(C1897,Cadastro_Produtos!A:B,2,FALSE),"")</f>
        <v/>
      </c>
      <c r="F1897" s="12" t="n"/>
      <c r="G1897" s="13" t="n"/>
    </row>
    <row r="1898">
      <c r="A1898" s="12" t="n"/>
      <c r="D1898">
        <f>IFERROR(VLOOKUP(C1898,Cadastro_Produtos!A:B,2,FALSE),"")</f>
        <v/>
      </c>
      <c r="F1898" s="12" t="n"/>
      <c r="G1898" s="13" t="n"/>
    </row>
    <row r="1899">
      <c r="A1899" s="12" t="n"/>
      <c r="D1899">
        <f>IFERROR(VLOOKUP(C1899,Cadastro_Produtos!A:B,2,FALSE),"")</f>
        <v/>
      </c>
      <c r="F1899" s="12" t="n"/>
      <c r="G1899" s="13" t="n"/>
    </row>
    <row r="1900">
      <c r="A1900" s="12" t="n"/>
      <c r="D1900">
        <f>IFERROR(VLOOKUP(C1900,Cadastro_Produtos!A:B,2,FALSE),"")</f>
        <v/>
      </c>
      <c r="F1900" s="12" t="n"/>
      <c r="G1900" s="13" t="n"/>
    </row>
    <row r="1901">
      <c r="A1901" s="12" t="n"/>
      <c r="D1901">
        <f>IFERROR(VLOOKUP(C1901,Cadastro_Produtos!A:B,2,FALSE),"")</f>
        <v/>
      </c>
      <c r="F1901" s="12" t="n"/>
      <c r="G1901" s="13" t="n"/>
    </row>
    <row r="1902">
      <c r="A1902" s="12" t="n"/>
      <c r="D1902">
        <f>IFERROR(VLOOKUP(C1902,Cadastro_Produtos!A:B,2,FALSE),"")</f>
        <v/>
      </c>
      <c r="F1902" s="12" t="n"/>
      <c r="G1902" s="13" t="n"/>
    </row>
    <row r="1903">
      <c r="A1903" s="12" t="n"/>
      <c r="D1903">
        <f>IFERROR(VLOOKUP(C1903,Cadastro_Produtos!A:B,2,FALSE),"")</f>
        <v/>
      </c>
      <c r="F1903" s="12" t="n"/>
      <c r="G1903" s="13" t="n"/>
    </row>
    <row r="1904">
      <c r="A1904" s="12" t="n"/>
      <c r="D1904">
        <f>IFERROR(VLOOKUP(C1904,Cadastro_Produtos!A:B,2,FALSE),"")</f>
        <v/>
      </c>
      <c r="F1904" s="12" t="n"/>
      <c r="G1904" s="13" t="n"/>
    </row>
    <row r="1905">
      <c r="A1905" s="12" t="n"/>
      <c r="D1905">
        <f>IFERROR(VLOOKUP(C1905,Cadastro_Produtos!A:B,2,FALSE),"")</f>
        <v/>
      </c>
      <c r="F1905" s="12" t="n"/>
      <c r="G1905" s="13" t="n"/>
    </row>
    <row r="1906">
      <c r="A1906" s="12" t="n"/>
      <c r="D1906">
        <f>IFERROR(VLOOKUP(C1906,Cadastro_Produtos!A:B,2,FALSE),"")</f>
        <v/>
      </c>
      <c r="F1906" s="12" t="n"/>
      <c r="G1906" s="13" t="n"/>
    </row>
    <row r="1907">
      <c r="A1907" s="12" t="n"/>
      <c r="D1907">
        <f>IFERROR(VLOOKUP(C1907,Cadastro_Produtos!A:B,2,FALSE),"")</f>
        <v/>
      </c>
      <c r="F1907" s="12" t="n"/>
      <c r="G1907" s="13" t="n"/>
    </row>
    <row r="1908">
      <c r="A1908" s="12" t="n"/>
      <c r="D1908">
        <f>IFERROR(VLOOKUP(C1908,Cadastro_Produtos!A:B,2,FALSE),"")</f>
        <v/>
      </c>
      <c r="F1908" s="12" t="n"/>
      <c r="G1908" s="13" t="n"/>
    </row>
    <row r="1909">
      <c r="A1909" s="12" t="n"/>
      <c r="D1909">
        <f>IFERROR(VLOOKUP(C1909,Cadastro_Produtos!A:B,2,FALSE),"")</f>
        <v/>
      </c>
      <c r="F1909" s="12" t="n"/>
      <c r="G1909" s="13" t="n"/>
    </row>
    <row r="1910">
      <c r="A1910" s="12" t="n"/>
      <c r="D1910">
        <f>IFERROR(VLOOKUP(C1910,Cadastro_Produtos!A:B,2,FALSE),"")</f>
        <v/>
      </c>
      <c r="F1910" s="12" t="n"/>
      <c r="G1910" s="13" t="n"/>
    </row>
    <row r="1911">
      <c r="A1911" s="12" t="n"/>
      <c r="D1911">
        <f>IFERROR(VLOOKUP(C1911,Cadastro_Produtos!A:B,2,FALSE),"")</f>
        <v/>
      </c>
      <c r="F1911" s="12" t="n"/>
      <c r="G1911" s="13" t="n"/>
    </row>
    <row r="1912">
      <c r="A1912" s="12" t="n"/>
      <c r="D1912">
        <f>IFERROR(VLOOKUP(C1912,Cadastro_Produtos!A:B,2,FALSE),"")</f>
        <v/>
      </c>
      <c r="F1912" s="12" t="n"/>
      <c r="G1912" s="13" t="n"/>
    </row>
    <row r="1913">
      <c r="A1913" s="12" t="n"/>
      <c r="D1913">
        <f>IFERROR(VLOOKUP(C1913,Cadastro_Produtos!A:B,2,FALSE),"")</f>
        <v/>
      </c>
      <c r="F1913" s="12" t="n"/>
      <c r="G1913" s="13" t="n"/>
    </row>
    <row r="1914">
      <c r="A1914" s="12" t="n"/>
      <c r="D1914">
        <f>IFERROR(VLOOKUP(C1914,Cadastro_Produtos!A:B,2,FALSE),"")</f>
        <v/>
      </c>
      <c r="F1914" s="12" t="n"/>
      <c r="G1914" s="13" t="n"/>
    </row>
    <row r="1915">
      <c r="A1915" s="12" t="n"/>
      <c r="D1915">
        <f>IFERROR(VLOOKUP(C1915,Cadastro_Produtos!A:B,2,FALSE),"")</f>
        <v/>
      </c>
      <c r="F1915" s="12" t="n"/>
      <c r="G1915" s="13" t="n"/>
    </row>
    <row r="1916">
      <c r="A1916" s="12" t="n"/>
      <c r="D1916">
        <f>IFERROR(VLOOKUP(C1916,Cadastro_Produtos!A:B,2,FALSE),"")</f>
        <v/>
      </c>
      <c r="F1916" s="12" t="n"/>
      <c r="G1916" s="13" t="n"/>
    </row>
    <row r="1917">
      <c r="A1917" s="12" t="n"/>
      <c r="D1917">
        <f>IFERROR(VLOOKUP(C1917,Cadastro_Produtos!A:B,2,FALSE),"")</f>
        <v/>
      </c>
      <c r="F1917" s="12" t="n"/>
      <c r="G1917" s="13" t="n"/>
    </row>
    <row r="1918">
      <c r="A1918" s="12" t="n"/>
      <c r="D1918">
        <f>IFERROR(VLOOKUP(C1918,Cadastro_Produtos!A:B,2,FALSE),"")</f>
        <v/>
      </c>
      <c r="F1918" s="12" t="n"/>
      <c r="G1918" s="13" t="n"/>
    </row>
    <row r="1919">
      <c r="A1919" s="12" t="n"/>
      <c r="D1919">
        <f>IFERROR(VLOOKUP(C1919,Cadastro_Produtos!A:B,2,FALSE),"")</f>
        <v/>
      </c>
      <c r="F1919" s="12" t="n"/>
      <c r="G1919" s="13" t="n"/>
    </row>
    <row r="1920">
      <c r="A1920" s="12" t="n"/>
      <c r="D1920">
        <f>IFERROR(VLOOKUP(C1920,Cadastro_Produtos!A:B,2,FALSE),"")</f>
        <v/>
      </c>
      <c r="F1920" s="12" t="n"/>
      <c r="G1920" s="13" t="n"/>
    </row>
    <row r="1921">
      <c r="A1921" s="12" t="n"/>
      <c r="D1921">
        <f>IFERROR(VLOOKUP(C1921,Cadastro_Produtos!A:B,2,FALSE),"")</f>
        <v/>
      </c>
      <c r="F1921" s="12" t="n"/>
      <c r="G1921" s="13" t="n"/>
    </row>
    <row r="1922">
      <c r="A1922" s="12" t="n"/>
      <c r="D1922">
        <f>IFERROR(VLOOKUP(C1922,Cadastro_Produtos!A:B,2,FALSE),"")</f>
        <v/>
      </c>
      <c r="F1922" s="12" t="n"/>
      <c r="G1922" s="13" t="n"/>
    </row>
    <row r="1923">
      <c r="A1923" s="12" t="n"/>
      <c r="D1923">
        <f>IFERROR(VLOOKUP(C1923,Cadastro_Produtos!A:B,2,FALSE),"")</f>
        <v/>
      </c>
      <c r="F1923" s="12" t="n"/>
      <c r="G1923" s="13" t="n"/>
    </row>
    <row r="1924">
      <c r="A1924" s="12" t="n"/>
      <c r="D1924">
        <f>IFERROR(VLOOKUP(C1924,Cadastro_Produtos!A:B,2,FALSE),"")</f>
        <v/>
      </c>
      <c r="F1924" s="12" t="n"/>
      <c r="G1924" s="13" t="n"/>
    </row>
    <row r="1925">
      <c r="A1925" s="12" t="n"/>
      <c r="D1925">
        <f>IFERROR(VLOOKUP(C1925,Cadastro_Produtos!A:B,2,FALSE),"")</f>
        <v/>
      </c>
      <c r="F1925" s="12" t="n"/>
      <c r="G1925" s="13" t="n"/>
    </row>
    <row r="1926">
      <c r="A1926" s="12" t="n"/>
      <c r="D1926">
        <f>IFERROR(VLOOKUP(C1926,Cadastro_Produtos!A:B,2,FALSE),"")</f>
        <v/>
      </c>
      <c r="F1926" s="12" t="n"/>
      <c r="G1926" s="13" t="n"/>
    </row>
    <row r="1927">
      <c r="A1927" s="12" t="n"/>
      <c r="D1927">
        <f>IFERROR(VLOOKUP(C1927,Cadastro_Produtos!A:B,2,FALSE),"")</f>
        <v/>
      </c>
      <c r="F1927" s="12" t="n"/>
      <c r="G1927" s="13" t="n"/>
    </row>
    <row r="1928">
      <c r="A1928" s="12" t="n"/>
      <c r="D1928">
        <f>IFERROR(VLOOKUP(C1928,Cadastro_Produtos!A:B,2,FALSE),"")</f>
        <v/>
      </c>
      <c r="F1928" s="12" t="n"/>
      <c r="G1928" s="13" t="n"/>
    </row>
    <row r="1929">
      <c r="A1929" s="12" t="n"/>
      <c r="D1929">
        <f>IFERROR(VLOOKUP(C1929,Cadastro_Produtos!A:B,2,FALSE),"")</f>
        <v/>
      </c>
      <c r="F1929" s="12" t="n"/>
      <c r="G1929" s="13" t="n"/>
    </row>
    <row r="1930">
      <c r="A1930" s="12" t="n"/>
      <c r="D1930">
        <f>IFERROR(VLOOKUP(C1930,Cadastro_Produtos!A:B,2,FALSE),"")</f>
        <v/>
      </c>
      <c r="F1930" s="12" t="n"/>
      <c r="G1930" s="13" t="n"/>
    </row>
    <row r="1931">
      <c r="A1931" s="12" t="n"/>
      <c r="D1931">
        <f>IFERROR(VLOOKUP(C1931,Cadastro_Produtos!A:B,2,FALSE),"")</f>
        <v/>
      </c>
      <c r="F1931" s="12" t="n"/>
      <c r="G1931" s="13" t="n"/>
    </row>
    <row r="1932">
      <c r="A1932" s="12" t="n"/>
      <c r="D1932">
        <f>IFERROR(VLOOKUP(C1932,Cadastro_Produtos!A:B,2,FALSE),"")</f>
        <v/>
      </c>
      <c r="F1932" s="12" t="n"/>
      <c r="G1932" s="13" t="n"/>
    </row>
    <row r="1933">
      <c r="A1933" s="12" t="n"/>
      <c r="D1933">
        <f>IFERROR(VLOOKUP(C1933,Cadastro_Produtos!A:B,2,FALSE),"")</f>
        <v/>
      </c>
      <c r="F1933" s="12" t="n"/>
      <c r="G1933" s="13" t="n"/>
    </row>
    <row r="1934">
      <c r="A1934" s="12" t="n"/>
      <c r="D1934">
        <f>IFERROR(VLOOKUP(C1934,Cadastro_Produtos!A:B,2,FALSE),"")</f>
        <v/>
      </c>
      <c r="F1934" s="12" t="n"/>
      <c r="G1934" s="13" t="n"/>
    </row>
    <row r="1935">
      <c r="A1935" s="12" t="n"/>
      <c r="D1935">
        <f>IFERROR(VLOOKUP(C1935,Cadastro_Produtos!A:B,2,FALSE),"")</f>
        <v/>
      </c>
      <c r="F1935" s="12" t="n"/>
      <c r="G1935" s="13" t="n"/>
    </row>
    <row r="1936">
      <c r="A1936" s="12" t="n"/>
      <c r="D1936">
        <f>IFERROR(VLOOKUP(C1936,Cadastro_Produtos!A:B,2,FALSE),"")</f>
        <v/>
      </c>
      <c r="F1936" s="12" t="n"/>
      <c r="G1936" s="13" t="n"/>
    </row>
    <row r="1937">
      <c r="A1937" s="12" t="n"/>
      <c r="D1937">
        <f>IFERROR(VLOOKUP(C1937,Cadastro_Produtos!A:B,2,FALSE),"")</f>
        <v/>
      </c>
      <c r="F1937" s="12" t="n"/>
      <c r="G1937" s="13" t="n"/>
    </row>
    <row r="1938">
      <c r="A1938" s="12" t="n"/>
      <c r="D1938">
        <f>IFERROR(VLOOKUP(C1938,Cadastro_Produtos!A:B,2,FALSE),"")</f>
        <v/>
      </c>
      <c r="F1938" s="12" t="n"/>
      <c r="G1938" s="13" t="n"/>
    </row>
    <row r="1939">
      <c r="A1939" s="12" t="n"/>
      <c r="D1939">
        <f>IFERROR(VLOOKUP(C1939,Cadastro_Produtos!A:B,2,FALSE),"")</f>
        <v/>
      </c>
      <c r="F1939" s="12" t="n"/>
      <c r="G1939" s="13" t="n"/>
    </row>
    <row r="1940">
      <c r="A1940" s="12" t="n"/>
      <c r="D1940">
        <f>IFERROR(VLOOKUP(C1940,Cadastro_Produtos!A:B,2,FALSE),"")</f>
        <v/>
      </c>
      <c r="F1940" s="12" t="n"/>
      <c r="G1940" s="13" t="n"/>
    </row>
    <row r="1941">
      <c r="A1941" s="12" t="n"/>
      <c r="D1941">
        <f>IFERROR(VLOOKUP(C1941,Cadastro_Produtos!A:B,2,FALSE),"")</f>
        <v/>
      </c>
      <c r="F1941" s="12" t="n"/>
      <c r="G1941" s="13" t="n"/>
    </row>
    <row r="1942">
      <c r="A1942" s="12" t="n"/>
      <c r="D1942">
        <f>IFERROR(VLOOKUP(C1942,Cadastro_Produtos!A:B,2,FALSE),"")</f>
        <v/>
      </c>
      <c r="F1942" s="12" t="n"/>
      <c r="G1942" s="13" t="n"/>
    </row>
    <row r="1943">
      <c r="A1943" s="12" t="n"/>
      <c r="D1943">
        <f>IFERROR(VLOOKUP(C1943,Cadastro_Produtos!A:B,2,FALSE),"")</f>
        <v/>
      </c>
      <c r="F1943" s="12" t="n"/>
      <c r="G1943" s="13" t="n"/>
    </row>
    <row r="1944">
      <c r="A1944" s="12" t="n"/>
      <c r="D1944">
        <f>IFERROR(VLOOKUP(C1944,Cadastro_Produtos!A:B,2,FALSE),"")</f>
        <v/>
      </c>
      <c r="F1944" s="12" t="n"/>
      <c r="G1944" s="13" t="n"/>
    </row>
    <row r="1945">
      <c r="A1945" s="12" t="n"/>
      <c r="D1945">
        <f>IFERROR(VLOOKUP(C1945,Cadastro_Produtos!A:B,2,FALSE),"")</f>
        <v/>
      </c>
      <c r="F1945" s="12" t="n"/>
      <c r="G1945" s="13" t="n"/>
    </row>
    <row r="1946">
      <c r="A1946" s="12" t="n"/>
      <c r="D1946">
        <f>IFERROR(VLOOKUP(C1946,Cadastro_Produtos!A:B,2,FALSE),"")</f>
        <v/>
      </c>
      <c r="F1946" s="12" t="n"/>
      <c r="G1946" s="13" t="n"/>
    </row>
    <row r="1947">
      <c r="A1947" s="12" t="n"/>
      <c r="D1947">
        <f>IFERROR(VLOOKUP(C1947,Cadastro_Produtos!A:B,2,FALSE),"")</f>
        <v/>
      </c>
      <c r="F1947" s="12" t="n"/>
      <c r="G1947" s="13" t="n"/>
    </row>
    <row r="1948">
      <c r="A1948" s="12" t="n"/>
      <c r="D1948">
        <f>IFERROR(VLOOKUP(C1948,Cadastro_Produtos!A:B,2,FALSE),"")</f>
        <v/>
      </c>
      <c r="F1948" s="12" t="n"/>
      <c r="G1948" s="13" t="n"/>
    </row>
    <row r="1949">
      <c r="A1949" s="12" t="n"/>
      <c r="D1949">
        <f>IFERROR(VLOOKUP(C1949,Cadastro_Produtos!A:B,2,FALSE),"")</f>
        <v/>
      </c>
      <c r="F1949" s="12" t="n"/>
      <c r="G1949" s="13" t="n"/>
    </row>
    <row r="1950">
      <c r="A1950" s="12" t="n"/>
      <c r="D1950">
        <f>IFERROR(VLOOKUP(C1950,Cadastro_Produtos!A:B,2,FALSE),"")</f>
        <v/>
      </c>
      <c r="F1950" s="12" t="n"/>
      <c r="G1950" s="13" t="n"/>
    </row>
    <row r="1951">
      <c r="A1951" s="12" t="n"/>
      <c r="D1951">
        <f>IFERROR(VLOOKUP(C1951,Cadastro_Produtos!A:B,2,FALSE),"")</f>
        <v/>
      </c>
      <c r="F1951" s="12" t="n"/>
      <c r="G1951" s="13" t="n"/>
    </row>
    <row r="1952">
      <c r="A1952" s="12" t="n"/>
      <c r="D1952">
        <f>IFERROR(VLOOKUP(C1952,Cadastro_Produtos!A:B,2,FALSE),"")</f>
        <v/>
      </c>
      <c r="F1952" s="12" t="n"/>
      <c r="G1952" s="13" t="n"/>
    </row>
    <row r="1953">
      <c r="A1953" s="12" t="n"/>
      <c r="D1953">
        <f>IFERROR(VLOOKUP(C1953,Cadastro_Produtos!A:B,2,FALSE),"")</f>
        <v/>
      </c>
      <c r="F1953" s="12" t="n"/>
      <c r="G1953" s="13" t="n"/>
    </row>
    <row r="1954">
      <c r="A1954" s="12" t="n"/>
      <c r="D1954">
        <f>IFERROR(VLOOKUP(C1954,Cadastro_Produtos!A:B,2,FALSE),"")</f>
        <v/>
      </c>
      <c r="F1954" s="12" t="n"/>
      <c r="G1954" s="13" t="n"/>
    </row>
    <row r="1955">
      <c r="A1955" s="12" t="n"/>
      <c r="D1955">
        <f>IFERROR(VLOOKUP(C1955,Cadastro_Produtos!A:B,2,FALSE),"")</f>
        <v/>
      </c>
      <c r="F1955" s="12" t="n"/>
      <c r="G1955" s="13" t="n"/>
    </row>
    <row r="1956">
      <c r="A1956" s="12" t="n"/>
      <c r="D1956">
        <f>IFERROR(VLOOKUP(C1956,Cadastro_Produtos!A:B,2,FALSE),"")</f>
        <v/>
      </c>
      <c r="F1956" s="12" t="n"/>
      <c r="G1956" s="13" t="n"/>
    </row>
    <row r="1957">
      <c r="A1957" s="12" t="n"/>
      <c r="D1957">
        <f>IFERROR(VLOOKUP(C1957,Cadastro_Produtos!A:B,2,FALSE),"")</f>
        <v/>
      </c>
      <c r="F1957" s="12" t="n"/>
      <c r="G1957" s="13" t="n"/>
    </row>
    <row r="1958">
      <c r="A1958" s="12" t="n"/>
      <c r="D1958">
        <f>IFERROR(VLOOKUP(C1958,Cadastro_Produtos!A:B,2,FALSE),"")</f>
        <v/>
      </c>
      <c r="F1958" s="12" t="n"/>
      <c r="G1958" s="13" t="n"/>
    </row>
    <row r="1959">
      <c r="A1959" s="12" t="n"/>
      <c r="D1959">
        <f>IFERROR(VLOOKUP(C1959,Cadastro_Produtos!A:B,2,FALSE),"")</f>
        <v/>
      </c>
      <c r="F1959" s="12" t="n"/>
      <c r="G1959" s="13" t="n"/>
    </row>
    <row r="1960">
      <c r="A1960" s="12" t="n"/>
      <c r="D1960">
        <f>IFERROR(VLOOKUP(C1960,Cadastro_Produtos!A:B,2,FALSE),"")</f>
        <v/>
      </c>
      <c r="F1960" s="12" t="n"/>
      <c r="G1960" s="13" t="n"/>
    </row>
    <row r="1961">
      <c r="A1961" s="12" t="n"/>
      <c r="D1961">
        <f>IFERROR(VLOOKUP(C1961,Cadastro_Produtos!A:B,2,FALSE),"")</f>
        <v/>
      </c>
      <c r="F1961" s="12" t="n"/>
      <c r="G1961" s="13" t="n"/>
    </row>
    <row r="1962">
      <c r="A1962" s="12" t="n"/>
      <c r="D1962">
        <f>IFERROR(VLOOKUP(C1962,Cadastro_Produtos!A:B,2,FALSE),"")</f>
        <v/>
      </c>
      <c r="F1962" s="12" t="n"/>
      <c r="G1962" s="13" t="n"/>
    </row>
    <row r="1963">
      <c r="A1963" s="12" t="n"/>
      <c r="D1963">
        <f>IFERROR(VLOOKUP(C1963,Cadastro_Produtos!A:B,2,FALSE),"")</f>
        <v/>
      </c>
      <c r="F1963" s="12" t="n"/>
      <c r="G1963" s="13" t="n"/>
    </row>
    <row r="1964">
      <c r="A1964" s="12" t="n"/>
      <c r="D1964">
        <f>IFERROR(VLOOKUP(C1964,Cadastro_Produtos!A:B,2,FALSE),"")</f>
        <v/>
      </c>
      <c r="F1964" s="12" t="n"/>
      <c r="G1964" s="13" t="n"/>
    </row>
    <row r="1965">
      <c r="A1965" s="12" t="n"/>
      <c r="D1965">
        <f>IFERROR(VLOOKUP(C1965,Cadastro_Produtos!A:B,2,FALSE),"")</f>
        <v/>
      </c>
      <c r="F1965" s="12" t="n"/>
      <c r="G1965" s="13" t="n"/>
    </row>
    <row r="1966">
      <c r="A1966" s="12" t="n"/>
      <c r="D1966">
        <f>IFERROR(VLOOKUP(C1966,Cadastro_Produtos!A:B,2,FALSE),"")</f>
        <v/>
      </c>
      <c r="F1966" s="12" t="n"/>
      <c r="G1966" s="13" t="n"/>
    </row>
    <row r="1967">
      <c r="A1967" s="12" t="n"/>
      <c r="D1967">
        <f>IFERROR(VLOOKUP(C1967,Cadastro_Produtos!A:B,2,FALSE),"")</f>
        <v/>
      </c>
      <c r="F1967" s="12" t="n"/>
      <c r="G1967" s="13" t="n"/>
    </row>
    <row r="1968">
      <c r="A1968" s="12" t="n"/>
      <c r="D1968">
        <f>IFERROR(VLOOKUP(C1968,Cadastro_Produtos!A:B,2,FALSE),"")</f>
        <v/>
      </c>
      <c r="F1968" s="12" t="n"/>
      <c r="G1968" s="13" t="n"/>
    </row>
    <row r="1969">
      <c r="A1969" s="12" t="n"/>
      <c r="D1969">
        <f>IFERROR(VLOOKUP(C1969,Cadastro_Produtos!A:B,2,FALSE),"")</f>
        <v/>
      </c>
      <c r="F1969" s="12" t="n"/>
      <c r="G1969" s="13" t="n"/>
    </row>
    <row r="1970">
      <c r="A1970" s="12" t="n"/>
      <c r="D1970">
        <f>IFERROR(VLOOKUP(C1970,Cadastro_Produtos!A:B,2,FALSE),"")</f>
        <v/>
      </c>
      <c r="F1970" s="12" t="n"/>
      <c r="G1970" s="13" t="n"/>
    </row>
    <row r="1971">
      <c r="A1971" s="12" t="n"/>
      <c r="D1971">
        <f>IFERROR(VLOOKUP(C1971,Cadastro_Produtos!A:B,2,FALSE),"")</f>
        <v/>
      </c>
      <c r="F1971" s="12" t="n"/>
      <c r="G1971" s="13" t="n"/>
    </row>
    <row r="1972">
      <c r="A1972" s="12" t="n"/>
      <c r="D1972">
        <f>IFERROR(VLOOKUP(C1972,Cadastro_Produtos!A:B,2,FALSE),"")</f>
        <v/>
      </c>
      <c r="F1972" s="12" t="n"/>
      <c r="G1972" s="13" t="n"/>
    </row>
    <row r="1973">
      <c r="A1973" s="12" t="n"/>
      <c r="D1973">
        <f>IFERROR(VLOOKUP(C1973,Cadastro_Produtos!A:B,2,FALSE),"")</f>
        <v/>
      </c>
      <c r="F1973" s="12" t="n"/>
      <c r="G1973" s="13" t="n"/>
    </row>
    <row r="1974">
      <c r="A1974" s="12" t="n"/>
      <c r="D1974">
        <f>IFERROR(VLOOKUP(C1974,Cadastro_Produtos!A:B,2,FALSE),"")</f>
        <v/>
      </c>
      <c r="F1974" s="12" t="n"/>
      <c r="G1974" s="13" t="n"/>
    </row>
    <row r="1975">
      <c r="A1975" s="12" t="n"/>
      <c r="D1975">
        <f>IFERROR(VLOOKUP(C1975,Cadastro_Produtos!A:B,2,FALSE),"")</f>
        <v/>
      </c>
      <c r="F1975" s="12" t="n"/>
      <c r="G1975" s="13" t="n"/>
    </row>
    <row r="1976">
      <c r="A1976" s="12" t="n"/>
      <c r="D1976">
        <f>IFERROR(VLOOKUP(C1976,Cadastro_Produtos!A:B,2,FALSE),"")</f>
        <v/>
      </c>
      <c r="F1976" s="12" t="n"/>
      <c r="G1976" s="13" t="n"/>
    </row>
    <row r="1977">
      <c r="A1977" s="12" t="n"/>
      <c r="D1977">
        <f>IFERROR(VLOOKUP(C1977,Cadastro_Produtos!A:B,2,FALSE),"")</f>
        <v/>
      </c>
      <c r="F1977" s="12" t="n"/>
      <c r="G1977" s="13" t="n"/>
    </row>
    <row r="1978">
      <c r="A1978" s="12" t="n"/>
      <c r="D1978">
        <f>IFERROR(VLOOKUP(C1978,Cadastro_Produtos!A:B,2,FALSE),"")</f>
        <v/>
      </c>
      <c r="F1978" s="12" t="n"/>
      <c r="G1978" s="13" t="n"/>
    </row>
    <row r="1979">
      <c r="A1979" s="12" t="n"/>
      <c r="D1979">
        <f>IFERROR(VLOOKUP(C1979,Cadastro_Produtos!A:B,2,FALSE),"")</f>
        <v/>
      </c>
      <c r="F1979" s="12" t="n"/>
      <c r="G1979" s="13" t="n"/>
    </row>
    <row r="1980">
      <c r="A1980" s="12" t="n"/>
      <c r="D1980">
        <f>IFERROR(VLOOKUP(C1980,Cadastro_Produtos!A:B,2,FALSE),"")</f>
        <v/>
      </c>
      <c r="F1980" s="12" t="n"/>
      <c r="G1980" s="13" t="n"/>
    </row>
    <row r="1981">
      <c r="A1981" s="12" t="n"/>
      <c r="D1981">
        <f>IFERROR(VLOOKUP(C1981,Cadastro_Produtos!A:B,2,FALSE),"")</f>
        <v/>
      </c>
      <c r="F1981" s="12" t="n"/>
      <c r="G1981" s="13" t="n"/>
    </row>
    <row r="1982">
      <c r="A1982" s="12" t="n"/>
      <c r="D1982">
        <f>IFERROR(VLOOKUP(C1982,Cadastro_Produtos!A:B,2,FALSE),"")</f>
        <v/>
      </c>
      <c r="F1982" s="12" t="n"/>
      <c r="G1982" s="13" t="n"/>
    </row>
    <row r="1983">
      <c r="A1983" s="12" t="n"/>
      <c r="D1983">
        <f>IFERROR(VLOOKUP(C1983,Cadastro_Produtos!A:B,2,FALSE),"")</f>
        <v/>
      </c>
      <c r="F1983" s="12" t="n"/>
      <c r="G1983" s="13" t="n"/>
    </row>
    <row r="1984">
      <c r="A1984" s="12" t="n"/>
      <c r="D1984">
        <f>IFERROR(VLOOKUP(C1984,Cadastro_Produtos!A:B,2,FALSE),"")</f>
        <v/>
      </c>
      <c r="F1984" s="12" t="n"/>
      <c r="G1984" s="13" t="n"/>
    </row>
    <row r="1985">
      <c r="A1985" s="12" t="n"/>
      <c r="D1985">
        <f>IFERROR(VLOOKUP(C1985,Cadastro_Produtos!A:B,2,FALSE),"")</f>
        <v/>
      </c>
      <c r="F1985" s="12" t="n"/>
      <c r="G1985" s="13" t="n"/>
    </row>
    <row r="1986">
      <c r="A1986" s="12" t="n"/>
      <c r="D1986">
        <f>IFERROR(VLOOKUP(C1986,Cadastro_Produtos!A:B,2,FALSE),"")</f>
        <v/>
      </c>
      <c r="F1986" s="12" t="n"/>
      <c r="G1986" s="13" t="n"/>
    </row>
    <row r="1987">
      <c r="A1987" s="12" t="n"/>
      <c r="D1987">
        <f>IFERROR(VLOOKUP(C1987,Cadastro_Produtos!A:B,2,FALSE),"")</f>
        <v/>
      </c>
      <c r="F1987" s="12" t="n"/>
      <c r="G1987" s="13" t="n"/>
    </row>
    <row r="1988">
      <c r="A1988" s="12" t="n"/>
      <c r="D1988">
        <f>IFERROR(VLOOKUP(C1988,Cadastro_Produtos!A:B,2,FALSE),"")</f>
        <v/>
      </c>
      <c r="F1988" s="12" t="n"/>
      <c r="G1988" s="13" t="n"/>
    </row>
    <row r="1989">
      <c r="A1989" s="12" t="n"/>
      <c r="D1989">
        <f>IFERROR(VLOOKUP(C1989,Cadastro_Produtos!A:B,2,FALSE),"")</f>
        <v/>
      </c>
      <c r="F1989" s="12" t="n"/>
      <c r="G1989" s="13" t="n"/>
    </row>
    <row r="1990">
      <c r="A1990" s="12" t="n"/>
      <c r="D1990">
        <f>IFERROR(VLOOKUP(C1990,Cadastro_Produtos!A:B,2,FALSE),"")</f>
        <v/>
      </c>
      <c r="F1990" s="12" t="n"/>
      <c r="G1990" s="13" t="n"/>
    </row>
    <row r="1991">
      <c r="A1991" s="12" t="n"/>
      <c r="D1991">
        <f>IFERROR(VLOOKUP(C1991,Cadastro_Produtos!A:B,2,FALSE),"")</f>
        <v/>
      </c>
      <c r="F1991" s="12" t="n"/>
      <c r="G1991" s="13" t="n"/>
    </row>
    <row r="1992">
      <c r="A1992" s="12" t="n"/>
      <c r="D1992">
        <f>IFERROR(VLOOKUP(C1992,Cadastro_Produtos!A:B,2,FALSE),"")</f>
        <v/>
      </c>
      <c r="F1992" s="12" t="n"/>
      <c r="G1992" s="13" t="n"/>
    </row>
    <row r="1993">
      <c r="A1993" s="12" t="n"/>
      <c r="D1993">
        <f>IFERROR(VLOOKUP(C1993,Cadastro_Produtos!A:B,2,FALSE),"")</f>
        <v/>
      </c>
      <c r="F1993" s="12" t="n"/>
      <c r="G1993" s="13" t="n"/>
    </row>
    <row r="1994">
      <c r="A1994" s="12" t="n"/>
      <c r="D1994">
        <f>IFERROR(VLOOKUP(C1994,Cadastro_Produtos!A:B,2,FALSE),"")</f>
        <v/>
      </c>
      <c r="F1994" s="12" t="n"/>
      <c r="G1994" s="13" t="n"/>
    </row>
    <row r="1995">
      <c r="A1995" s="12" t="n"/>
      <c r="D1995">
        <f>IFERROR(VLOOKUP(C1995,Cadastro_Produtos!A:B,2,FALSE),"")</f>
        <v/>
      </c>
      <c r="F1995" s="12" t="n"/>
      <c r="G1995" s="13" t="n"/>
    </row>
    <row r="1996">
      <c r="A1996" s="12" t="n"/>
      <c r="D1996">
        <f>IFERROR(VLOOKUP(C1996,Cadastro_Produtos!A:B,2,FALSE),"")</f>
        <v/>
      </c>
      <c r="F1996" s="12" t="n"/>
      <c r="G1996" s="13" t="n"/>
    </row>
    <row r="1997">
      <c r="A1997" s="12" t="n"/>
      <c r="D1997">
        <f>IFERROR(VLOOKUP(C1997,Cadastro_Produtos!A:B,2,FALSE),"")</f>
        <v/>
      </c>
      <c r="F1997" s="12" t="n"/>
      <c r="G1997" s="13" t="n"/>
    </row>
    <row r="1998">
      <c r="A1998" s="12" t="n"/>
      <c r="D1998">
        <f>IFERROR(VLOOKUP(C1998,Cadastro_Produtos!A:B,2,FALSE),"")</f>
        <v/>
      </c>
      <c r="F1998" s="12" t="n"/>
      <c r="G1998" s="13" t="n"/>
    </row>
    <row r="1999">
      <c r="A1999" s="12" t="n"/>
      <c r="D1999">
        <f>IFERROR(VLOOKUP(C1999,Cadastro_Produtos!A:B,2,FALSE),"")</f>
        <v/>
      </c>
      <c r="F1999" s="12" t="n"/>
      <c r="G1999" s="13" t="n"/>
    </row>
    <row r="2000">
      <c r="A2000" s="12" t="n"/>
      <c r="D2000">
        <f>IFERROR(VLOOKUP(C2000,Cadastro_Produtos!A:B,2,FALSE),"")</f>
        <v/>
      </c>
      <c r="F2000" s="12" t="n"/>
      <c r="G2000" s="13" t="n"/>
    </row>
    <row r="2001">
      <c r="A2001" s="12" t="n"/>
      <c r="D2001">
        <f>IFERROR(VLOOKUP(C2001,Cadastro_Produtos!A:B,2,FALSE),"")</f>
        <v/>
      </c>
      <c r="F2001" s="12" t="n"/>
      <c r="G2001" s="13" t="n"/>
    </row>
    <row r="2002">
      <c r="A2002" s="12" t="n"/>
      <c r="D2002">
        <f>IFERROR(VLOOKUP(C2002,Cadastro_Produtos!A:B,2,FALSE),"")</f>
        <v/>
      </c>
      <c r="F2002" s="12" t="n"/>
      <c r="G2002" s="13" t="n"/>
    </row>
    <row r="2003">
      <c r="A2003" s="12" t="n"/>
      <c r="D2003">
        <f>IFERROR(VLOOKUP(C2003,Cadastro_Produtos!A:B,2,FALSE),"")</f>
        <v/>
      </c>
      <c r="F2003" s="12" t="n"/>
      <c r="G2003" s="13" t="n"/>
    </row>
    <row r="2004">
      <c r="A2004" s="12" t="n"/>
      <c r="D2004">
        <f>IFERROR(VLOOKUP(C2004,Cadastro_Produtos!A:B,2,FALSE),"")</f>
        <v/>
      </c>
      <c r="F2004" s="12" t="n"/>
      <c r="G2004" s="13" t="n"/>
    </row>
    <row r="2005">
      <c r="A2005" s="12" t="n"/>
      <c r="D2005">
        <f>IFERROR(VLOOKUP(C2005,Cadastro_Produtos!A:B,2,FALSE),"")</f>
        <v/>
      </c>
      <c r="F2005" s="12" t="n"/>
      <c r="G2005" s="13" t="n"/>
    </row>
    <row r="2006">
      <c r="A2006" s="12" t="n"/>
      <c r="D2006">
        <f>IFERROR(VLOOKUP(C2006,Cadastro_Produtos!A:B,2,FALSE),"")</f>
        <v/>
      </c>
      <c r="F2006" s="12" t="n"/>
      <c r="G2006" s="13" t="n"/>
    </row>
    <row r="2007">
      <c r="A2007" s="12" t="n"/>
      <c r="D2007">
        <f>IFERROR(VLOOKUP(C2007,Cadastro_Produtos!A:B,2,FALSE),"")</f>
        <v/>
      </c>
      <c r="F2007" s="12" t="n"/>
      <c r="G2007" s="13" t="n"/>
    </row>
    <row r="2008">
      <c r="A2008" s="12" t="n"/>
      <c r="D2008">
        <f>IFERROR(VLOOKUP(C2008,Cadastro_Produtos!A:B,2,FALSE),"")</f>
        <v/>
      </c>
      <c r="F2008" s="12" t="n"/>
      <c r="G2008" s="13" t="n"/>
    </row>
    <row r="2009">
      <c r="A2009" s="12" t="n"/>
      <c r="D2009">
        <f>IFERROR(VLOOKUP(C2009,Cadastro_Produtos!A:B,2,FALSE),"")</f>
        <v/>
      </c>
      <c r="F2009" s="12" t="n"/>
      <c r="G2009" s="13" t="n"/>
    </row>
    <row r="2010">
      <c r="A2010" s="12" t="n"/>
      <c r="D2010">
        <f>IFERROR(VLOOKUP(C2010,Cadastro_Produtos!A:B,2,FALSE),"")</f>
        <v/>
      </c>
      <c r="F2010" s="12" t="n"/>
      <c r="G2010" s="13" t="n"/>
    </row>
    <row r="2011">
      <c r="A2011" s="12" t="n"/>
      <c r="D2011">
        <f>IFERROR(VLOOKUP(C2011,Cadastro_Produtos!A:B,2,FALSE),"")</f>
        <v/>
      </c>
      <c r="F2011" s="12" t="n"/>
      <c r="G2011" s="13" t="n"/>
    </row>
    <row r="2012">
      <c r="A2012" s="12" t="n"/>
      <c r="D2012">
        <f>IFERROR(VLOOKUP(C2012,Cadastro_Produtos!A:B,2,FALSE),"")</f>
        <v/>
      </c>
      <c r="F2012" s="12" t="n"/>
      <c r="G2012" s="13" t="n"/>
    </row>
    <row r="2013">
      <c r="A2013" s="12" t="n"/>
      <c r="D2013">
        <f>IFERROR(VLOOKUP(C2013,Cadastro_Produtos!A:B,2,FALSE),"")</f>
        <v/>
      </c>
      <c r="F2013" s="12" t="n"/>
      <c r="G2013" s="13" t="n"/>
    </row>
    <row r="2014">
      <c r="A2014" s="12" t="n"/>
      <c r="D2014">
        <f>IFERROR(VLOOKUP(C2014,Cadastro_Produtos!A:B,2,FALSE),"")</f>
        <v/>
      </c>
      <c r="F2014" s="12" t="n"/>
      <c r="G2014" s="13" t="n"/>
    </row>
    <row r="2015">
      <c r="A2015" s="12" t="n"/>
      <c r="D2015">
        <f>IFERROR(VLOOKUP(C2015,Cadastro_Produtos!A:B,2,FALSE),"")</f>
        <v/>
      </c>
      <c r="F2015" s="12" t="n"/>
      <c r="G2015" s="13" t="n"/>
    </row>
    <row r="2016">
      <c r="A2016" s="12" t="n"/>
      <c r="D2016">
        <f>IFERROR(VLOOKUP(C2016,Cadastro_Produtos!A:B,2,FALSE),"")</f>
        <v/>
      </c>
      <c r="F2016" s="12" t="n"/>
      <c r="G2016" s="13" t="n"/>
    </row>
    <row r="2017">
      <c r="A2017" s="12" t="n"/>
      <c r="D2017">
        <f>IFERROR(VLOOKUP(C2017,Cadastro_Produtos!A:B,2,FALSE),"")</f>
        <v/>
      </c>
      <c r="F2017" s="12" t="n"/>
      <c r="G2017" s="13" t="n"/>
    </row>
    <row r="2018">
      <c r="A2018" s="12" t="n"/>
      <c r="D2018">
        <f>IFERROR(VLOOKUP(C2018,Cadastro_Produtos!A:B,2,FALSE),"")</f>
        <v/>
      </c>
      <c r="F2018" s="12" t="n"/>
      <c r="G2018" s="13" t="n"/>
    </row>
    <row r="2019">
      <c r="A2019" s="12" t="n"/>
      <c r="D2019">
        <f>IFERROR(VLOOKUP(C2019,Cadastro_Produtos!A:B,2,FALSE),"")</f>
        <v/>
      </c>
      <c r="F2019" s="12" t="n"/>
      <c r="G2019" s="13" t="n"/>
    </row>
    <row r="2020">
      <c r="A2020" s="12" t="n"/>
      <c r="D2020">
        <f>IFERROR(VLOOKUP(C2020,Cadastro_Produtos!A:B,2,FALSE),"")</f>
        <v/>
      </c>
      <c r="F2020" s="12" t="n"/>
      <c r="G2020" s="13" t="n"/>
    </row>
    <row r="2021">
      <c r="A2021" s="12" t="n"/>
      <c r="D2021">
        <f>IFERROR(VLOOKUP(C2021,Cadastro_Produtos!A:B,2,FALSE),"")</f>
        <v/>
      </c>
      <c r="F2021" s="12" t="n"/>
      <c r="G2021" s="13" t="n"/>
    </row>
    <row r="2022">
      <c r="A2022" s="12" t="n"/>
      <c r="D2022">
        <f>IFERROR(VLOOKUP(C2022,Cadastro_Produtos!A:B,2,FALSE),"")</f>
        <v/>
      </c>
      <c r="F2022" s="12" t="n"/>
      <c r="G2022" s="13" t="n"/>
    </row>
    <row r="2023">
      <c r="A2023" s="12" t="n"/>
      <c r="D2023">
        <f>IFERROR(VLOOKUP(C2023,Cadastro_Produtos!A:B,2,FALSE),"")</f>
        <v/>
      </c>
      <c r="F2023" s="12" t="n"/>
      <c r="G2023" s="13" t="n"/>
    </row>
    <row r="2024">
      <c r="A2024" s="12" t="n"/>
      <c r="D2024">
        <f>IFERROR(VLOOKUP(C2024,Cadastro_Produtos!A:B,2,FALSE),"")</f>
        <v/>
      </c>
      <c r="F2024" s="12" t="n"/>
      <c r="G2024" s="13" t="n"/>
    </row>
    <row r="2025">
      <c r="A2025" s="12" t="n"/>
      <c r="D2025">
        <f>IFERROR(VLOOKUP(C2025,Cadastro_Produtos!A:B,2,FALSE),"")</f>
        <v/>
      </c>
      <c r="F2025" s="12" t="n"/>
      <c r="G2025" s="13" t="n"/>
    </row>
    <row r="2026">
      <c r="A2026" s="12" t="n"/>
      <c r="D2026">
        <f>IFERROR(VLOOKUP(C2026,Cadastro_Produtos!A:B,2,FALSE),"")</f>
        <v/>
      </c>
      <c r="F2026" s="12" t="n"/>
      <c r="G2026" s="13" t="n"/>
    </row>
    <row r="2027">
      <c r="A2027" s="12" t="n"/>
      <c r="D2027">
        <f>IFERROR(VLOOKUP(C2027,Cadastro_Produtos!A:B,2,FALSE),"")</f>
        <v/>
      </c>
      <c r="F2027" s="12" t="n"/>
      <c r="G2027" s="13" t="n"/>
    </row>
    <row r="2028">
      <c r="A2028" s="12" t="n"/>
      <c r="D2028">
        <f>IFERROR(VLOOKUP(C2028,Cadastro_Produtos!A:B,2,FALSE),"")</f>
        <v/>
      </c>
      <c r="F2028" s="12" t="n"/>
      <c r="G2028" s="13" t="n"/>
    </row>
    <row r="2029">
      <c r="A2029" s="12" t="n"/>
      <c r="D2029">
        <f>IFERROR(VLOOKUP(C2029,Cadastro_Produtos!A:B,2,FALSE),"")</f>
        <v/>
      </c>
      <c r="F2029" s="12" t="n"/>
      <c r="G2029" s="13" t="n"/>
    </row>
    <row r="2030">
      <c r="A2030" s="12" t="n"/>
      <c r="D2030">
        <f>IFERROR(VLOOKUP(C2030,Cadastro_Produtos!A:B,2,FALSE),"")</f>
        <v/>
      </c>
      <c r="F2030" s="12" t="n"/>
      <c r="G2030" s="13" t="n"/>
    </row>
    <row r="2031">
      <c r="A2031" s="12" t="n"/>
      <c r="D2031">
        <f>IFERROR(VLOOKUP(C2031,Cadastro_Produtos!A:B,2,FALSE),"")</f>
        <v/>
      </c>
      <c r="F2031" s="12" t="n"/>
      <c r="G2031" s="13" t="n"/>
    </row>
    <row r="2032">
      <c r="A2032" s="12" t="n"/>
      <c r="D2032">
        <f>IFERROR(VLOOKUP(C2032,Cadastro_Produtos!A:B,2,FALSE),"")</f>
        <v/>
      </c>
      <c r="F2032" s="12" t="n"/>
      <c r="G2032" s="13" t="n"/>
    </row>
    <row r="2033">
      <c r="A2033" s="12" t="n"/>
      <c r="D2033">
        <f>IFERROR(VLOOKUP(C2033,Cadastro_Produtos!A:B,2,FALSE),"")</f>
        <v/>
      </c>
      <c r="F2033" s="12" t="n"/>
      <c r="G2033" s="13" t="n"/>
    </row>
    <row r="2034">
      <c r="A2034" s="12" t="n"/>
      <c r="D2034">
        <f>IFERROR(VLOOKUP(C2034,Cadastro_Produtos!A:B,2,FALSE),"")</f>
        <v/>
      </c>
      <c r="F2034" s="12" t="n"/>
      <c r="G2034" s="13" t="n"/>
    </row>
    <row r="2035">
      <c r="A2035" s="12" t="n"/>
      <c r="D2035">
        <f>IFERROR(VLOOKUP(C2035,Cadastro_Produtos!A:B,2,FALSE),"")</f>
        <v/>
      </c>
      <c r="F2035" s="12" t="n"/>
      <c r="G2035" s="13" t="n"/>
    </row>
    <row r="2036">
      <c r="A2036" s="12" t="n"/>
      <c r="D2036">
        <f>IFERROR(VLOOKUP(C2036,Cadastro_Produtos!A:B,2,FALSE),"")</f>
        <v/>
      </c>
      <c r="F2036" s="12" t="n"/>
      <c r="G2036" s="13" t="n"/>
    </row>
    <row r="2037">
      <c r="A2037" s="12" t="n"/>
      <c r="D2037">
        <f>IFERROR(VLOOKUP(C2037,Cadastro_Produtos!A:B,2,FALSE),"")</f>
        <v/>
      </c>
      <c r="F2037" s="12" t="n"/>
      <c r="G2037" s="13" t="n"/>
    </row>
    <row r="2038">
      <c r="A2038" s="12" t="n"/>
      <c r="D2038">
        <f>IFERROR(VLOOKUP(C2038,Cadastro_Produtos!A:B,2,FALSE),"")</f>
        <v/>
      </c>
      <c r="F2038" s="12" t="n"/>
      <c r="G2038" s="13" t="n"/>
    </row>
    <row r="2039">
      <c r="A2039" s="12" t="n"/>
      <c r="D2039">
        <f>IFERROR(VLOOKUP(C2039,Cadastro_Produtos!A:B,2,FALSE),"")</f>
        <v/>
      </c>
      <c r="F2039" s="12" t="n"/>
      <c r="G2039" s="13" t="n"/>
    </row>
    <row r="2040">
      <c r="A2040" s="12" t="n"/>
      <c r="D2040">
        <f>IFERROR(VLOOKUP(C2040,Cadastro_Produtos!A:B,2,FALSE),"")</f>
        <v/>
      </c>
      <c r="F2040" s="12" t="n"/>
      <c r="G2040" s="13" t="n"/>
    </row>
    <row r="2041">
      <c r="A2041" s="12" t="n"/>
      <c r="D2041">
        <f>IFERROR(VLOOKUP(C2041,Cadastro_Produtos!A:B,2,FALSE),"")</f>
        <v/>
      </c>
      <c r="F2041" s="12" t="n"/>
      <c r="G2041" s="13" t="n"/>
    </row>
    <row r="2042">
      <c r="A2042" s="12" t="n"/>
      <c r="D2042">
        <f>IFERROR(VLOOKUP(C2042,Cadastro_Produtos!A:B,2,FALSE),"")</f>
        <v/>
      </c>
      <c r="F2042" s="12" t="n"/>
      <c r="G2042" s="13" t="n"/>
    </row>
    <row r="2043">
      <c r="A2043" s="12" t="n"/>
      <c r="D2043">
        <f>IFERROR(VLOOKUP(C2043,Cadastro_Produtos!A:B,2,FALSE),"")</f>
        <v/>
      </c>
      <c r="F2043" s="12" t="n"/>
      <c r="G2043" s="13" t="n"/>
    </row>
    <row r="2044">
      <c r="A2044" s="12" t="n"/>
      <c r="D2044">
        <f>IFERROR(VLOOKUP(C2044,Cadastro_Produtos!A:B,2,FALSE),"")</f>
        <v/>
      </c>
      <c r="F2044" s="12" t="n"/>
      <c r="G2044" s="13" t="n"/>
    </row>
    <row r="2045">
      <c r="A2045" s="12" t="n"/>
      <c r="D2045">
        <f>IFERROR(VLOOKUP(C2045,Cadastro_Produtos!A:B,2,FALSE),"")</f>
        <v/>
      </c>
      <c r="F2045" s="12" t="n"/>
      <c r="G2045" s="13" t="n"/>
    </row>
    <row r="2046">
      <c r="A2046" s="12" t="n"/>
      <c r="D2046">
        <f>IFERROR(VLOOKUP(C2046,Cadastro_Produtos!A:B,2,FALSE),"")</f>
        <v/>
      </c>
      <c r="F2046" s="12" t="n"/>
      <c r="G2046" s="13" t="n"/>
    </row>
    <row r="2047">
      <c r="A2047" s="12" t="n"/>
      <c r="D2047">
        <f>IFERROR(VLOOKUP(C2047,Cadastro_Produtos!A:B,2,FALSE),"")</f>
        <v/>
      </c>
      <c r="F2047" s="12" t="n"/>
      <c r="G2047" s="13" t="n"/>
    </row>
    <row r="2048">
      <c r="A2048" s="12" t="n"/>
      <c r="D2048">
        <f>IFERROR(VLOOKUP(C2048,Cadastro_Produtos!A:B,2,FALSE),"")</f>
        <v/>
      </c>
      <c r="F2048" s="12" t="n"/>
      <c r="G2048" s="13" t="n"/>
    </row>
    <row r="2049">
      <c r="A2049" s="12" t="n"/>
      <c r="D2049">
        <f>IFERROR(VLOOKUP(C2049,Cadastro_Produtos!A:B,2,FALSE),"")</f>
        <v/>
      </c>
      <c r="F2049" s="12" t="n"/>
      <c r="G2049" s="13" t="n"/>
    </row>
    <row r="2050">
      <c r="A2050" s="12" t="n"/>
      <c r="D2050">
        <f>IFERROR(VLOOKUP(C2050,Cadastro_Produtos!A:B,2,FALSE),"")</f>
        <v/>
      </c>
      <c r="F2050" s="12" t="n"/>
      <c r="G2050" s="13" t="n"/>
    </row>
    <row r="2051">
      <c r="A2051" s="12" t="n"/>
      <c r="D2051">
        <f>IFERROR(VLOOKUP(C2051,Cadastro_Produtos!A:B,2,FALSE),"")</f>
        <v/>
      </c>
      <c r="F2051" s="12" t="n"/>
      <c r="G2051" s="13" t="n"/>
    </row>
    <row r="2052">
      <c r="A2052" s="12" t="n"/>
      <c r="D2052">
        <f>IFERROR(VLOOKUP(C2052,Cadastro_Produtos!A:B,2,FALSE),"")</f>
        <v/>
      </c>
      <c r="F2052" s="12" t="n"/>
      <c r="G2052" s="13" t="n"/>
    </row>
    <row r="2053">
      <c r="A2053" s="12" t="n"/>
      <c r="D2053">
        <f>IFERROR(VLOOKUP(C2053,Cadastro_Produtos!A:B,2,FALSE),"")</f>
        <v/>
      </c>
      <c r="F2053" s="12" t="n"/>
      <c r="G2053" s="13" t="n"/>
    </row>
    <row r="2054">
      <c r="A2054" s="12" t="n"/>
      <c r="D2054">
        <f>IFERROR(VLOOKUP(C2054,Cadastro_Produtos!A:B,2,FALSE),"")</f>
        <v/>
      </c>
      <c r="F2054" s="12" t="n"/>
      <c r="G2054" s="13" t="n"/>
    </row>
    <row r="2055">
      <c r="A2055" s="12" t="n"/>
      <c r="D2055">
        <f>IFERROR(VLOOKUP(C2055,Cadastro_Produtos!A:B,2,FALSE),"")</f>
        <v/>
      </c>
      <c r="F2055" s="12" t="n"/>
      <c r="G2055" s="13" t="n"/>
    </row>
    <row r="2056">
      <c r="A2056" s="12" t="n"/>
      <c r="D2056">
        <f>IFERROR(VLOOKUP(C2056,Cadastro_Produtos!A:B,2,FALSE),"")</f>
        <v/>
      </c>
      <c r="F2056" s="12" t="n"/>
      <c r="G2056" s="13" t="n"/>
    </row>
    <row r="2057">
      <c r="A2057" s="12" t="n"/>
      <c r="D2057">
        <f>IFERROR(VLOOKUP(C2057,Cadastro_Produtos!A:B,2,FALSE),"")</f>
        <v/>
      </c>
      <c r="F2057" s="12" t="n"/>
      <c r="G2057" s="13" t="n"/>
    </row>
    <row r="2058">
      <c r="A2058" s="12" t="n"/>
      <c r="D2058">
        <f>IFERROR(VLOOKUP(C2058,Cadastro_Produtos!A:B,2,FALSE),"")</f>
        <v/>
      </c>
      <c r="F2058" s="12" t="n"/>
      <c r="G2058" s="13" t="n"/>
    </row>
    <row r="2059">
      <c r="A2059" s="12" t="n"/>
      <c r="D2059">
        <f>IFERROR(VLOOKUP(C2059,Cadastro_Produtos!A:B,2,FALSE),"")</f>
        <v/>
      </c>
      <c r="F2059" s="12" t="n"/>
      <c r="G2059" s="13" t="n"/>
    </row>
    <row r="2060">
      <c r="A2060" s="12" t="n"/>
      <c r="D2060">
        <f>IFERROR(VLOOKUP(C2060,Cadastro_Produtos!A:B,2,FALSE),"")</f>
        <v/>
      </c>
      <c r="F2060" s="12" t="n"/>
      <c r="G2060" s="13" t="n"/>
    </row>
    <row r="2061">
      <c r="A2061" s="12" t="n"/>
      <c r="D2061">
        <f>IFERROR(VLOOKUP(C2061,Cadastro_Produtos!A:B,2,FALSE),"")</f>
        <v/>
      </c>
      <c r="F2061" s="12" t="n"/>
      <c r="G2061" s="13" t="n"/>
    </row>
    <row r="2062">
      <c r="A2062" s="12" t="n"/>
      <c r="D2062">
        <f>IFERROR(VLOOKUP(C2062,Cadastro_Produtos!A:B,2,FALSE),"")</f>
        <v/>
      </c>
      <c r="F2062" s="12" t="n"/>
      <c r="G2062" s="13" t="n"/>
    </row>
    <row r="2063">
      <c r="A2063" s="12" t="n"/>
      <c r="D2063">
        <f>IFERROR(VLOOKUP(C2063,Cadastro_Produtos!A:B,2,FALSE),"")</f>
        <v/>
      </c>
      <c r="F2063" s="12" t="n"/>
      <c r="G2063" s="13" t="n"/>
    </row>
    <row r="2064">
      <c r="A2064" s="12" t="n"/>
      <c r="D2064">
        <f>IFERROR(VLOOKUP(C2064,Cadastro_Produtos!A:B,2,FALSE),"")</f>
        <v/>
      </c>
      <c r="F2064" s="12" t="n"/>
      <c r="G2064" s="13" t="n"/>
    </row>
    <row r="2065">
      <c r="A2065" s="12" t="n"/>
      <c r="D2065">
        <f>IFERROR(VLOOKUP(C2065,Cadastro_Produtos!A:B,2,FALSE),"")</f>
        <v/>
      </c>
      <c r="F2065" s="12" t="n"/>
      <c r="G2065" s="13" t="n"/>
    </row>
    <row r="2066">
      <c r="A2066" s="12" t="n"/>
      <c r="D2066">
        <f>IFERROR(VLOOKUP(C2066,Cadastro_Produtos!A:B,2,FALSE),"")</f>
        <v/>
      </c>
      <c r="F2066" s="12" t="n"/>
      <c r="G2066" s="13" t="n"/>
    </row>
    <row r="2067">
      <c r="A2067" s="12" t="n"/>
      <c r="D2067">
        <f>IFERROR(VLOOKUP(C2067,Cadastro_Produtos!A:B,2,FALSE),"")</f>
        <v/>
      </c>
      <c r="F2067" s="12" t="n"/>
      <c r="G2067" s="13" t="n"/>
    </row>
    <row r="2068">
      <c r="A2068" s="12" t="n"/>
      <c r="D2068">
        <f>IFERROR(VLOOKUP(C2068,Cadastro_Produtos!A:B,2,FALSE),"")</f>
        <v/>
      </c>
      <c r="F2068" s="12" t="n"/>
      <c r="G2068" s="13" t="n"/>
    </row>
    <row r="2069">
      <c r="A2069" s="12" t="n"/>
      <c r="D2069">
        <f>IFERROR(VLOOKUP(C2069,Cadastro_Produtos!A:B,2,FALSE),"")</f>
        <v/>
      </c>
      <c r="F2069" s="12" t="n"/>
      <c r="G2069" s="13" t="n"/>
    </row>
    <row r="2070">
      <c r="A2070" s="12" t="n"/>
      <c r="D2070">
        <f>IFERROR(VLOOKUP(C2070,Cadastro_Produtos!A:B,2,FALSE),"")</f>
        <v/>
      </c>
      <c r="F2070" s="12" t="n"/>
      <c r="G2070" s="13" t="n"/>
    </row>
    <row r="2071">
      <c r="A2071" s="12" t="n"/>
      <c r="D2071">
        <f>IFERROR(VLOOKUP(C2071,Cadastro_Produtos!A:B,2,FALSE),"")</f>
        <v/>
      </c>
      <c r="F2071" s="12" t="n"/>
      <c r="G2071" s="13" t="n"/>
    </row>
    <row r="2072">
      <c r="A2072" s="12" t="n"/>
      <c r="D2072">
        <f>IFERROR(VLOOKUP(C2072,Cadastro_Produtos!A:B,2,FALSE),"")</f>
        <v/>
      </c>
      <c r="F2072" s="12" t="n"/>
      <c r="G2072" s="13" t="n"/>
    </row>
    <row r="2073">
      <c r="A2073" s="12" t="n"/>
      <c r="D2073">
        <f>IFERROR(VLOOKUP(C2073,Cadastro_Produtos!A:B,2,FALSE),"")</f>
        <v/>
      </c>
      <c r="F2073" s="12" t="n"/>
      <c r="G2073" s="13" t="n"/>
    </row>
    <row r="2074">
      <c r="A2074" s="12" t="n"/>
      <c r="D2074">
        <f>IFERROR(VLOOKUP(C2074,Cadastro_Produtos!A:B,2,FALSE),"")</f>
        <v/>
      </c>
      <c r="F2074" s="12" t="n"/>
      <c r="G2074" s="13" t="n"/>
    </row>
    <row r="2075">
      <c r="A2075" s="12" t="n"/>
      <c r="D2075">
        <f>IFERROR(VLOOKUP(C2075,Cadastro_Produtos!A:B,2,FALSE),"")</f>
        <v/>
      </c>
      <c r="F2075" s="12" t="n"/>
      <c r="G2075" s="13" t="n"/>
    </row>
    <row r="2076">
      <c r="A2076" s="12" t="n"/>
      <c r="D2076">
        <f>IFERROR(VLOOKUP(C2076,Cadastro_Produtos!A:B,2,FALSE),"")</f>
        <v/>
      </c>
      <c r="F2076" s="12" t="n"/>
      <c r="G2076" s="13" t="n"/>
    </row>
    <row r="2077">
      <c r="A2077" s="12" t="n"/>
      <c r="D2077">
        <f>IFERROR(VLOOKUP(C2077,Cadastro_Produtos!A:B,2,FALSE),"")</f>
        <v/>
      </c>
      <c r="F2077" s="12" t="n"/>
      <c r="G2077" s="13" t="n"/>
    </row>
    <row r="2078">
      <c r="A2078" s="12" t="n"/>
      <c r="D2078">
        <f>IFERROR(VLOOKUP(C2078,Cadastro_Produtos!A:B,2,FALSE),"")</f>
        <v/>
      </c>
      <c r="F2078" s="12" t="n"/>
      <c r="G2078" s="13" t="n"/>
    </row>
    <row r="2079">
      <c r="A2079" s="12" t="n"/>
      <c r="D2079">
        <f>IFERROR(VLOOKUP(C2079,Cadastro_Produtos!A:B,2,FALSE),"")</f>
        <v/>
      </c>
      <c r="F2079" s="12" t="n"/>
      <c r="G2079" s="13" t="n"/>
    </row>
    <row r="2080">
      <c r="A2080" s="12" t="n"/>
      <c r="D2080">
        <f>IFERROR(VLOOKUP(C2080,Cadastro_Produtos!A:B,2,FALSE),"")</f>
        <v/>
      </c>
      <c r="F2080" s="12" t="n"/>
      <c r="G2080" s="13" t="n"/>
    </row>
    <row r="2081">
      <c r="A2081" s="12" t="n"/>
      <c r="D2081">
        <f>IFERROR(VLOOKUP(C2081,Cadastro_Produtos!A:B,2,FALSE),"")</f>
        <v/>
      </c>
      <c r="F2081" s="12" t="n"/>
      <c r="G2081" s="13" t="n"/>
    </row>
    <row r="2082">
      <c r="A2082" s="12" t="n"/>
      <c r="D2082">
        <f>IFERROR(VLOOKUP(C2082,Cadastro_Produtos!A:B,2,FALSE),"")</f>
        <v/>
      </c>
      <c r="F2082" s="12" t="n"/>
      <c r="G2082" s="13" t="n"/>
    </row>
    <row r="2083">
      <c r="A2083" s="12" t="n"/>
      <c r="D2083">
        <f>IFERROR(VLOOKUP(C2083,Cadastro_Produtos!A:B,2,FALSE),"")</f>
        <v/>
      </c>
      <c r="F2083" s="12" t="n"/>
      <c r="G2083" s="13" t="n"/>
    </row>
    <row r="2084">
      <c r="A2084" s="12" t="n"/>
      <c r="D2084">
        <f>IFERROR(VLOOKUP(C2084,Cadastro_Produtos!A:B,2,FALSE),"")</f>
        <v/>
      </c>
      <c r="F2084" s="12" t="n"/>
      <c r="G2084" s="13" t="n"/>
    </row>
    <row r="2085">
      <c r="A2085" s="12" t="n"/>
      <c r="D2085">
        <f>IFERROR(VLOOKUP(C2085,Cadastro_Produtos!A:B,2,FALSE),"")</f>
        <v/>
      </c>
      <c r="F2085" s="12" t="n"/>
      <c r="G2085" s="13" t="n"/>
    </row>
    <row r="2086">
      <c r="A2086" s="12" t="n"/>
      <c r="D2086">
        <f>IFERROR(VLOOKUP(C2086,Cadastro_Produtos!A:B,2,FALSE),"")</f>
        <v/>
      </c>
      <c r="F2086" s="12" t="n"/>
      <c r="G2086" s="13" t="n"/>
    </row>
    <row r="2087">
      <c r="A2087" s="12" t="n"/>
      <c r="D2087">
        <f>IFERROR(VLOOKUP(C2087,Cadastro_Produtos!A:B,2,FALSE),"")</f>
        <v/>
      </c>
      <c r="F2087" s="12" t="n"/>
      <c r="G2087" s="13" t="n"/>
    </row>
    <row r="2088">
      <c r="A2088" s="12" t="n"/>
      <c r="D2088">
        <f>IFERROR(VLOOKUP(C2088,Cadastro_Produtos!A:B,2,FALSE),"")</f>
        <v/>
      </c>
      <c r="F2088" s="12" t="n"/>
      <c r="G2088" s="13" t="n"/>
    </row>
    <row r="2089">
      <c r="A2089" s="12" t="n"/>
      <c r="D2089">
        <f>IFERROR(VLOOKUP(C2089,Cadastro_Produtos!A:B,2,FALSE),"")</f>
        <v/>
      </c>
      <c r="F2089" s="12" t="n"/>
      <c r="G2089" s="13" t="n"/>
    </row>
    <row r="2090">
      <c r="A2090" s="12" t="n"/>
      <c r="D2090">
        <f>IFERROR(VLOOKUP(C2090,Cadastro_Produtos!A:B,2,FALSE),"")</f>
        <v/>
      </c>
      <c r="F2090" s="12" t="n"/>
      <c r="G2090" s="13" t="n"/>
    </row>
    <row r="2091">
      <c r="A2091" s="12" t="n"/>
      <c r="D2091">
        <f>IFERROR(VLOOKUP(C2091,Cadastro_Produtos!A:B,2,FALSE),"")</f>
        <v/>
      </c>
      <c r="F2091" s="12" t="n"/>
      <c r="G2091" s="13" t="n"/>
    </row>
    <row r="2092">
      <c r="A2092" s="12" t="n"/>
      <c r="D2092">
        <f>IFERROR(VLOOKUP(C2092,Cadastro_Produtos!A:B,2,FALSE),"")</f>
        <v/>
      </c>
      <c r="F2092" s="12" t="n"/>
      <c r="G2092" s="13" t="n"/>
    </row>
    <row r="2093">
      <c r="A2093" s="12" t="n"/>
      <c r="D2093">
        <f>IFERROR(VLOOKUP(C2093,Cadastro_Produtos!A:B,2,FALSE),"")</f>
        <v/>
      </c>
      <c r="F2093" s="12" t="n"/>
      <c r="G2093" s="13" t="n"/>
    </row>
    <row r="2094">
      <c r="A2094" s="12" t="n"/>
      <c r="D2094">
        <f>IFERROR(VLOOKUP(C2094,Cadastro_Produtos!A:B,2,FALSE),"")</f>
        <v/>
      </c>
      <c r="F2094" s="12" t="n"/>
      <c r="G2094" s="13" t="n"/>
    </row>
    <row r="2095">
      <c r="A2095" s="12" t="n"/>
      <c r="D2095">
        <f>IFERROR(VLOOKUP(C2095,Cadastro_Produtos!A:B,2,FALSE),"")</f>
        <v/>
      </c>
      <c r="F2095" s="12" t="n"/>
      <c r="G2095" s="13" t="n"/>
    </row>
    <row r="2096">
      <c r="A2096" s="12" t="n"/>
      <c r="D2096">
        <f>IFERROR(VLOOKUP(C2096,Cadastro_Produtos!A:B,2,FALSE),"")</f>
        <v/>
      </c>
      <c r="F2096" s="12" t="n"/>
      <c r="G2096" s="13" t="n"/>
    </row>
    <row r="2097">
      <c r="A2097" s="12" t="n"/>
      <c r="D2097">
        <f>IFERROR(VLOOKUP(C2097,Cadastro_Produtos!A:B,2,FALSE),"")</f>
        <v/>
      </c>
      <c r="F2097" s="12" t="n"/>
      <c r="G2097" s="13" t="n"/>
    </row>
    <row r="2098">
      <c r="A2098" s="12" t="n"/>
      <c r="D2098">
        <f>IFERROR(VLOOKUP(C2098,Cadastro_Produtos!A:B,2,FALSE),"")</f>
        <v/>
      </c>
      <c r="F2098" s="12" t="n"/>
      <c r="G2098" s="13" t="n"/>
    </row>
    <row r="2099">
      <c r="A2099" s="12" t="n"/>
      <c r="D2099">
        <f>IFERROR(VLOOKUP(C2099,Cadastro_Produtos!A:B,2,FALSE),"")</f>
        <v/>
      </c>
      <c r="F2099" s="12" t="n"/>
      <c r="G2099" s="13" t="n"/>
    </row>
    <row r="2100">
      <c r="A2100" s="12" t="n"/>
      <c r="D2100">
        <f>IFERROR(VLOOKUP(C2100,Cadastro_Produtos!A:B,2,FALSE),"")</f>
        <v/>
      </c>
      <c r="F2100" s="12" t="n"/>
      <c r="G2100" s="13" t="n"/>
    </row>
    <row r="2101">
      <c r="A2101" s="12" t="n"/>
      <c r="D2101">
        <f>IFERROR(VLOOKUP(C2101,Cadastro_Produtos!A:B,2,FALSE),"")</f>
        <v/>
      </c>
      <c r="F2101" s="12" t="n"/>
      <c r="G2101" s="13" t="n"/>
    </row>
    <row r="2102">
      <c r="A2102" s="12" t="n"/>
      <c r="D2102">
        <f>IFERROR(VLOOKUP(C2102,Cadastro_Produtos!A:B,2,FALSE),"")</f>
        <v/>
      </c>
      <c r="F2102" s="12" t="n"/>
      <c r="G2102" s="13" t="n"/>
    </row>
    <row r="2103">
      <c r="A2103" s="12" t="n"/>
      <c r="D2103">
        <f>IFERROR(VLOOKUP(C2103,Cadastro_Produtos!A:B,2,FALSE),"")</f>
        <v/>
      </c>
      <c r="F2103" s="12" t="n"/>
      <c r="G2103" s="13" t="n"/>
    </row>
    <row r="2104">
      <c r="A2104" s="12" t="n"/>
      <c r="D2104">
        <f>IFERROR(VLOOKUP(C2104,Cadastro_Produtos!A:B,2,FALSE),"")</f>
        <v/>
      </c>
      <c r="F2104" s="12" t="n"/>
      <c r="G2104" s="13" t="n"/>
    </row>
    <row r="2105">
      <c r="A2105" s="12" t="n"/>
      <c r="D2105">
        <f>IFERROR(VLOOKUP(C2105,Cadastro_Produtos!A:B,2,FALSE),"")</f>
        <v/>
      </c>
      <c r="F2105" s="12" t="n"/>
      <c r="G2105" s="13" t="n"/>
    </row>
    <row r="2106">
      <c r="A2106" s="12" t="n"/>
      <c r="D2106">
        <f>IFERROR(VLOOKUP(C2106,Cadastro_Produtos!A:B,2,FALSE),"")</f>
        <v/>
      </c>
      <c r="F2106" s="12" t="n"/>
      <c r="G2106" s="13" t="n"/>
    </row>
    <row r="2107">
      <c r="A2107" s="12" t="n"/>
      <c r="D2107">
        <f>IFERROR(VLOOKUP(C2107,Cadastro_Produtos!A:B,2,FALSE),"")</f>
        <v/>
      </c>
      <c r="F2107" s="12" t="n"/>
      <c r="G2107" s="13" t="n"/>
    </row>
    <row r="2108">
      <c r="A2108" s="12" t="n"/>
      <c r="D2108">
        <f>IFERROR(VLOOKUP(C2108,Cadastro_Produtos!A:B,2,FALSE),"")</f>
        <v/>
      </c>
      <c r="F2108" s="12" t="n"/>
      <c r="G2108" s="13" t="n"/>
    </row>
    <row r="2109">
      <c r="A2109" s="12" t="n"/>
      <c r="D2109">
        <f>IFERROR(VLOOKUP(C2109,Cadastro_Produtos!A:B,2,FALSE),"")</f>
        <v/>
      </c>
      <c r="F2109" s="12" t="n"/>
      <c r="G2109" s="13" t="n"/>
    </row>
    <row r="2110">
      <c r="A2110" s="12" t="n"/>
      <c r="D2110">
        <f>IFERROR(VLOOKUP(C2110,Cadastro_Produtos!A:B,2,FALSE),"")</f>
        <v/>
      </c>
      <c r="F2110" s="12" t="n"/>
      <c r="G2110" s="13" t="n"/>
    </row>
    <row r="2111">
      <c r="A2111" s="12" t="n"/>
      <c r="D2111">
        <f>IFERROR(VLOOKUP(C2111,Cadastro_Produtos!A:B,2,FALSE),"")</f>
        <v/>
      </c>
      <c r="F2111" s="12" t="n"/>
      <c r="G2111" s="13" t="n"/>
    </row>
    <row r="2112">
      <c r="A2112" s="12" t="n"/>
      <c r="D2112">
        <f>IFERROR(VLOOKUP(C2112,Cadastro_Produtos!A:B,2,FALSE),"")</f>
        <v/>
      </c>
      <c r="F2112" s="12" t="n"/>
      <c r="G2112" s="13" t="n"/>
    </row>
    <row r="2113">
      <c r="A2113" s="12" t="n"/>
      <c r="D2113">
        <f>IFERROR(VLOOKUP(C2113,Cadastro_Produtos!A:B,2,FALSE),"")</f>
        <v/>
      </c>
      <c r="F2113" s="12" t="n"/>
      <c r="G2113" s="13" t="n"/>
    </row>
    <row r="2114">
      <c r="A2114" s="12" t="n"/>
      <c r="D2114">
        <f>IFERROR(VLOOKUP(C2114,Cadastro_Produtos!A:B,2,FALSE),"")</f>
        <v/>
      </c>
      <c r="F2114" s="12" t="n"/>
      <c r="G2114" s="13" t="n"/>
    </row>
    <row r="2115">
      <c r="A2115" s="12" t="n"/>
      <c r="D2115">
        <f>IFERROR(VLOOKUP(C2115,Cadastro_Produtos!A:B,2,FALSE),"")</f>
        <v/>
      </c>
      <c r="F2115" s="12" t="n"/>
      <c r="G2115" s="13" t="n"/>
    </row>
    <row r="2116">
      <c r="A2116" s="12" t="n"/>
      <c r="D2116">
        <f>IFERROR(VLOOKUP(C2116,Cadastro_Produtos!A:B,2,FALSE),"")</f>
        <v/>
      </c>
      <c r="F2116" s="12" t="n"/>
      <c r="G2116" s="13" t="n"/>
    </row>
    <row r="2117">
      <c r="A2117" s="12" t="n"/>
      <c r="D2117">
        <f>IFERROR(VLOOKUP(C2117,Cadastro_Produtos!A:B,2,FALSE),"")</f>
        <v/>
      </c>
      <c r="F2117" s="12" t="n"/>
      <c r="G2117" s="13" t="n"/>
    </row>
    <row r="2118">
      <c r="A2118" s="12" t="n"/>
      <c r="D2118">
        <f>IFERROR(VLOOKUP(C2118,Cadastro_Produtos!A:B,2,FALSE),"")</f>
        <v/>
      </c>
      <c r="F2118" s="12" t="n"/>
      <c r="G2118" s="13" t="n"/>
    </row>
    <row r="2119">
      <c r="A2119" s="12" t="n"/>
      <c r="D2119">
        <f>IFERROR(VLOOKUP(C2119,Cadastro_Produtos!A:B,2,FALSE),"")</f>
        <v/>
      </c>
      <c r="F2119" s="12" t="n"/>
      <c r="G2119" s="13" t="n"/>
    </row>
    <row r="2120">
      <c r="A2120" s="12" t="n"/>
      <c r="D2120">
        <f>IFERROR(VLOOKUP(C2120,Cadastro_Produtos!A:B,2,FALSE),"")</f>
        <v/>
      </c>
      <c r="F2120" s="12" t="n"/>
      <c r="G2120" s="13" t="n"/>
    </row>
    <row r="2121">
      <c r="A2121" s="12" t="n"/>
      <c r="D2121">
        <f>IFERROR(VLOOKUP(C2121,Cadastro_Produtos!A:B,2,FALSE),"")</f>
        <v/>
      </c>
      <c r="F2121" s="12" t="n"/>
      <c r="G2121" s="13" t="n"/>
    </row>
    <row r="2122">
      <c r="A2122" s="12" t="n"/>
      <c r="D2122">
        <f>IFERROR(VLOOKUP(C2122,Cadastro_Produtos!A:B,2,FALSE),"")</f>
        <v/>
      </c>
      <c r="F2122" s="12" t="n"/>
      <c r="G2122" s="13" t="n"/>
    </row>
    <row r="2123">
      <c r="A2123" s="12" t="n"/>
      <c r="D2123">
        <f>IFERROR(VLOOKUP(C2123,Cadastro_Produtos!A:B,2,FALSE),"")</f>
        <v/>
      </c>
      <c r="F2123" s="12" t="n"/>
      <c r="G2123" s="13" t="n"/>
    </row>
    <row r="2124">
      <c r="A2124" s="12" t="n"/>
      <c r="D2124">
        <f>IFERROR(VLOOKUP(C2124,Cadastro_Produtos!A:B,2,FALSE),"")</f>
        <v/>
      </c>
      <c r="F2124" s="12" t="n"/>
      <c r="G2124" s="13" t="n"/>
    </row>
    <row r="2125">
      <c r="A2125" s="12" t="n"/>
      <c r="D2125">
        <f>IFERROR(VLOOKUP(C2125,Cadastro_Produtos!A:B,2,FALSE),"")</f>
        <v/>
      </c>
      <c r="F2125" s="12" t="n"/>
      <c r="G2125" s="13" t="n"/>
    </row>
    <row r="2126">
      <c r="A2126" s="12" t="n"/>
      <c r="D2126">
        <f>IFERROR(VLOOKUP(C2126,Cadastro_Produtos!A:B,2,FALSE),"")</f>
        <v/>
      </c>
      <c r="F2126" s="12" t="n"/>
      <c r="G2126" s="13" t="n"/>
    </row>
    <row r="2127">
      <c r="A2127" s="12" t="n"/>
      <c r="D2127">
        <f>IFERROR(VLOOKUP(C2127,Cadastro_Produtos!A:B,2,FALSE),"")</f>
        <v/>
      </c>
      <c r="F2127" s="12" t="n"/>
      <c r="G2127" s="13" t="n"/>
    </row>
    <row r="2128">
      <c r="A2128" s="12" t="n"/>
      <c r="D2128">
        <f>IFERROR(VLOOKUP(C2128,Cadastro_Produtos!A:B,2,FALSE),"")</f>
        <v/>
      </c>
      <c r="F2128" s="12" t="n"/>
      <c r="G2128" s="13" t="n"/>
    </row>
    <row r="2129">
      <c r="A2129" s="12" t="n"/>
      <c r="D2129">
        <f>IFERROR(VLOOKUP(C2129,Cadastro_Produtos!A:B,2,FALSE),"")</f>
        <v/>
      </c>
      <c r="F2129" s="12" t="n"/>
      <c r="G2129" s="13" t="n"/>
    </row>
    <row r="2130">
      <c r="A2130" s="12" t="n"/>
      <c r="D2130">
        <f>IFERROR(VLOOKUP(C2130,Cadastro_Produtos!A:B,2,FALSE),"")</f>
        <v/>
      </c>
      <c r="F2130" s="12" t="n"/>
      <c r="G2130" s="13" t="n"/>
    </row>
    <row r="2131">
      <c r="A2131" s="12" t="n"/>
      <c r="D2131">
        <f>IFERROR(VLOOKUP(C2131,Cadastro_Produtos!A:B,2,FALSE),"")</f>
        <v/>
      </c>
      <c r="F2131" s="12" t="n"/>
      <c r="G2131" s="13" t="n"/>
    </row>
    <row r="2132">
      <c r="A2132" s="12" t="n"/>
      <c r="D2132">
        <f>IFERROR(VLOOKUP(C2132,Cadastro_Produtos!A:B,2,FALSE),"")</f>
        <v/>
      </c>
      <c r="F2132" s="12" t="n"/>
      <c r="G2132" s="13" t="n"/>
    </row>
    <row r="2133">
      <c r="A2133" s="12" t="n"/>
      <c r="D2133">
        <f>IFERROR(VLOOKUP(C2133,Cadastro_Produtos!A:B,2,FALSE),"")</f>
        <v/>
      </c>
      <c r="F2133" s="12" t="n"/>
      <c r="G2133" s="13" t="n"/>
    </row>
    <row r="2134">
      <c r="A2134" s="12" t="n"/>
      <c r="D2134">
        <f>IFERROR(VLOOKUP(C2134,Cadastro_Produtos!A:B,2,FALSE),"")</f>
        <v/>
      </c>
      <c r="F2134" s="12" t="n"/>
      <c r="G2134" s="13" t="n"/>
    </row>
    <row r="2135">
      <c r="A2135" s="12" t="n"/>
      <c r="D2135">
        <f>IFERROR(VLOOKUP(C2135,Cadastro_Produtos!A:B,2,FALSE),"")</f>
        <v/>
      </c>
      <c r="F2135" s="12" t="n"/>
      <c r="G2135" s="13" t="n"/>
    </row>
    <row r="2136">
      <c r="A2136" s="12" t="n"/>
      <c r="D2136">
        <f>IFERROR(VLOOKUP(C2136,Cadastro_Produtos!A:B,2,FALSE),"")</f>
        <v/>
      </c>
      <c r="F2136" s="12" t="n"/>
      <c r="G2136" s="13" t="n"/>
    </row>
    <row r="2137">
      <c r="A2137" s="12" t="n"/>
      <c r="D2137">
        <f>IFERROR(VLOOKUP(C2137,Cadastro_Produtos!A:B,2,FALSE),"")</f>
        <v/>
      </c>
      <c r="F2137" s="12" t="n"/>
      <c r="G2137" s="13" t="n"/>
    </row>
    <row r="2138">
      <c r="A2138" s="12" t="n"/>
      <c r="D2138">
        <f>IFERROR(VLOOKUP(C2138,Cadastro_Produtos!A:B,2,FALSE),"")</f>
        <v/>
      </c>
      <c r="F2138" s="12" t="n"/>
      <c r="G2138" s="13" t="n"/>
    </row>
    <row r="2139">
      <c r="A2139" s="12" t="n"/>
      <c r="D2139">
        <f>IFERROR(VLOOKUP(C2139,Cadastro_Produtos!A:B,2,FALSE),"")</f>
        <v/>
      </c>
      <c r="F2139" s="12" t="n"/>
      <c r="G2139" s="13" t="n"/>
    </row>
    <row r="2140">
      <c r="A2140" s="12" t="n"/>
      <c r="D2140">
        <f>IFERROR(VLOOKUP(C2140,Cadastro_Produtos!A:B,2,FALSE),"")</f>
        <v/>
      </c>
      <c r="F2140" s="12" t="n"/>
      <c r="G2140" s="13" t="n"/>
    </row>
    <row r="2141">
      <c r="A2141" s="12" t="n"/>
      <c r="D2141">
        <f>IFERROR(VLOOKUP(C2141,Cadastro_Produtos!A:B,2,FALSE),"")</f>
        <v/>
      </c>
      <c r="F2141" s="12" t="n"/>
      <c r="G2141" s="13" t="n"/>
    </row>
    <row r="2142">
      <c r="A2142" s="12" t="n"/>
      <c r="D2142">
        <f>IFERROR(VLOOKUP(C2142,Cadastro_Produtos!A:B,2,FALSE),"")</f>
        <v/>
      </c>
      <c r="F2142" s="12" t="n"/>
      <c r="G2142" s="13" t="n"/>
    </row>
    <row r="2143">
      <c r="A2143" s="12" t="n"/>
      <c r="D2143">
        <f>IFERROR(VLOOKUP(C2143,Cadastro_Produtos!A:B,2,FALSE),"")</f>
        <v/>
      </c>
      <c r="F2143" s="12" t="n"/>
      <c r="G2143" s="13" t="n"/>
    </row>
    <row r="2144">
      <c r="A2144" s="12" t="n"/>
      <c r="D2144">
        <f>IFERROR(VLOOKUP(C2144,Cadastro_Produtos!A:B,2,FALSE),"")</f>
        <v/>
      </c>
      <c r="F2144" s="12" t="n"/>
      <c r="G2144" s="13" t="n"/>
    </row>
    <row r="2145">
      <c r="A2145" s="12" t="n"/>
      <c r="D2145">
        <f>IFERROR(VLOOKUP(C2145,Cadastro_Produtos!A:B,2,FALSE),"")</f>
        <v/>
      </c>
      <c r="F2145" s="12" t="n"/>
      <c r="G2145" s="13" t="n"/>
    </row>
    <row r="2146">
      <c r="A2146" s="12" t="n"/>
      <c r="D2146">
        <f>IFERROR(VLOOKUP(C2146,Cadastro_Produtos!A:B,2,FALSE),"")</f>
        <v/>
      </c>
      <c r="F2146" s="12" t="n"/>
      <c r="G2146" s="13" t="n"/>
    </row>
    <row r="2147">
      <c r="A2147" s="12" t="n"/>
      <c r="D2147">
        <f>IFERROR(VLOOKUP(C2147,Cadastro_Produtos!A:B,2,FALSE),"")</f>
        <v/>
      </c>
      <c r="F2147" s="12" t="n"/>
      <c r="G2147" s="13" t="n"/>
    </row>
    <row r="2148">
      <c r="A2148" s="12" t="n"/>
      <c r="D2148">
        <f>IFERROR(VLOOKUP(C2148,Cadastro_Produtos!A:B,2,FALSE),"")</f>
        <v/>
      </c>
      <c r="F2148" s="12" t="n"/>
      <c r="G2148" s="13" t="n"/>
    </row>
    <row r="2149">
      <c r="A2149" s="12" t="n"/>
      <c r="D2149">
        <f>IFERROR(VLOOKUP(C2149,Cadastro_Produtos!A:B,2,FALSE),"")</f>
        <v/>
      </c>
      <c r="F2149" s="12" t="n"/>
      <c r="G2149" s="13" t="n"/>
    </row>
    <row r="2150">
      <c r="A2150" s="12" t="n"/>
      <c r="D2150">
        <f>IFERROR(VLOOKUP(C2150,Cadastro_Produtos!A:B,2,FALSE),"")</f>
        <v/>
      </c>
      <c r="F2150" s="12" t="n"/>
      <c r="G2150" s="13" t="n"/>
    </row>
    <row r="2151">
      <c r="A2151" s="12" t="n"/>
      <c r="D2151">
        <f>IFERROR(VLOOKUP(C2151,Cadastro_Produtos!A:B,2,FALSE),"")</f>
        <v/>
      </c>
      <c r="F2151" s="12" t="n"/>
      <c r="G2151" s="13" t="n"/>
    </row>
    <row r="2152">
      <c r="A2152" s="12" t="n"/>
      <c r="D2152">
        <f>IFERROR(VLOOKUP(C2152,Cadastro_Produtos!A:B,2,FALSE),"")</f>
        <v/>
      </c>
      <c r="F2152" s="12" t="n"/>
      <c r="G2152" s="13" t="n"/>
    </row>
    <row r="2153">
      <c r="A2153" s="12" t="n"/>
      <c r="D2153">
        <f>IFERROR(VLOOKUP(C2153,Cadastro_Produtos!A:B,2,FALSE),"")</f>
        <v/>
      </c>
      <c r="F2153" s="12" t="n"/>
      <c r="G2153" s="13" t="n"/>
    </row>
    <row r="2154">
      <c r="A2154" s="12" t="n"/>
      <c r="D2154">
        <f>IFERROR(VLOOKUP(C2154,Cadastro_Produtos!A:B,2,FALSE),"")</f>
        <v/>
      </c>
      <c r="F2154" s="12" t="n"/>
      <c r="G2154" s="13" t="n"/>
    </row>
    <row r="2155">
      <c r="A2155" s="12" t="n"/>
      <c r="D2155">
        <f>IFERROR(VLOOKUP(C2155,Cadastro_Produtos!A:B,2,FALSE),"")</f>
        <v/>
      </c>
      <c r="F2155" s="12" t="n"/>
      <c r="G2155" s="13" t="n"/>
    </row>
    <row r="2156">
      <c r="A2156" s="12" t="n"/>
      <c r="D2156">
        <f>IFERROR(VLOOKUP(C2156,Cadastro_Produtos!A:B,2,FALSE),"")</f>
        <v/>
      </c>
      <c r="F2156" s="12" t="n"/>
      <c r="G2156" s="13" t="n"/>
    </row>
    <row r="2157">
      <c r="A2157" s="12" t="n"/>
      <c r="D2157">
        <f>IFERROR(VLOOKUP(C2157,Cadastro_Produtos!A:B,2,FALSE),"")</f>
        <v/>
      </c>
      <c r="F2157" s="12" t="n"/>
      <c r="G2157" s="13" t="n"/>
    </row>
    <row r="2158">
      <c r="A2158" s="12" t="n"/>
      <c r="D2158">
        <f>IFERROR(VLOOKUP(C2158,Cadastro_Produtos!A:B,2,FALSE),"")</f>
        <v/>
      </c>
      <c r="F2158" s="12" t="n"/>
      <c r="G2158" s="13" t="n"/>
    </row>
    <row r="2159">
      <c r="A2159" s="12" t="n"/>
      <c r="D2159">
        <f>IFERROR(VLOOKUP(C2159,Cadastro_Produtos!A:B,2,FALSE),"")</f>
        <v/>
      </c>
      <c r="F2159" s="12" t="n"/>
      <c r="G2159" s="13" t="n"/>
    </row>
    <row r="2160">
      <c r="A2160" s="12" t="n"/>
      <c r="D2160">
        <f>IFERROR(VLOOKUP(C2160,Cadastro_Produtos!A:B,2,FALSE),"")</f>
        <v/>
      </c>
      <c r="F2160" s="12" t="n"/>
      <c r="G2160" s="13" t="n"/>
    </row>
    <row r="2161">
      <c r="A2161" s="12" t="n"/>
      <c r="D2161">
        <f>IFERROR(VLOOKUP(C2161,Cadastro_Produtos!A:B,2,FALSE),"")</f>
        <v/>
      </c>
      <c r="F2161" s="12" t="n"/>
      <c r="G2161" s="13" t="n"/>
    </row>
    <row r="2162">
      <c r="A2162" s="12" t="n"/>
      <c r="D2162">
        <f>IFERROR(VLOOKUP(C2162,Cadastro_Produtos!A:B,2,FALSE),"")</f>
        <v/>
      </c>
      <c r="F2162" s="12" t="n"/>
      <c r="G2162" s="13" t="n"/>
    </row>
    <row r="2163">
      <c r="A2163" s="12" t="n"/>
      <c r="D2163">
        <f>IFERROR(VLOOKUP(C2163,Cadastro_Produtos!A:B,2,FALSE),"")</f>
        <v/>
      </c>
      <c r="F2163" s="12" t="n"/>
      <c r="G2163" s="13" t="n"/>
    </row>
    <row r="2164">
      <c r="A2164" s="12" t="n"/>
      <c r="D2164">
        <f>IFERROR(VLOOKUP(C2164,Cadastro_Produtos!A:B,2,FALSE),"")</f>
        <v/>
      </c>
      <c r="F2164" s="12" t="n"/>
      <c r="G2164" s="13" t="n"/>
    </row>
    <row r="2165">
      <c r="A2165" s="12" t="n"/>
      <c r="D2165">
        <f>IFERROR(VLOOKUP(C2165,Cadastro_Produtos!A:B,2,FALSE),"")</f>
        <v/>
      </c>
      <c r="F2165" s="12" t="n"/>
      <c r="G2165" s="13" t="n"/>
    </row>
    <row r="2166">
      <c r="A2166" s="12" t="n"/>
      <c r="D2166">
        <f>IFERROR(VLOOKUP(C2166,Cadastro_Produtos!A:B,2,FALSE),"")</f>
        <v/>
      </c>
      <c r="F2166" s="12" t="n"/>
      <c r="G2166" s="13" t="n"/>
    </row>
    <row r="2167">
      <c r="A2167" s="12" t="n"/>
      <c r="D2167">
        <f>IFERROR(VLOOKUP(C2167,Cadastro_Produtos!A:B,2,FALSE),"")</f>
        <v/>
      </c>
      <c r="F2167" s="12" t="n"/>
      <c r="G2167" s="13" t="n"/>
    </row>
    <row r="2168">
      <c r="A2168" s="12" t="n"/>
      <c r="D2168">
        <f>IFERROR(VLOOKUP(C2168,Cadastro_Produtos!A:B,2,FALSE),"")</f>
        <v/>
      </c>
      <c r="F2168" s="12" t="n"/>
      <c r="G2168" s="13" t="n"/>
    </row>
    <row r="2169">
      <c r="A2169" s="12" t="n"/>
      <c r="D2169">
        <f>IFERROR(VLOOKUP(C2169,Cadastro_Produtos!A:B,2,FALSE),"")</f>
        <v/>
      </c>
      <c r="F2169" s="12" t="n"/>
      <c r="G2169" s="13" t="n"/>
    </row>
    <row r="2170">
      <c r="A2170" s="12" t="n"/>
      <c r="D2170">
        <f>IFERROR(VLOOKUP(C2170,Cadastro_Produtos!A:B,2,FALSE),"")</f>
        <v/>
      </c>
      <c r="F2170" s="12" t="n"/>
      <c r="G2170" s="13" t="n"/>
    </row>
    <row r="2171">
      <c r="A2171" s="12" t="n"/>
      <c r="D2171">
        <f>IFERROR(VLOOKUP(C2171,Cadastro_Produtos!A:B,2,FALSE),"")</f>
        <v/>
      </c>
      <c r="F2171" s="12" t="n"/>
      <c r="G2171" s="13" t="n"/>
    </row>
    <row r="2172">
      <c r="A2172" s="12" t="n"/>
      <c r="D2172">
        <f>IFERROR(VLOOKUP(C2172,Cadastro_Produtos!A:B,2,FALSE),"")</f>
        <v/>
      </c>
      <c r="F2172" s="12" t="n"/>
      <c r="G2172" s="13" t="n"/>
    </row>
    <row r="2173">
      <c r="A2173" s="12" t="n"/>
      <c r="D2173">
        <f>IFERROR(VLOOKUP(C2173,Cadastro_Produtos!A:B,2,FALSE),"")</f>
        <v/>
      </c>
      <c r="F2173" s="12" t="n"/>
      <c r="G2173" s="13" t="n"/>
    </row>
    <row r="2174">
      <c r="A2174" s="12" t="n"/>
      <c r="D2174">
        <f>IFERROR(VLOOKUP(C2174,Cadastro_Produtos!A:B,2,FALSE),"")</f>
        <v/>
      </c>
      <c r="F2174" s="12" t="n"/>
      <c r="G2174" s="13" t="n"/>
    </row>
    <row r="2175">
      <c r="A2175" s="12" t="n"/>
      <c r="D2175">
        <f>IFERROR(VLOOKUP(C2175,Cadastro_Produtos!A:B,2,FALSE),"")</f>
        <v/>
      </c>
      <c r="F2175" s="12" t="n"/>
      <c r="G2175" s="13" t="n"/>
    </row>
    <row r="2176">
      <c r="A2176" s="12" t="n"/>
      <c r="D2176">
        <f>IFERROR(VLOOKUP(C2176,Cadastro_Produtos!A:B,2,FALSE),"")</f>
        <v/>
      </c>
      <c r="F2176" s="12" t="n"/>
      <c r="G2176" s="13" t="n"/>
    </row>
    <row r="2177">
      <c r="A2177" s="12" t="n"/>
      <c r="D2177">
        <f>IFERROR(VLOOKUP(C2177,Cadastro_Produtos!A:B,2,FALSE),"")</f>
        <v/>
      </c>
      <c r="F2177" s="12" t="n"/>
      <c r="G2177" s="13" t="n"/>
    </row>
    <row r="2178">
      <c r="A2178" s="12" t="n"/>
      <c r="D2178">
        <f>IFERROR(VLOOKUP(C2178,Cadastro_Produtos!A:B,2,FALSE),"")</f>
        <v/>
      </c>
      <c r="F2178" s="12" t="n"/>
      <c r="G2178" s="13" t="n"/>
    </row>
    <row r="2179">
      <c r="A2179" s="12" t="n"/>
      <c r="D2179">
        <f>IFERROR(VLOOKUP(C2179,Cadastro_Produtos!A:B,2,FALSE),"")</f>
        <v/>
      </c>
      <c r="F2179" s="12" t="n"/>
      <c r="G2179" s="13" t="n"/>
    </row>
    <row r="2180">
      <c r="A2180" s="12" t="n"/>
      <c r="D2180">
        <f>IFERROR(VLOOKUP(C2180,Cadastro_Produtos!A:B,2,FALSE),"")</f>
        <v/>
      </c>
      <c r="F2180" s="12" t="n"/>
      <c r="G2180" s="13" t="n"/>
    </row>
    <row r="2181">
      <c r="A2181" s="12" t="n"/>
      <c r="D2181">
        <f>IFERROR(VLOOKUP(C2181,Cadastro_Produtos!A:B,2,FALSE),"")</f>
        <v/>
      </c>
      <c r="F2181" s="12" t="n"/>
      <c r="G2181" s="13" t="n"/>
    </row>
    <row r="2182">
      <c r="A2182" s="12" t="n"/>
      <c r="D2182">
        <f>IFERROR(VLOOKUP(C2182,Cadastro_Produtos!A:B,2,FALSE),"")</f>
        <v/>
      </c>
      <c r="F2182" s="12" t="n"/>
      <c r="G2182" s="13" t="n"/>
    </row>
    <row r="2183">
      <c r="A2183" s="12" t="n"/>
      <c r="D2183">
        <f>IFERROR(VLOOKUP(C2183,Cadastro_Produtos!A:B,2,FALSE),"")</f>
        <v/>
      </c>
      <c r="F2183" s="12" t="n"/>
      <c r="G2183" s="13" t="n"/>
    </row>
    <row r="2184">
      <c r="A2184" s="12" t="n"/>
      <c r="D2184">
        <f>IFERROR(VLOOKUP(C2184,Cadastro_Produtos!A:B,2,FALSE),"")</f>
        <v/>
      </c>
      <c r="F2184" s="12" t="n"/>
      <c r="G2184" s="13" t="n"/>
    </row>
    <row r="2185">
      <c r="A2185" s="12" t="n"/>
      <c r="D2185">
        <f>IFERROR(VLOOKUP(C2185,Cadastro_Produtos!A:B,2,FALSE),"")</f>
        <v/>
      </c>
      <c r="F2185" s="12" t="n"/>
      <c r="G2185" s="13" t="n"/>
    </row>
    <row r="2186">
      <c r="A2186" s="12" t="n"/>
      <c r="D2186">
        <f>IFERROR(VLOOKUP(C2186,Cadastro_Produtos!A:B,2,FALSE),"")</f>
        <v/>
      </c>
      <c r="F2186" s="12" t="n"/>
      <c r="G2186" s="13" t="n"/>
    </row>
    <row r="2187">
      <c r="A2187" s="12" t="n"/>
      <c r="D2187">
        <f>IFERROR(VLOOKUP(C2187,Cadastro_Produtos!A:B,2,FALSE),"")</f>
        <v/>
      </c>
      <c r="F2187" s="12" t="n"/>
      <c r="G2187" s="13" t="n"/>
    </row>
    <row r="2188">
      <c r="A2188" s="12" t="n"/>
      <c r="D2188">
        <f>IFERROR(VLOOKUP(C2188,Cadastro_Produtos!A:B,2,FALSE),"")</f>
        <v/>
      </c>
      <c r="F2188" s="12" t="n"/>
      <c r="G2188" s="13" t="n"/>
    </row>
    <row r="2189">
      <c r="A2189" s="12" t="n"/>
      <c r="D2189">
        <f>IFERROR(VLOOKUP(C2189,Cadastro_Produtos!A:B,2,FALSE),"")</f>
        <v/>
      </c>
      <c r="F2189" s="12" t="n"/>
      <c r="G2189" s="13" t="n"/>
    </row>
    <row r="2190">
      <c r="A2190" s="12" t="n"/>
      <c r="D2190">
        <f>IFERROR(VLOOKUP(C2190,Cadastro_Produtos!A:B,2,FALSE),"")</f>
        <v/>
      </c>
      <c r="F2190" s="12" t="n"/>
      <c r="G2190" s="13" t="n"/>
    </row>
    <row r="2191">
      <c r="A2191" s="12" t="n"/>
      <c r="D2191">
        <f>IFERROR(VLOOKUP(C2191,Cadastro_Produtos!A:B,2,FALSE),"")</f>
        <v/>
      </c>
      <c r="F2191" s="12" t="n"/>
      <c r="G2191" s="13" t="n"/>
    </row>
    <row r="2192">
      <c r="A2192" s="12" t="n"/>
      <c r="D2192">
        <f>IFERROR(VLOOKUP(C2192,Cadastro_Produtos!A:B,2,FALSE),"")</f>
        <v/>
      </c>
      <c r="F2192" s="12" t="n"/>
      <c r="G2192" s="13" t="n"/>
    </row>
    <row r="2193">
      <c r="A2193" s="12" t="n"/>
      <c r="D2193">
        <f>IFERROR(VLOOKUP(C2193,Cadastro_Produtos!A:B,2,FALSE),"")</f>
        <v/>
      </c>
      <c r="F2193" s="12" t="n"/>
      <c r="G2193" s="13" t="n"/>
    </row>
    <row r="2194">
      <c r="A2194" s="12" t="n"/>
      <c r="D2194">
        <f>IFERROR(VLOOKUP(C2194,Cadastro_Produtos!A:B,2,FALSE),"")</f>
        <v/>
      </c>
      <c r="F2194" s="12" t="n"/>
      <c r="G2194" s="13" t="n"/>
    </row>
    <row r="2195">
      <c r="A2195" s="12" t="n"/>
      <c r="D2195">
        <f>IFERROR(VLOOKUP(C2195,Cadastro_Produtos!A:B,2,FALSE),"")</f>
        <v/>
      </c>
      <c r="F2195" s="12" t="n"/>
      <c r="G2195" s="13" t="n"/>
    </row>
    <row r="2196">
      <c r="A2196" s="12" t="n"/>
      <c r="D2196">
        <f>IFERROR(VLOOKUP(C2196,Cadastro_Produtos!A:B,2,FALSE),"")</f>
        <v/>
      </c>
      <c r="F2196" s="12" t="n"/>
      <c r="G2196" s="13" t="n"/>
    </row>
    <row r="2197">
      <c r="A2197" s="12" t="n"/>
      <c r="D2197">
        <f>IFERROR(VLOOKUP(C2197,Cadastro_Produtos!A:B,2,FALSE),"")</f>
        <v/>
      </c>
      <c r="F2197" s="12" t="n"/>
      <c r="G2197" s="13" t="n"/>
    </row>
    <row r="2198">
      <c r="A2198" s="12" t="n"/>
      <c r="D2198">
        <f>IFERROR(VLOOKUP(C2198,Cadastro_Produtos!A:B,2,FALSE),"")</f>
        <v/>
      </c>
      <c r="F2198" s="12" t="n"/>
      <c r="G2198" s="13" t="n"/>
    </row>
    <row r="2199">
      <c r="A2199" s="12" t="n"/>
      <c r="D2199">
        <f>IFERROR(VLOOKUP(C2199,Cadastro_Produtos!A:B,2,FALSE),"")</f>
        <v/>
      </c>
      <c r="F2199" s="12" t="n"/>
      <c r="G2199" s="13" t="n"/>
    </row>
    <row r="2200">
      <c r="A2200" s="12" t="n"/>
      <c r="D2200">
        <f>IFERROR(VLOOKUP(C2200,Cadastro_Produtos!A:B,2,FALSE),"")</f>
        <v/>
      </c>
      <c r="F2200" s="12" t="n"/>
      <c r="G2200" s="13" t="n"/>
    </row>
    <row r="2201">
      <c r="A2201" s="12" t="n"/>
      <c r="D2201">
        <f>IFERROR(VLOOKUP(C2201,Cadastro_Produtos!A:B,2,FALSE),"")</f>
        <v/>
      </c>
      <c r="F2201" s="12" t="n"/>
      <c r="G2201" s="13" t="n"/>
    </row>
    <row r="2202">
      <c r="A2202" s="12" t="n"/>
      <c r="D2202">
        <f>IFERROR(VLOOKUP(C2202,Cadastro_Produtos!A:B,2,FALSE),"")</f>
        <v/>
      </c>
      <c r="F2202" s="12" t="n"/>
      <c r="G2202" s="13" t="n"/>
    </row>
    <row r="2203">
      <c r="A2203" s="12" t="n"/>
      <c r="D2203">
        <f>IFERROR(VLOOKUP(C2203,Cadastro_Produtos!A:B,2,FALSE),"")</f>
        <v/>
      </c>
      <c r="F2203" s="12" t="n"/>
      <c r="G2203" s="13" t="n"/>
    </row>
    <row r="2204">
      <c r="A2204" s="12" t="n"/>
      <c r="D2204">
        <f>IFERROR(VLOOKUP(C2204,Cadastro_Produtos!A:B,2,FALSE),"")</f>
        <v/>
      </c>
      <c r="F2204" s="12" t="n"/>
      <c r="G2204" s="13" t="n"/>
    </row>
    <row r="2205">
      <c r="A2205" s="12" t="n"/>
      <c r="D2205">
        <f>IFERROR(VLOOKUP(C2205,Cadastro_Produtos!A:B,2,FALSE),"")</f>
        <v/>
      </c>
      <c r="F2205" s="12" t="n"/>
      <c r="G2205" s="13" t="n"/>
    </row>
    <row r="2206">
      <c r="A2206" s="12" t="n"/>
      <c r="D2206">
        <f>IFERROR(VLOOKUP(C2206,Cadastro_Produtos!A:B,2,FALSE),"")</f>
        <v/>
      </c>
      <c r="F2206" s="12" t="n"/>
      <c r="G2206" s="13" t="n"/>
    </row>
    <row r="2207">
      <c r="A2207" s="12" t="n"/>
      <c r="D2207">
        <f>IFERROR(VLOOKUP(C2207,Cadastro_Produtos!A:B,2,FALSE),"")</f>
        <v/>
      </c>
      <c r="F2207" s="12" t="n"/>
      <c r="G2207" s="13" t="n"/>
    </row>
    <row r="2208">
      <c r="A2208" s="12" t="n"/>
      <c r="D2208">
        <f>IFERROR(VLOOKUP(C2208,Cadastro_Produtos!A:B,2,FALSE),"")</f>
        <v/>
      </c>
      <c r="F2208" s="12" t="n"/>
      <c r="G2208" s="13" t="n"/>
    </row>
    <row r="2209">
      <c r="A2209" s="12" t="n"/>
      <c r="D2209">
        <f>IFERROR(VLOOKUP(C2209,Cadastro_Produtos!A:B,2,FALSE),"")</f>
        <v/>
      </c>
      <c r="F2209" s="12" t="n"/>
      <c r="G2209" s="13" t="n"/>
    </row>
    <row r="2210">
      <c r="A2210" s="12" t="n"/>
      <c r="D2210">
        <f>IFERROR(VLOOKUP(C2210,Cadastro_Produtos!A:B,2,FALSE),"")</f>
        <v/>
      </c>
      <c r="F2210" s="12" t="n"/>
      <c r="G2210" s="13" t="n"/>
    </row>
    <row r="2211">
      <c r="A2211" s="12" t="n"/>
      <c r="D2211">
        <f>IFERROR(VLOOKUP(C2211,Cadastro_Produtos!A:B,2,FALSE),"")</f>
        <v/>
      </c>
      <c r="F2211" s="12" t="n"/>
      <c r="G2211" s="13" t="n"/>
    </row>
    <row r="2212">
      <c r="A2212" s="12" t="n"/>
      <c r="D2212">
        <f>IFERROR(VLOOKUP(C2212,Cadastro_Produtos!A:B,2,FALSE),"")</f>
        <v/>
      </c>
      <c r="F2212" s="12" t="n"/>
      <c r="G2212" s="13" t="n"/>
    </row>
    <row r="2213">
      <c r="A2213" s="12" t="n"/>
      <c r="D2213">
        <f>IFERROR(VLOOKUP(C2213,Cadastro_Produtos!A:B,2,FALSE),"")</f>
        <v/>
      </c>
      <c r="F2213" s="12" t="n"/>
      <c r="G2213" s="13" t="n"/>
    </row>
    <row r="2214">
      <c r="A2214" s="12" t="n"/>
      <c r="D2214">
        <f>IFERROR(VLOOKUP(C2214,Cadastro_Produtos!A:B,2,FALSE),"")</f>
        <v/>
      </c>
      <c r="F2214" s="12" t="n"/>
      <c r="G2214" s="13" t="n"/>
    </row>
    <row r="2215">
      <c r="A2215" s="12" t="n"/>
      <c r="D2215">
        <f>IFERROR(VLOOKUP(C2215,Cadastro_Produtos!A:B,2,FALSE),"")</f>
        <v/>
      </c>
      <c r="F2215" s="12" t="n"/>
      <c r="G2215" s="13" t="n"/>
    </row>
    <row r="2216">
      <c r="A2216" s="12" t="n"/>
      <c r="D2216">
        <f>IFERROR(VLOOKUP(C2216,Cadastro_Produtos!A:B,2,FALSE),"")</f>
        <v/>
      </c>
      <c r="F2216" s="12" t="n"/>
      <c r="G2216" s="13" t="n"/>
    </row>
    <row r="2217">
      <c r="A2217" s="12" t="n"/>
      <c r="D2217">
        <f>IFERROR(VLOOKUP(C2217,Cadastro_Produtos!A:B,2,FALSE),"")</f>
        <v/>
      </c>
      <c r="F2217" s="12" t="n"/>
      <c r="G2217" s="13" t="n"/>
    </row>
    <row r="2218">
      <c r="A2218" s="12" t="n"/>
      <c r="D2218">
        <f>IFERROR(VLOOKUP(C2218,Cadastro_Produtos!A:B,2,FALSE),"")</f>
        <v/>
      </c>
      <c r="F2218" s="12" t="n"/>
      <c r="G2218" s="13" t="n"/>
    </row>
    <row r="2219">
      <c r="A2219" s="12" t="n"/>
      <c r="D2219">
        <f>IFERROR(VLOOKUP(C2219,Cadastro_Produtos!A:B,2,FALSE),"")</f>
        <v/>
      </c>
      <c r="F2219" s="12" t="n"/>
      <c r="G2219" s="13" t="n"/>
    </row>
    <row r="2220">
      <c r="A2220" s="12" t="n"/>
      <c r="D2220">
        <f>IFERROR(VLOOKUP(C2220,Cadastro_Produtos!A:B,2,FALSE),"")</f>
        <v/>
      </c>
      <c r="F2220" s="12" t="n"/>
      <c r="G2220" s="13" t="n"/>
    </row>
    <row r="2221">
      <c r="A2221" s="12" t="n"/>
      <c r="D2221">
        <f>IFERROR(VLOOKUP(C2221,Cadastro_Produtos!A:B,2,FALSE),"")</f>
        <v/>
      </c>
      <c r="F2221" s="12" t="n"/>
      <c r="G2221" s="13" t="n"/>
    </row>
    <row r="2222">
      <c r="A2222" s="12" t="n"/>
      <c r="D2222">
        <f>IFERROR(VLOOKUP(C2222,Cadastro_Produtos!A:B,2,FALSE),"")</f>
        <v/>
      </c>
      <c r="F2222" s="12" t="n"/>
      <c r="G2222" s="13" t="n"/>
    </row>
    <row r="2223">
      <c r="A2223" s="12" t="n"/>
      <c r="D2223">
        <f>IFERROR(VLOOKUP(C2223,Cadastro_Produtos!A:B,2,FALSE),"")</f>
        <v/>
      </c>
      <c r="F2223" s="12" t="n"/>
      <c r="G2223" s="13" t="n"/>
    </row>
    <row r="2224">
      <c r="A2224" s="12" t="n"/>
      <c r="D2224">
        <f>IFERROR(VLOOKUP(C2224,Cadastro_Produtos!A:B,2,FALSE),"")</f>
        <v/>
      </c>
      <c r="F2224" s="12" t="n"/>
      <c r="G2224" s="13" t="n"/>
    </row>
    <row r="2225">
      <c r="A2225" s="12" t="n"/>
      <c r="D2225">
        <f>IFERROR(VLOOKUP(C2225,Cadastro_Produtos!A:B,2,FALSE),"")</f>
        <v/>
      </c>
      <c r="F2225" s="12" t="n"/>
      <c r="G2225" s="13" t="n"/>
    </row>
    <row r="2226">
      <c r="A2226" s="12" t="n"/>
      <c r="D2226">
        <f>IFERROR(VLOOKUP(C2226,Cadastro_Produtos!A:B,2,FALSE),"")</f>
        <v/>
      </c>
      <c r="F2226" s="12" t="n"/>
      <c r="G2226" s="13" t="n"/>
    </row>
    <row r="2227">
      <c r="A2227" s="12" t="n"/>
      <c r="D2227">
        <f>IFERROR(VLOOKUP(C2227,Cadastro_Produtos!A:B,2,FALSE),"")</f>
        <v/>
      </c>
      <c r="F2227" s="12" t="n"/>
      <c r="G2227" s="13" t="n"/>
    </row>
    <row r="2228">
      <c r="A2228" s="12" t="n"/>
      <c r="D2228">
        <f>IFERROR(VLOOKUP(C2228,Cadastro_Produtos!A:B,2,FALSE),"")</f>
        <v/>
      </c>
      <c r="F2228" s="12" t="n"/>
      <c r="G2228" s="13" t="n"/>
    </row>
    <row r="2229">
      <c r="A2229" s="12" t="n"/>
      <c r="D2229">
        <f>IFERROR(VLOOKUP(C2229,Cadastro_Produtos!A:B,2,FALSE),"")</f>
        <v/>
      </c>
      <c r="F2229" s="12" t="n"/>
      <c r="G2229" s="13" t="n"/>
    </row>
    <row r="2230">
      <c r="A2230" s="12" t="n"/>
      <c r="D2230">
        <f>IFERROR(VLOOKUP(C2230,Cadastro_Produtos!A:B,2,FALSE),"")</f>
        <v/>
      </c>
      <c r="F2230" s="12" t="n"/>
      <c r="G2230" s="13" t="n"/>
    </row>
    <row r="2231">
      <c r="A2231" s="12" t="n"/>
      <c r="D2231">
        <f>IFERROR(VLOOKUP(C2231,Cadastro_Produtos!A:B,2,FALSE),"")</f>
        <v/>
      </c>
      <c r="F2231" s="12" t="n"/>
      <c r="G2231" s="13" t="n"/>
    </row>
    <row r="2232">
      <c r="A2232" s="12" t="n"/>
      <c r="D2232">
        <f>IFERROR(VLOOKUP(C2232,Cadastro_Produtos!A:B,2,FALSE),"")</f>
        <v/>
      </c>
      <c r="F2232" s="12" t="n"/>
      <c r="G2232" s="13" t="n"/>
    </row>
    <row r="2233">
      <c r="A2233" s="12" t="n"/>
      <c r="D2233">
        <f>IFERROR(VLOOKUP(C2233,Cadastro_Produtos!A:B,2,FALSE),"")</f>
        <v/>
      </c>
      <c r="F2233" s="12" t="n"/>
      <c r="G2233" s="13" t="n"/>
    </row>
    <row r="2234">
      <c r="A2234" s="12" t="n"/>
      <c r="D2234">
        <f>IFERROR(VLOOKUP(C2234,Cadastro_Produtos!A:B,2,FALSE),"")</f>
        <v/>
      </c>
      <c r="F2234" s="12" t="n"/>
      <c r="G2234" s="13" t="n"/>
    </row>
    <row r="2235">
      <c r="A2235" s="12" t="n"/>
      <c r="D2235">
        <f>IFERROR(VLOOKUP(C2235,Cadastro_Produtos!A:B,2,FALSE),"")</f>
        <v/>
      </c>
      <c r="F2235" s="12" t="n"/>
      <c r="G2235" s="13" t="n"/>
    </row>
    <row r="2236">
      <c r="A2236" s="12" t="n"/>
      <c r="D2236">
        <f>IFERROR(VLOOKUP(C2236,Cadastro_Produtos!A:B,2,FALSE),"")</f>
        <v/>
      </c>
      <c r="F2236" s="12" t="n"/>
      <c r="G2236" s="13" t="n"/>
    </row>
    <row r="2237">
      <c r="A2237" s="12" t="n"/>
      <c r="D2237">
        <f>IFERROR(VLOOKUP(C2237,Cadastro_Produtos!A:B,2,FALSE),"")</f>
        <v/>
      </c>
      <c r="F2237" s="12" t="n"/>
      <c r="G2237" s="13" t="n"/>
    </row>
    <row r="2238">
      <c r="A2238" s="12" t="n"/>
      <c r="D2238">
        <f>IFERROR(VLOOKUP(C2238,Cadastro_Produtos!A:B,2,FALSE),"")</f>
        <v/>
      </c>
      <c r="F2238" s="12" t="n"/>
      <c r="G2238" s="13" t="n"/>
    </row>
    <row r="2239">
      <c r="A2239" s="12" t="n"/>
      <c r="D2239">
        <f>IFERROR(VLOOKUP(C2239,Cadastro_Produtos!A:B,2,FALSE),"")</f>
        <v/>
      </c>
      <c r="F2239" s="12" t="n"/>
      <c r="G2239" s="13" t="n"/>
    </row>
    <row r="2240">
      <c r="A2240" s="12" t="n"/>
      <c r="D2240">
        <f>IFERROR(VLOOKUP(C2240,Cadastro_Produtos!A:B,2,FALSE),"")</f>
        <v/>
      </c>
      <c r="F2240" s="12" t="n"/>
      <c r="G2240" s="13" t="n"/>
    </row>
    <row r="2241">
      <c r="A2241" s="12" t="n"/>
      <c r="D2241">
        <f>IFERROR(VLOOKUP(C2241,Cadastro_Produtos!A:B,2,FALSE),"")</f>
        <v/>
      </c>
      <c r="F2241" s="12" t="n"/>
      <c r="G2241" s="13" t="n"/>
    </row>
    <row r="2242">
      <c r="A2242" s="12" t="n"/>
      <c r="D2242">
        <f>IFERROR(VLOOKUP(C2242,Cadastro_Produtos!A:B,2,FALSE),"")</f>
        <v/>
      </c>
      <c r="F2242" s="12" t="n"/>
      <c r="G2242" s="13" t="n"/>
    </row>
    <row r="2243">
      <c r="A2243" s="12" t="n"/>
      <c r="D2243">
        <f>IFERROR(VLOOKUP(C2243,Cadastro_Produtos!A:B,2,FALSE),"")</f>
        <v/>
      </c>
      <c r="F2243" s="12" t="n"/>
      <c r="G2243" s="13" t="n"/>
    </row>
    <row r="2244">
      <c r="A2244" s="12" t="n"/>
      <c r="D2244">
        <f>IFERROR(VLOOKUP(C2244,Cadastro_Produtos!A:B,2,FALSE),"")</f>
        <v/>
      </c>
      <c r="F2244" s="12" t="n"/>
      <c r="G2244" s="13" t="n"/>
    </row>
    <row r="2245">
      <c r="A2245" s="12" t="n"/>
      <c r="D2245">
        <f>IFERROR(VLOOKUP(C2245,Cadastro_Produtos!A:B,2,FALSE),"")</f>
        <v/>
      </c>
      <c r="F2245" s="12" t="n"/>
      <c r="G2245" s="13" t="n"/>
    </row>
    <row r="2246">
      <c r="A2246" s="12" t="n"/>
      <c r="D2246">
        <f>IFERROR(VLOOKUP(C2246,Cadastro_Produtos!A:B,2,FALSE),"")</f>
        <v/>
      </c>
      <c r="F2246" s="12" t="n"/>
      <c r="G2246" s="13" t="n"/>
    </row>
    <row r="2247">
      <c r="A2247" s="12" t="n"/>
      <c r="D2247">
        <f>IFERROR(VLOOKUP(C2247,Cadastro_Produtos!A:B,2,FALSE),"")</f>
        <v/>
      </c>
      <c r="F2247" s="12" t="n"/>
      <c r="G2247" s="13" t="n"/>
    </row>
    <row r="2248">
      <c r="A2248" s="12" t="n"/>
      <c r="D2248">
        <f>IFERROR(VLOOKUP(C2248,Cadastro_Produtos!A:B,2,FALSE),"")</f>
        <v/>
      </c>
      <c r="F2248" s="12" t="n"/>
      <c r="G2248" s="13" t="n"/>
    </row>
    <row r="2249">
      <c r="A2249" s="12" t="n"/>
      <c r="D2249">
        <f>IFERROR(VLOOKUP(C2249,Cadastro_Produtos!A:B,2,FALSE),"")</f>
        <v/>
      </c>
      <c r="F2249" s="12" t="n"/>
      <c r="G2249" s="13" t="n"/>
    </row>
    <row r="2250">
      <c r="A2250" s="12" t="n"/>
      <c r="D2250">
        <f>IFERROR(VLOOKUP(C2250,Cadastro_Produtos!A:B,2,FALSE),"")</f>
        <v/>
      </c>
      <c r="F2250" s="12" t="n"/>
      <c r="G2250" s="13" t="n"/>
    </row>
    <row r="2251">
      <c r="A2251" s="12" t="n"/>
      <c r="D2251">
        <f>IFERROR(VLOOKUP(C2251,Cadastro_Produtos!A:B,2,FALSE),"")</f>
        <v/>
      </c>
      <c r="F2251" s="12" t="n"/>
      <c r="G2251" s="13" t="n"/>
    </row>
    <row r="2252">
      <c r="A2252" s="12" t="n"/>
      <c r="D2252">
        <f>IFERROR(VLOOKUP(C2252,Cadastro_Produtos!A:B,2,FALSE),"")</f>
        <v/>
      </c>
      <c r="F2252" s="12" t="n"/>
      <c r="G2252" s="13" t="n"/>
    </row>
    <row r="2253">
      <c r="A2253" s="12" t="n"/>
      <c r="D2253">
        <f>IFERROR(VLOOKUP(C2253,Cadastro_Produtos!A:B,2,FALSE),"")</f>
        <v/>
      </c>
      <c r="F2253" s="12" t="n"/>
      <c r="G2253" s="13" t="n"/>
    </row>
    <row r="2254">
      <c r="A2254" s="12" t="n"/>
      <c r="D2254">
        <f>IFERROR(VLOOKUP(C2254,Cadastro_Produtos!A:B,2,FALSE),"")</f>
        <v/>
      </c>
      <c r="F2254" s="12" t="n"/>
      <c r="G2254" s="13" t="n"/>
    </row>
    <row r="2255">
      <c r="A2255" s="12" t="n"/>
      <c r="D2255">
        <f>IFERROR(VLOOKUP(C2255,Cadastro_Produtos!A:B,2,FALSE),"")</f>
        <v/>
      </c>
      <c r="F2255" s="12" t="n"/>
      <c r="G2255" s="13" t="n"/>
    </row>
    <row r="2256">
      <c r="A2256" s="12" t="n"/>
      <c r="D2256">
        <f>IFERROR(VLOOKUP(C2256,Cadastro_Produtos!A:B,2,FALSE),"")</f>
        <v/>
      </c>
      <c r="F2256" s="12" t="n"/>
      <c r="G2256" s="13" t="n"/>
    </row>
    <row r="2257">
      <c r="A2257" s="12" t="n"/>
      <c r="D2257">
        <f>IFERROR(VLOOKUP(C2257,Cadastro_Produtos!A:B,2,FALSE),"")</f>
        <v/>
      </c>
      <c r="F2257" s="12" t="n"/>
      <c r="G2257" s="13" t="n"/>
    </row>
    <row r="2258">
      <c r="A2258" s="12" t="n"/>
      <c r="D2258">
        <f>IFERROR(VLOOKUP(C2258,Cadastro_Produtos!A:B,2,FALSE),"")</f>
        <v/>
      </c>
      <c r="F2258" s="12" t="n"/>
      <c r="G2258" s="13" t="n"/>
    </row>
    <row r="2259">
      <c r="A2259" s="12" t="n"/>
      <c r="D2259">
        <f>IFERROR(VLOOKUP(C2259,Cadastro_Produtos!A:B,2,FALSE),"")</f>
        <v/>
      </c>
      <c r="F2259" s="12" t="n"/>
      <c r="G2259" s="13" t="n"/>
    </row>
    <row r="2260">
      <c r="A2260" s="12" t="n"/>
      <c r="D2260">
        <f>IFERROR(VLOOKUP(C2260,Cadastro_Produtos!A:B,2,FALSE),"")</f>
        <v/>
      </c>
      <c r="F2260" s="12" t="n"/>
      <c r="G2260" s="13" t="n"/>
    </row>
    <row r="2261">
      <c r="A2261" s="12" t="n"/>
      <c r="D2261">
        <f>IFERROR(VLOOKUP(C2261,Cadastro_Produtos!A:B,2,FALSE),"")</f>
        <v/>
      </c>
      <c r="F2261" s="12" t="n"/>
      <c r="G2261" s="13" t="n"/>
    </row>
    <row r="2262">
      <c r="A2262" s="12" t="n"/>
      <c r="D2262">
        <f>IFERROR(VLOOKUP(C2262,Cadastro_Produtos!A:B,2,FALSE),"")</f>
        <v/>
      </c>
      <c r="F2262" s="12" t="n"/>
      <c r="G2262" s="13" t="n"/>
    </row>
    <row r="2263">
      <c r="A2263" s="12" t="n"/>
      <c r="D2263">
        <f>IFERROR(VLOOKUP(C2263,Cadastro_Produtos!A:B,2,FALSE),"")</f>
        <v/>
      </c>
      <c r="F2263" s="12" t="n"/>
      <c r="G2263" s="13" t="n"/>
    </row>
    <row r="2264">
      <c r="A2264" s="12" t="n"/>
      <c r="D2264">
        <f>IFERROR(VLOOKUP(C2264,Cadastro_Produtos!A:B,2,FALSE),"")</f>
        <v/>
      </c>
      <c r="F2264" s="12" t="n"/>
      <c r="G2264" s="13" t="n"/>
    </row>
    <row r="2265">
      <c r="A2265" s="12" t="n"/>
      <c r="D2265">
        <f>IFERROR(VLOOKUP(C2265,Cadastro_Produtos!A:B,2,FALSE),"")</f>
        <v/>
      </c>
      <c r="F2265" s="12" t="n"/>
      <c r="G2265" s="13" t="n"/>
    </row>
    <row r="2266">
      <c r="A2266" s="12" t="n"/>
      <c r="D2266">
        <f>IFERROR(VLOOKUP(C2266,Cadastro_Produtos!A:B,2,FALSE),"")</f>
        <v/>
      </c>
      <c r="F2266" s="12" t="n"/>
      <c r="G2266" s="13" t="n"/>
    </row>
    <row r="2267">
      <c r="A2267" s="12" t="n"/>
      <c r="D2267">
        <f>IFERROR(VLOOKUP(C2267,Cadastro_Produtos!A:B,2,FALSE),"")</f>
        <v/>
      </c>
      <c r="F2267" s="12" t="n"/>
      <c r="G2267" s="13" t="n"/>
    </row>
    <row r="2268">
      <c r="A2268" s="12" t="n"/>
      <c r="D2268">
        <f>IFERROR(VLOOKUP(C2268,Cadastro_Produtos!A:B,2,FALSE),"")</f>
        <v/>
      </c>
      <c r="F2268" s="12" t="n"/>
      <c r="G2268" s="13" t="n"/>
    </row>
    <row r="2269">
      <c r="A2269" s="12" t="n"/>
      <c r="D2269">
        <f>IFERROR(VLOOKUP(C2269,Cadastro_Produtos!A:B,2,FALSE),"")</f>
        <v/>
      </c>
      <c r="F2269" s="12" t="n"/>
      <c r="G2269" s="13" t="n"/>
    </row>
    <row r="2270">
      <c r="A2270" s="12" t="n"/>
      <c r="D2270">
        <f>IFERROR(VLOOKUP(C2270,Cadastro_Produtos!A:B,2,FALSE),"")</f>
        <v/>
      </c>
      <c r="F2270" s="12" t="n"/>
      <c r="G2270" s="13" t="n"/>
    </row>
    <row r="2271">
      <c r="A2271" s="12" t="n"/>
      <c r="D2271">
        <f>IFERROR(VLOOKUP(C2271,Cadastro_Produtos!A:B,2,FALSE),"")</f>
        <v/>
      </c>
      <c r="F2271" s="12" t="n"/>
      <c r="G2271" s="13" t="n"/>
    </row>
    <row r="2272">
      <c r="A2272" s="12" t="n"/>
      <c r="D2272">
        <f>IFERROR(VLOOKUP(C2272,Cadastro_Produtos!A:B,2,FALSE),"")</f>
        <v/>
      </c>
      <c r="F2272" s="12" t="n"/>
      <c r="G2272" s="13" t="n"/>
    </row>
    <row r="2273">
      <c r="A2273" s="12" t="n"/>
      <c r="D2273">
        <f>IFERROR(VLOOKUP(C2273,Cadastro_Produtos!A:B,2,FALSE),"")</f>
        <v/>
      </c>
      <c r="F2273" s="12" t="n"/>
      <c r="G2273" s="13" t="n"/>
    </row>
    <row r="2274">
      <c r="A2274" s="12" t="n"/>
      <c r="D2274">
        <f>IFERROR(VLOOKUP(C2274,Cadastro_Produtos!A:B,2,FALSE),"")</f>
        <v/>
      </c>
      <c r="F2274" s="12" t="n"/>
      <c r="G2274" s="13" t="n"/>
    </row>
    <row r="2275">
      <c r="A2275" s="12" t="n"/>
      <c r="D2275">
        <f>IFERROR(VLOOKUP(C2275,Cadastro_Produtos!A:B,2,FALSE),"")</f>
        <v/>
      </c>
      <c r="F2275" s="12" t="n"/>
      <c r="G2275" s="13" t="n"/>
    </row>
    <row r="2276">
      <c r="A2276" s="12" t="n"/>
      <c r="D2276">
        <f>IFERROR(VLOOKUP(C2276,Cadastro_Produtos!A:B,2,FALSE),"")</f>
        <v/>
      </c>
      <c r="F2276" s="12" t="n"/>
      <c r="G2276" s="13" t="n"/>
    </row>
    <row r="2277">
      <c r="A2277" s="12" t="n"/>
      <c r="D2277">
        <f>IFERROR(VLOOKUP(C2277,Cadastro_Produtos!A:B,2,FALSE),"")</f>
        <v/>
      </c>
      <c r="F2277" s="12" t="n"/>
      <c r="G2277" s="13" t="n"/>
    </row>
    <row r="2278">
      <c r="A2278" s="12" t="n"/>
      <c r="D2278">
        <f>IFERROR(VLOOKUP(C2278,Cadastro_Produtos!A:B,2,FALSE),"")</f>
        <v/>
      </c>
      <c r="F2278" s="12" t="n"/>
      <c r="G2278" s="13" t="n"/>
    </row>
    <row r="2279">
      <c r="A2279" s="12" t="n"/>
      <c r="D2279">
        <f>IFERROR(VLOOKUP(C2279,Cadastro_Produtos!A:B,2,FALSE),"")</f>
        <v/>
      </c>
      <c r="F2279" s="12" t="n"/>
      <c r="G2279" s="13" t="n"/>
    </row>
    <row r="2280">
      <c r="A2280" s="12" t="n"/>
      <c r="D2280">
        <f>IFERROR(VLOOKUP(C2280,Cadastro_Produtos!A:B,2,FALSE),"")</f>
        <v/>
      </c>
      <c r="F2280" s="12" t="n"/>
      <c r="G2280" s="13" t="n"/>
    </row>
    <row r="2281">
      <c r="A2281" s="12" t="n"/>
      <c r="D2281">
        <f>IFERROR(VLOOKUP(C2281,Cadastro_Produtos!A:B,2,FALSE),"")</f>
        <v/>
      </c>
      <c r="F2281" s="12" t="n"/>
      <c r="G2281" s="13" t="n"/>
    </row>
    <row r="2282">
      <c r="A2282" s="12" t="n"/>
      <c r="D2282">
        <f>IFERROR(VLOOKUP(C2282,Cadastro_Produtos!A:B,2,FALSE),"")</f>
        <v/>
      </c>
      <c r="F2282" s="12" t="n"/>
      <c r="G2282" s="13" t="n"/>
    </row>
    <row r="2283">
      <c r="A2283" s="12" t="n"/>
      <c r="D2283">
        <f>IFERROR(VLOOKUP(C2283,Cadastro_Produtos!A:B,2,FALSE),"")</f>
        <v/>
      </c>
      <c r="F2283" s="12" t="n"/>
      <c r="G2283" s="13" t="n"/>
    </row>
    <row r="2284">
      <c r="A2284" s="12" t="n"/>
      <c r="D2284">
        <f>IFERROR(VLOOKUP(C2284,Cadastro_Produtos!A:B,2,FALSE),"")</f>
        <v/>
      </c>
      <c r="F2284" s="12" t="n"/>
      <c r="G2284" s="13" t="n"/>
    </row>
    <row r="2285">
      <c r="A2285" s="12" t="n"/>
      <c r="D2285">
        <f>IFERROR(VLOOKUP(C2285,Cadastro_Produtos!A:B,2,FALSE),"")</f>
        <v/>
      </c>
      <c r="F2285" s="12" t="n"/>
      <c r="G2285" s="13" t="n"/>
    </row>
    <row r="2286">
      <c r="A2286" s="12" t="n"/>
      <c r="D2286">
        <f>IFERROR(VLOOKUP(C2286,Cadastro_Produtos!A:B,2,FALSE),"")</f>
        <v/>
      </c>
      <c r="F2286" s="12" t="n"/>
      <c r="G2286" s="13" t="n"/>
    </row>
    <row r="2287">
      <c r="A2287" s="12" t="n"/>
      <c r="D2287">
        <f>IFERROR(VLOOKUP(C2287,Cadastro_Produtos!A:B,2,FALSE),"")</f>
        <v/>
      </c>
      <c r="F2287" s="12" t="n"/>
      <c r="G2287" s="13" t="n"/>
    </row>
    <row r="2288">
      <c r="A2288" s="12" t="n"/>
      <c r="D2288">
        <f>IFERROR(VLOOKUP(C2288,Cadastro_Produtos!A:B,2,FALSE),"")</f>
        <v/>
      </c>
      <c r="F2288" s="12" t="n"/>
      <c r="G2288" s="13" t="n"/>
    </row>
    <row r="2289">
      <c r="A2289" s="12" t="n"/>
      <c r="D2289">
        <f>IFERROR(VLOOKUP(C2289,Cadastro_Produtos!A:B,2,FALSE),"")</f>
        <v/>
      </c>
      <c r="F2289" s="12" t="n"/>
      <c r="G2289" s="13" t="n"/>
    </row>
    <row r="2290">
      <c r="A2290" s="12" t="n"/>
      <c r="D2290">
        <f>IFERROR(VLOOKUP(C2290,Cadastro_Produtos!A:B,2,FALSE),"")</f>
        <v/>
      </c>
      <c r="F2290" s="12" t="n"/>
      <c r="G2290" s="13" t="n"/>
    </row>
    <row r="2291">
      <c r="A2291" s="12" t="n"/>
      <c r="D2291">
        <f>IFERROR(VLOOKUP(C2291,Cadastro_Produtos!A:B,2,FALSE),"")</f>
        <v/>
      </c>
      <c r="F2291" s="12" t="n"/>
      <c r="G2291" s="13" t="n"/>
    </row>
    <row r="2292">
      <c r="A2292" s="12" t="n"/>
      <c r="D2292">
        <f>IFERROR(VLOOKUP(C2292,Cadastro_Produtos!A:B,2,FALSE),"")</f>
        <v/>
      </c>
      <c r="F2292" s="12" t="n"/>
      <c r="G2292" s="13" t="n"/>
    </row>
    <row r="2293">
      <c r="A2293" s="12" t="n"/>
      <c r="D2293">
        <f>IFERROR(VLOOKUP(C2293,Cadastro_Produtos!A:B,2,FALSE),"")</f>
        <v/>
      </c>
      <c r="F2293" s="12" t="n"/>
      <c r="G2293" s="13" t="n"/>
    </row>
    <row r="2294">
      <c r="A2294" s="12" t="n"/>
      <c r="D2294">
        <f>IFERROR(VLOOKUP(C2294,Cadastro_Produtos!A:B,2,FALSE),"")</f>
        <v/>
      </c>
      <c r="F2294" s="12" t="n"/>
      <c r="G2294" s="13" t="n"/>
    </row>
    <row r="2295">
      <c r="A2295" s="12" t="n"/>
      <c r="D2295">
        <f>IFERROR(VLOOKUP(C2295,Cadastro_Produtos!A:B,2,FALSE),"")</f>
        <v/>
      </c>
      <c r="F2295" s="12" t="n"/>
      <c r="G2295" s="13" t="n"/>
    </row>
    <row r="2296">
      <c r="A2296" s="12" t="n"/>
      <c r="D2296">
        <f>IFERROR(VLOOKUP(C2296,Cadastro_Produtos!A:B,2,FALSE),"")</f>
        <v/>
      </c>
      <c r="F2296" s="12" t="n"/>
      <c r="G2296" s="13" t="n"/>
    </row>
    <row r="2297">
      <c r="A2297" s="12" t="n"/>
      <c r="D2297">
        <f>IFERROR(VLOOKUP(C2297,Cadastro_Produtos!A:B,2,FALSE),"")</f>
        <v/>
      </c>
      <c r="F2297" s="12" t="n"/>
      <c r="G2297" s="13" t="n"/>
    </row>
    <row r="2298">
      <c r="A2298" s="12" t="n"/>
      <c r="D2298">
        <f>IFERROR(VLOOKUP(C2298,Cadastro_Produtos!A:B,2,FALSE),"")</f>
        <v/>
      </c>
      <c r="F2298" s="12" t="n"/>
      <c r="G2298" s="13" t="n"/>
    </row>
    <row r="2299">
      <c r="A2299" s="12" t="n"/>
      <c r="D2299">
        <f>IFERROR(VLOOKUP(C2299,Cadastro_Produtos!A:B,2,FALSE),"")</f>
        <v/>
      </c>
      <c r="F2299" s="12" t="n"/>
      <c r="G2299" s="13" t="n"/>
    </row>
    <row r="2300">
      <c r="A2300" s="12" t="n"/>
      <c r="D2300">
        <f>IFERROR(VLOOKUP(C2300,Cadastro_Produtos!A:B,2,FALSE),"")</f>
        <v/>
      </c>
      <c r="F2300" s="12" t="n"/>
      <c r="G2300" s="13" t="n"/>
    </row>
    <row r="2301">
      <c r="A2301" s="12" t="n"/>
      <c r="D2301">
        <f>IFERROR(VLOOKUP(C2301,Cadastro_Produtos!A:B,2,FALSE),"")</f>
        <v/>
      </c>
      <c r="F2301" s="12" t="n"/>
      <c r="G2301" s="13" t="n"/>
    </row>
    <row r="2302">
      <c r="A2302" s="12" t="n"/>
      <c r="D2302">
        <f>IFERROR(VLOOKUP(C2302,Cadastro_Produtos!A:B,2,FALSE),"")</f>
        <v/>
      </c>
      <c r="F2302" s="12" t="n"/>
      <c r="G2302" s="13" t="n"/>
    </row>
    <row r="2303">
      <c r="A2303" s="12" t="n"/>
      <c r="D2303">
        <f>IFERROR(VLOOKUP(C2303,Cadastro_Produtos!A:B,2,FALSE),"")</f>
        <v/>
      </c>
      <c r="F2303" s="12" t="n"/>
      <c r="G2303" s="13" t="n"/>
    </row>
    <row r="2304">
      <c r="A2304" s="12" t="n"/>
      <c r="D2304">
        <f>IFERROR(VLOOKUP(C2304,Cadastro_Produtos!A:B,2,FALSE),"")</f>
        <v/>
      </c>
      <c r="F2304" s="12" t="n"/>
      <c r="G2304" s="13" t="n"/>
    </row>
    <row r="2305">
      <c r="A2305" s="12" t="n"/>
      <c r="D2305">
        <f>IFERROR(VLOOKUP(C2305,Cadastro_Produtos!A:B,2,FALSE),"")</f>
        <v/>
      </c>
      <c r="F2305" s="12" t="n"/>
      <c r="G2305" s="13" t="n"/>
    </row>
    <row r="2306">
      <c r="A2306" s="12" t="n"/>
      <c r="D2306">
        <f>IFERROR(VLOOKUP(C2306,Cadastro_Produtos!A:B,2,FALSE),"")</f>
        <v/>
      </c>
      <c r="F2306" s="12" t="n"/>
      <c r="G2306" s="13" t="n"/>
    </row>
    <row r="2307">
      <c r="A2307" s="12" t="n"/>
      <c r="D2307">
        <f>IFERROR(VLOOKUP(C2307,Cadastro_Produtos!A:B,2,FALSE),"")</f>
        <v/>
      </c>
      <c r="F2307" s="12" t="n"/>
      <c r="G2307" s="13" t="n"/>
    </row>
    <row r="2308">
      <c r="A2308" s="12" t="n"/>
      <c r="D2308">
        <f>IFERROR(VLOOKUP(C2308,Cadastro_Produtos!A:B,2,FALSE),"")</f>
        <v/>
      </c>
      <c r="F2308" s="12" t="n"/>
      <c r="G2308" s="13" t="n"/>
    </row>
    <row r="2309">
      <c r="A2309" s="12" t="n"/>
      <c r="D2309">
        <f>IFERROR(VLOOKUP(C2309,Cadastro_Produtos!A:B,2,FALSE),"")</f>
        <v/>
      </c>
      <c r="F2309" s="12" t="n"/>
      <c r="G2309" s="13" t="n"/>
    </row>
    <row r="2310">
      <c r="A2310" s="12" t="n"/>
      <c r="D2310">
        <f>IFERROR(VLOOKUP(C2310,Cadastro_Produtos!A:B,2,FALSE),"")</f>
        <v/>
      </c>
      <c r="F2310" s="12" t="n"/>
      <c r="G2310" s="13" t="n"/>
    </row>
    <row r="2311">
      <c r="A2311" s="12" t="n"/>
      <c r="D2311">
        <f>IFERROR(VLOOKUP(C2311,Cadastro_Produtos!A:B,2,FALSE),"")</f>
        <v/>
      </c>
      <c r="F2311" s="12" t="n"/>
      <c r="G2311" s="13" t="n"/>
    </row>
    <row r="2312">
      <c r="A2312" s="12" t="n"/>
      <c r="D2312">
        <f>IFERROR(VLOOKUP(C2312,Cadastro_Produtos!A:B,2,FALSE),"")</f>
        <v/>
      </c>
      <c r="F2312" s="12" t="n"/>
      <c r="G2312" s="13" t="n"/>
    </row>
    <row r="2313">
      <c r="A2313" s="12" t="n"/>
      <c r="D2313">
        <f>IFERROR(VLOOKUP(C2313,Cadastro_Produtos!A:B,2,FALSE),"")</f>
        <v/>
      </c>
      <c r="F2313" s="12" t="n"/>
      <c r="G2313" s="13" t="n"/>
    </row>
    <row r="2314">
      <c r="A2314" s="12" t="n"/>
      <c r="D2314">
        <f>IFERROR(VLOOKUP(C2314,Cadastro_Produtos!A:B,2,FALSE),"")</f>
        <v/>
      </c>
      <c r="F2314" s="12" t="n"/>
      <c r="G2314" s="13" t="n"/>
    </row>
    <row r="2315">
      <c r="A2315" s="12" t="n"/>
      <c r="D2315">
        <f>IFERROR(VLOOKUP(C2315,Cadastro_Produtos!A:B,2,FALSE),"")</f>
        <v/>
      </c>
      <c r="F2315" s="12" t="n"/>
      <c r="G2315" s="13" t="n"/>
    </row>
    <row r="2316">
      <c r="A2316" s="12" t="n"/>
      <c r="D2316">
        <f>IFERROR(VLOOKUP(C2316,Cadastro_Produtos!A:B,2,FALSE),"")</f>
        <v/>
      </c>
      <c r="F2316" s="12" t="n"/>
      <c r="G2316" s="13" t="n"/>
    </row>
    <row r="2317">
      <c r="A2317" s="12" t="n"/>
      <c r="D2317">
        <f>IFERROR(VLOOKUP(C2317,Cadastro_Produtos!A:B,2,FALSE),"")</f>
        <v/>
      </c>
      <c r="F2317" s="12" t="n"/>
      <c r="G2317" s="13" t="n"/>
    </row>
    <row r="2318">
      <c r="A2318" s="12" t="n"/>
      <c r="D2318">
        <f>IFERROR(VLOOKUP(C2318,Cadastro_Produtos!A:B,2,FALSE),"")</f>
        <v/>
      </c>
      <c r="F2318" s="12" t="n"/>
      <c r="G2318" s="13" t="n"/>
    </row>
    <row r="2319">
      <c r="A2319" s="12" t="n"/>
      <c r="D2319">
        <f>IFERROR(VLOOKUP(C2319,Cadastro_Produtos!A:B,2,FALSE),"")</f>
        <v/>
      </c>
      <c r="F2319" s="12" t="n"/>
      <c r="G2319" s="13" t="n"/>
    </row>
    <row r="2320">
      <c r="A2320" s="12" t="n"/>
      <c r="D2320">
        <f>IFERROR(VLOOKUP(C2320,Cadastro_Produtos!A:B,2,FALSE),"")</f>
        <v/>
      </c>
      <c r="F2320" s="12" t="n"/>
      <c r="G2320" s="13" t="n"/>
    </row>
    <row r="2321">
      <c r="A2321" s="12" t="n"/>
      <c r="D2321">
        <f>IFERROR(VLOOKUP(C2321,Cadastro_Produtos!A:B,2,FALSE),"")</f>
        <v/>
      </c>
      <c r="F2321" s="12" t="n"/>
      <c r="G2321" s="13" t="n"/>
    </row>
    <row r="2322">
      <c r="A2322" s="12" t="n"/>
      <c r="D2322">
        <f>IFERROR(VLOOKUP(C2322,Cadastro_Produtos!A:B,2,FALSE),"")</f>
        <v/>
      </c>
      <c r="F2322" s="12" t="n"/>
      <c r="G2322" s="13" t="n"/>
    </row>
    <row r="2323">
      <c r="A2323" s="12" t="n"/>
      <c r="D2323">
        <f>IFERROR(VLOOKUP(C2323,Cadastro_Produtos!A:B,2,FALSE),"")</f>
        <v/>
      </c>
      <c r="F2323" s="12" t="n"/>
      <c r="G2323" s="13" t="n"/>
    </row>
    <row r="2324">
      <c r="A2324" s="12" t="n"/>
      <c r="D2324">
        <f>IFERROR(VLOOKUP(C2324,Cadastro_Produtos!A:B,2,FALSE),"")</f>
        <v/>
      </c>
      <c r="F2324" s="12" t="n"/>
      <c r="G2324" s="13" t="n"/>
    </row>
    <row r="2325">
      <c r="A2325" s="12" t="n"/>
      <c r="D2325">
        <f>IFERROR(VLOOKUP(C2325,Cadastro_Produtos!A:B,2,FALSE),"")</f>
        <v/>
      </c>
      <c r="F2325" s="12" t="n"/>
      <c r="G2325" s="13" t="n"/>
    </row>
    <row r="2326">
      <c r="A2326" s="12" t="n"/>
      <c r="D2326">
        <f>IFERROR(VLOOKUP(C2326,Cadastro_Produtos!A:B,2,FALSE),"")</f>
        <v/>
      </c>
      <c r="F2326" s="12" t="n"/>
      <c r="G2326" s="13" t="n"/>
    </row>
    <row r="2327">
      <c r="A2327" s="12" t="n"/>
      <c r="D2327">
        <f>IFERROR(VLOOKUP(C2327,Cadastro_Produtos!A:B,2,FALSE),"")</f>
        <v/>
      </c>
      <c r="F2327" s="12" t="n"/>
      <c r="G2327" s="13" t="n"/>
    </row>
    <row r="2328">
      <c r="A2328" s="12" t="n"/>
      <c r="D2328">
        <f>IFERROR(VLOOKUP(C2328,Cadastro_Produtos!A:B,2,FALSE),"")</f>
        <v/>
      </c>
      <c r="F2328" s="12" t="n"/>
      <c r="G2328" s="13" t="n"/>
    </row>
    <row r="2329">
      <c r="A2329" s="12" t="n"/>
      <c r="D2329">
        <f>IFERROR(VLOOKUP(C2329,Cadastro_Produtos!A:B,2,FALSE),"")</f>
        <v/>
      </c>
      <c r="F2329" s="12" t="n"/>
      <c r="G2329" s="13" t="n"/>
    </row>
    <row r="2330">
      <c r="A2330" s="12" t="n"/>
      <c r="D2330">
        <f>IFERROR(VLOOKUP(C2330,Cadastro_Produtos!A:B,2,FALSE),"")</f>
        <v/>
      </c>
      <c r="F2330" s="12" t="n"/>
      <c r="G2330" s="13" t="n"/>
    </row>
    <row r="2331">
      <c r="A2331" s="12" t="n"/>
      <c r="D2331">
        <f>IFERROR(VLOOKUP(C2331,Cadastro_Produtos!A:B,2,FALSE),"")</f>
        <v/>
      </c>
      <c r="F2331" s="12" t="n"/>
      <c r="G2331" s="13" t="n"/>
    </row>
    <row r="2332">
      <c r="A2332" s="12" t="n"/>
      <c r="D2332">
        <f>IFERROR(VLOOKUP(C2332,Cadastro_Produtos!A:B,2,FALSE),"")</f>
        <v/>
      </c>
      <c r="F2332" s="12" t="n"/>
      <c r="G2332" s="13" t="n"/>
    </row>
    <row r="2333">
      <c r="A2333" s="12" t="n"/>
      <c r="D2333">
        <f>IFERROR(VLOOKUP(C2333,Cadastro_Produtos!A:B,2,FALSE),"")</f>
        <v/>
      </c>
      <c r="F2333" s="12" t="n"/>
      <c r="G2333" s="13" t="n"/>
    </row>
    <row r="2334">
      <c r="A2334" s="12" t="n"/>
      <c r="D2334">
        <f>IFERROR(VLOOKUP(C2334,Cadastro_Produtos!A:B,2,FALSE),"")</f>
        <v/>
      </c>
      <c r="F2334" s="12" t="n"/>
      <c r="G2334" s="13" t="n"/>
    </row>
    <row r="2335">
      <c r="A2335" s="12" t="n"/>
      <c r="D2335">
        <f>IFERROR(VLOOKUP(C2335,Cadastro_Produtos!A:B,2,FALSE),"")</f>
        <v/>
      </c>
      <c r="F2335" s="12" t="n"/>
      <c r="G2335" s="13" t="n"/>
    </row>
    <row r="2336">
      <c r="A2336" s="12" t="n"/>
      <c r="D2336">
        <f>IFERROR(VLOOKUP(C2336,Cadastro_Produtos!A:B,2,FALSE),"")</f>
        <v/>
      </c>
      <c r="F2336" s="12" t="n"/>
      <c r="G2336" s="13" t="n"/>
    </row>
    <row r="2337">
      <c r="A2337" s="12" t="n"/>
      <c r="D2337">
        <f>IFERROR(VLOOKUP(C2337,Cadastro_Produtos!A:B,2,FALSE),"")</f>
        <v/>
      </c>
      <c r="F2337" s="12" t="n"/>
      <c r="G2337" s="13" t="n"/>
    </row>
    <row r="2338">
      <c r="A2338" s="12" t="n"/>
      <c r="D2338">
        <f>IFERROR(VLOOKUP(C2338,Cadastro_Produtos!A:B,2,FALSE),"")</f>
        <v/>
      </c>
      <c r="F2338" s="12" t="n"/>
      <c r="G2338" s="13" t="n"/>
    </row>
    <row r="2339">
      <c r="A2339" s="12" t="n"/>
      <c r="D2339">
        <f>IFERROR(VLOOKUP(C2339,Cadastro_Produtos!A:B,2,FALSE),"")</f>
        <v/>
      </c>
      <c r="F2339" s="12" t="n"/>
      <c r="G2339" s="13" t="n"/>
    </row>
    <row r="2340">
      <c r="A2340" s="12" t="n"/>
      <c r="D2340">
        <f>IFERROR(VLOOKUP(C2340,Cadastro_Produtos!A:B,2,FALSE),"")</f>
        <v/>
      </c>
      <c r="F2340" s="12" t="n"/>
      <c r="G2340" s="13" t="n"/>
    </row>
    <row r="2341">
      <c r="A2341" s="12" t="n"/>
      <c r="D2341">
        <f>IFERROR(VLOOKUP(C2341,Cadastro_Produtos!A:B,2,FALSE),"")</f>
        <v/>
      </c>
      <c r="F2341" s="12" t="n"/>
      <c r="G2341" s="13" t="n"/>
    </row>
    <row r="2342">
      <c r="A2342" s="12" t="n"/>
      <c r="D2342">
        <f>IFERROR(VLOOKUP(C2342,Cadastro_Produtos!A:B,2,FALSE),"")</f>
        <v/>
      </c>
      <c r="F2342" s="12" t="n"/>
      <c r="G2342" s="13" t="n"/>
    </row>
    <row r="2343">
      <c r="A2343" s="12" t="n"/>
      <c r="D2343">
        <f>IFERROR(VLOOKUP(C2343,Cadastro_Produtos!A:B,2,FALSE),"")</f>
        <v/>
      </c>
      <c r="F2343" s="12" t="n"/>
      <c r="G2343" s="13" t="n"/>
    </row>
    <row r="2344">
      <c r="A2344" s="12" t="n"/>
      <c r="D2344">
        <f>IFERROR(VLOOKUP(C2344,Cadastro_Produtos!A:B,2,FALSE),"")</f>
        <v/>
      </c>
      <c r="F2344" s="12" t="n"/>
      <c r="G2344" s="13" t="n"/>
    </row>
    <row r="2345">
      <c r="A2345" s="12" t="n"/>
      <c r="D2345">
        <f>IFERROR(VLOOKUP(C2345,Cadastro_Produtos!A:B,2,FALSE),"")</f>
        <v/>
      </c>
      <c r="F2345" s="12" t="n"/>
      <c r="G2345" s="13" t="n"/>
    </row>
    <row r="2346">
      <c r="A2346" s="12" t="n"/>
      <c r="D2346">
        <f>IFERROR(VLOOKUP(C2346,Cadastro_Produtos!A:B,2,FALSE),"")</f>
        <v/>
      </c>
      <c r="F2346" s="12" t="n"/>
      <c r="G2346" s="13" t="n"/>
    </row>
    <row r="2347">
      <c r="A2347" s="12" t="n"/>
      <c r="D2347">
        <f>IFERROR(VLOOKUP(C2347,Cadastro_Produtos!A:B,2,FALSE),"")</f>
        <v/>
      </c>
      <c r="F2347" s="12" t="n"/>
      <c r="G2347" s="13" t="n"/>
    </row>
    <row r="2348">
      <c r="A2348" s="12" t="n"/>
      <c r="D2348">
        <f>IFERROR(VLOOKUP(C2348,Cadastro_Produtos!A:B,2,FALSE),"")</f>
        <v/>
      </c>
      <c r="F2348" s="12" t="n"/>
      <c r="G2348" s="13" t="n"/>
    </row>
    <row r="2349">
      <c r="A2349" s="12" t="n"/>
      <c r="D2349">
        <f>IFERROR(VLOOKUP(C2349,Cadastro_Produtos!A:B,2,FALSE),"")</f>
        <v/>
      </c>
      <c r="F2349" s="12" t="n"/>
      <c r="G2349" s="13" t="n"/>
    </row>
    <row r="2350">
      <c r="A2350" s="12" t="n"/>
      <c r="D2350">
        <f>IFERROR(VLOOKUP(C2350,Cadastro_Produtos!A:B,2,FALSE),"")</f>
        <v/>
      </c>
      <c r="F2350" s="12" t="n"/>
      <c r="G2350" s="13" t="n"/>
    </row>
    <row r="2351">
      <c r="A2351" s="12" t="n"/>
      <c r="D2351">
        <f>IFERROR(VLOOKUP(C2351,Cadastro_Produtos!A:B,2,FALSE),"")</f>
        <v/>
      </c>
      <c r="F2351" s="12" t="n"/>
      <c r="G2351" s="13" t="n"/>
    </row>
    <row r="2352">
      <c r="A2352" s="12" t="n"/>
      <c r="D2352">
        <f>IFERROR(VLOOKUP(C2352,Cadastro_Produtos!A:B,2,FALSE),"")</f>
        <v/>
      </c>
      <c r="F2352" s="12" t="n"/>
      <c r="G2352" s="13" t="n"/>
    </row>
    <row r="2353">
      <c r="A2353" s="12" t="n"/>
      <c r="D2353">
        <f>IFERROR(VLOOKUP(C2353,Cadastro_Produtos!A:B,2,FALSE),"")</f>
        <v/>
      </c>
      <c r="F2353" s="12" t="n"/>
      <c r="G2353" s="13" t="n"/>
    </row>
    <row r="2354">
      <c r="A2354" s="12" t="n"/>
      <c r="D2354">
        <f>IFERROR(VLOOKUP(C2354,Cadastro_Produtos!A:B,2,FALSE),"")</f>
        <v/>
      </c>
      <c r="F2354" s="12" t="n"/>
      <c r="G2354" s="13" t="n"/>
    </row>
    <row r="2355">
      <c r="A2355" s="12" t="n"/>
      <c r="D2355">
        <f>IFERROR(VLOOKUP(C2355,Cadastro_Produtos!A:B,2,FALSE),"")</f>
        <v/>
      </c>
      <c r="F2355" s="12" t="n"/>
      <c r="G2355" s="13" t="n"/>
    </row>
    <row r="2356">
      <c r="A2356" s="12" t="n"/>
      <c r="D2356">
        <f>IFERROR(VLOOKUP(C2356,Cadastro_Produtos!A:B,2,FALSE),"")</f>
        <v/>
      </c>
      <c r="F2356" s="12" t="n"/>
      <c r="G2356" s="13" t="n"/>
    </row>
    <row r="2357">
      <c r="A2357" s="12" t="n"/>
      <c r="D2357">
        <f>IFERROR(VLOOKUP(C2357,Cadastro_Produtos!A:B,2,FALSE),"")</f>
        <v/>
      </c>
      <c r="F2357" s="12" t="n"/>
      <c r="G2357" s="13" t="n"/>
    </row>
    <row r="2358">
      <c r="A2358" s="12" t="n"/>
      <c r="D2358">
        <f>IFERROR(VLOOKUP(C2358,Cadastro_Produtos!A:B,2,FALSE),"")</f>
        <v/>
      </c>
      <c r="F2358" s="12" t="n"/>
      <c r="G2358" s="13" t="n"/>
    </row>
    <row r="2359">
      <c r="A2359" s="12" t="n"/>
      <c r="D2359">
        <f>IFERROR(VLOOKUP(C2359,Cadastro_Produtos!A:B,2,FALSE),"")</f>
        <v/>
      </c>
      <c r="F2359" s="12" t="n"/>
      <c r="G2359" s="13" t="n"/>
    </row>
    <row r="2360">
      <c r="A2360" s="12" t="n"/>
      <c r="D2360">
        <f>IFERROR(VLOOKUP(C2360,Cadastro_Produtos!A:B,2,FALSE),"")</f>
        <v/>
      </c>
      <c r="F2360" s="12" t="n"/>
      <c r="G2360" s="13" t="n"/>
    </row>
    <row r="2361">
      <c r="A2361" s="12" t="n"/>
      <c r="D2361">
        <f>IFERROR(VLOOKUP(C2361,Cadastro_Produtos!A:B,2,FALSE),"")</f>
        <v/>
      </c>
      <c r="F2361" s="12" t="n"/>
      <c r="G2361" s="13" t="n"/>
    </row>
    <row r="2362">
      <c r="A2362" s="12" t="n"/>
      <c r="D2362">
        <f>IFERROR(VLOOKUP(C2362,Cadastro_Produtos!A:B,2,FALSE),"")</f>
        <v/>
      </c>
      <c r="F2362" s="12" t="n"/>
      <c r="G2362" s="13" t="n"/>
    </row>
    <row r="2363">
      <c r="A2363" s="12" t="n"/>
      <c r="D2363">
        <f>IFERROR(VLOOKUP(C2363,Cadastro_Produtos!A:B,2,FALSE),"")</f>
        <v/>
      </c>
      <c r="F2363" s="12" t="n"/>
      <c r="G2363" s="13" t="n"/>
    </row>
    <row r="2364">
      <c r="A2364" s="12" t="n"/>
      <c r="D2364">
        <f>IFERROR(VLOOKUP(C2364,Cadastro_Produtos!A:B,2,FALSE),"")</f>
        <v/>
      </c>
      <c r="F2364" s="12" t="n"/>
      <c r="G2364" s="13" t="n"/>
    </row>
    <row r="2365">
      <c r="A2365" s="12" t="n"/>
      <c r="D2365">
        <f>IFERROR(VLOOKUP(C2365,Cadastro_Produtos!A:B,2,FALSE),"")</f>
        <v/>
      </c>
      <c r="F2365" s="12" t="n"/>
      <c r="G2365" s="13" t="n"/>
    </row>
    <row r="2366">
      <c r="A2366" s="12" t="n"/>
      <c r="D2366">
        <f>IFERROR(VLOOKUP(C2366,Cadastro_Produtos!A:B,2,FALSE),"")</f>
        <v/>
      </c>
      <c r="F2366" s="12" t="n"/>
      <c r="G2366" s="13" t="n"/>
    </row>
    <row r="2367">
      <c r="A2367" s="12" t="n"/>
      <c r="D2367">
        <f>IFERROR(VLOOKUP(C2367,Cadastro_Produtos!A:B,2,FALSE),"")</f>
        <v/>
      </c>
      <c r="F2367" s="12" t="n"/>
      <c r="G2367" s="13" t="n"/>
    </row>
    <row r="2368">
      <c r="A2368" s="12" t="n"/>
      <c r="D2368">
        <f>IFERROR(VLOOKUP(C2368,Cadastro_Produtos!A:B,2,FALSE),"")</f>
        <v/>
      </c>
      <c r="F2368" s="12" t="n"/>
      <c r="G2368" s="13" t="n"/>
    </row>
    <row r="2369">
      <c r="A2369" s="12" t="n"/>
      <c r="D2369">
        <f>IFERROR(VLOOKUP(C2369,Cadastro_Produtos!A:B,2,FALSE),"")</f>
        <v/>
      </c>
      <c r="F2369" s="12" t="n"/>
      <c r="G2369" s="13" t="n"/>
    </row>
    <row r="2370">
      <c r="A2370" s="12" t="n"/>
      <c r="D2370">
        <f>IFERROR(VLOOKUP(C2370,Cadastro_Produtos!A:B,2,FALSE),"")</f>
        <v/>
      </c>
      <c r="F2370" s="12" t="n"/>
      <c r="G2370" s="13" t="n"/>
    </row>
    <row r="2371">
      <c r="A2371" s="12" t="n"/>
      <c r="D2371">
        <f>IFERROR(VLOOKUP(C2371,Cadastro_Produtos!A:B,2,FALSE),"")</f>
        <v/>
      </c>
      <c r="F2371" s="12" t="n"/>
      <c r="G2371" s="13" t="n"/>
    </row>
    <row r="2372">
      <c r="A2372" s="12" t="n"/>
      <c r="D2372">
        <f>IFERROR(VLOOKUP(C2372,Cadastro_Produtos!A:B,2,FALSE),"")</f>
        <v/>
      </c>
      <c r="F2372" s="12" t="n"/>
      <c r="G2372" s="13" t="n"/>
    </row>
    <row r="2373">
      <c r="A2373" s="12" t="n"/>
      <c r="D2373">
        <f>IFERROR(VLOOKUP(C2373,Cadastro_Produtos!A:B,2,FALSE),"")</f>
        <v/>
      </c>
      <c r="F2373" s="12" t="n"/>
      <c r="G2373" s="13" t="n"/>
    </row>
    <row r="2374">
      <c r="A2374" s="12" t="n"/>
      <c r="D2374">
        <f>IFERROR(VLOOKUP(C2374,Cadastro_Produtos!A:B,2,FALSE),"")</f>
        <v/>
      </c>
      <c r="F2374" s="12" t="n"/>
      <c r="G2374" s="13" t="n"/>
    </row>
    <row r="2375">
      <c r="A2375" s="12" t="n"/>
      <c r="D2375">
        <f>IFERROR(VLOOKUP(C2375,Cadastro_Produtos!A:B,2,FALSE),"")</f>
        <v/>
      </c>
      <c r="F2375" s="12" t="n"/>
      <c r="G2375" s="13" t="n"/>
    </row>
    <row r="2376">
      <c r="A2376" s="12" t="n"/>
      <c r="D2376">
        <f>IFERROR(VLOOKUP(C2376,Cadastro_Produtos!A:B,2,FALSE),"")</f>
        <v/>
      </c>
      <c r="F2376" s="12" t="n"/>
      <c r="G2376" s="13" t="n"/>
    </row>
    <row r="2377">
      <c r="A2377" s="12" t="n"/>
      <c r="D2377">
        <f>IFERROR(VLOOKUP(C2377,Cadastro_Produtos!A:B,2,FALSE),"")</f>
        <v/>
      </c>
      <c r="F2377" s="12" t="n"/>
      <c r="G2377" s="13" t="n"/>
    </row>
    <row r="2378">
      <c r="A2378" s="12" t="n"/>
      <c r="D2378">
        <f>IFERROR(VLOOKUP(C2378,Cadastro_Produtos!A:B,2,FALSE),"")</f>
        <v/>
      </c>
      <c r="F2378" s="12" t="n"/>
      <c r="G2378" s="13" t="n"/>
    </row>
    <row r="2379">
      <c r="A2379" s="12" t="n"/>
      <c r="D2379">
        <f>IFERROR(VLOOKUP(C2379,Cadastro_Produtos!A:B,2,FALSE),"")</f>
        <v/>
      </c>
      <c r="F2379" s="12" t="n"/>
      <c r="G2379" s="13" t="n"/>
    </row>
    <row r="2380">
      <c r="A2380" s="12" t="n"/>
      <c r="D2380">
        <f>IFERROR(VLOOKUP(C2380,Cadastro_Produtos!A:B,2,FALSE),"")</f>
        <v/>
      </c>
      <c r="F2380" s="12" t="n"/>
      <c r="G2380" s="13" t="n"/>
    </row>
    <row r="2381">
      <c r="A2381" s="12" t="n"/>
      <c r="D2381">
        <f>IFERROR(VLOOKUP(C2381,Cadastro_Produtos!A:B,2,FALSE),"")</f>
        <v/>
      </c>
      <c r="F2381" s="12" t="n"/>
      <c r="G2381" s="13" t="n"/>
    </row>
    <row r="2382">
      <c r="A2382" s="12" t="n"/>
      <c r="D2382">
        <f>IFERROR(VLOOKUP(C2382,Cadastro_Produtos!A:B,2,FALSE),"")</f>
        <v/>
      </c>
      <c r="F2382" s="12" t="n"/>
      <c r="G2382" s="13" t="n"/>
    </row>
    <row r="2383">
      <c r="A2383" s="12" t="n"/>
      <c r="D2383">
        <f>IFERROR(VLOOKUP(C2383,Cadastro_Produtos!A:B,2,FALSE),"")</f>
        <v/>
      </c>
      <c r="F2383" s="12" t="n"/>
      <c r="G2383" s="13" t="n"/>
    </row>
    <row r="2384">
      <c r="A2384" s="12" t="n"/>
      <c r="D2384">
        <f>IFERROR(VLOOKUP(C2384,Cadastro_Produtos!A:B,2,FALSE),"")</f>
        <v/>
      </c>
      <c r="F2384" s="12" t="n"/>
      <c r="G2384" s="13" t="n"/>
    </row>
    <row r="2385">
      <c r="A2385" s="12" t="n"/>
      <c r="D2385">
        <f>IFERROR(VLOOKUP(C2385,Cadastro_Produtos!A:B,2,FALSE),"")</f>
        <v/>
      </c>
      <c r="F2385" s="12" t="n"/>
      <c r="G2385" s="13" t="n"/>
    </row>
    <row r="2386">
      <c r="A2386" s="12" t="n"/>
      <c r="D2386">
        <f>IFERROR(VLOOKUP(C2386,Cadastro_Produtos!A:B,2,FALSE),"")</f>
        <v/>
      </c>
      <c r="F2386" s="12" t="n"/>
      <c r="G2386" s="13" t="n"/>
    </row>
    <row r="2387">
      <c r="A2387" s="12" t="n"/>
      <c r="D2387">
        <f>IFERROR(VLOOKUP(C2387,Cadastro_Produtos!A:B,2,FALSE),"")</f>
        <v/>
      </c>
      <c r="F2387" s="12" t="n"/>
      <c r="G2387" s="13" t="n"/>
    </row>
    <row r="2388">
      <c r="A2388" s="12" t="n"/>
      <c r="D2388">
        <f>IFERROR(VLOOKUP(C2388,Cadastro_Produtos!A:B,2,FALSE),"")</f>
        <v/>
      </c>
      <c r="F2388" s="12" t="n"/>
      <c r="G2388" s="13" t="n"/>
    </row>
    <row r="2389">
      <c r="A2389" s="12" t="n"/>
      <c r="D2389">
        <f>IFERROR(VLOOKUP(C2389,Cadastro_Produtos!A:B,2,FALSE),"")</f>
        <v/>
      </c>
      <c r="F2389" s="12" t="n"/>
      <c r="G2389" s="13" t="n"/>
    </row>
    <row r="2390">
      <c r="A2390" s="12" t="n"/>
      <c r="D2390">
        <f>IFERROR(VLOOKUP(C2390,Cadastro_Produtos!A:B,2,FALSE),"")</f>
        <v/>
      </c>
      <c r="F2390" s="12" t="n"/>
      <c r="G2390" s="13" t="n"/>
    </row>
    <row r="2391">
      <c r="A2391" s="12" t="n"/>
      <c r="D2391">
        <f>IFERROR(VLOOKUP(C2391,Cadastro_Produtos!A:B,2,FALSE),"")</f>
        <v/>
      </c>
      <c r="F2391" s="12" t="n"/>
      <c r="G2391" s="13" t="n"/>
    </row>
    <row r="2392">
      <c r="A2392" s="12" t="n"/>
      <c r="D2392">
        <f>IFERROR(VLOOKUP(C2392,Cadastro_Produtos!A:B,2,FALSE),"")</f>
        <v/>
      </c>
      <c r="F2392" s="12" t="n"/>
      <c r="G2392" s="13" t="n"/>
    </row>
    <row r="2393">
      <c r="A2393" s="12" t="n"/>
      <c r="D2393">
        <f>IFERROR(VLOOKUP(C2393,Cadastro_Produtos!A:B,2,FALSE),"")</f>
        <v/>
      </c>
      <c r="F2393" s="12" t="n"/>
      <c r="G2393" s="13" t="n"/>
    </row>
    <row r="2394">
      <c r="A2394" s="12" t="n"/>
      <c r="D2394">
        <f>IFERROR(VLOOKUP(C2394,Cadastro_Produtos!A:B,2,FALSE),"")</f>
        <v/>
      </c>
      <c r="F2394" s="12" t="n"/>
      <c r="G2394" s="13" t="n"/>
    </row>
    <row r="2395">
      <c r="A2395" s="12" t="n"/>
      <c r="D2395">
        <f>IFERROR(VLOOKUP(C2395,Cadastro_Produtos!A:B,2,FALSE),"")</f>
        <v/>
      </c>
      <c r="F2395" s="12" t="n"/>
      <c r="G2395" s="13" t="n"/>
    </row>
    <row r="2396">
      <c r="A2396" s="12" t="n"/>
      <c r="D2396">
        <f>IFERROR(VLOOKUP(C2396,Cadastro_Produtos!A:B,2,FALSE),"")</f>
        <v/>
      </c>
      <c r="F2396" s="12" t="n"/>
      <c r="G2396" s="13" t="n"/>
    </row>
    <row r="2397">
      <c r="A2397" s="12" t="n"/>
      <c r="D2397">
        <f>IFERROR(VLOOKUP(C2397,Cadastro_Produtos!A:B,2,FALSE),"")</f>
        <v/>
      </c>
      <c r="F2397" s="12" t="n"/>
      <c r="G2397" s="13" t="n"/>
    </row>
    <row r="2398">
      <c r="A2398" s="12" t="n"/>
      <c r="D2398">
        <f>IFERROR(VLOOKUP(C2398,Cadastro_Produtos!A:B,2,FALSE),"")</f>
        <v/>
      </c>
      <c r="F2398" s="12" t="n"/>
      <c r="G2398" s="13" t="n"/>
    </row>
    <row r="2399">
      <c r="A2399" s="12" t="n"/>
      <c r="D2399">
        <f>IFERROR(VLOOKUP(C2399,Cadastro_Produtos!A:B,2,FALSE),"")</f>
        <v/>
      </c>
      <c r="F2399" s="12" t="n"/>
      <c r="G2399" s="13" t="n"/>
    </row>
    <row r="2400">
      <c r="A2400" s="12" t="n"/>
      <c r="D2400">
        <f>IFERROR(VLOOKUP(C2400,Cadastro_Produtos!A:B,2,FALSE),"")</f>
        <v/>
      </c>
      <c r="F2400" s="12" t="n"/>
      <c r="G2400" s="13" t="n"/>
    </row>
    <row r="2401">
      <c r="A2401" s="12" t="n"/>
      <c r="D2401">
        <f>IFERROR(VLOOKUP(C2401,Cadastro_Produtos!A:B,2,FALSE),"")</f>
        <v/>
      </c>
      <c r="F2401" s="12" t="n"/>
      <c r="G2401" s="13" t="n"/>
    </row>
    <row r="2402">
      <c r="A2402" s="12" t="n"/>
      <c r="D2402">
        <f>IFERROR(VLOOKUP(C2402,Cadastro_Produtos!A:B,2,FALSE),"")</f>
        <v/>
      </c>
      <c r="F2402" s="12" t="n"/>
      <c r="G2402" s="13" t="n"/>
    </row>
    <row r="2403">
      <c r="A2403" s="12" t="n"/>
      <c r="D2403">
        <f>IFERROR(VLOOKUP(C2403,Cadastro_Produtos!A:B,2,FALSE),"")</f>
        <v/>
      </c>
      <c r="F2403" s="12" t="n"/>
      <c r="G2403" s="13" t="n"/>
    </row>
    <row r="2404">
      <c r="A2404" s="12" t="n"/>
      <c r="D2404">
        <f>IFERROR(VLOOKUP(C2404,Cadastro_Produtos!A:B,2,FALSE),"")</f>
        <v/>
      </c>
      <c r="F2404" s="12" t="n"/>
      <c r="G2404" s="13" t="n"/>
    </row>
    <row r="2405">
      <c r="A2405" s="12" t="n"/>
      <c r="D2405">
        <f>IFERROR(VLOOKUP(C2405,Cadastro_Produtos!A:B,2,FALSE),"")</f>
        <v/>
      </c>
      <c r="F2405" s="12" t="n"/>
      <c r="G2405" s="13" t="n"/>
    </row>
    <row r="2406">
      <c r="A2406" s="12" t="n"/>
      <c r="D2406">
        <f>IFERROR(VLOOKUP(C2406,Cadastro_Produtos!A:B,2,FALSE),"")</f>
        <v/>
      </c>
      <c r="F2406" s="12" t="n"/>
      <c r="G2406" s="13" t="n"/>
    </row>
    <row r="2407">
      <c r="A2407" s="12" t="n"/>
      <c r="D2407">
        <f>IFERROR(VLOOKUP(C2407,Cadastro_Produtos!A:B,2,FALSE),"")</f>
        <v/>
      </c>
      <c r="F2407" s="12" t="n"/>
      <c r="G2407" s="13" t="n"/>
    </row>
    <row r="2408">
      <c r="A2408" s="12" t="n"/>
      <c r="D2408">
        <f>IFERROR(VLOOKUP(C2408,Cadastro_Produtos!A:B,2,FALSE),"")</f>
        <v/>
      </c>
      <c r="F2408" s="12" t="n"/>
      <c r="G2408" s="13" t="n"/>
    </row>
    <row r="2409">
      <c r="A2409" s="12" t="n"/>
      <c r="D2409">
        <f>IFERROR(VLOOKUP(C2409,Cadastro_Produtos!A:B,2,FALSE),"")</f>
        <v/>
      </c>
      <c r="F2409" s="12" t="n"/>
      <c r="G2409" s="13" t="n"/>
    </row>
    <row r="2410">
      <c r="A2410" s="12" t="n"/>
      <c r="D2410">
        <f>IFERROR(VLOOKUP(C2410,Cadastro_Produtos!A:B,2,FALSE),"")</f>
        <v/>
      </c>
      <c r="F2410" s="12" t="n"/>
      <c r="G2410" s="13" t="n"/>
    </row>
    <row r="2411">
      <c r="A2411" s="12" t="n"/>
      <c r="D2411">
        <f>IFERROR(VLOOKUP(C2411,Cadastro_Produtos!A:B,2,FALSE),"")</f>
        <v/>
      </c>
      <c r="F2411" s="12" t="n"/>
      <c r="G2411" s="13" t="n"/>
    </row>
    <row r="2412">
      <c r="A2412" s="12" t="n"/>
      <c r="D2412">
        <f>IFERROR(VLOOKUP(C2412,Cadastro_Produtos!A:B,2,FALSE),"")</f>
        <v/>
      </c>
      <c r="F2412" s="12" t="n"/>
      <c r="G2412" s="13" t="n"/>
    </row>
    <row r="2413">
      <c r="A2413" s="12" t="n"/>
      <c r="D2413">
        <f>IFERROR(VLOOKUP(C2413,Cadastro_Produtos!A:B,2,FALSE),"")</f>
        <v/>
      </c>
      <c r="F2413" s="12" t="n"/>
      <c r="G2413" s="13" t="n"/>
    </row>
    <row r="2414">
      <c r="A2414" s="12" t="n"/>
      <c r="D2414">
        <f>IFERROR(VLOOKUP(C2414,Cadastro_Produtos!A:B,2,FALSE),"")</f>
        <v/>
      </c>
      <c r="F2414" s="12" t="n"/>
      <c r="G2414" s="13" t="n"/>
    </row>
    <row r="2415">
      <c r="A2415" s="12" t="n"/>
      <c r="D2415">
        <f>IFERROR(VLOOKUP(C2415,Cadastro_Produtos!A:B,2,FALSE),"")</f>
        <v/>
      </c>
      <c r="F2415" s="12" t="n"/>
      <c r="G2415" s="13" t="n"/>
    </row>
    <row r="2416">
      <c r="A2416" s="12" t="n"/>
      <c r="D2416">
        <f>IFERROR(VLOOKUP(C2416,Cadastro_Produtos!A:B,2,FALSE),"")</f>
        <v/>
      </c>
      <c r="F2416" s="12" t="n"/>
      <c r="G2416" s="13" t="n"/>
    </row>
    <row r="2417">
      <c r="A2417" s="12" t="n"/>
      <c r="D2417">
        <f>IFERROR(VLOOKUP(C2417,Cadastro_Produtos!A:B,2,FALSE),"")</f>
        <v/>
      </c>
      <c r="F2417" s="12" t="n"/>
      <c r="G2417" s="13" t="n"/>
    </row>
    <row r="2418">
      <c r="A2418" s="12" t="n"/>
      <c r="D2418">
        <f>IFERROR(VLOOKUP(C2418,Cadastro_Produtos!A:B,2,FALSE),"")</f>
        <v/>
      </c>
      <c r="F2418" s="12" t="n"/>
      <c r="G2418" s="13" t="n"/>
    </row>
    <row r="2419">
      <c r="A2419" s="12" t="n"/>
      <c r="D2419">
        <f>IFERROR(VLOOKUP(C2419,Cadastro_Produtos!A:B,2,FALSE),"")</f>
        <v/>
      </c>
      <c r="F2419" s="12" t="n"/>
      <c r="G2419" s="13" t="n"/>
    </row>
    <row r="2420">
      <c r="A2420" s="12" t="n"/>
      <c r="D2420">
        <f>IFERROR(VLOOKUP(C2420,Cadastro_Produtos!A:B,2,FALSE),"")</f>
        <v/>
      </c>
      <c r="F2420" s="12" t="n"/>
      <c r="G2420" s="13" t="n"/>
    </row>
    <row r="2421">
      <c r="A2421" s="12" t="n"/>
      <c r="D2421">
        <f>IFERROR(VLOOKUP(C2421,Cadastro_Produtos!A:B,2,FALSE),"")</f>
        <v/>
      </c>
      <c r="F2421" s="12" t="n"/>
      <c r="G2421" s="13" t="n"/>
    </row>
    <row r="2422">
      <c r="A2422" s="12" t="n"/>
      <c r="D2422">
        <f>IFERROR(VLOOKUP(C2422,Cadastro_Produtos!A:B,2,FALSE),"")</f>
        <v/>
      </c>
      <c r="F2422" s="12" t="n"/>
      <c r="G2422" s="13" t="n"/>
    </row>
    <row r="2423">
      <c r="A2423" s="12" t="n"/>
      <c r="D2423">
        <f>IFERROR(VLOOKUP(C2423,Cadastro_Produtos!A:B,2,FALSE),"")</f>
        <v/>
      </c>
      <c r="F2423" s="12" t="n"/>
      <c r="G2423" s="13" t="n"/>
    </row>
    <row r="2424">
      <c r="A2424" s="12" t="n"/>
      <c r="D2424">
        <f>IFERROR(VLOOKUP(C2424,Cadastro_Produtos!A:B,2,FALSE),"")</f>
        <v/>
      </c>
      <c r="F2424" s="12" t="n"/>
      <c r="G2424" s="13" t="n"/>
    </row>
    <row r="2425">
      <c r="A2425" s="12" t="n"/>
      <c r="D2425">
        <f>IFERROR(VLOOKUP(C2425,Cadastro_Produtos!A:B,2,FALSE),"")</f>
        <v/>
      </c>
      <c r="F2425" s="12" t="n"/>
      <c r="G2425" s="13" t="n"/>
    </row>
    <row r="2426">
      <c r="A2426" s="12" t="n"/>
      <c r="D2426">
        <f>IFERROR(VLOOKUP(C2426,Cadastro_Produtos!A:B,2,FALSE),"")</f>
        <v/>
      </c>
      <c r="F2426" s="12" t="n"/>
      <c r="G2426" s="13" t="n"/>
    </row>
    <row r="2427">
      <c r="A2427" s="12" t="n"/>
      <c r="D2427">
        <f>IFERROR(VLOOKUP(C2427,Cadastro_Produtos!A:B,2,FALSE),"")</f>
        <v/>
      </c>
      <c r="F2427" s="12" t="n"/>
      <c r="G2427" s="13" t="n"/>
    </row>
    <row r="2428">
      <c r="A2428" s="12" t="n"/>
      <c r="D2428">
        <f>IFERROR(VLOOKUP(C2428,Cadastro_Produtos!A:B,2,FALSE),"")</f>
        <v/>
      </c>
      <c r="F2428" s="12" t="n"/>
      <c r="G2428" s="13" t="n"/>
    </row>
    <row r="2429">
      <c r="A2429" s="12" t="n"/>
      <c r="D2429">
        <f>IFERROR(VLOOKUP(C2429,Cadastro_Produtos!A:B,2,FALSE),"")</f>
        <v/>
      </c>
      <c r="F2429" s="12" t="n"/>
      <c r="G2429" s="13" t="n"/>
    </row>
    <row r="2430">
      <c r="A2430" s="12" t="n"/>
      <c r="D2430">
        <f>IFERROR(VLOOKUP(C2430,Cadastro_Produtos!A:B,2,FALSE),"")</f>
        <v/>
      </c>
      <c r="F2430" s="12" t="n"/>
      <c r="G2430" s="13" t="n"/>
    </row>
    <row r="2431">
      <c r="A2431" s="12" t="n"/>
      <c r="D2431">
        <f>IFERROR(VLOOKUP(C2431,Cadastro_Produtos!A:B,2,FALSE),"")</f>
        <v/>
      </c>
      <c r="F2431" s="12" t="n"/>
      <c r="G2431" s="13" t="n"/>
    </row>
    <row r="2432">
      <c r="A2432" s="12" t="n"/>
      <c r="D2432">
        <f>IFERROR(VLOOKUP(C2432,Cadastro_Produtos!A:B,2,FALSE),"")</f>
        <v/>
      </c>
      <c r="F2432" s="12" t="n"/>
      <c r="G2432" s="13" t="n"/>
    </row>
    <row r="2433">
      <c r="A2433" s="12" t="n"/>
      <c r="D2433">
        <f>IFERROR(VLOOKUP(C2433,Cadastro_Produtos!A:B,2,FALSE),"")</f>
        <v/>
      </c>
      <c r="F2433" s="12" t="n"/>
      <c r="G2433" s="13" t="n"/>
    </row>
    <row r="2434">
      <c r="A2434" s="12" t="n"/>
      <c r="D2434">
        <f>IFERROR(VLOOKUP(C2434,Cadastro_Produtos!A:B,2,FALSE),"")</f>
        <v/>
      </c>
      <c r="F2434" s="12" t="n"/>
      <c r="G2434" s="13" t="n"/>
    </row>
    <row r="2435">
      <c r="A2435" s="12" t="n"/>
      <c r="D2435">
        <f>IFERROR(VLOOKUP(C2435,Cadastro_Produtos!A:B,2,FALSE),"")</f>
        <v/>
      </c>
      <c r="F2435" s="12" t="n"/>
      <c r="G2435" s="13" t="n"/>
    </row>
    <row r="2436">
      <c r="A2436" s="12" t="n"/>
      <c r="D2436">
        <f>IFERROR(VLOOKUP(C2436,Cadastro_Produtos!A:B,2,FALSE),"")</f>
        <v/>
      </c>
      <c r="F2436" s="12" t="n"/>
      <c r="G2436" s="13" t="n"/>
    </row>
    <row r="2437">
      <c r="A2437" s="12" t="n"/>
      <c r="D2437">
        <f>IFERROR(VLOOKUP(C2437,Cadastro_Produtos!A:B,2,FALSE),"")</f>
        <v/>
      </c>
      <c r="F2437" s="12" t="n"/>
      <c r="G2437" s="13" t="n"/>
    </row>
    <row r="2438">
      <c r="A2438" s="12" t="n"/>
      <c r="D2438">
        <f>IFERROR(VLOOKUP(C2438,Cadastro_Produtos!A:B,2,FALSE),"")</f>
        <v/>
      </c>
      <c r="F2438" s="12" t="n"/>
      <c r="G2438" s="13" t="n"/>
    </row>
    <row r="2439">
      <c r="A2439" s="12" t="n"/>
      <c r="D2439">
        <f>IFERROR(VLOOKUP(C2439,Cadastro_Produtos!A:B,2,FALSE),"")</f>
        <v/>
      </c>
      <c r="F2439" s="12" t="n"/>
      <c r="G2439" s="13" t="n"/>
    </row>
    <row r="2440">
      <c r="A2440" s="12" t="n"/>
      <c r="D2440">
        <f>IFERROR(VLOOKUP(C2440,Cadastro_Produtos!A:B,2,FALSE),"")</f>
        <v/>
      </c>
      <c r="F2440" s="12" t="n"/>
      <c r="G2440" s="13" t="n"/>
    </row>
    <row r="2441">
      <c r="A2441" s="12" t="n"/>
      <c r="D2441">
        <f>IFERROR(VLOOKUP(C2441,Cadastro_Produtos!A:B,2,FALSE),"")</f>
        <v/>
      </c>
      <c r="F2441" s="12" t="n"/>
      <c r="G2441" s="13" t="n"/>
    </row>
    <row r="2442">
      <c r="A2442" s="12" t="n"/>
      <c r="D2442">
        <f>IFERROR(VLOOKUP(C2442,Cadastro_Produtos!A:B,2,FALSE),"")</f>
        <v/>
      </c>
      <c r="F2442" s="12" t="n"/>
      <c r="G2442" s="13" t="n"/>
    </row>
    <row r="2443">
      <c r="A2443" s="12" t="n"/>
      <c r="D2443">
        <f>IFERROR(VLOOKUP(C2443,Cadastro_Produtos!A:B,2,FALSE),"")</f>
        <v/>
      </c>
      <c r="F2443" s="12" t="n"/>
      <c r="G2443" s="13" t="n"/>
    </row>
    <row r="2444">
      <c r="A2444" s="12" t="n"/>
      <c r="D2444">
        <f>IFERROR(VLOOKUP(C2444,Cadastro_Produtos!A:B,2,FALSE),"")</f>
        <v/>
      </c>
      <c r="F2444" s="12" t="n"/>
      <c r="G2444" s="13" t="n"/>
    </row>
    <row r="2445">
      <c r="A2445" s="12" t="n"/>
      <c r="D2445">
        <f>IFERROR(VLOOKUP(C2445,Cadastro_Produtos!A:B,2,FALSE),"")</f>
        <v/>
      </c>
      <c r="F2445" s="12" t="n"/>
      <c r="G2445" s="13" t="n"/>
    </row>
    <row r="2446">
      <c r="A2446" s="12" t="n"/>
      <c r="D2446">
        <f>IFERROR(VLOOKUP(C2446,Cadastro_Produtos!A:B,2,FALSE),"")</f>
        <v/>
      </c>
      <c r="F2446" s="12" t="n"/>
      <c r="G2446" s="13" t="n"/>
    </row>
    <row r="2447">
      <c r="A2447" s="12" t="n"/>
      <c r="D2447">
        <f>IFERROR(VLOOKUP(C2447,Cadastro_Produtos!A:B,2,FALSE),"")</f>
        <v/>
      </c>
      <c r="F2447" s="12" t="n"/>
      <c r="G2447" s="13" t="n"/>
    </row>
    <row r="2448">
      <c r="A2448" s="12" t="n"/>
      <c r="D2448">
        <f>IFERROR(VLOOKUP(C2448,Cadastro_Produtos!A:B,2,FALSE),"")</f>
        <v/>
      </c>
      <c r="F2448" s="12" t="n"/>
      <c r="G2448" s="13" t="n"/>
    </row>
    <row r="2449">
      <c r="A2449" s="12" t="n"/>
      <c r="D2449">
        <f>IFERROR(VLOOKUP(C2449,Cadastro_Produtos!A:B,2,FALSE),"")</f>
        <v/>
      </c>
      <c r="F2449" s="12" t="n"/>
      <c r="G2449" s="13" t="n"/>
    </row>
    <row r="2450">
      <c r="A2450" s="12" t="n"/>
      <c r="D2450">
        <f>IFERROR(VLOOKUP(C2450,Cadastro_Produtos!A:B,2,FALSE),"")</f>
        <v/>
      </c>
      <c r="F2450" s="12" t="n"/>
      <c r="G2450" s="13" t="n"/>
    </row>
    <row r="2451">
      <c r="A2451" s="12" t="n"/>
      <c r="D2451">
        <f>IFERROR(VLOOKUP(C2451,Cadastro_Produtos!A:B,2,FALSE),"")</f>
        <v/>
      </c>
      <c r="F2451" s="12" t="n"/>
      <c r="G2451" s="13" t="n"/>
    </row>
    <row r="2452">
      <c r="A2452" s="12" t="n"/>
      <c r="D2452">
        <f>IFERROR(VLOOKUP(C2452,Cadastro_Produtos!A:B,2,FALSE),"")</f>
        <v/>
      </c>
      <c r="F2452" s="12" t="n"/>
      <c r="G2452" s="13" t="n"/>
    </row>
    <row r="2453">
      <c r="A2453" s="12" t="n"/>
      <c r="D2453">
        <f>IFERROR(VLOOKUP(C2453,Cadastro_Produtos!A:B,2,FALSE),"")</f>
        <v/>
      </c>
      <c r="F2453" s="12" t="n"/>
      <c r="G2453" s="13" t="n"/>
    </row>
    <row r="2454">
      <c r="A2454" s="12" t="n"/>
      <c r="D2454">
        <f>IFERROR(VLOOKUP(C2454,Cadastro_Produtos!A:B,2,FALSE),"")</f>
        <v/>
      </c>
      <c r="F2454" s="12" t="n"/>
      <c r="G2454" s="13" t="n"/>
    </row>
    <row r="2455">
      <c r="A2455" s="12" t="n"/>
      <c r="D2455">
        <f>IFERROR(VLOOKUP(C2455,Cadastro_Produtos!A:B,2,FALSE),"")</f>
        <v/>
      </c>
      <c r="F2455" s="12" t="n"/>
      <c r="G2455" s="13" t="n"/>
    </row>
    <row r="2456">
      <c r="A2456" s="12" t="n"/>
      <c r="D2456">
        <f>IFERROR(VLOOKUP(C2456,Cadastro_Produtos!A:B,2,FALSE),"")</f>
        <v/>
      </c>
      <c r="F2456" s="12" t="n"/>
      <c r="G2456" s="13" t="n"/>
    </row>
    <row r="2457">
      <c r="A2457" s="12" t="n"/>
      <c r="D2457">
        <f>IFERROR(VLOOKUP(C2457,Cadastro_Produtos!A:B,2,FALSE),"")</f>
        <v/>
      </c>
      <c r="F2457" s="12" t="n"/>
      <c r="G2457" s="13" t="n"/>
    </row>
    <row r="2458">
      <c r="A2458" s="12" t="n"/>
      <c r="D2458">
        <f>IFERROR(VLOOKUP(C2458,Cadastro_Produtos!A:B,2,FALSE),"")</f>
        <v/>
      </c>
      <c r="F2458" s="12" t="n"/>
      <c r="G2458" s="13" t="n"/>
    </row>
    <row r="2459">
      <c r="A2459" s="12" t="n"/>
      <c r="D2459">
        <f>IFERROR(VLOOKUP(C2459,Cadastro_Produtos!A:B,2,FALSE),"")</f>
        <v/>
      </c>
      <c r="F2459" s="12" t="n"/>
      <c r="G2459" s="13" t="n"/>
    </row>
    <row r="2460">
      <c r="A2460" s="12" t="n"/>
      <c r="D2460">
        <f>IFERROR(VLOOKUP(C2460,Cadastro_Produtos!A:B,2,FALSE),"")</f>
        <v/>
      </c>
      <c r="F2460" s="12" t="n"/>
      <c r="G2460" s="13" t="n"/>
    </row>
    <row r="2461">
      <c r="A2461" s="12" t="n"/>
      <c r="D2461">
        <f>IFERROR(VLOOKUP(C2461,Cadastro_Produtos!A:B,2,FALSE),"")</f>
        <v/>
      </c>
      <c r="F2461" s="12" t="n"/>
      <c r="G2461" s="13" t="n"/>
    </row>
    <row r="2462">
      <c r="A2462" s="12" t="n"/>
      <c r="D2462">
        <f>IFERROR(VLOOKUP(C2462,Cadastro_Produtos!A:B,2,FALSE),"")</f>
        <v/>
      </c>
      <c r="F2462" s="12" t="n"/>
      <c r="G2462" s="13" t="n"/>
    </row>
    <row r="2463">
      <c r="A2463" s="12" t="n"/>
      <c r="D2463">
        <f>IFERROR(VLOOKUP(C2463,Cadastro_Produtos!A:B,2,FALSE),"")</f>
        <v/>
      </c>
      <c r="F2463" s="12" t="n"/>
      <c r="G2463" s="13" t="n"/>
    </row>
    <row r="2464">
      <c r="A2464" s="12" t="n"/>
      <c r="D2464">
        <f>IFERROR(VLOOKUP(C2464,Cadastro_Produtos!A:B,2,FALSE),"")</f>
        <v/>
      </c>
      <c r="F2464" s="12" t="n"/>
      <c r="G2464" s="13" t="n"/>
    </row>
    <row r="2465">
      <c r="A2465" s="12" t="n"/>
      <c r="D2465">
        <f>IFERROR(VLOOKUP(C2465,Cadastro_Produtos!A:B,2,FALSE),"")</f>
        <v/>
      </c>
      <c r="F2465" s="12" t="n"/>
      <c r="G2465" s="13" t="n"/>
    </row>
    <row r="2466">
      <c r="A2466" s="12" t="n"/>
      <c r="D2466">
        <f>IFERROR(VLOOKUP(C2466,Cadastro_Produtos!A:B,2,FALSE),"")</f>
        <v/>
      </c>
      <c r="F2466" s="12" t="n"/>
      <c r="G2466" s="13" t="n"/>
    </row>
    <row r="2467">
      <c r="A2467" s="12" t="n"/>
      <c r="D2467">
        <f>IFERROR(VLOOKUP(C2467,Cadastro_Produtos!A:B,2,FALSE),"")</f>
        <v/>
      </c>
      <c r="F2467" s="12" t="n"/>
      <c r="G2467" s="13" t="n"/>
    </row>
    <row r="2468">
      <c r="A2468" s="12" t="n"/>
      <c r="D2468">
        <f>IFERROR(VLOOKUP(C2468,Cadastro_Produtos!A:B,2,FALSE),"")</f>
        <v/>
      </c>
      <c r="F2468" s="12" t="n"/>
      <c r="G2468" s="13" t="n"/>
    </row>
    <row r="2469">
      <c r="A2469" s="12" t="n"/>
      <c r="D2469">
        <f>IFERROR(VLOOKUP(C2469,Cadastro_Produtos!A:B,2,FALSE),"")</f>
        <v/>
      </c>
      <c r="F2469" s="12" t="n"/>
      <c r="G2469" s="13" t="n"/>
    </row>
    <row r="2470">
      <c r="A2470" s="12" t="n"/>
      <c r="D2470">
        <f>IFERROR(VLOOKUP(C2470,Cadastro_Produtos!A:B,2,FALSE),"")</f>
        <v/>
      </c>
      <c r="F2470" s="12" t="n"/>
      <c r="G2470" s="13" t="n"/>
    </row>
    <row r="2471">
      <c r="A2471" s="12" t="n"/>
      <c r="D2471">
        <f>IFERROR(VLOOKUP(C2471,Cadastro_Produtos!A:B,2,FALSE),"")</f>
        <v/>
      </c>
      <c r="F2471" s="12" t="n"/>
      <c r="G2471" s="13" t="n"/>
    </row>
    <row r="2472">
      <c r="A2472" s="12" t="n"/>
      <c r="D2472">
        <f>IFERROR(VLOOKUP(C2472,Cadastro_Produtos!A:B,2,FALSE),"")</f>
        <v/>
      </c>
      <c r="F2472" s="12" t="n"/>
      <c r="G2472" s="13" t="n"/>
    </row>
    <row r="2473">
      <c r="A2473" s="12" t="n"/>
      <c r="D2473">
        <f>IFERROR(VLOOKUP(C2473,Cadastro_Produtos!A:B,2,FALSE),"")</f>
        <v/>
      </c>
      <c r="F2473" s="12" t="n"/>
      <c r="G2473" s="13" t="n"/>
    </row>
    <row r="2474">
      <c r="A2474" s="12" t="n"/>
      <c r="D2474">
        <f>IFERROR(VLOOKUP(C2474,Cadastro_Produtos!A:B,2,FALSE),"")</f>
        <v/>
      </c>
      <c r="F2474" s="12" t="n"/>
      <c r="G2474" s="13" t="n"/>
    </row>
    <row r="2475">
      <c r="A2475" s="12" t="n"/>
      <c r="D2475">
        <f>IFERROR(VLOOKUP(C2475,Cadastro_Produtos!A:B,2,FALSE),"")</f>
        <v/>
      </c>
      <c r="F2475" s="12" t="n"/>
      <c r="G2475" s="13" t="n"/>
    </row>
    <row r="2476">
      <c r="A2476" s="12" t="n"/>
      <c r="D2476">
        <f>IFERROR(VLOOKUP(C2476,Cadastro_Produtos!A:B,2,FALSE),"")</f>
        <v/>
      </c>
      <c r="F2476" s="12" t="n"/>
      <c r="G2476" s="13" t="n"/>
    </row>
    <row r="2477">
      <c r="A2477" s="12" t="n"/>
      <c r="D2477">
        <f>IFERROR(VLOOKUP(C2477,Cadastro_Produtos!A:B,2,FALSE),"")</f>
        <v/>
      </c>
      <c r="F2477" s="12" t="n"/>
      <c r="G2477" s="13" t="n"/>
    </row>
    <row r="2478">
      <c r="A2478" s="12" t="n"/>
      <c r="D2478">
        <f>IFERROR(VLOOKUP(C2478,Cadastro_Produtos!A:B,2,FALSE),"")</f>
        <v/>
      </c>
      <c r="F2478" s="12" t="n"/>
      <c r="G2478" s="13" t="n"/>
    </row>
    <row r="2479">
      <c r="A2479" s="12" t="n"/>
      <c r="D2479">
        <f>IFERROR(VLOOKUP(C2479,Cadastro_Produtos!A:B,2,FALSE),"")</f>
        <v/>
      </c>
      <c r="F2479" s="12" t="n"/>
      <c r="G2479" s="13" t="n"/>
    </row>
    <row r="2480">
      <c r="A2480" s="12" t="n"/>
      <c r="D2480">
        <f>IFERROR(VLOOKUP(C2480,Cadastro_Produtos!A:B,2,FALSE),"")</f>
        <v/>
      </c>
      <c r="F2480" s="12" t="n"/>
      <c r="G2480" s="13" t="n"/>
    </row>
    <row r="2481">
      <c r="A2481" s="12" t="n"/>
      <c r="D2481">
        <f>IFERROR(VLOOKUP(C2481,Cadastro_Produtos!A:B,2,FALSE),"")</f>
        <v/>
      </c>
      <c r="F2481" s="12" t="n"/>
      <c r="G2481" s="13" t="n"/>
    </row>
    <row r="2482">
      <c r="A2482" s="12" t="n"/>
      <c r="D2482">
        <f>IFERROR(VLOOKUP(C2482,Cadastro_Produtos!A:B,2,FALSE),"")</f>
        <v/>
      </c>
      <c r="F2482" s="12" t="n"/>
      <c r="G2482" s="13" t="n"/>
    </row>
    <row r="2483">
      <c r="A2483" s="12" t="n"/>
      <c r="D2483">
        <f>IFERROR(VLOOKUP(C2483,Cadastro_Produtos!A:B,2,FALSE),"")</f>
        <v/>
      </c>
      <c r="F2483" s="12" t="n"/>
      <c r="G2483" s="13" t="n"/>
    </row>
    <row r="2484">
      <c r="A2484" s="12" t="n"/>
      <c r="D2484">
        <f>IFERROR(VLOOKUP(C2484,Cadastro_Produtos!A:B,2,FALSE),"")</f>
        <v/>
      </c>
      <c r="F2484" s="12" t="n"/>
      <c r="G2484" s="13" t="n"/>
    </row>
    <row r="2485">
      <c r="A2485" s="12" t="n"/>
      <c r="D2485">
        <f>IFERROR(VLOOKUP(C2485,Cadastro_Produtos!A:B,2,FALSE),"")</f>
        <v/>
      </c>
      <c r="F2485" s="12" t="n"/>
      <c r="G2485" s="13" t="n"/>
    </row>
    <row r="2486">
      <c r="A2486" s="12" t="n"/>
      <c r="D2486">
        <f>IFERROR(VLOOKUP(C2486,Cadastro_Produtos!A:B,2,FALSE),"")</f>
        <v/>
      </c>
      <c r="F2486" s="12" t="n"/>
      <c r="G2486" s="13" t="n"/>
    </row>
    <row r="2487">
      <c r="A2487" s="12" t="n"/>
      <c r="D2487">
        <f>IFERROR(VLOOKUP(C2487,Cadastro_Produtos!A:B,2,FALSE),"")</f>
        <v/>
      </c>
      <c r="F2487" s="12" t="n"/>
      <c r="G2487" s="13" t="n"/>
    </row>
    <row r="2488">
      <c r="A2488" s="12" t="n"/>
      <c r="D2488">
        <f>IFERROR(VLOOKUP(C2488,Cadastro_Produtos!A:B,2,FALSE),"")</f>
        <v/>
      </c>
      <c r="F2488" s="12" t="n"/>
      <c r="G2488" s="13" t="n"/>
    </row>
    <row r="2489">
      <c r="A2489" s="12" t="n"/>
      <c r="D2489">
        <f>IFERROR(VLOOKUP(C2489,Cadastro_Produtos!A:B,2,FALSE),"")</f>
        <v/>
      </c>
      <c r="F2489" s="12" t="n"/>
      <c r="G2489" s="13" t="n"/>
    </row>
    <row r="2490">
      <c r="A2490" s="12" t="n"/>
      <c r="D2490">
        <f>IFERROR(VLOOKUP(C2490,Cadastro_Produtos!A:B,2,FALSE),"")</f>
        <v/>
      </c>
      <c r="F2490" s="12" t="n"/>
      <c r="G2490" s="13" t="n"/>
    </row>
    <row r="2491">
      <c r="A2491" s="12" t="n"/>
      <c r="D2491">
        <f>IFERROR(VLOOKUP(C2491,Cadastro_Produtos!A:B,2,FALSE),"")</f>
        <v/>
      </c>
      <c r="F2491" s="12" t="n"/>
      <c r="G2491" s="13" t="n"/>
    </row>
    <row r="2492">
      <c r="A2492" s="12" t="n"/>
      <c r="D2492">
        <f>IFERROR(VLOOKUP(C2492,Cadastro_Produtos!A:B,2,FALSE),"")</f>
        <v/>
      </c>
      <c r="F2492" s="12" t="n"/>
      <c r="G2492" s="13" t="n"/>
    </row>
    <row r="2493">
      <c r="A2493" s="12" t="n"/>
      <c r="D2493">
        <f>IFERROR(VLOOKUP(C2493,Cadastro_Produtos!A:B,2,FALSE),"")</f>
        <v/>
      </c>
      <c r="F2493" s="12" t="n"/>
      <c r="G2493" s="13" t="n"/>
    </row>
    <row r="2494">
      <c r="A2494" s="12" t="n"/>
      <c r="D2494">
        <f>IFERROR(VLOOKUP(C2494,Cadastro_Produtos!A:B,2,FALSE),"")</f>
        <v/>
      </c>
      <c r="F2494" s="12" t="n"/>
      <c r="G2494" s="13" t="n"/>
    </row>
    <row r="2495">
      <c r="A2495" s="12" t="n"/>
      <c r="D2495">
        <f>IFERROR(VLOOKUP(C2495,Cadastro_Produtos!A:B,2,FALSE),"")</f>
        <v/>
      </c>
      <c r="F2495" s="12" t="n"/>
      <c r="G2495" s="13" t="n"/>
    </row>
    <row r="2496">
      <c r="A2496" s="12" t="n"/>
      <c r="D2496">
        <f>IFERROR(VLOOKUP(C2496,Cadastro_Produtos!A:B,2,FALSE),"")</f>
        <v/>
      </c>
      <c r="F2496" s="12" t="n"/>
      <c r="G2496" s="13" t="n"/>
    </row>
    <row r="2497">
      <c r="A2497" s="12" t="n"/>
      <c r="D2497">
        <f>IFERROR(VLOOKUP(C2497,Cadastro_Produtos!A:B,2,FALSE),"")</f>
        <v/>
      </c>
      <c r="F2497" s="12" t="n"/>
      <c r="G2497" s="13" t="n"/>
    </row>
    <row r="2498">
      <c r="A2498" s="12" t="n"/>
      <c r="D2498">
        <f>IFERROR(VLOOKUP(C2498,Cadastro_Produtos!A:B,2,FALSE),"")</f>
        <v/>
      </c>
      <c r="F2498" s="12" t="n"/>
      <c r="G2498" s="13" t="n"/>
    </row>
    <row r="2499">
      <c r="A2499" s="12" t="n"/>
      <c r="D2499">
        <f>IFERROR(VLOOKUP(C2499,Cadastro_Produtos!A:B,2,FALSE),"")</f>
        <v/>
      </c>
      <c r="F2499" s="12" t="n"/>
      <c r="G2499" s="13" t="n"/>
    </row>
    <row r="2500">
      <c r="A2500" s="12" t="n"/>
      <c r="D2500">
        <f>IFERROR(VLOOKUP(C2500,Cadastro_Produtos!A:B,2,FALSE),"")</f>
        <v/>
      </c>
      <c r="F2500" s="12" t="n"/>
      <c r="G2500" s="13" t="n"/>
    </row>
    <row r="2501">
      <c r="A2501" s="12" t="n"/>
      <c r="D2501">
        <f>IFERROR(VLOOKUP(C2501,Cadastro_Produtos!A:B,2,FALSE),"")</f>
        <v/>
      </c>
      <c r="F2501" s="12" t="n"/>
      <c r="G2501" s="13" t="n"/>
    </row>
    <row r="2502">
      <c r="A2502" s="12" t="n"/>
      <c r="D2502">
        <f>IFERROR(VLOOKUP(C2502,Cadastro_Produtos!A:B,2,FALSE),"")</f>
        <v/>
      </c>
      <c r="F2502" s="12" t="n"/>
      <c r="G2502" s="13" t="n"/>
    </row>
    <row r="2503">
      <c r="A2503" s="12" t="n"/>
      <c r="D2503">
        <f>IFERROR(VLOOKUP(C2503,Cadastro_Produtos!A:B,2,FALSE),"")</f>
        <v/>
      </c>
      <c r="F2503" s="12" t="n"/>
      <c r="G2503" s="13" t="n"/>
    </row>
    <row r="2504">
      <c r="A2504" s="12" t="n"/>
      <c r="D2504">
        <f>IFERROR(VLOOKUP(C2504,Cadastro_Produtos!A:B,2,FALSE),"")</f>
        <v/>
      </c>
      <c r="F2504" s="12" t="n"/>
      <c r="G2504" s="13" t="n"/>
    </row>
    <row r="2505">
      <c r="A2505" s="12" t="n"/>
      <c r="D2505">
        <f>IFERROR(VLOOKUP(C2505,Cadastro_Produtos!A:B,2,FALSE),"")</f>
        <v/>
      </c>
      <c r="F2505" s="12" t="n"/>
      <c r="G2505" s="13" t="n"/>
    </row>
    <row r="2506">
      <c r="A2506" s="12" t="n"/>
      <c r="D2506">
        <f>IFERROR(VLOOKUP(C2506,Cadastro_Produtos!A:B,2,FALSE),"")</f>
        <v/>
      </c>
      <c r="F2506" s="12" t="n"/>
      <c r="G2506" s="13" t="n"/>
    </row>
    <row r="2507">
      <c r="A2507" s="12" t="n"/>
      <c r="D2507">
        <f>IFERROR(VLOOKUP(C2507,Cadastro_Produtos!A:B,2,FALSE),"")</f>
        <v/>
      </c>
      <c r="F2507" s="12" t="n"/>
      <c r="G2507" s="13" t="n"/>
    </row>
    <row r="2508">
      <c r="A2508" s="12" t="n"/>
      <c r="D2508">
        <f>IFERROR(VLOOKUP(C2508,Cadastro_Produtos!A:B,2,FALSE),"")</f>
        <v/>
      </c>
      <c r="F2508" s="12" t="n"/>
      <c r="G2508" s="13" t="n"/>
    </row>
    <row r="2509">
      <c r="A2509" s="12" t="n"/>
      <c r="D2509">
        <f>IFERROR(VLOOKUP(C2509,Cadastro_Produtos!A:B,2,FALSE),"")</f>
        <v/>
      </c>
      <c r="F2509" s="12" t="n"/>
      <c r="G2509" s="13" t="n"/>
    </row>
    <row r="2510">
      <c r="A2510" s="12" t="n"/>
      <c r="D2510">
        <f>IFERROR(VLOOKUP(C2510,Cadastro_Produtos!A:B,2,FALSE),"")</f>
        <v/>
      </c>
      <c r="F2510" s="12" t="n"/>
      <c r="G2510" s="13" t="n"/>
    </row>
    <row r="2511">
      <c r="A2511" s="12" t="n"/>
      <c r="D2511">
        <f>IFERROR(VLOOKUP(C2511,Cadastro_Produtos!A:B,2,FALSE),"")</f>
        <v/>
      </c>
      <c r="F2511" s="12" t="n"/>
      <c r="G2511" s="13" t="n"/>
    </row>
    <row r="2512">
      <c r="A2512" s="12" t="n"/>
      <c r="D2512">
        <f>IFERROR(VLOOKUP(C2512,Cadastro_Produtos!A:B,2,FALSE),"")</f>
        <v/>
      </c>
      <c r="F2512" s="12" t="n"/>
      <c r="G2512" s="13" t="n"/>
    </row>
    <row r="2513">
      <c r="A2513" s="12" t="n"/>
      <c r="D2513">
        <f>IFERROR(VLOOKUP(C2513,Cadastro_Produtos!A:B,2,FALSE),"")</f>
        <v/>
      </c>
      <c r="F2513" s="12" t="n"/>
      <c r="G2513" s="13" t="n"/>
    </row>
    <row r="2514">
      <c r="A2514" s="12" t="n"/>
      <c r="D2514">
        <f>IFERROR(VLOOKUP(C2514,Cadastro_Produtos!A:B,2,FALSE),"")</f>
        <v/>
      </c>
      <c r="F2514" s="12" t="n"/>
      <c r="G2514" s="13" t="n"/>
    </row>
    <row r="2515">
      <c r="A2515" s="12" t="n"/>
      <c r="D2515">
        <f>IFERROR(VLOOKUP(C2515,Cadastro_Produtos!A:B,2,FALSE),"")</f>
        <v/>
      </c>
      <c r="F2515" s="12" t="n"/>
      <c r="G2515" s="13" t="n"/>
    </row>
    <row r="2516">
      <c r="A2516" s="12" t="n"/>
      <c r="D2516">
        <f>IFERROR(VLOOKUP(C2516,Cadastro_Produtos!A:B,2,FALSE),"")</f>
        <v/>
      </c>
      <c r="F2516" s="12" t="n"/>
      <c r="G2516" s="13" t="n"/>
    </row>
    <row r="2517">
      <c r="A2517" s="12" t="n"/>
      <c r="D2517">
        <f>IFERROR(VLOOKUP(C2517,Cadastro_Produtos!A:B,2,FALSE),"")</f>
        <v/>
      </c>
      <c r="F2517" s="12" t="n"/>
      <c r="G2517" s="13" t="n"/>
    </row>
    <row r="2518">
      <c r="A2518" s="12" t="n"/>
      <c r="D2518">
        <f>IFERROR(VLOOKUP(C2518,Cadastro_Produtos!A:B,2,FALSE),"")</f>
        <v/>
      </c>
      <c r="F2518" s="12" t="n"/>
      <c r="G2518" s="13" t="n"/>
    </row>
    <row r="2519">
      <c r="A2519" s="12" t="n"/>
      <c r="D2519">
        <f>IFERROR(VLOOKUP(C2519,Cadastro_Produtos!A:B,2,FALSE),"")</f>
        <v/>
      </c>
      <c r="F2519" s="12" t="n"/>
      <c r="G2519" s="13" t="n"/>
    </row>
    <row r="2520">
      <c r="A2520" s="12" t="n"/>
      <c r="D2520">
        <f>IFERROR(VLOOKUP(C2520,Cadastro_Produtos!A:B,2,FALSE),"")</f>
        <v/>
      </c>
      <c r="F2520" s="12" t="n"/>
      <c r="G2520" s="13" t="n"/>
    </row>
    <row r="2521">
      <c r="A2521" s="12" t="n"/>
      <c r="D2521">
        <f>IFERROR(VLOOKUP(C2521,Cadastro_Produtos!A:B,2,FALSE),"")</f>
        <v/>
      </c>
      <c r="F2521" s="12" t="n"/>
      <c r="G2521" s="13" t="n"/>
    </row>
    <row r="2522">
      <c r="A2522" s="12" t="n"/>
      <c r="D2522">
        <f>IFERROR(VLOOKUP(C2522,Cadastro_Produtos!A:B,2,FALSE),"")</f>
        <v/>
      </c>
      <c r="F2522" s="12" t="n"/>
      <c r="G2522" s="13" t="n"/>
    </row>
    <row r="2523">
      <c r="A2523" s="12" t="n"/>
      <c r="D2523">
        <f>IFERROR(VLOOKUP(C2523,Cadastro_Produtos!A:B,2,FALSE),"")</f>
        <v/>
      </c>
      <c r="F2523" s="12" t="n"/>
      <c r="G2523" s="13" t="n"/>
    </row>
    <row r="2524">
      <c r="A2524" s="12" t="n"/>
      <c r="D2524">
        <f>IFERROR(VLOOKUP(C2524,Cadastro_Produtos!A:B,2,FALSE),"")</f>
        <v/>
      </c>
      <c r="F2524" s="12" t="n"/>
      <c r="G2524" s="13" t="n"/>
    </row>
    <row r="2525">
      <c r="A2525" s="12" t="n"/>
      <c r="D2525">
        <f>IFERROR(VLOOKUP(C2525,Cadastro_Produtos!A:B,2,FALSE),"")</f>
        <v/>
      </c>
      <c r="F2525" s="12" t="n"/>
      <c r="G2525" s="13" t="n"/>
    </row>
    <row r="2526">
      <c r="A2526" s="12" t="n"/>
      <c r="D2526">
        <f>IFERROR(VLOOKUP(C2526,Cadastro_Produtos!A:B,2,FALSE),"")</f>
        <v/>
      </c>
      <c r="F2526" s="12" t="n"/>
      <c r="G2526" s="13" t="n"/>
    </row>
    <row r="2527">
      <c r="A2527" s="12" t="n"/>
      <c r="D2527">
        <f>IFERROR(VLOOKUP(C2527,Cadastro_Produtos!A:B,2,FALSE),"")</f>
        <v/>
      </c>
      <c r="F2527" s="12" t="n"/>
      <c r="G2527" s="13" t="n"/>
    </row>
    <row r="2528">
      <c r="A2528" s="12" t="n"/>
      <c r="D2528">
        <f>IFERROR(VLOOKUP(C2528,Cadastro_Produtos!A:B,2,FALSE),"")</f>
        <v/>
      </c>
      <c r="F2528" s="12" t="n"/>
      <c r="G2528" s="13" t="n"/>
    </row>
    <row r="2529">
      <c r="A2529" s="12" t="n"/>
      <c r="D2529">
        <f>IFERROR(VLOOKUP(C2529,Cadastro_Produtos!A:B,2,FALSE),"")</f>
        <v/>
      </c>
      <c r="F2529" s="12" t="n"/>
      <c r="G2529" s="13" t="n"/>
    </row>
    <row r="2530">
      <c r="A2530" s="12" t="n"/>
      <c r="D2530">
        <f>IFERROR(VLOOKUP(C2530,Cadastro_Produtos!A:B,2,FALSE),"")</f>
        <v/>
      </c>
      <c r="F2530" s="12" t="n"/>
      <c r="G2530" s="13" t="n"/>
    </row>
    <row r="2531">
      <c r="A2531" s="12" t="n"/>
      <c r="D2531">
        <f>IFERROR(VLOOKUP(C2531,Cadastro_Produtos!A:B,2,FALSE),"")</f>
        <v/>
      </c>
      <c r="F2531" s="12" t="n"/>
      <c r="G2531" s="13" t="n"/>
    </row>
    <row r="2532">
      <c r="A2532" s="12" t="n"/>
      <c r="D2532">
        <f>IFERROR(VLOOKUP(C2532,Cadastro_Produtos!A:B,2,FALSE),"")</f>
        <v/>
      </c>
      <c r="F2532" s="12" t="n"/>
      <c r="G2532" s="13" t="n"/>
    </row>
    <row r="2533">
      <c r="A2533" s="12" t="n"/>
      <c r="D2533">
        <f>IFERROR(VLOOKUP(C2533,Cadastro_Produtos!A:B,2,FALSE),"")</f>
        <v/>
      </c>
      <c r="F2533" s="12" t="n"/>
      <c r="G2533" s="13" t="n"/>
    </row>
    <row r="2534">
      <c r="A2534" s="12" t="n"/>
      <c r="D2534">
        <f>IFERROR(VLOOKUP(C2534,Cadastro_Produtos!A:B,2,FALSE),"")</f>
        <v/>
      </c>
      <c r="F2534" s="12" t="n"/>
      <c r="G2534" s="13" t="n"/>
    </row>
    <row r="2535">
      <c r="A2535" s="12" t="n"/>
      <c r="D2535">
        <f>IFERROR(VLOOKUP(C2535,Cadastro_Produtos!A:B,2,FALSE),"")</f>
        <v/>
      </c>
      <c r="F2535" s="12" t="n"/>
      <c r="G2535" s="13" t="n"/>
    </row>
    <row r="2536">
      <c r="A2536" s="12" t="n"/>
      <c r="D2536">
        <f>IFERROR(VLOOKUP(C2536,Cadastro_Produtos!A:B,2,FALSE),"")</f>
        <v/>
      </c>
      <c r="F2536" s="12" t="n"/>
      <c r="G2536" s="13" t="n"/>
    </row>
    <row r="2537">
      <c r="A2537" s="12" t="n"/>
      <c r="D2537">
        <f>IFERROR(VLOOKUP(C2537,Cadastro_Produtos!A:B,2,FALSE),"")</f>
        <v/>
      </c>
      <c r="F2537" s="12" t="n"/>
      <c r="G2537" s="13" t="n"/>
    </row>
    <row r="2538">
      <c r="A2538" s="12" t="n"/>
      <c r="D2538">
        <f>IFERROR(VLOOKUP(C2538,Cadastro_Produtos!A:B,2,FALSE),"")</f>
        <v/>
      </c>
      <c r="F2538" s="12" t="n"/>
      <c r="G2538" s="13" t="n"/>
    </row>
    <row r="2539">
      <c r="A2539" s="12" t="n"/>
      <c r="D2539">
        <f>IFERROR(VLOOKUP(C2539,Cadastro_Produtos!A:B,2,FALSE),"")</f>
        <v/>
      </c>
      <c r="F2539" s="12" t="n"/>
      <c r="G2539" s="13" t="n"/>
    </row>
    <row r="2540">
      <c r="A2540" s="12" t="n"/>
      <c r="D2540">
        <f>IFERROR(VLOOKUP(C2540,Cadastro_Produtos!A:B,2,FALSE),"")</f>
        <v/>
      </c>
      <c r="F2540" s="12" t="n"/>
      <c r="G2540" s="13" t="n"/>
    </row>
    <row r="2541">
      <c r="A2541" s="12" t="n"/>
      <c r="D2541">
        <f>IFERROR(VLOOKUP(C2541,Cadastro_Produtos!A:B,2,FALSE),"")</f>
        <v/>
      </c>
      <c r="F2541" s="12" t="n"/>
      <c r="G2541" s="13" t="n"/>
    </row>
    <row r="2542">
      <c r="A2542" s="12" t="n"/>
      <c r="D2542">
        <f>IFERROR(VLOOKUP(C2542,Cadastro_Produtos!A:B,2,FALSE),"")</f>
        <v/>
      </c>
      <c r="F2542" s="12" t="n"/>
      <c r="G2542" s="13" t="n"/>
    </row>
    <row r="2543">
      <c r="A2543" s="12" t="n"/>
      <c r="D2543">
        <f>IFERROR(VLOOKUP(C2543,Cadastro_Produtos!A:B,2,FALSE),"")</f>
        <v/>
      </c>
      <c r="F2543" s="12" t="n"/>
      <c r="G2543" s="13" t="n"/>
    </row>
    <row r="2544">
      <c r="A2544" s="12" t="n"/>
      <c r="D2544">
        <f>IFERROR(VLOOKUP(C2544,Cadastro_Produtos!A:B,2,FALSE),"")</f>
        <v/>
      </c>
      <c r="F2544" s="12" t="n"/>
      <c r="G2544" s="13" t="n"/>
    </row>
    <row r="2545">
      <c r="A2545" s="12" t="n"/>
      <c r="D2545">
        <f>IFERROR(VLOOKUP(C2545,Cadastro_Produtos!A:B,2,FALSE),"")</f>
        <v/>
      </c>
      <c r="F2545" s="12" t="n"/>
      <c r="G2545" s="13" t="n"/>
    </row>
    <row r="2546">
      <c r="A2546" s="12" t="n"/>
      <c r="D2546">
        <f>IFERROR(VLOOKUP(C2546,Cadastro_Produtos!A:B,2,FALSE),"")</f>
        <v/>
      </c>
      <c r="F2546" s="12" t="n"/>
      <c r="G2546" s="13" t="n"/>
    </row>
    <row r="2547">
      <c r="A2547" s="12" t="n"/>
      <c r="D2547">
        <f>IFERROR(VLOOKUP(C2547,Cadastro_Produtos!A:B,2,FALSE),"")</f>
        <v/>
      </c>
      <c r="F2547" s="12" t="n"/>
      <c r="G2547" s="13" t="n"/>
    </row>
    <row r="2548">
      <c r="A2548" s="12" t="n"/>
      <c r="D2548">
        <f>IFERROR(VLOOKUP(C2548,Cadastro_Produtos!A:B,2,FALSE),"")</f>
        <v/>
      </c>
      <c r="F2548" s="12" t="n"/>
      <c r="G2548" s="13" t="n"/>
    </row>
    <row r="2549">
      <c r="A2549" s="12" t="n"/>
      <c r="D2549">
        <f>IFERROR(VLOOKUP(C2549,Cadastro_Produtos!A:B,2,FALSE),"")</f>
        <v/>
      </c>
      <c r="F2549" s="12" t="n"/>
      <c r="G2549" s="13" t="n"/>
    </row>
    <row r="2550">
      <c r="A2550" s="12" t="n"/>
      <c r="D2550">
        <f>IFERROR(VLOOKUP(C2550,Cadastro_Produtos!A:B,2,FALSE),"")</f>
        <v/>
      </c>
      <c r="F2550" s="12" t="n"/>
      <c r="G2550" s="13" t="n"/>
    </row>
    <row r="2551">
      <c r="A2551" s="12" t="n"/>
      <c r="D2551">
        <f>IFERROR(VLOOKUP(C2551,Cadastro_Produtos!A:B,2,FALSE),"")</f>
        <v/>
      </c>
      <c r="F2551" s="12" t="n"/>
      <c r="G2551" s="13" t="n"/>
    </row>
    <row r="2552">
      <c r="A2552" s="12" t="n"/>
      <c r="D2552">
        <f>IFERROR(VLOOKUP(C2552,Cadastro_Produtos!A:B,2,FALSE),"")</f>
        <v/>
      </c>
      <c r="F2552" s="12" t="n"/>
      <c r="G2552" s="13" t="n"/>
    </row>
    <row r="2553">
      <c r="A2553" s="12" t="n"/>
      <c r="D2553">
        <f>IFERROR(VLOOKUP(C2553,Cadastro_Produtos!A:B,2,FALSE),"")</f>
        <v/>
      </c>
      <c r="F2553" s="12" t="n"/>
      <c r="G2553" s="13" t="n"/>
    </row>
    <row r="2554">
      <c r="A2554" s="12" t="n"/>
      <c r="D2554">
        <f>IFERROR(VLOOKUP(C2554,Cadastro_Produtos!A:B,2,FALSE),"")</f>
        <v/>
      </c>
      <c r="F2554" s="12" t="n"/>
      <c r="G2554" s="13" t="n"/>
    </row>
    <row r="2555">
      <c r="A2555" s="12" t="n"/>
      <c r="D2555">
        <f>IFERROR(VLOOKUP(C2555,Cadastro_Produtos!A:B,2,FALSE),"")</f>
        <v/>
      </c>
      <c r="F2555" s="12" t="n"/>
      <c r="G2555" s="13" t="n"/>
    </row>
    <row r="2556">
      <c r="A2556" s="12" t="n"/>
      <c r="D2556">
        <f>IFERROR(VLOOKUP(C2556,Cadastro_Produtos!A:B,2,FALSE),"")</f>
        <v/>
      </c>
      <c r="F2556" s="12" t="n"/>
      <c r="G2556" s="13" t="n"/>
    </row>
    <row r="2557">
      <c r="A2557" s="12" t="n"/>
      <c r="D2557">
        <f>IFERROR(VLOOKUP(C2557,Cadastro_Produtos!A:B,2,FALSE),"")</f>
        <v/>
      </c>
      <c r="F2557" s="12" t="n"/>
      <c r="G2557" s="13" t="n"/>
    </row>
    <row r="2558">
      <c r="A2558" s="12" t="n"/>
      <c r="D2558">
        <f>IFERROR(VLOOKUP(C2558,Cadastro_Produtos!A:B,2,FALSE),"")</f>
        <v/>
      </c>
      <c r="F2558" s="12" t="n"/>
      <c r="G2558" s="13" t="n"/>
    </row>
    <row r="2559">
      <c r="A2559" s="12" t="n"/>
      <c r="D2559">
        <f>IFERROR(VLOOKUP(C2559,Cadastro_Produtos!A:B,2,FALSE),"")</f>
        <v/>
      </c>
      <c r="F2559" s="12" t="n"/>
      <c r="G2559" s="13" t="n"/>
    </row>
    <row r="2560">
      <c r="A2560" s="12" t="n"/>
      <c r="D2560">
        <f>IFERROR(VLOOKUP(C2560,Cadastro_Produtos!A:B,2,FALSE),"")</f>
        <v/>
      </c>
      <c r="F2560" s="12" t="n"/>
      <c r="G2560" s="13" t="n"/>
    </row>
    <row r="2561">
      <c r="A2561" s="12" t="n"/>
      <c r="D2561">
        <f>IFERROR(VLOOKUP(C2561,Cadastro_Produtos!A:B,2,FALSE),"")</f>
        <v/>
      </c>
      <c r="F2561" s="12" t="n"/>
      <c r="G2561" s="13" t="n"/>
    </row>
    <row r="2562">
      <c r="A2562" s="12" t="n"/>
      <c r="D2562">
        <f>IFERROR(VLOOKUP(C2562,Cadastro_Produtos!A:B,2,FALSE),"")</f>
        <v/>
      </c>
      <c r="F2562" s="12" t="n"/>
      <c r="G2562" s="13" t="n"/>
    </row>
    <row r="2563">
      <c r="A2563" s="12" t="n"/>
      <c r="D2563">
        <f>IFERROR(VLOOKUP(C2563,Cadastro_Produtos!A:B,2,FALSE),"")</f>
        <v/>
      </c>
      <c r="F2563" s="12" t="n"/>
      <c r="G2563" s="13" t="n"/>
    </row>
    <row r="2564">
      <c r="A2564" s="12" t="n"/>
      <c r="D2564">
        <f>IFERROR(VLOOKUP(C2564,Cadastro_Produtos!A:B,2,FALSE),"")</f>
        <v/>
      </c>
      <c r="F2564" s="12" t="n"/>
      <c r="G2564" s="13" t="n"/>
    </row>
    <row r="2565">
      <c r="A2565" s="12" t="n"/>
      <c r="D2565">
        <f>IFERROR(VLOOKUP(C2565,Cadastro_Produtos!A:B,2,FALSE),"")</f>
        <v/>
      </c>
      <c r="F2565" s="12" t="n"/>
      <c r="G2565" s="13" t="n"/>
    </row>
    <row r="2566">
      <c r="A2566" s="12" t="n"/>
      <c r="D2566">
        <f>IFERROR(VLOOKUP(C2566,Cadastro_Produtos!A:B,2,FALSE),"")</f>
        <v/>
      </c>
      <c r="F2566" s="12" t="n"/>
      <c r="G2566" s="13" t="n"/>
    </row>
    <row r="2567">
      <c r="A2567" s="12" t="n"/>
      <c r="D2567">
        <f>IFERROR(VLOOKUP(C2567,Cadastro_Produtos!A:B,2,FALSE),"")</f>
        <v/>
      </c>
      <c r="F2567" s="12" t="n"/>
      <c r="G2567" s="13" t="n"/>
    </row>
    <row r="2568">
      <c r="A2568" s="12" t="n"/>
      <c r="D2568">
        <f>IFERROR(VLOOKUP(C2568,Cadastro_Produtos!A:B,2,FALSE),"")</f>
        <v/>
      </c>
      <c r="F2568" s="12" t="n"/>
      <c r="G2568" s="13" t="n"/>
    </row>
    <row r="2569">
      <c r="A2569" s="12" t="n"/>
      <c r="D2569">
        <f>IFERROR(VLOOKUP(C2569,Cadastro_Produtos!A:B,2,FALSE),"")</f>
        <v/>
      </c>
      <c r="F2569" s="12" t="n"/>
      <c r="G2569" s="13" t="n"/>
    </row>
    <row r="2570">
      <c r="A2570" s="12" t="n"/>
      <c r="D2570">
        <f>IFERROR(VLOOKUP(C2570,Cadastro_Produtos!A:B,2,FALSE),"")</f>
        <v/>
      </c>
      <c r="F2570" s="12" t="n"/>
      <c r="G2570" s="13" t="n"/>
    </row>
    <row r="2571">
      <c r="A2571" s="12" t="n"/>
      <c r="D2571">
        <f>IFERROR(VLOOKUP(C2571,Cadastro_Produtos!A:B,2,FALSE),"")</f>
        <v/>
      </c>
      <c r="F2571" s="12" t="n"/>
      <c r="G2571" s="13" t="n"/>
    </row>
    <row r="2572">
      <c r="A2572" s="12" t="n"/>
      <c r="D2572">
        <f>IFERROR(VLOOKUP(C2572,Cadastro_Produtos!A:B,2,FALSE),"")</f>
        <v/>
      </c>
      <c r="F2572" s="12" t="n"/>
      <c r="G2572" s="13" t="n"/>
    </row>
    <row r="2573">
      <c r="A2573" s="12" t="n"/>
      <c r="D2573">
        <f>IFERROR(VLOOKUP(C2573,Cadastro_Produtos!A:B,2,FALSE),"")</f>
        <v/>
      </c>
      <c r="F2573" s="12" t="n"/>
      <c r="G2573" s="13" t="n"/>
    </row>
    <row r="2574">
      <c r="A2574" s="12" t="n"/>
      <c r="D2574">
        <f>IFERROR(VLOOKUP(C2574,Cadastro_Produtos!A:B,2,FALSE),"")</f>
        <v/>
      </c>
      <c r="F2574" s="12" t="n"/>
      <c r="G2574" s="13" t="n"/>
    </row>
    <row r="2575">
      <c r="A2575" s="12" t="n"/>
      <c r="D2575">
        <f>IFERROR(VLOOKUP(C2575,Cadastro_Produtos!A:B,2,FALSE),"")</f>
        <v/>
      </c>
      <c r="F2575" s="12" t="n"/>
      <c r="G2575" s="13" t="n"/>
    </row>
    <row r="2576">
      <c r="A2576" s="12" t="n"/>
      <c r="D2576">
        <f>IFERROR(VLOOKUP(C2576,Cadastro_Produtos!A:B,2,FALSE),"")</f>
        <v/>
      </c>
      <c r="F2576" s="12" t="n"/>
      <c r="G2576" s="13" t="n"/>
    </row>
    <row r="2577">
      <c r="A2577" s="12" t="n"/>
      <c r="D2577">
        <f>IFERROR(VLOOKUP(C2577,Cadastro_Produtos!A:B,2,FALSE),"")</f>
        <v/>
      </c>
      <c r="F2577" s="12" t="n"/>
      <c r="G2577" s="13" t="n"/>
    </row>
    <row r="2578">
      <c r="A2578" s="12" t="n"/>
      <c r="D2578">
        <f>IFERROR(VLOOKUP(C2578,Cadastro_Produtos!A:B,2,FALSE),"")</f>
        <v/>
      </c>
      <c r="F2578" s="12" t="n"/>
      <c r="G2578" s="13" t="n"/>
    </row>
    <row r="2579">
      <c r="A2579" s="12" t="n"/>
      <c r="D2579">
        <f>IFERROR(VLOOKUP(C2579,Cadastro_Produtos!A:B,2,FALSE),"")</f>
        <v/>
      </c>
      <c r="F2579" s="12" t="n"/>
      <c r="G2579" s="13" t="n"/>
    </row>
    <row r="2580">
      <c r="A2580" s="12" t="n"/>
      <c r="D2580">
        <f>IFERROR(VLOOKUP(C2580,Cadastro_Produtos!A:B,2,FALSE),"")</f>
        <v/>
      </c>
      <c r="F2580" s="12" t="n"/>
      <c r="G2580" s="13" t="n"/>
    </row>
    <row r="2581">
      <c r="A2581" s="12" t="n"/>
      <c r="D2581">
        <f>IFERROR(VLOOKUP(C2581,Cadastro_Produtos!A:B,2,FALSE),"")</f>
        <v/>
      </c>
      <c r="F2581" s="12" t="n"/>
      <c r="G2581" s="13" t="n"/>
    </row>
    <row r="2582">
      <c r="A2582" s="12" t="n"/>
      <c r="D2582">
        <f>IFERROR(VLOOKUP(C2582,Cadastro_Produtos!A:B,2,FALSE),"")</f>
        <v/>
      </c>
      <c r="F2582" s="12" t="n"/>
      <c r="G2582" s="13" t="n"/>
    </row>
    <row r="2583">
      <c r="A2583" s="12" t="n"/>
      <c r="D2583">
        <f>IFERROR(VLOOKUP(C2583,Cadastro_Produtos!A:B,2,FALSE),"")</f>
        <v/>
      </c>
      <c r="F2583" s="12" t="n"/>
      <c r="G2583" s="13" t="n"/>
    </row>
    <row r="2584">
      <c r="A2584" s="12" t="n"/>
      <c r="D2584">
        <f>IFERROR(VLOOKUP(C2584,Cadastro_Produtos!A:B,2,FALSE),"")</f>
        <v/>
      </c>
      <c r="F2584" s="12" t="n"/>
      <c r="G2584" s="13" t="n"/>
    </row>
    <row r="2585">
      <c r="A2585" s="12" t="n"/>
      <c r="D2585">
        <f>IFERROR(VLOOKUP(C2585,Cadastro_Produtos!A:B,2,FALSE),"")</f>
        <v/>
      </c>
      <c r="F2585" s="12" t="n"/>
      <c r="G2585" s="13" t="n"/>
    </row>
    <row r="2586">
      <c r="A2586" s="12" t="n"/>
      <c r="D2586">
        <f>IFERROR(VLOOKUP(C2586,Cadastro_Produtos!A:B,2,FALSE),"")</f>
        <v/>
      </c>
      <c r="F2586" s="12" t="n"/>
      <c r="G2586" s="13" t="n"/>
    </row>
    <row r="2587">
      <c r="A2587" s="12" t="n"/>
      <c r="D2587">
        <f>IFERROR(VLOOKUP(C2587,Cadastro_Produtos!A:B,2,FALSE),"")</f>
        <v/>
      </c>
      <c r="F2587" s="12" t="n"/>
      <c r="G2587" s="13" t="n"/>
    </row>
    <row r="2588">
      <c r="A2588" s="12" t="n"/>
      <c r="D2588">
        <f>IFERROR(VLOOKUP(C2588,Cadastro_Produtos!A:B,2,FALSE),"")</f>
        <v/>
      </c>
      <c r="F2588" s="12" t="n"/>
      <c r="G2588" s="13" t="n"/>
    </row>
    <row r="2589">
      <c r="A2589" s="12" t="n"/>
      <c r="D2589">
        <f>IFERROR(VLOOKUP(C2589,Cadastro_Produtos!A:B,2,FALSE),"")</f>
        <v/>
      </c>
      <c r="F2589" s="12" t="n"/>
      <c r="G2589" s="13" t="n"/>
    </row>
    <row r="2590">
      <c r="A2590" s="12" t="n"/>
      <c r="D2590">
        <f>IFERROR(VLOOKUP(C2590,Cadastro_Produtos!A:B,2,FALSE),"")</f>
        <v/>
      </c>
      <c r="F2590" s="12" t="n"/>
      <c r="G2590" s="13" t="n"/>
    </row>
    <row r="2591">
      <c r="A2591" s="12" t="n"/>
      <c r="D2591">
        <f>IFERROR(VLOOKUP(C2591,Cadastro_Produtos!A:B,2,FALSE),"")</f>
        <v/>
      </c>
      <c r="F2591" s="12" t="n"/>
      <c r="G2591" s="13" t="n"/>
    </row>
    <row r="2592">
      <c r="A2592" s="12" t="n"/>
      <c r="D2592">
        <f>IFERROR(VLOOKUP(C2592,Cadastro_Produtos!A:B,2,FALSE),"")</f>
        <v/>
      </c>
      <c r="F2592" s="12" t="n"/>
      <c r="G2592" s="13" t="n"/>
    </row>
    <row r="2593">
      <c r="A2593" s="12" t="n"/>
      <c r="D2593">
        <f>IFERROR(VLOOKUP(C2593,Cadastro_Produtos!A:B,2,FALSE),"")</f>
        <v/>
      </c>
      <c r="F2593" s="12" t="n"/>
      <c r="G2593" s="13" t="n"/>
    </row>
    <row r="2594">
      <c r="A2594" s="12" t="n"/>
      <c r="D2594">
        <f>IFERROR(VLOOKUP(C2594,Cadastro_Produtos!A:B,2,FALSE),"")</f>
        <v/>
      </c>
      <c r="F2594" s="12" t="n"/>
      <c r="G2594" s="13" t="n"/>
    </row>
    <row r="2595">
      <c r="A2595" s="12" t="n"/>
      <c r="D2595">
        <f>IFERROR(VLOOKUP(C2595,Cadastro_Produtos!A:B,2,FALSE),"")</f>
        <v/>
      </c>
      <c r="F2595" s="12" t="n"/>
      <c r="G2595" s="13" t="n"/>
    </row>
    <row r="2596">
      <c r="A2596" s="12" t="n"/>
      <c r="D2596">
        <f>IFERROR(VLOOKUP(C2596,Cadastro_Produtos!A:B,2,FALSE),"")</f>
        <v/>
      </c>
      <c r="F2596" s="12" t="n"/>
      <c r="G2596" s="13" t="n"/>
    </row>
    <row r="2597">
      <c r="A2597" s="12" t="n"/>
      <c r="D2597">
        <f>IFERROR(VLOOKUP(C2597,Cadastro_Produtos!A:B,2,FALSE),"")</f>
        <v/>
      </c>
      <c r="F2597" s="12" t="n"/>
      <c r="G2597" s="13" t="n"/>
    </row>
    <row r="2598">
      <c r="A2598" s="12" t="n"/>
      <c r="D2598">
        <f>IFERROR(VLOOKUP(C2598,Cadastro_Produtos!A:B,2,FALSE),"")</f>
        <v/>
      </c>
      <c r="F2598" s="12" t="n"/>
      <c r="G2598" s="13" t="n"/>
    </row>
    <row r="2599">
      <c r="A2599" s="12" t="n"/>
      <c r="D2599">
        <f>IFERROR(VLOOKUP(C2599,Cadastro_Produtos!A:B,2,FALSE),"")</f>
        <v/>
      </c>
      <c r="F2599" s="12" t="n"/>
      <c r="G2599" s="13" t="n"/>
    </row>
    <row r="2600">
      <c r="A2600" s="12" t="n"/>
      <c r="D2600">
        <f>IFERROR(VLOOKUP(C2600,Cadastro_Produtos!A:B,2,FALSE),"")</f>
        <v/>
      </c>
      <c r="F2600" s="12" t="n"/>
      <c r="G2600" s="13" t="n"/>
    </row>
    <row r="2601">
      <c r="A2601" s="12" t="n"/>
      <c r="D2601">
        <f>IFERROR(VLOOKUP(C2601,Cadastro_Produtos!A:B,2,FALSE),"")</f>
        <v/>
      </c>
      <c r="F2601" s="12" t="n"/>
      <c r="G2601" s="13" t="n"/>
    </row>
    <row r="2602">
      <c r="A2602" s="12" t="n"/>
      <c r="D2602">
        <f>IFERROR(VLOOKUP(C2602,Cadastro_Produtos!A:B,2,FALSE),"")</f>
        <v/>
      </c>
      <c r="F2602" s="12" t="n"/>
      <c r="G2602" s="13" t="n"/>
    </row>
    <row r="2603">
      <c r="A2603" s="12" t="n"/>
      <c r="D2603">
        <f>IFERROR(VLOOKUP(C2603,Cadastro_Produtos!A:B,2,FALSE),"")</f>
        <v/>
      </c>
      <c r="F2603" s="12" t="n"/>
      <c r="G2603" s="13" t="n"/>
    </row>
    <row r="2604">
      <c r="A2604" s="12" t="n"/>
      <c r="D2604">
        <f>IFERROR(VLOOKUP(C2604,Cadastro_Produtos!A:B,2,FALSE),"")</f>
        <v/>
      </c>
      <c r="F2604" s="12" t="n"/>
      <c r="G2604" s="13" t="n"/>
    </row>
    <row r="2605">
      <c r="A2605" s="12" t="n"/>
      <c r="D2605">
        <f>IFERROR(VLOOKUP(C2605,Cadastro_Produtos!A:B,2,FALSE),"")</f>
        <v/>
      </c>
      <c r="F2605" s="12" t="n"/>
      <c r="G2605" s="13" t="n"/>
    </row>
    <row r="2606">
      <c r="A2606" s="12" t="n"/>
      <c r="D2606">
        <f>IFERROR(VLOOKUP(C2606,Cadastro_Produtos!A:B,2,FALSE),"")</f>
        <v/>
      </c>
      <c r="F2606" s="12" t="n"/>
      <c r="G2606" s="13" t="n"/>
    </row>
    <row r="2607">
      <c r="A2607" s="12" t="n"/>
      <c r="D2607">
        <f>IFERROR(VLOOKUP(C2607,Cadastro_Produtos!A:B,2,FALSE),"")</f>
        <v/>
      </c>
      <c r="F2607" s="12" t="n"/>
      <c r="G2607" s="13" t="n"/>
    </row>
    <row r="2608">
      <c r="A2608" s="12" t="n"/>
      <c r="D2608">
        <f>IFERROR(VLOOKUP(C2608,Cadastro_Produtos!A:B,2,FALSE),"")</f>
        <v/>
      </c>
      <c r="F2608" s="12" t="n"/>
      <c r="G2608" s="13" t="n"/>
    </row>
    <row r="2609">
      <c r="A2609" s="12" t="n"/>
      <c r="D2609">
        <f>IFERROR(VLOOKUP(C2609,Cadastro_Produtos!A:B,2,FALSE),"")</f>
        <v/>
      </c>
      <c r="F2609" s="12" t="n"/>
      <c r="G2609" s="13" t="n"/>
    </row>
    <row r="2610">
      <c r="A2610" s="12" t="n"/>
      <c r="D2610">
        <f>IFERROR(VLOOKUP(C2610,Cadastro_Produtos!A:B,2,FALSE),"")</f>
        <v/>
      </c>
      <c r="F2610" s="12" t="n"/>
      <c r="G2610" s="13" t="n"/>
    </row>
    <row r="2611">
      <c r="A2611" s="12" t="n"/>
      <c r="D2611">
        <f>IFERROR(VLOOKUP(C2611,Cadastro_Produtos!A:B,2,FALSE),"")</f>
        <v/>
      </c>
      <c r="F2611" s="12" t="n"/>
      <c r="G2611" s="13" t="n"/>
    </row>
    <row r="2612">
      <c r="A2612" s="12" t="n"/>
      <c r="D2612">
        <f>IFERROR(VLOOKUP(C2612,Cadastro_Produtos!A:B,2,FALSE),"")</f>
        <v/>
      </c>
      <c r="F2612" s="12" t="n"/>
      <c r="G2612" s="13" t="n"/>
    </row>
    <row r="2613">
      <c r="A2613" s="12" t="n"/>
      <c r="D2613">
        <f>IFERROR(VLOOKUP(C2613,Cadastro_Produtos!A:B,2,FALSE),"")</f>
        <v/>
      </c>
      <c r="F2613" s="12" t="n"/>
      <c r="G2613" s="13" t="n"/>
    </row>
    <row r="2614">
      <c r="A2614" s="12" t="n"/>
      <c r="D2614">
        <f>IFERROR(VLOOKUP(C2614,Cadastro_Produtos!A:B,2,FALSE),"")</f>
        <v/>
      </c>
      <c r="F2614" s="12" t="n"/>
      <c r="G2614" s="13" t="n"/>
    </row>
    <row r="2615">
      <c r="A2615" s="12" t="n"/>
      <c r="D2615">
        <f>IFERROR(VLOOKUP(C2615,Cadastro_Produtos!A:B,2,FALSE),"")</f>
        <v/>
      </c>
      <c r="F2615" s="12" t="n"/>
      <c r="G2615" s="13" t="n"/>
    </row>
    <row r="2616">
      <c r="A2616" s="12" t="n"/>
      <c r="D2616">
        <f>IFERROR(VLOOKUP(C2616,Cadastro_Produtos!A:B,2,FALSE),"")</f>
        <v/>
      </c>
      <c r="F2616" s="12" t="n"/>
      <c r="G2616" s="13" t="n"/>
    </row>
    <row r="2617">
      <c r="A2617" s="12" t="n"/>
      <c r="D2617">
        <f>IFERROR(VLOOKUP(C2617,Cadastro_Produtos!A:B,2,FALSE),"")</f>
        <v/>
      </c>
      <c r="F2617" s="12" t="n"/>
      <c r="G2617" s="13" t="n"/>
    </row>
    <row r="2618">
      <c r="A2618" s="12" t="n"/>
      <c r="D2618">
        <f>IFERROR(VLOOKUP(C2618,Cadastro_Produtos!A:B,2,FALSE),"")</f>
        <v/>
      </c>
      <c r="F2618" s="12" t="n"/>
      <c r="G2618" s="13" t="n"/>
    </row>
    <row r="2619">
      <c r="A2619" s="12" t="n"/>
      <c r="D2619">
        <f>IFERROR(VLOOKUP(C2619,Cadastro_Produtos!A:B,2,FALSE),"")</f>
        <v/>
      </c>
      <c r="F2619" s="12" t="n"/>
      <c r="G2619" s="13" t="n"/>
    </row>
    <row r="2620">
      <c r="A2620" s="12" t="n"/>
      <c r="D2620">
        <f>IFERROR(VLOOKUP(C2620,Cadastro_Produtos!A:B,2,FALSE),"")</f>
        <v/>
      </c>
      <c r="F2620" s="12" t="n"/>
      <c r="G2620" s="13" t="n"/>
    </row>
    <row r="2621">
      <c r="A2621" s="12" t="n"/>
      <c r="D2621">
        <f>IFERROR(VLOOKUP(C2621,Cadastro_Produtos!A:B,2,FALSE),"")</f>
        <v/>
      </c>
      <c r="F2621" s="12" t="n"/>
      <c r="G2621" s="13" t="n"/>
    </row>
    <row r="2622">
      <c r="A2622" s="12" t="n"/>
      <c r="D2622">
        <f>IFERROR(VLOOKUP(C2622,Cadastro_Produtos!A:B,2,FALSE),"")</f>
        <v/>
      </c>
      <c r="F2622" s="12" t="n"/>
      <c r="G2622" s="13" t="n"/>
    </row>
    <row r="2623">
      <c r="A2623" s="12" t="n"/>
      <c r="D2623">
        <f>IFERROR(VLOOKUP(C2623,Cadastro_Produtos!A:B,2,FALSE),"")</f>
        <v/>
      </c>
      <c r="F2623" s="12" t="n"/>
      <c r="G2623" s="13" t="n"/>
    </row>
    <row r="2624">
      <c r="A2624" s="12" t="n"/>
      <c r="D2624">
        <f>IFERROR(VLOOKUP(C2624,Cadastro_Produtos!A:B,2,FALSE),"")</f>
        <v/>
      </c>
      <c r="F2624" s="12" t="n"/>
      <c r="G2624" s="13" t="n"/>
    </row>
    <row r="2625">
      <c r="A2625" s="12" t="n"/>
      <c r="D2625">
        <f>IFERROR(VLOOKUP(C2625,Cadastro_Produtos!A:B,2,FALSE),"")</f>
        <v/>
      </c>
      <c r="F2625" s="12" t="n"/>
      <c r="G2625" s="13" t="n"/>
    </row>
    <row r="2626">
      <c r="A2626" s="12" t="n"/>
      <c r="D2626">
        <f>IFERROR(VLOOKUP(C2626,Cadastro_Produtos!A:B,2,FALSE),"")</f>
        <v/>
      </c>
      <c r="F2626" s="12" t="n"/>
      <c r="G2626" s="13" t="n"/>
    </row>
    <row r="2627">
      <c r="A2627" s="12" t="n"/>
      <c r="D2627">
        <f>IFERROR(VLOOKUP(C2627,Cadastro_Produtos!A:B,2,FALSE),"")</f>
        <v/>
      </c>
      <c r="F2627" s="12" t="n"/>
      <c r="G2627" s="13" t="n"/>
    </row>
    <row r="2628">
      <c r="A2628" s="12" t="n"/>
      <c r="D2628">
        <f>IFERROR(VLOOKUP(C2628,Cadastro_Produtos!A:B,2,FALSE),"")</f>
        <v/>
      </c>
      <c r="F2628" s="12" t="n"/>
      <c r="G2628" s="13" t="n"/>
    </row>
    <row r="2629">
      <c r="A2629" s="12" t="n"/>
      <c r="D2629">
        <f>IFERROR(VLOOKUP(C2629,Cadastro_Produtos!A:B,2,FALSE),"")</f>
        <v/>
      </c>
      <c r="F2629" s="12" t="n"/>
      <c r="G2629" s="13" t="n"/>
    </row>
    <row r="2630">
      <c r="A2630" s="12" t="n"/>
      <c r="D2630">
        <f>IFERROR(VLOOKUP(C2630,Cadastro_Produtos!A:B,2,FALSE),"")</f>
        <v/>
      </c>
      <c r="F2630" s="12" t="n"/>
      <c r="G2630" s="13" t="n"/>
    </row>
    <row r="2631">
      <c r="A2631" s="12" t="n"/>
      <c r="D2631">
        <f>IFERROR(VLOOKUP(C2631,Cadastro_Produtos!A:B,2,FALSE),"")</f>
        <v/>
      </c>
      <c r="F2631" s="12" t="n"/>
      <c r="G2631" s="13" t="n"/>
    </row>
    <row r="2632">
      <c r="A2632" s="12" t="n"/>
      <c r="D2632">
        <f>IFERROR(VLOOKUP(C2632,Cadastro_Produtos!A:B,2,FALSE),"")</f>
        <v/>
      </c>
      <c r="F2632" s="12" t="n"/>
      <c r="G2632" s="13" t="n"/>
    </row>
    <row r="2633">
      <c r="A2633" s="12" t="n"/>
      <c r="D2633">
        <f>IFERROR(VLOOKUP(C2633,Cadastro_Produtos!A:B,2,FALSE),"")</f>
        <v/>
      </c>
      <c r="F2633" s="12" t="n"/>
      <c r="G2633" s="13" t="n"/>
    </row>
    <row r="2634">
      <c r="A2634" s="12" t="n"/>
      <c r="D2634">
        <f>IFERROR(VLOOKUP(C2634,Cadastro_Produtos!A:B,2,FALSE),"")</f>
        <v/>
      </c>
      <c r="F2634" s="12" t="n"/>
      <c r="G2634" s="13" t="n"/>
    </row>
    <row r="2635">
      <c r="A2635" s="12" t="n"/>
      <c r="D2635">
        <f>IFERROR(VLOOKUP(C2635,Cadastro_Produtos!A:B,2,FALSE),"")</f>
        <v/>
      </c>
      <c r="F2635" s="12" t="n"/>
      <c r="G2635" s="13" t="n"/>
    </row>
    <row r="2636">
      <c r="A2636" s="12" t="n"/>
      <c r="D2636">
        <f>IFERROR(VLOOKUP(C2636,Cadastro_Produtos!A:B,2,FALSE),"")</f>
        <v/>
      </c>
      <c r="F2636" s="12" t="n"/>
      <c r="G2636" s="13" t="n"/>
    </row>
    <row r="2637">
      <c r="A2637" s="12" t="n"/>
      <c r="D2637">
        <f>IFERROR(VLOOKUP(C2637,Cadastro_Produtos!A:B,2,FALSE),"")</f>
        <v/>
      </c>
      <c r="F2637" s="12" t="n"/>
      <c r="G2637" s="13" t="n"/>
    </row>
    <row r="2638">
      <c r="A2638" s="12" t="n"/>
      <c r="D2638">
        <f>IFERROR(VLOOKUP(C2638,Cadastro_Produtos!A:B,2,FALSE),"")</f>
        <v/>
      </c>
      <c r="F2638" s="12" t="n"/>
      <c r="G2638" s="13" t="n"/>
    </row>
    <row r="2639">
      <c r="A2639" s="12" t="n"/>
      <c r="D2639">
        <f>IFERROR(VLOOKUP(C2639,Cadastro_Produtos!A:B,2,FALSE),"")</f>
        <v/>
      </c>
      <c r="F2639" s="12" t="n"/>
      <c r="G2639" s="13" t="n"/>
    </row>
    <row r="2640">
      <c r="A2640" s="12" t="n"/>
      <c r="D2640">
        <f>IFERROR(VLOOKUP(C2640,Cadastro_Produtos!A:B,2,FALSE),"")</f>
        <v/>
      </c>
      <c r="F2640" s="12" t="n"/>
      <c r="G2640" s="13" t="n"/>
    </row>
    <row r="2641">
      <c r="A2641" s="12" t="n"/>
      <c r="D2641">
        <f>IFERROR(VLOOKUP(C2641,Cadastro_Produtos!A:B,2,FALSE),"")</f>
        <v/>
      </c>
      <c r="F2641" s="12" t="n"/>
      <c r="G2641" s="13" t="n"/>
    </row>
    <row r="2642">
      <c r="A2642" s="12" t="n"/>
      <c r="D2642">
        <f>IFERROR(VLOOKUP(C2642,Cadastro_Produtos!A:B,2,FALSE),"")</f>
        <v/>
      </c>
      <c r="F2642" s="12" t="n"/>
      <c r="G2642" s="13" t="n"/>
    </row>
    <row r="2643">
      <c r="A2643" s="12" t="n"/>
      <c r="D2643">
        <f>IFERROR(VLOOKUP(C2643,Cadastro_Produtos!A:B,2,FALSE),"")</f>
        <v/>
      </c>
      <c r="F2643" s="12" t="n"/>
      <c r="G2643" s="13" t="n"/>
    </row>
    <row r="2644">
      <c r="A2644" s="12" t="n"/>
      <c r="D2644">
        <f>IFERROR(VLOOKUP(C2644,Cadastro_Produtos!A:B,2,FALSE),"")</f>
        <v/>
      </c>
      <c r="F2644" s="12" t="n"/>
      <c r="G2644" s="13" t="n"/>
    </row>
    <row r="2645">
      <c r="A2645" s="12" t="n"/>
      <c r="D2645">
        <f>IFERROR(VLOOKUP(C2645,Cadastro_Produtos!A:B,2,FALSE),"")</f>
        <v/>
      </c>
      <c r="F2645" s="12" t="n"/>
      <c r="G2645" s="13" t="n"/>
    </row>
    <row r="2646">
      <c r="A2646" s="12" t="n"/>
      <c r="D2646">
        <f>IFERROR(VLOOKUP(C2646,Cadastro_Produtos!A:B,2,FALSE),"")</f>
        <v/>
      </c>
      <c r="F2646" s="12" t="n"/>
      <c r="G2646" s="13" t="n"/>
    </row>
    <row r="2647">
      <c r="A2647" s="12" t="n"/>
      <c r="D2647">
        <f>IFERROR(VLOOKUP(C2647,Cadastro_Produtos!A:B,2,FALSE),"")</f>
        <v/>
      </c>
      <c r="F2647" s="12" t="n"/>
      <c r="G2647" s="13" t="n"/>
    </row>
    <row r="2648">
      <c r="A2648" s="12" t="n"/>
      <c r="D2648">
        <f>IFERROR(VLOOKUP(C2648,Cadastro_Produtos!A:B,2,FALSE),"")</f>
        <v/>
      </c>
      <c r="F2648" s="12" t="n"/>
      <c r="G2648" s="13" t="n"/>
    </row>
    <row r="2649">
      <c r="A2649" s="12" t="n"/>
      <c r="D2649">
        <f>IFERROR(VLOOKUP(C2649,Cadastro_Produtos!A:B,2,FALSE),"")</f>
        <v/>
      </c>
      <c r="F2649" s="12" t="n"/>
      <c r="G2649" s="13" t="n"/>
    </row>
    <row r="2650">
      <c r="A2650" s="12" t="n"/>
      <c r="D2650">
        <f>IFERROR(VLOOKUP(C2650,Cadastro_Produtos!A:B,2,FALSE),"")</f>
        <v/>
      </c>
      <c r="F2650" s="12" t="n"/>
      <c r="G2650" s="13" t="n"/>
    </row>
    <row r="2651">
      <c r="A2651" s="12" t="n"/>
      <c r="D2651">
        <f>IFERROR(VLOOKUP(C2651,Cadastro_Produtos!A:B,2,FALSE),"")</f>
        <v/>
      </c>
      <c r="F2651" s="12" t="n"/>
      <c r="G2651" s="13" t="n"/>
    </row>
    <row r="2652">
      <c r="A2652" s="12" t="n"/>
      <c r="D2652">
        <f>IFERROR(VLOOKUP(C2652,Cadastro_Produtos!A:B,2,FALSE),"")</f>
        <v/>
      </c>
      <c r="F2652" s="12" t="n"/>
      <c r="G2652" s="13" t="n"/>
    </row>
    <row r="2653">
      <c r="A2653" s="12" t="n"/>
      <c r="D2653">
        <f>IFERROR(VLOOKUP(C2653,Cadastro_Produtos!A:B,2,FALSE),"")</f>
        <v/>
      </c>
      <c r="F2653" s="12" t="n"/>
      <c r="G2653" s="13" t="n"/>
    </row>
    <row r="2654">
      <c r="A2654" s="12" t="n"/>
      <c r="D2654">
        <f>IFERROR(VLOOKUP(C2654,Cadastro_Produtos!A:B,2,FALSE),"")</f>
        <v/>
      </c>
      <c r="F2654" s="12" t="n"/>
      <c r="G2654" s="13" t="n"/>
    </row>
    <row r="2655">
      <c r="A2655" s="12" t="n"/>
      <c r="D2655">
        <f>IFERROR(VLOOKUP(C2655,Cadastro_Produtos!A:B,2,FALSE),"")</f>
        <v/>
      </c>
      <c r="F2655" s="12" t="n"/>
      <c r="G2655" s="13" t="n"/>
    </row>
    <row r="2656">
      <c r="A2656" s="12" t="n"/>
      <c r="D2656">
        <f>IFERROR(VLOOKUP(C2656,Cadastro_Produtos!A:B,2,FALSE),"")</f>
        <v/>
      </c>
      <c r="F2656" s="12" t="n"/>
      <c r="G2656" s="13" t="n"/>
    </row>
    <row r="2657">
      <c r="A2657" s="12" t="n"/>
      <c r="D2657">
        <f>IFERROR(VLOOKUP(C2657,Cadastro_Produtos!A:B,2,FALSE),"")</f>
        <v/>
      </c>
      <c r="F2657" s="12" t="n"/>
      <c r="G2657" s="13" t="n"/>
    </row>
    <row r="2658">
      <c r="A2658" s="12" t="n"/>
      <c r="D2658">
        <f>IFERROR(VLOOKUP(C2658,Cadastro_Produtos!A:B,2,FALSE),"")</f>
        <v/>
      </c>
      <c r="F2658" s="12" t="n"/>
      <c r="G2658" s="13" t="n"/>
    </row>
    <row r="2659">
      <c r="A2659" s="12" t="n"/>
      <c r="D2659">
        <f>IFERROR(VLOOKUP(C2659,Cadastro_Produtos!A:B,2,FALSE),"")</f>
        <v/>
      </c>
      <c r="F2659" s="12" t="n"/>
      <c r="G2659" s="13" t="n"/>
    </row>
    <row r="2660">
      <c r="A2660" s="12" t="n"/>
      <c r="D2660">
        <f>IFERROR(VLOOKUP(C2660,Cadastro_Produtos!A:B,2,FALSE),"")</f>
        <v/>
      </c>
      <c r="F2660" s="12" t="n"/>
      <c r="G2660" s="13" t="n"/>
    </row>
    <row r="2661">
      <c r="A2661" s="12" t="n"/>
      <c r="D2661">
        <f>IFERROR(VLOOKUP(C2661,Cadastro_Produtos!A:B,2,FALSE),"")</f>
        <v/>
      </c>
      <c r="F2661" s="12" t="n"/>
      <c r="G2661" s="13" t="n"/>
    </row>
    <row r="2662">
      <c r="A2662" s="12" t="n"/>
      <c r="D2662">
        <f>IFERROR(VLOOKUP(C2662,Cadastro_Produtos!A:B,2,FALSE),"")</f>
        <v/>
      </c>
      <c r="F2662" s="12" t="n"/>
      <c r="G2662" s="13" t="n"/>
    </row>
    <row r="2663">
      <c r="A2663" s="12" t="n"/>
      <c r="D2663">
        <f>IFERROR(VLOOKUP(C2663,Cadastro_Produtos!A:B,2,FALSE),"")</f>
        <v/>
      </c>
      <c r="F2663" s="12" t="n"/>
      <c r="G2663" s="13" t="n"/>
    </row>
    <row r="2664">
      <c r="A2664" s="12" t="n"/>
      <c r="D2664">
        <f>IFERROR(VLOOKUP(C2664,Cadastro_Produtos!A:B,2,FALSE),"")</f>
        <v/>
      </c>
      <c r="F2664" s="12" t="n"/>
      <c r="G2664" s="13" t="n"/>
    </row>
    <row r="2665">
      <c r="A2665" s="12" t="n"/>
      <c r="D2665">
        <f>IFERROR(VLOOKUP(C2665,Cadastro_Produtos!A:B,2,FALSE),"")</f>
        <v/>
      </c>
      <c r="F2665" s="12" t="n"/>
      <c r="G2665" s="13" t="n"/>
    </row>
    <row r="2666">
      <c r="A2666" s="12" t="n"/>
      <c r="D2666">
        <f>IFERROR(VLOOKUP(C2666,Cadastro_Produtos!A:B,2,FALSE),"")</f>
        <v/>
      </c>
      <c r="F2666" s="12" t="n"/>
      <c r="G2666" s="13" t="n"/>
    </row>
    <row r="2667">
      <c r="A2667" s="12" t="n"/>
      <c r="D2667">
        <f>IFERROR(VLOOKUP(C2667,Cadastro_Produtos!A:B,2,FALSE),"")</f>
        <v/>
      </c>
      <c r="F2667" s="12" t="n"/>
      <c r="G2667" s="13" t="n"/>
    </row>
    <row r="2668">
      <c r="A2668" s="12" t="n"/>
      <c r="D2668">
        <f>IFERROR(VLOOKUP(C2668,Cadastro_Produtos!A:B,2,FALSE),"")</f>
        <v/>
      </c>
      <c r="F2668" s="12" t="n"/>
      <c r="G2668" s="13" t="n"/>
    </row>
    <row r="2669">
      <c r="A2669" s="12" t="n"/>
      <c r="D2669">
        <f>IFERROR(VLOOKUP(C2669,Cadastro_Produtos!A:B,2,FALSE),"")</f>
        <v/>
      </c>
      <c r="F2669" s="12" t="n"/>
      <c r="G2669" s="13" t="n"/>
    </row>
    <row r="2670">
      <c r="A2670" s="12" t="n"/>
      <c r="D2670">
        <f>IFERROR(VLOOKUP(C2670,Cadastro_Produtos!A:B,2,FALSE),"")</f>
        <v/>
      </c>
      <c r="F2670" s="12" t="n"/>
      <c r="G2670" s="13" t="n"/>
    </row>
    <row r="2671">
      <c r="A2671" s="12" t="n"/>
      <c r="D2671">
        <f>IFERROR(VLOOKUP(C2671,Cadastro_Produtos!A:B,2,FALSE),"")</f>
        <v/>
      </c>
      <c r="F2671" s="12" t="n"/>
      <c r="G2671" s="13" t="n"/>
    </row>
    <row r="2672">
      <c r="A2672" s="12" t="n"/>
      <c r="D2672">
        <f>IFERROR(VLOOKUP(C2672,Cadastro_Produtos!A:B,2,FALSE),"")</f>
        <v/>
      </c>
      <c r="F2672" s="12" t="n"/>
      <c r="G2672" s="13" t="n"/>
    </row>
    <row r="2673">
      <c r="A2673" s="12" t="n"/>
      <c r="D2673">
        <f>IFERROR(VLOOKUP(C2673,Cadastro_Produtos!A:B,2,FALSE),"")</f>
        <v/>
      </c>
      <c r="F2673" s="12" t="n"/>
      <c r="G2673" s="13" t="n"/>
    </row>
    <row r="2674">
      <c r="A2674" s="12" t="n"/>
      <c r="D2674">
        <f>IFERROR(VLOOKUP(C2674,Cadastro_Produtos!A:B,2,FALSE),"")</f>
        <v/>
      </c>
      <c r="F2674" s="12" t="n"/>
      <c r="G2674" s="13" t="n"/>
    </row>
    <row r="2675">
      <c r="A2675" s="12" t="n"/>
      <c r="D2675">
        <f>IFERROR(VLOOKUP(C2675,Cadastro_Produtos!A:B,2,FALSE),"")</f>
        <v/>
      </c>
      <c r="F2675" s="12" t="n"/>
      <c r="G2675" s="13" t="n"/>
    </row>
    <row r="2676">
      <c r="A2676" s="12" t="n"/>
      <c r="D2676">
        <f>IFERROR(VLOOKUP(C2676,Cadastro_Produtos!A:B,2,FALSE),"")</f>
        <v/>
      </c>
      <c r="F2676" s="12" t="n"/>
      <c r="G2676" s="13" t="n"/>
    </row>
    <row r="2677">
      <c r="A2677" s="12" t="n"/>
      <c r="D2677">
        <f>IFERROR(VLOOKUP(C2677,Cadastro_Produtos!A:B,2,FALSE),"")</f>
        <v/>
      </c>
      <c r="F2677" s="12" t="n"/>
      <c r="G2677" s="13" t="n"/>
    </row>
    <row r="2678">
      <c r="A2678" s="12" t="n"/>
      <c r="D2678">
        <f>IFERROR(VLOOKUP(C2678,Cadastro_Produtos!A:B,2,FALSE),"")</f>
        <v/>
      </c>
      <c r="F2678" s="12" t="n"/>
      <c r="G2678" s="13" t="n"/>
    </row>
    <row r="2679">
      <c r="A2679" s="12" t="n"/>
      <c r="D2679">
        <f>IFERROR(VLOOKUP(C2679,Cadastro_Produtos!A:B,2,FALSE),"")</f>
        <v/>
      </c>
      <c r="F2679" s="12" t="n"/>
      <c r="G2679" s="13" t="n"/>
    </row>
    <row r="2680">
      <c r="A2680" s="12" t="n"/>
      <c r="D2680">
        <f>IFERROR(VLOOKUP(C2680,Cadastro_Produtos!A:B,2,FALSE),"")</f>
        <v/>
      </c>
      <c r="F2680" s="12" t="n"/>
      <c r="G2680" s="13" t="n"/>
    </row>
    <row r="2681">
      <c r="A2681" s="12" t="n"/>
      <c r="D2681">
        <f>IFERROR(VLOOKUP(C2681,Cadastro_Produtos!A:B,2,FALSE),"")</f>
        <v/>
      </c>
      <c r="F2681" s="12" t="n"/>
      <c r="G2681" s="13" t="n"/>
    </row>
    <row r="2682">
      <c r="A2682" s="12" t="n"/>
      <c r="D2682">
        <f>IFERROR(VLOOKUP(C2682,Cadastro_Produtos!A:B,2,FALSE),"")</f>
        <v/>
      </c>
      <c r="F2682" s="12" t="n"/>
      <c r="G2682" s="13" t="n"/>
    </row>
    <row r="2683">
      <c r="A2683" s="12" t="n"/>
      <c r="D2683">
        <f>IFERROR(VLOOKUP(C2683,Cadastro_Produtos!A:B,2,FALSE),"")</f>
        <v/>
      </c>
      <c r="F2683" s="12" t="n"/>
      <c r="G2683" s="13" t="n"/>
    </row>
    <row r="2684">
      <c r="A2684" s="12" t="n"/>
      <c r="D2684">
        <f>IFERROR(VLOOKUP(C2684,Cadastro_Produtos!A:B,2,FALSE),"")</f>
        <v/>
      </c>
      <c r="F2684" s="12" t="n"/>
      <c r="G2684" s="13" t="n"/>
    </row>
    <row r="2685">
      <c r="A2685" s="12" t="n"/>
      <c r="D2685">
        <f>IFERROR(VLOOKUP(C2685,Cadastro_Produtos!A:B,2,FALSE),"")</f>
        <v/>
      </c>
      <c r="F2685" s="12" t="n"/>
      <c r="G2685" s="13" t="n"/>
    </row>
    <row r="2686">
      <c r="A2686" s="12" t="n"/>
      <c r="D2686">
        <f>IFERROR(VLOOKUP(C2686,Cadastro_Produtos!A:B,2,FALSE),"")</f>
        <v/>
      </c>
      <c r="F2686" s="12" t="n"/>
      <c r="G2686" s="13" t="n"/>
    </row>
    <row r="2687">
      <c r="A2687" s="12" t="n"/>
      <c r="D2687">
        <f>IFERROR(VLOOKUP(C2687,Cadastro_Produtos!A:B,2,FALSE),"")</f>
        <v/>
      </c>
      <c r="F2687" s="12" t="n"/>
      <c r="G2687" s="13" t="n"/>
    </row>
    <row r="2688">
      <c r="A2688" s="12" t="n"/>
      <c r="D2688">
        <f>IFERROR(VLOOKUP(C2688,Cadastro_Produtos!A:B,2,FALSE),"")</f>
        <v/>
      </c>
      <c r="F2688" s="12" t="n"/>
      <c r="G2688" s="13" t="n"/>
    </row>
    <row r="2689">
      <c r="A2689" s="12" t="n"/>
      <c r="D2689">
        <f>IFERROR(VLOOKUP(C2689,Cadastro_Produtos!A:B,2,FALSE),"")</f>
        <v/>
      </c>
      <c r="F2689" s="12" t="n"/>
      <c r="G2689" s="13" t="n"/>
    </row>
    <row r="2690">
      <c r="A2690" s="12" t="n"/>
      <c r="D2690">
        <f>IFERROR(VLOOKUP(C2690,Cadastro_Produtos!A:B,2,FALSE),"")</f>
        <v/>
      </c>
      <c r="F2690" s="12" t="n"/>
      <c r="G2690" s="13" t="n"/>
    </row>
    <row r="2691">
      <c r="A2691" s="12" t="n"/>
      <c r="D2691">
        <f>IFERROR(VLOOKUP(C2691,Cadastro_Produtos!A:B,2,FALSE),"")</f>
        <v/>
      </c>
      <c r="F2691" s="12" t="n"/>
      <c r="G2691" s="13" t="n"/>
    </row>
    <row r="2692">
      <c r="A2692" s="12" t="n"/>
      <c r="D2692">
        <f>IFERROR(VLOOKUP(C2692,Cadastro_Produtos!A:B,2,FALSE),"")</f>
        <v/>
      </c>
      <c r="F2692" s="12" t="n"/>
      <c r="G2692" s="13" t="n"/>
    </row>
    <row r="2693">
      <c r="A2693" s="12" t="n"/>
      <c r="D2693">
        <f>IFERROR(VLOOKUP(C2693,Cadastro_Produtos!A:B,2,FALSE),"")</f>
        <v/>
      </c>
      <c r="F2693" s="12" t="n"/>
      <c r="G2693" s="13" t="n"/>
    </row>
    <row r="2694">
      <c r="A2694" s="12" t="n"/>
      <c r="D2694">
        <f>IFERROR(VLOOKUP(C2694,Cadastro_Produtos!A:B,2,FALSE),"")</f>
        <v/>
      </c>
      <c r="F2694" s="12" t="n"/>
      <c r="G2694" s="13" t="n"/>
    </row>
    <row r="2695">
      <c r="A2695" s="12" t="n"/>
      <c r="D2695">
        <f>IFERROR(VLOOKUP(C2695,Cadastro_Produtos!A:B,2,FALSE),"")</f>
        <v/>
      </c>
      <c r="F2695" s="12" t="n"/>
      <c r="G2695" s="13" t="n"/>
    </row>
    <row r="2696">
      <c r="A2696" s="12" t="n"/>
      <c r="D2696">
        <f>IFERROR(VLOOKUP(C2696,Cadastro_Produtos!A:B,2,FALSE),"")</f>
        <v/>
      </c>
      <c r="F2696" s="12" t="n"/>
      <c r="G2696" s="13" t="n"/>
    </row>
    <row r="2697">
      <c r="A2697" s="12" t="n"/>
      <c r="D2697">
        <f>IFERROR(VLOOKUP(C2697,Cadastro_Produtos!A:B,2,FALSE),"")</f>
        <v/>
      </c>
      <c r="F2697" s="12" t="n"/>
      <c r="G2697" s="13" t="n"/>
    </row>
    <row r="2698">
      <c r="A2698" s="12" t="n"/>
      <c r="D2698">
        <f>IFERROR(VLOOKUP(C2698,Cadastro_Produtos!A:B,2,FALSE),"")</f>
        <v/>
      </c>
      <c r="F2698" s="12" t="n"/>
      <c r="G2698" s="13" t="n"/>
    </row>
    <row r="2699">
      <c r="A2699" s="12" t="n"/>
      <c r="D2699">
        <f>IFERROR(VLOOKUP(C2699,Cadastro_Produtos!A:B,2,FALSE),"")</f>
        <v/>
      </c>
      <c r="F2699" s="12" t="n"/>
      <c r="G2699" s="13" t="n"/>
    </row>
    <row r="2700">
      <c r="A2700" s="12" t="n"/>
      <c r="D2700">
        <f>IFERROR(VLOOKUP(C2700,Cadastro_Produtos!A:B,2,FALSE),"")</f>
        <v/>
      </c>
      <c r="F2700" s="12" t="n"/>
      <c r="G2700" s="13" t="n"/>
    </row>
    <row r="2701">
      <c r="A2701" s="12" t="n"/>
      <c r="D2701">
        <f>IFERROR(VLOOKUP(C2701,Cadastro_Produtos!A:B,2,FALSE),"")</f>
        <v/>
      </c>
      <c r="F2701" s="12" t="n"/>
      <c r="G2701" s="13" t="n"/>
    </row>
    <row r="2702">
      <c r="A2702" s="12" t="n"/>
      <c r="D2702">
        <f>IFERROR(VLOOKUP(C2702,Cadastro_Produtos!A:B,2,FALSE),"")</f>
        <v/>
      </c>
      <c r="F2702" s="12" t="n"/>
      <c r="G2702" s="13" t="n"/>
    </row>
    <row r="2703">
      <c r="A2703" s="12" t="n"/>
      <c r="D2703">
        <f>IFERROR(VLOOKUP(C2703,Cadastro_Produtos!A:B,2,FALSE),"")</f>
        <v/>
      </c>
      <c r="F2703" s="12" t="n"/>
      <c r="G2703" s="13" t="n"/>
    </row>
    <row r="2704">
      <c r="A2704" s="12" t="n"/>
      <c r="D2704">
        <f>IFERROR(VLOOKUP(C2704,Cadastro_Produtos!A:B,2,FALSE),"")</f>
        <v/>
      </c>
      <c r="F2704" s="12" t="n"/>
      <c r="G2704" s="13" t="n"/>
    </row>
    <row r="2705">
      <c r="A2705" s="12" t="n"/>
      <c r="D2705">
        <f>IFERROR(VLOOKUP(C2705,Cadastro_Produtos!A:B,2,FALSE),"")</f>
        <v/>
      </c>
      <c r="F2705" s="12" t="n"/>
      <c r="G2705" s="13" t="n"/>
    </row>
    <row r="2706">
      <c r="A2706" s="12" t="n"/>
      <c r="D2706">
        <f>IFERROR(VLOOKUP(C2706,Cadastro_Produtos!A:B,2,FALSE),"")</f>
        <v/>
      </c>
      <c r="F2706" s="12" t="n"/>
      <c r="G2706" s="13" t="n"/>
    </row>
    <row r="2707">
      <c r="A2707" s="12" t="n"/>
      <c r="D2707">
        <f>IFERROR(VLOOKUP(C2707,Cadastro_Produtos!A:B,2,FALSE),"")</f>
        <v/>
      </c>
      <c r="F2707" s="12" t="n"/>
      <c r="G2707" s="13" t="n"/>
    </row>
    <row r="2708">
      <c r="A2708" s="12" t="n"/>
      <c r="D2708">
        <f>IFERROR(VLOOKUP(C2708,Cadastro_Produtos!A:B,2,FALSE),"")</f>
        <v/>
      </c>
      <c r="F2708" s="12" t="n"/>
      <c r="G2708" s="13" t="n"/>
    </row>
    <row r="2709">
      <c r="A2709" s="12" t="n"/>
      <c r="D2709">
        <f>IFERROR(VLOOKUP(C2709,Cadastro_Produtos!A:B,2,FALSE),"")</f>
        <v/>
      </c>
      <c r="F2709" s="12" t="n"/>
      <c r="G2709" s="13" t="n"/>
    </row>
    <row r="2710">
      <c r="A2710" s="12" t="n"/>
      <c r="D2710">
        <f>IFERROR(VLOOKUP(C2710,Cadastro_Produtos!A:B,2,FALSE),"")</f>
        <v/>
      </c>
      <c r="F2710" s="12" t="n"/>
      <c r="G2710" s="13" t="n"/>
    </row>
    <row r="2711">
      <c r="A2711" s="12" t="n"/>
      <c r="D2711">
        <f>IFERROR(VLOOKUP(C2711,Cadastro_Produtos!A:B,2,FALSE),"")</f>
        <v/>
      </c>
      <c r="F2711" s="12" t="n"/>
      <c r="G2711" s="13" t="n"/>
    </row>
    <row r="2712">
      <c r="A2712" s="12" t="n"/>
      <c r="D2712">
        <f>IFERROR(VLOOKUP(C2712,Cadastro_Produtos!A:B,2,FALSE),"")</f>
        <v/>
      </c>
      <c r="F2712" s="12" t="n"/>
      <c r="G2712" s="13" t="n"/>
    </row>
    <row r="2713">
      <c r="A2713" s="12" t="n"/>
      <c r="D2713">
        <f>IFERROR(VLOOKUP(C2713,Cadastro_Produtos!A:B,2,FALSE),"")</f>
        <v/>
      </c>
      <c r="F2713" s="12" t="n"/>
      <c r="G2713" s="13" t="n"/>
    </row>
    <row r="2714">
      <c r="A2714" s="12" t="n"/>
      <c r="D2714">
        <f>IFERROR(VLOOKUP(C2714,Cadastro_Produtos!A:B,2,FALSE),"")</f>
        <v/>
      </c>
      <c r="F2714" s="12" t="n"/>
      <c r="G2714" s="13" t="n"/>
    </row>
    <row r="2715">
      <c r="A2715" s="12" t="n"/>
      <c r="D2715">
        <f>IFERROR(VLOOKUP(C2715,Cadastro_Produtos!A:B,2,FALSE),"")</f>
        <v/>
      </c>
      <c r="F2715" s="12" t="n"/>
      <c r="G2715" s="13" t="n"/>
    </row>
    <row r="2716">
      <c r="A2716" s="12" t="n"/>
      <c r="D2716">
        <f>IFERROR(VLOOKUP(C2716,Cadastro_Produtos!A:B,2,FALSE),"")</f>
        <v/>
      </c>
      <c r="F2716" s="12" t="n"/>
      <c r="G2716" s="13" t="n"/>
    </row>
    <row r="2717">
      <c r="A2717" s="12" t="n"/>
      <c r="D2717">
        <f>IFERROR(VLOOKUP(C2717,Cadastro_Produtos!A:B,2,FALSE),"")</f>
        <v/>
      </c>
      <c r="F2717" s="12" t="n"/>
      <c r="G2717" s="13" t="n"/>
    </row>
    <row r="2718">
      <c r="A2718" s="12" t="n"/>
      <c r="D2718">
        <f>IFERROR(VLOOKUP(C2718,Cadastro_Produtos!A:B,2,FALSE),"")</f>
        <v/>
      </c>
      <c r="F2718" s="12" t="n"/>
      <c r="G2718" s="13" t="n"/>
    </row>
    <row r="2719">
      <c r="A2719" s="12" t="n"/>
      <c r="D2719">
        <f>IFERROR(VLOOKUP(C2719,Cadastro_Produtos!A:B,2,FALSE),"")</f>
        <v/>
      </c>
      <c r="F2719" s="12" t="n"/>
      <c r="G2719" s="13" t="n"/>
    </row>
    <row r="2720">
      <c r="A2720" s="12" t="n"/>
      <c r="D2720">
        <f>IFERROR(VLOOKUP(C2720,Cadastro_Produtos!A:B,2,FALSE),"")</f>
        <v/>
      </c>
      <c r="F2720" s="12" t="n"/>
      <c r="G2720" s="13" t="n"/>
    </row>
    <row r="2721">
      <c r="A2721" s="12" t="n"/>
      <c r="D2721">
        <f>IFERROR(VLOOKUP(C2721,Cadastro_Produtos!A:B,2,FALSE),"")</f>
        <v/>
      </c>
      <c r="F2721" s="12" t="n"/>
      <c r="G2721" s="13" t="n"/>
    </row>
    <row r="2722">
      <c r="A2722" s="12" t="n"/>
      <c r="D2722">
        <f>IFERROR(VLOOKUP(C2722,Cadastro_Produtos!A:B,2,FALSE),"")</f>
        <v/>
      </c>
      <c r="F2722" s="12" t="n"/>
      <c r="G2722" s="13" t="n"/>
    </row>
    <row r="2723">
      <c r="A2723" s="12" t="n"/>
      <c r="D2723">
        <f>IFERROR(VLOOKUP(C2723,Cadastro_Produtos!A:B,2,FALSE),"")</f>
        <v/>
      </c>
      <c r="F2723" s="12" t="n"/>
      <c r="G2723" s="13" t="n"/>
    </row>
    <row r="2724">
      <c r="A2724" s="12" t="n"/>
      <c r="D2724">
        <f>IFERROR(VLOOKUP(C2724,Cadastro_Produtos!A:B,2,FALSE),"")</f>
        <v/>
      </c>
      <c r="F2724" s="12" t="n"/>
      <c r="G2724" s="13" t="n"/>
    </row>
    <row r="2725">
      <c r="A2725" s="12" t="n"/>
      <c r="D2725">
        <f>IFERROR(VLOOKUP(C2725,Cadastro_Produtos!A:B,2,FALSE),"")</f>
        <v/>
      </c>
      <c r="F2725" s="12" t="n"/>
      <c r="G2725" s="13" t="n"/>
    </row>
    <row r="2726">
      <c r="A2726" s="12" t="n"/>
      <c r="D2726">
        <f>IFERROR(VLOOKUP(C2726,Cadastro_Produtos!A:B,2,FALSE),"")</f>
        <v/>
      </c>
      <c r="F2726" s="12" t="n"/>
      <c r="G2726" s="13" t="n"/>
    </row>
    <row r="2727">
      <c r="A2727" s="12" t="n"/>
      <c r="D2727">
        <f>IFERROR(VLOOKUP(C2727,Cadastro_Produtos!A:B,2,FALSE),"")</f>
        <v/>
      </c>
      <c r="F2727" s="12" t="n"/>
      <c r="G2727" s="13" t="n"/>
    </row>
    <row r="2728">
      <c r="A2728" s="12" t="n"/>
      <c r="D2728">
        <f>IFERROR(VLOOKUP(C2728,Cadastro_Produtos!A:B,2,FALSE),"")</f>
        <v/>
      </c>
      <c r="F2728" s="12" t="n"/>
      <c r="G2728" s="13" t="n"/>
    </row>
    <row r="2729">
      <c r="A2729" s="12" t="n"/>
      <c r="D2729">
        <f>IFERROR(VLOOKUP(C2729,Cadastro_Produtos!A:B,2,FALSE),"")</f>
        <v/>
      </c>
      <c r="F2729" s="12" t="n"/>
      <c r="G2729" s="13" t="n"/>
    </row>
    <row r="2730">
      <c r="A2730" s="12" t="n"/>
      <c r="D2730">
        <f>IFERROR(VLOOKUP(C2730,Cadastro_Produtos!A:B,2,FALSE),"")</f>
        <v/>
      </c>
      <c r="F2730" s="12" t="n"/>
      <c r="G2730" s="13" t="n"/>
    </row>
    <row r="2731">
      <c r="A2731" s="12" t="n"/>
      <c r="D2731">
        <f>IFERROR(VLOOKUP(C2731,Cadastro_Produtos!A:B,2,FALSE),"")</f>
        <v/>
      </c>
      <c r="F2731" s="12" t="n"/>
      <c r="G2731" s="13" t="n"/>
    </row>
    <row r="2732">
      <c r="A2732" s="12" t="n"/>
      <c r="D2732">
        <f>IFERROR(VLOOKUP(C2732,Cadastro_Produtos!A:B,2,FALSE),"")</f>
        <v/>
      </c>
      <c r="F2732" s="12" t="n"/>
      <c r="G2732" s="13" t="n"/>
    </row>
    <row r="2733">
      <c r="A2733" s="12" t="n"/>
      <c r="D2733">
        <f>IFERROR(VLOOKUP(C2733,Cadastro_Produtos!A:B,2,FALSE),"")</f>
        <v/>
      </c>
      <c r="F2733" s="12" t="n"/>
      <c r="G2733" s="13" t="n"/>
    </row>
    <row r="2734">
      <c r="A2734" s="12" t="n"/>
      <c r="D2734">
        <f>IFERROR(VLOOKUP(C2734,Cadastro_Produtos!A:B,2,FALSE),"")</f>
        <v/>
      </c>
      <c r="F2734" s="12" t="n"/>
      <c r="G2734" s="13" t="n"/>
    </row>
    <row r="2735">
      <c r="A2735" s="12" t="n"/>
      <c r="D2735">
        <f>IFERROR(VLOOKUP(C2735,Cadastro_Produtos!A:B,2,FALSE),"")</f>
        <v/>
      </c>
      <c r="F2735" s="12" t="n"/>
      <c r="G2735" s="13" t="n"/>
    </row>
    <row r="2736">
      <c r="A2736" s="12" t="n"/>
      <c r="D2736">
        <f>IFERROR(VLOOKUP(C2736,Cadastro_Produtos!A:B,2,FALSE),"")</f>
        <v/>
      </c>
      <c r="F2736" s="12" t="n"/>
      <c r="G2736" s="13" t="n"/>
    </row>
    <row r="2737">
      <c r="A2737" s="12" t="n"/>
      <c r="D2737">
        <f>IFERROR(VLOOKUP(C2737,Cadastro_Produtos!A:B,2,FALSE),"")</f>
        <v/>
      </c>
      <c r="F2737" s="12" t="n"/>
      <c r="G2737" s="13" t="n"/>
    </row>
    <row r="2738">
      <c r="A2738" s="12" t="n"/>
      <c r="D2738">
        <f>IFERROR(VLOOKUP(C2738,Cadastro_Produtos!A:B,2,FALSE),"")</f>
        <v/>
      </c>
      <c r="F2738" s="12" t="n"/>
      <c r="G2738" s="13" t="n"/>
    </row>
    <row r="2739">
      <c r="A2739" s="12" t="n"/>
      <c r="D2739">
        <f>IFERROR(VLOOKUP(C2739,Cadastro_Produtos!A:B,2,FALSE),"")</f>
        <v/>
      </c>
      <c r="F2739" s="12" t="n"/>
      <c r="G2739" s="13" t="n"/>
    </row>
    <row r="2740">
      <c r="A2740" s="12" t="n"/>
      <c r="D2740">
        <f>IFERROR(VLOOKUP(C2740,Cadastro_Produtos!A:B,2,FALSE),"")</f>
        <v/>
      </c>
      <c r="F2740" s="12" t="n"/>
      <c r="G2740" s="13" t="n"/>
    </row>
    <row r="2741">
      <c r="A2741" s="12" t="n"/>
      <c r="D2741">
        <f>IFERROR(VLOOKUP(C2741,Cadastro_Produtos!A:B,2,FALSE),"")</f>
        <v/>
      </c>
      <c r="F2741" s="12" t="n"/>
      <c r="G2741" s="13" t="n"/>
    </row>
    <row r="2742">
      <c r="A2742" s="12" t="n"/>
      <c r="D2742">
        <f>IFERROR(VLOOKUP(C2742,Cadastro_Produtos!A:B,2,FALSE),"")</f>
        <v/>
      </c>
      <c r="F2742" s="12" t="n"/>
      <c r="G2742" s="13" t="n"/>
    </row>
    <row r="2743">
      <c r="A2743" s="12" t="n"/>
      <c r="D2743">
        <f>IFERROR(VLOOKUP(C2743,Cadastro_Produtos!A:B,2,FALSE),"")</f>
        <v/>
      </c>
      <c r="F2743" s="12" t="n"/>
      <c r="G2743" s="13" t="n"/>
    </row>
    <row r="2744">
      <c r="A2744" s="12" t="n"/>
      <c r="D2744">
        <f>IFERROR(VLOOKUP(C2744,Cadastro_Produtos!A:B,2,FALSE),"")</f>
        <v/>
      </c>
      <c r="F2744" s="12" t="n"/>
      <c r="G2744" s="13" t="n"/>
    </row>
    <row r="2745">
      <c r="A2745" s="12" t="n"/>
      <c r="D2745">
        <f>IFERROR(VLOOKUP(C2745,Cadastro_Produtos!A:B,2,FALSE),"")</f>
        <v/>
      </c>
      <c r="F2745" s="12" t="n"/>
      <c r="G2745" s="13" t="n"/>
    </row>
    <row r="2746">
      <c r="A2746" s="12" t="n"/>
      <c r="D2746">
        <f>IFERROR(VLOOKUP(C2746,Cadastro_Produtos!A:B,2,FALSE),"")</f>
        <v/>
      </c>
      <c r="F2746" s="12" t="n"/>
      <c r="G2746" s="13" t="n"/>
    </row>
    <row r="2747">
      <c r="A2747" s="12" t="n"/>
      <c r="D2747">
        <f>IFERROR(VLOOKUP(C2747,Cadastro_Produtos!A:B,2,FALSE),"")</f>
        <v/>
      </c>
      <c r="F2747" s="12" t="n"/>
      <c r="G2747" s="13" t="n"/>
    </row>
    <row r="2748">
      <c r="A2748" s="12" t="n"/>
      <c r="D2748">
        <f>IFERROR(VLOOKUP(C2748,Cadastro_Produtos!A:B,2,FALSE),"")</f>
        <v/>
      </c>
      <c r="F2748" s="12" t="n"/>
      <c r="G2748" s="13" t="n"/>
    </row>
    <row r="2749">
      <c r="A2749" s="12" t="n"/>
      <c r="D2749">
        <f>IFERROR(VLOOKUP(C2749,Cadastro_Produtos!A:B,2,FALSE),"")</f>
        <v/>
      </c>
      <c r="F2749" s="12" t="n"/>
      <c r="G2749" s="13" t="n"/>
    </row>
    <row r="2750">
      <c r="A2750" s="12" t="n"/>
      <c r="D2750">
        <f>IFERROR(VLOOKUP(C2750,Cadastro_Produtos!A:B,2,FALSE),"")</f>
        <v/>
      </c>
      <c r="F2750" s="12" t="n"/>
      <c r="G2750" s="13" t="n"/>
    </row>
    <row r="2751">
      <c r="A2751" s="12" t="n"/>
      <c r="D2751">
        <f>IFERROR(VLOOKUP(C2751,Cadastro_Produtos!A:B,2,FALSE),"")</f>
        <v/>
      </c>
      <c r="F2751" s="12" t="n"/>
      <c r="G2751" s="13" t="n"/>
    </row>
    <row r="2752">
      <c r="A2752" s="12" t="n"/>
      <c r="D2752">
        <f>IFERROR(VLOOKUP(C2752,Cadastro_Produtos!A:B,2,FALSE),"")</f>
        <v/>
      </c>
      <c r="F2752" s="12" t="n"/>
      <c r="G2752" s="13" t="n"/>
    </row>
    <row r="2753">
      <c r="A2753" s="12" t="n"/>
      <c r="D2753">
        <f>IFERROR(VLOOKUP(C2753,Cadastro_Produtos!A:B,2,FALSE),"")</f>
        <v/>
      </c>
      <c r="F2753" s="12" t="n"/>
      <c r="G2753" s="13" t="n"/>
    </row>
    <row r="2754">
      <c r="A2754" s="12" t="n"/>
      <c r="D2754">
        <f>IFERROR(VLOOKUP(C2754,Cadastro_Produtos!A:B,2,FALSE),"")</f>
        <v/>
      </c>
      <c r="F2754" s="12" t="n"/>
      <c r="G2754" s="13" t="n"/>
    </row>
    <row r="2755">
      <c r="A2755" s="12" t="n"/>
      <c r="D2755">
        <f>IFERROR(VLOOKUP(C2755,Cadastro_Produtos!A:B,2,FALSE),"")</f>
        <v/>
      </c>
      <c r="F2755" s="12" t="n"/>
      <c r="G2755" s="13" t="n"/>
    </row>
    <row r="2756">
      <c r="A2756" s="12" t="n"/>
      <c r="D2756">
        <f>IFERROR(VLOOKUP(C2756,Cadastro_Produtos!A:B,2,FALSE),"")</f>
        <v/>
      </c>
      <c r="F2756" s="12" t="n"/>
      <c r="G2756" s="13" t="n"/>
    </row>
    <row r="2757">
      <c r="A2757" s="12" t="n"/>
      <c r="D2757">
        <f>IFERROR(VLOOKUP(C2757,Cadastro_Produtos!A:B,2,FALSE),"")</f>
        <v/>
      </c>
      <c r="F2757" s="12" t="n"/>
      <c r="G2757" s="13" t="n"/>
    </row>
    <row r="2758">
      <c r="A2758" s="12" t="n"/>
      <c r="D2758">
        <f>IFERROR(VLOOKUP(C2758,Cadastro_Produtos!A:B,2,FALSE),"")</f>
        <v/>
      </c>
      <c r="F2758" s="12" t="n"/>
      <c r="G2758" s="13" t="n"/>
    </row>
    <row r="2759">
      <c r="A2759" s="12" t="n"/>
      <c r="D2759">
        <f>IFERROR(VLOOKUP(C2759,Cadastro_Produtos!A:B,2,FALSE),"")</f>
        <v/>
      </c>
      <c r="F2759" s="12" t="n"/>
      <c r="G2759" s="13" t="n"/>
    </row>
    <row r="2760">
      <c r="A2760" s="12" t="n"/>
      <c r="D2760">
        <f>IFERROR(VLOOKUP(C2760,Cadastro_Produtos!A:B,2,FALSE),"")</f>
        <v/>
      </c>
      <c r="F2760" s="12" t="n"/>
      <c r="G2760" s="13" t="n"/>
    </row>
    <row r="2761">
      <c r="A2761" s="12" t="n"/>
      <c r="D2761">
        <f>IFERROR(VLOOKUP(C2761,Cadastro_Produtos!A:B,2,FALSE),"")</f>
        <v/>
      </c>
      <c r="F2761" s="12" t="n"/>
      <c r="G2761" s="13" t="n"/>
    </row>
    <row r="2762">
      <c r="A2762" s="12" t="n"/>
      <c r="D2762">
        <f>IFERROR(VLOOKUP(C2762,Cadastro_Produtos!A:B,2,FALSE),"")</f>
        <v/>
      </c>
      <c r="F2762" s="12" t="n"/>
      <c r="G2762" s="13" t="n"/>
    </row>
    <row r="2763">
      <c r="A2763" s="12" t="n"/>
      <c r="D2763">
        <f>IFERROR(VLOOKUP(C2763,Cadastro_Produtos!A:B,2,FALSE),"")</f>
        <v/>
      </c>
      <c r="F2763" s="12" t="n"/>
      <c r="G2763" s="13" t="n"/>
    </row>
    <row r="2764">
      <c r="A2764" s="12" t="n"/>
      <c r="D2764">
        <f>IFERROR(VLOOKUP(C2764,Cadastro_Produtos!A:B,2,FALSE),"")</f>
        <v/>
      </c>
      <c r="F2764" s="12" t="n"/>
      <c r="G2764" s="13" t="n"/>
    </row>
    <row r="2765">
      <c r="A2765" s="12" t="n"/>
      <c r="D2765">
        <f>IFERROR(VLOOKUP(C2765,Cadastro_Produtos!A:B,2,FALSE),"")</f>
        <v/>
      </c>
      <c r="F2765" s="12" t="n"/>
      <c r="G2765" s="13" t="n"/>
    </row>
    <row r="2766">
      <c r="A2766" s="12" t="n"/>
      <c r="D2766">
        <f>IFERROR(VLOOKUP(C2766,Cadastro_Produtos!A:B,2,FALSE),"")</f>
        <v/>
      </c>
      <c r="F2766" s="12" t="n"/>
      <c r="G2766" s="13" t="n"/>
    </row>
    <row r="2767">
      <c r="A2767" s="12" t="n"/>
      <c r="D2767">
        <f>IFERROR(VLOOKUP(C2767,Cadastro_Produtos!A:B,2,FALSE),"")</f>
        <v/>
      </c>
      <c r="F2767" s="12" t="n"/>
      <c r="G2767" s="13" t="n"/>
    </row>
    <row r="2768">
      <c r="A2768" s="12" t="n"/>
      <c r="D2768">
        <f>IFERROR(VLOOKUP(C2768,Cadastro_Produtos!A:B,2,FALSE),"")</f>
        <v/>
      </c>
      <c r="F2768" s="12" t="n"/>
      <c r="G2768" s="13" t="n"/>
    </row>
    <row r="2769">
      <c r="A2769" s="12" t="n"/>
      <c r="D2769">
        <f>IFERROR(VLOOKUP(C2769,Cadastro_Produtos!A:B,2,FALSE),"")</f>
        <v/>
      </c>
      <c r="F2769" s="12" t="n"/>
      <c r="G2769" s="13" t="n"/>
    </row>
    <row r="2770">
      <c r="A2770" s="12" t="n"/>
      <c r="D2770">
        <f>IFERROR(VLOOKUP(C2770,Cadastro_Produtos!A:B,2,FALSE),"")</f>
        <v/>
      </c>
      <c r="F2770" s="12" t="n"/>
      <c r="G2770" s="13" t="n"/>
    </row>
    <row r="2771">
      <c r="A2771" s="12" t="n"/>
      <c r="D2771">
        <f>IFERROR(VLOOKUP(C2771,Cadastro_Produtos!A:B,2,FALSE),"")</f>
        <v/>
      </c>
      <c r="F2771" s="12" t="n"/>
      <c r="G2771" s="13" t="n"/>
    </row>
    <row r="2772">
      <c r="A2772" s="12" t="n"/>
      <c r="D2772">
        <f>IFERROR(VLOOKUP(C2772,Cadastro_Produtos!A:B,2,FALSE),"")</f>
        <v/>
      </c>
      <c r="F2772" s="12" t="n"/>
      <c r="G2772" s="13" t="n"/>
    </row>
    <row r="2773">
      <c r="A2773" s="12" t="n"/>
      <c r="D2773">
        <f>IFERROR(VLOOKUP(C2773,Cadastro_Produtos!A:B,2,FALSE),"")</f>
        <v/>
      </c>
      <c r="F2773" s="12" t="n"/>
      <c r="G2773" s="13" t="n"/>
    </row>
    <row r="2774">
      <c r="A2774" s="12" t="n"/>
      <c r="D2774">
        <f>IFERROR(VLOOKUP(C2774,Cadastro_Produtos!A:B,2,FALSE),"")</f>
        <v/>
      </c>
      <c r="F2774" s="12" t="n"/>
      <c r="G2774" s="13" t="n"/>
    </row>
    <row r="2775">
      <c r="A2775" s="12" t="n"/>
      <c r="D2775">
        <f>IFERROR(VLOOKUP(C2775,Cadastro_Produtos!A:B,2,FALSE),"")</f>
        <v/>
      </c>
      <c r="F2775" s="12" t="n"/>
      <c r="G2775" s="13" t="n"/>
    </row>
    <row r="2776">
      <c r="A2776" s="12" t="n"/>
      <c r="D2776">
        <f>IFERROR(VLOOKUP(C2776,Cadastro_Produtos!A:B,2,FALSE),"")</f>
        <v/>
      </c>
      <c r="F2776" s="12" t="n"/>
      <c r="G2776" s="13" t="n"/>
    </row>
    <row r="2777">
      <c r="A2777" s="12" t="n"/>
      <c r="D2777">
        <f>IFERROR(VLOOKUP(C2777,Cadastro_Produtos!A:B,2,FALSE),"")</f>
        <v/>
      </c>
      <c r="F2777" s="12" t="n"/>
      <c r="G2777" s="13" t="n"/>
    </row>
    <row r="2778">
      <c r="A2778" s="12" t="n"/>
      <c r="D2778">
        <f>IFERROR(VLOOKUP(C2778,Cadastro_Produtos!A:B,2,FALSE),"")</f>
        <v/>
      </c>
      <c r="F2778" s="12" t="n"/>
      <c r="G2778" s="13" t="n"/>
    </row>
    <row r="2779">
      <c r="A2779" s="12" t="n"/>
      <c r="D2779">
        <f>IFERROR(VLOOKUP(C2779,Cadastro_Produtos!A:B,2,FALSE),"")</f>
        <v/>
      </c>
      <c r="F2779" s="12" t="n"/>
      <c r="G2779" s="13" t="n"/>
    </row>
    <row r="2780">
      <c r="A2780" s="12" t="n"/>
      <c r="D2780">
        <f>IFERROR(VLOOKUP(C2780,Cadastro_Produtos!A:B,2,FALSE),"")</f>
        <v/>
      </c>
      <c r="F2780" s="12" t="n"/>
      <c r="G2780" s="13" t="n"/>
    </row>
    <row r="2781">
      <c r="A2781" s="12" t="n"/>
      <c r="D2781">
        <f>IFERROR(VLOOKUP(C2781,Cadastro_Produtos!A:B,2,FALSE),"")</f>
        <v/>
      </c>
      <c r="F2781" s="12" t="n"/>
      <c r="G2781" s="13" t="n"/>
    </row>
    <row r="2782">
      <c r="A2782" s="12" t="n"/>
      <c r="D2782">
        <f>IFERROR(VLOOKUP(C2782,Cadastro_Produtos!A:B,2,FALSE),"")</f>
        <v/>
      </c>
      <c r="F2782" s="12" t="n"/>
      <c r="G2782" s="13" t="n"/>
    </row>
    <row r="2783">
      <c r="A2783" s="12" t="n"/>
      <c r="D2783">
        <f>IFERROR(VLOOKUP(C2783,Cadastro_Produtos!A:B,2,FALSE),"")</f>
        <v/>
      </c>
      <c r="F2783" s="12" t="n"/>
      <c r="G2783" s="13" t="n"/>
    </row>
    <row r="2784">
      <c r="A2784" s="12" t="n"/>
      <c r="D2784">
        <f>IFERROR(VLOOKUP(C2784,Cadastro_Produtos!A:B,2,FALSE),"")</f>
        <v/>
      </c>
      <c r="F2784" s="12" t="n"/>
      <c r="G2784" s="13" t="n"/>
    </row>
    <row r="2785">
      <c r="A2785" s="12" t="n"/>
      <c r="D2785">
        <f>IFERROR(VLOOKUP(C2785,Cadastro_Produtos!A:B,2,FALSE),"")</f>
        <v/>
      </c>
      <c r="F2785" s="12" t="n"/>
      <c r="G2785" s="13" t="n"/>
    </row>
    <row r="2786">
      <c r="A2786" s="12" t="n"/>
      <c r="D2786">
        <f>IFERROR(VLOOKUP(C2786,Cadastro_Produtos!A:B,2,FALSE),"")</f>
        <v/>
      </c>
      <c r="F2786" s="12" t="n"/>
      <c r="G2786" s="13" t="n"/>
    </row>
    <row r="2787">
      <c r="A2787" s="12" t="n"/>
      <c r="D2787">
        <f>IFERROR(VLOOKUP(C2787,Cadastro_Produtos!A:B,2,FALSE),"")</f>
        <v/>
      </c>
      <c r="F2787" s="12" t="n"/>
      <c r="G2787" s="13" t="n"/>
    </row>
    <row r="2788">
      <c r="A2788" s="12" t="n"/>
      <c r="D2788">
        <f>IFERROR(VLOOKUP(C2788,Cadastro_Produtos!A:B,2,FALSE),"")</f>
        <v/>
      </c>
      <c r="F2788" s="12" t="n"/>
      <c r="G2788" s="13" t="n"/>
    </row>
    <row r="2789">
      <c r="A2789" s="12" t="n"/>
      <c r="D2789">
        <f>IFERROR(VLOOKUP(C2789,Cadastro_Produtos!A:B,2,FALSE),"")</f>
        <v/>
      </c>
      <c r="F2789" s="12" t="n"/>
      <c r="G2789" s="13" t="n"/>
    </row>
    <row r="2790">
      <c r="A2790" s="12" t="n"/>
      <c r="D2790">
        <f>IFERROR(VLOOKUP(C2790,Cadastro_Produtos!A:B,2,FALSE),"")</f>
        <v/>
      </c>
      <c r="F2790" s="12" t="n"/>
      <c r="G2790" s="13" t="n"/>
    </row>
    <row r="2791">
      <c r="A2791" s="12" t="n"/>
      <c r="D2791">
        <f>IFERROR(VLOOKUP(C2791,Cadastro_Produtos!A:B,2,FALSE),"")</f>
        <v/>
      </c>
      <c r="F2791" s="12" t="n"/>
      <c r="G2791" s="13" t="n"/>
    </row>
    <row r="2792">
      <c r="A2792" s="12" t="n"/>
      <c r="D2792">
        <f>IFERROR(VLOOKUP(C2792,Cadastro_Produtos!A:B,2,FALSE),"")</f>
        <v/>
      </c>
      <c r="F2792" s="12" t="n"/>
      <c r="G2792" s="13" t="n"/>
    </row>
    <row r="2793">
      <c r="A2793" s="12" t="n"/>
      <c r="D2793">
        <f>IFERROR(VLOOKUP(C2793,Cadastro_Produtos!A:B,2,FALSE),"")</f>
        <v/>
      </c>
      <c r="F2793" s="12" t="n"/>
      <c r="G2793" s="13" t="n"/>
    </row>
    <row r="2794">
      <c r="A2794" s="12" t="n"/>
      <c r="D2794">
        <f>IFERROR(VLOOKUP(C2794,Cadastro_Produtos!A:B,2,FALSE),"")</f>
        <v/>
      </c>
      <c r="F2794" s="12" t="n"/>
      <c r="G2794" s="13" t="n"/>
    </row>
    <row r="2795">
      <c r="A2795" s="12" t="n"/>
      <c r="D2795">
        <f>IFERROR(VLOOKUP(C2795,Cadastro_Produtos!A:B,2,FALSE),"")</f>
        <v/>
      </c>
      <c r="F2795" s="12" t="n"/>
      <c r="G2795" s="13" t="n"/>
    </row>
    <row r="2796">
      <c r="A2796" s="12" t="n"/>
      <c r="D2796">
        <f>IFERROR(VLOOKUP(C2796,Cadastro_Produtos!A:B,2,FALSE),"")</f>
        <v/>
      </c>
      <c r="F2796" s="12" t="n"/>
      <c r="G2796" s="13" t="n"/>
    </row>
    <row r="2797">
      <c r="A2797" s="12" t="n"/>
      <c r="D2797">
        <f>IFERROR(VLOOKUP(C2797,Cadastro_Produtos!A:B,2,FALSE),"")</f>
        <v/>
      </c>
      <c r="F2797" s="12" t="n"/>
      <c r="G2797" s="13" t="n"/>
    </row>
    <row r="2798">
      <c r="A2798" s="12" t="n"/>
      <c r="D2798">
        <f>IFERROR(VLOOKUP(C2798,Cadastro_Produtos!A:B,2,FALSE),"")</f>
        <v/>
      </c>
      <c r="F2798" s="12" t="n"/>
      <c r="G2798" s="13" t="n"/>
    </row>
    <row r="2799">
      <c r="A2799" s="12" t="n"/>
      <c r="D2799">
        <f>IFERROR(VLOOKUP(C2799,Cadastro_Produtos!A:B,2,FALSE),"")</f>
        <v/>
      </c>
      <c r="F2799" s="12" t="n"/>
      <c r="G2799" s="13" t="n"/>
    </row>
    <row r="2800">
      <c r="A2800" s="12" t="n"/>
      <c r="D2800">
        <f>IFERROR(VLOOKUP(C2800,Cadastro_Produtos!A:B,2,FALSE),"")</f>
        <v/>
      </c>
      <c r="F2800" s="12" t="n"/>
      <c r="G2800" s="13" t="n"/>
    </row>
    <row r="2801">
      <c r="A2801" s="12" t="n"/>
      <c r="D2801">
        <f>IFERROR(VLOOKUP(C2801,Cadastro_Produtos!A:B,2,FALSE),"")</f>
        <v/>
      </c>
      <c r="F2801" s="12" t="n"/>
      <c r="G2801" s="13" t="n"/>
    </row>
    <row r="2802">
      <c r="A2802" s="12" t="n"/>
      <c r="D2802">
        <f>IFERROR(VLOOKUP(C2802,Cadastro_Produtos!A:B,2,FALSE),"")</f>
        <v/>
      </c>
      <c r="F2802" s="12" t="n"/>
      <c r="G2802" s="13" t="n"/>
    </row>
    <row r="2803">
      <c r="A2803" s="12" t="n"/>
      <c r="D2803">
        <f>IFERROR(VLOOKUP(C2803,Cadastro_Produtos!A:B,2,FALSE),"")</f>
        <v/>
      </c>
      <c r="F2803" s="12" t="n"/>
      <c r="G2803" s="13" t="n"/>
    </row>
    <row r="2804">
      <c r="A2804" s="12" t="n"/>
      <c r="D2804">
        <f>IFERROR(VLOOKUP(C2804,Cadastro_Produtos!A:B,2,FALSE),"")</f>
        <v/>
      </c>
      <c r="F2804" s="12" t="n"/>
      <c r="G2804" s="13" t="n"/>
    </row>
    <row r="2805">
      <c r="A2805" s="12" t="n"/>
      <c r="D2805">
        <f>IFERROR(VLOOKUP(C2805,Cadastro_Produtos!A:B,2,FALSE),"")</f>
        <v/>
      </c>
      <c r="F2805" s="12" t="n"/>
      <c r="G2805" s="13" t="n"/>
    </row>
    <row r="2806">
      <c r="A2806" s="12" t="n"/>
      <c r="D2806">
        <f>IFERROR(VLOOKUP(C2806,Cadastro_Produtos!A:B,2,FALSE),"")</f>
        <v/>
      </c>
      <c r="F2806" s="12" t="n"/>
      <c r="G2806" s="13" t="n"/>
    </row>
    <row r="2807">
      <c r="A2807" s="12" t="n"/>
      <c r="D2807">
        <f>IFERROR(VLOOKUP(C2807,Cadastro_Produtos!A:B,2,FALSE),"")</f>
        <v/>
      </c>
      <c r="F2807" s="12" t="n"/>
      <c r="G2807" s="13" t="n"/>
    </row>
    <row r="2808">
      <c r="A2808" s="12" t="n"/>
      <c r="D2808">
        <f>IFERROR(VLOOKUP(C2808,Cadastro_Produtos!A:B,2,FALSE),"")</f>
        <v/>
      </c>
      <c r="F2808" s="12" t="n"/>
      <c r="G2808" s="13" t="n"/>
    </row>
    <row r="2809">
      <c r="A2809" s="12" t="n"/>
      <c r="D2809">
        <f>IFERROR(VLOOKUP(C2809,Cadastro_Produtos!A:B,2,FALSE),"")</f>
        <v/>
      </c>
      <c r="F2809" s="12" t="n"/>
      <c r="G2809" s="13" t="n"/>
    </row>
    <row r="2810">
      <c r="A2810" s="12" t="n"/>
      <c r="D2810">
        <f>IFERROR(VLOOKUP(C2810,Cadastro_Produtos!A:B,2,FALSE),"")</f>
        <v/>
      </c>
      <c r="F2810" s="12" t="n"/>
      <c r="G2810" s="13" t="n"/>
    </row>
    <row r="2811">
      <c r="A2811" s="12" t="n"/>
      <c r="D2811">
        <f>IFERROR(VLOOKUP(C2811,Cadastro_Produtos!A:B,2,FALSE),"")</f>
        <v/>
      </c>
      <c r="F2811" s="12" t="n"/>
      <c r="G2811" s="13" t="n"/>
    </row>
    <row r="2812">
      <c r="A2812" s="12" t="n"/>
      <c r="D2812">
        <f>IFERROR(VLOOKUP(C2812,Cadastro_Produtos!A:B,2,FALSE),"")</f>
        <v/>
      </c>
      <c r="F2812" s="12" t="n"/>
      <c r="G2812" s="13" t="n"/>
    </row>
    <row r="2813">
      <c r="A2813" s="12" t="n"/>
      <c r="D2813">
        <f>IFERROR(VLOOKUP(C2813,Cadastro_Produtos!A:B,2,FALSE),"")</f>
        <v/>
      </c>
      <c r="F2813" s="12" t="n"/>
      <c r="G2813" s="13" t="n"/>
    </row>
    <row r="2814">
      <c r="A2814" s="12" t="n"/>
      <c r="D2814">
        <f>IFERROR(VLOOKUP(C2814,Cadastro_Produtos!A:B,2,FALSE),"")</f>
        <v/>
      </c>
      <c r="F2814" s="12" t="n"/>
      <c r="G2814" s="13" t="n"/>
    </row>
    <row r="2815">
      <c r="A2815" s="12" t="n"/>
      <c r="D2815">
        <f>IFERROR(VLOOKUP(C2815,Cadastro_Produtos!A:B,2,FALSE),"")</f>
        <v/>
      </c>
      <c r="F2815" s="12" t="n"/>
      <c r="G2815" s="13" t="n"/>
    </row>
    <row r="2816">
      <c r="A2816" s="12" t="n"/>
      <c r="D2816">
        <f>IFERROR(VLOOKUP(C2816,Cadastro_Produtos!A:B,2,FALSE),"")</f>
        <v/>
      </c>
      <c r="F2816" s="12" t="n"/>
      <c r="G2816" s="13" t="n"/>
    </row>
    <row r="2817">
      <c r="A2817" s="12" t="n"/>
      <c r="D2817">
        <f>IFERROR(VLOOKUP(C2817,Cadastro_Produtos!A:B,2,FALSE),"")</f>
        <v/>
      </c>
      <c r="F2817" s="12" t="n"/>
      <c r="G2817" s="13" t="n"/>
    </row>
    <row r="2818">
      <c r="A2818" s="12" t="n"/>
      <c r="D2818">
        <f>IFERROR(VLOOKUP(C2818,Cadastro_Produtos!A:B,2,FALSE),"")</f>
        <v/>
      </c>
      <c r="F2818" s="12" t="n"/>
      <c r="G2818" s="13" t="n"/>
    </row>
    <row r="2819">
      <c r="A2819" s="12" t="n"/>
      <c r="D2819">
        <f>IFERROR(VLOOKUP(C2819,Cadastro_Produtos!A:B,2,FALSE),"")</f>
        <v/>
      </c>
      <c r="F2819" s="12" t="n"/>
      <c r="G2819" s="13" t="n"/>
    </row>
    <row r="2820">
      <c r="A2820" s="12" t="n"/>
      <c r="D2820">
        <f>IFERROR(VLOOKUP(C2820,Cadastro_Produtos!A:B,2,FALSE),"")</f>
        <v/>
      </c>
      <c r="F2820" s="12" t="n"/>
      <c r="G2820" s="13" t="n"/>
    </row>
    <row r="2821">
      <c r="A2821" s="12" t="n"/>
      <c r="D2821">
        <f>IFERROR(VLOOKUP(C2821,Cadastro_Produtos!A:B,2,FALSE),"")</f>
        <v/>
      </c>
      <c r="F2821" s="12" t="n"/>
      <c r="G2821" s="13" t="n"/>
    </row>
    <row r="2822">
      <c r="A2822" s="12" t="n"/>
      <c r="D2822">
        <f>IFERROR(VLOOKUP(C2822,Cadastro_Produtos!A:B,2,FALSE),"")</f>
        <v/>
      </c>
      <c r="F2822" s="12" t="n"/>
      <c r="G2822" s="13" t="n"/>
    </row>
    <row r="2823">
      <c r="A2823" s="12" t="n"/>
      <c r="D2823">
        <f>IFERROR(VLOOKUP(C2823,Cadastro_Produtos!A:B,2,FALSE),"")</f>
        <v/>
      </c>
      <c r="F2823" s="12" t="n"/>
      <c r="G2823" s="13" t="n"/>
    </row>
    <row r="2824">
      <c r="A2824" s="12" t="n"/>
      <c r="D2824">
        <f>IFERROR(VLOOKUP(C2824,Cadastro_Produtos!A:B,2,FALSE),"")</f>
        <v/>
      </c>
      <c r="F2824" s="12" t="n"/>
      <c r="G2824" s="13" t="n"/>
    </row>
    <row r="2825">
      <c r="A2825" s="12" t="n"/>
      <c r="D2825">
        <f>IFERROR(VLOOKUP(C2825,Cadastro_Produtos!A:B,2,FALSE),"")</f>
        <v/>
      </c>
      <c r="F2825" s="12" t="n"/>
      <c r="G2825" s="13" t="n"/>
    </row>
    <row r="2826">
      <c r="A2826" s="12" t="n"/>
      <c r="D2826">
        <f>IFERROR(VLOOKUP(C2826,Cadastro_Produtos!A:B,2,FALSE),"")</f>
        <v/>
      </c>
      <c r="F2826" s="12" t="n"/>
      <c r="G2826" s="13" t="n"/>
    </row>
    <row r="2827">
      <c r="A2827" s="12" t="n"/>
      <c r="D2827">
        <f>IFERROR(VLOOKUP(C2827,Cadastro_Produtos!A:B,2,FALSE),"")</f>
        <v/>
      </c>
      <c r="F2827" s="12" t="n"/>
      <c r="G2827" s="13" t="n"/>
    </row>
    <row r="2828">
      <c r="A2828" s="12" t="n"/>
      <c r="D2828">
        <f>IFERROR(VLOOKUP(C2828,Cadastro_Produtos!A:B,2,FALSE),"")</f>
        <v/>
      </c>
      <c r="F2828" s="12" t="n"/>
      <c r="G2828" s="13" t="n"/>
    </row>
    <row r="2829">
      <c r="A2829" s="12" t="n"/>
      <c r="D2829">
        <f>IFERROR(VLOOKUP(C2829,Cadastro_Produtos!A:B,2,FALSE),"")</f>
        <v/>
      </c>
      <c r="F2829" s="12" t="n"/>
      <c r="G2829" s="13" t="n"/>
    </row>
    <row r="2830">
      <c r="A2830" s="12" t="n"/>
      <c r="D2830">
        <f>IFERROR(VLOOKUP(C2830,Cadastro_Produtos!A:B,2,FALSE),"")</f>
        <v/>
      </c>
      <c r="F2830" s="12" t="n"/>
      <c r="G2830" s="13" t="n"/>
    </row>
    <row r="2831">
      <c r="A2831" s="12" t="n"/>
      <c r="D2831">
        <f>IFERROR(VLOOKUP(C2831,Cadastro_Produtos!A:B,2,FALSE),"")</f>
        <v/>
      </c>
      <c r="F2831" s="12" t="n"/>
      <c r="G2831" s="13" t="n"/>
    </row>
    <row r="2832">
      <c r="A2832" s="12" t="n"/>
      <c r="D2832">
        <f>IFERROR(VLOOKUP(C2832,Cadastro_Produtos!A:B,2,FALSE),"")</f>
        <v/>
      </c>
      <c r="F2832" s="12" t="n"/>
      <c r="G2832" s="13" t="n"/>
    </row>
    <row r="2833">
      <c r="A2833" s="12" t="n"/>
      <c r="D2833">
        <f>IFERROR(VLOOKUP(C2833,Cadastro_Produtos!A:B,2,FALSE),"")</f>
        <v/>
      </c>
      <c r="F2833" s="12" t="n"/>
      <c r="G2833" s="13" t="n"/>
    </row>
    <row r="2834">
      <c r="A2834" s="12" t="n"/>
      <c r="D2834">
        <f>IFERROR(VLOOKUP(C2834,Cadastro_Produtos!A:B,2,FALSE),"")</f>
        <v/>
      </c>
      <c r="F2834" s="12" t="n"/>
      <c r="G2834" s="13" t="n"/>
    </row>
    <row r="2835">
      <c r="A2835" s="12" t="n"/>
      <c r="D2835">
        <f>IFERROR(VLOOKUP(C2835,Cadastro_Produtos!A:B,2,FALSE),"")</f>
        <v/>
      </c>
      <c r="F2835" s="12" t="n"/>
      <c r="G2835" s="13" t="n"/>
    </row>
    <row r="2836">
      <c r="A2836" s="12" t="n"/>
      <c r="D2836">
        <f>IFERROR(VLOOKUP(C2836,Cadastro_Produtos!A:B,2,FALSE),"")</f>
        <v/>
      </c>
      <c r="F2836" s="12" t="n"/>
      <c r="G2836" s="13" t="n"/>
    </row>
    <row r="2837">
      <c r="A2837" s="12" t="n"/>
      <c r="D2837">
        <f>IFERROR(VLOOKUP(C2837,Cadastro_Produtos!A:B,2,FALSE),"")</f>
        <v/>
      </c>
      <c r="F2837" s="12" t="n"/>
      <c r="G2837" s="13" t="n"/>
    </row>
    <row r="2838">
      <c r="A2838" s="12" t="n"/>
      <c r="D2838">
        <f>IFERROR(VLOOKUP(C2838,Cadastro_Produtos!A:B,2,FALSE),"")</f>
        <v/>
      </c>
      <c r="F2838" s="12" t="n"/>
      <c r="G2838" s="13" t="n"/>
    </row>
    <row r="2839">
      <c r="A2839" s="12" t="n"/>
      <c r="D2839">
        <f>IFERROR(VLOOKUP(C2839,Cadastro_Produtos!A:B,2,FALSE),"")</f>
        <v/>
      </c>
      <c r="F2839" s="12" t="n"/>
      <c r="G2839" s="13" t="n"/>
    </row>
    <row r="2840">
      <c r="A2840" s="12" t="n"/>
      <c r="D2840">
        <f>IFERROR(VLOOKUP(C2840,Cadastro_Produtos!A:B,2,FALSE),"")</f>
        <v/>
      </c>
      <c r="F2840" s="12" t="n"/>
      <c r="G2840" s="13" t="n"/>
    </row>
    <row r="2841">
      <c r="A2841" s="12" t="n"/>
      <c r="D2841">
        <f>IFERROR(VLOOKUP(C2841,Cadastro_Produtos!A:B,2,FALSE),"")</f>
        <v/>
      </c>
      <c r="F2841" s="12" t="n"/>
      <c r="G2841" s="13" t="n"/>
    </row>
    <row r="2842">
      <c r="A2842" s="12" t="n"/>
      <c r="D2842">
        <f>IFERROR(VLOOKUP(C2842,Cadastro_Produtos!A:B,2,FALSE),"")</f>
        <v/>
      </c>
      <c r="F2842" s="12" t="n"/>
      <c r="G2842" s="13" t="n"/>
    </row>
    <row r="2843">
      <c r="A2843" s="12" t="n"/>
      <c r="D2843">
        <f>IFERROR(VLOOKUP(C2843,Cadastro_Produtos!A:B,2,FALSE),"")</f>
        <v/>
      </c>
      <c r="F2843" s="12" t="n"/>
      <c r="G2843" s="13" t="n"/>
    </row>
    <row r="2844">
      <c r="A2844" s="12" t="n"/>
      <c r="D2844">
        <f>IFERROR(VLOOKUP(C2844,Cadastro_Produtos!A:B,2,FALSE),"")</f>
        <v/>
      </c>
      <c r="F2844" s="12" t="n"/>
      <c r="G2844" s="13" t="n"/>
    </row>
    <row r="2845">
      <c r="A2845" s="12" t="n"/>
      <c r="D2845">
        <f>IFERROR(VLOOKUP(C2845,Cadastro_Produtos!A:B,2,FALSE),"")</f>
        <v/>
      </c>
      <c r="F2845" s="12" t="n"/>
      <c r="G2845" s="13" t="n"/>
    </row>
    <row r="2846">
      <c r="A2846" s="12" t="n"/>
      <c r="D2846">
        <f>IFERROR(VLOOKUP(C2846,Cadastro_Produtos!A:B,2,FALSE),"")</f>
        <v/>
      </c>
      <c r="F2846" s="12" t="n"/>
      <c r="G2846" s="13" t="n"/>
    </row>
    <row r="2847">
      <c r="A2847" s="12" t="n"/>
      <c r="D2847">
        <f>IFERROR(VLOOKUP(C2847,Cadastro_Produtos!A:B,2,FALSE),"")</f>
        <v/>
      </c>
      <c r="F2847" s="12" t="n"/>
      <c r="G2847" s="13" t="n"/>
    </row>
    <row r="2848">
      <c r="A2848" s="12" t="n"/>
      <c r="D2848">
        <f>IFERROR(VLOOKUP(C2848,Cadastro_Produtos!A:B,2,FALSE),"")</f>
        <v/>
      </c>
      <c r="F2848" s="12" t="n"/>
      <c r="G2848" s="13" t="n"/>
    </row>
    <row r="2849">
      <c r="A2849" s="12" t="n"/>
      <c r="D2849">
        <f>IFERROR(VLOOKUP(C2849,Cadastro_Produtos!A:B,2,FALSE),"")</f>
        <v/>
      </c>
      <c r="F2849" s="12" t="n"/>
      <c r="G2849" s="13" t="n"/>
    </row>
    <row r="2850">
      <c r="A2850" s="12" t="n"/>
      <c r="D2850">
        <f>IFERROR(VLOOKUP(C2850,Cadastro_Produtos!A:B,2,FALSE),"")</f>
        <v/>
      </c>
      <c r="F2850" s="12" t="n"/>
      <c r="G2850" s="13" t="n"/>
    </row>
    <row r="2851">
      <c r="A2851" s="12" t="n"/>
      <c r="D2851">
        <f>IFERROR(VLOOKUP(C2851,Cadastro_Produtos!A:B,2,FALSE),"")</f>
        <v/>
      </c>
      <c r="F2851" s="12" t="n"/>
      <c r="G2851" s="13" t="n"/>
    </row>
    <row r="2852">
      <c r="A2852" s="12" t="n"/>
      <c r="D2852">
        <f>IFERROR(VLOOKUP(C2852,Cadastro_Produtos!A:B,2,FALSE),"")</f>
        <v/>
      </c>
      <c r="F2852" s="12" t="n"/>
      <c r="G2852" s="13" t="n"/>
    </row>
    <row r="2853">
      <c r="A2853" s="12" t="n"/>
      <c r="D2853">
        <f>IFERROR(VLOOKUP(C2853,Cadastro_Produtos!A:B,2,FALSE),"")</f>
        <v/>
      </c>
      <c r="F2853" s="12" t="n"/>
      <c r="G2853" s="13" t="n"/>
    </row>
    <row r="2854">
      <c r="A2854" s="12" t="n"/>
      <c r="D2854">
        <f>IFERROR(VLOOKUP(C2854,Cadastro_Produtos!A:B,2,FALSE),"")</f>
        <v/>
      </c>
      <c r="F2854" s="12" t="n"/>
      <c r="G2854" s="13" t="n"/>
    </row>
    <row r="2855">
      <c r="A2855" s="12" t="n"/>
      <c r="D2855">
        <f>IFERROR(VLOOKUP(C2855,Cadastro_Produtos!A:B,2,FALSE),"")</f>
        <v/>
      </c>
      <c r="F2855" s="12" t="n"/>
      <c r="G2855" s="13" t="n"/>
    </row>
    <row r="2856">
      <c r="A2856" s="12" t="n"/>
      <c r="D2856">
        <f>IFERROR(VLOOKUP(C2856,Cadastro_Produtos!A:B,2,FALSE),"")</f>
        <v/>
      </c>
      <c r="F2856" s="12" t="n"/>
      <c r="G2856" s="13" t="n"/>
    </row>
    <row r="2857">
      <c r="A2857" s="12" t="n"/>
      <c r="D2857">
        <f>IFERROR(VLOOKUP(C2857,Cadastro_Produtos!A:B,2,FALSE),"")</f>
        <v/>
      </c>
      <c r="F2857" s="12" t="n"/>
      <c r="G2857" s="13" t="n"/>
    </row>
    <row r="2858">
      <c r="A2858" s="12" t="n"/>
      <c r="D2858">
        <f>IFERROR(VLOOKUP(C2858,Cadastro_Produtos!A:B,2,FALSE),"")</f>
        <v/>
      </c>
      <c r="F2858" s="12" t="n"/>
      <c r="G2858" s="13" t="n"/>
    </row>
    <row r="2859">
      <c r="A2859" s="12" t="n"/>
      <c r="D2859">
        <f>IFERROR(VLOOKUP(C2859,Cadastro_Produtos!A:B,2,FALSE),"")</f>
        <v/>
      </c>
      <c r="F2859" s="12" t="n"/>
      <c r="G2859" s="13" t="n"/>
    </row>
    <row r="2860">
      <c r="A2860" s="12" t="n"/>
      <c r="D2860">
        <f>IFERROR(VLOOKUP(C2860,Cadastro_Produtos!A:B,2,FALSE),"")</f>
        <v/>
      </c>
      <c r="F2860" s="12" t="n"/>
      <c r="G2860" s="13" t="n"/>
    </row>
    <row r="2861">
      <c r="A2861" s="12" t="n"/>
      <c r="D2861">
        <f>IFERROR(VLOOKUP(C2861,Cadastro_Produtos!A:B,2,FALSE),"")</f>
        <v/>
      </c>
      <c r="F2861" s="12" t="n"/>
      <c r="G2861" s="13" t="n"/>
    </row>
    <row r="2862">
      <c r="A2862" s="12" t="n"/>
      <c r="D2862">
        <f>IFERROR(VLOOKUP(C2862,Cadastro_Produtos!A:B,2,FALSE),"")</f>
        <v/>
      </c>
      <c r="F2862" s="12" t="n"/>
      <c r="G2862" s="13" t="n"/>
    </row>
    <row r="2863">
      <c r="A2863" s="12" t="n"/>
      <c r="D2863">
        <f>IFERROR(VLOOKUP(C2863,Cadastro_Produtos!A:B,2,FALSE),"")</f>
        <v/>
      </c>
      <c r="F2863" s="12" t="n"/>
      <c r="G2863" s="13" t="n"/>
    </row>
    <row r="2864">
      <c r="A2864" s="12" t="n"/>
      <c r="D2864">
        <f>IFERROR(VLOOKUP(C2864,Cadastro_Produtos!A:B,2,FALSE),"")</f>
        <v/>
      </c>
      <c r="F2864" s="12" t="n"/>
      <c r="G2864" s="13" t="n"/>
    </row>
    <row r="2865">
      <c r="A2865" s="12" t="n"/>
      <c r="D2865">
        <f>IFERROR(VLOOKUP(C2865,Cadastro_Produtos!A:B,2,FALSE),"")</f>
        <v/>
      </c>
      <c r="F2865" s="12" t="n"/>
      <c r="G2865" s="13" t="n"/>
    </row>
    <row r="2866">
      <c r="A2866" s="12" t="n"/>
      <c r="D2866">
        <f>IFERROR(VLOOKUP(C2866,Cadastro_Produtos!A:B,2,FALSE),"")</f>
        <v/>
      </c>
      <c r="F2866" s="12" t="n"/>
      <c r="G2866" s="13" t="n"/>
    </row>
    <row r="2867">
      <c r="A2867" s="12" t="n"/>
      <c r="D2867">
        <f>IFERROR(VLOOKUP(C2867,Cadastro_Produtos!A:B,2,FALSE),"")</f>
        <v/>
      </c>
      <c r="F2867" s="12" t="n"/>
      <c r="G2867" s="13" t="n"/>
    </row>
    <row r="2868">
      <c r="A2868" s="12" t="n"/>
      <c r="D2868">
        <f>IFERROR(VLOOKUP(C2868,Cadastro_Produtos!A:B,2,FALSE),"")</f>
        <v/>
      </c>
      <c r="F2868" s="12" t="n"/>
      <c r="G2868" s="13" t="n"/>
    </row>
    <row r="2869">
      <c r="A2869" s="12" t="n"/>
      <c r="D2869">
        <f>IFERROR(VLOOKUP(C2869,Cadastro_Produtos!A:B,2,FALSE),"")</f>
        <v/>
      </c>
      <c r="F2869" s="12" t="n"/>
      <c r="G2869" s="13" t="n"/>
    </row>
    <row r="2870">
      <c r="A2870" s="12" t="n"/>
      <c r="D2870">
        <f>IFERROR(VLOOKUP(C2870,Cadastro_Produtos!A:B,2,FALSE),"")</f>
        <v/>
      </c>
      <c r="F2870" s="12" t="n"/>
      <c r="G2870" s="13" t="n"/>
    </row>
    <row r="2871">
      <c r="A2871" s="12" t="n"/>
      <c r="D2871">
        <f>IFERROR(VLOOKUP(C2871,Cadastro_Produtos!A:B,2,FALSE),"")</f>
        <v/>
      </c>
      <c r="F2871" s="12" t="n"/>
      <c r="G2871" s="13" t="n"/>
    </row>
    <row r="2872">
      <c r="A2872" s="12" t="n"/>
      <c r="D2872">
        <f>IFERROR(VLOOKUP(C2872,Cadastro_Produtos!A:B,2,FALSE),"")</f>
        <v/>
      </c>
      <c r="F2872" s="12" t="n"/>
      <c r="G2872" s="13" t="n"/>
    </row>
    <row r="2873">
      <c r="A2873" s="12" t="n"/>
      <c r="D2873">
        <f>IFERROR(VLOOKUP(C2873,Cadastro_Produtos!A:B,2,FALSE),"")</f>
        <v/>
      </c>
      <c r="F2873" s="12" t="n"/>
      <c r="G2873" s="13" t="n"/>
    </row>
    <row r="2874">
      <c r="A2874" s="12" t="n"/>
      <c r="D2874">
        <f>IFERROR(VLOOKUP(C2874,Cadastro_Produtos!A:B,2,FALSE),"")</f>
        <v/>
      </c>
      <c r="F2874" s="12" t="n"/>
      <c r="G2874" s="13" t="n"/>
    </row>
    <row r="2875">
      <c r="A2875" s="12" t="n"/>
      <c r="D2875">
        <f>IFERROR(VLOOKUP(C2875,Cadastro_Produtos!A:B,2,FALSE),"")</f>
        <v/>
      </c>
      <c r="F2875" s="12" t="n"/>
      <c r="G2875" s="13" t="n"/>
    </row>
    <row r="2876">
      <c r="A2876" s="12" t="n"/>
      <c r="D2876">
        <f>IFERROR(VLOOKUP(C2876,Cadastro_Produtos!A:B,2,FALSE),"")</f>
        <v/>
      </c>
      <c r="F2876" s="12" t="n"/>
      <c r="G2876" s="13" t="n"/>
    </row>
    <row r="2877">
      <c r="A2877" s="12" t="n"/>
      <c r="D2877">
        <f>IFERROR(VLOOKUP(C2877,Cadastro_Produtos!A:B,2,FALSE),"")</f>
        <v/>
      </c>
      <c r="F2877" s="12" t="n"/>
      <c r="G2877" s="13" t="n"/>
    </row>
    <row r="2878">
      <c r="A2878" s="12" t="n"/>
      <c r="D2878">
        <f>IFERROR(VLOOKUP(C2878,Cadastro_Produtos!A:B,2,FALSE),"")</f>
        <v/>
      </c>
      <c r="F2878" s="12" t="n"/>
      <c r="G2878" s="13" t="n"/>
    </row>
    <row r="2879">
      <c r="A2879" s="12" t="n"/>
      <c r="D2879">
        <f>IFERROR(VLOOKUP(C2879,Cadastro_Produtos!A:B,2,FALSE),"")</f>
        <v/>
      </c>
      <c r="F2879" s="12" t="n"/>
      <c r="G2879" s="13" t="n"/>
    </row>
    <row r="2880">
      <c r="A2880" s="12" t="n"/>
      <c r="D2880">
        <f>IFERROR(VLOOKUP(C2880,Cadastro_Produtos!A:B,2,FALSE),"")</f>
        <v/>
      </c>
      <c r="F2880" s="12" t="n"/>
      <c r="G2880" s="13" t="n"/>
    </row>
    <row r="2881">
      <c r="A2881" s="12" t="n"/>
      <c r="D2881">
        <f>IFERROR(VLOOKUP(C2881,Cadastro_Produtos!A:B,2,FALSE),"")</f>
        <v/>
      </c>
      <c r="F2881" s="12" t="n"/>
      <c r="G2881" s="13" t="n"/>
    </row>
    <row r="2882">
      <c r="A2882" s="12" t="n"/>
      <c r="D2882">
        <f>IFERROR(VLOOKUP(C2882,Cadastro_Produtos!A:B,2,FALSE),"")</f>
        <v/>
      </c>
      <c r="F2882" s="12" t="n"/>
      <c r="G2882" s="13" t="n"/>
    </row>
    <row r="2883">
      <c r="A2883" s="12" t="n"/>
      <c r="D2883">
        <f>IFERROR(VLOOKUP(C2883,Cadastro_Produtos!A:B,2,FALSE),"")</f>
        <v/>
      </c>
      <c r="F2883" s="12" t="n"/>
      <c r="G2883" s="13" t="n"/>
    </row>
    <row r="2884">
      <c r="A2884" s="12" t="n"/>
      <c r="D2884">
        <f>IFERROR(VLOOKUP(C2884,Cadastro_Produtos!A:B,2,FALSE),"")</f>
        <v/>
      </c>
      <c r="F2884" s="12" t="n"/>
      <c r="G2884" s="13" t="n"/>
    </row>
    <row r="2885">
      <c r="A2885" s="12" t="n"/>
      <c r="D2885">
        <f>IFERROR(VLOOKUP(C2885,Cadastro_Produtos!A:B,2,FALSE),"")</f>
        <v/>
      </c>
      <c r="F2885" s="12" t="n"/>
      <c r="G2885" s="13" t="n"/>
    </row>
    <row r="2886">
      <c r="A2886" s="12" t="n"/>
      <c r="D2886">
        <f>IFERROR(VLOOKUP(C2886,Cadastro_Produtos!A:B,2,FALSE),"")</f>
        <v/>
      </c>
      <c r="F2886" s="12" t="n"/>
      <c r="G2886" s="13" t="n"/>
    </row>
    <row r="2887">
      <c r="A2887" s="12" t="n"/>
      <c r="D2887">
        <f>IFERROR(VLOOKUP(C2887,Cadastro_Produtos!A:B,2,FALSE),"")</f>
        <v/>
      </c>
      <c r="F2887" s="12" t="n"/>
      <c r="G2887" s="13" t="n"/>
    </row>
    <row r="2888">
      <c r="A2888" s="12" t="n"/>
      <c r="D2888">
        <f>IFERROR(VLOOKUP(C2888,Cadastro_Produtos!A:B,2,FALSE),"")</f>
        <v/>
      </c>
      <c r="F2888" s="12" t="n"/>
      <c r="G2888" s="13" t="n"/>
    </row>
    <row r="2889">
      <c r="A2889" s="12" t="n"/>
      <c r="D2889">
        <f>IFERROR(VLOOKUP(C2889,Cadastro_Produtos!A:B,2,FALSE),"")</f>
        <v/>
      </c>
      <c r="F2889" s="12" t="n"/>
      <c r="G2889" s="13" t="n"/>
    </row>
    <row r="2890">
      <c r="A2890" s="12" t="n"/>
      <c r="D2890">
        <f>IFERROR(VLOOKUP(C2890,Cadastro_Produtos!A:B,2,FALSE),"")</f>
        <v/>
      </c>
      <c r="F2890" s="12" t="n"/>
      <c r="G2890" s="13" t="n"/>
    </row>
    <row r="2891">
      <c r="A2891" s="12" t="n"/>
      <c r="D2891">
        <f>IFERROR(VLOOKUP(C2891,Cadastro_Produtos!A:B,2,FALSE),"")</f>
        <v/>
      </c>
      <c r="F2891" s="12" t="n"/>
      <c r="G2891" s="13" t="n"/>
    </row>
    <row r="2892">
      <c r="A2892" s="12" t="n"/>
      <c r="D2892">
        <f>IFERROR(VLOOKUP(C2892,Cadastro_Produtos!A:B,2,FALSE),"")</f>
        <v/>
      </c>
      <c r="F2892" s="12" t="n"/>
      <c r="G2892" s="13" t="n"/>
    </row>
    <row r="2893">
      <c r="A2893" s="12" t="n"/>
      <c r="D2893">
        <f>IFERROR(VLOOKUP(C2893,Cadastro_Produtos!A:B,2,FALSE),"")</f>
        <v/>
      </c>
      <c r="F2893" s="12" t="n"/>
      <c r="G2893" s="13" t="n"/>
    </row>
    <row r="2894">
      <c r="A2894" s="12" t="n"/>
      <c r="D2894">
        <f>IFERROR(VLOOKUP(C2894,Cadastro_Produtos!A:B,2,FALSE),"")</f>
        <v/>
      </c>
      <c r="F2894" s="12" t="n"/>
      <c r="G2894" s="13" t="n"/>
    </row>
    <row r="2895">
      <c r="A2895" s="12" t="n"/>
      <c r="D2895">
        <f>IFERROR(VLOOKUP(C2895,Cadastro_Produtos!A:B,2,FALSE),"")</f>
        <v/>
      </c>
      <c r="F2895" s="12" t="n"/>
      <c r="G2895" s="13" t="n"/>
    </row>
    <row r="2896">
      <c r="A2896" s="12" t="n"/>
      <c r="D2896">
        <f>IFERROR(VLOOKUP(C2896,Cadastro_Produtos!A:B,2,FALSE),"")</f>
        <v/>
      </c>
      <c r="F2896" s="12" t="n"/>
      <c r="G2896" s="13" t="n"/>
    </row>
    <row r="2897">
      <c r="A2897" s="12" t="n"/>
      <c r="D2897">
        <f>IFERROR(VLOOKUP(C2897,Cadastro_Produtos!A:B,2,FALSE),"")</f>
        <v/>
      </c>
      <c r="F2897" s="12" t="n"/>
      <c r="G2897" s="13" t="n"/>
    </row>
    <row r="2898">
      <c r="A2898" s="12" t="n"/>
      <c r="D2898">
        <f>IFERROR(VLOOKUP(C2898,Cadastro_Produtos!A:B,2,FALSE),"")</f>
        <v/>
      </c>
      <c r="F2898" s="12" t="n"/>
      <c r="G2898" s="13" t="n"/>
    </row>
    <row r="2899">
      <c r="A2899" s="12" t="n"/>
      <c r="D2899">
        <f>IFERROR(VLOOKUP(C2899,Cadastro_Produtos!A:B,2,FALSE),"")</f>
        <v/>
      </c>
      <c r="F2899" s="12" t="n"/>
      <c r="G2899" s="13" t="n"/>
    </row>
    <row r="2900">
      <c r="A2900" s="12" t="n"/>
      <c r="D2900">
        <f>IFERROR(VLOOKUP(C2900,Cadastro_Produtos!A:B,2,FALSE),"")</f>
        <v/>
      </c>
      <c r="F2900" s="12" t="n"/>
      <c r="G2900" s="13" t="n"/>
    </row>
    <row r="2901">
      <c r="A2901" s="12" t="n"/>
      <c r="D2901">
        <f>IFERROR(VLOOKUP(C2901,Cadastro_Produtos!A:B,2,FALSE),"")</f>
        <v/>
      </c>
      <c r="F2901" s="12" t="n"/>
      <c r="G2901" s="13" t="n"/>
    </row>
    <row r="2902">
      <c r="A2902" s="12" t="n"/>
      <c r="D2902">
        <f>IFERROR(VLOOKUP(C2902,Cadastro_Produtos!A:B,2,FALSE),"")</f>
        <v/>
      </c>
      <c r="F2902" s="12" t="n"/>
      <c r="G2902" s="13" t="n"/>
    </row>
    <row r="2903">
      <c r="A2903" s="12" t="n"/>
      <c r="D2903">
        <f>IFERROR(VLOOKUP(C2903,Cadastro_Produtos!A:B,2,FALSE),"")</f>
        <v/>
      </c>
      <c r="F2903" s="12" t="n"/>
      <c r="G2903" s="13" t="n"/>
    </row>
    <row r="2904">
      <c r="A2904" s="12" t="n"/>
      <c r="D2904">
        <f>IFERROR(VLOOKUP(C2904,Cadastro_Produtos!A:B,2,FALSE),"")</f>
        <v/>
      </c>
      <c r="F2904" s="12" t="n"/>
      <c r="G2904" s="13" t="n"/>
    </row>
    <row r="2905">
      <c r="A2905" s="12" t="n"/>
      <c r="D2905">
        <f>IFERROR(VLOOKUP(C2905,Cadastro_Produtos!A:B,2,FALSE),"")</f>
        <v/>
      </c>
      <c r="F2905" s="12" t="n"/>
      <c r="G2905" s="13" t="n"/>
    </row>
    <row r="2906">
      <c r="A2906" s="12" t="n"/>
      <c r="D2906">
        <f>IFERROR(VLOOKUP(C2906,Cadastro_Produtos!A:B,2,FALSE),"")</f>
        <v/>
      </c>
      <c r="F2906" s="12" t="n"/>
      <c r="G2906" s="13" t="n"/>
    </row>
    <row r="2907">
      <c r="A2907" s="12" t="n"/>
      <c r="D2907">
        <f>IFERROR(VLOOKUP(C2907,Cadastro_Produtos!A:B,2,FALSE),"")</f>
        <v/>
      </c>
      <c r="F2907" s="12" t="n"/>
      <c r="G2907" s="13" t="n"/>
    </row>
    <row r="2908">
      <c r="A2908" s="12" t="n"/>
      <c r="D2908">
        <f>IFERROR(VLOOKUP(C2908,Cadastro_Produtos!A:B,2,FALSE),"")</f>
        <v/>
      </c>
      <c r="F2908" s="12" t="n"/>
      <c r="G2908" s="13" t="n"/>
    </row>
    <row r="2909">
      <c r="A2909" s="12" t="n"/>
      <c r="D2909">
        <f>IFERROR(VLOOKUP(C2909,Cadastro_Produtos!A:B,2,FALSE),"")</f>
        <v/>
      </c>
      <c r="F2909" s="12" t="n"/>
      <c r="G2909" s="13" t="n"/>
    </row>
    <row r="2910">
      <c r="A2910" s="12" t="n"/>
      <c r="D2910">
        <f>IFERROR(VLOOKUP(C2910,Cadastro_Produtos!A:B,2,FALSE),"")</f>
        <v/>
      </c>
      <c r="F2910" s="12" t="n"/>
      <c r="G2910" s="13" t="n"/>
    </row>
    <row r="2911">
      <c r="A2911" s="12" t="n"/>
      <c r="D2911">
        <f>IFERROR(VLOOKUP(C2911,Cadastro_Produtos!A:B,2,FALSE),"")</f>
        <v/>
      </c>
      <c r="F2911" s="12" t="n"/>
      <c r="G2911" s="13" t="n"/>
    </row>
    <row r="2912">
      <c r="A2912" s="12" t="n"/>
      <c r="D2912">
        <f>IFERROR(VLOOKUP(C2912,Cadastro_Produtos!A:B,2,FALSE),"")</f>
        <v/>
      </c>
      <c r="F2912" s="12" t="n"/>
      <c r="G2912" s="13" t="n"/>
    </row>
    <row r="2913">
      <c r="A2913" s="12" t="n"/>
      <c r="D2913">
        <f>IFERROR(VLOOKUP(C2913,Cadastro_Produtos!A:B,2,FALSE),"")</f>
        <v/>
      </c>
      <c r="F2913" s="12" t="n"/>
      <c r="G2913" s="13" t="n"/>
    </row>
    <row r="2914">
      <c r="A2914" s="12" t="n"/>
      <c r="D2914">
        <f>IFERROR(VLOOKUP(C2914,Cadastro_Produtos!A:B,2,FALSE),"")</f>
        <v/>
      </c>
      <c r="F2914" s="12" t="n"/>
      <c r="G2914" s="13" t="n"/>
    </row>
    <row r="2915">
      <c r="A2915" s="12" t="n"/>
      <c r="D2915">
        <f>IFERROR(VLOOKUP(C2915,Cadastro_Produtos!A:B,2,FALSE),"")</f>
        <v/>
      </c>
      <c r="F2915" s="12" t="n"/>
      <c r="G2915" s="13" t="n"/>
    </row>
    <row r="2916">
      <c r="A2916" s="12" t="n"/>
      <c r="D2916">
        <f>IFERROR(VLOOKUP(C2916,Cadastro_Produtos!A:B,2,FALSE),"")</f>
        <v/>
      </c>
      <c r="F2916" s="12" t="n"/>
      <c r="G2916" s="13" t="n"/>
    </row>
    <row r="2917">
      <c r="A2917" s="12" t="n"/>
      <c r="D2917">
        <f>IFERROR(VLOOKUP(C2917,Cadastro_Produtos!A:B,2,FALSE),"")</f>
        <v/>
      </c>
      <c r="F2917" s="12" t="n"/>
      <c r="G2917" s="13" t="n"/>
    </row>
    <row r="2918">
      <c r="A2918" s="12" t="n"/>
      <c r="D2918">
        <f>IFERROR(VLOOKUP(C2918,Cadastro_Produtos!A:B,2,FALSE),"")</f>
        <v/>
      </c>
      <c r="F2918" s="12" t="n"/>
      <c r="G2918" s="13" t="n"/>
    </row>
    <row r="2919">
      <c r="A2919" s="12" t="n"/>
      <c r="D2919">
        <f>IFERROR(VLOOKUP(C2919,Cadastro_Produtos!A:B,2,FALSE),"")</f>
        <v/>
      </c>
      <c r="F2919" s="12" t="n"/>
      <c r="G2919" s="13" t="n"/>
    </row>
    <row r="2920">
      <c r="A2920" s="12" t="n"/>
      <c r="D2920">
        <f>IFERROR(VLOOKUP(C2920,Cadastro_Produtos!A:B,2,FALSE),"")</f>
        <v/>
      </c>
      <c r="F2920" s="12" t="n"/>
      <c r="G2920" s="13" t="n"/>
    </row>
    <row r="2921">
      <c r="A2921" s="12" t="n"/>
      <c r="D2921">
        <f>IFERROR(VLOOKUP(C2921,Cadastro_Produtos!A:B,2,FALSE),"")</f>
        <v/>
      </c>
      <c r="F2921" s="12" t="n"/>
      <c r="G2921" s="13" t="n"/>
    </row>
    <row r="2922">
      <c r="A2922" s="12" t="n"/>
      <c r="D2922">
        <f>IFERROR(VLOOKUP(C2922,Cadastro_Produtos!A:B,2,FALSE),"")</f>
        <v/>
      </c>
      <c r="F2922" s="12" t="n"/>
      <c r="G2922" s="13" t="n"/>
    </row>
    <row r="2923">
      <c r="A2923" s="12" t="n"/>
      <c r="D2923">
        <f>IFERROR(VLOOKUP(C2923,Cadastro_Produtos!A:B,2,FALSE),"")</f>
        <v/>
      </c>
      <c r="F2923" s="12" t="n"/>
      <c r="G2923" s="13" t="n"/>
    </row>
    <row r="2924">
      <c r="A2924" s="12" t="n"/>
      <c r="D2924">
        <f>IFERROR(VLOOKUP(C2924,Cadastro_Produtos!A:B,2,FALSE),"")</f>
        <v/>
      </c>
      <c r="F2924" s="12" t="n"/>
      <c r="G2924" s="13" t="n"/>
    </row>
    <row r="2925">
      <c r="A2925" s="12" t="n"/>
      <c r="D2925">
        <f>IFERROR(VLOOKUP(C2925,Cadastro_Produtos!A:B,2,FALSE),"")</f>
        <v/>
      </c>
      <c r="F2925" s="12" t="n"/>
      <c r="G2925" s="13" t="n"/>
    </row>
    <row r="2926">
      <c r="A2926" s="12" t="n"/>
      <c r="D2926">
        <f>IFERROR(VLOOKUP(C2926,Cadastro_Produtos!A:B,2,FALSE),"")</f>
        <v/>
      </c>
      <c r="F2926" s="12" t="n"/>
      <c r="G2926" s="13" t="n"/>
    </row>
    <row r="2927">
      <c r="A2927" s="12" t="n"/>
      <c r="D2927">
        <f>IFERROR(VLOOKUP(C2927,Cadastro_Produtos!A:B,2,FALSE),"")</f>
        <v/>
      </c>
      <c r="F2927" s="12" t="n"/>
      <c r="G2927" s="13" t="n"/>
    </row>
    <row r="2928">
      <c r="A2928" s="12" t="n"/>
      <c r="D2928">
        <f>IFERROR(VLOOKUP(C2928,Cadastro_Produtos!A:B,2,FALSE),"")</f>
        <v/>
      </c>
      <c r="F2928" s="12" t="n"/>
      <c r="G2928" s="13" t="n"/>
    </row>
    <row r="2929">
      <c r="A2929" s="12" t="n"/>
      <c r="D2929">
        <f>IFERROR(VLOOKUP(C2929,Cadastro_Produtos!A:B,2,FALSE),"")</f>
        <v/>
      </c>
      <c r="F2929" s="12" t="n"/>
      <c r="G2929" s="13" t="n"/>
    </row>
    <row r="2930">
      <c r="A2930" s="12" t="n"/>
      <c r="D2930">
        <f>IFERROR(VLOOKUP(C2930,Cadastro_Produtos!A:B,2,FALSE),"")</f>
        <v/>
      </c>
      <c r="F2930" s="12" t="n"/>
      <c r="G2930" s="13" t="n"/>
    </row>
    <row r="2931">
      <c r="A2931" s="12" t="n"/>
      <c r="D2931">
        <f>IFERROR(VLOOKUP(C2931,Cadastro_Produtos!A:B,2,FALSE),"")</f>
        <v/>
      </c>
      <c r="F2931" s="12" t="n"/>
      <c r="G2931" s="13" t="n"/>
    </row>
    <row r="2932">
      <c r="A2932" s="12" t="n"/>
      <c r="D2932">
        <f>IFERROR(VLOOKUP(C2932,Cadastro_Produtos!A:B,2,FALSE),"")</f>
        <v/>
      </c>
      <c r="F2932" s="12" t="n"/>
      <c r="G2932" s="13" t="n"/>
    </row>
    <row r="2933">
      <c r="A2933" s="12" t="n"/>
      <c r="D2933">
        <f>IFERROR(VLOOKUP(C2933,Cadastro_Produtos!A:B,2,FALSE),"")</f>
        <v/>
      </c>
      <c r="F2933" s="12" t="n"/>
      <c r="G2933" s="13" t="n"/>
    </row>
    <row r="2934">
      <c r="A2934" s="12" t="n"/>
      <c r="D2934">
        <f>IFERROR(VLOOKUP(C2934,Cadastro_Produtos!A:B,2,FALSE),"")</f>
        <v/>
      </c>
      <c r="F2934" s="12" t="n"/>
      <c r="G2934" s="13" t="n"/>
    </row>
    <row r="2935">
      <c r="A2935" s="12" t="n"/>
      <c r="D2935">
        <f>IFERROR(VLOOKUP(C2935,Cadastro_Produtos!A:B,2,FALSE),"")</f>
        <v/>
      </c>
      <c r="F2935" s="12" t="n"/>
      <c r="G2935" s="13" t="n"/>
    </row>
    <row r="2936">
      <c r="A2936" s="12" t="n"/>
      <c r="D2936">
        <f>IFERROR(VLOOKUP(C2936,Cadastro_Produtos!A:B,2,FALSE),"")</f>
        <v/>
      </c>
      <c r="F2936" s="12" t="n"/>
      <c r="G2936" s="13" t="n"/>
    </row>
    <row r="2937">
      <c r="A2937" s="12" t="n"/>
      <c r="D2937">
        <f>IFERROR(VLOOKUP(C2937,Cadastro_Produtos!A:B,2,FALSE),"")</f>
        <v/>
      </c>
      <c r="F2937" s="12" t="n"/>
      <c r="G2937" s="13" t="n"/>
    </row>
    <row r="2938">
      <c r="A2938" s="12" t="n"/>
      <c r="D2938">
        <f>IFERROR(VLOOKUP(C2938,Cadastro_Produtos!A:B,2,FALSE),"")</f>
        <v/>
      </c>
      <c r="F2938" s="12" t="n"/>
      <c r="G2938" s="13" t="n"/>
    </row>
    <row r="2939">
      <c r="A2939" s="12" t="n"/>
      <c r="D2939">
        <f>IFERROR(VLOOKUP(C2939,Cadastro_Produtos!A:B,2,FALSE),"")</f>
        <v/>
      </c>
      <c r="F2939" s="12" t="n"/>
      <c r="G2939" s="13" t="n"/>
    </row>
    <row r="2940">
      <c r="A2940" s="12" t="n"/>
      <c r="D2940">
        <f>IFERROR(VLOOKUP(C2940,Cadastro_Produtos!A:B,2,FALSE),"")</f>
        <v/>
      </c>
      <c r="F2940" s="12" t="n"/>
      <c r="G2940" s="13" t="n"/>
    </row>
    <row r="2941">
      <c r="A2941" s="12" t="n"/>
      <c r="D2941">
        <f>IFERROR(VLOOKUP(C2941,Cadastro_Produtos!A:B,2,FALSE),"")</f>
        <v/>
      </c>
      <c r="F2941" s="12" t="n"/>
      <c r="G2941" s="13" t="n"/>
    </row>
    <row r="2942">
      <c r="A2942" s="12" t="n"/>
      <c r="D2942">
        <f>IFERROR(VLOOKUP(C2942,Cadastro_Produtos!A:B,2,FALSE),"")</f>
        <v/>
      </c>
      <c r="F2942" s="12" t="n"/>
      <c r="G2942" s="13" t="n"/>
    </row>
    <row r="2943">
      <c r="A2943" s="12" t="n"/>
      <c r="D2943">
        <f>IFERROR(VLOOKUP(C2943,Cadastro_Produtos!A:B,2,FALSE),"")</f>
        <v/>
      </c>
      <c r="F2943" s="12" t="n"/>
      <c r="G2943" s="13" t="n"/>
    </row>
    <row r="2944">
      <c r="A2944" s="12" t="n"/>
      <c r="D2944">
        <f>IFERROR(VLOOKUP(C2944,Cadastro_Produtos!A:B,2,FALSE),"")</f>
        <v/>
      </c>
      <c r="F2944" s="12" t="n"/>
      <c r="G2944" s="13" t="n"/>
    </row>
    <row r="2945">
      <c r="A2945" s="12" t="n"/>
      <c r="D2945">
        <f>IFERROR(VLOOKUP(C2945,Cadastro_Produtos!A:B,2,FALSE),"")</f>
        <v/>
      </c>
      <c r="F2945" s="12" t="n"/>
      <c r="G2945" s="13" t="n"/>
    </row>
    <row r="2946">
      <c r="A2946" s="12" t="n"/>
      <c r="D2946">
        <f>IFERROR(VLOOKUP(C2946,Cadastro_Produtos!A:B,2,FALSE),"")</f>
        <v/>
      </c>
      <c r="F2946" s="12" t="n"/>
      <c r="G2946" s="13" t="n"/>
    </row>
    <row r="2947">
      <c r="A2947" s="12" t="n"/>
      <c r="D2947">
        <f>IFERROR(VLOOKUP(C2947,Cadastro_Produtos!A:B,2,FALSE),"")</f>
        <v/>
      </c>
      <c r="F2947" s="12" t="n"/>
      <c r="G2947" s="13" t="n"/>
    </row>
    <row r="2948">
      <c r="A2948" s="12" t="n"/>
      <c r="D2948">
        <f>IFERROR(VLOOKUP(C2948,Cadastro_Produtos!A:B,2,FALSE),"")</f>
        <v/>
      </c>
      <c r="F2948" s="12" t="n"/>
      <c r="G2948" s="13" t="n"/>
    </row>
    <row r="2949">
      <c r="A2949" s="12" t="n"/>
      <c r="D2949">
        <f>IFERROR(VLOOKUP(C2949,Cadastro_Produtos!A:B,2,FALSE),"")</f>
        <v/>
      </c>
      <c r="F2949" s="12" t="n"/>
      <c r="G2949" s="13" t="n"/>
    </row>
    <row r="2950">
      <c r="A2950" s="12" t="n"/>
      <c r="D2950">
        <f>IFERROR(VLOOKUP(C2950,Cadastro_Produtos!A:B,2,FALSE),"")</f>
        <v/>
      </c>
      <c r="F2950" s="12" t="n"/>
      <c r="G2950" s="13" t="n"/>
    </row>
    <row r="2951">
      <c r="A2951" s="12" t="n"/>
      <c r="D2951">
        <f>IFERROR(VLOOKUP(C2951,Cadastro_Produtos!A:B,2,FALSE),"")</f>
        <v/>
      </c>
      <c r="F2951" s="12" t="n"/>
      <c r="G2951" s="13" t="n"/>
    </row>
    <row r="2952">
      <c r="A2952" s="12" t="n"/>
      <c r="D2952">
        <f>IFERROR(VLOOKUP(C2952,Cadastro_Produtos!A:B,2,FALSE),"")</f>
        <v/>
      </c>
      <c r="F2952" s="12" t="n"/>
      <c r="G2952" s="13" t="n"/>
    </row>
    <row r="2953">
      <c r="A2953" s="12" t="n"/>
      <c r="D2953">
        <f>IFERROR(VLOOKUP(C2953,Cadastro_Produtos!A:B,2,FALSE),"")</f>
        <v/>
      </c>
      <c r="F2953" s="12" t="n"/>
      <c r="G2953" s="13" t="n"/>
    </row>
    <row r="2954">
      <c r="A2954" s="12" t="n"/>
      <c r="D2954">
        <f>IFERROR(VLOOKUP(C2954,Cadastro_Produtos!A:B,2,FALSE),"")</f>
        <v/>
      </c>
      <c r="F2954" s="12" t="n"/>
      <c r="G2954" s="13" t="n"/>
    </row>
    <row r="2955">
      <c r="A2955" s="12" t="n"/>
      <c r="D2955">
        <f>IFERROR(VLOOKUP(C2955,Cadastro_Produtos!A:B,2,FALSE),"")</f>
        <v/>
      </c>
      <c r="F2955" s="12" t="n"/>
      <c r="G2955" s="13" t="n"/>
    </row>
    <row r="2956">
      <c r="A2956" s="12" t="n"/>
      <c r="D2956">
        <f>IFERROR(VLOOKUP(C2956,Cadastro_Produtos!A:B,2,FALSE),"")</f>
        <v/>
      </c>
      <c r="F2956" s="12" t="n"/>
      <c r="G2956" s="13" t="n"/>
    </row>
    <row r="2957">
      <c r="A2957" s="12" t="n"/>
      <c r="D2957">
        <f>IFERROR(VLOOKUP(C2957,Cadastro_Produtos!A:B,2,FALSE),"")</f>
        <v/>
      </c>
      <c r="F2957" s="12" t="n"/>
      <c r="G2957" s="13" t="n"/>
    </row>
    <row r="2958">
      <c r="A2958" s="12" t="n"/>
      <c r="D2958">
        <f>IFERROR(VLOOKUP(C2958,Cadastro_Produtos!A:B,2,FALSE),"")</f>
        <v/>
      </c>
      <c r="F2958" s="12" t="n"/>
      <c r="G2958" s="13" t="n"/>
    </row>
    <row r="2959">
      <c r="A2959" s="12" t="n"/>
      <c r="D2959">
        <f>IFERROR(VLOOKUP(C2959,Cadastro_Produtos!A:B,2,FALSE),"")</f>
        <v/>
      </c>
      <c r="F2959" s="12" t="n"/>
      <c r="G2959" s="13" t="n"/>
    </row>
    <row r="2960">
      <c r="A2960" s="12" t="n"/>
      <c r="D2960">
        <f>IFERROR(VLOOKUP(C2960,Cadastro_Produtos!A:B,2,FALSE),"")</f>
        <v/>
      </c>
      <c r="F2960" s="12" t="n"/>
      <c r="G2960" s="13" t="n"/>
    </row>
    <row r="2961">
      <c r="A2961" s="12" t="n"/>
      <c r="D2961">
        <f>IFERROR(VLOOKUP(C2961,Cadastro_Produtos!A:B,2,FALSE),"")</f>
        <v/>
      </c>
      <c r="F2961" s="12" t="n"/>
      <c r="G2961" s="13" t="n"/>
    </row>
    <row r="2962">
      <c r="A2962" s="12" t="n"/>
      <c r="D2962">
        <f>IFERROR(VLOOKUP(C2962,Cadastro_Produtos!A:B,2,FALSE),"")</f>
        <v/>
      </c>
      <c r="F2962" s="12" t="n"/>
      <c r="G2962" s="13" t="n"/>
    </row>
    <row r="2963">
      <c r="A2963" s="12" t="n"/>
      <c r="D2963">
        <f>IFERROR(VLOOKUP(C2963,Cadastro_Produtos!A:B,2,FALSE),"")</f>
        <v/>
      </c>
      <c r="F2963" s="12" t="n"/>
      <c r="G2963" s="13" t="n"/>
    </row>
    <row r="2964">
      <c r="A2964" s="12" t="n"/>
      <c r="D2964">
        <f>IFERROR(VLOOKUP(C2964,Cadastro_Produtos!A:B,2,FALSE),"")</f>
        <v/>
      </c>
      <c r="F2964" s="12" t="n"/>
      <c r="G2964" s="13" t="n"/>
    </row>
    <row r="2965">
      <c r="A2965" s="12" t="n"/>
      <c r="D2965">
        <f>IFERROR(VLOOKUP(C2965,Cadastro_Produtos!A:B,2,FALSE),"")</f>
        <v/>
      </c>
      <c r="F2965" s="12" t="n"/>
      <c r="G2965" s="13" t="n"/>
    </row>
    <row r="2966">
      <c r="A2966" s="12" t="n"/>
      <c r="D2966">
        <f>IFERROR(VLOOKUP(C2966,Cadastro_Produtos!A:B,2,FALSE),"")</f>
        <v/>
      </c>
      <c r="F2966" s="12" t="n"/>
      <c r="G2966" s="13" t="n"/>
    </row>
    <row r="2967">
      <c r="A2967" s="12" t="n"/>
      <c r="D2967">
        <f>IFERROR(VLOOKUP(C2967,Cadastro_Produtos!A:B,2,FALSE),"")</f>
        <v/>
      </c>
      <c r="F2967" s="12" t="n"/>
      <c r="G2967" s="13" t="n"/>
    </row>
    <row r="2968">
      <c r="A2968" s="12" t="n"/>
      <c r="D2968">
        <f>IFERROR(VLOOKUP(C2968,Cadastro_Produtos!A:B,2,FALSE),"")</f>
        <v/>
      </c>
      <c r="F2968" s="12" t="n"/>
      <c r="G2968" s="13" t="n"/>
    </row>
    <row r="2969">
      <c r="A2969" s="12" t="n"/>
      <c r="D2969">
        <f>IFERROR(VLOOKUP(C2969,Cadastro_Produtos!A:B,2,FALSE),"")</f>
        <v/>
      </c>
      <c r="F2969" s="12" t="n"/>
      <c r="G2969" s="13" t="n"/>
    </row>
    <row r="2970">
      <c r="A2970" s="12" t="n"/>
      <c r="D2970">
        <f>IFERROR(VLOOKUP(C2970,Cadastro_Produtos!A:B,2,FALSE),"")</f>
        <v/>
      </c>
      <c r="F2970" s="12" t="n"/>
      <c r="G2970" s="13" t="n"/>
    </row>
    <row r="2971">
      <c r="A2971" s="12" t="n"/>
      <c r="D2971">
        <f>IFERROR(VLOOKUP(C2971,Cadastro_Produtos!A:B,2,FALSE),"")</f>
        <v/>
      </c>
      <c r="F2971" s="12" t="n"/>
      <c r="G2971" s="13" t="n"/>
    </row>
    <row r="2972">
      <c r="A2972" s="12" t="n"/>
      <c r="D2972">
        <f>IFERROR(VLOOKUP(C2972,Cadastro_Produtos!A:B,2,FALSE),"")</f>
        <v/>
      </c>
      <c r="F2972" s="12" t="n"/>
      <c r="G2972" s="13" t="n"/>
    </row>
    <row r="2973">
      <c r="A2973" s="12" t="n"/>
      <c r="D2973">
        <f>IFERROR(VLOOKUP(C2973,Cadastro_Produtos!A:B,2,FALSE),"")</f>
        <v/>
      </c>
      <c r="F2973" s="12" t="n"/>
      <c r="G2973" s="13" t="n"/>
    </row>
    <row r="2974">
      <c r="A2974" s="12" t="n"/>
      <c r="D2974">
        <f>IFERROR(VLOOKUP(C2974,Cadastro_Produtos!A:B,2,FALSE),"")</f>
        <v/>
      </c>
      <c r="F2974" s="12" t="n"/>
      <c r="G2974" s="13" t="n"/>
    </row>
    <row r="2975">
      <c r="A2975" s="12" t="n"/>
      <c r="D2975">
        <f>IFERROR(VLOOKUP(C2975,Cadastro_Produtos!A:B,2,FALSE),"")</f>
        <v/>
      </c>
      <c r="F2975" s="12" t="n"/>
      <c r="G2975" s="13" t="n"/>
    </row>
    <row r="2976">
      <c r="A2976" s="12" t="n"/>
      <c r="D2976">
        <f>IFERROR(VLOOKUP(C2976,Cadastro_Produtos!A:B,2,FALSE),"")</f>
        <v/>
      </c>
      <c r="F2976" s="12" t="n"/>
      <c r="G2976" s="13" t="n"/>
    </row>
    <row r="2977">
      <c r="A2977" s="12" t="n"/>
      <c r="D2977">
        <f>IFERROR(VLOOKUP(C2977,Cadastro_Produtos!A:B,2,FALSE),"")</f>
        <v/>
      </c>
      <c r="F2977" s="12" t="n"/>
      <c r="G2977" s="13" t="n"/>
    </row>
    <row r="2978">
      <c r="A2978" s="12" t="n"/>
      <c r="D2978">
        <f>IFERROR(VLOOKUP(C2978,Cadastro_Produtos!A:B,2,FALSE),"")</f>
        <v/>
      </c>
      <c r="F2978" s="12" t="n"/>
      <c r="G2978" s="13" t="n"/>
    </row>
    <row r="2979">
      <c r="A2979" s="12" t="n"/>
      <c r="D2979">
        <f>IFERROR(VLOOKUP(C2979,Cadastro_Produtos!A:B,2,FALSE),"")</f>
        <v/>
      </c>
      <c r="F2979" s="12" t="n"/>
      <c r="G2979" s="13" t="n"/>
    </row>
    <row r="2980">
      <c r="A2980" s="12" t="n"/>
      <c r="D2980">
        <f>IFERROR(VLOOKUP(C2980,Cadastro_Produtos!A:B,2,FALSE),"")</f>
        <v/>
      </c>
      <c r="F2980" s="12" t="n"/>
      <c r="G2980" s="13" t="n"/>
    </row>
    <row r="2981">
      <c r="A2981" s="12" t="n"/>
      <c r="D2981">
        <f>IFERROR(VLOOKUP(C2981,Cadastro_Produtos!A:B,2,FALSE),"")</f>
        <v/>
      </c>
      <c r="F2981" s="12" t="n"/>
      <c r="G2981" s="13" t="n"/>
    </row>
    <row r="2982">
      <c r="A2982" s="12" t="n"/>
      <c r="D2982">
        <f>IFERROR(VLOOKUP(C2982,Cadastro_Produtos!A:B,2,FALSE),"")</f>
        <v/>
      </c>
      <c r="F2982" s="12" t="n"/>
      <c r="G2982" s="13" t="n"/>
    </row>
    <row r="2983">
      <c r="A2983" s="12" t="n"/>
      <c r="D2983">
        <f>IFERROR(VLOOKUP(C2983,Cadastro_Produtos!A:B,2,FALSE),"")</f>
        <v/>
      </c>
      <c r="F2983" s="12" t="n"/>
      <c r="G2983" s="13" t="n"/>
    </row>
    <row r="2984">
      <c r="A2984" s="12" t="n"/>
      <c r="D2984">
        <f>IFERROR(VLOOKUP(C2984,Cadastro_Produtos!A:B,2,FALSE),"")</f>
        <v/>
      </c>
      <c r="F2984" s="12" t="n"/>
      <c r="G2984" s="13" t="n"/>
    </row>
    <row r="2985">
      <c r="A2985" s="12" t="n"/>
      <c r="D2985">
        <f>IFERROR(VLOOKUP(C2985,Cadastro_Produtos!A:B,2,FALSE),"")</f>
        <v/>
      </c>
      <c r="F2985" s="12" t="n"/>
      <c r="G2985" s="13" t="n"/>
    </row>
    <row r="2986">
      <c r="A2986" s="12" t="n"/>
      <c r="D2986">
        <f>IFERROR(VLOOKUP(C2986,Cadastro_Produtos!A:B,2,FALSE),"")</f>
        <v/>
      </c>
      <c r="F2986" s="12" t="n"/>
      <c r="G2986" s="13" t="n"/>
    </row>
    <row r="2987">
      <c r="A2987" s="12" t="n"/>
      <c r="D2987">
        <f>IFERROR(VLOOKUP(C2987,Cadastro_Produtos!A:B,2,FALSE),"")</f>
        <v/>
      </c>
      <c r="F2987" s="12" t="n"/>
      <c r="G2987" s="13" t="n"/>
    </row>
    <row r="2988">
      <c r="A2988" s="12" t="n"/>
      <c r="D2988">
        <f>IFERROR(VLOOKUP(C2988,Cadastro_Produtos!A:B,2,FALSE),"")</f>
        <v/>
      </c>
      <c r="F2988" s="12" t="n"/>
      <c r="G2988" s="13" t="n"/>
    </row>
    <row r="2989">
      <c r="A2989" s="12" t="n"/>
      <c r="D2989">
        <f>IFERROR(VLOOKUP(C2989,Cadastro_Produtos!A:B,2,FALSE),"")</f>
        <v/>
      </c>
      <c r="F2989" s="12" t="n"/>
      <c r="G2989" s="13" t="n"/>
    </row>
    <row r="2990">
      <c r="A2990" s="12" t="n"/>
      <c r="D2990">
        <f>IFERROR(VLOOKUP(C2990,Cadastro_Produtos!A:B,2,FALSE),"")</f>
        <v/>
      </c>
      <c r="F2990" s="12" t="n"/>
      <c r="G2990" s="13" t="n"/>
    </row>
    <row r="2991">
      <c r="A2991" s="12" t="n"/>
      <c r="D2991">
        <f>IFERROR(VLOOKUP(C2991,Cadastro_Produtos!A:B,2,FALSE),"")</f>
        <v/>
      </c>
      <c r="F2991" s="12" t="n"/>
      <c r="G2991" s="13" t="n"/>
    </row>
    <row r="2992">
      <c r="A2992" s="12" t="n"/>
      <c r="D2992">
        <f>IFERROR(VLOOKUP(C2992,Cadastro_Produtos!A:B,2,FALSE),"")</f>
        <v/>
      </c>
      <c r="F2992" s="12" t="n"/>
      <c r="G2992" s="13" t="n"/>
    </row>
    <row r="2993">
      <c r="A2993" s="12" t="n"/>
      <c r="D2993">
        <f>IFERROR(VLOOKUP(C2993,Cadastro_Produtos!A:B,2,FALSE),"")</f>
        <v/>
      </c>
      <c r="F2993" s="12" t="n"/>
      <c r="G2993" s="13" t="n"/>
    </row>
    <row r="2994">
      <c r="A2994" s="12" t="n"/>
      <c r="D2994">
        <f>IFERROR(VLOOKUP(C2994,Cadastro_Produtos!A:B,2,FALSE),"")</f>
        <v/>
      </c>
      <c r="F2994" s="12" t="n"/>
      <c r="G2994" s="13" t="n"/>
    </row>
    <row r="2995">
      <c r="A2995" s="12" t="n"/>
      <c r="D2995">
        <f>IFERROR(VLOOKUP(C2995,Cadastro_Produtos!A:B,2,FALSE),"")</f>
        <v/>
      </c>
      <c r="F2995" s="12" t="n"/>
      <c r="G2995" s="13" t="n"/>
    </row>
    <row r="2996">
      <c r="A2996" s="12" t="n"/>
      <c r="D2996">
        <f>IFERROR(VLOOKUP(C2996,Cadastro_Produtos!A:B,2,FALSE),"")</f>
        <v/>
      </c>
      <c r="F2996" s="12" t="n"/>
      <c r="G2996" s="13" t="n"/>
    </row>
    <row r="2997">
      <c r="A2997" s="12" t="n"/>
      <c r="D2997">
        <f>IFERROR(VLOOKUP(C2997,Cadastro_Produtos!A:B,2,FALSE),"")</f>
        <v/>
      </c>
      <c r="F2997" s="12" t="n"/>
      <c r="G2997" s="13" t="n"/>
    </row>
    <row r="2998">
      <c r="A2998" s="12" t="n"/>
      <c r="D2998">
        <f>IFERROR(VLOOKUP(C2998,Cadastro_Produtos!A:B,2,FALSE),"")</f>
        <v/>
      </c>
      <c r="F2998" s="12" t="n"/>
      <c r="G2998" s="13" t="n"/>
    </row>
    <row r="2999">
      <c r="A2999" s="12" t="n"/>
      <c r="D2999">
        <f>IFERROR(VLOOKUP(C2999,Cadastro_Produtos!A:B,2,FALSE),"")</f>
        <v/>
      </c>
      <c r="F2999" s="12" t="n"/>
      <c r="G2999" s="13" t="n"/>
    </row>
    <row r="3000">
      <c r="A3000" s="12" t="n"/>
      <c r="D3000">
        <f>IFERROR(VLOOKUP(C3000,Cadastro_Produtos!A:B,2,FALSE),"")</f>
        <v/>
      </c>
      <c r="F3000" s="12" t="n"/>
      <c r="G3000" s="13" t="n"/>
    </row>
    <row r="3001">
      <c r="A3001" s="12" t="n"/>
      <c r="D3001">
        <f>IFERROR(VLOOKUP(C3001,Cadastro_Produtos!A:B,2,FALSE),"")</f>
        <v/>
      </c>
      <c r="F3001" s="12" t="n"/>
      <c r="G3001" s="13" t="n"/>
    </row>
    <row r="3002">
      <c r="A3002" s="12" t="n"/>
      <c r="D3002">
        <f>IFERROR(VLOOKUP(C3002,Cadastro_Produtos!A:B,2,FALSE),"")</f>
        <v/>
      </c>
      <c r="F3002" s="12" t="n"/>
      <c r="G3002" s="13" t="n"/>
    </row>
    <row r="3003">
      <c r="A3003" s="12" t="n"/>
      <c r="D3003">
        <f>IFERROR(VLOOKUP(C3003,Cadastro_Produtos!A:B,2,FALSE),"")</f>
        <v/>
      </c>
      <c r="F3003" s="12" t="n"/>
      <c r="G3003" s="13" t="n"/>
    </row>
    <row r="3004">
      <c r="A3004" s="12" t="n"/>
      <c r="D3004">
        <f>IFERROR(VLOOKUP(C3004,Cadastro_Produtos!A:B,2,FALSE),"")</f>
        <v/>
      </c>
      <c r="F3004" s="12" t="n"/>
      <c r="G3004" s="13" t="n"/>
    </row>
    <row r="3005">
      <c r="A3005" s="12" t="n"/>
      <c r="D3005">
        <f>IFERROR(VLOOKUP(C3005,Cadastro_Produtos!A:B,2,FALSE),"")</f>
        <v/>
      </c>
      <c r="F3005" s="12" t="n"/>
      <c r="G3005" s="13" t="n"/>
    </row>
    <row r="3006">
      <c r="A3006" s="12" t="n"/>
      <c r="D3006">
        <f>IFERROR(VLOOKUP(C3006,Cadastro_Produtos!A:B,2,FALSE),"")</f>
        <v/>
      </c>
      <c r="F3006" s="12" t="n"/>
      <c r="G3006" s="13" t="n"/>
    </row>
    <row r="3007">
      <c r="A3007" s="12" t="n"/>
      <c r="D3007">
        <f>IFERROR(VLOOKUP(C3007,Cadastro_Produtos!A:B,2,FALSE),"")</f>
        <v/>
      </c>
      <c r="F3007" s="12" t="n"/>
      <c r="G3007" s="13" t="n"/>
    </row>
    <row r="3008">
      <c r="A3008" s="12" t="n"/>
      <c r="D3008">
        <f>IFERROR(VLOOKUP(C3008,Cadastro_Produtos!A:B,2,FALSE),"")</f>
        <v/>
      </c>
      <c r="F3008" s="12" t="n"/>
      <c r="G3008" s="13" t="n"/>
    </row>
    <row r="3009">
      <c r="A3009" s="12" t="n"/>
      <c r="D3009">
        <f>IFERROR(VLOOKUP(C3009,Cadastro_Produtos!A:B,2,FALSE),"")</f>
        <v/>
      </c>
      <c r="F3009" s="12" t="n"/>
      <c r="G3009" s="13" t="n"/>
    </row>
    <row r="3010">
      <c r="A3010" s="12" t="n"/>
      <c r="D3010">
        <f>IFERROR(VLOOKUP(C3010,Cadastro_Produtos!A:B,2,FALSE),"")</f>
        <v/>
      </c>
      <c r="F3010" s="12" t="n"/>
      <c r="G3010" s="13" t="n"/>
    </row>
    <row r="3011">
      <c r="A3011" s="12" t="n"/>
      <c r="D3011">
        <f>IFERROR(VLOOKUP(C3011,Cadastro_Produtos!A:B,2,FALSE),"")</f>
        <v/>
      </c>
      <c r="F3011" s="12" t="n"/>
      <c r="G3011" s="13" t="n"/>
    </row>
    <row r="3012">
      <c r="A3012" s="12" t="n"/>
      <c r="D3012">
        <f>IFERROR(VLOOKUP(C3012,Cadastro_Produtos!A:B,2,FALSE),"")</f>
        <v/>
      </c>
      <c r="F3012" s="12" t="n"/>
      <c r="G3012" s="13" t="n"/>
    </row>
    <row r="3013">
      <c r="A3013" s="12" t="n"/>
      <c r="D3013">
        <f>IFERROR(VLOOKUP(C3013,Cadastro_Produtos!A:B,2,FALSE),"")</f>
        <v/>
      </c>
      <c r="F3013" s="12" t="n"/>
      <c r="G3013" s="13" t="n"/>
    </row>
    <row r="3014">
      <c r="A3014" s="12" t="n"/>
      <c r="D3014">
        <f>IFERROR(VLOOKUP(C3014,Cadastro_Produtos!A:B,2,FALSE),"")</f>
        <v/>
      </c>
      <c r="F3014" s="12" t="n"/>
      <c r="G3014" s="13" t="n"/>
    </row>
    <row r="3015">
      <c r="A3015" s="12" t="n"/>
      <c r="D3015">
        <f>IFERROR(VLOOKUP(C3015,Cadastro_Produtos!A:B,2,FALSE),"")</f>
        <v/>
      </c>
      <c r="F3015" s="12" t="n"/>
      <c r="G3015" s="13" t="n"/>
    </row>
    <row r="3016">
      <c r="A3016" s="12" t="n"/>
      <c r="D3016">
        <f>IFERROR(VLOOKUP(C3016,Cadastro_Produtos!A:B,2,FALSE),"")</f>
        <v/>
      </c>
      <c r="F3016" s="12" t="n"/>
      <c r="G3016" s="13" t="n"/>
    </row>
    <row r="3017">
      <c r="A3017" s="12" t="n"/>
      <c r="D3017">
        <f>IFERROR(VLOOKUP(C3017,Cadastro_Produtos!A:B,2,FALSE),"")</f>
        <v/>
      </c>
      <c r="F3017" s="12" t="n"/>
      <c r="G3017" s="13" t="n"/>
    </row>
    <row r="3018">
      <c r="A3018" s="12" t="n"/>
      <c r="D3018">
        <f>IFERROR(VLOOKUP(C3018,Cadastro_Produtos!A:B,2,FALSE),"")</f>
        <v/>
      </c>
      <c r="F3018" s="12" t="n"/>
      <c r="G3018" s="13" t="n"/>
    </row>
    <row r="3019">
      <c r="A3019" s="12" t="n"/>
      <c r="D3019">
        <f>IFERROR(VLOOKUP(C3019,Cadastro_Produtos!A:B,2,FALSE),"")</f>
        <v/>
      </c>
      <c r="F3019" s="12" t="n"/>
      <c r="G3019" s="13" t="n"/>
    </row>
    <row r="3020">
      <c r="A3020" s="12" t="n"/>
      <c r="D3020">
        <f>IFERROR(VLOOKUP(C3020,Cadastro_Produtos!A:B,2,FALSE),"")</f>
        <v/>
      </c>
      <c r="F3020" s="12" t="n"/>
      <c r="G3020" s="13" t="n"/>
    </row>
    <row r="3021">
      <c r="A3021" s="12" t="n"/>
      <c r="D3021">
        <f>IFERROR(VLOOKUP(C3021,Cadastro_Produtos!A:B,2,FALSE),"")</f>
        <v/>
      </c>
      <c r="F3021" s="12" t="n"/>
      <c r="G3021" s="13" t="n"/>
    </row>
    <row r="3022">
      <c r="A3022" s="12" t="n"/>
      <c r="D3022">
        <f>IFERROR(VLOOKUP(C3022,Cadastro_Produtos!A:B,2,FALSE),"")</f>
        <v/>
      </c>
      <c r="F3022" s="12" t="n"/>
      <c r="G3022" s="13" t="n"/>
    </row>
    <row r="3023">
      <c r="A3023" s="12" t="n"/>
      <c r="D3023">
        <f>IFERROR(VLOOKUP(C3023,Cadastro_Produtos!A:B,2,FALSE),"")</f>
        <v/>
      </c>
      <c r="F3023" s="12" t="n"/>
      <c r="G3023" s="13" t="n"/>
    </row>
    <row r="3024">
      <c r="A3024" s="12" t="n"/>
      <c r="D3024">
        <f>IFERROR(VLOOKUP(C3024,Cadastro_Produtos!A:B,2,FALSE),"")</f>
        <v/>
      </c>
      <c r="F3024" s="12" t="n"/>
      <c r="G3024" s="13" t="n"/>
    </row>
    <row r="3025">
      <c r="A3025" s="12" t="n"/>
      <c r="D3025">
        <f>IFERROR(VLOOKUP(C3025,Cadastro_Produtos!A:B,2,FALSE),"")</f>
        <v/>
      </c>
      <c r="F3025" s="12" t="n"/>
      <c r="G3025" s="13" t="n"/>
    </row>
    <row r="3026">
      <c r="A3026" s="12" t="n"/>
      <c r="D3026">
        <f>IFERROR(VLOOKUP(C3026,Cadastro_Produtos!A:B,2,FALSE),"")</f>
        <v/>
      </c>
      <c r="F3026" s="12" t="n"/>
      <c r="G3026" s="13" t="n"/>
    </row>
    <row r="3027">
      <c r="A3027" s="12" t="n"/>
      <c r="D3027">
        <f>IFERROR(VLOOKUP(C3027,Cadastro_Produtos!A:B,2,FALSE),"")</f>
        <v/>
      </c>
      <c r="F3027" s="12" t="n"/>
      <c r="G3027" s="13" t="n"/>
    </row>
    <row r="3028">
      <c r="A3028" s="12" t="n"/>
      <c r="D3028">
        <f>IFERROR(VLOOKUP(C3028,Cadastro_Produtos!A:B,2,FALSE),"")</f>
        <v/>
      </c>
      <c r="F3028" s="12" t="n"/>
      <c r="G3028" s="13" t="n"/>
    </row>
    <row r="3029">
      <c r="A3029" s="12" t="n"/>
      <c r="D3029">
        <f>IFERROR(VLOOKUP(C3029,Cadastro_Produtos!A:B,2,FALSE),"")</f>
        <v/>
      </c>
      <c r="F3029" s="12" t="n"/>
      <c r="G3029" s="13" t="n"/>
    </row>
    <row r="3030">
      <c r="A3030" s="12" t="n"/>
      <c r="D3030">
        <f>IFERROR(VLOOKUP(C3030,Cadastro_Produtos!A:B,2,FALSE),"")</f>
        <v/>
      </c>
      <c r="F3030" s="12" t="n"/>
      <c r="G3030" s="13" t="n"/>
    </row>
    <row r="3031">
      <c r="A3031" s="12" t="n"/>
      <c r="D3031">
        <f>IFERROR(VLOOKUP(C3031,Cadastro_Produtos!A:B,2,FALSE),"")</f>
        <v/>
      </c>
      <c r="F3031" s="12" t="n"/>
      <c r="G3031" s="13" t="n"/>
    </row>
    <row r="3032">
      <c r="A3032" s="12" t="n"/>
      <c r="D3032">
        <f>IFERROR(VLOOKUP(C3032,Cadastro_Produtos!A:B,2,FALSE),"")</f>
        <v/>
      </c>
      <c r="F3032" s="12" t="n"/>
      <c r="G3032" s="13" t="n"/>
    </row>
    <row r="3033">
      <c r="A3033" s="12" t="n"/>
      <c r="D3033">
        <f>IFERROR(VLOOKUP(C3033,Cadastro_Produtos!A:B,2,FALSE),"")</f>
        <v/>
      </c>
      <c r="F3033" s="12" t="n"/>
      <c r="G3033" s="13" t="n"/>
    </row>
    <row r="3034">
      <c r="A3034" s="12" t="n"/>
      <c r="D3034">
        <f>IFERROR(VLOOKUP(C3034,Cadastro_Produtos!A:B,2,FALSE),"")</f>
        <v/>
      </c>
      <c r="F3034" s="12" t="n"/>
      <c r="G3034" s="13" t="n"/>
    </row>
    <row r="3035">
      <c r="A3035" s="12" t="n"/>
      <c r="D3035">
        <f>IFERROR(VLOOKUP(C3035,Cadastro_Produtos!A:B,2,FALSE),"")</f>
        <v/>
      </c>
      <c r="F3035" s="12" t="n"/>
      <c r="G3035" s="13" t="n"/>
    </row>
    <row r="3036">
      <c r="A3036" s="12" t="n"/>
      <c r="D3036">
        <f>IFERROR(VLOOKUP(C3036,Cadastro_Produtos!A:B,2,FALSE),"")</f>
        <v/>
      </c>
      <c r="F3036" s="12" t="n"/>
      <c r="G3036" s="13" t="n"/>
    </row>
    <row r="3037">
      <c r="A3037" s="12" t="n"/>
      <c r="D3037">
        <f>IFERROR(VLOOKUP(C3037,Cadastro_Produtos!A:B,2,FALSE),"")</f>
        <v/>
      </c>
      <c r="F3037" s="12" t="n"/>
      <c r="G3037" s="13" t="n"/>
    </row>
    <row r="3038">
      <c r="A3038" s="12" t="n"/>
      <c r="D3038">
        <f>IFERROR(VLOOKUP(C3038,Cadastro_Produtos!A:B,2,FALSE),"")</f>
        <v/>
      </c>
      <c r="F3038" s="12" t="n"/>
      <c r="G3038" s="13" t="n"/>
    </row>
    <row r="3039">
      <c r="A3039" s="12" t="n"/>
      <c r="D3039">
        <f>IFERROR(VLOOKUP(C3039,Cadastro_Produtos!A:B,2,FALSE),"")</f>
        <v/>
      </c>
      <c r="F3039" s="12" t="n"/>
      <c r="G3039" s="13" t="n"/>
    </row>
    <row r="3040">
      <c r="A3040" s="12" t="n"/>
      <c r="D3040">
        <f>IFERROR(VLOOKUP(C3040,Cadastro_Produtos!A:B,2,FALSE),"")</f>
        <v/>
      </c>
      <c r="F3040" s="12" t="n"/>
      <c r="G3040" s="13" t="n"/>
    </row>
    <row r="3041">
      <c r="A3041" s="12" t="n"/>
      <c r="D3041">
        <f>IFERROR(VLOOKUP(C3041,Cadastro_Produtos!A:B,2,FALSE),"")</f>
        <v/>
      </c>
      <c r="F3041" s="12" t="n"/>
      <c r="G3041" s="13" t="n"/>
    </row>
    <row r="3042">
      <c r="A3042" s="12" t="n"/>
      <c r="D3042">
        <f>IFERROR(VLOOKUP(C3042,Cadastro_Produtos!A:B,2,FALSE),"")</f>
        <v/>
      </c>
      <c r="F3042" s="12" t="n"/>
      <c r="G3042" s="13" t="n"/>
    </row>
    <row r="3043">
      <c r="A3043" s="12" t="n"/>
      <c r="D3043">
        <f>IFERROR(VLOOKUP(C3043,Cadastro_Produtos!A:B,2,FALSE),"")</f>
        <v/>
      </c>
      <c r="F3043" s="12" t="n"/>
      <c r="G3043" s="13" t="n"/>
    </row>
    <row r="3044">
      <c r="A3044" s="12" t="n"/>
      <c r="D3044">
        <f>IFERROR(VLOOKUP(C3044,Cadastro_Produtos!A:B,2,FALSE),"")</f>
        <v/>
      </c>
      <c r="F3044" s="12" t="n"/>
      <c r="G3044" s="13" t="n"/>
    </row>
    <row r="3045">
      <c r="A3045" s="12" t="n"/>
      <c r="D3045">
        <f>IFERROR(VLOOKUP(C3045,Cadastro_Produtos!A:B,2,FALSE),"")</f>
        <v/>
      </c>
      <c r="F3045" s="12" t="n"/>
      <c r="G3045" s="13" t="n"/>
    </row>
    <row r="3046">
      <c r="A3046" s="12" t="n"/>
      <c r="D3046">
        <f>IFERROR(VLOOKUP(C3046,Cadastro_Produtos!A:B,2,FALSE),"")</f>
        <v/>
      </c>
      <c r="F3046" s="12" t="n"/>
      <c r="G3046" s="13" t="n"/>
    </row>
    <row r="3047">
      <c r="A3047" s="12" t="n"/>
      <c r="D3047">
        <f>IFERROR(VLOOKUP(C3047,Cadastro_Produtos!A:B,2,FALSE),"")</f>
        <v/>
      </c>
      <c r="F3047" s="12" t="n"/>
      <c r="G3047" s="13" t="n"/>
    </row>
    <row r="3048">
      <c r="A3048" s="12" t="n"/>
      <c r="D3048">
        <f>IFERROR(VLOOKUP(C3048,Cadastro_Produtos!A:B,2,FALSE),"")</f>
        <v/>
      </c>
      <c r="F3048" s="12" t="n"/>
      <c r="G3048" s="13" t="n"/>
    </row>
    <row r="3049">
      <c r="A3049" s="12" t="n"/>
      <c r="D3049">
        <f>IFERROR(VLOOKUP(C3049,Cadastro_Produtos!A:B,2,FALSE),"")</f>
        <v/>
      </c>
      <c r="F3049" s="12" t="n"/>
      <c r="G3049" s="13" t="n"/>
    </row>
    <row r="3050">
      <c r="A3050" s="12" t="n"/>
      <c r="D3050">
        <f>IFERROR(VLOOKUP(C3050,Cadastro_Produtos!A:B,2,FALSE),"")</f>
        <v/>
      </c>
      <c r="F3050" s="12" t="n"/>
      <c r="G3050" s="13" t="n"/>
    </row>
    <row r="3051">
      <c r="A3051" s="12" t="n"/>
      <c r="D3051">
        <f>IFERROR(VLOOKUP(C3051,Cadastro_Produtos!A:B,2,FALSE),"")</f>
        <v/>
      </c>
      <c r="F3051" s="12" t="n"/>
      <c r="G3051" s="13" t="n"/>
    </row>
    <row r="3052">
      <c r="A3052" s="12" t="n"/>
      <c r="D3052">
        <f>IFERROR(VLOOKUP(C3052,Cadastro_Produtos!A:B,2,FALSE),"")</f>
        <v/>
      </c>
      <c r="F3052" s="12" t="n"/>
      <c r="G3052" s="13" t="n"/>
    </row>
    <row r="3053">
      <c r="A3053" s="12" t="n"/>
      <c r="D3053">
        <f>IFERROR(VLOOKUP(C3053,Cadastro_Produtos!A:B,2,FALSE),"")</f>
        <v/>
      </c>
      <c r="F3053" s="12" t="n"/>
      <c r="G3053" s="13" t="n"/>
    </row>
    <row r="3054">
      <c r="A3054" s="12" t="n"/>
      <c r="D3054">
        <f>IFERROR(VLOOKUP(C3054,Cadastro_Produtos!A:B,2,FALSE),"")</f>
        <v/>
      </c>
      <c r="F3054" s="12" t="n"/>
      <c r="G3054" s="13" t="n"/>
    </row>
    <row r="3055">
      <c r="A3055" s="12" t="n"/>
      <c r="D3055">
        <f>IFERROR(VLOOKUP(C3055,Cadastro_Produtos!A:B,2,FALSE),"")</f>
        <v/>
      </c>
      <c r="F3055" s="12" t="n"/>
      <c r="G3055" s="13" t="n"/>
    </row>
    <row r="3056">
      <c r="A3056" s="12" t="n"/>
      <c r="D3056">
        <f>IFERROR(VLOOKUP(C3056,Cadastro_Produtos!A:B,2,FALSE),"")</f>
        <v/>
      </c>
      <c r="F3056" s="12" t="n"/>
      <c r="G3056" s="13" t="n"/>
    </row>
    <row r="3057">
      <c r="A3057" s="12" t="n"/>
      <c r="D3057">
        <f>IFERROR(VLOOKUP(C3057,Cadastro_Produtos!A:B,2,FALSE),"")</f>
        <v/>
      </c>
      <c r="F3057" s="12" t="n"/>
      <c r="G3057" s="13" t="n"/>
    </row>
    <row r="3058">
      <c r="A3058" s="12" t="n"/>
      <c r="D3058">
        <f>IFERROR(VLOOKUP(C3058,Cadastro_Produtos!A:B,2,FALSE),"")</f>
        <v/>
      </c>
      <c r="F3058" s="12" t="n"/>
      <c r="G3058" s="13" t="n"/>
    </row>
    <row r="3059">
      <c r="A3059" s="12" t="n"/>
      <c r="D3059">
        <f>IFERROR(VLOOKUP(C3059,Cadastro_Produtos!A:B,2,FALSE),"")</f>
        <v/>
      </c>
      <c r="F3059" s="12" t="n"/>
      <c r="G3059" s="13" t="n"/>
    </row>
    <row r="3060">
      <c r="A3060" s="12" t="n"/>
      <c r="D3060">
        <f>IFERROR(VLOOKUP(C3060,Cadastro_Produtos!A:B,2,FALSE),"")</f>
        <v/>
      </c>
      <c r="F3060" s="12" t="n"/>
      <c r="G3060" s="13" t="n"/>
    </row>
    <row r="3061">
      <c r="A3061" s="12" t="n"/>
      <c r="D3061">
        <f>IFERROR(VLOOKUP(C3061,Cadastro_Produtos!A:B,2,FALSE),"")</f>
        <v/>
      </c>
      <c r="F3061" s="12" t="n"/>
      <c r="G3061" s="13" t="n"/>
    </row>
    <row r="3062">
      <c r="A3062" s="12" t="n"/>
      <c r="D3062">
        <f>IFERROR(VLOOKUP(C3062,Cadastro_Produtos!A:B,2,FALSE),"")</f>
        <v/>
      </c>
      <c r="F3062" s="12" t="n"/>
      <c r="G3062" s="13" t="n"/>
    </row>
    <row r="3063">
      <c r="A3063" s="12" t="n"/>
      <c r="D3063">
        <f>IFERROR(VLOOKUP(C3063,Cadastro_Produtos!A:B,2,FALSE),"")</f>
        <v/>
      </c>
      <c r="F3063" s="12" t="n"/>
      <c r="G3063" s="13" t="n"/>
    </row>
    <row r="3064">
      <c r="A3064" s="12" t="n"/>
      <c r="D3064">
        <f>IFERROR(VLOOKUP(C3064,Cadastro_Produtos!A:B,2,FALSE),"")</f>
        <v/>
      </c>
      <c r="F3064" s="12" t="n"/>
      <c r="G3064" s="13" t="n"/>
    </row>
    <row r="3065">
      <c r="A3065" s="12" t="n"/>
      <c r="D3065">
        <f>IFERROR(VLOOKUP(C3065,Cadastro_Produtos!A:B,2,FALSE),"")</f>
        <v/>
      </c>
      <c r="F3065" s="12" t="n"/>
      <c r="G3065" s="13" t="n"/>
    </row>
    <row r="3066">
      <c r="A3066" s="12" t="n"/>
      <c r="D3066">
        <f>IFERROR(VLOOKUP(C3066,Cadastro_Produtos!A:B,2,FALSE),"")</f>
        <v/>
      </c>
      <c r="F3066" s="12" t="n"/>
      <c r="G3066" s="13" t="n"/>
    </row>
    <row r="3067">
      <c r="A3067" s="12" t="n"/>
      <c r="D3067">
        <f>IFERROR(VLOOKUP(C3067,Cadastro_Produtos!A:B,2,FALSE),"")</f>
        <v/>
      </c>
      <c r="F3067" s="12" t="n"/>
      <c r="G3067" s="13" t="n"/>
    </row>
    <row r="3068">
      <c r="A3068" s="12" t="n"/>
      <c r="D3068">
        <f>IFERROR(VLOOKUP(C3068,Cadastro_Produtos!A:B,2,FALSE),"")</f>
        <v/>
      </c>
      <c r="F3068" s="12" t="n"/>
      <c r="G3068" s="13" t="n"/>
    </row>
    <row r="3069">
      <c r="A3069" s="12" t="n"/>
      <c r="D3069">
        <f>IFERROR(VLOOKUP(C3069,Cadastro_Produtos!A:B,2,FALSE),"")</f>
        <v/>
      </c>
      <c r="F3069" s="12" t="n"/>
      <c r="G3069" s="13" t="n"/>
    </row>
    <row r="3070">
      <c r="A3070" s="12" t="n"/>
      <c r="D3070">
        <f>IFERROR(VLOOKUP(C3070,Cadastro_Produtos!A:B,2,FALSE),"")</f>
        <v/>
      </c>
      <c r="F3070" s="12" t="n"/>
      <c r="G3070" s="13" t="n"/>
    </row>
    <row r="3071">
      <c r="A3071" s="12" t="n"/>
      <c r="D3071">
        <f>IFERROR(VLOOKUP(C3071,Cadastro_Produtos!A:B,2,FALSE),"")</f>
        <v/>
      </c>
      <c r="F3071" s="12" t="n"/>
      <c r="G3071" s="13" t="n"/>
    </row>
    <row r="3072">
      <c r="A3072" s="12" t="n"/>
      <c r="D3072">
        <f>IFERROR(VLOOKUP(C3072,Cadastro_Produtos!A:B,2,FALSE),"")</f>
        <v/>
      </c>
      <c r="F3072" s="12" t="n"/>
      <c r="G3072" s="13" t="n"/>
    </row>
    <row r="3073">
      <c r="A3073" s="12" t="n"/>
      <c r="D3073">
        <f>IFERROR(VLOOKUP(C3073,Cadastro_Produtos!A:B,2,FALSE),"")</f>
        <v/>
      </c>
      <c r="F3073" s="12" t="n"/>
      <c r="G3073" s="13" t="n"/>
    </row>
    <row r="3074">
      <c r="A3074" s="12" t="n"/>
      <c r="D3074">
        <f>IFERROR(VLOOKUP(C3074,Cadastro_Produtos!A:B,2,FALSE),"")</f>
        <v/>
      </c>
      <c r="F3074" s="12" t="n"/>
      <c r="G3074" s="13" t="n"/>
    </row>
    <row r="3075">
      <c r="A3075" s="12" t="n"/>
      <c r="D3075">
        <f>IFERROR(VLOOKUP(C3075,Cadastro_Produtos!A:B,2,FALSE),"")</f>
        <v/>
      </c>
      <c r="F3075" s="12" t="n"/>
      <c r="G3075" s="13" t="n"/>
    </row>
    <row r="3076">
      <c r="A3076" s="12" t="n"/>
      <c r="D3076">
        <f>IFERROR(VLOOKUP(C3076,Cadastro_Produtos!A:B,2,FALSE),"")</f>
        <v/>
      </c>
      <c r="F3076" s="12" t="n"/>
      <c r="G3076" s="13" t="n"/>
    </row>
    <row r="3077">
      <c r="A3077" s="12" t="n"/>
      <c r="D3077">
        <f>IFERROR(VLOOKUP(C3077,Cadastro_Produtos!A:B,2,FALSE),"")</f>
        <v/>
      </c>
      <c r="F3077" s="12" t="n"/>
      <c r="G3077" s="13" t="n"/>
    </row>
    <row r="3078">
      <c r="A3078" s="12" t="n"/>
      <c r="D3078">
        <f>IFERROR(VLOOKUP(C3078,Cadastro_Produtos!A:B,2,FALSE),"")</f>
        <v/>
      </c>
      <c r="F3078" s="12" t="n"/>
      <c r="G3078" s="13" t="n"/>
    </row>
    <row r="3079">
      <c r="A3079" s="12" t="n"/>
      <c r="D3079">
        <f>IFERROR(VLOOKUP(C3079,Cadastro_Produtos!A:B,2,FALSE),"")</f>
        <v/>
      </c>
      <c r="F3079" s="12" t="n"/>
      <c r="G3079" s="13" t="n"/>
    </row>
    <row r="3080">
      <c r="A3080" s="12" t="n"/>
      <c r="D3080">
        <f>IFERROR(VLOOKUP(C3080,Cadastro_Produtos!A:B,2,FALSE),"")</f>
        <v/>
      </c>
      <c r="F3080" s="12" t="n"/>
      <c r="G3080" s="13" t="n"/>
    </row>
    <row r="3081">
      <c r="A3081" s="12" t="n"/>
      <c r="D3081">
        <f>IFERROR(VLOOKUP(C3081,Cadastro_Produtos!A:B,2,FALSE),"")</f>
        <v/>
      </c>
      <c r="F3081" s="12" t="n"/>
      <c r="G3081" s="13" t="n"/>
    </row>
    <row r="3082">
      <c r="A3082" s="12" t="n"/>
      <c r="D3082">
        <f>IFERROR(VLOOKUP(C3082,Cadastro_Produtos!A:B,2,FALSE),"")</f>
        <v/>
      </c>
      <c r="F3082" s="12" t="n"/>
      <c r="G3082" s="13" t="n"/>
    </row>
    <row r="3083">
      <c r="A3083" s="12" t="n"/>
      <c r="D3083">
        <f>IFERROR(VLOOKUP(C3083,Cadastro_Produtos!A:B,2,FALSE),"")</f>
        <v/>
      </c>
      <c r="F3083" s="12" t="n"/>
      <c r="G3083" s="13" t="n"/>
    </row>
    <row r="3084">
      <c r="A3084" s="12" t="n"/>
      <c r="D3084">
        <f>IFERROR(VLOOKUP(C3084,Cadastro_Produtos!A:B,2,FALSE),"")</f>
        <v/>
      </c>
      <c r="F3084" s="12" t="n"/>
      <c r="G3084" s="13" t="n"/>
    </row>
    <row r="3085">
      <c r="A3085" s="12" t="n"/>
      <c r="D3085">
        <f>IFERROR(VLOOKUP(C3085,Cadastro_Produtos!A:B,2,FALSE),"")</f>
        <v/>
      </c>
      <c r="F3085" s="12" t="n"/>
      <c r="G3085" s="13" t="n"/>
    </row>
    <row r="3086">
      <c r="A3086" s="12" t="n"/>
      <c r="D3086">
        <f>IFERROR(VLOOKUP(C3086,Cadastro_Produtos!A:B,2,FALSE),"")</f>
        <v/>
      </c>
      <c r="F3086" s="12" t="n"/>
      <c r="G3086" s="13" t="n"/>
    </row>
    <row r="3087">
      <c r="A3087" s="12" t="n"/>
      <c r="D3087">
        <f>IFERROR(VLOOKUP(C3087,Cadastro_Produtos!A:B,2,FALSE),"")</f>
        <v/>
      </c>
      <c r="F3087" s="12" t="n"/>
      <c r="G3087" s="13" t="n"/>
    </row>
    <row r="3088">
      <c r="A3088" s="12" t="n"/>
      <c r="D3088">
        <f>IFERROR(VLOOKUP(C3088,Cadastro_Produtos!A:B,2,FALSE),"")</f>
        <v/>
      </c>
      <c r="F3088" s="12" t="n"/>
      <c r="G3088" s="13" t="n"/>
    </row>
    <row r="3089">
      <c r="A3089" s="12" t="n"/>
      <c r="D3089">
        <f>IFERROR(VLOOKUP(C3089,Cadastro_Produtos!A:B,2,FALSE),"")</f>
        <v/>
      </c>
      <c r="F3089" s="12" t="n"/>
      <c r="G3089" s="13" t="n"/>
    </row>
    <row r="3090">
      <c r="A3090" s="12" t="n"/>
      <c r="D3090">
        <f>IFERROR(VLOOKUP(C3090,Cadastro_Produtos!A:B,2,FALSE),"")</f>
        <v/>
      </c>
      <c r="F3090" s="12" t="n"/>
      <c r="G3090" s="13" t="n"/>
    </row>
    <row r="3091">
      <c r="A3091" s="12" t="n"/>
      <c r="D3091">
        <f>IFERROR(VLOOKUP(C3091,Cadastro_Produtos!A:B,2,FALSE),"")</f>
        <v/>
      </c>
      <c r="F3091" s="12" t="n"/>
      <c r="G3091" s="13" t="n"/>
    </row>
    <row r="3092">
      <c r="A3092" s="12" t="n"/>
      <c r="D3092">
        <f>IFERROR(VLOOKUP(C3092,Cadastro_Produtos!A:B,2,FALSE),"")</f>
        <v/>
      </c>
      <c r="F3092" s="12" t="n"/>
      <c r="G3092" s="13" t="n"/>
    </row>
    <row r="3093">
      <c r="A3093" s="12" t="n"/>
      <c r="D3093">
        <f>IFERROR(VLOOKUP(C3093,Cadastro_Produtos!A:B,2,FALSE),"")</f>
        <v/>
      </c>
      <c r="F3093" s="12" t="n"/>
      <c r="G3093" s="13" t="n"/>
    </row>
    <row r="3094">
      <c r="A3094" s="12" t="n"/>
      <c r="D3094">
        <f>IFERROR(VLOOKUP(C3094,Cadastro_Produtos!A:B,2,FALSE),"")</f>
        <v/>
      </c>
      <c r="F3094" s="12" t="n"/>
      <c r="G3094" s="13" t="n"/>
    </row>
    <row r="3095">
      <c r="A3095" s="12" t="n"/>
      <c r="D3095">
        <f>IFERROR(VLOOKUP(C3095,Cadastro_Produtos!A:B,2,FALSE),"")</f>
        <v/>
      </c>
      <c r="F3095" s="12" t="n"/>
      <c r="G3095" s="13" t="n"/>
    </row>
    <row r="3096">
      <c r="A3096" s="12" t="n"/>
      <c r="D3096">
        <f>IFERROR(VLOOKUP(C3096,Cadastro_Produtos!A:B,2,FALSE),"")</f>
        <v/>
      </c>
      <c r="F3096" s="12" t="n"/>
      <c r="G3096" s="13" t="n"/>
    </row>
    <row r="3097">
      <c r="A3097" s="12" t="n"/>
      <c r="D3097">
        <f>IFERROR(VLOOKUP(C3097,Cadastro_Produtos!A:B,2,FALSE),"")</f>
        <v/>
      </c>
      <c r="F3097" s="12" t="n"/>
      <c r="G3097" s="13" t="n"/>
    </row>
    <row r="3098">
      <c r="A3098" s="12" t="n"/>
      <c r="D3098">
        <f>IFERROR(VLOOKUP(C3098,Cadastro_Produtos!A:B,2,FALSE),"")</f>
        <v/>
      </c>
      <c r="F3098" s="12" t="n"/>
      <c r="G3098" s="13" t="n"/>
    </row>
    <row r="3099">
      <c r="A3099" s="12" t="n"/>
      <c r="D3099">
        <f>IFERROR(VLOOKUP(C3099,Cadastro_Produtos!A:B,2,FALSE),"")</f>
        <v/>
      </c>
      <c r="F3099" s="12" t="n"/>
      <c r="G3099" s="13" t="n"/>
    </row>
    <row r="3100">
      <c r="A3100" s="12" t="n"/>
      <c r="D3100">
        <f>IFERROR(VLOOKUP(C3100,Cadastro_Produtos!A:B,2,FALSE),"")</f>
        <v/>
      </c>
      <c r="F3100" s="12" t="n"/>
      <c r="G3100" s="13" t="n"/>
    </row>
    <row r="3101">
      <c r="A3101" s="12" t="n"/>
      <c r="D3101">
        <f>IFERROR(VLOOKUP(C3101,Cadastro_Produtos!A:B,2,FALSE),"")</f>
        <v/>
      </c>
      <c r="F3101" s="12" t="n"/>
      <c r="G3101" s="13" t="n"/>
    </row>
    <row r="3102">
      <c r="A3102" s="12" t="n"/>
      <c r="D3102">
        <f>IFERROR(VLOOKUP(C3102,Cadastro_Produtos!A:B,2,FALSE),"")</f>
        <v/>
      </c>
      <c r="F3102" s="12" t="n"/>
      <c r="G3102" s="13" t="n"/>
    </row>
    <row r="3103">
      <c r="A3103" s="12" t="n"/>
      <c r="D3103">
        <f>IFERROR(VLOOKUP(C3103,Cadastro_Produtos!A:B,2,FALSE),"")</f>
        <v/>
      </c>
      <c r="F3103" s="12" t="n"/>
      <c r="G3103" s="13" t="n"/>
    </row>
    <row r="3104">
      <c r="A3104" s="12" t="n"/>
      <c r="D3104">
        <f>IFERROR(VLOOKUP(C3104,Cadastro_Produtos!A:B,2,FALSE),"")</f>
        <v/>
      </c>
      <c r="F3104" s="12" t="n"/>
      <c r="G3104" s="13" t="n"/>
    </row>
    <row r="3105">
      <c r="A3105" s="12" t="n"/>
      <c r="D3105">
        <f>IFERROR(VLOOKUP(C3105,Cadastro_Produtos!A:B,2,FALSE),"")</f>
        <v/>
      </c>
      <c r="F3105" s="12" t="n"/>
      <c r="G3105" s="13" t="n"/>
    </row>
    <row r="3106">
      <c r="A3106" s="12" t="n"/>
      <c r="D3106">
        <f>IFERROR(VLOOKUP(C3106,Cadastro_Produtos!A:B,2,FALSE),"")</f>
        <v/>
      </c>
      <c r="F3106" s="12" t="n"/>
      <c r="G3106" s="13" t="n"/>
    </row>
    <row r="3107">
      <c r="A3107" s="12" t="n"/>
      <c r="D3107">
        <f>IFERROR(VLOOKUP(C3107,Cadastro_Produtos!A:B,2,FALSE),"")</f>
        <v/>
      </c>
      <c r="F3107" s="12" t="n"/>
      <c r="G3107" s="13" t="n"/>
    </row>
    <row r="3108">
      <c r="A3108" s="12" t="n"/>
      <c r="D3108">
        <f>IFERROR(VLOOKUP(C3108,Cadastro_Produtos!A:B,2,FALSE),"")</f>
        <v/>
      </c>
      <c r="F3108" s="12" t="n"/>
      <c r="G3108" s="13" t="n"/>
    </row>
    <row r="3109">
      <c r="A3109" s="12" t="n"/>
      <c r="D3109">
        <f>IFERROR(VLOOKUP(C3109,Cadastro_Produtos!A:B,2,FALSE),"")</f>
        <v/>
      </c>
      <c r="F3109" s="12" t="n"/>
      <c r="G3109" s="13" t="n"/>
    </row>
    <row r="3110">
      <c r="A3110" s="12" t="n"/>
      <c r="D3110">
        <f>IFERROR(VLOOKUP(C3110,Cadastro_Produtos!A:B,2,FALSE),"")</f>
        <v/>
      </c>
      <c r="F3110" s="12" t="n"/>
      <c r="G3110" s="13" t="n"/>
    </row>
    <row r="3111">
      <c r="A3111" s="12" t="n"/>
      <c r="D3111">
        <f>IFERROR(VLOOKUP(C3111,Cadastro_Produtos!A:B,2,FALSE),"")</f>
        <v/>
      </c>
      <c r="F3111" s="12" t="n"/>
      <c r="G3111" s="13" t="n"/>
    </row>
    <row r="3112">
      <c r="A3112" s="12" t="n"/>
      <c r="D3112">
        <f>IFERROR(VLOOKUP(C3112,Cadastro_Produtos!A:B,2,FALSE),"")</f>
        <v/>
      </c>
      <c r="F3112" s="12" t="n"/>
      <c r="G3112" s="13" t="n"/>
    </row>
    <row r="3113">
      <c r="A3113" s="12" t="n"/>
      <c r="D3113">
        <f>IFERROR(VLOOKUP(C3113,Cadastro_Produtos!A:B,2,FALSE),"")</f>
        <v/>
      </c>
      <c r="F3113" s="12" t="n"/>
      <c r="G3113" s="13" t="n"/>
    </row>
    <row r="3114">
      <c r="A3114" s="12" t="n"/>
      <c r="D3114">
        <f>IFERROR(VLOOKUP(C3114,Cadastro_Produtos!A:B,2,FALSE),"")</f>
        <v/>
      </c>
      <c r="F3114" s="12" t="n"/>
      <c r="G3114" s="13" t="n"/>
    </row>
    <row r="3115">
      <c r="A3115" s="12" t="n"/>
      <c r="D3115">
        <f>IFERROR(VLOOKUP(C3115,Cadastro_Produtos!A:B,2,FALSE),"")</f>
        <v/>
      </c>
      <c r="F3115" s="12" t="n"/>
      <c r="G3115" s="13" t="n"/>
    </row>
    <row r="3116">
      <c r="A3116" s="12" t="n"/>
      <c r="D3116">
        <f>IFERROR(VLOOKUP(C3116,Cadastro_Produtos!A:B,2,FALSE),"")</f>
        <v/>
      </c>
      <c r="F3116" s="12" t="n"/>
      <c r="G3116" s="13" t="n"/>
    </row>
    <row r="3117">
      <c r="A3117" s="12" t="n"/>
      <c r="D3117">
        <f>IFERROR(VLOOKUP(C3117,Cadastro_Produtos!A:B,2,FALSE),"")</f>
        <v/>
      </c>
      <c r="F3117" s="12" t="n"/>
      <c r="G3117" s="13" t="n"/>
    </row>
    <row r="3118">
      <c r="A3118" s="12" t="n"/>
      <c r="D3118">
        <f>IFERROR(VLOOKUP(C3118,Cadastro_Produtos!A:B,2,FALSE),"")</f>
        <v/>
      </c>
      <c r="F3118" s="12" t="n"/>
      <c r="G3118" s="13" t="n"/>
    </row>
    <row r="3119">
      <c r="A3119" s="12" t="n"/>
      <c r="D3119">
        <f>IFERROR(VLOOKUP(C3119,Cadastro_Produtos!A:B,2,FALSE),"")</f>
        <v/>
      </c>
      <c r="F3119" s="12" t="n"/>
      <c r="G3119" s="13" t="n"/>
    </row>
    <row r="3120">
      <c r="A3120" s="12" t="n"/>
      <c r="D3120">
        <f>IFERROR(VLOOKUP(C3120,Cadastro_Produtos!A:B,2,FALSE),"")</f>
        <v/>
      </c>
      <c r="F3120" s="12" t="n"/>
      <c r="G3120" s="13" t="n"/>
    </row>
    <row r="3121">
      <c r="A3121" s="12" t="n"/>
      <c r="D3121">
        <f>IFERROR(VLOOKUP(C3121,Cadastro_Produtos!A:B,2,FALSE),"")</f>
        <v/>
      </c>
      <c r="F3121" s="12" t="n"/>
      <c r="G3121" s="13" t="n"/>
    </row>
    <row r="3122">
      <c r="A3122" s="12" t="n"/>
      <c r="D3122">
        <f>IFERROR(VLOOKUP(C3122,Cadastro_Produtos!A:B,2,FALSE),"")</f>
        <v/>
      </c>
      <c r="F3122" s="12" t="n"/>
      <c r="G3122" s="13" t="n"/>
    </row>
    <row r="3123">
      <c r="A3123" s="12" t="n"/>
      <c r="D3123">
        <f>IFERROR(VLOOKUP(C3123,Cadastro_Produtos!A:B,2,FALSE),"")</f>
        <v/>
      </c>
      <c r="F3123" s="12" t="n"/>
      <c r="G3123" s="13" t="n"/>
    </row>
    <row r="3124">
      <c r="A3124" s="12" t="n"/>
      <c r="D3124">
        <f>IFERROR(VLOOKUP(C3124,Cadastro_Produtos!A:B,2,FALSE),"")</f>
        <v/>
      </c>
      <c r="F3124" s="12" t="n"/>
      <c r="G3124" s="13" t="n"/>
    </row>
    <row r="3125">
      <c r="A3125" s="12" t="n"/>
      <c r="D3125">
        <f>IFERROR(VLOOKUP(C3125,Cadastro_Produtos!A:B,2,FALSE),"")</f>
        <v/>
      </c>
      <c r="F3125" s="12" t="n"/>
      <c r="G3125" s="13" t="n"/>
    </row>
    <row r="3126">
      <c r="A3126" s="12" t="n"/>
      <c r="D3126">
        <f>IFERROR(VLOOKUP(C3126,Cadastro_Produtos!A:B,2,FALSE),"")</f>
        <v/>
      </c>
      <c r="F3126" s="12" t="n"/>
      <c r="G3126" s="13" t="n"/>
    </row>
    <row r="3127">
      <c r="A3127" s="12" t="n"/>
      <c r="D3127">
        <f>IFERROR(VLOOKUP(C3127,Cadastro_Produtos!A:B,2,FALSE),"")</f>
        <v/>
      </c>
      <c r="F3127" s="12" t="n"/>
      <c r="G3127" s="13" t="n"/>
    </row>
    <row r="3128">
      <c r="A3128" s="12" t="n"/>
      <c r="D3128">
        <f>IFERROR(VLOOKUP(C3128,Cadastro_Produtos!A:B,2,FALSE),"")</f>
        <v/>
      </c>
      <c r="F3128" s="12" t="n"/>
      <c r="G3128" s="13" t="n"/>
    </row>
    <row r="3129">
      <c r="A3129" s="12" t="n"/>
      <c r="D3129">
        <f>IFERROR(VLOOKUP(C3129,Cadastro_Produtos!A:B,2,FALSE),"")</f>
        <v/>
      </c>
      <c r="F3129" s="12" t="n"/>
      <c r="G3129" s="13" t="n"/>
    </row>
    <row r="3130">
      <c r="A3130" s="12" t="n"/>
      <c r="D3130">
        <f>IFERROR(VLOOKUP(C3130,Cadastro_Produtos!A:B,2,FALSE),"")</f>
        <v/>
      </c>
      <c r="F3130" s="12" t="n"/>
      <c r="G3130" s="13" t="n"/>
    </row>
    <row r="3131">
      <c r="A3131" s="12" t="n"/>
      <c r="D3131">
        <f>IFERROR(VLOOKUP(C3131,Cadastro_Produtos!A:B,2,FALSE),"")</f>
        <v/>
      </c>
      <c r="F3131" s="12" t="n"/>
      <c r="G3131" s="13" t="n"/>
    </row>
    <row r="3132">
      <c r="A3132" s="12" t="n"/>
      <c r="D3132">
        <f>IFERROR(VLOOKUP(C3132,Cadastro_Produtos!A:B,2,FALSE),"")</f>
        <v/>
      </c>
      <c r="F3132" s="12" t="n"/>
      <c r="G3132" s="13" t="n"/>
    </row>
    <row r="3133">
      <c r="A3133" s="12" t="n"/>
      <c r="D3133">
        <f>IFERROR(VLOOKUP(C3133,Cadastro_Produtos!A:B,2,FALSE),"")</f>
        <v/>
      </c>
      <c r="F3133" s="12" t="n"/>
      <c r="G3133" s="13" t="n"/>
    </row>
    <row r="3134">
      <c r="A3134" s="12" t="n"/>
      <c r="D3134">
        <f>IFERROR(VLOOKUP(C3134,Cadastro_Produtos!A:B,2,FALSE),"")</f>
        <v/>
      </c>
      <c r="F3134" s="12" t="n"/>
      <c r="G3134" s="13" t="n"/>
    </row>
    <row r="3135">
      <c r="A3135" s="12" t="n"/>
      <c r="D3135">
        <f>IFERROR(VLOOKUP(C3135,Cadastro_Produtos!A:B,2,FALSE),"")</f>
        <v/>
      </c>
      <c r="F3135" s="12" t="n"/>
      <c r="G3135" s="13" t="n"/>
    </row>
    <row r="3136">
      <c r="A3136" s="12" t="n"/>
      <c r="D3136">
        <f>IFERROR(VLOOKUP(C3136,Cadastro_Produtos!A:B,2,FALSE),"")</f>
        <v/>
      </c>
      <c r="F3136" s="12" t="n"/>
      <c r="G3136" s="13" t="n"/>
    </row>
    <row r="3137">
      <c r="A3137" s="12" t="n"/>
      <c r="D3137">
        <f>IFERROR(VLOOKUP(C3137,Cadastro_Produtos!A:B,2,FALSE),"")</f>
        <v/>
      </c>
      <c r="F3137" s="12" t="n"/>
      <c r="G3137" s="13" t="n"/>
    </row>
    <row r="3138">
      <c r="A3138" s="12" t="n"/>
      <c r="D3138">
        <f>IFERROR(VLOOKUP(C3138,Cadastro_Produtos!A:B,2,FALSE),"")</f>
        <v/>
      </c>
      <c r="F3138" s="12" t="n"/>
      <c r="G3138" s="13" t="n"/>
    </row>
    <row r="3139">
      <c r="A3139" s="12" t="n"/>
      <c r="D3139">
        <f>IFERROR(VLOOKUP(C3139,Cadastro_Produtos!A:B,2,FALSE),"")</f>
        <v/>
      </c>
      <c r="F3139" s="12" t="n"/>
      <c r="G3139" s="13" t="n"/>
    </row>
    <row r="3140">
      <c r="A3140" s="12" t="n"/>
      <c r="D3140">
        <f>IFERROR(VLOOKUP(C3140,Cadastro_Produtos!A:B,2,FALSE),"")</f>
        <v/>
      </c>
      <c r="F3140" s="12" t="n"/>
      <c r="G3140" s="13" t="n"/>
    </row>
    <row r="3141">
      <c r="A3141" s="12" t="n"/>
      <c r="D3141">
        <f>IFERROR(VLOOKUP(C3141,Cadastro_Produtos!A:B,2,FALSE),"")</f>
        <v/>
      </c>
      <c r="F3141" s="12" t="n"/>
      <c r="G3141" s="13" t="n"/>
    </row>
    <row r="3142">
      <c r="A3142" s="12" t="n"/>
      <c r="D3142">
        <f>IFERROR(VLOOKUP(C3142,Cadastro_Produtos!A:B,2,FALSE),"")</f>
        <v/>
      </c>
      <c r="F3142" s="12" t="n"/>
      <c r="G3142" s="13" t="n"/>
    </row>
    <row r="3143">
      <c r="A3143" s="12" t="n"/>
      <c r="D3143">
        <f>IFERROR(VLOOKUP(C3143,Cadastro_Produtos!A:B,2,FALSE),"")</f>
        <v/>
      </c>
      <c r="F3143" s="12" t="n"/>
      <c r="G3143" s="13" t="n"/>
    </row>
    <row r="3144">
      <c r="A3144" s="12" t="n"/>
      <c r="D3144">
        <f>IFERROR(VLOOKUP(C3144,Cadastro_Produtos!A:B,2,FALSE),"")</f>
        <v/>
      </c>
      <c r="F3144" s="12" t="n"/>
      <c r="G3144" s="13" t="n"/>
    </row>
    <row r="3145">
      <c r="A3145" s="12" t="n"/>
      <c r="D3145">
        <f>IFERROR(VLOOKUP(C3145,Cadastro_Produtos!A:B,2,FALSE),"")</f>
        <v/>
      </c>
      <c r="F3145" s="12" t="n"/>
      <c r="G3145" s="13" t="n"/>
    </row>
    <row r="3146">
      <c r="A3146" s="12" t="n"/>
      <c r="D3146">
        <f>IFERROR(VLOOKUP(C3146,Cadastro_Produtos!A:B,2,FALSE),"")</f>
        <v/>
      </c>
      <c r="F3146" s="12" t="n"/>
      <c r="G3146" s="13" t="n"/>
    </row>
    <row r="3147">
      <c r="A3147" s="12" t="n"/>
      <c r="D3147">
        <f>IFERROR(VLOOKUP(C3147,Cadastro_Produtos!A:B,2,FALSE),"")</f>
        <v/>
      </c>
      <c r="F3147" s="12" t="n"/>
      <c r="G3147" s="13" t="n"/>
    </row>
    <row r="3148">
      <c r="A3148" s="12" t="n"/>
      <c r="D3148">
        <f>IFERROR(VLOOKUP(C3148,Cadastro_Produtos!A:B,2,FALSE),"")</f>
        <v/>
      </c>
      <c r="F3148" s="12" t="n"/>
      <c r="G3148" s="13" t="n"/>
    </row>
    <row r="3149">
      <c r="A3149" s="12" t="n"/>
      <c r="D3149">
        <f>IFERROR(VLOOKUP(C3149,Cadastro_Produtos!A:B,2,FALSE),"")</f>
        <v/>
      </c>
      <c r="F3149" s="12" t="n"/>
      <c r="G3149" s="13" t="n"/>
    </row>
    <row r="3150">
      <c r="A3150" s="12" t="n"/>
      <c r="D3150">
        <f>IFERROR(VLOOKUP(C3150,Cadastro_Produtos!A:B,2,FALSE),"")</f>
        <v/>
      </c>
      <c r="F3150" s="12" t="n"/>
      <c r="G3150" s="13" t="n"/>
    </row>
    <row r="3151">
      <c r="A3151" s="12" t="n"/>
      <c r="D3151">
        <f>IFERROR(VLOOKUP(C3151,Cadastro_Produtos!A:B,2,FALSE),"")</f>
        <v/>
      </c>
      <c r="F3151" s="12" t="n"/>
      <c r="G3151" s="13" t="n"/>
    </row>
    <row r="3152">
      <c r="A3152" s="12" t="n"/>
      <c r="D3152">
        <f>IFERROR(VLOOKUP(C3152,Cadastro_Produtos!A:B,2,FALSE),"")</f>
        <v/>
      </c>
      <c r="F3152" s="12" t="n"/>
      <c r="G3152" s="13" t="n"/>
    </row>
    <row r="3153">
      <c r="A3153" s="12" t="n"/>
      <c r="D3153">
        <f>IFERROR(VLOOKUP(C3153,Cadastro_Produtos!A:B,2,FALSE),"")</f>
        <v/>
      </c>
      <c r="F3153" s="12" t="n"/>
      <c r="G3153" s="13" t="n"/>
    </row>
    <row r="3154">
      <c r="A3154" s="12" t="n"/>
      <c r="D3154">
        <f>IFERROR(VLOOKUP(C3154,Cadastro_Produtos!A:B,2,FALSE),"")</f>
        <v/>
      </c>
      <c r="F3154" s="12" t="n"/>
      <c r="G3154" s="13" t="n"/>
    </row>
    <row r="3155">
      <c r="A3155" s="12" t="n"/>
      <c r="D3155">
        <f>IFERROR(VLOOKUP(C3155,Cadastro_Produtos!A:B,2,FALSE),"")</f>
        <v/>
      </c>
      <c r="F3155" s="12" t="n"/>
      <c r="G3155" s="13" t="n"/>
    </row>
    <row r="3156">
      <c r="A3156" s="12" t="n"/>
      <c r="D3156">
        <f>IFERROR(VLOOKUP(C3156,Cadastro_Produtos!A:B,2,FALSE),"")</f>
        <v/>
      </c>
      <c r="F3156" s="12" t="n"/>
      <c r="G3156" s="13" t="n"/>
    </row>
    <row r="3157">
      <c r="A3157" s="12" t="n"/>
      <c r="D3157">
        <f>IFERROR(VLOOKUP(C3157,Cadastro_Produtos!A:B,2,FALSE),"")</f>
        <v/>
      </c>
      <c r="F3157" s="12" t="n"/>
      <c r="G3157" s="13" t="n"/>
    </row>
    <row r="3158">
      <c r="A3158" s="12" t="n"/>
      <c r="D3158">
        <f>IFERROR(VLOOKUP(C3158,Cadastro_Produtos!A:B,2,FALSE),"")</f>
        <v/>
      </c>
      <c r="F3158" s="12" t="n"/>
      <c r="G3158" s="13" t="n"/>
    </row>
    <row r="3159">
      <c r="A3159" s="12" t="n"/>
      <c r="D3159">
        <f>IFERROR(VLOOKUP(C3159,Cadastro_Produtos!A:B,2,FALSE),"")</f>
        <v/>
      </c>
      <c r="F3159" s="12" t="n"/>
      <c r="G3159" s="13" t="n"/>
    </row>
    <row r="3160">
      <c r="A3160" s="12" t="n"/>
      <c r="D3160">
        <f>IFERROR(VLOOKUP(C3160,Cadastro_Produtos!A:B,2,FALSE),"")</f>
        <v/>
      </c>
      <c r="F3160" s="12" t="n"/>
      <c r="G3160" s="13" t="n"/>
    </row>
    <row r="3161">
      <c r="A3161" s="12" t="n"/>
      <c r="D3161">
        <f>IFERROR(VLOOKUP(C3161,Cadastro_Produtos!A:B,2,FALSE),"")</f>
        <v/>
      </c>
      <c r="F3161" s="12" t="n"/>
      <c r="G3161" s="13" t="n"/>
    </row>
    <row r="3162">
      <c r="A3162" s="12" t="n"/>
      <c r="D3162">
        <f>IFERROR(VLOOKUP(C3162,Cadastro_Produtos!A:B,2,FALSE),"")</f>
        <v/>
      </c>
      <c r="F3162" s="12" t="n"/>
      <c r="G3162" s="13" t="n"/>
    </row>
    <row r="3163">
      <c r="A3163" s="12" t="n"/>
      <c r="D3163">
        <f>IFERROR(VLOOKUP(C3163,Cadastro_Produtos!A:B,2,FALSE),"")</f>
        <v/>
      </c>
      <c r="F3163" s="12" t="n"/>
      <c r="G3163" s="13" t="n"/>
    </row>
    <row r="3164">
      <c r="A3164" s="12" t="n"/>
      <c r="D3164">
        <f>IFERROR(VLOOKUP(C3164,Cadastro_Produtos!A:B,2,FALSE),"")</f>
        <v/>
      </c>
      <c r="F3164" s="12" t="n"/>
      <c r="G3164" s="13" t="n"/>
    </row>
    <row r="3165">
      <c r="A3165" s="12" t="n"/>
      <c r="D3165">
        <f>IFERROR(VLOOKUP(C3165,Cadastro_Produtos!A:B,2,FALSE),"")</f>
        <v/>
      </c>
      <c r="F3165" s="12" t="n"/>
      <c r="G3165" s="13" t="n"/>
    </row>
    <row r="3166">
      <c r="A3166" s="12" t="n"/>
      <c r="D3166">
        <f>IFERROR(VLOOKUP(C3166,Cadastro_Produtos!A:B,2,FALSE),"")</f>
        <v/>
      </c>
      <c r="F3166" s="12" t="n"/>
      <c r="G3166" s="13" t="n"/>
    </row>
    <row r="3167">
      <c r="A3167" s="12" t="n"/>
      <c r="D3167">
        <f>IFERROR(VLOOKUP(C3167,Cadastro_Produtos!A:B,2,FALSE),"")</f>
        <v/>
      </c>
      <c r="F3167" s="12" t="n"/>
      <c r="G3167" s="13" t="n"/>
    </row>
    <row r="3168">
      <c r="A3168" s="12" t="n"/>
      <c r="D3168">
        <f>IFERROR(VLOOKUP(C3168,Cadastro_Produtos!A:B,2,FALSE),"")</f>
        <v/>
      </c>
      <c r="F3168" s="12" t="n"/>
      <c r="G3168" s="13" t="n"/>
    </row>
    <row r="3169">
      <c r="A3169" s="12" t="n"/>
      <c r="D3169">
        <f>IFERROR(VLOOKUP(C3169,Cadastro_Produtos!A:B,2,FALSE),"")</f>
        <v/>
      </c>
      <c r="F3169" s="12" t="n"/>
      <c r="G3169" s="13" t="n"/>
    </row>
    <row r="3170">
      <c r="A3170" s="12" t="n"/>
      <c r="D3170">
        <f>IFERROR(VLOOKUP(C3170,Cadastro_Produtos!A:B,2,FALSE),"")</f>
        <v/>
      </c>
      <c r="F3170" s="12" t="n"/>
      <c r="G3170" s="13" t="n"/>
    </row>
    <row r="3171">
      <c r="A3171" s="12" t="n"/>
      <c r="D3171">
        <f>IFERROR(VLOOKUP(C3171,Cadastro_Produtos!A:B,2,FALSE),"")</f>
        <v/>
      </c>
      <c r="F3171" s="12" t="n"/>
      <c r="G3171" s="13" t="n"/>
    </row>
    <row r="3172">
      <c r="A3172" s="12" t="n"/>
      <c r="D3172">
        <f>IFERROR(VLOOKUP(C3172,Cadastro_Produtos!A:B,2,FALSE),"")</f>
        <v/>
      </c>
      <c r="F3172" s="12" t="n"/>
      <c r="G3172" s="13" t="n"/>
    </row>
    <row r="3173">
      <c r="A3173" s="12" t="n"/>
      <c r="D3173">
        <f>IFERROR(VLOOKUP(C3173,Cadastro_Produtos!A:B,2,FALSE),"")</f>
        <v/>
      </c>
      <c r="F3173" s="12" t="n"/>
      <c r="G3173" s="13" t="n"/>
    </row>
    <row r="3174">
      <c r="A3174" s="12" t="n"/>
      <c r="D3174">
        <f>IFERROR(VLOOKUP(C3174,Cadastro_Produtos!A:B,2,FALSE),"")</f>
        <v/>
      </c>
      <c r="F3174" s="12" t="n"/>
      <c r="G3174" s="13" t="n"/>
    </row>
    <row r="3175">
      <c r="A3175" s="12" t="n"/>
      <c r="D3175">
        <f>IFERROR(VLOOKUP(C3175,Cadastro_Produtos!A:B,2,FALSE),"")</f>
        <v/>
      </c>
      <c r="F3175" s="12" t="n"/>
      <c r="G3175" s="13" t="n"/>
    </row>
    <row r="3176">
      <c r="A3176" s="12" t="n"/>
      <c r="D3176">
        <f>IFERROR(VLOOKUP(C3176,Cadastro_Produtos!A:B,2,FALSE),"")</f>
        <v/>
      </c>
      <c r="F3176" s="12" t="n"/>
      <c r="G3176" s="13" t="n"/>
    </row>
    <row r="3177">
      <c r="A3177" s="12" t="n"/>
      <c r="D3177">
        <f>IFERROR(VLOOKUP(C3177,Cadastro_Produtos!A:B,2,FALSE),"")</f>
        <v/>
      </c>
      <c r="F3177" s="12" t="n"/>
      <c r="G3177" s="13" t="n"/>
    </row>
    <row r="3178">
      <c r="A3178" s="12" t="n"/>
      <c r="D3178">
        <f>IFERROR(VLOOKUP(C3178,Cadastro_Produtos!A:B,2,FALSE),"")</f>
        <v/>
      </c>
      <c r="F3178" s="12" t="n"/>
      <c r="G3178" s="13" t="n"/>
    </row>
    <row r="3179">
      <c r="A3179" s="12" t="n"/>
      <c r="D3179">
        <f>IFERROR(VLOOKUP(C3179,Cadastro_Produtos!A:B,2,FALSE),"")</f>
        <v/>
      </c>
      <c r="F3179" s="12" t="n"/>
      <c r="G3179" s="13" t="n"/>
    </row>
    <row r="3180">
      <c r="A3180" s="12" t="n"/>
      <c r="D3180">
        <f>IFERROR(VLOOKUP(C3180,Cadastro_Produtos!A:B,2,FALSE),"")</f>
        <v/>
      </c>
      <c r="F3180" s="12" t="n"/>
      <c r="G3180" s="13" t="n"/>
    </row>
    <row r="3181">
      <c r="A3181" s="12" t="n"/>
      <c r="D3181">
        <f>IFERROR(VLOOKUP(C3181,Cadastro_Produtos!A:B,2,FALSE),"")</f>
        <v/>
      </c>
      <c r="F3181" s="12" t="n"/>
      <c r="G3181" s="13" t="n"/>
    </row>
    <row r="3182">
      <c r="A3182" s="12" t="n"/>
      <c r="D3182">
        <f>IFERROR(VLOOKUP(C3182,Cadastro_Produtos!A:B,2,FALSE),"")</f>
        <v/>
      </c>
      <c r="F3182" s="12" t="n"/>
      <c r="G3182" s="13" t="n"/>
    </row>
    <row r="3183">
      <c r="A3183" s="12" t="n"/>
      <c r="D3183">
        <f>IFERROR(VLOOKUP(C3183,Cadastro_Produtos!A:B,2,FALSE),"")</f>
        <v/>
      </c>
      <c r="F3183" s="12" t="n"/>
      <c r="G3183" s="13" t="n"/>
    </row>
    <row r="3184">
      <c r="A3184" s="12" t="n"/>
      <c r="D3184">
        <f>IFERROR(VLOOKUP(C3184,Cadastro_Produtos!A:B,2,FALSE),"")</f>
        <v/>
      </c>
      <c r="F3184" s="12" t="n"/>
      <c r="G3184" s="13" t="n"/>
    </row>
    <row r="3185">
      <c r="A3185" s="12" t="n"/>
      <c r="D3185">
        <f>IFERROR(VLOOKUP(C3185,Cadastro_Produtos!A:B,2,FALSE),"")</f>
        <v/>
      </c>
      <c r="F3185" s="12" t="n"/>
      <c r="G3185" s="13" t="n"/>
    </row>
    <row r="3186">
      <c r="A3186" s="12" t="n"/>
      <c r="D3186">
        <f>IFERROR(VLOOKUP(C3186,Cadastro_Produtos!A:B,2,FALSE),"")</f>
        <v/>
      </c>
      <c r="F3186" s="12" t="n"/>
      <c r="G3186" s="13" t="n"/>
    </row>
    <row r="3187">
      <c r="A3187" s="12" t="n"/>
      <c r="D3187">
        <f>IFERROR(VLOOKUP(C3187,Cadastro_Produtos!A:B,2,FALSE),"")</f>
        <v/>
      </c>
      <c r="F3187" s="12" t="n"/>
      <c r="G3187" s="13" t="n"/>
    </row>
    <row r="3188">
      <c r="A3188" s="12" t="n"/>
      <c r="D3188">
        <f>IFERROR(VLOOKUP(C3188,Cadastro_Produtos!A:B,2,FALSE),"")</f>
        <v/>
      </c>
      <c r="F3188" s="12" t="n"/>
      <c r="G3188" s="13" t="n"/>
    </row>
    <row r="3189">
      <c r="A3189" s="12" t="n"/>
      <c r="D3189">
        <f>IFERROR(VLOOKUP(C3189,Cadastro_Produtos!A:B,2,FALSE),"")</f>
        <v/>
      </c>
      <c r="F3189" s="12" t="n"/>
      <c r="G3189" s="13" t="n"/>
    </row>
    <row r="3190">
      <c r="A3190" s="12" t="n"/>
      <c r="D3190">
        <f>IFERROR(VLOOKUP(C3190,Cadastro_Produtos!A:B,2,FALSE),"")</f>
        <v/>
      </c>
      <c r="F3190" s="12" t="n"/>
      <c r="G3190" s="13" t="n"/>
    </row>
    <row r="3191">
      <c r="A3191" s="12" t="n"/>
      <c r="D3191">
        <f>IFERROR(VLOOKUP(C3191,Cadastro_Produtos!A:B,2,FALSE),"")</f>
        <v/>
      </c>
      <c r="F3191" s="12" t="n"/>
      <c r="G3191" s="13" t="n"/>
    </row>
    <row r="3192">
      <c r="A3192" s="12" t="n"/>
      <c r="D3192">
        <f>IFERROR(VLOOKUP(C3192,Cadastro_Produtos!A:B,2,FALSE),"")</f>
        <v/>
      </c>
      <c r="F3192" s="12" t="n"/>
      <c r="G3192" s="13" t="n"/>
    </row>
    <row r="3193">
      <c r="A3193" s="12" t="n"/>
      <c r="D3193">
        <f>IFERROR(VLOOKUP(C3193,Cadastro_Produtos!A:B,2,FALSE),"")</f>
        <v/>
      </c>
      <c r="F3193" s="12" t="n"/>
      <c r="G3193" s="13" t="n"/>
    </row>
    <row r="3194">
      <c r="A3194" s="12" t="n"/>
      <c r="D3194">
        <f>IFERROR(VLOOKUP(C3194,Cadastro_Produtos!A:B,2,FALSE),"")</f>
        <v/>
      </c>
      <c r="F3194" s="12" t="n"/>
      <c r="G3194" s="13" t="n"/>
    </row>
    <row r="3195">
      <c r="A3195" s="12" t="n"/>
      <c r="D3195">
        <f>IFERROR(VLOOKUP(C3195,Cadastro_Produtos!A:B,2,FALSE),"")</f>
        <v/>
      </c>
      <c r="F3195" s="12" t="n"/>
      <c r="G3195" s="13" t="n"/>
    </row>
    <row r="3196">
      <c r="A3196" s="12" t="n"/>
      <c r="D3196">
        <f>IFERROR(VLOOKUP(C3196,Cadastro_Produtos!A:B,2,FALSE),"")</f>
        <v/>
      </c>
      <c r="F3196" s="12" t="n"/>
      <c r="G3196" s="13" t="n"/>
    </row>
    <row r="3197">
      <c r="A3197" s="12" t="n"/>
      <c r="D3197">
        <f>IFERROR(VLOOKUP(C3197,Cadastro_Produtos!A:B,2,FALSE),"")</f>
        <v/>
      </c>
      <c r="F3197" s="12" t="n"/>
      <c r="G3197" s="13" t="n"/>
    </row>
    <row r="3198">
      <c r="A3198" s="12" t="n"/>
      <c r="D3198">
        <f>IFERROR(VLOOKUP(C3198,Cadastro_Produtos!A:B,2,FALSE),"")</f>
        <v/>
      </c>
      <c r="F3198" s="12" t="n"/>
      <c r="G3198" s="13" t="n"/>
    </row>
    <row r="3199">
      <c r="A3199" s="12" t="n"/>
      <c r="D3199">
        <f>IFERROR(VLOOKUP(C3199,Cadastro_Produtos!A:B,2,FALSE),"")</f>
        <v/>
      </c>
      <c r="F3199" s="12" t="n"/>
      <c r="G3199" s="13" t="n"/>
    </row>
    <row r="3200">
      <c r="A3200" s="12" t="n"/>
      <c r="D3200">
        <f>IFERROR(VLOOKUP(C3200,Cadastro_Produtos!A:B,2,FALSE),"")</f>
        <v/>
      </c>
      <c r="F3200" s="12" t="n"/>
      <c r="G3200" s="13" t="n"/>
    </row>
    <row r="3201">
      <c r="A3201" s="12" t="n"/>
      <c r="D3201">
        <f>IFERROR(VLOOKUP(C3201,Cadastro_Produtos!A:B,2,FALSE),"")</f>
        <v/>
      </c>
      <c r="F3201" s="12" t="n"/>
      <c r="G3201" s="13" t="n"/>
    </row>
    <row r="3202">
      <c r="A3202" s="12" t="n"/>
      <c r="D3202">
        <f>IFERROR(VLOOKUP(C3202,Cadastro_Produtos!A:B,2,FALSE),"")</f>
        <v/>
      </c>
      <c r="F3202" s="12" t="n"/>
      <c r="G3202" s="13" t="n"/>
    </row>
    <row r="3203">
      <c r="A3203" s="12" t="n"/>
      <c r="D3203">
        <f>IFERROR(VLOOKUP(C3203,Cadastro_Produtos!A:B,2,FALSE),"")</f>
        <v/>
      </c>
      <c r="F3203" s="12" t="n"/>
      <c r="G3203" s="13" t="n"/>
    </row>
    <row r="3204">
      <c r="A3204" s="12" t="n"/>
      <c r="D3204">
        <f>IFERROR(VLOOKUP(C3204,Cadastro_Produtos!A:B,2,FALSE),"")</f>
        <v/>
      </c>
      <c r="F3204" s="12" t="n"/>
      <c r="G3204" s="13" t="n"/>
    </row>
    <row r="3205">
      <c r="A3205" s="12" t="n"/>
      <c r="D3205">
        <f>IFERROR(VLOOKUP(C3205,Cadastro_Produtos!A:B,2,FALSE),"")</f>
        <v/>
      </c>
      <c r="F3205" s="12" t="n"/>
      <c r="G3205" s="13" t="n"/>
    </row>
    <row r="3206">
      <c r="A3206" s="12" t="n"/>
      <c r="D3206">
        <f>IFERROR(VLOOKUP(C3206,Cadastro_Produtos!A:B,2,FALSE),"")</f>
        <v/>
      </c>
      <c r="F3206" s="12" t="n"/>
      <c r="G3206" s="13" t="n"/>
    </row>
    <row r="3207">
      <c r="A3207" s="12" t="n"/>
      <c r="D3207">
        <f>IFERROR(VLOOKUP(C3207,Cadastro_Produtos!A:B,2,FALSE),"")</f>
        <v/>
      </c>
      <c r="F3207" s="12" t="n"/>
      <c r="G3207" s="13" t="n"/>
    </row>
    <row r="3208">
      <c r="A3208" s="12" t="n"/>
      <c r="D3208">
        <f>IFERROR(VLOOKUP(C3208,Cadastro_Produtos!A:B,2,FALSE),"")</f>
        <v/>
      </c>
      <c r="F3208" s="12" t="n"/>
      <c r="G3208" s="13" t="n"/>
    </row>
    <row r="3209">
      <c r="A3209" s="12" t="n"/>
      <c r="D3209">
        <f>IFERROR(VLOOKUP(C3209,Cadastro_Produtos!A:B,2,FALSE),"")</f>
        <v/>
      </c>
      <c r="F3209" s="12" t="n"/>
      <c r="G3209" s="13" t="n"/>
    </row>
    <row r="3210">
      <c r="A3210" s="12" t="n"/>
      <c r="D3210">
        <f>IFERROR(VLOOKUP(C3210,Cadastro_Produtos!A:B,2,FALSE),"")</f>
        <v/>
      </c>
      <c r="F3210" s="12" t="n"/>
      <c r="G3210" s="13" t="n"/>
    </row>
    <row r="3211">
      <c r="A3211" s="12" t="n"/>
      <c r="D3211">
        <f>IFERROR(VLOOKUP(C3211,Cadastro_Produtos!A:B,2,FALSE),"")</f>
        <v/>
      </c>
      <c r="F3211" s="12" t="n"/>
      <c r="G3211" s="13" t="n"/>
    </row>
    <row r="3212">
      <c r="A3212" s="12" t="n"/>
      <c r="D3212">
        <f>IFERROR(VLOOKUP(C3212,Cadastro_Produtos!A:B,2,FALSE),"")</f>
        <v/>
      </c>
      <c r="F3212" s="12" t="n"/>
      <c r="G3212" s="13" t="n"/>
    </row>
    <row r="3213">
      <c r="A3213" s="12" t="n"/>
      <c r="D3213">
        <f>IFERROR(VLOOKUP(C3213,Cadastro_Produtos!A:B,2,FALSE),"")</f>
        <v/>
      </c>
      <c r="F3213" s="12" t="n"/>
      <c r="G3213" s="13" t="n"/>
    </row>
    <row r="3214">
      <c r="A3214" s="12" t="n"/>
      <c r="D3214">
        <f>IFERROR(VLOOKUP(C3214,Cadastro_Produtos!A:B,2,FALSE),"")</f>
        <v/>
      </c>
      <c r="F3214" s="12" t="n"/>
      <c r="G3214" s="13" t="n"/>
    </row>
    <row r="3215">
      <c r="A3215" s="12" t="n"/>
      <c r="D3215">
        <f>IFERROR(VLOOKUP(C3215,Cadastro_Produtos!A:B,2,FALSE),"")</f>
        <v/>
      </c>
      <c r="F3215" s="12" t="n"/>
      <c r="G3215" s="13" t="n"/>
    </row>
    <row r="3216">
      <c r="A3216" s="12" t="n"/>
      <c r="D3216">
        <f>IFERROR(VLOOKUP(C3216,Cadastro_Produtos!A:B,2,FALSE),"")</f>
        <v/>
      </c>
      <c r="F3216" s="12" t="n"/>
      <c r="G3216" s="13" t="n"/>
    </row>
    <row r="3217">
      <c r="A3217" s="12" t="n"/>
      <c r="D3217">
        <f>IFERROR(VLOOKUP(C3217,Cadastro_Produtos!A:B,2,FALSE),"")</f>
        <v/>
      </c>
      <c r="F3217" s="12" t="n"/>
      <c r="G3217" s="13" t="n"/>
    </row>
    <row r="3218">
      <c r="A3218" s="12" t="n"/>
      <c r="D3218">
        <f>IFERROR(VLOOKUP(C3218,Cadastro_Produtos!A:B,2,FALSE),"")</f>
        <v/>
      </c>
      <c r="F3218" s="12" t="n"/>
      <c r="G3218" s="13" t="n"/>
    </row>
    <row r="3219">
      <c r="A3219" s="12" t="n"/>
      <c r="D3219">
        <f>IFERROR(VLOOKUP(C3219,Cadastro_Produtos!A:B,2,FALSE),"")</f>
        <v/>
      </c>
      <c r="F3219" s="12" t="n"/>
      <c r="G3219" s="13" t="n"/>
    </row>
    <row r="3220">
      <c r="A3220" s="12" t="n"/>
      <c r="D3220">
        <f>IFERROR(VLOOKUP(C3220,Cadastro_Produtos!A:B,2,FALSE),"")</f>
        <v/>
      </c>
      <c r="F3220" s="12" t="n"/>
      <c r="G3220" s="13" t="n"/>
    </row>
    <row r="3221">
      <c r="A3221" s="12" t="n"/>
      <c r="D3221">
        <f>IFERROR(VLOOKUP(C3221,Cadastro_Produtos!A:B,2,FALSE),"")</f>
        <v/>
      </c>
      <c r="F3221" s="12" t="n"/>
      <c r="G3221" s="13" t="n"/>
    </row>
    <row r="3222">
      <c r="A3222" s="12" t="n"/>
      <c r="D3222">
        <f>IFERROR(VLOOKUP(C3222,Cadastro_Produtos!A:B,2,FALSE),"")</f>
        <v/>
      </c>
      <c r="F3222" s="12" t="n"/>
      <c r="G3222" s="13" t="n"/>
    </row>
    <row r="3223">
      <c r="A3223" s="12" t="n"/>
      <c r="D3223">
        <f>IFERROR(VLOOKUP(C3223,Cadastro_Produtos!A:B,2,FALSE),"")</f>
        <v/>
      </c>
      <c r="F3223" s="12" t="n"/>
      <c r="G3223" s="13" t="n"/>
    </row>
    <row r="3224">
      <c r="A3224" s="12" t="n"/>
      <c r="D3224">
        <f>IFERROR(VLOOKUP(C3224,Cadastro_Produtos!A:B,2,FALSE),"")</f>
        <v/>
      </c>
      <c r="F3224" s="12" t="n"/>
      <c r="G3224" s="13" t="n"/>
    </row>
    <row r="3225">
      <c r="A3225" s="12" t="n"/>
      <c r="D3225">
        <f>IFERROR(VLOOKUP(C3225,Cadastro_Produtos!A:B,2,FALSE),"")</f>
        <v/>
      </c>
      <c r="F3225" s="12" t="n"/>
      <c r="G3225" s="13" t="n"/>
    </row>
    <row r="3226">
      <c r="A3226" s="12" t="n"/>
      <c r="D3226">
        <f>IFERROR(VLOOKUP(C3226,Cadastro_Produtos!A:B,2,FALSE),"")</f>
        <v/>
      </c>
      <c r="F3226" s="12" t="n"/>
      <c r="G3226" s="13" t="n"/>
    </row>
    <row r="3227">
      <c r="A3227" s="12" t="n"/>
      <c r="D3227">
        <f>IFERROR(VLOOKUP(C3227,Cadastro_Produtos!A:B,2,FALSE),"")</f>
        <v/>
      </c>
      <c r="F3227" s="12" t="n"/>
      <c r="G3227" s="13" t="n"/>
    </row>
    <row r="3228">
      <c r="A3228" s="12" t="n"/>
      <c r="D3228">
        <f>IFERROR(VLOOKUP(C3228,Cadastro_Produtos!A:B,2,FALSE),"")</f>
        <v/>
      </c>
      <c r="F3228" s="12" t="n"/>
      <c r="G3228" s="13" t="n"/>
    </row>
    <row r="3229">
      <c r="A3229" s="12" t="n"/>
      <c r="D3229">
        <f>IFERROR(VLOOKUP(C3229,Cadastro_Produtos!A:B,2,FALSE),"")</f>
        <v/>
      </c>
      <c r="F3229" s="12" t="n"/>
      <c r="G3229" s="13" t="n"/>
    </row>
    <row r="3230">
      <c r="A3230" s="12" t="n"/>
      <c r="D3230">
        <f>IFERROR(VLOOKUP(C3230,Cadastro_Produtos!A:B,2,FALSE),"")</f>
        <v/>
      </c>
      <c r="F3230" s="12" t="n"/>
      <c r="G3230" s="13" t="n"/>
    </row>
    <row r="3231">
      <c r="A3231" s="12" t="n"/>
      <c r="D3231">
        <f>IFERROR(VLOOKUP(C3231,Cadastro_Produtos!A:B,2,FALSE),"")</f>
        <v/>
      </c>
      <c r="F3231" s="12" t="n"/>
      <c r="G3231" s="13" t="n"/>
    </row>
    <row r="3232">
      <c r="A3232" s="12" t="n"/>
      <c r="D3232">
        <f>IFERROR(VLOOKUP(C3232,Cadastro_Produtos!A:B,2,FALSE),"")</f>
        <v/>
      </c>
      <c r="F3232" s="12" t="n"/>
      <c r="G3232" s="13" t="n"/>
    </row>
    <row r="3233">
      <c r="A3233" s="12" t="n"/>
      <c r="D3233">
        <f>IFERROR(VLOOKUP(C3233,Cadastro_Produtos!A:B,2,FALSE),"")</f>
        <v/>
      </c>
      <c r="F3233" s="12" t="n"/>
      <c r="G3233" s="13" t="n"/>
    </row>
    <row r="3234">
      <c r="A3234" s="12" t="n"/>
      <c r="D3234">
        <f>IFERROR(VLOOKUP(C3234,Cadastro_Produtos!A:B,2,FALSE),"")</f>
        <v/>
      </c>
      <c r="F3234" s="12" t="n"/>
      <c r="G3234" s="13" t="n"/>
    </row>
    <row r="3235">
      <c r="A3235" s="12" t="n"/>
      <c r="D3235">
        <f>IFERROR(VLOOKUP(C3235,Cadastro_Produtos!A:B,2,FALSE),"")</f>
        <v/>
      </c>
      <c r="F3235" s="12" t="n"/>
      <c r="G3235" s="13" t="n"/>
    </row>
    <row r="3236">
      <c r="A3236" s="12" t="n"/>
      <c r="D3236">
        <f>IFERROR(VLOOKUP(C3236,Cadastro_Produtos!A:B,2,FALSE),"")</f>
        <v/>
      </c>
      <c r="F3236" s="12" t="n"/>
      <c r="G3236" s="13" t="n"/>
    </row>
    <row r="3237">
      <c r="A3237" s="12" t="n"/>
      <c r="D3237">
        <f>IFERROR(VLOOKUP(C3237,Cadastro_Produtos!A:B,2,FALSE),"")</f>
        <v/>
      </c>
      <c r="F3237" s="12" t="n"/>
      <c r="G3237" s="13" t="n"/>
    </row>
    <row r="3238">
      <c r="A3238" s="12" t="n"/>
      <c r="D3238">
        <f>IFERROR(VLOOKUP(C3238,Cadastro_Produtos!A:B,2,FALSE),"")</f>
        <v/>
      </c>
      <c r="F3238" s="12" t="n"/>
      <c r="G3238" s="13" t="n"/>
    </row>
    <row r="3239">
      <c r="A3239" s="12" t="n"/>
      <c r="D3239">
        <f>IFERROR(VLOOKUP(C3239,Cadastro_Produtos!A:B,2,FALSE),"")</f>
        <v/>
      </c>
      <c r="F3239" s="12" t="n"/>
      <c r="G3239" s="13" t="n"/>
    </row>
    <row r="3240">
      <c r="A3240" s="12" t="n"/>
      <c r="D3240">
        <f>IFERROR(VLOOKUP(C3240,Cadastro_Produtos!A:B,2,FALSE),"")</f>
        <v/>
      </c>
      <c r="F3240" s="12" t="n"/>
      <c r="G3240" s="13" t="n"/>
    </row>
    <row r="3241">
      <c r="A3241" s="12" t="n"/>
      <c r="D3241">
        <f>IFERROR(VLOOKUP(C3241,Cadastro_Produtos!A:B,2,FALSE),"")</f>
        <v/>
      </c>
      <c r="F3241" s="12" t="n"/>
      <c r="G3241" s="13" t="n"/>
    </row>
    <row r="3242">
      <c r="A3242" s="12" t="n"/>
      <c r="D3242">
        <f>IFERROR(VLOOKUP(C3242,Cadastro_Produtos!A:B,2,FALSE),"")</f>
        <v/>
      </c>
      <c r="F3242" s="12" t="n"/>
      <c r="G3242" s="13" t="n"/>
    </row>
    <row r="3243">
      <c r="A3243" s="12" t="n"/>
      <c r="D3243">
        <f>IFERROR(VLOOKUP(C3243,Cadastro_Produtos!A:B,2,FALSE),"")</f>
        <v/>
      </c>
      <c r="F3243" s="12" t="n"/>
      <c r="G3243" s="13" t="n"/>
    </row>
    <row r="3244">
      <c r="A3244" s="12" t="n"/>
      <c r="D3244">
        <f>IFERROR(VLOOKUP(C3244,Cadastro_Produtos!A:B,2,FALSE),"")</f>
        <v/>
      </c>
      <c r="F3244" s="12" t="n"/>
      <c r="G3244" s="13" t="n"/>
    </row>
    <row r="3245">
      <c r="A3245" s="12" t="n"/>
      <c r="D3245">
        <f>IFERROR(VLOOKUP(C3245,Cadastro_Produtos!A:B,2,FALSE),"")</f>
        <v/>
      </c>
      <c r="F3245" s="12" t="n"/>
      <c r="G3245" s="13" t="n"/>
    </row>
    <row r="3246">
      <c r="A3246" s="12" t="n"/>
      <c r="D3246">
        <f>IFERROR(VLOOKUP(C3246,Cadastro_Produtos!A:B,2,FALSE),"")</f>
        <v/>
      </c>
      <c r="F3246" s="12" t="n"/>
      <c r="G3246" s="13" t="n"/>
    </row>
    <row r="3247">
      <c r="A3247" s="12" t="n"/>
      <c r="D3247">
        <f>IFERROR(VLOOKUP(C3247,Cadastro_Produtos!A:B,2,FALSE),"")</f>
        <v/>
      </c>
      <c r="F3247" s="12" t="n"/>
      <c r="G3247" s="13" t="n"/>
    </row>
    <row r="3248">
      <c r="A3248" s="12" t="n"/>
      <c r="D3248">
        <f>IFERROR(VLOOKUP(C3248,Cadastro_Produtos!A:B,2,FALSE),"")</f>
        <v/>
      </c>
      <c r="F3248" s="12" t="n"/>
      <c r="G3248" s="13" t="n"/>
    </row>
    <row r="3249">
      <c r="A3249" s="12" t="n"/>
      <c r="D3249">
        <f>IFERROR(VLOOKUP(C3249,Cadastro_Produtos!A:B,2,FALSE),"")</f>
        <v/>
      </c>
      <c r="F3249" s="12" t="n"/>
      <c r="G3249" s="13" t="n"/>
    </row>
    <row r="3250">
      <c r="A3250" s="12" t="n"/>
      <c r="D3250">
        <f>IFERROR(VLOOKUP(C3250,Cadastro_Produtos!A:B,2,FALSE),"")</f>
        <v/>
      </c>
      <c r="F3250" s="12" t="n"/>
      <c r="G3250" s="13" t="n"/>
    </row>
    <row r="3251">
      <c r="A3251" s="12" t="n"/>
      <c r="D3251">
        <f>IFERROR(VLOOKUP(C3251,Cadastro_Produtos!A:B,2,FALSE),"")</f>
        <v/>
      </c>
      <c r="F3251" s="12" t="n"/>
      <c r="G3251" s="13" t="n"/>
    </row>
    <row r="3252">
      <c r="A3252" s="12" t="n"/>
      <c r="D3252">
        <f>IFERROR(VLOOKUP(C3252,Cadastro_Produtos!A:B,2,FALSE),"")</f>
        <v/>
      </c>
      <c r="F3252" s="12" t="n"/>
      <c r="G3252" s="13" t="n"/>
    </row>
    <row r="3253">
      <c r="A3253" s="12" t="n"/>
      <c r="D3253">
        <f>IFERROR(VLOOKUP(C3253,Cadastro_Produtos!A:B,2,FALSE),"")</f>
        <v/>
      </c>
      <c r="F3253" s="12" t="n"/>
      <c r="G3253" s="13" t="n"/>
    </row>
    <row r="3254">
      <c r="A3254" s="12" t="n"/>
      <c r="D3254">
        <f>IFERROR(VLOOKUP(C3254,Cadastro_Produtos!A:B,2,FALSE),"")</f>
        <v/>
      </c>
      <c r="F3254" s="12" t="n"/>
      <c r="G3254" s="13" t="n"/>
    </row>
    <row r="3255">
      <c r="A3255" s="12" t="n"/>
      <c r="D3255">
        <f>IFERROR(VLOOKUP(C3255,Cadastro_Produtos!A:B,2,FALSE),"")</f>
        <v/>
      </c>
      <c r="F3255" s="12" t="n"/>
      <c r="G3255" s="13" t="n"/>
    </row>
    <row r="3256">
      <c r="A3256" s="12" t="n"/>
      <c r="D3256">
        <f>IFERROR(VLOOKUP(C3256,Cadastro_Produtos!A:B,2,FALSE),"")</f>
        <v/>
      </c>
      <c r="F3256" s="12" t="n"/>
      <c r="G3256" s="13" t="n"/>
    </row>
    <row r="3257">
      <c r="A3257" s="12" t="n"/>
      <c r="D3257">
        <f>IFERROR(VLOOKUP(C3257,Cadastro_Produtos!A:B,2,FALSE),"")</f>
        <v/>
      </c>
      <c r="F3257" s="12" t="n"/>
      <c r="G3257" s="13" t="n"/>
    </row>
    <row r="3258">
      <c r="A3258" s="12" t="n"/>
      <c r="D3258">
        <f>IFERROR(VLOOKUP(C3258,Cadastro_Produtos!A:B,2,FALSE),"")</f>
        <v/>
      </c>
      <c r="F3258" s="12" t="n"/>
      <c r="G3258" s="13" t="n"/>
    </row>
    <row r="3259">
      <c r="A3259" s="12" t="n"/>
      <c r="D3259">
        <f>IFERROR(VLOOKUP(C3259,Cadastro_Produtos!A:B,2,FALSE),"")</f>
        <v/>
      </c>
      <c r="F3259" s="12" t="n"/>
      <c r="G3259" s="13" t="n"/>
    </row>
    <row r="3260">
      <c r="A3260" s="12" t="n"/>
      <c r="D3260">
        <f>IFERROR(VLOOKUP(C3260,Cadastro_Produtos!A:B,2,FALSE),"")</f>
        <v/>
      </c>
      <c r="F3260" s="12" t="n"/>
      <c r="G3260" s="13" t="n"/>
    </row>
    <row r="3261">
      <c r="A3261" s="12" t="n"/>
      <c r="D3261">
        <f>IFERROR(VLOOKUP(C3261,Cadastro_Produtos!A:B,2,FALSE),"")</f>
        <v/>
      </c>
      <c r="F3261" s="12" t="n"/>
      <c r="G3261" s="13" t="n"/>
    </row>
    <row r="3262">
      <c r="A3262" s="12" t="n"/>
      <c r="D3262">
        <f>IFERROR(VLOOKUP(C3262,Cadastro_Produtos!A:B,2,FALSE),"")</f>
        <v/>
      </c>
      <c r="F3262" s="12" t="n"/>
      <c r="G3262" s="13" t="n"/>
    </row>
    <row r="3263">
      <c r="A3263" s="12" t="n"/>
      <c r="D3263">
        <f>IFERROR(VLOOKUP(C3263,Cadastro_Produtos!A:B,2,FALSE),"")</f>
        <v/>
      </c>
      <c r="F3263" s="12" t="n"/>
      <c r="G3263" s="13" t="n"/>
    </row>
    <row r="3264">
      <c r="A3264" s="12" t="n"/>
      <c r="D3264">
        <f>IFERROR(VLOOKUP(C3264,Cadastro_Produtos!A:B,2,FALSE),"")</f>
        <v/>
      </c>
      <c r="F3264" s="12" t="n"/>
      <c r="G3264" s="13" t="n"/>
    </row>
    <row r="3265">
      <c r="A3265" s="12" t="n"/>
      <c r="D3265">
        <f>IFERROR(VLOOKUP(C3265,Cadastro_Produtos!A:B,2,FALSE),"")</f>
        <v/>
      </c>
      <c r="F3265" s="12" t="n"/>
      <c r="G3265" s="13" t="n"/>
    </row>
    <row r="3266">
      <c r="A3266" s="12" t="n"/>
      <c r="D3266">
        <f>IFERROR(VLOOKUP(C3266,Cadastro_Produtos!A:B,2,FALSE),"")</f>
        <v/>
      </c>
      <c r="F3266" s="12" t="n"/>
      <c r="G3266" s="13" t="n"/>
    </row>
    <row r="3267">
      <c r="A3267" s="12" t="n"/>
      <c r="D3267">
        <f>IFERROR(VLOOKUP(C3267,Cadastro_Produtos!A:B,2,FALSE),"")</f>
        <v/>
      </c>
      <c r="F3267" s="12" t="n"/>
      <c r="G3267" s="13" t="n"/>
    </row>
    <row r="3268">
      <c r="A3268" s="12" t="n"/>
      <c r="D3268">
        <f>IFERROR(VLOOKUP(C3268,Cadastro_Produtos!A:B,2,FALSE),"")</f>
        <v/>
      </c>
      <c r="F3268" s="12" t="n"/>
      <c r="G3268" s="13" t="n"/>
    </row>
    <row r="3269">
      <c r="A3269" s="12" t="n"/>
      <c r="D3269">
        <f>IFERROR(VLOOKUP(C3269,Cadastro_Produtos!A:B,2,FALSE),"")</f>
        <v/>
      </c>
      <c r="F3269" s="12" t="n"/>
      <c r="G3269" s="13" t="n"/>
    </row>
    <row r="3270">
      <c r="A3270" s="12" t="n"/>
      <c r="D3270">
        <f>IFERROR(VLOOKUP(C3270,Cadastro_Produtos!A:B,2,FALSE),"")</f>
        <v/>
      </c>
      <c r="F3270" s="12" t="n"/>
      <c r="G3270" s="13" t="n"/>
    </row>
    <row r="3271">
      <c r="A3271" s="12" t="n"/>
      <c r="D3271">
        <f>IFERROR(VLOOKUP(C3271,Cadastro_Produtos!A:B,2,FALSE),"")</f>
        <v/>
      </c>
      <c r="F3271" s="12" t="n"/>
      <c r="G3271" s="13" t="n"/>
    </row>
    <row r="3272">
      <c r="A3272" s="12" t="n"/>
      <c r="D3272">
        <f>IFERROR(VLOOKUP(C3272,Cadastro_Produtos!A:B,2,FALSE),"")</f>
        <v/>
      </c>
      <c r="F3272" s="12" t="n"/>
      <c r="G3272" s="13" t="n"/>
    </row>
    <row r="3273">
      <c r="A3273" s="12" t="n"/>
      <c r="D3273">
        <f>IFERROR(VLOOKUP(C3273,Cadastro_Produtos!A:B,2,FALSE),"")</f>
        <v/>
      </c>
      <c r="F3273" s="12" t="n"/>
      <c r="G3273" s="13" t="n"/>
    </row>
    <row r="3274">
      <c r="A3274" s="12" t="n"/>
      <c r="D3274">
        <f>IFERROR(VLOOKUP(C3274,Cadastro_Produtos!A:B,2,FALSE),"")</f>
        <v/>
      </c>
      <c r="F3274" s="12" t="n"/>
      <c r="G3274" s="13" t="n"/>
    </row>
    <row r="3275">
      <c r="A3275" s="12" t="n"/>
      <c r="D3275">
        <f>IFERROR(VLOOKUP(C3275,Cadastro_Produtos!A:B,2,FALSE),"")</f>
        <v/>
      </c>
      <c r="F3275" s="12" t="n"/>
      <c r="G3275" s="13" t="n"/>
    </row>
    <row r="3276">
      <c r="A3276" s="12" t="n"/>
      <c r="D3276">
        <f>IFERROR(VLOOKUP(C3276,Cadastro_Produtos!A:B,2,FALSE),"")</f>
        <v/>
      </c>
      <c r="F3276" s="12" t="n"/>
      <c r="G3276" s="13" t="n"/>
    </row>
    <row r="3277">
      <c r="A3277" s="12" t="n"/>
      <c r="D3277">
        <f>IFERROR(VLOOKUP(C3277,Cadastro_Produtos!A:B,2,FALSE),"")</f>
        <v/>
      </c>
      <c r="F3277" s="12" t="n"/>
      <c r="G3277" s="13" t="n"/>
    </row>
    <row r="3278">
      <c r="A3278" s="12" t="n"/>
      <c r="D3278">
        <f>IFERROR(VLOOKUP(C3278,Cadastro_Produtos!A:B,2,FALSE),"")</f>
        <v/>
      </c>
      <c r="F3278" s="12" t="n"/>
      <c r="G3278" s="13" t="n"/>
    </row>
    <row r="3279">
      <c r="A3279" s="12" t="n"/>
      <c r="D3279">
        <f>IFERROR(VLOOKUP(C3279,Cadastro_Produtos!A:B,2,FALSE),"")</f>
        <v/>
      </c>
      <c r="F3279" s="12" t="n"/>
      <c r="G3279" s="13" t="n"/>
    </row>
    <row r="3280">
      <c r="A3280" s="12" t="n"/>
      <c r="D3280">
        <f>IFERROR(VLOOKUP(C3280,Cadastro_Produtos!A:B,2,FALSE),"")</f>
        <v/>
      </c>
      <c r="F3280" s="12" t="n"/>
      <c r="G3280" s="13" t="n"/>
    </row>
    <row r="3281">
      <c r="A3281" s="12" t="n"/>
      <c r="D3281">
        <f>IFERROR(VLOOKUP(C3281,Cadastro_Produtos!A:B,2,FALSE),"")</f>
        <v/>
      </c>
      <c r="F3281" s="12" t="n"/>
      <c r="G3281" s="13" t="n"/>
    </row>
    <row r="3282">
      <c r="A3282" s="12" t="n"/>
      <c r="D3282">
        <f>IFERROR(VLOOKUP(C3282,Cadastro_Produtos!A:B,2,FALSE),"")</f>
        <v/>
      </c>
      <c r="F3282" s="12" t="n"/>
      <c r="G3282" s="13" t="n"/>
    </row>
    <row r="3283">
      <c r="A3283" s="12" t="n"/>
      <c r="D3283">
        <f>IFERROR(VLOOKUP(C3283,Cadastro_Produtos!A:B,2,FALSE),"")</f>
        <v/>
      </c>
      <c r="F3283" s="12" t="n"/>
      <c r="G3283" s="13" t="n"/>
    </row>
    <row r="3284">
      <c r="A3284" s="12" t="n"/>
      <c r="D3284">
        <f>IFERROR(VLOOKUP(C3284,Cadastro_Produtos!A:B,2,FALSE),"")</f>
        <v/>
      </c>
      <c r="F3284" s="12" t="n"/>
      <c r="G3284" s="13" t="n"/>
    </row>
    <row r="3285">
      <c r="A3285" s="12" t="n"/>
      <c r="D3285">
        <f>IFERROR(VLOOKUP(C3285,Cadastro_Produtos!A:B,2,FALSE),"")</f>
        <v/>
      </c>
      <c r="F3285" s="12" t="n"/>
      <c r="G3285" s="13" t="n"/>
    </row>
    <row r="3286">
      <c r="A3286" s="12" t="n"/>
      <c r="D3286">
        <f>IFERROR(VLOOKUP(C3286,Cadastro_Produtos!A:B,2,FALSE),"")</f>
        <v/>
      </c>
      <c r="F3286" s="12" t="n"/>
      <c r="G3286" s="13" t="n"/>
    </row>
    <row r="3287">
      <c r="A3287" s="12" t="n"/>
      <c r="D3287">
        <f>IFERROR(VLOOKUP(C3287,Cadastro_Produtos!A:B,2,FALSE),"")</f>
        <v/>
      </c>
      <c r="F3287" s="12" t="n"/>
      <c r="G3287" s="13" t="n"/>
    </row>
    <row r="3288">
      <c r="A3288" s="12" t="n"/>
      <c r="D3288">
        <f>IFERROR(VLOOKUP(C3288,Cadastro_Produtos!A:B,2,FALSE),"")</f>
        <v/>
      </c>
      <c r="F3288" s="12" t="n"/>
      <c r="G3288" s="13" t="n"/>
    </row>
    <row r="3289">
      <c r="A3289" s="12" t="n"/>
      <c r="D3289">
        <f>IFERROR(VLOOKUP(C3289,Cadastro_Produtos!A:B,2,FALSE),"")</f>
        <v/>
      </c>
      <c r="F3289" s="12" t="n"/>
      <c r="G3289" s="13" t="n"/>
    </row>
    <row r="3290">
      <c r="A3290" s="12" t="n"/>
      <c r="D3290">
        <f>IFERROR(VLOOKUP(C3290,Cadastro_Produtos!A:B,2,FALSE),"")</f>
        <v/>
      </c>
      <c r="F3290" s="12" t="n"/>
      <c r="G3290" s="13" t="n"/>
    </row>
    <row r="3291">
      <c r="A3291" s="12" t="n"/>
      <c r="D3291">
        <f>IFERROR(VLOOKUP(C3291,Cadastro_Produtos!A:B,2,FALSE),"")</f>
        <v/>
      </c>
      <c r="F3291" s="12" t="n"/>
      <c r="G3291" s="13" t="n"/>
    </row>
    <row r="3292">
      <c r="A3292" s="12" t="n"/>
      <c r="D3292">
        <f>IFERROR(VLOOKUP(C3292,Cadastro_Produtos!A:B,2,FALSE),"")</f>
        <v/>
      </c>
      <c r="F3292" s="12" t="n"/>
      <c r="G3292" s="13" t="n"/>
    </row>
    <row r="3293">
      <c r="A3293" s="12" t="n"/>
      <c r="D3293">
        <f>IFERROR(VLOOKUP(C3293,Cadastro_Produtos!A:B,2,FALSE),"")</f>
        <v/>
      </c>
      <c r="F3293" s="12" t="n"/>
      <c r="G3293" s="13" t="n"/>
    </row>
    <row r="3294">
      <c r="A3294" s="12" t="n"/>
      <c r="D3294">
        <f>IFERROR(VLOOKUP(C3294,Cadastro_Produtos!A:B,2,FALSE),"")</f>
        <v/>
      </c>
      <c r="F3294" s="12" t="n"/>
      <c r="G3294" s="13" t="n"/>
    </row>
    <row r="3295">
      <c r="A3295" s="12" t="n"/>
      <c r="D3295">
        <f>IFERROR(VLOOKUP(C3295,Cadastro_Produtos!A:B,2,FALSE),"")</f>
        <v/>
      </c>
      <c r="F3295" s="12" t="n"/>
      <c r="G3295" s="13" t="n"/>
    </row>
    <row r="3296">
      <c r="A3296" s="12" t="n"/>
      <c r="D3296">
        <f>IFERROR(VLOOKUP(C3296,Cadastro_Produtos!A:B,2,FALSE),"")</f>
        <v/>
      </c>
      <c r="F3296" s="12" t="n"/>
      <c r="G3296" s="13" t="n"/>
    </row>
    <row r="3297">
      <c r="A3297" s="12" t="n"/>
      <c r="D3297">
        <f>IFERROR(VLOOKUP(C3297,Cadastro_Produtos!A:B,2,FALSE),"")</f>
        <v/>
      </c>
      <c r="F3297" s="12" t="n"/>
      <c r="G3297" s="13" t="n"/>
    </row>
    <row r="3298">
      <c r="A3298" s="12" t="n"/>
      <c r="D3298">
        <f>IFERROR(VLOOKUP(C3298,Cadastro_Produtos!A:B,2,FALSE),"")</f>
        <v/>
      </c>
      <c r="F3298" s="12" t="n"/>
      <c r="G3298" s="13" t="n"/>
    </row>
    <row r="3299">
      <c r="A3299" s="12" t="n"/>
      <c r="D3299">
        <f>IFERROR(VLOOKUP(C3299,Cadastro_Produtos!A:B,2,FALSE),"")</f>
        <v/>
      </c>
      <c r="F3299" s="12" t="n"/>
      <c r="G3299" s="13" t="n"/>
    </row>
    <row r="3300">
      <c r="A3300" s="12" t="n"/>
      <c r="D3300">
        <f>IFERROR(VLOOKUP(C3300,Cadastro_Produtos!A:B,2,FALSE),"")</f>
        <v/>
      </c>
      <c r="F3300" s="12" t="n"/>
      <c r="G3300" s="13" t="n"/>
    </row>
    <row r="3301">
      <c r="A3301" s="12" t="n"/>
      <c r="D3301">
        <f>IFERROR(VLOOKUP(C3301,Cadastro_Produtos!A:B,2,FALSE),"")</f>
        <v/>
      </c>
      <c r="F3301" s="12" t="n"/>
      <c r="G3301" s="13" t="n"/>
    </row>
    <row r="3302">
      <c r="A3302" s="12" t="n"/>
      <c r="D3302">
        <f>IFERROR(VLOOKUP(C3302,Cadastro_Produtos!A:B,2,FALSE),"")</f>
        <v/>
      </c>
      <c r="F3302" s="12" t="n"/>
      <c r="G3302" s="13" t="n"/>
    </row>
    <row r="3303">
      <c r="A3303" s="12" t="n"/>
      <c r="D3303">
        <f>IFERROR(VLOOKUP(C3303,Cadastro_Produtos!A:B,2,FALSE),"")</f>
        <v/>
      </c>
      <c r="F3303" s="12" t="n"/>
      <c r="G3303" s="13" t="n"/>
    </row>
    <row r="3304">
      <c r="A3304" s="12" t="n"/>
      <c r="D3304">
        <f>IFERROR(VLOOKUP(C3304,Cadastro_Produtos!A:B,2,FALSE),"")</f>
        <v/>
      </c>
      <c r="F3304" s="12" t="n"/>
      <c r="G3304" s="13" t="n"/>
    </row>
    <row r="3305">
      <c r="A3305" s="12" t="n"/>
      <c r="D3305">
        <f>IFERROR(VLOOKUP(C3305,Cadastro_Produtos!A:B,2,FALSE),"")</f>
        <v/>
      </c>
      <c r="F3305" s="12" t="n"/>
      <c r="G3305" s="13" t="n"/>
    </row>
    <row r="3306">
      <c r="A3306" s="12" t="n"/>
      <c r="D3306">
        <f>IFERROR(VLOOKUP(C3306,Cadastro_Produtos!A:B,2,FALSE),"")</f>
        <v/>
      </c>
      <c r="F3306" s="12" t="n"/>
      <c r="G3306" s="13" t="n"/>
    </row>
    <row r="3307">
      <c r="A3307" s="12" t="n"/>
      <c r="D3307">
        <f>IFERROR(VLOOKUP(C3307,Cadastro_Produtos!A:B,2,FALSE),"")</f>
        <v/>
      </c>
      <c r="F3307" s="12" t="n"/>
      <c r="G3307" s="13" t="n"/>
    </row>
    <row r="3308">
      <c r="A3308" s="12" t="n"/>
      <c r="D3308">
        <f>IFERROR(VLOOKUP(C3308,Cadastro_Produtos!A:B,2,FALSE),"")</f>
        <v/>
      </c>
      <c r="F3308" s="12" t="n"/>
      <c r="G3308" s="13" t="n"/>
    </row>
    <row r="3309">
      <c r="A3309" s="12" t="n"/>
      <c r="D3309">
        <f>IFERROR(VLOOKUP(C3309,Cadastro_Produtos!A:B,2,FALSE),"")</f>
        <v/>
      </c>
      <c r="F3309" s="12" t="n"/>
      <c r="G3309" s="13" t="n"/>
    </row>
    <row r="3310">
      <c r="A3310" s="12" t="n"/>
      <c r="D3310">
        <f>IFERROR(VLOOKUP(C3310,Cadastro_Produtos!A:B,2,FALSE),"")</f>
        <v/>
      </c>
      <c r="F3310" s="12" t="n"/>
      <c r="G3310" s="13" t="n"/>
    </row>
    <row r="3311">
      <c r="A3311" s="12" t="n"/>
      <c r="D3311">
        <f>IFERROR(VLOOKUP(C3311,Cadastro_Produtos!A:B,2,FALSE),"")</f>
        <v/>
      </c>
      <c r="F3311" s="12" t="n"/>
      <c r="G3311" s="13" t="n"/>
    </row>
    <row r="3312">
      <c r="A3312" s="12" t="n"/>
      <c r="D3312">
        <f>IFERROR(VLOOKUP(C3312,Cadastro_Produtos!A:B,2,FALSE),"")</f>
        <v/>
      </c>
      <c r="F3312" s="12" t="n"/>
      <c r="G3312" s="13" t="n"/>
    </row>
    <row r="3313">
      <c r="A3313" s="12" t="n"/>
      <c r="D3313">
        <f>IFERROR(VLOOKUP(C3313,Cadastro_Produtos!A:B,2,FALSE),"")</f>
        <v/>
      </c>
      <c r="F3313" s="12" t="n"/>
      <c r="G3313" s="13" t="n"/>
    </row>
    <row r="3314">
      <c r="A3314" s="12" t="n"/>
      <c r="D3314">
        <f>IFERROR(VLOOKUP(C3314,Cadastro_Produtos!A:B,2,FALSE),"")</f>
        <v/>
      </c>
      <c r="F3314" s="12" t="n"/>
      <c r="G3314" s="13" t="n"/>
    </row>
    <row r="3315">
      <c r="A3315" s="12" t="n"/>
      <c r="D3315">
        <f>IFERROR(VLOOKUP(C3315,Cadastro_Produtos!A:B,2,FALSE),"")</f>
        <v/>
      </c>
      <c r="F3315" s="12" t="n"/>
      <c r="G3315" s="13" t="n"/>
    </row>
    <row r="3316">
      <c r="A3316" s="12" t="n"/>
      <c r="D3316">
        <f>IFERROR(VLOOKUP(C3316,Cadastro_Produtos!A:B,2,FALSE),"")</f>
        <v/>
      </c>
      <c r="F3316" s="12" t="n"/>
      <c r="G3316" s="13" t="n"/>
    </row>
    <row r="3317">
      <c r="A3317" s="12" t="n"/>
      <c r="D3317">
        <f>IFERROR(VLOOKUP(C3317,Cadastro_Produtos!A:B,2,FALSE),"")</f>
        <v/>
      </c>
      <c r="F3317" s="12" t="n"/>
      <c r="G3317" s="13" t="n"/>
    </row>
    <row r="3318">
      <c r="A3318" s="12" t="n"/>
      <c r="D3318">
        <f>IFERROR(VLOOKUP(C3318,Cadastro_Produtos!A:B,2,FALSE),"")</f>
        <v/>
      </c>
      <c r="F3318" s="12" t="n"/>
      <c r="G3318" s="13" t="n"/>
    </row>
    <row r="3319">
      <c r="A3319" s="12" t="n"/>
      <c r="D3319">
        <f>IFERROR(VLOOKUP(C3319,Cadastro_Produtos!A:B,2,FALSE),"")</f>
        <v/>
      </c>
      <c r="F3319" s="12" t="n"/>
      <c r="G3319" s="13" t="n"/>
    </row>
    <row r="3320">
      <c r="A3320" s="12" t="n"/>
      <c r="D3320">
        <f>IFERROR(VLOOKUP(C3320,Cadastro_Produtos!A:B,2,FALSE),"")</f>
        <v/>
      </c>
      <c r="F3320" s="12" t="n"/>
      <c r="G3320" s="13" t="n"/>
    </row>
    <row r="3321">
      <c r="A3321" s="12" t="n"/>
      <c r="D3321">
        <f>IFERROR(VLOOKUP(C3321,Cadastro_Produtos!A:B,2,FALSE),"")</f>
        <v/>
      </c>
      <c r="F3321" s="12" t="n"/>
      <c r="G3321" s="13" t="n"/>
    </row>
    <row r="3322">
      <c r="A3322" s="12" t="n"/>
      <c r="D3322">
        <f>IFERROR(VLOOKUP(C3322,Cadastro_Produtos!A:B,2,FALSE),"")</f>
        <v/>
      </c>
      <c r="F3322" s="12" t="n"/>
      <c r="G3322" s="13" t="n"/>
    </row>
    <row r="3323">
      <c r="A3323" s="12" t="n"/>
      <c r="D3323">
        <f>IFERROR(VLOOKUP(C3323,Cadastro_Produtos!A:B,2,FALSE),"")</f>
        <v/>
      </c>
      <c r="F3323" s="12" t="n"/>
      <c r="G3323" s="13" t="n"/>
    </row>
    <row r="3324">
      <c r="A3324" s="12" t="n"/>
      <c r="D3324">
        <f>IFERROR(VLOOKUP(C3324,Cadastro_Produtos!A:B,2,FALSE),"")</f>
        <v/>
      </c>
      <c r="F3324" s="12" t="n"/>
      <c r="G3324" s="13" t="n"/>
    </row>
    <row r="3325">
      <c r="A3325" s="12" t="n"/>
      <c r="D3325">
        <f>IFERROR(VLOOKUP(C3325,Cadastro_Produtos!A:B,2,FALSE),"")</f>
        <v/>
      </c>
      <c r="F3325" s="12" t="n"/>
      <c r="G3325" s="13" t="n"/>
    </row>
    <row r="3326">
      <c r="A3326" s="12" t="n"/>
      <c r="D3326">
        <f>IFERROR(VLOOKUP(C3326,Cadastro_Produtos!A:B,2,FALSE),"")</f>
        <v/>
      </c>
      <c r="F3326" s="12" t="n"/>
      <c r="G3326" s="13" t="n"/>
    </row>
    <row r="3327">
      <c r="A3327" s="12" t="n"/>
      <c r="D3327">
        <f>IFERROR(VLOOKUP(C3327,Cadastro_Produtos!A:B,2,FALSE),"")</f>
        <v/>
      </c>
      <c r="F3327" s="12" t="n"/>
      <c r="G3327" s="13" t="n"/>
    </row>
    <row r="3328">
      <c r="A3328" s="12" t="n"/>
      <c r="D3328">
        <f>IFERROR(VLOOKUP(C3328,Cadastro_Produtos!A:B,2,FALSE),"")</f>
        <v/>
      </c>
      <c r="F3328" s="12" t="n"/>
      <c r="G3328" s="13" t="n"/>
    </row>
    <row r="3329">
      <c r="A3329" s="12" t="n"/>
      <c r="D3329">
        <f>IFERROR(VLOOKUP(C3329,Cadastro_Produtos!A:B,2,FALSE),"")</f>
        <v/>
      </c>
      <c r="F3329" s="12" t="n"/>
      <c r="G3329" s="13" t="n"/>
    </row>
    <row r="3330">
      <c r="A3330" s="12" t="n"/>
      <c r="D3330">
        <f>IFERROR(VLOOKUP(C3330,Cadastro_Produtos!A:B,2,FALSE),"")</f>
        <v/>
      </c>
      <c r="F3330" s="12" t="n"/>
      <c r="G3330" s="13" t="n"/>
    </row>
    <row r="3331">
      <c r="A3331" s="12" t="n"/>
      <c r="D3331">
        <f>IFERROR(VLOOKUP(C3331,Cadastro_Produtos!A:B,2,FALSE),"")</f>
        <v/>
      </c>
      <c r="F3331" s="12" t="n"/>
      <c r="G3331" s="13" t="n"/>
    </row>
    <row r="3332">
      <c r="A3332" s="12" t="n"/>
      <c r="D3332">
        <f>IFERROR(VLOOKUP(C3332,Cadastro_Produtos!A:B,2,FALSE),"")</f>
        <v/>
      </c>
      <c r="F3332" s="12" t="n"/>
      <c r="G3332" s="13" t="n"/>
    </row>
    <row r="3333">
      <c r="A3333" s="12" t="n"/>
      <c r="D3333">
        <f>IFERROR(VLOOKUP(C3333,Cadastro_Produtos!A:B,2,FALSE),"")</f>
        <v/>
      </c>
      <c r="F3333" s="12" t="n"/>
      <c r="G3333" s="13" t="n"/>
    </row>
    <row r="3334">
      <c r="A3334" s="12" t="n"/>
      <c r="D3334">
        <f>IFERROR(VLOOKUP(C3334,Cadastro_Produtos!A:B,2,FALSE),"")</f>
        <v/>
      </c>
      <c r="F3334" s="12" t="n"/>
      <c r="G3334" s="13" t="n"/>
    </row>
    <row r="3335">
      <c r="A3335" s="12" t="n"/>
      <c r="D3335">
        <f>IFERROR(VLOOKUP(C3335,Cadastro_Produtos!A:B,2,FALSE),"")</f>
        <v/>
      </c>
      <c r="F3335" s="12" t="n"/>
      <c r="G3335" s="13" t="n"/>
    </row>
    <row r="3336">
      <c r="A3336" s="12" t="n"/>
      <c r="D3336">
        <f>IFERROR(VLOOKUP(C3336,Cadastro_Produtos!A:B,2,FALSE),"")</f>
        <v/>
      </c>
      <c r="F3336" s="12" t="n"/>
      <c r="G3336" s="13" t="n"/>
    </row>
    <row r="3337">
      <c r="A3337" s="12" t="n"/>
      <c r="D3337">
        <f>IFERROR(VLOOKUP(C3337,Cadastro_Produtos!A:B,2,FALSE),"")</f>
        <v/>
      </c>
      <c r="F3337" s="12" t="n"/>
      <c r="G3337" s="13" t="n"/>
    </row>
    <row r="3338">
      <c r="A3338" s="12" t="n"/>
      <c r="D3338">
        <f>IFERROR(VLOOKUP(C3338,Cadastro_Produtos!A:B,2,FALSE),"")</f>
        <v/>
      </c>
      <c r="F3338" s="12" t="n"/>
      <c r="G3338" s="13" t="n"/>
    </row>
    <row r="3339">
      <c r="A3339" s="12" t="n"/>
      <c r="D3339">
        <f>IFERROR(VLOOKUP(C3339,Cadastro_Produtos!A:B,2,FALSE),"")</f>
        <v/>
      </c>
      <c r="F3339" s="12" t="n"/>
      <c r="G3339" s="13" t="n"/>
    </row>
    <row r="3340">
      <c r="A3340" s="12" t="n"/>
      <c r="D3340">
        <f>IFERROR(VLOOKUP(C3340,Cadastro_Produtos!A:B,2,FALSE),"")</f>
        <v/>
      </c>
      <c r="F3340" s="12" t="n"/>
      <c r="G3340" s="13" t="n"/>
    </row>
    <row r="3341">
      <c r="A3341" s="12" t="n"/>
      <c r="D3341">
        <f>IFERROR(VLOOKUP(C3341,Cadastro_Produtos!A:B,2,FALSE),"")</f>
        <v/>
      </c>
      <c r="F3341" s="12" t="n"/>
      <c r="G3341" s="13" t="n"/>
    </row>
    <row r="3342">
      <c r="A3342" s="12" t="n"/>
      <c r="D3342">
        <f>IFERROR(VLOOKUP(C3342,Cadastro_Produtos!A:B,2,FALSE),"")</f>
        <v/>
      </c>
      <c r="F3342" s="12" t="n"/>
      <c r="G3342" s="13" t="n"/>
    </row>
    <row r="3343">
      <c r="A3343" s="12" t="n"/>
      <c r="D3343">
        <f>IFERROR(VLOOKUP(C3343,Cadastro_Produtos!A:B,2,FALSE),"")</f>
        <v/>
      </c>
      <c r="F3343" s="12" t="n"/>
      <c r="G3343" s="13" t="n"/>
    </row>
    <row r="3344">
      <c r="A3344" s="12" t="n"/>
      <c r="D3344">
        <f>IFERROR(VLOOKUP(C3344,Cadastro_Produtos!A:B,2,FALSE),"")</f>
        <v/>
      </c>
      <c r="F3344" s="12" t="n"/>
      <c r="G3344" s="13" t="n"/>
    </row>
    <row r="3345">
      <c r="A3345" s="12" t="n"/>
      <c r="D3345">
        <f>IFERROR(VLOOKUP(C3345,Cadastro_Produtos!A:B,2,FALSE),"")</f>
        <v/>
      </c>
      <c r="F3345" s="12" t="n"/>
      <c r="G3345" s="13" t="n"/>
    </row>
    <row r="3346">
      <c r="A3346" s="12" t="n"/>
      <c r="D3346">
        <f>IFERROR(VLOOKUP(C3346,Cadastro_Produtos!A:B,2,FALSE),"")</f>
        <v/>
      </c>
      <c r="F3346" s="12" t="n"/>
      <c r="G3346" s="13" t="n"/>
    </row>
    <row r="3347">
      <c r="A3347" s="12" t="n"/>
      <c r="D3347">
        <f>IFERROR(VLOOKUP(C3347,Cadastro_Produtos!A:B,2,FALSE),"")</f>
        <v/>
      </c>
      <c r="F3347" s="12" t="n"/>
      <c r="G3347" s="13" t="n"/>
    </row>
    <row r="3348">
      <c r="A3348" s="12" t="n"/>
      <c r="D3348">
        <f>IFERROR(VLOOKUP(C3348,Cadastro_Produtos!A:B,2,FALSE),"")</f>
        <v/>
      </c>
      <c r="F3348" s="12" t="n"/>
      <c r="G3348" s="13" t="n"/>
    </row>
    <row r="3349">
      <c r="A3349" s="12" t="n"/>
      <c r="D3349">
        <f>IFERROR(VLOOKUP(C3349,Cadastro_Produtos!A:B,2,FALSE),"")</f>
        <v/>
      </c>
      <c r="F3349" s="12" t="n"/>
      <c r="G3349" s="13" t="n"/>
    </row>
    <row r="3350">
      <c r="A3350" s="12" t="n"/>
      <c r="D3350">
        <f>IFERROR(VLOOKUP(C3350,Cadastro_Produtos!A:B,2,FALSE),"")</f>
        <v/>
      </c>
      <c r="F3350" s="12" t="n"/>
      <c r="G3350" s="13" t="n"/>
    </row>
    <row r="3351">
      <c r="A3351" s="12" t="n"/>
      <c r="D3351">
        <f>IFERROR(VLOOKUP(C3351,Cadastro_Produtos!A:B,2,FALSE),"")</f>
        <v/>
      </c>
      <c r="F3351" s="12" t="n"/>
      <c r="G3351" s="13" t="n"/>
    </row>
    <row r="3352">
      <c r="A3352" s="12" t="n"/>
      <c r="D3352">
        <f>IFERROR(VLOOKUP(C3352,Cadastro_Produtos!A:B,2,FALSE),"")</f>
        <v/>
      </c>
      <c r="F3352" s="12" t="n"/>
      <c r="G3352" s="13" t="n"/>
    </row>
    <row r="3353">
      <c r="A3353" s="12" t="n"/>
      <c r="D3353">
        <f>IFERROR(VLOOKUP(C3353,Cadastro_Produtos!A:B,2,FALSE),"")</f>
        <v/>
      </c>
      <c r="F3353" s="12" t="n"/>
      <c r="G3353" s="13" t="n"/>
    </row>
    <row r="3354">
      <c r="A3354" s="12" t="n"/>
      <c r="D3354">
        <f>IFERROR(VLOOKUP(C3354,Cadastro_Produtos!A:B,2,FALSE),"")</f>
        <v/>
      </c>
      <c r="F3354" s="12" t="n"/>
      <c r="G3354" s="13" t="n"/>
    </row>
    <row r="3355">
      <c r="A3355" s="12" t="n"/>
      <c r="D3355">
        <f>IFERROR(VLOOKUP(C3355,Cadastro_Produtos!A:B,2,FALSE),"")</f>
        <v/>
      </c>
      <c r="F3355" s="12" t="n"/>
      <c r="G3355" s="13" t="n"/>
    </row>
    <row r="3356">
      <c r="A3356" s="12" t="n"/>
      <c r="D3356">
        <f>IFERROR(VLOOKUP(C3356,Cadastro_Produtos!A:B,2,FALSE),"")</f>
        <v/>
      </c>
      <c r="F3356" s="12" t="n"/>
      <c r="G3356" s="13" t="n"/>
    </row>
    <row r="3357">
      <c r="A3357" s="12" t="n"/>
      <c r="D3357">
        <f>IFERROR(VLOOKUP(C3357,Cadastro_Produtos!A:B,2,FALSE),"")</f>
        <v/>
      </c>
      <c r="F3357" s="12" t="n"/>
      <c r="G3357" s="13" t="n"/>
    </row>
    <row r="3358">
      <c r="A3358" s="12" t="n"/>
      <c r="D3358">
        <f>IFERROR(VLOOKUP(C3358,Cadastro_Produtos!A:B,2,FALSE),"")</f>
        <v/>
      </c>
      <c r="F3358" s="12" t="n"/>
      <c r="G3358" s="13" t="n"/>
    </row>
    <row r="3359">
      <c r="A3359" s="12" t="n"/>
      <c r="D3359">
        <f>IFERROR(VLOOKUP(C3359,Cadastro_Produtos!A:B,2,FALSE),"")</f>
        <v/>
      </c>
      <c r="F3359" s="12" t="n"/>
      <c r="G3359" s="13" t="n"/>
    </row>
    <row r="3360">
      <c r="A3360" s="12" t="n"/>
      <c r="D3360">
        <f>IFERROR(VLOOKUP(C3360,Cadastro_Produtos!A:B,2,FALSE),"")</f>
        <v/>
      </c>
      <c r="F3360" s="12" t="n"/>
      <c r="G3360" s="13" t="n"/>
    </row>
    <row r="3361">
      <c r="A3361" s="12" t="n"/>
      <c r="D3361">
        <f>IFERROR(VLOOKUP(C3361,Cadastro_Produtos!A:B,2,FALSE),"")</f>
        <v/>
      </c>
      <c r="F3361" s="12" t="n"/>
      <c r="G3361" s="13" t="n"/>
    </row>
    <row r="3362">
      <c r="A3362" s="12" t="n"/>
      <c r="D3362">
        <f>IFERROR(VLOOKUP(C3362,Cadastro_Produtos!A:B,2,FALSE),"")</f>
        <v/>
      </c>
      <c r="F3362" s="12" t="n"/>
      <c r="G3362" s="13" t="n"/>
    </row>
    <row r="3363">
      <c r="A3363" s="12" t="n"/>
      <c r="D3363">
        <f>IFERROR(VLOOKUP(C3363,Cadastro_Produtos!A:B,2,FALSE),"")</f>
        <v/>
      </c>
      <c r="F3363" s="12" t="n"/>
      <c r="G3363" s="13" t="n"/>
    </row>
    <row r="3364">
      <c r="A3364" s="12" t="n"/>
      <c r="D3364">
        <f>IFERROR(VLOOKUP(C3364,Cadastro_Produtos!A:B,2,FALSE),"")</f>
        <v/>
      </c>
      <c r="F3364" s="12" t="n"/>
      <c r="G3364" s="13" t="n"/>
    </row>
    <row r="3365">
      <c r="A3365" s="12" t="n"/>
      <c r="D3365">
        <f>IFERROR(VLOOKUP(C3365,Cadastro_Produtos!A:B,2,FALSE),"")</f>
        <v/>
      </c>
      <c r="F3365" s="12" t="n"/>
      <c r="G3365" s="13" t="n"/>
    </row>
    <row r="3366">
      <c r="A3366" s="12" t="n"/>
      <c r="D3366">
        <f>IFERROR(VLOOKUP(C3366,Cadastro_Produtos!A:B,2,FALSE),"")</f>
        <v/>
      </c>
      <c r="F3366" s="12" t="n"/>
      <c r="G3366" s="13" t="n"/>
    </row>
    <row r="3367">
      <c r="A3367" s="12" t="n"/>
      <c r="D3367">
        <f>IFERROR(VLOOKUP(C3367,Cadastro_Produtos!A:B,2,FALSE),"")</f>
        <v/>
      </c>
      <c r="F3367" s="12" t="n"/>
      <c r="G3367" s="13" t="n"/>
    </row>
    <row r="3368">
      <c r="A3368" s="12" t="n"/>
      <c r="D3368">
        <f>IFERROR(VLOOKUP(C3368,Cadastro_Produtos!A:B,2,FALSE),"")</f>
        <v/>
      </c>
      <c r="F3368" s="12" t="n"/>
      <c r="G3368" s="13" t="n"/>
    </row>
    <row r="3369">
      <c r="A3369" s="12" t="n"/>
      <c r="D3369">
        <f>IFERROR(VLOOKUP(C3369,Cadastro_Produtos!A:B,2,FALSE),"")</f>
        <v/>
      </c>
      <c r="F3369" s="12" t="n"/>
      <c r="G3369" s="13" t="n"/>
    </row>
    <row r="3370">
      <c r="A3370" s="12" t="n"/>
      <c r="D3370">
        <f>IFERROR(VLOOKUP(C3370,Cadastro_Produtos!A:B,2,FALSE),"")</f>
        <v/>
      </c>
      <c r="F3370" s="12" t="n"/>
      <c r="G3370" s="13" t="n"/>
    </row>
    <row r="3371">
      <c r="A3371" s="12" t="n"/>
      <c r="D3371">
        <f>IFERROR(VLOOKUP(C3371,Cadastro_Produtos!A:B,2,FALSE),"")</f>
        <v/>
      </c>
      <c r="F3371" s="12" t="n"/>
      <c r="G3371" s="13" t="n"/>
    </row>
    <row r="3372">
      <c r="A3372" s="12" t="n"/>
      <c r="D3372">
        <f>IFERROR(VLOOKUP(C3372,Cadastro_Produtos!A:B,2,FALSE),"")</f>
        <v/>
      </c>
      <c r="F3372" s="12" t="n"/>
      <c r="G3372" s="13" t="n"/>
    </row>
    <row r="3373">
      <c r="A3373" s="12" t="n"/>
      <c r="D3373">
        <f>IFERROR(VLOOKUP(C3373,Cadastro_Produtos!A:B,2,FALSE),"")</f>
        <v/>
      </c>
      <c r="F3373" s="12" t="n"/>
      <c r="G3373" s="13" t="n"/>
    </row>
    <row r="3374">
      <c r="A3374" s="12" t="n"/>
      <c r="D3374">
        <f>IFERROR(VLOOKUP(C3374,Cadastro_Produtos!A:B,2,FALSE),"")</f>
        <v/>
      </c>
      <c r="F3374" s="12" t="n"/>
      <c r="G3374" s="13" t="n"/>
    </row>
    <row r="3375">
      <c r="A3375" s="12" t="n"/>
      <c r="D3375">
        <f>IFERROR(VLOOKUP(C3375,Cadastro_Produtos!A:B,2,FALSE),"")</f>
        <v/>
      </c>
      <c r="F3375" s="12" t="n"/>
      <c r="G3375" s="13" t="n"/>
    </row>
    <row r="3376">
      <c r="A3376" s="12" t="n"/>
      <c r="D3376">
        <f>IFERROR(VLOOKUP(C3376,Cadastro_Produtos!A:B,2,FALSE),"")</f>
        <v/>
      </c>
      <c r="F3376" s="12" t="n"/>
      <c r="G3376" s="13" t="n"/>
    </row>
    <row r="3377">
      <c r="A3377" s="12" t="n"/>
      <c r="D3377">
        <f>IFERROR(VLOOKUP(C3377,Cadastro_Produtos!A:B,2,FALSE),"")</f>
        <v/>
      </c>
      <c r="F3377" s="12" t="n"/>
      <c r="G3377" s="13" t="n"/>
    </row>
    <row r="3378">
      <c r="A3378" s="12" t="n"/>
      <c r="D3378">
        <f>IFERROR(VLOOKUP(C3378,Cadastro_Produtos!A:B,2,FALSE),"")</f>
        <v/>
      </c>
      <c r="F3378" s="12" t="n"/>
      <c r="G3378" s="13" t="n"/>
    </row>
    <row r="3379">
      <c r="A3379" s="12" t="n"/>
      <c r="D3379">
        <f>IFERROR(VLOOKUP(C3379,Cadastro_Produtos!A:B,2,FALSE),"")</f>
        <v/>
      </c>
      <c r="F3379" s="12" t="n"/>
      <c r="G3379" s="13" t="n"/>
    </row>
    <row r="3380">
      <c r="A3380" s="12" t="n"/>
      <c r="D3380">
        <f>IFERROR(VLOOKUP(C3380,Cadastro_Produtos!A:B,2,FALSE),"")</f>
        <v/>
      </c>
      <c r="F3380" s="12" t="n"/>
      <c r="G3380" s="13" t="n"/>
    </row>
    <row r="3381">
      <c r="A3381" s="12" t="n"/>
      <c r="D3381">
        <f>IFERROR(VLOOKUP(C3381,Cadastro_Produtos!A:B,2,FALSE),"")</f>
        <v/>
      </c>
      <c r="F3381" s="12" t="n"/>
      <c r="G3381" s="13" t="n"/>
    </row>
    <row r="3382">
      <c r="A3382" s="12" t="n"/>
      <c r="D3382">
        <f>IFERROR(VLOOKUP(C3382,Cadastro_Produtos!A:B,2,FALSE),"")</f>
        <v/>
      </c>
      <c r="F3382" s="12" t="n"/>
      <c r="G3382" s="13" t="n"/>
    </row>
    <row r="3383">
      <c r="A3383" s="12" t="n"/>
      <c r="D3383">
        <f>IFERROR(VLOOKUP(C3383,Cadastro_Produtos!A:B,2,FALSE),"")</f>
        <v/>
      </c>
      <c r="F3383" s="12" t="n"/>
      <c r="G3383" s="13" t="n"/>
    </row>
    <row r="3384">
      <c r="A3384" s="12" t="n"/>
      <c r="D3384">
        <f>IFERROR(VLOOKUP(C3384,Cadastro_Produtos!A:B,2,FALSE),"")</f>
        <v/>
      </c>
      <c r="F3384" s="12" t="n"/>
      <c r="G3384" s="13" t="n"/>
    </row>
    <row r="3385">
      <c r="A3385" s="12" t="n"/>
      <c r="D3385">
        <f>IFERROR(VLOOKUP(C3385,Cadastro_Produtos!A:B,2,FALSE),"")</f>
        <v/>
      </c>
      <c r="F3385" s="12" t="n"/>
      <c r="G3385" s="13" t="n"/>
    </row>
    <row r="3386">
      <c r="A3386" s="12" t="n"/>
      <c r="D3386">
        <f>IFERROR(VLOOKUP(C3386,Cadastro_Produtos!A:B,2,FALSE),"")</f>
        <v/>
      </c>
      <c r="F3386" s="12" t="n"/>
      <c r="G3386" s="13" t="n"/>
    </row>
    <row r="3387">
      <c r="A3387" s="12" t="n"/>
      <c r="D3387">
        <f>IFERROR(VLOOKUP(C3387,Cadastro_Produtos!A:B,2,FALSE),"")</f>
        <v/>
      </c>
      <c r="F3387" s="12" t="n"/>
      <c r="G3387" s="13" t="n"/>
    </row>
    <row r="3388">
      <c r="A3388" s="12" t="n"/>
      <c r="D3388">
        <f>IFERROR(VLOOKUP(C3388,Cadastro_Produtos!A:B,2,FALSE),"")</f>
        <v/>
      </c>
      <c r="F3388" s="12" t="n"/>
      <c r="G3388" s="13" t="n"/>
    </row>
    <row r="3389">
      <c r="A3389" s="12" t="n"/>
      <c r="D3389">
        <f>IFERROR(VLOOKUP(C3389,Cadastro_Produtos!A:B,2,FALSE),"")</f>
        <v/>
      </c>
      <c r="F3389" s="12" t="n"/>
      <c r="G3389" s="13" t="n"/>
    </row>
    <row r="3390">
      <c r="A3390" s="12" t="n"/>
      <c r="D3390">
        <f>IFERROR(VLOOKUP(C3390,Cadastro_Produtos!A:B,2,FALSE),"")</f>
        <v/>
      </c>
      <c r="F3390" s="12" t="n"/>
      <c r="G3390" s="13" t="n"/>
    </row>
    <row r="3391">
      <c r="A3391" s="12" t="n"/>
      <c r="D3391">
        <f>IFERROR(VLOOKUP(C3391,Cadastro_Produtos!A:B,2,FALSE),"")</f>
        <v/>
      </c>
      <c r="F3391" s="12" t="n"/>
      <c r="G3391" s="13" t="n"/>
    </row>
    <row r="3392">
      <c r="A3392" s="12" t="n"/>
      <c r="D3392">
        <f>IFERROR(VLOOKUP(C3392,Cadastro_Produtos!A:B,2,FALSE),"")</f>
        <v/>
      </c>
      <c r="F3392" s="12" t="n"/>
      <c r="G3392" s="13" t="n"/>
    </row>
    <row r="3393">
      <c r="A3393" s="12" t="n"/>
      <c r="D3393">
        <f>IFERROR(VLOOKUP(C3393,Cadastro_Produtos!A:B,2,FALSE),"")</f>
        <v/>
      </c>
      <c r="F3393" s="12" t="n"/>
      <c r="G3393" s="13" t="n"/>
    </row>
    <row r="3394">
      <c r="A3394" s="12" t="n"/>
      <c r="D3394">
        <f>IFERROR(VLOOKUP(C3394,Cadastro_Produtos!A:B,2,FALSE),"")</f>
        <v/>
      </c>
      <c r="F3394" s="12" t="n"/>
      <c r="G3394" s="13" t="n"/>
    </row>
    <row r="3395">
      <c r="A3395" s="12" t="n"/>
      <c r="D3395">
        <f>IFERROR(VLOOKUP(C3395,Cadastro_Produtos!A:B,2,FALSE),"")</f>
        <v/>
      </c>
      <c r="F3395" s="12" t="n"/>
      <c r="G3395" s="13" t="n"/>
    </row>
    <row r="3396">
      <c r="A3396" s="12" t="n"/>
      <c r="D3396">
        <f>IFERROR(VLOOKUP(C3396,Cadastro_Produtos!A:B,2,FALSE),"")</f>
        <v/>
      </c>
      <c r="F3396" s="12" t="n"/>
      <c r="G3396" s="13" t="n"/>
    </row>
    <row r="3397">
      <c r="A3397" s="12" t="n"/>
      <c r="D3397">
        <f>IFERROR(VLOOKUP(C3397,Cadastro_Produtos!A:B,2,FALSE),"")</f>
        <v/>
      </c>
      <c r="F3397" s="12" t="n"/>
      <c r="G3397" s="13" t="n"/>
    </row>
    <row r="3398">
      <c r="A3398" s="12" t="n"/>
      <c r="D3398">
        <f>IFERROR(VLOOKUP(C3398,Cadastro_Produtos!A:B,2,FALSE),"")</f>
        <v/>
      </c>
      <c r="F3398" s="12" t="n"/>
      <c r="G3398" s="13" t="n"/>
    </row>
    <row r="3399">
      <c r="A3399" s="12" t="n"/>
      <c r="D3399">
        <f>IFERROR(VLOOKUP(C3399,Cadastro_Produtos!A:B,2,FALSE),"")</f>
        <v/>
      </c>
      <c r="F3399" s="12" t="n"/>
      <c r="G3399" s="13" t="n"/>
    </row>
    <row r="3400">
      <c r="A3400" s="12" t="n"/>
      <c r="D3400">
        <f>IFERROR(VLOOKUP(C3400,Cadastro_Produtos!A:B,2,FALSE),"")</f>
        <v/>
      </c>
      <c r="F3400" s="12" t="n"/>
      <c r="G3400" s="13" t="n"/>
    </row>
    <row r="3401">
      <c r="A3401" s="12" t="n"/>
      <c r="D3401">
        <f>IFERROR(VLOOKUP(C3401,Cadastro_Produtos!A:B,2,FALSE),"")</f>
        <v/>
      </c>
      <c r="F3401" s="12" t="n"/>
      <c r="G3401" s="13" t="n"/>
    </row>
    <row r="3402">
      <c r="A3402" s="12" t="n"/>
      <c r="D3402">
        <f>IFERROR(VLOOKUP(C3402,Cadastro_Produtos!A:B,2,FALSE),"")</f>
        <v/>
      </c>
      <c r="F3402" s="12" t="n"/>
      <c r="G3402" s="13" t="n"/>
    </row>
    <row r="3403">
      <c r="A3403" s="12" t="n"/>
      <c r="D3403">
        <f>IFERROR(VLOOKUP(C3403,Cadastro_Produtos!A:B,2,FALSE),"")</f>
        <v/>
      </c>
      <c r="F3403" s="12" t="n"/>
      <c r="G3403" s="13" t="n"/>
    </row>
    <row r="3404">
      <c r="A3404" s="12" t="n"/>
      <c r="D3404">
        <f>IFERROR(VLOOKUP(C3404,Cadastro_Produtos!A:B,2,FALSE),"")</f>
        <v/>
      </c>
      <c r="F3404" s="12" t="n"/>
      <c r="G3404" s="13" t="n"/>
    </row>
    <row r="3405">
      <c r="A3405" s="12" t="n"/>
      <c r="D3405">
        <f>IFERROR(VLOOKUP(C3405,Cadastro_Produtos!A:B,2,FALSE),"")</f>
        <v/>
      </c>
      <c r="F3405" s="12" t="n"/>
      <c r="G3405" s="13" t="n"/>
    </row>
    <row r="3406">
      <c r="A3406" s="12" t="n"/>
      <c r="D3406">
        <f>IFERROR(VLOOKUP(C3406,Cadastro_Produtos!A:B,2,FALSE),"")</f>
        <v/>
      </c>
      <c r="F3406" s="12" t="n"/>
      <c r="G3406" s="13" t="n"/>
    </row>
    <row r="3407">
      <c r="A3407" s="12" t="n"/>
      <c r="D3407">
        <f>IFERROR(VLOOKUP(C3407,Cadastro_Produtos!A:B,2,FALSE),"")</f>
        <v/>
      </c>
      <c r="F3407" s="12" t="n"/>
      <c r="G3407" s="13" t="n"/>
    </row>
    <row r="3408">
      <c r="A3408" s="12" t="n"/>
      <c r="D3408">
        <f>IFERROR(VLOOKUP(C3408,Cadastro_Produtos!A:B,2,FALSE),"")</f>
        <v/>
      </c>
      <c r="F3408" s="12" t="n"/>
      <c r="G3408" s="13" t="n"/>
    </row>
    <row r="3409">
      <c r="A3409" s="12" t="n"/>
      <c r="D3409">
        <f>IFERROR(VLOOKUP(C3409,Cadastro_Produtos!A:B,2,FALSE),"")</f>
        <v/>
      </c>
      <c r="F3409" s="12" t="n"/>
      <c r="G3409" s="13" t="n"/>
    </row>
    <row r="3410">
      <c r="A3410" s="12" t="n"/>
      <c r="D3410">
        <f>IFERROR(VLOOKUP(C3410,Cadastro_Produtos!A:B,2,FALSE),"")</f>
        <v/>
      </c>
      <c r="F3410" s="12" t="n"/>
      <c r="G3410" s="13" t="n"/>
    </row>
    <row r="3411">
      <c r="A3411" s="12" t="n"/>
      <c r="D3411">
        <f>IFERROR(VLOOKUP(C3411,Cadastro_Produtos!A:B,2,FALSE),"")</f>
        <v/>
      </c>
      <c r="F3411" s="12" t="n"/>
      <c r="G3411" s="13" t="n"/>
    </row>
    <row r="3412">
      <c r="A3412" s="12" t="n"/>
      <c r="D3412">
        <f>IFERROR(VLOOKUP(C3412,Cadastro_Produtos!A:B,2,FALSE),"")</f>
        <v/>
      </c>
      <c r="F3412" s="12" t="n"/>
      <c r="G3412" s="13" t="n"/>
    </row>
    <row r="3413">
      <c r="A3413" s="12" t="n"/>
      <c r="D3413">
        <f>IFERROR(VLOOKUP(C3413,Cadastro_Produtos!A:B,2,FALSE),"")</f>
        <v/>
      </c>
      <c r="F3413" s="12" t="n"/>
      <c r="G3413" s="13" t="n"/>
    </row>
    <row r="3414">
      <c r="A3414" s="12" t="n"/>
      <c r="D3414">
        <f>IFERROR(VLOOKUP(C3414,Cadastro_Produtos!A:B,2,FALSE),"")</f>
        <v/>
      </c>
      <c r="F3414" s="12" t="n"/>
      <c r="G3414" s="13" t="n"/>
    </row>
    <row r="3415">
      <c r="A3415" s="12" t="n"/>
      <c r="D3415">
        <f>IFERROR(VLOOKUP(C3415,Cadastro_Produtos!A:B,2,FALSE),"")</f>
        <v/>
      </c>
      <c r="F3415" s="12" t="n"/>
      <c r="G3415" s="13" t="n"/>
    </row>
    <row r="3416">
      <c r="A3416" s="12" t="n"/>
      <c r="D3416">
        <f>IFERROR(VLOOKUP(C3416,Cadastro_Produtos!A:B,2,FALSE),"")</f>
        <v/>
      </c>
      <c r="F3416" s="12" t="n"/>
      <c r="G3416" s="13" t="n"/>
    </row>
    <row r="3417">
      <c r="A3417" s="12" t="n"/>
      <c r="D3417">
        <f>IFERROR(VLOOKUP(C3417,Cadastro_Produtos!A:B,2,FALSE),"")</f>
        <v/>
      </c>
      <c r="F3417" s="12" t="n"/>
      <c r="G3417" s="13" t="n"/>
    </row>
    <row r="3418">
      <c r="A3418" s="12" t="n"/>
      <c r="D3418">
        <f>IFERROR(VLOOKUP(C3418,Cadastro_Produtos!A:B,2,FALSE),"")</f>
        <v/>
      </c>
      <c r="F3418" s="12" t="n"/>
      <c r="G3418" s="13" t="n"/>
    </row>
    <row r="3419">
      <c r="A3419" s="12" t="n"/>
      <c r="D3419">
        <f>IFERROR(VLOOKUP(C3419,Cadastro_Produtos!A:B,2,FALSE),"")</f>
        <v/>
      </c>
      <c r="F3419" s="12" t="n"/>
      <c r="G3419" s="13" t="n"/>
    </row>
    <row r="3420">
      <c r="A3420" s="12" t="n"/>
      <c r="D3420">
        <f>IFERROR(VLOOKUP(C3420,Cadastro_Produtos!A:B,2,FALSE),"")</f>
        <v/>
      </c>
      <c r="F3420" s="12" t="n"/>
      <c r="G3420" s="13" t="n"/>
    </row>
    <row r="3421">
      <c r="A3421" s="12" t="n"/>
      <c r="D3421">
        <f>IFERROR(VLOOKUP(C3421,Cadastro_Produtos!A:B,2,FALSE),"")</f>
        <v/>
      </c>
      <c r="F3421" s="12" t="n"/>
      <c r="G3421" s="13" t="n"/>
    </row>
    <row r="3422">
      <c r="A3422" s="12" t="n"/>
      <c r="D3422">
        <f>IFERROR(VLOOKUP(C3422,Cadastro_Produtos!A:B,2,FALSE),"")</f>
        <v/>
      </c>
      <c r="F3422" s="12" t="n"/>
      <c r="G3422" s="13" t="n"/>
    </row>
    <row r="3423">
      <c r="A3423" s="12" t="n"/>
      <c r="D3423">
        <f>IFERROR(VLOOKUP(C3423,Cadastro_Produtos!A:B,2,FALSE),"")</f>
        <v/>
      </c>
      <c r="F3423" s="12" t="n"/>
      <c r="G3423" s="13" t="n"/>
    </row>
    <row r="3424">
      <c r="A3424" s="12" t="n"/>
      <c r="D3424">
        <f>IFERROR(VLOOKUP(C3424,Cadastro_Produtos!A:B,2,FALSE),"")</f>
        <v/>
      </c>
      <c r="F3424" s="12" t="n"/>
      <c r="G3424" s="13" t="n"/>
    </row>
    <row r="3425">
      <c r="A3425" s="12" t="n"/>
      <c r="D3425">
        <f>IFERROR(VLOOKUP(C3425,Cadastro_Produtos!A:B,2,FALSE),"")</f>
        <v/>
      </c>
      <c r="F3425" s="12" t="n"/>
      <c r="G3425" s="13" t="n"/>
    </row>
    <row r="3426">
      <c r="A3426" s="12" t="n"/>
      <c r="D3426">
        <f>IFERROR(VLOOKUP(C3426,Cadastro_Produtos!A:B,2,FALSE),"")</f>
        <v/>
      </c>
      <c r="F3426" s="12" t="n"/>
      <c r="G3426" s="13" t="n"/>
    </row>
    <row r="3427">
      <c r="A3427" s="12" t="n"/>
      <c r="D3427">
        <f>IFERROR(VLOOKUP(C3427,Cadastro_Produtos!A:B,2,FALSE),"")</f>
        <v/>
      </c>
      <c r="F3427" s="12" t="n"/>
      <c r="G3427" s="13" t="n"/>
    </row>
    <row r="3428">
      <c r="A3428" s="12" t="n"/>
      <c r="D3428">
        <f>IFERROR(VLOOKUP(C3428,Cadastro_Produtos!A:B,2,FALSE),"")</f>
        <v/>
      </c>
      <c r="F3428" s="12" t="n"/>
      <c r="G3428" s="13" t="n"/>
    </row>
    <row r="3429">
      <c r="A3429" s="12" t="n"/>
      <c r="D3429">
        <f>IFERROR(VLOOKUP(C3429,Cadastro_Produtos!A:B,2,FALSE),"")</f>
        <v/>
      </c>
      <c r="F3429" s="12" t="n"/>
      <c r="G3429" s="13" t="n"/>
    </row>
    <row r="3430">
      <c r="A3430" s="12" t="n"/>
      <c r="D3430">
        <f>IFERROR(VLOOKUP(C3430,Cadastro_Produtos!A:B,2,FALSE),"")</f>
        <v/>
      </c>
      <c r="F3430" s="12" t="n"/>
      <c r="G3430" s="13" t="n"/>
    </row>
    <row r="3431">
      <c r="A3431" s="12" t="n"/>
      <c r="D3431">
        <f>IFERROR(VLOOKUP(C3431,Cadastro_Produtos!A:B,2,FALSE),"")</f>
        <v/>
      </c>
      <c r="F3431" s="12" t="n"/>
      <c r="G3431" s="13" t="n"/>
    </row>
    <row r="3432">
      <c r="A3432" s="12" t="n"/>
      <c r="D3432">
        <f>IFERROR(VLOOKUP(C3432,Cadastro_Produtos!A:B,2,FALSE),"")</f>
        <v/>
      </c>
      <c r="F3432" s="12" t="n"/>
      <c r="G3432" s="13" t="n"/>
    </row>
    <row r="3433">
      <c r="A3433" s="12" t="n"/>
      <c r="D3433">
        <f>IFERROR(VLOOKUP(C3433,Cadastro_Produtos!A:B,2,FALSE),"")</f>
        <v/>
      </c>
      <c r="F3433" s="12" t="n"/>
      <c r="G3433" s="13" t="n"/>
    </row>
    <row r="3434">
      <c r="A3434" s="12" t="n"/>
      <c r="D3434">
        <f>IFERROR(VLOOKUP(C3434,Cadastro_Produtos!A:B,2,FALSE),"")</f>
        <v/>
      </c>
      <c r="F3434" s="12" t="n"/>
      <c r="G3434" s="13" t="n"/>
    </row>
    <row r="3435">
      <c r="A3435" s="12" t="n"/>
      <c r="D3435">
        <f>IFERROR(VLOOKUP(C3435,Cadastro_Produtos!A:B,2,FALSE),"")</f>
        <v/>
      </c>
      <c r="F3435" s="12" t="n"/>
      <c r="G3435" s="13" t="n"/>
    </row>
    <row r="3436">
      <c r="A3436" s="12" t="n"/>
      <c r="D3436">
        <f>IFERROR(VLOOKUP(C3436,Cadastro_Produtos!A:B,2,FALSE),"")</f>
        <v/>
      </c>
      <c r="F3436" s="12" t="n"/>
      <c r="G3436" s="13" t="n"/>
    </row>
    <row r="3437">
      <c r="A3437" s="12" t="n"/>
      <c r="D3437">
        <f>IFERROR(VLOOKUP(C3437,Cadastro_Produtos!A:B,2,FALSE),"")</f>
        <v/>
      </c>
      <c r="F3437" s="12" t="n"/>
      <c r="G3437" s="13" t="n"/>
    </row>
    <row r="3438">
      <c r="A3438" s="12" t="n"/>
      <c r="D3438">
        <f>IFERROR(VLOOKUP(C3438,Cadastro_Produtos!A:B,2,FALSE),"")</f>
        <v/>
      </c>
      <c r="F3438" s="12" t="n"/>
      <c r="G3438" s="13" t="n"/>
    </row>
    <row r="3439">
      <c r="A3439" s="12" t="n"/>
      <c r="D3439">
        <f>IFERROR(VLOOKUP(C3439,Cadastro_Produtos!A:B,2,FALSE),"")</f>
        <v/>
      </c>
      <c r="F3439" s="12" t="n"/>
      <c r="G3439" s="13" t="n"/>
    </row>
    <row r="3440">
      <c r="A3440" s="12" t="n"/>
      <c r="D3440">
        <f>IFERROR(VLOOKUP(C3440,Cadastro_Produtos!A:B,2,FALSE),"")</f>
        <v/>
      </c>
      <c r="F3440" s="12" t="n"/>
      <c r="G3440" s="13" t="n"/>
    </row>
    <row r="3441">
      <c r="A3441" s="12" t="n"/>
      <c r="D3441">
        <f>IFERROR(VLOOKUP(C3441,Cadastro_Produtos!A:B,2,FALSE),"")</f>
        <v/>
      </c>
      <c r="F3441" s="12" t="n"/>
      <c r="G3441" s="13" t="n"/>
    </row>
    <row r="3442">
      <c r="A3442" s="12" t="n"/>
      <c r="D3442">
        <f>IFERROR(VLOOKUP(C3442,Cadastro_Produtos!A:B,2,FALSE),"")</f>
        <v/>
      </c>
      <c r="F3442" s="12" t="n"/>
      <c r="G3442" s="13" t="n"/>
    </row>
    <row r="3443">
      <c r="A3443" s="12" t="n"/>
      <c r="D3443">
        <f>IFERROR(VLOOKUP(C3443,Cadastro_Produtos!A:B,2,FALSE),"")</f>
        <v/>
      </c>
      <c r="F3443" s="12" t="n"/>
      <c r="G3443" s="13" t="n"/>
    </row>
    <row r="3444">
      <c r="A3444" s="12" t="n"/>
      <c r="D3444">
        <f>IFERROR(VLOOKUP(C3444,Cadastro_Produtos!A:B,2,FALSE),"")</f>
        <v/>
      </c>
      <c r="F3444" s="12" t="n"/>
      <c r="G3444" s="13" t="n"/>
    </row>
    <row r="3445">
      <c r="A3445" s="12" t="n"/>
      <c r="D3445">
        <f>IFERROR(VLOOKUP(C3445,Cadastro_Produtos!A:B,2,FALSE),"")</f>
        <v/>
      </c>
      <c r="F3445" s="12" t="n"/>
      <c r="G3445" s="13" t="n"/>
    </row>
    <row r="3446">
      <c r="A3446" s="12" t="n"/>
      <c r="D3446">
        <f>IFERROR(VLOOKUP(C3446,Cadastro_Produtos!A:B,2,FALSE),"")</f>
        <v/>
      </c>
      <c r="F3446" s="12" t="n"/>
      <c r="G3446" s="13" t="n"/>
    </row>
    <row r="3447">
      <c r="A3447" s="12" t="n"/>
      <c r="D3447">
        <f>IFERROR(VLOOKUP(C3447,Cadastro_Produtos!A:B,2,FALSE),"")</f>
        <v/>
      </c>
      <c r="F3447" s="12" t="n"/>
      <c r="G3447" s="13" t="n"/>
    </row>
    <row r="3448">
      <c r="A3448" s="12" t="n"/>
      <c r="D3448">
        <f>IFERROR(VLOOKUP(C3448,Cadastro_Produtos!A:B,2,FALSE),"")</f>
        <v/>
      </c>
      <c r="F3448" s="12" t="n"/>
      <c r="G3448" s="13" t="n"/>
    </row>
    <row r="3449">
      <c r="A3449" s="12" t="n"/>
      <c r="D3449">
        <f>IFERROR(VLOOKUP(C3449,Cadastro_Produtos!A:B,2,FALSE),"")</f>
        <v/>
      </c>
      <c r="F3449" s="12" t="n"/>
      <c r="G3449" s="13" t="n"/>
    </row>
    <row r="3450">
      <c r="A3450" s="12" t="n"/>
      <c r="D3450">
        <f>IFERROR(VLOOKUP(C3450,Cadastro_Produtos!A:B,2,FALSE),"")</f>
        <v/>
      </c>
      <c r="F3450" s="12" t="n"/>
      <c r="G3450" s="13" t="n"/>
    </row>
    <row r="3451">
      <c r="A3451" s="12" t="n"/>
      <c r="D3451">
        <f>IFERROR(VLOOKUP(C3451,Cadastro_Produtos!A:B,2,FALSE),"")</f>
        <v/>
      </c>
      <c r="F3451" s="12" t="n"/>
      <c r="G3451" s="13" t="n"/>
    </row>
    <row r="3452">
      <c r="A3452" s="12" t="n"/>
      <c r="D3452">
        <f>IFERROR(VLOOKUP(C3452,Cadastro_Produtos!A:B,2,FALSE),"")</f>
        <v/>
      </c>
      <c r="F3452" s="12" t="n"/>
      <c r="G3452" s="13" t="n"/>
    </row>
    <row r="3453">
      <c r="A3453" s="12" t="n"/>
      <c r="D3453">
        <f>IFERROR(VLOOKUP(C3453,Cadastro_Produtos!A:B,2,FALSE),"")</f>
        <v/>
      </c>
      <c r="F3453" s="12" t="n"/>
      <c r="G3453" s="13" t="n"/>
    </row>
    <row r="3454">
      <c r="A3454" s="12" t="n"/>
      <c r="D3454">
        <f>IFERROR(VLOOKUP(C3454,Cadastro_Produtos!A:B,2,FALSE),"")</f>
        <v/>
      </c>
      <c r="F3454" s="12" t="n"/>
      <c r="G3454" s="13" t="n"/>
    </row>
    <row r="3455">
      <c r="A3455" s="12" t="n"/>
      <c r="D3455">
        <f>IFERROR(VLOOKUP(C3455,Cadastro_Produtos!A:B,2,FALSE),"")</f>
        <v/>
      </c>
      <c r="F3455" s="12" t="n"/>
      <c r="G3455" s="13" t="n"/>
    </row>
    <row r="3456">
      <c r="A3456" s="12" t="n"/>
      <c r="D3456">
        <f>IFERROR(VLOOKUP(C3456,Cadastro_Produtos!A:B,2,FALSE),"")</f>
        <v/>
      </c>
      <c r="F3456" s="12" t="n"/>
      <c r="G3456" s="13" t="n"/>
    </row>
    <row r="3457">
      <c r="A3457" s="12" t="n"/>
      <c r="D3457">
        <f>IFERROR(VLOOKUP(C3457,Cadastro_Produtos!A:B,2,FALSE),"")</f>
        <v/>
      </c>
      <c r="F3457" s="12" t="n"/>
      <c r="G3457" s="13" t="n"/>
    </row>
    <row r="3458">
      <c r="A3458" s="12" t="n"/>
      <c r="D3458">
        <f>IFERROR(VLOOKUP(C3458,Cadastro_Produtos!A:B,2,FALSE),"")</f>
        <v/>
      </c>
      <c r="F3458" s="12" t="n"/>
      <c r="G3458" s="13" t="n"/>
    </row>
    <row r="3459">
      <c r="A3459" s="12" t="n"/>
      <c r="D3459">
        <f>IFERROR(VLOOKUP(C3459,Cadastro_Produtos!A:B,2,FALSE),"")</f>
        <v/>
      </c>
      <c r="F3459" s="12" t="n"/>
      <c r="G3459" s="13" t="n"/>
    </row>
    <row r="3460">
      <c r="A3460" s="12" t="n"/>
      <c r="D3460">
        <f>IFERROR(VLOOKUP(C3460,Cadastro_Produtos!A:B,2,FALSE),"")</f>
        <v/>
      </c>
      <c r="F3460" s="12" t="n"/>
      <c r="G3460" s="13" t="n"/>
    </row>
    <row r="3461">
      <c r="A3461" s="12" t="n"/>
      <c r="D3461">
        <f>IFERROR(VLOOKUP(C3461,Cadastro_Produtos!A:B,2,FALSE),"")</f>
        <v/>
      </c>
      <c r="F3461" s="12" t="n"/>
      <c r="G3461" s="13" t="n"/>
    </row>
    <row r="3462">
      <c r="A3462" s="12" t="n"/>
      <c r="D3462">
        <f>IFERROR(VLOOKUP(C3462,Cadastro_Produtos!A:B,2,FALSE),"")</f>
        <v/>
      </c>
      <c r="F3462" s="12" t="n"/>
      <c r="G3462" s="13" t="n"/>
    </row>
    <row r="3463">
      <c r="A3463" s="12" t="n"/>
      <c r="D3463">
        <f>IFERROR(VLOOKUP(C3463,Cadastro_Produtos!A:B,2,FALSE),"")</f>
        <v/>
      </c>
      <c r="F3463" s="12" t="n"/>
      <c r="G3463" s="13" t="n"/>
    </row>
    <row r="3464">
      <c r="A3464" s="12" t="n"/>
      <c r="D3464">
        <f>IFERROR(VLOOKUP(C3464,Cadastro_Produtos!A:B,2,FALSE),"")</f>
        <v/>
      </c>
      <c r="F3464" s="12" t="n"/>
      <c r="G3464" s="13" t="n"/>
    </row>
    <row r="3465">
      <c r="A3465" s="12" t="n"/>
      <c r="D3465">
        <f>IFERROR(VLOOKUP(C3465,Cadastro_Produtos!A:B,2,FALSE),"")</f>
        <v/>
      </c>
      <c r="F3465" s="12" t="n"/>
      <c r="G3465" s="13" t="n"/>
    </row>
    <row r="3466">
      <c r="A3466" s="12" t="n"/>
      <c r="D3466">
        <f>IFERROR(VLOOKUP(C3466,Cadastro_Produtos!A:B,2,FALSE),"")</f>
        <v/>
      </c>
      <c r="F3466" s="12" t="n"/>
      <c r="G3466" s="13" t="n"/>
    </row>
    <row r="3467">
      <c r="A3467" s="12" t="n"/>
      <c r="D3467">
        <f>IFERROR(VLOOKUP(C3467,Cadastro_Produtos!A:B,2,FALSE),"")</f>
        <v/>
      </c>
      <c r="F3467" s="12" t="n"/>
      <c r="G3467" s="13" t="n"/>
    </row>
    <row r="3468">
      <c r="A3468" s="12" t="n"/>
      <c r="D3468">
        <f>IFERROR(VLOOKUP(C3468,Cadastro_Produtos!A:B,2,FALSE),"")</f>
        <v/>
      </c>
      <c r="F3468" s="12" t="n"/>
      <c r="G3468" s="13" t="n"/>
    </row>
    <row r="3469">
      <c r="A3469" s="12" t="n"/>
      <c r="D3469">
        <f>IFERROR(VLOOKUP(C3469,Cadastro_Produtos!A:B,2,FALSE),"")</f>
        <v/>
      </c>
      <c r="F3469" s="12" t="n"/>
      <c r="G3469" s="13" t="n"/>
    </row>
    <row r="3470">
      <c r="A3470" s="12" t="n"/>
      <c r="D3470">
        <f>IFERROR(VLOOKUP(C3470,Cadastro_Produtos!A:B,2,FALSE),"")</f>
        <v/>
      </c>
      <c r="F3470" s="12" t="n"/>
      <c r="G3470" s="13" t="n"/>
    </row>
    <row r="3471">
      <c r="A3471" s="12" t="n"/>
      <c r="D3471">
        <f>IFERROR(VLOOKUP(C3471,Cadastro_Produtos!A:B,2,FALSE),"")</f>
        <v/>
      </c>
      <c r="F3471" s="12" t="n"/>
      <c r="G3471" s="13" t="n"/>
    </row>
    <row r="3472">
      <c r="A3472" s="12" t="n"/>
      <c r="D3472">
        <f>IFERROR(VLOOKUP(C3472,Cadastro_Produtos!A:B,2,FALSE),"")</f>
        <v/>
      </c>
      <c r="F3472" s="12" t="n"/>
      <c r="G3472" s="13" t="n"/>
    </row>
    <row r="3473">
      <c r="A3473" s="12" t="n"/>
      <c r="D3473">
        <f>IFERROR(VLOOKUP(C3473,Cadastro_Produtos!A:B,2,FALSE),"")</f>
        <v/>
      </c>
      <c r="F3473" s="12" t="n"/>
      <c r="G3473" s="13" t="n"/>
    </row>
    <row r="3474">
      <c r="A3474" s="12" t="n"/>
      <c r="D3474">
        <f>IFERROR(VLOOKUP(C3474,Cadastro_Produtos!A:B,2,FALSE),"")</f>
        <v/>
      </c>
      <c r="F3474" s="12" t="n"/>
      <c r="G3474" s="13" t="n"/>
    </row>
    <row r="3475">
      <c r="A3475" s="12" t="n"/>
      <c r="D3475">
        <f>IFERROR(VLOOKUP(C3475,Cadastro_Produtos!A:B,2,FALSE),"")</f>
        <v/>
      </c>
      <c r="F3475" s="12" t="n"/>
      <c r="G3475" s="13" t="n"/>
    </row>
    <row r="3476">
      <c r="A3476" s="12" t="n"/>
      <c r="D3476">
        <f>IFERROR(VLOOKUP(C3476,Cadastro_Produtos!A:B,2,FALSE),"")</f>
        <v/>
      </c>
      <c r="F3476" s="12" t="n"/>
      <c r="G3476" s="13" t="n"/>
    </row>
    <row r="3477">
      <c r="A3477" s="12" t="n"/>
      <c r="D3477">
        <f>IFERROR(VLOOKUP(C3477,Cadastro_Produtos!A:B,2,FALSE),"")</f>
        <v/>
      </c>
      <c r="F3477" s="12" t="n"/>
      <c r="G3477" s="13" t="n"/>
    </row>
    <row r="3478">
      <c r="A3478" s="12" t="n"/>
      <c r="D3478">
        <f>IFERROR(VLOOKUP(C3478,Cadastro_Produtos!A:B,2,FALSE),"")</f>
        <v/>
      </c>
      <c r="F3478" s="12" t="n"/>
      <c r="G3478" s="13" t="n"/>
    </row>
    <row r="3479">
      <c r="A3479" s="12" t="n"/>
      <c r="D3479">
        <f>IFERROR(VLOOKUP(C3479,Cadastro_Produtos!A:B,2,FALSE),"")</f>
        <v/>
      </c>
      <c r="F3479" s="12" t="n"/>
      <c r="G3479" s="13" t="n"/>
    </row>
    <row r="3480">
      <c r="A3480" s="12" t="n"/>
      <c r="D3480">
        <f>IFERROR(VLOOKUP(C3480,Cadastro_Produtos!A:B,2,FALSE),"")</f>
        <v/>
      </c>
      <c r="F3480" s="12" t="n"/>
      <c r="G3480" s="13" t="n"/>
    </row>
    <row r="3481">
      <c r="A3481" s="12" t="n"/>
      <c r="D3481">
        <f>IFERROR(VLOOKUP(C3481,Cadastro_Produtos!A:B,2,FALSE),"")</f>
        <v/>
      </c>
      <c r="F3481" s="12" t="n"/>
      <c r="G3481" s="13" t="n"/>
    </row>
    <row r="3482">
      <c r="A3482" s="12" t="n"/>
      <c r="D3482">
        <f>IFERROR(VLOOKUP(C3482,Cadastro_Produtos!A:B,2,FALSE),"")</f>
        <v/>
      </c>
      <c r="F3482" s="12" t="n"/>
      <c r="G3482" s="13" t="n"/>
    </row>
    <row r="3483">
      <c r="A3483" s="12" t="n"/>
      <c r="D3483">
        <f>IFERROR(VLOOKUP(C3483,Cadastro_Produtos!A:B,2,FALSE),"")</f>
        <v/>
      </c>
      <c r="F3483" s="12" t="n"/>
      <c r="G3483" s="13" t="n"/>
    </row>
    <row r="3484">
      <c r="A3484" s="12" t="n"/>
      <c r="D3484">
        <f>IFERROR(VLOOKUP(C3484,Cadastro_Produtos!A:B,2,FALSE),"")</f>
        <v/>
      </c>
      <c r="F3484" s="12" t="n"/>
      <c r="G3484" s="13" t="n"/>
    </row>
    <row r="3485">
      <c r="A3485" s="12" t="n"/>
      <c r="D3485">
        <f>IFERROR(VLOOKUP(C3485,Cadastro_Produtos!A:B,2,FALSE),"")</f>
        <v/>
      </c>
      <c r="F3485" s="12" t="n"/>
      <c r="G3485" s="13" t="n"/>
    </row>
    <row r="3486">
      <c r="A3486" s="12" t="n"/>
      <c r="D3486">
        <f>IFERROR(VLOOKUP(C3486,Cadastro_Produtos!A:B,2,FALSE),"")</f>
        <v/>
      </c>
      <c r="F3486" s="12" t="n"/>
      <c r="G3486" s="13" t="n"/>
    </row>
    <row r="3487">
      <c r="A3487" s="12" t="n"/>
      <c r="D3487">
        <f>IFERROR(VLOOKUP(C3487,Cadastro_Produtos!A:B,2,FALSE),"")</f>
        <v/>
      </c>
      <c r="F3487" s="12" t="n"/>
      <c r="G3487" s="13" t="n"/>
    </row>
    <row r="3488">
      <c r="A3488" s="12" t="n"/>
      <c r="D3488">
        <f>IFERROR(VLOOKUP(C3488,Cadastro_Produtos!A:B,2,FALSE),"")</f>
        <v/>
      </c>
      <c r="F3488" s="12" t="n"/>
      <c r="G3488" s="13" t="n"/>
    </row>
    <row r="3489">
      <c r="A3489" s="12" t="n"/>
      <c r="D3489">
        <f>IFERROR(VLOOKUP(C3489,Cadastro_Produtos!A:B,2,FALSE),"")</f>
        <v/>
      </c>
      <c r="F3489" s="12" t="n"/>
      <c r="G3489" s="13" t="n"/>
    </row>
    <row r="3490">
      <c r="A3490" s="12" t="n"/>
      <c r="D3490">
        <f>IFERROR(VLOOKUP(C3490,Cadastro_Produtos!A:B,2,FALSE),"")</f>
        <v/>
      </c>
      <c r="F3490" s="12" t="n"/>
      <c r="G3490" s="13" t="n"/>
    </row>
    <row r="3491">
      <c r="A3491" s="12" t="n"/>
      <c r="D3491">
        <f>IFERROR(VLOOKUP(C3491,Cadastro_Produtos!A:B,2,FALSE),"")</f>
        <v/>
      </c>
      <c r="F3491" s="12" t="n"/>
      <c r="G3491" s="13" t="n"/>
    </row>
    <row r="3492">
      <c r="A3492" s="12" t="n"/>
      <c r="D3492">
        <f>IFERROR(VLOOKUP(C3492,Cadastro_Produtos!A:B,2,FALSE),"")</f>
        <v/>
      </c>
      <c r="F3492" s="12" t="n"/>
      <c r="G3492" s="13" t="n"/>
    </row>
    <row r="3493">
      <c r="A3493" s="12" t="n"/>
      <c r="D3493">
        <f>IFERROR(VLOOKUP(C3493,Cadastro_Produtos!A:B,2,FALSE),"")</f>
        <v/>
      </c>
      <c r="F3493" s="12" t="n"/>
      <c r="G3493" s="13" t="n"/>
    </row>
    <row r="3494">
      <c r="A3494" s="12" t="n"/>
      <c r="D3494">
        <f>IFERROR(VLOOKUP(C3494,Cadastro_Produtos!A:B,2,FALSE),"")</f>
        <v/>
      </c>
      <c r="F3494" s="12" t="n"/>
      <c r="G3494" s="13" t="n"/>
    </row>
    <row r="3495">
      <c r="A3495" s="12" t="n"/>
      <c r="D3495">
        <f>IFERROR(VLOOKUP(C3495,Cadastro_Produtos!A:B,2,FALSE),"")</f>
        <v/>
      </c>
      <c r="F3495" s="12" t="n"/>
      <c r="G3495" s="13" t="n"/>
    </row>
    <row r="3496">
      <c r="A3496" s="12" t="n"/>
      <c r="D3496">
        <f>IFERROR(VLOOKUP(C3496,Cadastro_Produtos!A:B,2,FALSE),"")</f>
        <v/>
      </c>
      <c r="F3496" s="12" t="n"/>
      <c r="G3496" s="13" t="n"/>
    </row>
    <row r="3497">
      <c r="A3497" s="12" t="n"/>
      <c r="D3497">
        <f>IFERROR(VLOOKUP(C3497,Cadastro_Produtos!A:B,2,FALSE),"")</f>
        <v/>
      </c>
      <c r="F3497" s="12" t="n"/>
      <c r="G3497" s="13" t="n"/>
    </row>
    <row r="3498">
      <c r="A3498" s="12" t="n"/>
      <c r="D3498">
        <f>IFERROR(VLOOKUP(C3498,Cadastro_Produtos!A:B,2,FALSE),"")</f>
        <v/>
      </c>
      <c r="F3498" s="12" t="n"/>
      <c r="G3498" s="13" t="n"/>
    </row>
    <row r="3499">
      <c r="A3499" s="12" t="n"/>
      <c r="D3499">
        <f>IFERROR(VLOOKUP(C3499,Cadastro_Produtos!A:B,2,FALSE),"")</f>
        <v/>
      </c>
      <c r="F3499" s="12" t="n"/>
      <c r="G3499" s="13" t="n"/>
    </row>
    <row r="3500">
      <c r="A3500" s="12" t="n"/>
      <c r="D3500">
        <f>IFERROR(VLOOKUP(C3500,Cadastro_Produtos!A:B,2,FALSE),"")</f>
        <v/>
      </c>
      <c r="F3500" s="12" t="n"/>
      <c r="G3500" s="13" t="n"/>
    </row>
    <row r="3501">
      <c r="A3501" s="12" t="n"/>
      <c r="D3501">
        <f>IFERROR(VLOOKUP(C3501,Cadastro_Produtos!A:B,2,FALSE),"")</f>
        <v/>
      </c>
      <c r="F3501" s="12" t="n"/>
      <c r="G3501" s="13" t="n"/>
    </row>
    <row r="3502">
      <c r="A3502" s="12" t="n"/>
      <c r="D3502">
        <f>IFERROR(VLOOKUP(C3502,Cadastro_Produtos!A:B,2,FALSE),"")</f>
        <v/>
      </c>
      <c r="F3502" s="12" t="n"/>
      <c r="G3502" s="13" t="n"/>
    </row>
    <row r="3503">
      <c r="A3503" s="12" t="n"/>
      <c r="D3503">
        <f>IFERROR(VLOOKUP(C3503,Cadastro_Produtos!A:B,2,FALSE),"")</f>
        <v/>
      </c>
      <c r="F3503" s="12" t="n"/>
      <c r="G3503" s="13" t="n"/>
    </row>
    <row r="3504">
      <c r="A3504" s="12" t="n"/>
      <c r="D3504">
        <f>IFERROR(VLOOKUP(C3504,Cadastro_Produtos!A:B,2,FALSE),"")</f>
        <v/>
      </c>
      <c r="F3504" s="12" t="n"/>
      <c r="G3504" s="13" t="n"/>
    </row>
    <row r="3505">
      <c r="A3505" s="12" t="n"/>
      <c r="D3505">
        <f>IFERROR(VLOOKUP(C3505,Cadastro_Produtos!A:B,2,FALSE),"")</f>
        <v/>
      </c>
      <c r="F3505" s="12" t="n"/>
      <c r="G3505" s="13" t="n"/>
    </row>
    <row r="3506">
      <c r="A3506" s="12" t="n"/>
      <c r="D3506">
        <f>IFERROR(VLOOKUP(C3506,Cadastro_Produtos!A:B,2,FALSE),"")</f>
        <v/>
      </c>
      <c r="F3506" s="12" t="n"/>
      <c r="G3506" s="13" t="n"/>
    </row>
    <row r="3507">
      <c r="A3507" s="12" t="n"/>
      <c r="D3507">
        <f>IFERROR(VLOOKUP(C3507,Cadastro_Produtos!A:B,2,FALSE),"")</f>
        <v/>
      </c>
      <c r="F3507" s="12" t="n"/>
      <c r="G3507" s="13" t="n"/>
    </row>
    <row r="3508">
      <c r="A3508" s="12" t="n"/>
      <c r="D3508">
        <f>IFERROR(VLOOKUP(C3508,Cadastro_Produtos!A:B,2,FALSE),"")</f>
        <v/>
      </c>
      <c r="F3508" s="12" t="n"/>
      <c r="G3508" s="13" t="n"/>
    </row>
    <row r="3509">
      <c r="A3509" s="12" t="n"/>
      <c r="D3509">
        <f>IFERROR(VLOOKUP(C3509,Cadastro_Produtos!A:B,2,FALSE),"")</f>
        <v/>
      </c>
      <c r="F3509" s="12" t="n"/>
      <c r="G3509" s="13" t="n"/>
    </row>
    <row r="3510">
      <c r="A3510" s="12" t="n"/>
      <c r="D3510">
        <f>IFERROR(VLOOKUP(C3510,Cadastro_Produtos!A:B,2,FALSE),"")</f>
        <v/>
      </c>
      <c r="F3510" s="12" t="n"/>
      <c r="G3510" s="13" t="n"/>
    </row>
    <row r="3511">
      <c r="A3511" s="12" t="n"/>
      <c r="D3511">
        <f>IFERROR(VLOOKUP(C3511,Cadastro_Produtos!A:B,2,FALSE),"")</f>
        <v/>
      </c>
      <c r="F3511" s="12" t="n"/>
      <c r="G3511" s="13" t="n"/>
    </row>
    <row r="3512">
      <c r="A3512" s="12" t="n"/>
      <c r="D3512">
        <f>IFERROR(VLOOKUP(C3512,Cadastro_Produtos!A:B,2,FALSE),"")</f>
        <v/>
      </c>
      <c r="F3512" s="12" t="n"/>
      <c r="G3512" s="13" t="n"/>
    </row>
    <row r="3513">
      <c r="A3513" s="12" t="n"/>
      <c r="D3513">
        <f>IFERROR(VLOOKUP(C3513,Cadastro_Produtos!A:B,2,FALSE),"")</f>
        <v/>
      </c>
      <c r="F3513" s="12" t="n"/>
      <c r="G3513" s="13" t="n"/>
    </row>
    <row r="3514">
      <c r="A3514" s="12" t="n"/>
      <c r="D3514">
        <f>IFERROR(VLOOKUP(C3514,Cadastro_Produtos!A:B,2,FALSE),"")</f>
        <v/>
      </c>
      <c r="F3514" s="12" t="n"/>
      <c r="G3514" s="13" t="n"/>
    </row>
    <row r="3515">
      <c r="A3515" s="12" t="n"/>
      <c r="D3515">
        <f>IFERROR(VLOOKUP(C3515,Cadastro_Produtos!A:B,2,FALSE),"")</f>
        <v/>
      </c>
      <c r="F3515" s="12" t="n"/>
      <c r="G3515" s="13" t="n"/>
    </row>
    <row r="3516">
      <c r="A3516" s="12" t="n"/>
      <c r="D3516">
        <f>IFERROR(VLOOKUP(C3516,Cadastro_Produtos!A:B,2,FALSE),"")</f>
        <v/>
      </c>
      <c r="F3516" s="12" t="n"/>
      <c r="G3516" s="13" t="n"/>
    </row>
    <row r="3517">
      <c r="A3517" s="12" t="n"/>
      <c r="D3517">
        <f>IFERROR(VLOOKUP(C3517,Cadastro_Produtos!A:B,2,FALSE),"")</f>
        <v/>
      </c>
      <c r="F3517" s="12" t="n"/>
      <c r="G3517" s="13" t="n"/>
    </row>
    <row r="3518">
      <c r="A3518" s="12" t="n"/>
      <c r="D3518">
        <f>IFERROR(VLOOKUP(C3518,Cadastro_Produtos!A:B,2,FALSE),"")</f>
        <v/>
      </c>
      <c r="F3518" s="12" t="n"/>
      <c r="G3518" s="13" t="n"/>
    </row>
    <row r="3519">
      <c r="A3519" s="12" t="n"/>
      <c r="D3519">
        <f>IFERROR(VLOOKUP(C3519,Cadastro_Produtos!A:B,2,FALSE),"")</f>
        <v/>
      </c>
      <c r="F3519" s="12" t="n"/>
      <c r="G3519" s="13" t="n"/>
    </row>
    <row r="3520">
      <c r="A3520" s="12" t="n"/>
      <c r="D3520">
        <f>IFERROR(VLOOKUP(C3520,Cadastro_Produtos!A:B,2,FALSE),"")</f>
        <v/>
      </c>
      <c r="F3520" s="12" t="n"/>
      <c r="G3520" s="13" t="n"/>
    </row>
    <row r="3521">
      <c r="A3521" s="12" t="n"/>
      <c r="D3521">
        <f>IFERROR(VLOOKUP(C3521,Cadastro_Produtos!A:B,2,FALSE),"")</f>
        <v/>
      </c>
      <c r="F3521" s="12" t="n"/>
      <c r="G3521" s="13" t="n"/>
    </row>
    <row r="3522">
      <c r="A3522" s="12" t="n"/>
      <c r="D3522">
        <f>IFERROR(VLOOKUP(C3522,Cadastro_Produtos!A:B,2,FALSE),"")</f>
        <v/>
      </c>
      <c r="F3522" s="12" t="n"/>
      <c r="G3522" s="13" t="n"/>
    </row>
    <row r="3523">
      <c r="A3523" s="12" t="n"/>
      <c r="D3523">
        <f>IFERROR(VLOOKUP(C3523,Cadastro_Produtos!A:B,2,FALSE),"")</f>
        <v/>
      </c>
      <c r="F3523" s="12" t="n"/>
      <c r="G3523" s="13" t="n"/>
    </row>
    <row r="3524">
      <c r="A3524" s="12" t="n"/>
      <c r="D3524">
        <f>IFERROR(VLOOKUP(C3524,Cadastro_Produtos!A:B,2,FALSE),"")</f>
        <v/>
      </c>
      <c r="F3524" s="12" t="n"/>
      <c r="G3524" s="13" t="n"/>
    </row>
    <row r="3525">
      <c r="A3525" s="12" t="n"/>
      <c r="D3525">
        <f>IFERROR(VLOOKUP(C3525,Cadastro_Produtos!A:B,2,FALSE),"")</f>
        <v/>
      </c>
      <c r="F3525" s="12" t="n"/>
      <c r="G3525" s="13" t="n"/>
    </row>
    <row r="3526">
      <c r="A3526" s="12" t="n"/>
      <c r="D3526">
        <f>IFERROR(VLOOKUP(C3526,Cadastro_Produtos!A:B,2,FALSE),"")</f>
        <v/>
      </c>
      <c r="F3526" s="12" t="n"/>
      <c r="G3526" s="13" t="n"/>
    </row>
    <row r="3527">
      <c r="A3527" s="12" t="n"/>
      <c r="D3527">
        <f>IFERROR(VLOOKUP(C3527,Cadastro_Produtos!A:B,2,FALSE),"")</f>
        <v/>
      </c>
      <c r="F3527" s="12" t="n"/>
      <c r="G3527" s="13" t="n"/>
    </row>
    <row r="3528">
      <c r="A3528" s="12" t="n"/>
      <c r="D3528">
        <f>IFERROR(VLOOKUP(C3528,Cadastro_Produtos!A:B,2,FALSE),"")</f>
        <v/>
      </c>
      <c r="F3528" s="12" t="n"/>
      <c r="G3528" s="13" t="n"/>
    </row>
    <row r="3529">
      <c r="A3529" s="12" t="n"/>
      <c r="D3529">
        <f>IFERROR(VLOOKUP(C3529,Cadastro_Produtos!A:B,2,FALSE),"")</f>
        <v/>
      </c>
      <c r="F3529" s="12" t="n"/>
      <c r="G3529" s="13" t="n"/>
    </row>
    <row r="3530">
      <c r="A3530" s="12" t="n"/>
      <c r="D3530">
        <f>IFERROR(VLOOKUP(C3530,Cadastro_Produtos!A:B,2,FALSE),"")</f>
        <v/>
      </c>
      <c r="F3530" s="12" t="n"/>
      <c r="G3530" s="13" t="n"/>
    </row>
    <row r="3531">
      <c r="A3531" s="12" t="n"/>
      <c r="D3531">
        <f>IFERROR(VLOOKUP(C3531,Cadastro_Produtos!A:B,2,FALSE),"")</f>
        <v/>
      </c>
      <c r="F3531" s="12" t="n"/>
      <c r="G3531" s="13" t="n"/>
    </row>
    <row r="3532">
      <c r="A3532" s="12" t="n"/>
      <c r="D3532">
        <f>IFERROR(VLOOKUP(C3532,Cadastro_Produtos!A:B,2,FALSE),"")</f>
        <v/>
      </c>
      <c r="F3532" s="12" t="n"/>
      <c r="G3532" s="13" t="n"/>
    </row>
    <row r="3533">
      <c r="A3533" s="12" t="n"/>
      <c r="D3533">
        <f>IFERROR(VLOOKUP(C3533,Cadastro_Produtos!A:B,2,FALSE),"")</f>
        <v/>
      </c>
      <c r="F3533" s="12" t="n"/>
      <c r="G3533" s="13" t="n"/>
    </row>
    <row r="3534">
      <c r="A3534" s="12" t="n"/>
      <c r="D3534">
        <f>IFERROR(VLOOKUP(C3534,Cadastro_Produtos!A:B,2,FALSE),"")</f>
        <v/>
      </c>
      <c r="F3534" s="12" t="n"/>
      <c r="G3534" s="13" t="n"/>
    </row>
    <row r="3535">
      <c r="A3535" s="12" t="n"/>
      <c r="D3535">
        <f>IFERROR(VLOOKUP(C3535,Cadastro_Produtos!A:B,2,FALSE),"")</f>
        <v/>
      </c>
      <c r="F3535" s="12" t="n"/>
      <c r="G3535" s="13" t="n"/>
    </row>
    <row r="3536">
      <c r="A3536" s="12" t="n"/>
      <c r="D3536">
        <f>IFERROR(VLOOKUP(C3536,Cadastro_Produtos!A:B,2,FALSE),"")</f>
        <v/>
      </c>
      <c r="F3536" s="12" t="n"/>
      <c r="G3536" s="13" t="n"/>
    </row>
    <row r="3537">
      <c r="A3537" s="12" t="n"/>
      <c r="D3537">
        <f>IFERROR(VLOOKUP(C3537,Cadastro_Produtos!A:B,2,FALSE),"")</f>
        <v/>
      </c>
      <c r="F3537" s="12" t="n"/>
      <c r="G3537" s="13" t="n"/>
    </row>
    <row r="3538">
      <c r="A3538" s="12" t="n"/>
      <c r="D3538">
        <f>IFERROR(VLOOKUP(C3538,Cadastro_Produtos!A:B,2,FALSE),"")</f>
        <v/>
      </c>
      <c r="F3538" s="12" t="n"/>
      <c r="G3538" s="13" t="n"/>
    </row>
    <row r="3539">
      <c r="A3539" s="12" t="n"/>
      <c r="D3539">
        <f>IFERROR(VLOOKUP(C3539,Cadastro_Produtos!A:B,2,FALSE),"")</f>
        <v/>
      </c>
      <c r="F3539" s="12" t="n"/>
      <c r="G3539" s="13" t="n"/>
    </row>
    <row r="3540">
      <c r="A3540" s="12" t="n"/>
      <c r="D3540">
        <f>IFERROR(VLOOKUP(C3540,Cadastro_Produtos!A:B,2,FALSE),"")</f>
        <v/>
      </c>
      <c r="F3540" s="12" t="n"/>
      <c r="G3540" s="13" t="n"/>
    </row>
    <row r="3541">
      <c r="A3541" s="12" t="n"/>
      <c r="D3541">
        <f>IFERROR(VLOOKUP(C3541,Cadastro_Produtos!A:B,2,FALSE),"")</f>
        <v/>
      </c>
      <c r="F3541" s="12" t="n"/>
      <c r="G3541" s="13" t="n"/>
    </row>
    <row r="3542">
      <c r="A3542" s="12" t="n"/>
      <c r="D3542">
        <f>IFERROR(VLOOKUP(C3542,Cadastro_Produtos!A:B,2,FALSE),"")</f>
        <v/>
      </c>
      <c r="F3542" s="12" t="n"/>
      <c r="G3542" s="13" t="n"/>
    </row>
    <row r="3543">
      <c r="A3543" s="12" t="n"/>
      <c r="D3543">
        <f>IFERROR(VLOOKUP(C3543,Cadastro_Produtos!A:B,2,FALSE),"")</f>
        <v/>
      </c>
      <c r="F3543" s="12" t="n"/>
      <c r="G3543" s="13" t="n"/>
    </row>
    <row r="3544">
      <c r="A3544" s="12" t="n"/>
      <c r="D3544">
        <f>IFERROR(VLOOKUP(C3544,Cadastro_Produtos!A:B,2,FALSE),"")</f>
        <v/>
      </c>
      <c r="F3544" s="12" t="n"/>
      <c r="G3544" s="13" t="n"/>
    </row>
    <row r="3545">
      <c r="A3545" s="12" t="n"/>
      <c r="D3545">
        <f>IFERROR(VLOOKUP(C3545,Cadastro_Produtos!A:B,2,FALSE),"")</f>
        <v/>
      </c>
      <c r="F3545" s="12" t="n"/>
      <c r="G3545" s="13" t="n"/>
    </row>
    <row r="3546">
      <c r="A3546" s="12" t="n"/>
      <c r="D3546">
        <f>IFERROR(VLOOKUP(C3546,Cadastro_Produtos!A:B,2,FALSE),"")</f>
        <v/>
      </c>
      <c r="F3546" s="12" t="n"/>
      <c r="G3546" s="13" t="n"/>
    </row>
    <row r="3547">
      <c r="A3547" s="12" t="n"/>
      <c r="D3547">
        <f>IFERROR(VLOOKUP(C3547,Cadastro_Produtos!A:B,2,FALSE),"")</f>
        <v/>
      </c>
      <c r="F3547" s="12" t="n"/>
      <c r="G3547" s="13" t="n"/>
    </row>
    <row r="3548">
      <c r="A3548" s="12" t="n"/>
      <c r="D3548">
        <f>IFERROR(VLOOKUP(C3548,Cadastro_Produtos!A:B,2,FALSE),"")</f>
        <v/>
      </c>
      <c r="F3548" s="12" t="n"/>
      <c r="G3548" s="13" t="n"/>
    </row>
    <row r="3549">
      <c r="A3549" s="12" t="n"/>
      <c r="D3549">
        <f>IFERROR(VLOOKUP(C3549,Cadastro_Produtos!A:B,2,FALSE),"")</f>
        <v/>
      </c>
      <c r="F3549" s="12" t="n"/>
      <c r="G3549" s="13" t="n"/>
    </row>
    <row r="3550">
      <c r="A3550" s="12" t="n"/>
      <c r="D3550">
        <f>IFERROR(VLOOKUP(C3550,Cadastro_Produtos!A:B,2,FALSE),"")</f>
        <v/>
      </c>
      <c r="F3550" s="12" t="n"/>
      <c r="G3550" s="13" t="n"/>
    </row>
    <row r="3551">
      <c r="A3551" s="12" t="n"/>
      <c r="D3551">
        <f>IFERROR(VLOOKUP(C3551,Cadastro_Produtos!A:B,2,FALSE),"")</f>
        <v/>
      </c>
      <c r="F3551" s="12" t="n"/>
      <c r="G3551" s="13" t="n"/>
    </row>
    <row r="3552">
      <c r="A3552" s="12" t="n"/>
      <c r="D3552">
        <f>IFERROR(VLOOKUP(C3552,Cadastro_Produtos!A:B,2,FALSE),"")</f>
        <v/>
      </c>
      <c r="F3552" s="12" t="n"/>
      <c r="G3552" s="13" t="n"/>
    </row>
    <row r="3553">
      <c r="A3553" s="12" t="n"/>
      <c r="D3553">
        <f>IFERROR(VLOOKUP(C3553,Cadastro_Produtos!A:B,2,FALSE),"")</f>
        <v/>
      </c>
      <c r="F3553" s="12" t="n"/>
      <c r="G3553" s="13" t="n"/>
    </row>
    <row r="3554">
      <c r="A3554" s="12" t="n"/>
      <c r="D3554">
        <f>IFERROR(VLOOKUP(C3554,Cadastro_Produtos!A:B,2,FALSE),"")</f>
        <v/>
      </c>
      <c r="F3554" s="12" t="n"/>
      <c r="G3554" s="13" t="n"/>
    </row>
    <row r="3555">
      <c r="A3555" s="12" t="n"/>
      <c r="D3555">
        <f>IFERROR(VLOOKUP(C3555,Cadastro_Produtos!A:B,2,FALSE),"")</f>
        <v/>
      </c>
      <c r="F3555" s="12" t="n"/>
      <c r="G3555" s="13" t="n"/>
    </row>
    <row r="3556">
      <c r="A3556" s="12" t="n"/>
      <c r="D3556">
        <f>IFERROR(VLOOKUP(C3556,Cadastro_Produtos!A:B,2,FALSE),"")</f>
        <v/>
      </c>
      <c r="F3556" s="12" t="n"/>
      <c r="G3556" s="13" t="n"/>
    </row>
    <row r="3557">
      <c r="A3557" s="12" t="n"/>
      <c r="D3557">
        <f>IFERROR(VLOOKUP(C3557,Cadastro_Produtos!A:B,2,FALSE),"")</f>
        <v/>
      </c>
      <c r="F3557" s="12" t="n"/>
      <c r="G3557" s="13" t="n"/>
    </row>
    <row r="3558">
      <c r="A3558" s="12" t="n"/>
      <c r="D3558">
        <f>IFERROR(VLOOKUP(C3558,Cadastro_Produtos!A:B,2,FALSE),"")</f>
        <v/>
      </c>
      <c r="F3558" s="12" t="n"/>
      <c r="G3558" s="13" t="n"/>
    </row>
    <row r="3559">
      <c r="A3559" s="12" t="n"/>
      <c r="D3559">
        <f>IFERROR(VLOOKUP(C3559,Cadastro_Produtos!A:B,2,FALSE),"")</f>
        <v/>
      </c>
      <c r="F3559" s="12" t="n"/>
      <c r="G3559" s="13" t="n"/>
    </row>
    <row r="3560">
      <c r="A3560" s="12" t="n"/>
      <c r="D3560">
        <f>IFERROR(VLOOKUP(C3560,Cadastro_Produtos!A:B,2,FALSE),"")</f>
        <v/>
      </c>
      <c r="F3560" s="12" t="n"/>
      <c r="G3560" s="13" t="n"/>
    </row>
    <row r="3561">
      <c r="A3561" s="12" t="n"/>
      <c r="D3561">
        <f>IFERROR(VLOOKUP(C3561,Cadastro_Produtos!A:B,2,FALSE),"")</f>
        <v/>
      </c>
      <c r="F3561" s="12" t="n"/>
      <c r="G3561" s="13" t="n"/>
    </row>
    <row r="3562">
      <c r="A3562" s="12" t="n"/>
      <c r="D3562">
        <f>IFERROR(VLOOKUP(C3562,Cadastro_Produtos!A:B,2,FALSE),"")</f>
        <v/>
      </c>
      <c r="F3562" s="12" t="n"/>
      <c r="G3562" s="13" t="n"/>
    </row>
    <row r="3563">
      <c r="A3563" s="12" t="n"/>
      <c r="D3563">
        <f>IFERROR(VLOOKUP(C3563,Cadastro_Produtos!A:B,2,FALSE),"")</f>
        <v/>
      </c>
      <c r="F3563" s="12" t="n"/>
      <c r="G3563" s="13" t="n"/>
    </row>
    <row r="3564">
      <c r="A3564" s="12" t="n"/>
      <c r="D3564">
        <f>IFERROR(VLOOKUP(C3564,Cadastro_Produtos!A:B,2,FALSE),"")</f>
        <v/>
      </c>
      <c r="F3564" s="12" t="n"/>
      <c r="G3564" s="13" t="n"/>
    </row>
    <row r="3565">
      <c r="A3565" s="12" t="n"/>
      <c r="D3565">
        <f>IFERROR(VLOOKUP(C3565,Cadastro_Produtos!A:B,2,FALSE),"")</f>
        <v/>
      </c>
      <c r="F3565" s="12" t="n"/>
      <c r="G3565" s="13" t="n"/>
    </row>
    <row r="3566">
      <c r="A3566" s="12" t="n"/>
      <c r="D3566">
        <f>IFERROR(VLOOKUP(C3566,Cadastro_Produtos!A:B,2,FALSE),"")</f>
        <v/>
      </c>
      <c r="F3566" s="12" t="n"/>
      <c r="G3566" s="13" t="n"/>
    </row>
    <row r="3567">
      <c r="A3567" s="12" t="n"/>
      <c r="D3567">
        <f>IFERROR(VLOOKUP(C3567,Cadastro_Produtos!A:B,2,FALSE),"")</f>
        <v/>
      </c>
      <c r="F3567" s="12" t="n"/>
      <c r="G3567" s="13" t="n"/>
    </row>
    <row r="3568">
      <c r="A3568" s="12" t="n"/>
      <c r="D3568">
        <f>IFERROR(VLOOKUP(C3568,Cadastro_Produtos!A:B,2,FALSE),"")</f>
        <v/>
      </c>
      <c r="F3568" s="12" t="n"/>
      <c r="G3568" s="13" t="n"/>
    </row>
    <row r="3569">
      <c r="A3569" s="12" t="n"/>
      <c r="D3569">
        <f>IFERROR(VLOOKUP(C3569,Cadastro_Produtos!A:B,2,FALSE),"")</f>
        <v/>
      </c>
      <c r="F3569" s="12" t="n"/>
      <c r="G3569" s="13" t="n"/>
    </row>
    <row r="3570">
      <c r="A3570" s="12" t="n"/>
      <c r="D3570">
        <f>IFERROR(VLOOKUP(C3570,Cadastro_Produtos!A:B,2,FALSE),"")</f>
        <v/>
      </c>
      <c r="F3570" s="12" t="n"/>
      <c r="G3570" s="13" t="n"/>
    </row>
    <row r="3571">
      <c r="A3571" s="12" t="n"/>
      <c r="D3571">
        <f>IFERROR(VLOOKUP(C3571,Cadastro_Produtos!A:B,2,FALSE),"")</f>
        <v/>
      </c>
      <c r="F3571" s="12" t="n"/>
      <c r="G3571" s="13" t="n"/>
    </row>
    <row r="3572">
      <c r="A3572" s="12" t="n"/>
      <c r="D3572">
        <f>IFERROR(VLOOKUP(C3572,Cadastro_Produtos!A:B,2,FALSE),"")</f>
        <v/>
      </c>
      <c r="F3572" s="12" t="n"/>
      <c r="G3572" s="13" t="n"/>
    </row>
    <row r="3573">
      <c r="A3573" s="12" t="n"/>
      <c r="D3573">
        <f>IFERROR(VLOOKUP(C3573,Cadastro_Produtos!A:B,2,FALSE),"")</f>
        <v/>
      </c>
      <c r="F3573" s="12" t="n"/>
      <c r="G3573" s="13" t="n"/>
    </row>
    <row r="3574">
      <c r="A3574" s="12" t="n"/>
      <c r="D3574">
        <f>IFERROR(VLOOKUP(C3574,Cadastro_Produtos!A:B,2,FALSE),"")</f>
        <v/>
      </c>
      <c r="F3574" s="12" t="n"/>
      <c r="G3574" s="13" t="n"/>
    </row>
    <row r="3575">
      <c r="A3575" s="12" t="n"/>
      <c r="D3575">
        <f>IFERROR(VLOOKUP(C3575,Cadastro_Produtos!A:B,2,FALSE),"")</f>
        <v/>
      </c>
      <c r="F3575" s="12" t="n"/>
      <c r="G3575" s="13" t="n"/>
    </row>
    <row r="3576">
      <c r="A3576" s="12" t="n"/>
      <c r="D3576">
        <f>IFERROR(VLOOKUP(C3576,Cadastro_Produtos!A:B,2,FALSE),"")</f>
        <v/>
      </c>
      <c r="F3576" s="12" t="n"/>
      <c r="G3576" s="13" t="n"/>
    </row>
    <row r="3577">
      <c r="A3577" s="12" t="n"/>
      <c r="D3577">
        <f>IFERROR(VLOOKUP(C3577,Cadastro_Produtos!A:B,2,FALSE),"")</f>
        <v/>
      </c>
      <c r="F3577" s="12" t="n"/>
      <c r="G3577" s="13" t="n"/>
    </row>
    <row r="3578">
      <c r="A3578" s="12" t="n"/>
      <c r="D3578">
        <f>IFERROR(VLOOKUP(C3578,Cadastro_Produtos!A:B,2,FALSE),"")</f>
        <v/>
      </c>
      <c r="F3578" s="12" t="n"/>
      <c r="G3578" s="13" t="n"/>
    </row>
    <row r="3579">
      <c r="A3579" s="12" t="n"/>
      <c r="D3579">
        <f>IFERROR(VLOOKUP(C3579,Cadastro_Produtos!A:B,2,FALSE),"")</f>
        <v/>
      </c>
      <c r="F3579" s="12" t="n"/>
      <c r="G3579" s="13" t="n"/>
    </row>
    <row r="3580">
      <c r="A3580" s="12" t="n"/>
      <c r="D3580">
        <f>IFERROR(VLOOKUP(C3580,Cadastro_Produtos!A:B,2,FALSE),"")</f>
        <v/>
      </c>
      <c r="F3580" s="12" t="n"/>
      <c r="G3580" s="13" t="n"/>
    </row>
    <row r="3581">
      <c r="A3581" s="12" t="n"/>
      <c r="D3581">
        <f>IFERROR(VLOOKUP(C3581,Cadastro_Produtos!A:B,2,FALSE),"")</f>
        <v/>
      </c>
      <c r="F3581" s="12" t="n"/>
      <c r="G3581" s="13" t="n"/>
    </row>
    <row r="3582">
      <c r="A3582" s="12" t="n"/>
      <c r="D3582">
        <f>IFERROR(VLOOKUP(C3582,Cadastro_Produtos!A:B,2,FALSE),"")</f>
        <v/>
      </c>
      <c r="F3582" s="12" t="n"/>
      <c r="G3582" s="13" t="n"/>
    </row>
    <row r="3583">
      <c r="A3583" s="12" t="n"/>
      <c r="D3583">
        <f>IFERROR(VLOOKUP(C3583,Cadastro_Produtos!A:B,2,FALSE),"")</f>
        <v/>
      </c>
      <c r="F3583" s="12" t="n"/>
      <c r="G3583" s="13" t="n"/>
    </row>
    <row r="3584">
      <c r="A3584" s="12" t="n"/>
      <c r="D3584">
        <f>IFERROR(VLOOKUP(C3584,Cadastro_Produtos!A:B,2,FALSE),"")</f>
        <v/>
      </c>
      <c r="F3584" s="12" t="n"/>
      <c r="G3584" s="13" t="n"/>
    </row>
    <row r="3585">
      <c r="A3585" s="12" t="n"/>
      <c r="D3585">
        <f>IFERROR(VLOOKUP(C3585,Cadastro_Produtos!A:B,2,FALSE),"")</f>
        <v/>
      </c>
      <c r="F3585" s="12" t="n"/>
      <c r="G3585" s="13" t="n"/>
    </row>
    <row r="3586">
      <c r="A3586" s="12" t="n"/>
      <c r="D3586">
        <f>IFERROR(VLOOKUP(C3586,Cadastro_Produtos!A:B,2,FALSE),"")</f>
        <v/>
      </c>
      <c r="F3586" s="12" t="n"/>
      <c r="G3586" s="13" t="n"/>
    </row>
    <row r="3587">
      <c r="A3587" s="12" t="n"/>
      <c r="D3587">
        <f>IFERROR(VLOOKUP(C3587,Cadastro_Produtos!A:B,2,FALSE),"")</f>
        <v/>
      </c>
      <c r="F3587" s="12" t="n"/>
      <c r="G3587" s="13" t="n"/>
    </row>
    <row r="3588">
      <c r="A3588" s="12" t="n"/>
      <c r="D3588">
        <f>IFERROR(VLOOKUP(C3588,Cadastro_Produtos!A:B,2,FALSE),"")</f>
        <v/>
      </c>
      <c r="F3588" s="12" t="n"/>
      <c r="G3588" s="13" t="n"/>
    </row>
    <row r="3589">
      <c r="A3589" s="12" t="n"/>
      <c r="D3589">
        <f>IFERROR(VLOOKUP(C3589,Cadastro_Produtos!A:B,2,FALSE),"")</f>
        <v/>
      </c>
      <c r="F3589" s="12" t="n"/>
      <c r="G3589" s="13" t="n"/>
    </row>
    <row r="3590">
      <c r="A3590" s="12" t="n"/>
      <c r="D3590">
        <f>IFERROR(VLOOKUP(C3590,Cadastro_Produtos!A:B,2,FALSE),"")</f>
        <v/>
      </c>
      <c r="F3590" s="12" t="n"/>
      <c r="G3590" s="13" t="n"/>
    </row>
    <row r="3591">
      <c r="A3591" s="12" t="n"/>
      <c r="D3591">
        <f>IFERROR(VLOOKUP(C3591,Cadastro_Produtos!A:B,2,FALSE),"")</f>
        <v/>
      </c>
      <c r="F3591" s="12" t="n"/>
      <c r="G3591" s="13" t="n"/>
    </row>
    <row r="3592">
      <c r="A3592" s="12" t="n"/>
      <c r="D3592">
        <f>IFERROR(VLOOKUP(C3592,Cadastro_Produtos!A:B,2,FALSE),"")</f>
        <v/>
      </c>
      <c r="F3592" s="12" t="n"/>
      <c r="G3592" s="13" t="n"/>
    </row>
    <row r="3593">
      <c r="A3593" s="12" t="n"/>
      <c r="D3593">
        <f>IFERROR(VLOOKUP(C3593,Cadastro_Produtos!A:B,2,FALSE),"")</f>
        <v/>
      </c>
      <c r="F3593" s="12" t="n"/>
      <c r="G3593" s="13" t="n"/>
    </row>
    <row r="3594">
      <c r="A3594" s="12" t="n"/>
      <c r="D3594">
        <f>IFERROR(VLOOKUP(C3594,Cadastro_Produtos!A:B,2,FALSE),"")</f>
        <v/>
      </c>
      <c r="F3594" s="12" t="n"/>
      <c r="G3594" s="13" t="n"/>
    </row>
    <row r="3595">
      <c r="A3595" s="12" t="n"/>
      <c r="D3595">
        <f>IFERROR(VLOOKUP(C3595,Cadastro_Produtos!A:B,2,FALSE),"")</f>
        <v/>
      </c>
      <c r="F3595" s="12" t="n"/>
      <c r="G3595" s="13" t="n"/>
    </row>
    <row r="3596">
      <c r="A3596" s="12" t="n"/>
      <c r="D3596">
        <f>IFERROR(VLOOKUP(C3596,Cadastro_Produtos!A:B,2,FALSE),"")</f>
        <v/>
      </c>
      <c r="F3596" s="12" t="n"/>
      <c r="G3596" s="13" t="n"/>
    </row>
    <row r="3597">
      <c r="A3597" s="12" t="n"/>
      <c r="D3597">
        <f>IFERROR(VLOOKUP(C3597,Cadastro_Produtos!A:B,2,FALSE),"")</f>
        <v/>
      </c>
      <c r="F3597" s="12" t="n"/>
      <c r="G3597" s="13" t="n"/>
    </row>
    <row r="3598">
      <c r="A3598" s="12" t="n"/>
      <c r="D3598">
        <f>IFERROR(VLOOKUP(C3598,Cadastro_Produtos!A:B,2,FALSE),"")</f>
        <v/>
      </c>
      <c r="F3598" s="12" t="n"/>
      <c r="G3598" s="13" t="n"/>
    </row>
    <row r="3599">
      <c r="A3599" s="12" t="n"/>
      <c r="D3599">
        <f>IFERROR(VLOOKUP(C3599,Cadastro_Produtos!A:B,2,FALSE),"")</f>
        <v/>
      </c>
      <c r="F3599" s="12" t="n"/>
      <c r="G3599" s="13" t="n"/>
    </row>
    <row r="3600">
      <c r="A3600" s="12" t="n"/>
      <c r="D3600">
        <f>IFERROR(VLOOKUP(C3600,Cadastro_Produtos!A:B,2,FALSE),"")</f>
        <v/>
      </c>
      <c r="F3600" s="12" t="n"/>
      <c r="G3600" s="13" t="n"/>
    </row>
    <row r="3601">
      <c r="A3601" s="12" t="n"/>
      <c r="D3601">
        <f>IFERROR(VLOOKUP(C3601,Cadastro_Produtos!A:B,2,FALSE),"")</f>
        <v/>
      </c>
      <c r="F3601" s="12" t="n"/>
      <c r="G3601" s="13" t="n"/>
    </row>
    <row r="3602">
      <c r="A3602" s="12" t="n"/>
      <c r="D3602">
        <f>IFERROR(VLOOKUP(C3602,Cadastro_Produtos!A:B,2,FALSE),"")</f>
        <v/>
      </c>
      <c r="F3602" s="12" t="n"/>
      <c r="G3602" s="13" t="n"/>
    </row>
    <row r="3603">
      <c r="A3603" s="12" t="n"/>
      <c r="D3603">
        <f>IFERROR(VLOOKUP(C3603,Cadastro_Produtos!A:B,2,FALSE),"")</f>
        <v/>
      </c>
      <c r="F3603" s="12" t="n"/>
      <c r="G3603" s="13" t="n"/>
    </row>
    <row r="3604">
      <c r="A3604" s="12" t="n"/>
      <c r="D3604">
        <f>IFERROR(VLOOKUP(C3604,Cadastro_Produtos!A:B,2,FALSE),"")</f>
        <v/>
      </c>
      <c r="F3604" s="12" t="n"/>
      <c r="G3604" s="13" t="n"/>
    </row>
    <row r="3605">
      <c r="A3605" s="12" t="n"/>
      <c r="D3605">
        <f>IFERROR(VLOOKUP(C3605,Cadastro_Produtos!A:B,2,FALSE),"")</f>
        <v/>
      </c>
      <c r="F3605" s="12" t="n"/>
      <c r="G3605" s="13" t="n"/>
    </row>
    <row r="3606">
      <c r="A3606" s="12" t="n"/>
      <c r="D3606">
        <f>IFERROR(VLOOKUP(C3606,Cadastro_Produtos!A:B,2,FALSE),"")</f>
        <v/>
      </c>
      <c r="F3606" s="12" t="n"/>
      <c r="G3606" s="13" t="n"/>
    </row>
    <row r="3607">
      <c r="A3607" s="12" t="n"/>
      <c r="D3607">
        <f>IFERROR(VLOOKUP(C3607,Cadastro_Produtos!A:B,2,FALSE),"")</f>
        <v/>
      </c>
      <c r="F3607" s="12" t="n"/>
      <c r="G3607" s="13" t="n"/>
    </row>
    <row r="3608">
      <c r="A3608" s="12" t="n"/>
      <c r="D3608">
        <f>IFERROR(VLOOKUP(C3608,Cadastro_Produtos!A:B,2,FALSE),"")</f>
        <v/>
      </c>
      <c r="F3608" s="12" t="n"/>
      <c r="G3608" s="13" t="n"/>
    </row>
    <row r="3609">
      <c r="A3609" s="12" t="n"/>
      <c r="D3609">
        <f>IFERROR(VLOOKUP(C3609,Cadastro_Produtos!A:B,2,FALSE),"")</f>
        <v/>
      </c>
      <c r="F3609" s="12" t="n"/>
      <c r="G3609" s="13" t="n"/>
    </row>
    <row r="3610">
      <c r="A3610" s="12" t="n"/>
      <c r="D3610">
        <f>IFERROR(VLOOKUP(C3610,Cadastro_Produtos!A:B,2,FALSE),"")</f>
        <v/>
      </c>
      <c r="F3610" s="12" t="n"/>
      <c r="G3610" s="13" t="n"/>
    </row>
    <row r="3611">
      <c r="A3611" s="12" t="n"/>
      <c r="D3611">
        <f>IFERROR(VLOOKUP(C3611,Cadastro_Produtos!A:B,2,FALSE),"")</f>
        <v/>
      </c>
      <c r="F3611" s="12" t="n"/>
      <c r="G3611" s="13" t="n"/>
    </row>
    <row r="3612">
      <c r="A3612" s="12" t="n"/>
      <c r="D3612">
        <f>IFERROR(VLOOKUP(C3612,Cadastro_Produtos!A:B,2,FALSE),"")</f>
        <v/>
      </c>
      <c r="F3612" s="12" t="n"/>
      <c r="G3612" s="13" t="n"/>
    </row>
    <row r="3613">
      <c r="A3613" s="12" t="n"/>
      <c r="D3613">
        <f>IFERROR(VLOOKUP(C3613,Cadastro_Produtos!A:B,2,FALSE),"")</f>
        <v/>
      </c>
      <c r="F3613" s="12" t="n"/>
      <c r="G3613" s="13" t="n"/>
    </row>
    <row r="3614">
      <c r="A3614" s="12" t="n"/>
      <c r="D3614">
        <f>IFERROR(VLOOKUP(C3614,Cadastro_Produtos!A:B,2,FALSE),"")</f>
        <v/>
      </c>
      <c r="F3614" s="12" t="n"/>
      <c r="G3614" s="13" t="n"/>
    </row>
    <row r="3615">
      <c r="A3615" s="12" t="n"/>
      <c r="D3615">
        <f>IFERROR(VLOOKUP(C3615,Cadastro_Produtos!A:B,2,FALSE),"")</f>
        <v/>
      </c>
      <c r="F3615" s="12" t="n"/>
      <c r="G3615" s="13" t="n"/>
    </row>
    <row r="3616">
      <c r="A3616" s="12" t="n"/>
      <c r="D3616">
        <f>IFERROR(VLOOKUP(C3616,Cadastro_Produtos!A:B,2,FALSE),"")</f>
        <v/>
      </c>
      <c r="F3616" s="12" t="n"/>
      <c r="G3616" s="13" t="n"/>
    </row>
    <row r="3617">
      <c r="A3617" s="12" t="n"/>
      <c r="D3617">
        <f>IFERROR(VLOOKUP(C3617,Cadastro_Produtos!A:B,2,FALSE),"")</f>
        <v/>
      </c>
      <c r="F3617" s="12" t="n"/>
      <c r="G3617" s="13" t="n"/>
    </row>
    <row r="3618">
      <c r="A3618" s="12" t="n"/>
      <c r="D3618">
        <f>IFERROR(VLOOKUP(C3618,Cadastro_Produtos!A:B,2,FALSE),"")</f>
        <v/>
      </c>
      <c r="F3618" s="12" t="n"/>
      <c r="G3618" s="13" t="n"/>
    </row>
    <row r="3619">
      <c r="A3619" s="12" t="n"/>
      <c r="D3619">
        <f>IFERROR(VLOOKUP(C3619,Cadastro_Produtos!A:B,2,FALSE),"")</f>
        <v/>
      </c>
      <c r="F3619" s="12" t="n"/>
      <c r="G3619" s="13" t="n"/>
    </row>
    <row r="3620">
      <c r="A3620" s="12" t="n"/>
      <c r="D3620">
        <f>IFERROR(VLOOKUP(C3620,Cadastro_Produtos!A:B,2,FALSE),"")</f>
        <v/>
      </c>
      <c r="F3620" s="12" t="n"/>
      <c r="G3620" s="13" t="n"/>
    </row>
    <row r="3621">
      <c r="A3621" s="12" t="n"/>
      <c r="D3621">
        <f>IFERROR(VLOOKUP(C3621,Cadastro_Produtos!A:B,2,FALSE),"")</f>
        <v/>
      </c>
      <c r="F3621" s="12" t="n"/>
      <c r="G3621" s="13" t="n"/>
    </row>
    <row r="3622">
      <c r="A3622" s="12" t="n"/>
      <c r="D3622">
        <f>IFERROR(VLOOKUP(C3622,Cadastro_Produtos!A:B,2,FALSE),"")</f>
        <v/>
      </c>
      <c r="F3622" s="12" t="n"/>
      <c r="G3622" s="13" t="n"/>
    </row>
    <row r="3623">
      <c r="A3623" s="12" t="n"/>
      <c r="D3623">
        <f>IFERROR(VLOOKUP(C3623,Cadastro_Produtos!A:B,2,FALSE),"")</f>
        <v/>
      </c>
      <c r="F3623" s="12" t="n"/>
      <c r="G3623" s="13" t="n"/>
    </row>
    <row r="3624">
      <c r="A3624" s="12" t="n"/>
      <c r="D3624">
        <f>IFERROR(VLOOKUP(C3624,Cadastro_Produtos!A:B,2,FALSE),"")</f>
        <v/>
      </c>
      <c r="F3624" s="12" t="n"/>
      <c r="G3624" s="13" t="n"/>
    </row>
    <row r="3625">
      <c r="A3625" s="12" t="n"/>
      <c r="D3625">
        <f>IFERROR(VLOOKUP(C3625,Cadastro_Produtos!A:B,2,FALSE),"")</f>
        <v/>
      </c>
      <c r="F3625" s="12" t="n"/>
      <c r="G3625" s="13" t="n"/>
    </row>
    <row r="3626">
      <c r="A3626" s="12" t="n"/>
      <c r="D3626">
        <f>IFERROR(VLOOKUP(C3626,Cadastro_Produtos!A:B,2,FALSE),"")</f>
        <v/>
      </c>
      <c r="F3626" s="12" t="n"/>
      <c r="G3626" s="13" t="n"/>
    </row>
    <row r="3627">
      <c r="A3627" s="12" t="n"/>
      <c r="D3627">
        <f>IFERROR(VLOOKUP(C3627,Cadastro_Produtos!A:B,2,FALSE),"")</f>
        <v/>
      </c>
      <c r="F3627" s="12" t="n"/>
      <c r="G3627" s="13" t="n"/>
    </row>
    <row r="3628">
      <c r="A3628" s="12" t="n"/>
      <c r="D3628">
        <f>IFERROR(VLOOKUP(C3628,Cadastro_Produtos!A:B,2,FALSE),"")</f>
        <v/>
      </c>
      <c r="F3628" s="12" t="n"/>
      <c r="G3628" s="13" t="n"/>
    </row>
    <row r="3629">
      <c r="A3629" s="12" t="n"/>
      <c r="D3629">
        <f>IFERROR(VLOOKUP(C3629,Cadastro_Produtos!A:B,2,FALSE),"")</f>
        <v/>
      </c>
      <c r="F3629" s="12" t="n"/>
      <c r="G3629" s="13" t="n"/>
    </row>
    <row r="3630">
      <c r="A3630" s="12" t="n"/>
      <c r="D3630">
        <f>IFERROR(VLOOKUP(C3630,Cadastro_Produtos!A:B,2,FALSE),"")</f>
        <v/>
      </c>
      <c r="F3630" s="12" t="n"/>
      <c r="G3630" s="13" t="n"/>
    </row>
    <row r="3631">
      <c r="A3631" s="12" t="n"/>
      <c r="D3631">
        <f>IFERROR(VLOOKUP(C3631,Cadastro_Produtos!A:B,2,FALSE),"")</f>
        <v/>
      </c>
      <c r="F3631" s="12" t="n"/>
      <c r="G3631" s="13" t="n"/>
    </row>
    <row r="3632">
      <c r="A3632" s="12" t="n"/>
      <c r="D3632">
        <f>IFERROR(VLOOKUP(C3632,Cadastro_Produtos!A:B,2,FALSE),"")</f>
        <v/>
      </c>
      <c r="F3632" s="12" t="n"/>
      <c r="G3632" s="13" t="n"/>
    </row>
    <row r="3633">
      <c r="A3633" s="12" t="n"/>
      <c r="D3633">
        <f>IFERROR(VLOOKUP(C3633,Cadastro_Produtos!A:B,2,FALSE),"")</f>
        <v/>
      </c>
      <c r="F3633" s="12" t="n"/>
      <c r="G3633" s="13" t="n"/>
    </row>
    <row r="3634">
      <c r="A3634" s="12" t="n"/>
      <c r="D3634">
        <f>IFERROR(VLOOKUP(C3634,Cadastro_Produtos!A:B,2,FALSE),"")</f>
        <v/>
      </c>
      <c r="F3634" s="12" t="n"/>
      <c r="G3634" s="13" t="n"/>
    </row>
    <row r="3635">
      <c r="A3635" s="12" t="n"/>
      <c r="D3635">
        <f>IFERROR(VLOOKUP(C3635,Cadastro_Produtos!A:B,2,FALSE),"")</f>
        <v/>
      </c>
      <c r="F3635" s="12" t="n"/>
      <c r="G3635" s="13" t="n"/>
    </row>
    <row r="3636">
      <c r="A3636" s="12" t="n"/>
      <c r="D3636">
        <f>IFERROR(VLOOKUP(C3636,Cadastro_Produtos!A:B,2,FALSE),"")</f>
        <v/>
      </c>
      <c r="F3636" s="12" t="n"/>
      <c r="G3636" s="13" t="n"/>
    </row>
    <row r="3637">
      <c r="A3637" s="12" t="n"/>
      <c r="D3637">
        <f>IFERROR(VLOOKUP(C3637,Cadastro_Produtos!A:B,2,FALSE),"")</f>
        <v/>
      </c>
      <c r="F3637" s="12" t="n"/>
      <c r="G3637" s="13" t="n"/>
    </row>
    <row r="3638">
      <c r="A3638" s="12" t="n"/>
      <c r="D3638">
        <f>IFERROR(VLOOKUP(C3638,Cadastro_Produtos!A:B,2,FALSE),"")</f>
        <v/>
      </c>
      <c r="F3638" s="12" t="n"/>
      <c r="G3638" s="13" t="n"/>
    </row>
    <row r="3639">
      <c r="A3639" s="12" t="n"/>
      <c r="D3639">
        <f>IFERROR(VLOOKUP(C3639,Cadastro_Produtos!A:B,2,FALSE),"")</f>
        <v/>
      </c>
      <c r="F3639" s="12" t="n"/>
      <c r="G3639" s="13" t="n"/>
    </row>
    <row r="3640">
      <c r="A3640" s="12" t="n"/>
      <c r="D3640">
        <f>IFERROR(VLOOKUP(C3640,Cadastro_Produtos!A:B,2,FALSE),"")</f>
        <v/>
      </c>
      <c r="F3640" s="12" t="n"/>
      <c r="G3640" s="13" t="n"/>
    </row>
    <row r="3641">
      <c r="A3641" s="12" t="n"/>
      <c r="D3641">
        <f>IFERROR(VLOOKUP(C3641,Cadastro_Produtos!A:B,2,FALSE),"")</f>
        <v/>
      </c>
      <c r="F3641" s="12" t="n"/>
      <c r="G3641" s="13" t="n"/>
    </row>
    <row r="3642">
      <c r="A3642" s="12" t="n"/>
      <c r="D3642">
        <f>IFERROR(VLOOKUP(C3642,Cadastro_Produtos!A:B,2,FALSE),"")</f>
        <v/>
      </c>
      <c r="F3642" s="12" t="n"/>
      <c r="G3642" s="13" t="n"/>
    </row>
    <row r="3643">
      <c r="A3643" s="12" t="n"/>
      <c r="D3643">
        <f>IFERROR(VLOOKUP(C3643,Cadastro_Produtos!A:B,2,FALSE),"")</f>
        <v/>
      </c>
      <c r="F3643" s="12" t="n"/>
      <c r="G3643" s="13" t="n"/>
    </row>
    <row r="3644">
      <c r="A3644" s="12" t="n"/>
      <c r="D3644">
        <f>IFERROR(VLOOKUP(C3644,Cadastro_Produtos!A:B,2,FALSE),"")</f>
        <v/>
      </c>
      <c r="F3644" s="12" t="n"/>
      <c r="G3644" s="13" t="n"/>
    </row>
    <row r="3645">
      <c r="A3645" s="12" t="n"/>
      <c r="D3645">
        <f>IFERROR(VLOOKUP(C3645,Cadastro_Produtos!A:B,2,FALSE),"")</f>
        <v/>
      </c>
      <c r="F3645" s="12" t="n"/>
      <c r="G3645" s="13" t="n"/>
    </row>
    <row r="3646">
      <c r="A3646" s="12" t="n"/>
      <c r="D3646">
        <f>IFERROR(VLOOKUP(C3646,Cadastro_Produtos!A:B,2,FALSE),"")</f>
        <v/>
      </c>
      <c r="F3646" s="12" t="n"/>
      <c r="G3646" s="13" t="n"/>
    </row>
    <row r="3647">
      <c r="A3647" s="12" t="n"/>
      <c r="D3647">
        <f>IFERROR(VLOOKUP(C3647,Cadastro_Produtos!A:B,2,FALSE),"")</f>
        <v/>
      </c>
      <c r="F3647" s="12" t="n"/>
      <c r="G3647" s="13" t="n"/>
    </row>
    <row r="3648">
      <c r="A3648" s="12" t="n"/>
      <c r="D3648">
        <f>IFERROR(VLOOKUP(C3648,Cadastro_Produtos!A:B,2,FALSE),"")</f>
        <v/>
      </c>
      <c r="F3648" s="12" t="n"/>
      <c r="G3648" s="13" t="n"/>
    </row>
    <row r="3649">
      <c r="A3649" s="12" t="n"/>
      <c r="D3649">
        <f>IFERROR(VLOOKUP(C3649,Cadastro_Produtos!A:B,2,FALSE),"")</f>
        <v/>
      </c>
      <c r="F3649" s="12" t="n"/>
      <c r="G3649" s="13" t="n"/>
    </row>
    <row r="3650">
      <c r="A3650" s="12" t="n"/>
      <c r="D3650">
        <f>IFERROR(VLOOKUP(C3650,Cadastro_Produtos!A:B,2,FALSE),"")</f>
        <v/>
      </c>
      <c r="F3650" s="12" t="n"/>
      <c r="G3650" s="13" t="n"/>
    </row>
    <row r="3651">
      <c r="A3651" s="12" t="n"/>
      <c r="D3651">
        <f>IFERROR(VLOOKUP(C3651,Cadastro_Produtos!A:B,2,FALSE),"")</f>
        <v/>
      </c>
      <c r="F3651" s="12" t="n"/>
      <c r="G3651" s="13" t="n"/>
    </row>
    <row r="3652">
      <c r="A3652" s="12" t="n"/>
      <c r="D3652">
        <f>IFERROR(VLOOKUP(C3652,Cadastro_Produtos!A:B,2,FALSE),"")</f>
        <v/>
      </c>
      <c r="F3652" s="12" t="n"/>
      <c r="G3652" s="13" t="n"/>
    </row>
    <row r="3653">
      <c r="A3653" s="12" t="n"/>
      <c r="D3653">
        <f>IFERROR(VLOOKUP(C3653,Cadastro_Produtos!A:B,2,FALSE),"")</f>
        <v/>
      </c>
      <c r="F3653" s="12" t="n"/>
      <c r="G3653" s="13" t="n"/>
    </row>
    <row r="3654">
      <c r="A3654" s="12" t="n"/>
      <c r="D3654">
        <f>IFERROR(VLOOKUP(C3654,Cadastro_Produtos!A:B,2,FALSE),"")</f>
        <v/>
      </c>
      <c r="F3654" s="12" t="n"/>
      <c r="G3654" s="13" t="n"/>
    </row>
    <row r="3655">
      <c r="A3655" s="12" t="n"/>
      <c r="D3655">
        <f>IFERROR(VLOOKUP(C3655,Cadastro_Produtos!A:B,2,FALSE),"")</f>
        <v/>
      </c>
      <c r="F3655" s="12" t="n"/>
      <c r="G3655" s="13" t="n"/>
    </row>
    <row r="3656">
      <c r="A3656" s="12" t="n"/>
      <c r="D3656">
        <f>IFERROR(VLOOKUP(C3656,Cadastro_Produtos!A:B,2,FALSE),"")</f>
        <v/>
      </c>
      <c r="F3656" s="12" t="n"/>
      <c r="G3656" s="13" t="n"/>
    </row>
    <row r="3657">
      <c r="A3657" s="12" t="n"/>
      <c r="D3657">
        <f>IFERROR(VLOOKUP(C3657,Cadastro_Produtos!A:B,2,FALSE),"")</f>
        <v/>
      </c>
      <c r="F3657" s="12" t="n"/>
      <c r="G3657" s="13" t="n"/>
    </row>
    <row r="3658">
      <c r="A3658" s="12" t="n"/>
      <c r="D3658">
        <f>IFERROR(VLOOKUP(C3658,Cadastro_Produtos!A:B,2,FALSE),"")</f>
        <v/>
      </c>
      <c r="F3658" s="12" t="n"/>
      <c r="G3658" s="13" t="n"/>
    </row>
    <row r="3659">
      <c r="A3659" s="12" t="n"/>
      <c r="D3659">
        <f>IFERROR(VLOOKUP(C3659,Cadastro_Produtos!A:B,2,FALSE),"")</f>
        <v/>
      </c>
      <c r="F3659" s="12" t="n"/>
      <c r="G3659" s="13" t="n"/>
    </row>
    <row r="3660">
      <c r="A3660" s="12" t="n"/>
      <c r="D3660">
        <f>IFERROR(VLOOKUP(C3660,Cadastro_Produtos!A:B,2,FALSE),"")</f>
        <v/>
      </c>
      <c r="F3660" s="12" t="n"/>
      <c r="G3660" s="13" t="n"/>
    </row>
    <row r="3661">
      <c r="A3661" s="12" t="n"/>
      <c r="D3661">
        <f>IFERROR(VLOOKUP(C3661,Cadastro_Produtos!A:B,2,FALSE),"")</f>
        <v/>
      </c>
      <c r="F3661" s="12" t="n"/>
      <c r="G3661" s="13" t="n"/>
    </row>
    <row r="3662">
      <c r="A3662" s="12" t="n"/>
      <c r="D3662">
        <f>IFERROR(VLOOKUP(C3662,Cadastro_Produtos!A:B,2,FALSE),"")</f>
        <v/>
      </c>
      <c r="F3662" s="12" t="n"/>
      <c r="G3662" s="13" t="n"/>
    </row>
    <row r="3663">
      <c r="A3663" s="12" t="n"/>
      <c r="D3663">
        <f>IFERROR(VLOOKUP(C3663,Cadastro_Produtos!A:B,2,FALSE),"")</f>
        <v/>
      </c>
      <c r="F3663" s="12" t="n"/>
      <c r="G3663" s="13" t="n"/>
    </row>
    <row r="3664">
      <c r="A3664" s="12" t="n"/>
      <c r="D3664">
        <f>IFERROR(VLOOKUP(C3664,Cadastro_Produtos!A:B,2,FALSE),"")</f>
        <v/>
      </c>
      <c r="F3664" s="12" t="n"/>
      <c r="G3664" s="13" t="n"/>
    </row>
    <row r="3665">
      <c r="A3665" s="12" t="n"/>
      <c r="D3665">
        <f>IFERROR(VLOOKUP(C3665,Cadastro_Produtos!A:B,2,FALSE),"")</f>
        <v/>
      </c>
      <c r="F3665" s="12" t="n"/>
      <c r="G3665" s="13" t="n"/>
    </row>
    <row r="3666">
      <c r="A3666" s="12" t="n"/>
      <c r="D3666">
        <f>IFERROR(VLOOKUP(C3666,Cadastro_Produtos!A:B,2,FALSE),"")</f>
        <v/>
      </c>
      <c r="F3666" s="12" t="n"/>
      <c r="G3666" s="13" t="n"/>
    </row>
    <row r="3667">
      <c r="A3667" s="12" t="n"/>
      <c r="D3667">
        <f>IFERROR(VLOOKUP(C3667,Cadastro_Produtos!A:B,2,FALSE),"")</f>
        <v/>
      </c>
      <c r="F3667" s="12" t="n"/>
      <c r="G3667" s="13" t="n"/>
    </row>
    <row r="3668">
      <c r="A3668" s="12" t="n"/>
      <c r="D3668">
        <f>IFERROR(VLOOKUP(C3668,Cadastro_Produtos!A:B,2,FALSE),"")</f>
        <v/>
      </c>
      <c r="F3668" s="12" t="n"/>
      <c r="G3668" s="13" t="n"/>
    </row>
    <row r="3669">
      <c r="A3669" s="12" t="n"/>
      <c r="D3669">
        <f>IFERROR(VLOOKUP(C3669,Cadastro_Produtos!A:B,2,FALSE),"")</f>
        <v/>
      </c>
      <c r="F3669" s="12" t="n"/>
      <c r="G3669" s="13" t="n"/>
    </row>
    <row r="3670">
      <c r="A3670" s="12" t="n"/>
      <c r="D3670">
        <f>IFERROR(VLOOKUP(C3670,Cadastro_Produtos!A:B,2,FALSE),"")</f>
        <v/>
      </c>
      <c r="F3670" s="12" t="n"/>
      <c r="G3670" s="13" t="n"/>
    </row>
    <row r="3671">
      <c r="A3671" s="12" t="n"/>
      <c r="D3671">
        <f>IFERROR(VLOOKUP(C3671,Cadastro_Produtos!A:B,2,FALSE),"")</f>
        <v/>
      </c>
      <c r="F3671" s="12" t="n"/>
      <c r="G3671" s="13" t="n"/>
    </row>
    <row r="3672">
      <c r="A3672" s="12" t="n"/>
      <c r="D3672">
        <f>IFERROR(VLOOKUP(C3672,Cadastro_Produtos!A:B,2,FALSE),"")</f>
        <v/>
      </c>
      <c r="F3672" s="12" t="n"/>
      <c r="G3672" s="13" t="n"/>
    </row>
    <row r="3673">
      <c r="A3673" s="12" t="n"/>
      <c r="D3673">
        <f>IFERROR(VLOOKUP(C3673,Cadastro_Produtos!A:B,2,FALSE),"")</f>
        <v/>
      </c>
      <c r="F3673" s="12" t="n"/>
      <c r="G3673" s="13" t="n"/>
    </row>
    <row r="3674">
      <c r="A3674" s="12" t="n"/>
      <c r="D3674">
        <f>IFERROR(VLOOKUP(C3674,Cadastro_Produtos!A:B,2,FALSE),"")</f>
        <v/>
      </c>
      <c r="F3674" s="12" t="n"/>
      <c r="G3674" s="13" t="n"/>
    </row>
    <row r="3675">
      <c r="A3675" s="12" t="n"/>
      <c r="D3675">
        <f>IFERROR(VLOOKUP(C3675,Cadastro_Produtos!A:B,2,FALSE),"")</f>
        <v/>
      </c>
      <c r="F3675" s="12" t="n"/>
      <c r="G3675" s="13" t="n"/>
    </row>
    <row r="3676">
      <c r="A3676" s="12" t="n"/>
      <c r="D3676">
        <f>IFERROR(VLOOKUP(C3676,Cadastro_Produtos!A:B,2,FALSE),"")</f>
        <v/>
      </c>
      <c r="F3676" s="12" t="n"/>
      <c r="G3676" s="13" t="n"/>
    </row>
    <row r="3677">
      <c r="A3677" s="12" t="n"/>
      <c r="D3677">
        <f>IFERROR(VLOOKUP(C3677,Cadastro_Produtos!A:B,2,FALSE),"")</f>
        <v/>
      </c>
      <c r="F3677" s="12" t="n"/>
      <c r="G3677" s="13" t="n"/>
    </row>
    <row r="3678">
      <c r="A3678" s="12" t="n"/>
      <c r="D3678">
        <f>IFERROR(VLOOKUP(C3678,Cadastro_Produtos!A:B,2,FALSE),"")</f>
        <v/>
      </c>
      <c r="F3678" s="12" t="n"/>
      <c r="G3678" s="13" t="n"/>
    </row>
    <row r="3679">
      <c r="A3679" s="12" t="n"/>
      <c r="D3679">
        <f>IFERROR(VLOOKUP(C3679,Cadastro_Produtos!A:B,2,FALSE),"")</f>
        <v/>
      </c>
      <c r="F3679" s="12" t="n"/>
      <c r="G3679" s="13" t="n"/>
    </row>
    <row r="3680">
      <c r="A3680" s="12" t="n"/>
      <c r="D3680">
        <f>IFERROR(VLOOKUP(C3680,Cadastro_Produtos!A:B,2,FALSE),"")</f>
        <v/>
      </c>
      <c r="F3680" s="12" t="n"/>
      <c r="G3680" s="13" t="n"/>
    </row>
    <row r="3681">
      <c r="A3681" s="12" t="n"/>
      <c r="D3681">
        <f>IFERROR(VLOOKUP(C3681,Cadastro_Produtos!A:B,2,FALSE),"")</f>
        <v/>
      </c>
      <c r="F3681" s="12" t="n"/>
      <c r="G3681" s="13" t="n"/>
    </row>
    <row r="3682">
      <c r="A3682" s="12" t="n"/>
      <c r="D3682">
        <f>IFERROR(VLOOKUP(C3682,Cadastro_Produtos!A:B,2,FALSE),"")</f>
        <v/>
      </c>
      <c r="F3682" s="12" t="n"/>
      <c r="G3682" s="13" t="n"/>
    </row>
    <row r="3683">
      <c r="A3683" s="12" t="n"/>
      <c r="D3683">
        <f>IFERROR(VLOOKUP(C3683,Cadastro_Produtos!A:B,2,FALSE),"")</f>
        <v/>
      </c>
      <c r="F3683" s="12" t="n"/>
      <c r="G3683" s="13" t="n"/>
    </row>
    <row r="3684">
      <c r="A3684" s="12" t="n"/>
      <c r="D3684">
        <f>IFERROR(VLOOKUP(C3684,Cadastro_Produtos!A:B,2,FALSE),"")</f>
        <v/>
      </c>
      <c r="F3684" s="12" t="n"/>
      <c r="G3684" s="13" t="n"/>
    </row>
    <row r="3685">
      <c r="A3685" s="12" t="n"/>
      <c r="D3685">
        <f>IFERROR(VLOOKUP(C3685,Cadastro_Produtos!A:B,2,FALSE),"")</f>
        <v/>
      </c>
      <c r="F3685" s="12" t="n"/>
      <c r="G3685" s="13" t="n"/>
    </row>
    <row r="3686">
      <c r="A3686" s="12" t="n"/>
      <c r="D3686">
        <f>IFERROR(VLOOKUP(C3686,Cadastro_Produtos!A:B,2,FALSE),"")</f>
        <v/>
      </c>
      <c r="F3686" s="12" t="n"/>
      <c r="G3686" s="13" t="n"/>
    </row>
    <row r="3687">
      <c r="A3687" s="12" t="n"/>
      <c r="D3687">
        <f>IFERROR(VLOOKUP(C3687,Cadastro_Produtos!A:B,2,FALSE),"")</f>
        <v/>
      </c>
      <c r="F3687" s="12" t="n"/>
      <c r="G3687" s="13" t="n"/>
    </row>
    <row r="3688">
      <c r="A3688" s="12" t="n"/>
      <c r="D3688">
        <f>IFERROR(VLOOKUP(C3688,Cadastro_Produtos!A:B,2,FALSE),"")</f>
        <v/>
      </c>
      <c r="F3688" s="12" t="n"/>
      <c r="G3688" s="13" t="n"/>
    </row>
    <row r="3689">
      <c r="A3689" s="12" t="n"/>
      <c r="D3689">
        <f>IFERROR(VLOOKUP(C3689,Cadastro_Produtos!A:B,2,FALSE),"")</f>
        <v/>
      </c>
      <c r="F3689" s="12" t="n"/>
      <c r="G3689" s="13" t="n"/>
    </row>
    <row r="3690">
      <c r="A3690" s="12" t="n"/>
      <c r="D3690">
        <f>IFERROR(VLOOKUP(C3690,Cadastro_Produtos!A:B,2,FALSE),"")</f>
        <v/>
      </c>
      <c r="F3690" s="12" t="n"/>
      <c r="G3690" s="13" t="n"/>
    </row>
    <row r="3691">
      <c r="A3691" s="12" t="n"/>
      <c r="D3691">
        <f>IFERROR(VLOOKUP(C3691,Cadastro_Produtos!A:B,2,FALSE),"")</f>
        <v/>
      </c>
      <c r="F3691" s="12" t="n"/>
      <c r="G3691" s="13" t="n"/>
    </row>
    <row r="3692">
      <c r="A3692" s="12" t="n"/>
      <c r="D3692">
        <f>IFERROR(VLOOKUP(C3692,Cadastro_Produtos!A:B,2,FALSE),"")</f>
        <v/>
      </c>
      <c r="F3692" s="12" t="n"/>
      <c r="G3692" s="13" t="n"/>
    </row>
    <row r="3693">
      <c r="A3693" s="12" t="n"/>
      <c r="D3693">
        <f>IFERROR(VLOOKUP(C3693,Cadastro_Produtos!A:B,2,FALSE),"")</f>
        <v/>
      </c>
      <c r="F3693" s="12" t="n"/>
      <c r="G3693" s="13" t="n"/>
    </row>
    <row r="3694">
      <c r="A3694" s="12" t="n"/>
      <c r="D3694">
        <f>IFERROR(VLOOKUP(C3694,Cadastro_Produtos!A:B,2,FALSE),"")</f>
        <v/>
      </c>
      <c r="F3694" s="12" t="n"/>
      <c r="G3694" s="13" t="n"/>
    </row>
    <row r="3695">
      <c r="A3695" s="12" t="n"/>
      <c r="D3695">
        <f>IFERROR(VLOOKUP(C3695,Cadastro_Produtos!A:B,2,FALSE),"")</f>
        <v/>
      </c>
      <c r="F3695" s="12" t="n"/>
      <c r="G3695" s="13" t="n"/>
    </row>
    <row r="3696">
      <c r="A3696" s="12" t="n"/>
      <c r="D3696">
        <f>IFERROR(VLOOKUP(C3696,Cadastro_Produtos!A:B,2,FALSE),"")</f>
        <v/>
      </c>
      <c r="F3696" s="12" t="n"/>
      <c r="G3696" s="13" t="n"/>
    </row>
    <row r="3697">
      <c r="A3697" s="12" t="n"/>
      <c r="D3697">
        <f>IFERROR(VLOOKUP(C3697,Cadastro_Produtos!A:B,2,FALSE),"")</f>
        <v/>
      </c>
      <c r="F3697" s="12" t="n"/>
      <c r="G3697" s="13" t="n"/>
    </row>
    <row r="3698">
      <c r="A3698" s="12" t="n"/>
      <c r="D3698">
        <f>IFERROR(VLOOKUP(C3698,Cadastro_Produtos!A:B,2,FALSE),"")</f>
        <v/>
      </c>
      <c r="F3698" s="12" t="n"/>
      <c r="G3698" s="13" t="n"/>
    </row>
    <row r="3699">
      <c r="A3699" s="12" t="n"/>
      <c r="D3699">
        <f>IFERROR(VLOOKUP(C3699,Cadastro_Produtos!A:B,2,FALSE),"")</f>
        <v/>
      </c>
      <c r="F3699" s="12" t="n"/>
      <c r="G3699" s="13" t="n"/>
    </row>
    <row r="3700">
      <c r="A3700" s="12" t="n"/>
      <c r="D3700">
        <f>IFERROR(VLOOKUP(C3700,Cadastro_Produtos!A:B,2,FALSE),"")</f>
        <v/>
      </c>
      <c r="F3700" s="12" t="n"/>
      <c r="G3700" s="13" t="n"/>
    </row>
    <row r="3701">
      <c r="A3701" s="12" t="n"/>
      <c r="D3701">
        <f>IFERROR(VLOOKUP(C3701,Cadastro_Produtos!A:B,2,FALSE),"")</f>
        <v/>
      </c>
      <c r="F3701" s="12" t="n"/>
      <c r="G3701" s="13" t="n"/>
    </row>
    <row r="3702">
      <c r="A3702" s="12" t="n"/>
      <c r="D3702">
        <f>IFERROR(VLOOKUP(C3702,Cadastro_Produtos!A:B,2,FALSE),"")</f>
        <v/>
      </c>
      <c r="F3702" s="12" t="n"/>
      <c r="G3702" s="13" t="n"/>
    </row>
    <row r="3703">
      <c r="A3703" s="12" t="n"/>
      <c r="D3703">
        <f>IFERROR(VLOOKUP(C3703,Cadastro_Produtos!A:B,2,FALSE),"")</f>
        <v/>
      </c>
      <c r="F3703" s="12" t="n"/>
      <c r="G3703" s="13" t="n"/>
    </row>
    <row r="3704">
      <c r="A3704" s="12" t="n"/>
      <c r="D3704">
        <f>IFERROR(VLOOKUP(C3704,Cadastro_Produtos!A:B,2,FALSE),"")</f>
        <v/>
      </c>
      <c r="F3704" s="12" t="n"/>
      <c r="G3704" s="13" t="n"/>
    </row>
    <row r="3705">
      <c r="A3705" s="12" t="n"/>
      <c r="D3705">
        <f>IFERROR(VLOOKUP(C3705,Cadastro_Produtos!A:B,2,FALSE),"")</f>
        <v/>
      </c>
      <c r="F3705" s="12" t="n"/>
      <c r="G3705" s="13" t="n"/>
    </row>
    <row r="3706">
      <c r="A3706" s="12" t="n"/>
      <c r="D3706">
        <f>IFERROR(VLOOKUP(C3706,Cadastro_Produtos!A:B,2,FALSE),"")</f>
        <v/>
      </c>
      <c r="F3706" s="12" t="n"/>
      <c r="G3706" s="13" t="n"/>
    </row>
    <row r="3707">
      <c r="A3707" s="12" t="n"/>
      <c r="D3707">
        <f>IFERROR(VLOOKUP(C3707,Cadastro_Produtos!A:B,2,FALSE),"")</f>
        <v/>
      </c>
      <c r="F3707" s="12" t="n"/>
      <c r="G3707" s="13" t="n"/>
    </row>
    <row r="3708">
      <c r="A3708" s="12" t="n"/>
      <c r="D3708">
        <f>IFERROR(VLOOKUP(C3708,Cadastro_Produtos!A:B,2,FALSE),"")</f>
        <v/>
      </c>
      <c r="F3708" s="12" t="n"/>
      <c r="G3708" s="13" t="n"/>
    </row>
    <row r="3709">
      <c r="A3709" s="12" t="n"/>
      <c r="D3709">
        <f>IFERROR(VLOOKUP(C3709,Cadastro_Produtos!A:B,2,FALSE),"")</f>
        <v/>
      </c>
      <c r="F3709" s="12" t="n"/>
      <c r="G3709" s="13" t="n"/>
    </row>
    <row r="3710">
      <c r="A3710" s="12" t="n"/>
      <c r="D3710">
        <f>IFERROR(VLOOKUP(C3710,Cadastro_Produtos!A:B,2,FALSE),"")</f>
        <v/>
      </c>
      <c r="F3710" s="12" t="n"/>
      <c r="G3710" s="13" t="n"/>
    </row>
    <row r="3711">
      <c r="A3711" s="12" t="n"/>
      <c r="D3711">
        <f>IFERROR(VLOOKUP(C3711,Cadastro_Produtos!A:B,2,FALSE),"")</f>
        <v/>
      </c>
      <c r="F3711" s="12" t="n"/>
      <c r="G3711" s="13" t="n"/>
    </row>
    <row r="3712">
      <c r="A3712" s="12" t="n"/>
      <c r="D3712">
        <f>IFERROR(VLOOKUP(C3712,Cadastro_Produtos!A:B,2,FALSE),"")</f>
        <v/>
      </c>
      <c r="F3712" s="12" t="n"/>
      <c r="G3712" s="13" t="n"/>
    </row>
    <row r="3713">
      <c r="A3713" s="12" t="n"/>
      <c r="D3713">
        <f>IFERROR(VLOOKUP(C3713,Cadastro_Produtos!A:B,2,FALSE),"")</f>
        <v/>
      </c>
      <c r="F3713" s="12" t="n"/>
      <c r="G3713" s="13" t="n"/>
    </row>
    <row r="3714">
      <c r="A3714" s="12" t="n"/>
      <c r="D3714">
        <f>IFERROR(VLOOKUP(C3714,Cadastro_Produtos!A:B,2,FALSE),"")</f>
        <v/>
      </c>
      <c r="F3714" s="12" t="n"/>
      <c r="G3714" s="13" t="n"/>
    </row>
    <row r="3715">
      <c r="A3715" s="12" t="n"/>
      <c r="D3715">
        <f>IFERROR(VLOOKUP(C3715,Cadastro_Produtos!A:B,2,FALSE),"")</f>
        <v/>
      </c>
      <c r="F3715" s="12" t="n"/>
      <c r="G3715" s="13" t="n"/>
    </row>
    <row r="3716">
      <c r="A3716" s="12" t="n"/>
      <c r="D3716">
        <f>IFERROR(VLOOKUP(C3716,Cadastro_Produtos!A:B,2,FALSE),"")</f>
        <v/>
      </c>
      <c r="F3716" s="12" t="n"/>
      <c r="G3716" s="13" t="n"/>
    </row>
    <row r="3717">
      <c r="A3717" s="12" t="n"/>
      <c r="D3717">
        <f>IFERROR(VLOOKUP(C3717,Cadastro_Produtos!A:B,2,FALSE),"")</f>
        <v/>
      </c>
      <c r="F3717" s="12" t="n"/>
      <c r="G3717" s="13" t="n"/>
    </row>
    <row r="3718">
      <c r="A3718" s="12" t="n"/>
      <c r="D3718">
        <f>IFERROR(VLOOKUP(C3718,Cadastro_Produtos!A:B,2,FALSE),"")</f>
        <v/>
      </c>
      <c r="F3718" s="12" t="n"/>
      <c r="G3718" s="13" t="n"/>
    </row>
    <row r="3719">
      <c r="A3719" s="12" t="n"/>
      <c r="D3719">
        <f>IFERROR(VLOOKUP(C3719,Cadastro_Produtos!A:B,2,FALSE),"")</f>
        <v/>
      </c>
      <c r="F3719" s="12" t="n"/>
      <c r="G3719" s="13" t="n"/>
    </row>
    <row r="3720">
      <c r="A3720" s="12" t="n"/>
      <c r="D3720">
        <f>IFERROR(VLOOKUP(C3720,Cadastro_Produtos!A:B,2,FALSE),"")</f>
        <v/>
      </c>
      <c r="F3720" s="12" t="n"/>
      <c r="G3720" s="13" t="n"/>
    </row>
    <row r="3721">
      <c r="A3721" s="12" t="n"/>
      <c r="D3721">
        <f>IFERROR(VLOOKUP(C3721,Cadastro_Produtos!A:B,2,FALSE),"")</f>
        <v/>
      </c>
      <c r="F3721" s="12" t="n"/>
      <c r="G3721" s="13" t="n"/>
    </row>
    <row r="3722">
      <c r="A3722" s="12" t="n"/>
      <c r="D3722">
        <f>IFERROR(VLOOKUP(C3722,Cadastro_Produtos!A:B,2,FALSE),"")</f>
        <v/>
      </c>
      <c r="F3722" s="12" t="n"/>
      <c r="G3722" s="13" t="n"/>
    </row>
    <row r="3723">
      <c r="A3723" s="12" t="n"/>
      <c r="D3723">
        <f>IFERROR(VLOOKUP(C3723,Cadastro_Produtos!A:B,2,FALSE),"")</f>
        <v/>
      </c>
      <c r="F3723" s="12" t="n"/>
      <c r="G3723" s="13" t="n"/>
    </row>
    <row r="3724">
      <c r="A3724" s="12" t="n"/>
      <c r="D3724">
        <f>IFERROR(VLOOKUP(C3724,Cadastro_Produtos!A:B,2,FALSE),"")</f>
        <v/>
      </c>
      <c r="F3724" s="12" t="n"/>
      <c r="G3724" s="13" t="n"/>
    </row>
    <row r="3725">
      <c r="A3725" s="12" t="n"/>
      <c r="D3725">
        <f>IFERROR(VLOOKUP(C3725,Cadastro_Produtos!A:B,2,FALSE),"")</f>
        <v/>
      </c>
      <c r="F3725" s="12" t="n"/>
      <c r="G3725" s="13" t="n"/>
    </row>
    <row r="3726">
      <c r="A3726" s="12" t="n"/>
      <c r="D3726">
        <f>IFERROR(VLOOKUP(C3726,Cadastro_Produtos!A:B,2,FALSE),"")</f>
        <v/>
      </c>
      <c r="F3726" s="12" t="n"/>
      <c r="G3726" s="13" t="n"/>
    </row>
    <row r="3727">
      <c r="A3727" s="12" t="n"/>
      <c r="D3727">
        <f>IFERROR(VLOOKUP(C3727,Cadastro_Produtos!A:B,2,FALSE),"")</f>
        <v/>
      </c>
      <c r="F3727" s="12" t="n"/>
      <c r="G3727" s="13" t="n"/>
    </row>
    <row r="3728">
      <c r="A3728" s="12" t="n"/>
      <c r="D3728">
        <f>IFERROR(VLOOKUP(C3728,Cadastro_Produtos!A:B,2,FALSE),"")</f>
        <v/>
      </c>
      <c r="F3728" s="12" t="n"/>
      <c r="G3728" s="13" t="n"/>
    </row>
    <row r="3729">
      <c r="A3729" s="12" t="n"/>
      <c r="D3729">
        <f>IFERROR(VLOOKUP(C3729,Cadastro_Produtos!A:B,2,FALSE),"")</f>
        <v/>
      </c>
      <c r="F3729" s="12" t="n"/>
      <c r="G3729" s="13" t="n"/>
    </row>
    <row r="3730">
      <c r="A3730" s="12" t="n"/>
      <c r="D3730">
        <f>IFERROR(VLOOKUP(C3730,Cadastro_Produtos!A:B,2,FALSE),"")</f>
        <v/>
      </c>
      <c r="F3730" s="12" t="n"/>
      <c r="G3730" s="13" t="n"/>
    </row>
    <row r="3731">
      <c r="A3731" s="12" t="n"/>
      <c r="D3731">
        <f>IFERROR(VLOOKUP(C3731,Cadastro_Produtos!A:B,2,FALSE),"")</f>
        <v/>
      </c>
      <c r="F3731" s="12" t="n"/>
      <c r="G3731" s="13" t="n"/>
    </row>
    <row r="3732">
      <c r="A3732" s="12" t="n"/>
      <c r="D3732">
        <f>IFERROR(VLOOKUP(C3732,Cadastro_Produtos!A:B,2,FALSE),"")</f>
        <v/>
      </c>
      <c r="F3732" s="12" t="n"/>
      <c r="G3732" s="13" t="n"/>
    </row>
    <row r="3733">
      <c r="A3733" s="12" t="n"/>
      <c r="D3733">
        <f>IFERROR(VLOOKUP(C3733,Cadastro_Produtos!A:B,2,FALSE),"")</f>
        <v/>
      </c>
      <c r="F3733" s="12" t="n"/>
      <c r="G3733" s="13" t="n"/>
    </row>
    <row r="3734">
      <c r="A3734" s="12" t="n"/>
      <c r="D3734">
        <f>IFERROR(VLOOKUP(C3734,Cadastro_Produtos!A:B,2,FALSE),"")</f>
        <v/>
      </c>
      <c r="F3734" s="12" t="n"/>
      <c r="G3734" s="13" t="n"/>
    </row>
    <row r="3735">
      <c r="A3735" s="12" t="n"/>
      <c r="D3735">
        <f>IFERROR(VLOOKUP(C3735,Cadastro_Produtos!A:B,2,FALSE),"")</f>
        <v/>
      </c>
      <c r="F3735" s="12" t="n"/>
      <c r="G3735" s="13" t="n"/>
    </row>
    <row r="3736">
      <c r="A3736" s="12" t="n"/>
      <c r="D3736">
        <f>IFERROR(VLOOKUP(C3736,Cadastro_Produtos!A:B,2,FALSE),"")</f>
        <v/>
      </c>
      <c r="F3736" s="12" t="n"/>
      <c r="G3736" s="13" t="n"/>
    </row>
    <row r="3737">
      <c r="A3737" s="12" t="n"/>
      <c r="D3737">
        <f>IFERROR(VLOOKUP(C3737,Cadastro_Produtos!A:B,2,FALSE),"")</f>
        <v/>
      </c>
      <c r="F3737" s="12" t="n"/>
      <c r="G3737" s="13" t="n"/>
    </row>
    <row r="3738">
      <c r="A3738" s="12" t="n"/>
      <c r="D3738">
        <f>IFERROR(VLOOKUP(C3738,Cadastro_Produtos!A:B,2,FALSE),"")</f>
        <v/>
      </c>
      <c r="F3738" s="12" t="n"/>
      <c r="G3738" s="13" t="n"/>
    </row>
    <row r="3739">
      <c r="A3739" s="12" t="n"/>
      <c r="D3739">
        <f>IFERROR(VLOOKUP(C3739,Cadastro_Produtos!A:B,2,FALSE),"")</f>
        <v/>
      </c>
      <c r="F3739" s="12" t="n"/>
      <c r="G3739" s="13" t="n"/>
    </row>
    <row r="3740">
      <c r="A3740" s="12" t="n"/>
      <c r="D3740">
        <f>IFERROR(VLOOKUP(C3740,Cadastro_Produtos!A:B,2,FALSE),"")</f>
        <v/>
      </c>
      <c r="F3740" s="12" t="n"/>
      <c r="G3740" s="13" t="n"/>
    </row>
    <row r="3741">
      <c r="A3741" s="12" t="n"/>
      <c r="D3741">
        <f>IFERROR(VLOOKUP(C3741,Cadastro_Produtos!A:B,2,FALSE),"")</f>
        <v/>
      </c>
      <c r="F3741" s="12" t="n"/>
      <c r="G3741" s="13" t="n"/>
    </row>
    <row r="3742">
      <c r="A3742" s="12" t="n"/>
      <c r="D3742">
        <f>IFERROR(VLOOKUP(C3742,Cadastro_Produtos!A:B,2,FALSE),"")</f>
        <v/>
      </c>
      <c r="F3742" s="12" t="n"/>
      <c r="G3742" s="13" t="n"/>
    </row>
    <row r="3743">
      <c r="A3743" s="12" t="n"/>
      <c r="D3743">
        <f>IFERROR(VLOOKUP(C3743,Cadastro_Produtos!A:B,2,FALSE),"")</f>
        <v/>
      </c>
      <c r="F3743" s="12" t="n"/>
      <c r="G3743" s="13" t="n"/>
    </row>
    <row r="3744">
      <c r="A3744" s="12" t="n"/>
      <c r="D3744">
        <f>IFERROR(VLOOKUP(C3744,Cadastro_Produtos!A:B,2,FALSE),"")</f>
        <v/>
      </c>
      <c r="F3744" s="12" t="n"/>
      <c r="G3744" s="13" t="n"/>
    </row>
    <row r="3745">
      <c r="A3745" s="12" t="n"/>
      <c r="D3745">
        <f>IFERROR(VLOOKUP(C3745,Cadastro_Produtos!A:B,2,FALSE),"")</f>
        <v/>
      </c>
      <c r="F3745" s="12" t="n"/>
      <c r="G3745" s="13" t="n"/>
    </row>
    <row r="3746">
      <c r="A3746" s="12" t="n"/>
      <c r="D3746">
        <f>IFERROR(VLOOKUP(C3746,Cadastro_Produtos!A:B,2,FALSE),"")</f>
        <v/>
      </c>
      <c r="F3746" s="12" t="n"/>
      <c r="G3746" s="13" t="n"/>
    </row>
    <row r="3747">
      <c r="A3747" s="12" t="n"/>
      <c r="D3747">
        <f>IFERROR(VLOOKUP(C3747,Cadastro_Produtos!A:B,2,FALSE),"")</f>
        <v/>
      </c>
      <c r="F3747" s="12" t="n"/>
      <c r="G3747" s="13" t="n"/>
    </row>
    <row r="3748">
      <c r="A3748" s="12" t="n"/>
      <c r="D3748">
        <f>IFERROR(VLOOKUP(C3748,Cadastro_Produtos!A:B,2,FALSE),"")</f>
        <v/>
      </c>
      <c r="F3748" s="12" t="n"/>
      <c r="G3748" s="13" t="n"/>
    </row>
    <row r="3749">
      <c r="A3749" s="12" t="n"/>
      <c r="D3749">
        <f>IFERROR(VLOOKUP(C3749,Cadastro_Produtos!A:B,2,FALSE),"")</f>
        <v/>
      </c>
      <c r="F3749" s="12" t="n"/>
      <c r="G3749" s="13" t="n"/>
    </row>
    <row r="3750">
      <c r="A3750" s="12" t="n"/>
      <c r="D3750">
        <f>IFERROR(VLOOKUP(C3750,Cadastro_Produtos!A:B,2,FALSE),"")</f>
        <v/>
      </c>
      <c r="F3750" s="12" t="n"/>
      <c r="G3750" s="13" t="n"/>
    </row>
    <row r="3751">
      <c r="A3751" s="12" t="n"/>
      <c r="D3751">
        <f>IFERROR(VLOOKUP(C3751,Cadastro_Produtos!A:B,2,FALSE),"")</f>
        <v/>
      </c>
      <c r="F3751" s="12" t="n"/>
      <c r="G3751" s="13" t="n"/>
    </row>
    <row r="3752">
      <c r="A3752" s="12" t="n"/>
      <c r="D3752">
        <f>IFERROR(VLOOKUP(C3752,Cadastro_Produtos!A:B,2,FALSE),"")</f>
        <v/>
      </c>
      <c r="F3752" s="12" t="n"/>
      <c r="G3752" s="13" t="n"/>
    </row>
    <row r="3753">
      <c r="A3753" s="12" t="n"/>
      <c r="D3753">
        <f>IFERROR(VLOOKUP(C3753,Cadastro_Produtos!A:B,2,FALSE),"")</f>
        <v/>
      </c>
      <c r="F3753" s="12" t="n"/>
      <c r="G3753" s="13" t="n"/>
    </row>
    <row r="3754">
      <c r="A3754" s="12" t="n"/>
      <c r="D3754">
        <f>IFERROR(VLOOKUP(C3754,Cadastro_Produtos!A:B,2,FALSE),"")</f>
        <v/>
      </c>
      <c r="F3754" s="12" t="n"/>
      <c r="G3754" s="13" t="n"/>
    </row>
    <row r="3755">
      <c r="A3755" s="12" t="n"/>
      <c r="D3755">
        <f>IFERROR(VLOOKUP(C3755,Cadastro_Produtos!A:B,2,FALSE),"")</f>
        <v/>
      </c>
      <c r="F3755" s="12" t="n"/>
      <c r="G3755" s="13" t="n"/>
    </row>
    <row r="3756">
      <c r="A3756" s="12" t="n"/>
      <c r="D3756">
        <f>IFERROR(VLOOKUP(C3756,Cadastro_Produtos!A:B,2,FALSE),"")</f>
        <v/>
      </c>
      <c r="F3756" s="12" t="n"/>
      <c r="G3756" s="13" t="n"/>
    </row>
    <row r="3757">
      <c r="A3757" s="12" t="n"/>
      <c r="D3757">
        <f>IFERROR(VLOOKUP(C3757,Cadastro_Produtos!A:B,2,FALSE),"")</f>
        <v/>
      </c>
      <c r="F3757" s="12" t="n"/>
      <c r="G3757" s="13" t="n"/>
    </row>
    <row r="3758">
      <c r="A3758" s="12" t="n"/>
      <c r="D3758">
        <f>IFERROR(VLOOKUP(C3758,Cadastro_Produtos!A:B,2,FALSE),"")</f>
        <v/>
      </c>
      <c r="F3758" s="12" t="n"/>
      <c r="G3758" s="13" t="n"/>
    </row>
    <row r="3759">
      <c r="A3759" s="12" t="n"/>
      <c r="D3759">
        <f>IFERROR(VLOOKUP(C3759,Cadastro_Produtos!A:B,2,FALSE),"")</f>
        <v/>
      </c>
      <c r="F3759" s="12" t="n"/>
      <c r="G3759" s="13" t="n"/>
    </row>
    <row r="3760">
      <c r="A3760" s="12" t="n"/>
      <c r="D3760">
        <f>IFERROR(VLOOKUP(C3760,Cadastro_Produtos!A:B,2,FALSE),"")</f>
        <v/>
      </c>
      <c r="F3760" s="12" t="n"/>
      <c r="G3760" s="13" t="n"/>
    </row>
    <row r="3761">
      <c r="A3761" s="12" t="n"/>
      <c r="D3761">
        <f>IFERROR(VLOOKUP(C3761,Cadastro_Produtos!A:B,2,FALSE),"")</f>
        <v/>
      </c>
      <c r="F3761" s="12" t="n"/>
      <c r="G3761" s="13" t="n"/>
    </row>
    <row r="3762">
      <c r="A3762" s="12" t="n"/>
      <c r="D3762">
        <f>IFERROR(VLOOKUP(C3762,Cadastro_Produtos!A:B,2,FALSE),"")</f>
        <v/>
      </c>
      <c r="F3762" s="12" t="n"/>
      <c r="G3762" s="13" t="n"/>
    </row>
    <row r="3763">
      <c r="A3763" s="12" t="n"/>
      <c r="D3763">
        <f>IFERROR(VLOOKUP(C3763,Cadastro_Produtos!A:B,2,FALSE),"")</f>
        <v/>
      </c>
      <c r="F3763" s="12" t="n"/>
      <c r="G3763" s="13" t="n"/>
    </row>
    <row r="3764">
      <c r="A3764" s="12" t="n"/>
      <c r="D3764">
        <f>IFERROR(VLOOKUP(C3764,Cadastro_Produtos!A:B,2,FALSE),"")</f>
        <v/>
      </c>
      <c r="F3764" s="12" t="n"/>
      <c r="G3764" s="13" t="n"/>
    </row>
    <row r="3765">
      <c r="A3765" s="12" t="n"/>
      <c r="D3765">
        <f>IFERROR(VLOOKUP(C3765,Cadastro_Produtos!A:B,2,FALSE),"")</f>
        <v/>
      </c>
      <c r="F3765" s="12" t="n"/>
      <c r="G3765" s="13" t="n"/>
    </row>
    <row r="3766">
      <c r="A3766" s="12" t="n"/>
      <c r="D3766">
        <f>IFERROR(VLOOKUP(C3766,Cadastro_Produtos!A:B,2,FALSE),"")</f>
        <v/>
      </c>
      <c r="F3766" s="12" t="n"/>
      <c r="G3766" s="13" t="n"/>
    </row>
    <row r="3767">
      <c r="A3767" s="12" t="n"/>
      <c r="D3767">
        <f>IFERROR(VLOOKUP(C3767,Cadastro_Produtos!A:B,2,FALSE),"")</f>
        <v/>
      </c>
      <c r="F3767" s="12" t="n"/>
      <c r="G3767" s="13" t="n"/>
    </row>
    <row r="3768">
      <c r="A3768" s="12" t="n"/>
      <c r="D3768">
        <f>IFERROR(VLOOKUP(C3768,Cadastro_Produtos!A:B,2,FALSE),"")</f>
        <v/>
      </c>
      <c r="F3768" s="12" t="n"/>
      <c r="G3768" s="13" t="n"/>
    </row>
    <row r="3769">
      <c r="A3769" s="12" t="n"/>
      <c r="D3769">
        <f>IFERROR(VLOOKUP(C3769,Cadastro_Produtos!A:B,2,FALSE),"")</f>
        <v/>
      </c>
      <c r="F3769" s="12" t="n"/>
      <c r="G3769" s="13" t="n"/>
    </row>
    <row r="3770">
      <c r="A3770" s="12" t="n"/>
      <c r="D3770">
        <f>IFERROR(VLOOKUP(C3770,Cadastro_Produtos!A:B,2,FALSE),"")</f>
        <v/>
      </c>
      <c r="F3770" s="12" t="n"/>
      <c r="G3770" s="13" t="n"/>
    </row>
    <row r="3771">
      <c r="A3771" s="12" t="n"/>
      <c r="D3771">
        <f>IFERROR(VLOOKUP(C3771,Cadastro_Produtos!A:B,2,FALSE),"")</f>
        <v/>
      </c>
      <c r="F3771" s="12" t="n"/>
      <c r="G3771" s="13" t="n"/>
    </row>
    <row r="3772">
      <c r="A3772" s="12" t="n"/>
      <c r="D3772">
        <f>IFERROR(VLOOKUP(C3772,Cadastro_Produtos!A:B,2,FALSE),"")</f>
        <v/>
      </c>
      <c r="F3772" s="12" t="n"/>
      <c r="G3772" s="13" t="n"/>
    </row>
    <row r="3773">
      <c r="A3773" s="12" t="n"/>
      <c r="D3773">
        <f>IFERROR(VLOOKUP(C3773,Cadastro_Produtos!A:B,2,FALSE),"")</f>
        <v/>
      </c>
      <c r="F3773" s="12" t="n"/>
      <c r="G3773" s="13" t="n"/>
    </row>
    <row r="3774">
      <c r="A3774" s="12" t="n"/>
      <c r="D3774">
        <f>IFERROR(VLOOKUP(C3774,Cadastro_Produtos!A:B,2,FALSE),"")</f>
        <v/>
      </c>
      <c r="F3774" s="12" t="n"/>
      <c r="G3774" s="13" t="n"/>
    </row>
    <row r="3775">
      <c r="A3775" s="12" t="n"/>
      <c r="D3775">
        <f>IFERROR(VLOOKUP(C3775,Cadastro_Produtos!A:B,2,FALSE),"")</f>
        <v/>
      </c>
      <c r="F3775" s="12" t="n"/>
      <c r="G3775" s="13" t="n"/>
    </row>
    <row r="3776">
      <c r="A3776" s="12" t="n"/>
      <c r="D3776">
        <f>IFERROR(VLOOKUP(C3776,Cadastro_Produtos!A:B,2,FALSE),"")</f>
        <v/>
      </c>
      <c r="F3776" s="12" t="n"/>
      <c r="G3776" s="13" t="n"/>
    </row>
    <row r="3777">
      <c r="A3777" s="12" t="n"/>
      <c r="D3777">
        <f>IFERROR(VLOOKUP(C3777,Cadastro_Produtos!A:B,2,FALSE),"")</f>
        <v/>
      </c>
      <c r="F3777" s="12" t="n"/>
      <c r="G3777" s="13" t="n"/>
    </row>
    <row r="3778">
      <c r="A3778" s="12" t="n"/>
      <c r="D3778">
        <f>IFERROR(VLOOKUP(C3778,Cadastro_Produtos!A:B,2,FALSE),"")</f>
        <v/>
      </c>
      <c r="F3778" s="12" t="n"/>
      <c r="G3778" s="13" t="n"/>
    </row>
    <row r="3779">
      <c r="A3779" s="12" t="n"/>
      <c r="D3779">
        <f>IFERROR(VLOOKUP(C3779,Cadastro_Produtos!A:B,2,FALSE),"")</f>
        <v/>
      </c>
      <c r="F3779" s="12" t="n"/>
      <c r="G3779" s="13" t="n"/>
    </row>
    <row r="3780">
      <c r="A3780" s="12" t="n"/>
      <c r="D3780">
        <f>IFERROR(VLOOKUP(C3780,Cadastro_Produtos!A:B,2,FALSE),"")</f>
        <v/>
      </c>
      <c r="F3780" s="12" t="n"/>
      <c r="G3780" s="13" t="n"/>
    </row>
    <row r="3781">
      <c r="A3781" s="12" t="n"/>
      <c r="D3781">
        <f>IFERROR(VLOOKUP(C3781,Cadastro_Produtos!A:B,2,FALSE),"")</f>
        <v/>
      </c>
      <c r="F3781" s="12" t="n"/>
      <c r="G3781" s="13" t="n"/>
    </row>
    <row r="3782">
      <c r="A3782" s="12" t="n"/>
      <c r="D3782">
        <f>IFERROR(VLOOKUP(C3782,Cadastro_Produtos!A:B,2,FALSE),"")</f>
        <v/>
      </c>
      <c r="F3782" s="12" t="n"/>
      <c r="G3782" s="13" t="n"/>
    </row>
    <row r="3783">
      <c r="A3783" s="12" t="n"/>
      <c r="D3783">
        <f>IFERROR(VLOOKUP(C3783,Cadastro_Produtos!A:B,2,FALSE),"")</f>
        <v/>
      </c>
      <c r="F3783" s="12" t="n"/>
      <c r="G3783" s="13" t="n"/>
    </row>
    <row r="3784">
      <c r="A3784" s="12" t="n"/>
      <c r="D3784">
        <f>IFERROR(VLOOKUP(C3784,Cadastro_Produtos!A:B,2,FALSE),"")</f>
        <v/>
      </c>
      <c r="F3784" s="12" t="n"/>
      <c r="G3784" s="13" t="n"/>
    </row>
    <row r="3785">
      <c r="A3785" s="12" t="n"/>
      <c r="D3785">
        <f>IFERROR(VLOOKUP(C3785,Cadastro_Produtos!A:B,2,FALSE),"")</f>
        <v/>
      </c>
      <c r="F3785" s="12" t="n"/>
      <c r="G3785" s="13" t="n"/>
    </row>
    <row r="3786">
      <c r="A3786" s="12" t="n"/>
      <c r="D3786">
        <f>IFERROR(VLOOKUP(C3786,Cadastro_Produtos!A:B,2,FALSE),"")</f>
        <v/>
      </c>
      <c r="F3786" s="12" t="n"/>
      <c r="G3786" s="13" t="n"/>
    </row>
    <row r="3787">
      <c r="A3787" s="12" t="n"/>
      <c r="D3787">
        <f>IFERROR(VLOOKUP(C3787,Cadastro_Produtos!A:B,2,FALSE),"")</f>
        <v/>
      </c>
      <c r="F3787" s="12" t="n"/>
      <c r="G3787" s="13" t="n"/>
    </row>
    <row r="3788">
      <c r="A3788" s="12" t="n"/>
      <c r="D3788">
        <f>IFERROR(VLOOKUP(C3788,Cadastro_Produtos!A:B,2,FALSE),"")</f>
        <v/>
      </c>
      <c r="F3788" s="12" t="n"/>
      <c r="G3788" s="13" t="n"/>
    </row>
    <row r="3789">
      <c r="A3789" s="12" t="n"/>
      <c r="D3789">
        <f>IFERROR(VLOOKUP(C3789,Cadastro_Produtos!A:B,2,FALSE),"")</f>
        <v/>
      </c>
      <c r="F3789" s="12" t="n"/>
      <c r="G3789" s="13" t="n"/>
    </row>
    <row r="3790">
      <c r="A3790" s="12" t="n"/>
      <c r="D3790">
        <f>IFERROR(VLOOKUP(C3790,Cadastro_Produtos!A:B,2,FALSE),"")</f>
        <v/>
      </c>
      <c r="F3790" s="12" t="n"/>
      <c r="G3790" s="13" t="n"/>
    </row>
    <row r="3791">
      <c r="A3791" s="12" t="n"/>
      <c r="D3791">
        <f>IFERROR(VLOOKUP(C3791,Cadastro_Produtos!A:B,2,FALSE),"")</f>
        <v/>
      </c>
      <c r="F3791" s="12" t="n"/>
      <c r="G3791" s="13" t="n"/>
    </row>
    <row r="3792">
      <c r="A3792" s="12" t="n"/>
      <c r="D3792">
        <f>IFERROR(VLOOKUP(C3792,Cadastro_Produtos!A:B,2,FALSE),"")</f>
        <v/>
      </c>
      <c r="F3792" s="12" t="n"/>
      <c r="G3792" s="13" t="n"/>
    </row>
    <row r="3793">
      <c r="A3793" s="12" t="n"/>
      <c r="D3793">
        <f>IFERROR(VLOOKUP(C3793,Cadastro_Produtos!A:B,2,FALSE),"")</f>
        <v/>
      </c>
      <c r="F3793" s="12" t="n"/>
      <c r="G3793" s="13" t="n"/>
    </row>
    <row r="3794">
      <c r="A3794" s="12" t="n"/>
      <c r="D3794">
        <f>IFERROR(VLOOKUP(C3794,Cadastro_Produtos!A:B,2,FALSE),"")</f>
        <v/>
      </c>
      <c r="F3794" s="12" t="n"/>
      <c r="G3794" s="13" t="n"/>
    </row>
    <row r="3795">
      <c r="A3795" s="12" t="n"/>
      <c r="D3795">
        <f>IFERROR(VLOOKUP(C3795,Cadastro_Produtos!A:B,2,FALSE),"")</f>
        <v/>
      </c>
      <c r="F3795" s="12" t="n"/>
      <c r="G3795" s="13" t="n"/>
    </row>
    <row r="3796">
      <c r="A3796" s="12" t="n"/>
      <c r="D3796">
        <f>IFERROR(VLOOKUP(C3796,Cadastro_Produtos!A:B,2,FALSE),"")</f>
        <v/>
      </c>
      <c r="F3796" s="12" t="n"/>
      <c r="G3796" s="13" t="n"/>
    </row>
    <row r="3797">
      <c r="A3797" s="12" t="n"/>
      <c r="D3797">
        <f>IFERROR(VLOOKUP(C3797,Cadastro_Produtos!A:B,2,FALSE),"")</f>
        <v/>
      </c>
      <c r="F3797" s="12" t="n"/>
      <c r="G3797" s="13" t="n"/>
    </row>
    <row r="3798">
      <c r="A3798" s="12" t="n"/>
      <c r="D3798">
        <f>IFERROR(VLOOKUP(C3798,Cadastro_Produtos!A:B,2,FALSE),"")</f>
        <v/>
      </c>
      <c r="F3798" s="12" t="n"/>
      <c r="G3798" s="13" t="n"/>
    </row>
    <row r="3799">
      <c r="A3799" s="12" t="n"/>
      <c r="D3799">
        <f>IFERROR(VLOOKUP(C3799,Cadastro_Produtos!A:B,2,FALSE),"")</f>
        <v/>
      </c>
      <c r="F3799" s="12" t="n"/>
      <c r="G3799" s="13" t="n"/>
    </row>
    <row r="3800">
      <c r="A3800" s="12" t="n"/>
      <c r="D3800">
        <f>IFERROR(VLOOKUP(C3800,Cadastro_Produtos!A:B,2,FALSE),"")</f>
        <v/>
      </c>
      <c r="F3800" s="12" t="n"/>
      <c r="G3800" s="13" t="n"/>
    </row>
    <row r="3801">
      <c r="A3801" s="12" t="n"/>
      <c r="D3801">
        <f>IFERROR(VLOOKUP(C3801,Cadastro_Produtos!A:B,2,FALSE),"")</f>
        <v/>
      </c>
      <c r="F3801" s="12" t="n"/>
      <c r="G3801" s="13" t="n"/>
    </row>
    <row r="3802">
      <c r="A3802" s="12" t="n"/>
      <c r="D3802">
        <f>IFERROR(VLOOKUP(C3802,Cadastro_Produtos!A:B,2,FALSE),"")</f>
        <v/>
      </c>
      <c r="F3802" s="12" t="n"/>
      <c r="G3802" s="13" t="n"/>
    </row>
    <row r="3803">
      <c r="A3803" s="12" t="n"/>
      <c r="D3803">
        <f>IFERROR(VLOOKUP(C3803,Cadastro_Produtos!A:B,2,FALSE),"")</f>
        <v/>
      </c>
      <c r="F3803" s="12" t="n"/>
      <c r="G3803" s="13" t="n"/>
    </row>
    <row r="3804">
      <c r="A3804" s="12" t="n"/>
      <c r="D3804">
        <f>IFERROR(VLOOKUP(C3804,Cadastro_Produtos!A:B,2,FALSE),"")</f>
        <v/>
      </c>
      <c r="F3804" s="12" t="n"/>
      <c r="G3804" s="13" t="n"/>
    </row>
    <row r="3805">
      <c r="A3805" s="12" t="n"/>
      <c r="D3805">
        <f>IFERROR(VLOOKUP(C3805,Cadastro_Produtos!A:B,2,FALSE),"")</f>
        <v/>
      </c>
      <c r="F3805" s="12" t="n"/>
      <c r="G3805" s="13" t="n"/>
    </row>
    <row r="3806">
      <c r="A3806" s="12" t="n"/>
      <c r="D3806">
        <f>IFERROR(VLOOKUP(C3806,Cadastro_Produtos!A:B,2,FALSE),"")</f>
        <v/>
      </c>
      <c r="F3806" s="12" t="n"/>
      <c r="G3806" s="13" t="n"/>
    </row>
    <row r="3807">
      <c r="A3807" s="12" t="n"/>
      <c r="D3807">
        <f>IFERROR(VLOOKUP(C3807,Cadastro_Produtos!A:B,2,FALSE),"")</f>
        <v/>
      </c>
      <c r="F3807" s="12" t="n"/>
      <c r="G3807" s="13" t="n"/>
    </row>
    <row r="3808">
      <c r="A3808" s="12" t="n"/>
      <c r="D3808">
        <f>IFERROR(VLOOKUP(C3808,Cadastro_Produtos!A:B,2,FALSE),"")</f>
        <v/>
      </c>
      <c r="F3808" s="12" t="n"/>
      <c r="G3808" s="13" t="n"/>
    </row>
    <row r="3809">
      <c r="A3809" s="12" t="n"/>
      <c r="D3809">
        <f>IFERROR(VLOOKUP(C3809,Cadastro_Produtos!A:B,2,FALSE),"")</f>
        <v/>
      </c>
      <c r="F3809" s="12" t="n"/>
      <c r="G3809" s="13" t="n"/>
    </row>
    <row r="3810">
      <c r="A3810" s="12" t="n"/>
      <c r="D3810">
        <f>IFERROR(VLOOKUP(C3810,Cadastro_Produtos!A:B,2,FALSE),"")</f>
        <v/>
      </c>
      <c r="F3810" s="12" t="n"/>
      <c r="G3810" s="13" t="n"/>
    </row>
    <row r="3811">
      <c r="A3811" s="12" t="n"/>
      <c r="D3811">
        <f>IFERROR(VLOOKUP(C3811,Cadastro_Produtos!A:B,2,FALSE),"")</f>
        <v/>
      </c>
      <c r="F3811" s="12" t="n"/>
      <c r="G3811" s="13" t="n"/>
    </row>
    <row r="3812">
      <c r="A3812" s="12" t="n"/>
      <c r="D3812">
        <f>IFERROR(VLOOKUP(C3812,Cadastro_Produtos!A:B,2,FALSE),"")</f>
        <v/>
      </c>
      <c r="F3812" s="12" t="n"/>
      <c r="G3812" s="13" t="n"/>
    </row>
    <row r="3813">
      <c r="A3813" s="12" t="n"/>
      <c r="D3813">
        <f>IFERROR(VLOOKUP(C3813,Cadastro_Produtos!A:B,2,FALSE),"")</f>
        <v/>
      </c>
      <c r="F3813" s="12" t="n"/>
      <c r="G3813" s="13" t="n"/>
    </row>
    <row r="3814">
      <c r="A3814" s="12" t="n"/>
      <c r="D3814">
        <f>IFERROR(VLOOKUP(C3814,Cadastro_Produtos!A:B,2,FALSE),"")</f>
        <v/>
      </c>
      <c r="F3814" s="12" t="n"/>
      <c r="G3814" s="13" t="n"/>
    </row>
    <row r="3815">
      <c r="A3815" s="12" t="n"/>
      <c r="D3815">
        <f>IFERROR(VLOOKUP(C3815,Cadastro_Produtos!A:B,2,FALSE),"")</f>
        <v/>
      </c>
      <c r="F3815" s="12" t="n"/>
      <c r="G3815" s="13" t="n"/>
    </row>
    <row r="3816">
      <c r="A3816" s="12" t="n"/>
      <c r="D3816">
        <f>IFERROR(VLOOKUP(C3816,Cadastro_Produtos!A:B,2,FALSE),"")</f>
        <v/>
      </c>
      <c r="F3816" s="12" t="n"/>
      <c r="G3816" s="13" t="n"/>
    </row>
    <row r="3817">
      <c r="A3817" s="12" t="n"/>
      <c r="D3817">
        <f>IFERROR(VLOOKUP(C3817,Cadastro_Produtos!A:B,2,FALSE),"")</f>
        <v/>
      </c>
      <c r="F3817" s="12" t="n"/>
      <c r="G3817" s="13" t="n"/>
    </row>
    <row r="3818">
      <c r="A3818" s="12" t="n"/>
      <c r="D3818">
        <f>IFERROR(VLOOKUP(C3818,Cadastro_Produtos!A:B,2,FALSE),"")</f>
        <v/>
      </c>
      <c r="F3818" s="12" t="n"/>
      <c r="G3818" s="13" t="n"/>
    </row>
    <row r="3819">
      <c r="A3819" s="12" t="n"/>
      <c r="D3819">
        <f>IFERROR(VLOOKUP(C3819,Cadastro_Produtos!A:B,2,FALSE),"")</f>
        <v/>
      </c>
      <c r="F3819" s="12" t="n"/>
      <c r="G3819" s="13" t="n"/>
    </row>
    <row r="3820">
      <c r="A3820" s="12" t="n"/>
      <c r="D3820">
        <f>IFERROR(VLOOKUP(C3820,Cadastro_Produtos!A:B,2,FALSE),"")</f>
        <v/>
      </c>
      <c r="F3820" s="12" t="n"/>
      <c r="G3820" s="13" t="n"/>
    </row>
    <row r="3821">
      <c r="A3821" s="12" t="n"/>
      <c r="D3821">
        <f>IFERROR(VLOOKUP(C3821,Cadastro_Produtos!A:B,2,FALSE),"")</f>
        <v/>
      </c>
      <c r="F3821" s="12" t="n"/>
      <c r="G3821" s="13" t="n"/>
    </row>
    <row r="3822">
      <c r="A3822" s="12" t="n"/>
      <c r="D3822">
        <f>IFERROR(VLOOKUP(C3822,Cadastro_Produtos!A:B,2,FALSE),"")</f>
        <v/>
      </c>
      <c r="F3822" s="12" t="n"/>
      <c r="G3822" s="13" t="n"/>
    </row>
    <row r="3823">
      <c r="A3823" s="12" t="n"/>
      <c r="D3823">
        <f>IFERROR(VLOOKUP(C3823,Cadastro_Produtos!A:B,2,FALSE),"")</f>
        <v/>
      </c>
      <c r="F3823" s="12" t="n"/>
      <c r="G3823" s="13" t="n"/>
    </row>
    <row r="3824">
      <c r="A3824" s="12" t="n"/>
      <c r="D3824">
        <f>IFERROR(VLOOKUP(C3824,Cadastro_Produtos!A:B,2,FALSE),"")</f>
        <v/>
      </c>
      <c r="F3824" s="12" t="n"/>
      <c r="G3824" s="13" t="n"/>
    </row>
    <row r="3825">
      <c r="A3825" s="12" t="n"/>
      <c r="D3825">
        <f>IFERROR(VLOOKUP(C3825,Cadastro_Produtos!A:B,2,FALSE),"")</f>
        <v/>
      </c>
      <c r="F3825" s="12" t="n"/>
      <c r="G3825" s="13" t="n"/>
    </row>
    <row r="3826">
      <c r="A3826" s="12" t="n"/>
      <c r="D3826">
        <f>IFERROR(VLOOKUP(C3826,Cadastro_Produtos!A:B,2,FALSE),"")</f>
        <v/>
      </c>
      <c r="F3826" s="12" t="n"/>
      <c r="G3826" s="13" t="n"/>
    </row>
    <row r="3827">
      <c r="A3827" s="12" t="n"/>
      <c r="D3827">
        <f>IFERROR(VLOOKUP(C3827,Cadastro_Produtos!A:B,2,FALSE),"")</f>
        <v/>
      </c>
      <c r="F3827" s="12" t="n"/>
      <c r="G3827" s="13" t="n"/>
    </row>
    <row r="3828">
      <c r="A3828" s="12" t="n"/>
      <c r="D3828">
        <f>IFERROR(VLOOKUP(C3828,Cadastro_Produtos!A:B,2,FALSE),"")</f>
        <v/>
      </c>
      <c r="F3828" s="12" t="n"/>
      <c r="G3828" s="13" t="n"/>
    </row>
    <row r="3829">
      <c r="A3829" s="12" t="n"/>
      <c r="D3829">
        <f>IFERROR(VLOOKUP(C3829,Cadastro_Produtos!A:B,2,FALSE),"")</f>
        <v/>
      </c>
      <c r="F3829" s="12" t="n"/>
      <c r="G3829" s="13" t="n"/>
    </row>
    <row r="3830">
      <c r="A3830" s="12" t="n"/>
      <c r="D3830">
        <f>IFERROR(VLOOKUP(C3830,Cadastro_Produtos!A:B,2,FALSE),"")</f>
        <v/>
      </c>
      <c r="F3830" s="12" t="n"/>
      <c r="G3830" s="13" t="n"/>
    </row>
    <row r="3831">
      <c r="A3831" s="12" t="n"/>
      <c r="D3831">
        <f>IFERROR(VLOOKUP(C3831,Cadastro_Produtos!A:B,2,FALSE),"")</f>
        <v/>
      </c>
      <c r="F3831" s="12" t="n"/>
      <c r="G3831" s="13" t="n"/>
    </row>
    <row r="3832">
      <c r="A3832" s="12" t="n"/>
      <c r="D3832">
        <f>IFERROR(VLOOKUP(C3832,Cadastro_Produtos!A:B,2,FALSE),"")</f>
        <v/>
      </c>
      <c r="F3832" s="12" t="n"/>
      <c r="G3832" s="13" t="n"/>
    </row>
    <row r="3833">
      <c r="A3833" s="12" t="n"/>
      <c r="D3833">
        <f>IFERROR(VLOOKUP(C3833,Cadastro_Produtos!A:B,2,FALSE),"")</f>
        <v/>
      </c>
      <c r="F3833" s="12" t="n"/>
      <c r="G3833" s="13" t="n"/>
    </row>
    <row r="3834">
      <c r="A3834" s="12" t="n"/>
      <c r="D3834">
        <f>IFERROR(VLOOKUP(C3834,Cadastro_Produtos!A:B,2,FALSE),"")</f>
        <v/>
      </c>
      <c r="F3834" s="12" t="n"/>
      <c r="G3834" s="13" t="n"/>
    </row>
    <row r="3835">
      <c r="A3835" s="12" t="n"/>
      <c r="D3835">
        <f>IFERROR(VLOOKUP(C3835,Cadastro_Produtos!A:B,2,FALSE),"")</f>
        <v/>
      </c>
      <c r="F3835" s="12" t="n"/>
      <c r="G3835" s="13" t="n"/>
    </row>
    <row r="3836">
      <c r="A3836" s="12" t="n"/>
      <c r="D3836">
        <f>IFERROR(VLOOKUP(C3836,Cadastro_Produtos!A:B,2,FALSE),"")</f>
        <v/>
      </c>
      <c r="F3836" s="12" t="n"/>
      <c r="G3836" s="13" t="n"/>
    </row>
    <row r="3837">
      <c r="A3837" s="12" t="n"/>
      <c r="D3837">
        <f>IFERROR(VLOOKUP(C3837,Cadastro_Produtos!A:B,2,FALSE),"")</f>
        <v/>
      </c>
      <c r="F3837" s="12" t="n"/>
      <c r="G3837" s="13" t="n"/>
    </row>
    <row r="3838">
      <c r="A3838" s="12" t="n"/>
      <c r="D3838">
        <f>IFERROR(VLOOKUP(C3838,Cadastro_Produtos!A:B,2,FALSE),"")</f>
        <v/>
      </c>
      <c r="F3838" s="12" t="n"/>
      <c r="G3838" s="13" t="n"/>
    </row>
    <row r="3839">
      <c r="A3839" s="12" t="n"/>
      <c r="D3839">
        <f>IFERROR(VLOOKUP(C3839,Cadastro_Produtos!A:B,2,FALSE),"")</f>
        <v/>
      </c>
      <c r="F3839" s="12" t="n"/>
      <c r="G3839" s="13" t="n"/>
    </row>
    <row r="3840">
      <c r="A3840" s="12" t="n"/>
      <c r="D3840">
        <f>IFERROR(VLOOKUP(C3840,Cadastro_Produtos!A:B,2,FALSE),"")</f>
        <v/>
      </c>
      <c r="F3840" s="12" t="n"/>
      <c r="G3840" s="13" t="n"/>
    </row>
    <row r="3841">
      <c r="A3841" s="12" t="n"/>
      <c r="D3841">
        <f>IFERROR(VLOOKUP(C3841,Cadastro_Produtos!A:B,2,FALSE),"")</f>
        <v/>
      </c>
      <c r="F3841" s="12" t="n"/>
      <c r="G3841" s="13" t="n"/>
    </row>
    <row r="3842">
      <c r="A3842" s="12" t="n"/>
      <c r="D3842">
        <f>IFERROR(VLOOKUP(C3842,Cadastro_Produtos!A:B,2,FALSE),"")</f>
        <v/>
      </c>
      <c r="F3842" s="12" t="n"/>
      <c r="G3842" s="13" t="n"/>
    </row>
    <row r="3843">
      <c r="A3843" s="12" t="n"/>
      <c r="D3843">
        <f>IFERROR(VLOOKUP(C3843,Cadastro_Produtos!A:B,2,FALSE),"")</f>
        <v/>
      </c>
      <c r="F3843" s="12" t="n"/>
      <c r="G3843" s="13" t="n"/>
    </row>
    <row r="3844">
      <c r="A3844" s="12" t="n"/>
      <c r="D3844">
        <f>IFERROR(VLOOKUP(C3844,Cadastro_Produtos!A:B,2,FALSE),"")</f>
        <v/>
      </c>
      <c r="F3844" s="12" t="n"/>
      <c r="G3844" s="13" t="n"/>
    </row>
    <row r="3845">
      <c r="A3845" s="12" t="n"/>
      <c r="D3845">
        <f>IFERROR(VLOOKUP(C3845,Cadastro_Produtos!A:B,2,FALSE),"")</f>
        <v/>
      </c>
      <c r="F3845" s="12" t="n"/>
      <c r="G3845" s="13" t="n"/>
    </row>
    <row r="3846">
      <c r="A3846" s="12" t="n"/>
      <c r="D3846">
        <f>IFERROR(VLOOKUP(C3846,Cadastro_Produtos!A:B,2,FALSE),"")</f>
        <v/>
      </c>
      <c r="F3846" s="12" t="n"/>
      <c r="G3846" s="13" t="n"/>
    </row>
    <row r="3847">
      <c r="A3847" s="12" t="n"/>
      <c r="D3847">
        <f>IFERROR(VLOOKUP(C3847,Cadastro_Produtos!A:B,2,FALSE),"")</f>
        <v/>
      </c>
      <c r="F3847" s="12" t="n"/>
      <c r="G3847" s="13" t="n"/>
    </row>
    <row r="3848">
      <c r="A3848" s="12" t="n"/>
      <c r="D3848">
        <f>IFERROR(VLOOKUP(C3848,Cadastro_Produtos!A:B,2,FALSE),"")</f>
        <v/>
      </c>
      <c r="F3848" s="12" t="n"/>
      <c r="G3848" s="13" t="n"/>
    </row>
    <row r="3849">
      <c r="A3849" s="12" t="n"/>
      <c r="D3849">
        <f>IFERROR(VLOOKUP(C3849,Cadastro_Produtos!A:B,2,FALSE),"")</f>
        <v/>
      </c>
      <c r="F3849" s="12" t="n"/>
      <c r="G3849" s="13" t="n"/>
    </row>
    <row r="3850">
      <c r="A3850" s="12" t="n"/>
      <c r="D3850">
        <f>IFERROR(VLOOKUP(C3850,Cadastro_Produtos!A:B,2,FALSE),"")</f>
        <v/>
      </c>
      <c r="F3850" s="12" t="n"/>
      <c r="G3850" s="13" t="n"/>
    </row>
    <row r="3851">
      <c r="A3851" s="12" t="n"/>
      <c r="D3851">
        <f>IFERROR(VLOOKUP(C3851,Cadastro_Produtos!A:B,2,FALSE),"")</f>
        <v/>
      </c>
      <c r="F3851" s="12" t="n"/>
      <c r="G3851" s="13" t="n"/>
    </row>
    <row r="3852">
      <c r="A3852" s="12" t="n"/>
      <c r="D3852">
        <f>IFERROR(VLOOKUP(C3852,Cadastro_Produtos!A:B,2,FALSE),"")</f>
        <v/>
      </c>
      <c r="F3852" s="12" t="n"/>
      <c r="G3852" s="13" t="n"/>
    </row>
    <row r="3853">
      <c r="A3853" s="12" t="n"/>
      <c r="D3853">
        <f>IFERROR(VLOOKUP(C3853,Cadastro_Produtos!A:B,2,FALSE),"")</f>
        <v/>
      </c>
      <c r="F3853" s="12" t="n"/>
      <c r="G3853" s="13" t="n"/>
    </row>
    <row r="3854">
      <c r="A3854" s="12" t="n"/>
      <c r="D3854">
        <f>IFERROR(VLOOKUP(C3854,Cadastro_Produtos!A:B,2,FALSE),"")</f>
        <v/>
      </c>
      <c r="F3854" s="12" t="n"/>
      <c r="G3854" s="13" t="n"/>
    </row>
    <row r="3855">
      <c r="A3855" s="12" t="n"/>
      <c r="D3855">
        <f>IFERROR(VLOOKUP(C3855,Cadastro_Produtos!A:B,2,FALSE),"")</f>
        <v/>
      </c>
      <c r="F3855" s="12" t="n"/>
      <c r="G3855" s="13" t="n"/>
    </row>
    <row r="3856">
      <c r="A3856" s="12" t="n"/>
      <c r="D3856">
        <f>IFERROR(VLOOKUP(C3856,Cadastro_Produtos!A:B,2,FALSE),"")</f>
        <v/>
      </c>
      <c r="F3856" s="12" t="n"/>
      <c r="G3856" s="13" t="n"/>
    </row>
    <row r="3857">
      <c r="A3857" s="12" t="n"/>
      <c r="D3857">
        <f>IFERROR(VLOOKUP(C3857,Cadastro_Produtos!A:B,2,FALSE),"")</f>
        <v/>
      </c>
      <c r="F3857" s="12" t="n"/>
      <c r="G3857" s="13" t="n"/>
    </row>
    <row r="3858">
      <c r="A3858" s="12" t="n"/>
      <c r="D3858">
        <f>IFERROR(VLOOKUP(C3858,Cadastro_Produtos!A:B,2,FALSE),"")</f>
        <v/>
      </c>
      <c r="F3858" s="12" t="n"/>
      <c r="G3858" s="13" t="n"/>
    </row>
    <row r="3859">
      <c r="A3859" s="12" t="n"/>
      <c r="D3859">
        <f>IFERROR(VLOOKUP(C3859,Cadastro_Produtos!A:B,2,FALSE),"")</f>
        <v/>
      </c>
      <c r="F3859" s="12" t="n"/>
      <c r="G3859" s="13" t="n"/>
    </row>
    <row r="3860">
      <c r="A3860" s="12" t="n"/>
      <c r="D3860">
        <f>IFERROR(VLOOKUP(C3860,Cadastro_Produtos!A:B,2,FALSE),"")</f>
        <v/>
      </c>
      <c r="F3860" s="12" t="n"/>
      <c r="G3860" s="13" t="n"/>
    </row>
    <row r="3861">
      <c r="A3861" s="12" t="n"/>
      <c r="D3861">
        <f>IFERROR(VLOOKUP(C3861,Cadastro_Produtos!A:B,2,FALSE),"")</f>
        <v/>
      </c>
      <c r="F3861" s="12" t="n"/>
      <c r="G3861" s="13" t="n"/>
    </row>
    <row r="3862">
      <c r="A3862" s="12" t="n"/>
      <c r="D3862">
        <f>IFERROR(VLOOKUP(C3862,Cadastro_Produtos!A:B,2,FALSE),"")</f>
        <v/>
      </c>
      <c r="F3862" s="12" t="n"/>
      <c r="G3862" s="13" t="n"/>
    </row>
    <row r="3863">
      <c r="A3863" s="12" t="n"/>
      <c r="D3863">
        <f>IFERROR(VLOOKUP(C3863,Cadastro_Produtos!A:B,2,FALSE),"")</f>
        <v/>
      </c>
      <c r="F3863" s="12" t="n"/>
      <c r="G3863" s="13" t="n"/>
    </row>
    <row r="3864">
      <c r="A3864" s="12" t="n"/>
      <c r="D3864">
        <f>IFERROR(VLOOKUP(C3864,Cadastro_Produtos!A:B,2,FALSE),"")</f>
        <v/>
      </c>
      <c r="F3864" s="12" t="n"/>
      <c r="G3864" s="13" t="n"/>
    </row>
    <row r="3865">
      <c r="A3865" s="12" t="n"/>
      <c r="D3865">
        <f>IFERROR(VLOOKUP(C3865,Cadastro_Produtos!A:B,2,FALSE),"")</f>
        <v/>
      </c>
      <c r="F3865" s="12" t="n"/>
      <c r="G3865" s="13" t="n"/>
    </row>
    <row r="3866">
      <c r="A3866" s="12" t="n"/>
      <c r="D3866">
        <f>IFERROR(VLOOKUP(C3866,Cadastro_Produtos!A:B,2,FALSE),"")</f>
        <v/>
      </c>
      <c r="F3866" s="12" t="n"/>
      <c r="G3866" s="13" t="n"/>
    </row>
    <row r="3867">
      <c r="A3867" s="12" t="n"/>
      <c r="D3867">
        <f>IFERROR(VLOOKUP(C3867,Cadastro_Produtos!A:B,2,FALSE),"")</f>
        <v/>
      </c>
      <c r="F3867" s="12" t="n"/>
      <c r="G3867" s="13" t="n"/>
    </row>
    <row r="3868">
      <c r="A3868" s="12" t="n"/>
      <c r="D3868">
        <f>IFERROR(VLOOKUP(C3868,Cadastro_Produtos!A:B,2,FALSE),"")</f>
        <v/>
      </c>
      <c r="F3868" s="12" t="n"/>
      <c r="G3868" s="13" t="n"/>
    </row>
    <row r="3869">
      <c r="A3869" s="12" t="n"/>
      <c r="D3869">
        <f>IFERROR(VLOOKUP(C3869,Cadastro_Produtos!A:B,2,FALSE),"")</f>
        <v/>
      </c>
      <c r="F3869" s="12" t="n"/>
      <c r="G3869" s="13" t="n"/>
    </row>
    <row r="3870">
      <c r="A3870" s="12" t="n"/>
      <c r="D3870">
        <f>IFERROR(VLOOKUP(C3870,Cadastro_Produtos!A:B,2,FALSE),"")</f>
        <v/>
      </c>
      <c r="F3870" s="12" t="n"/>
      <c r="G3870" s="13" t="n"/>
    </row>
    <row r="3871">
      <c r="A3871" s="12" t="n"/>
      <c r="D3871">
        <f>IFERROR(VLOOKUP(C3871,Cadastro_Produtos!A:B,2,FALSE),"")</f>
        <v/>
      </c>
      <c r="F3871" s="12" t="n"/>
      <c r="G3871" s="13" t="n"/>
    </row>
    <row r="3872">
      <c r="A3872" s="12" t="n"/>
      <c r="D3872">
        <f>IFERROR(VLOOKUP(C3872,Cadastro_Produtos!A:B,2,FALSE),"")</f>
        <v/>
      </c>
      <c r="F3872" s="12" t="n"/>
      <c r="G3872" s="13" t="n"/>
    </row>
    <row r="3873">
      <c r="A3873" s="12" t="n"/>
      <c r="D3873">
        <f>IFERROR(VLOOKUP(C3873,Cadastro_Produtos!A:B,2,FALSE),"")</f>
        <v/>
      </c>
      <c r="F3873" s="12" t="n"/>
      <c r="G3873" s="13" t="n"/>
    </row>
    <row r="3874">
      <c r="A3874" s="12" t="n"/>
      <c r="D3874">
        <f>IFERROR(VLOOKUP(C3874,Cadastro_Produtos!A:B,2,FALSE),"")</f>
        <v/>
      </c>
      <c r="F3874" s="12" t="n"/>
      <c r="G3874" s="13" t="n"/>
    </row>
    <row r="3875">
      <c r="A3875" s="12" t="n"/>
      <c r="D3875">
        <f>IFERROR(VLOOKUP(C3875,Cadastro_Produtos!A:B,2,FALSE),"")</f>
        <v/>
      </c>
      <c r="F3875" s="12" t="n"/>
      <c r="G3875" s="13" t="n"/>
    </row>
    <row r="3876">
      <c r="A3876" s="12" t="n"/>
      <c r="D3876">
        <f>IFERROR(VLOOKUP(C3876,Cadastro_Produtos!A:B,2,FALSE),"")</f>
        <v/>
      </c>
      <c r="F3876" s="12" t="n"/>
      <c r="G3876" s="13" t="n"/>
    </row>
    <row r="3877">
      <c r="A3877" s="12" t="n"/>
      <c r="D3877">
        <f>IFERROR(VLOOKUP(C3877,Cadastro_Produtos!A:B,2,FALSE),"")</f>
        <v/>
      </c>
      <c r="F3877" s="12" t="n"/>
      <c r="G3877" s="13" t="n"/>
    </row>
    <row r="3878">
      <c r="A3878" s="12" t="n"/>
      <c r="D3878">
        <f>IFERROR(VLOOKUP(C3878,Cadastro_Produtos!A:B,2,FALSE),"")</f>
        <v/>
      </c>
      <c r="F3878" s="12" t="n"/>
      <c r="G3878" s="13" t="n"/>
    </row>
    <row r="3879">
      <c r="A3879" s="12" t="n"/>
      <c r="D3879">
        <f>IFERROR(VLOOKUP(C3879,Cadastro_Produtos!A:B,2,FALSE),"")</f>
        <v/>
      </c>
      <c r="F3879" s="12" t="n"/>
      <c r="G3879" s="13" t="n"/>
    </row>
    <row r="3880">
      <c r="A3880" s="12" t="n"/>
      <c r="D3880">
        <f>IFERROR(VLOOKUP(C3880,Cadastro_Produtos!A:B,2,FALSE),"")</f>
        <v/>
      </c>
      <c r="F3880" s="12" t="n"/>
      <c r="G3880" s="13" t="n"/>
    </row>
    <row r="3881">
      <c r="A3881" s="12" t="n"/>
      <c r="D3881">
        <f>IFERROR(VLOOKUP(C3881,Cadastro_Produtos!A:B,2,FALSE),"")</f>
        <v/>
      </c>
      <c r="F3881" s="12" t="n"/>
      <c r="G3881" s="13" t="n"/>
    </row>
    <row r="3882">
      <c r="A3882" s="12" t="n"/>
      <c r="D3882">
        <f>IFERROR(VLOOKUP(C3882,Cadastro_Produtos!A:B,2,FALSE),"")</f>
        <v/>
      </c>
      <c r="F3882" s="12" t="n"/>
      <c r="G3882" s="13" t="n"/>
    </row>
    <row r="3883">
      <c r="A3883" s="12" t="n"/>
      <c r="D3883">
        <f>IFERROR(VLOOKUP(C3883,Cadastro_Produtos!A:B,2,FALSE),"")</f>
        <v/>
      </c>
      <c r="F3883" s="12" t="n"/>
      <c r="G3883" s="13" t="n"/>
    </row>
    <row r="3884">
      <c r="A3884" s="12" t="n"/>
      <c r="D3884">
        <f>IFERROR(VLOOKUP(C3884,Cadastro_Produtos!A:B,2,FALSE),"")</f>
        <v/>
      </c>
      <c r="F3884" s="12" t="n"/>
      <c r="G3884" s="13" t="n"/>
    </row>
    <row r="3885">
      <c r="A3885" s="12" t="n"/>
      <c r="D3885">
        <f>IFERROR(VLOOKUP(C3885,Cadastro_Produtos!A:B,2,FALSE),"")</f>
        <v/>
      </c>
      <c r="F3885" s="12" t="n"/>
      <c r="G3885" s="13" t="n"/>
    </row>
    <row r="3886">
      <c r="A3886" s="12" t="n"/>
      <c r="D3886">
        <f>IFERROR(VLOOKUP(C3886,Cadastro_Produtos!A:B,2,FALSE),"")</f>
        <v/>
      </c>
      <c r="F3886" s="12" t="n"/>
      <c r="G3886" s="13" t="n"/>
    </row>
    <row r="3887">
      <c r="A3887" s="12" t="n"/>
      <c r="D3887">
        <f>IFERROR(VLOOKUP(C3887,Cadastro_Produtos!A:B,2,FALSE),"")</f>
        <v/>
      </c>
      <c r="F3887" s="12" t="n"/>
      <c r="G3887" s="13" t="n"/>
    </row>
    <row r="3888">
      <c r="A3888" s="12" t="n"/>
      <c r="D3888">
        <f>IFERROR(VLOOKUP(C3888,Cadastro_Produtos!A:B,2,FALSE),"")</f>
        <v/>
      </c>
      <c r="F3888" s="12" t="n"/>
      <c r="G3888" s="13" t="n"/>
    </row>
    <row r="3889">
      <c r="A3889" s="12" t="n"/>
      <c r="D3889">
        <f>IFERROR(VLOOKUP(C3889,Cadastro_Produtos!A:B,2,FALSE),"")</f>
        <v/>
      </c>
      <c r="F3889" s="12" t="n"/>
      <c r="G3889" s="13" t="n"/>
    </row>
    <row r="3890">
      <c r="A3890" s="12" t="n"/>
      <c r="D3890">
        <f>IFERROR(VLOOKUP(C3890,Cadastro_Produtos!A:B,2,FALSE),"")</f>
        <v/>
      </c>
      <c r="F3890" s="12" t="n"/>
      <c r="G3890" s="13" t="n"/>
    </row>
    <row r="3891">
      <c r="A3891" s="12" t="n"/>
      <c r="D3891">
        <f>IFERROR(VLOOKUP(C3891,Cadastro_Produtos!A:B,2,FALSE),"")</f>
        <v/>
      </c>
      <c r="F3891" s="12" t="n"/>
      <c r="G3891" s="13" t="n"/>
    </row>
    <row r="3892">
      <c r="A3892" s="12" t="n"/>
      <c r="D3892">
        <f>IFERROR(VLOOKUP(C3892,Cadastro_Produtos!A:B,2,FALSE),"")</f>
        <v/>
      </c>
      <c r="F3892" s="12" t="n"/>
      <c r="G3892" s="13" t="n"/>
    </row>
    <row r="3893">
      <c r="A3893" s="12" t="n"/>
      <c r="D3893">
        <f>IFERROR(VLOOKUP(C3893,Cadastro_Produtos!A:B,2,FALSE),"")</f>
        <v/>
      </c>
      <c r="F3893" s="12" t="n"/>
      <c r="G3893" s="13" t="n"/>
    </row>
    <row r="3894">
      <c r="A3894" s="12" t="n"/>
      <c r="D3894">
        <f>IFERROR(VLOOKUP(C3894,Cadastro_Produtos!A:B,2,FALSE),"")</f>
        <v/>
      </c>
      <c r="F3894" s="12" t="n"/>
      <c r="G3894" s="13" t="n"/>
    </row>
    <row r="3895">
      <c r="A3895" s="12" t="n"/>
      <c r="D3895">
        <f>IFERROR(VLOOKUP(C3895,Cadastro_Produtos!A:B,2,FALSE),"")</f>
        <v/>
      </c>
      <c r="F3895" s="12" t="n"/>
      <c r="G3895" s="13" t="n"/>
    </row>
    <row r="3896">
      <c r="A3896" s="12" t="n"/>
      <c r="D3896">
        <f>IFERROR(VLOOKUP(C3896,Cadastro_Produtos!A:B,2,FALSE),"")</f>
        <v/>
      </c>
      <c r="F3896" s="12" t="n"/>
      <c r="G3896" s="13" t="n"/>
    </row>
    <row r="3897">
      <c r="A3897" s="12" t="n"/>
      <c r="D3897">
        <f>IFERROR(VLOOKUP(C3897,Cadastro_Produtos!A:B,2,FALSE),"")</f>
        <v/>
      </c>
      <c r="F3897" s="12" t="n"/>
      <c r="G3897" s="13" t="n"/>
    </row>
    <row r="3898">
      <c r="A3898" s="12" t="n"/>
      <c r="D3898">
        <f>IFERROR(VLOOKUP(C3898,Cadastro_Produtos!A:B,2,FALSE),"")</f>
        <v/>
      </c>
      <c r="F3898" s="12" t="n"/>
      <c r="G3898" s="13" t="n"/>
    </row>
    <row r="3899">
      <c r="A3899" s="12" t="n"/>
      <c r="D3899">
        <f>IFERROR(VLOOKUP(C3899,Cadastro_Produtos!A:B,2,FALSE),"")</f>
        <v/>
      </c>
      <c r="F3899" s="12" t="n"/>
      <c r="G3899" s="13" t="n"/>
    </row>
    <row r="3900">
      <c r="A3900" s="12" t="n"/>
      <c r="D3900">
        <f>IFERROR(VLOOKUP(C3900,Cadastro_Produtos!A:B,2,FALSE),"")</f>
        <v/>
      </c>
      <c r="F3900" s="12" t="n"/>
      <c r="G3900" s="13" t="n"/>
    </row>
    <row r="3901">
      <c r="A3901" s="12" t="n"/>
      <c r="D3901">
        <f>IFERROR(VLOOKUP(C3901,Cadastro_Produtos!A:B,2,FALSE),"")</f>
        <v/>
      </c>
      <c r="F3901" s="12" t="n"/>
      <c r="G3901" s="13" t="n"/>
    </row>
    <row r="3902">
      <c r="A3902" s="12" t="n"/>
      <c r="D3902">
        <f>IFERROR(VLOOKUP(C3902,Cadastro_Produtos!A:B,2,FALSE),"")</f>
        <v/>
      </c>
      <c r="F3902" s="12" t="n"/>
      <c r="G3902" s="13" t="n"/>
    </row>
    <row r="3903">
      <c r="A3903" s="12" t="n"/>
      <c r="D3903">
        <f>IFERROR(VLOOKUP(C3903,Cadastro_Produtos!A:B,2,FALSE),"")</f>
        <v/>
      </c>
      <c r="F3903" s="12" t="n"/>
      <c r="G3903" s="13" t="n"/>
    </row>
    <row r="3904">
      <c r="A3904" s="12" t="n"/>
      <c r="D3904">
        <f>IFERROR(VLOOKUP(C3904,Cadastro_Produtos!A:B,2,FALSE),"")</f>
        <v/>
      </c>
      <c r="F3904" s="12" t="n"/>
      <c r="G3904" s="13" t="n"/>
    </row>
    <row r="3905">
      <c r="A3905" s="12" t="n"/>
      <c r="D3905">
        <f>IFERROR(VLOOKUP(C3905,Cadastro_Produtos!A:B,2,FALSE),"")</f>
        <v/>
      </c>
      <c r="F3905" s="12" t="n"/>
      <c r="G3905" s="13" t="n"/>
    </row>
    <row r="3906">
      <c r="A3906" s="12" t="n"/>
      <c r="D3906">
        <f>IFERROR(VLOOKUP(C3906,Cadastro_Produtos!A:B,2,FALSE),"")</f>
        <v/>
      </c>
      <c r="F3906" s="12" t="n"/>
      <c r="G3906" s="13" t="n"/>
    </row>
    <row r="3907">
      <c r="A3907" s="12" t="n"/>
      <c r="D3907">
        <f>IFERROR(VLOOKUP(C3907,Cadastro_Produtos!A:B,2,FALSE),"")</f>
        <v/>
      </c>
      <c r="F3907" s="12" t="n"/>
      <c r="G3907" s="13" t="n"/>
    </row>
    <row r="3908">
      <c r="A3908" s="12" t="n"/>
      <c r="D3908">
        <f>IFERROR(VLOOKUP(C3908,Cadastro_Produtos!A:B,2,FALSE),"")</f>
        <v/>
      </c>
      <c r="F3908" s="12" t="n"/>
      <c r="G3908" s="13" t="n"/>
    </row>
    <row r="3909">
      <c r="A3909" s="12" t="n"/>
      <c r="D3909">
        <f>IFERROR(VLOOKUP(C3909,Cadastro_Produtos!A:B,2,FALSE),"")</f>
        <v/>
      </c>
      <c r="F3909" s="12" t="n"/>
      <c r="G3909" s="13" t="n"/>
    </row>
    <row r="3910">
      <c r="A3910" s="12" t="n"/>
      <c r="D3910">
        <f>IFERROR(VLOOKUP(C3910,Cadastro_Produtos!A:B,2,FALSE),"")</f>
        <v/>
      </c>
      <c r="F3910" s="12" t="n"/>
      <c r="G3910" s="13" t="n"/>
    </row>
    <row r="3911">
      <c r="A3911" s="12" t="n"/>
      <c r="D3911">
        <f>IFERROR(VLOOKUP(C3911,Cadastro_Produtos!A:B,2,FALSE),"")</f>
        <v/>
      </c>
      <c r="F3911" s="12" t="n"/>
      <c r="G3911" s="13" t="n"/>
    </row>
    <row r="3912">
      <c r="A3912" s="12" t="n"/>
      <c r="D3912">
        <f>IFERROR(VLOOKUP(C3912,Cadastro_Produtos!A:B,2,FALSE),"")</f>
        <v/>
      </c>
      <c r="F3912" s="12" t="n"/>
      <c r="G3912" s="13" t="n"/>
    </row>
    <row r="3913">
      <c r="A3913" s="12" t="n"/>
      <c r="D3913">
        <f>IFERROR(VLOOKUP(C3913,Cadastro_Produtos!A:B,2,FALSE),"")</f>
        <v/>
      </c>
      <c r="F3913" s="12" t="n"/>
      <c r="G3913" s="13" t="n"/>
    </row>
    <row r="3914">
      <c r="A3914" s="12" t="n"/>
      <c r="D3914">
        <f>IFERROR(VLOOKUP(C3914,Cadastro_Produtos!A:B,2,FALSE),"")</f>
        <v/>
      </c>
      <c r="F3914" s="12" t="n"/>
      <c r="G3914" s="13" t="n"/>
    </row>
    <row r="3915">
      <c r="A3915" s="12" t="n"/>
      <c r="D3915">
        <f>IFERROR(VLOOKUP(C3915,Cadastro_Produtos!A:B,2,FALSE),"")</f>
        <v/>
      </c>
      <c r="F3915" s="12" t="n"/>
      <c r="G3915" s="13" t="n"/>
    </row>
    <row r="3916">
      <c r="A3916" s="12" t="n"/>
      <c r="D3916">
        <f>IFERROR(VLOOKUP(C3916,Cadastro_Produtos!A:B,2,FALSE),"")</f>
        <v/>
      </c>
      <c r="F3916" s="12" t="n"/>
      <c r="G3916" s="13" t="n"/>
    </row>
    <row r="3917">
      <c r="A3917" s="12" t="n"/>
      <c r="D3917">
        <f>IFERROR(VLOOKUP(C3917,Cadastro_Produtos!A:B,2,FALSE),"")</f>
        <v/>
      </c>
      <c r="F3917" s="12" t="n"/>
      <c r="G3917" s="13" t="n"/>
    </row>
    <row r="3918">
      <c r="A3918" s="12" t="n"/>
      <c r="D3918">
        <f>IFERROR(VLOOKUP(C3918,Cadastro_Produtos!A:B,2,FALSE),"")</f>
        <v/>
      </c>
      <c r="F3918" s="12" t="n"/>
      <c r="G3918" s="13" t="n"/>
    </row>
    <row r="3919">
      <c r="A3919" s="12" t="n"/>
      <c r="D3919">
        <f>IFERROR(VLOOKUP(C3919,Cadastro_Produtos!A:B,2,FALSE),"")</f>
        <v/>
      </c>
      <c r="F3919" s="12" t="n"/>
      <c r="G3919" s="13" t="n"/>
    </row>
    <row r="3920">
      <c r="A3920" s="12" t="n"/>
      <c r="D3920">
        <f>IFERROR(VLOOKUP(C3920,Cadastro_Produtos!A:B,2,FALSE),"")</f>
        <v/>
      </c>
      <c r="F3920" s="12" t="n"/>
      <c r="G3920" s="13" t="n"/>
    </row>
    <row r="3921">
      <c r="A3921" s="12" t="n"/>
      <c r="D3921">
        <f>IFERROR(VLOOKUP(C3921,Cadastro_Produtos!A:B,2,FALSE),"")</f>
        <v/>
      </c>
      <c r="F3921" s="12" t="n"/>
      <c r="G3921" s="13" t="n"/>
    </row>
    <row r="3922">
      <c r="A3922" s="12" t="n"/>
      <c r="D3922">
        <f>IFERROR(VLOOKUP(C3922,Cadastro_Produtos!A:B,2,FALSE),"")</f>
        <v/>
      </c>
      <c r="F3922" s="12" t="n"/>
      <c r="G3922" s="13" t="n"/>
    </row>
    <row r="3923">
      <c r="A3923" s="12" t="n"/>
      <c r="D3923">
        <f>IFERROR(VLOOKUP(C3923,Cadastro_Produtos!A:B,2,FALSE),"")</f>
        <v/>
      </c>
      <c r="F3923" s="12" t="n"/>
      <c r="G3923" s="13" t="n"/>
    </row>
    <row r="3924">
      <c r="A3924" s="12" t="n"/>
      <c r="D3924">
        <f>IFERROR(VLOOKUP(C3924,Cadastro_Produtos!A:B,2,FALSE),"")</f>
        <v/>
      </c>
      <c r="F3924" s="12" t="n"/>
      <c r="G3924" s="13" t="n"/>
    </row>
    <row r="3925">
      <c r="A3925" s="12" t="n"/>
      <c r="D3925">
        <f>IFERROR(VLOOKUP(C3925,Cadastro_Produtos!A:B,2,FALSE),"")</f>
        <v/>
      </c>
      <c r="F3925" s="12" t="n"/>
      <c r="G3925" s="13" t="n"/>
    </row>
    <row r="3926">
      <c r="A3926" s="12" t="n"/>
      <c r="D3926">
        <f>IFERROR(VLOOKUP(C3926,Cadastro_Produtos!A:B,2,FALSE),"")</f>
        <v/>
      </c>
      <c r="F3926" s="12" t="n"/>
      <c r="G3926" s="13" t="n"/>
    </row>
    <row r="3927">
      <c r="A3927" s="12" t="n"/>
      <c r="D3927">
        <f>IFERROR(VLOOKUP(C3927,Cadastro_Produtos!A:B,2,FALSE),"")</f>
        <v/>
      </c>
      <c r="F3927" s="12" t="n"/>
      <c r="G3927" s="13" t="n"/>
    </row>
    <row r="3928">
      <c r="A3928" s="12" t="n"/>
      <c r="D3928">
        <f>IFERROR(VLOOKUP(C3928,Cadastro_Produtos!A:B,2,FALSE),"")</f>
        <v/>
      </c>
      <c r="F3928" s="12" t="n"/>
      <c r="G3928" s="13" t="n"/>
    </row>
    <row r="3929">
      <c r="A3929" s="12" t="n"/>
      <c r="D3929">
        <f>IFERROR(VLOOKUP(C3929,Cadastro_Produtos!A:B,2,FALSE),"")</f>
        <v/>
      </c>
      <c r="F3929" s="12" t="n"/>
      <c r="G3929" s="13" t="n"/>
    </row>
    <row r="3930">
      <c r="A3930" s="12" t="n"/>
      <c r="D3930">
        <f>IFERROR(VLOOKUP(C3930,Cadastro_Produtos!A:B,2,FALSE),"")</f>
        <v/>
      </c>
      <c r="F3930" s="12" t="n"/>
      <c r="G3930" s="13" t="n"/>
    </row>
    <row r="3931">
      <c r="A3931" s="12" t="n"/>
      <c r="D3931">
        <f>IFERROR(VLOOKUP(C3931,Cadastro_Produtos!A:B,2,FALSE),"")</f>
        <v/>
      </c>
      <c r="F3931" s="12" t="n"/>
      <c r="G3931" s="13" t="n"/>
    </row>
    <row r="3932">
      <c r="A3932" s="12" t="n"/>
      <c r="D3932">
        <f>IFERROR(VLOOKUP(C3932,Cadastro_Produtos!A:B,2,FALSE),"")</f>
        <v/>
      </c>
      <c r="F3932" s="12" t="n"/>
      <c r="G3932" s="13" t="n"/>
    </row>
    <row r="3933">
      <c r="A3933" s="12" t="n"/>
      <c r="D3933">
        <f>IFERROR(VLOOKUP(C3933,Cadastro_Produtos!A:B,2,FALSE),"")</f>
        <v/>
      </c>
      <c r="F3933" s="12" t="n"/>
      <c r="G3933" s="13" t="n"/>
    </row>
    <row r="3934">
      <c r="A3934" s="12" t="n"/>
      <c r="D3934">
        <f>IFERROR(VLOOKUP(C3934,Cadastro_Produtos!A:B,2,FALSE),"")</f>
        <v/>
      </c>
      <c r="F3934" s="12" t="n"/>
      <c r="G3934" s="13" t="n"/>
    </row>
    <row r="3935">
      <c r="A3935" s="12" t="n"/>
      <c r="D3935">
        <f>IFERROR(VLOOKUP(C3935,Cadastro_Produtos!A:B,2,FALSE),"")</f>
        <v/>
      </c>
      <c r="F3935" s="12" t="n"/>
      <c r="G3935" s="13" t="n"/>
    </row>
    <row r="3936">
      <c r="A3936" s="12" t="n"/>
      <c r="D3936">
        <f>IFERROR(VLOOKUP(C3936,Cadastro_Produtos!A:B,2,FALSE),"")</f>
        <v/>
      </c>
      <c r="F3936" s="12" t="n"/>
      <c r="G3936" s="13" t="n"/>
    </row>
    <row r="3937">
      <c r="A3937" s="12" t="n"/>
      <c r="D3937">
        <f>IFERROR(VLOOKUP(C3937,Cadastro_Produtos!A:B,2,FALSE),"")</f>
        <v/>
      </c>
      <c r="F3937" s="12" t="n"/>
      <c r="G3937" s="13" t="n"/>
    </row>
    <row r="3938">
      <c r="A3938" s="12" t="n"/>
      <c r="D3938">
        <f>IFERROR(VLOOKUP(C3938,Cadastro_Produtos!A:B,2,FALSE),"")</f>
        <v/>
      </c>
      <c r="F3938" s="12" t="n"/>
      <c r="G3938" s="13" t="n"/>
    </row>
    <row r="3939">
      <c r="A3939" s="12" t="n"/>
      <c r="D3939">
        <f>IFERROR(VLOOKUP(C3939,Cadastro_Produtos!A:B,2,FALSE),"")</f>
        <v/>
      </c>
      <c r="F3939" s="12" t="n"/>
      <c r="G3939" s="13" t="n"/>
    </row>
    <row r="3940">
      <c r="A3940" s="12" t="n"/>
      <c r="D3940">
        <f>IFERROR(VLOOKUP(C3940,Cadastro_Produtos!A:B,2,FALSE),"")</f>
        <v/>
      </c>
      <c r="F3940" s="12" t="n"/>
      <c r="G3940" s="13" t="n"/>
    </row>
    <row r="3941">
      <c r="A3941" s="12" t="n"/>
      <c r="D3941">
        <f>IFERROR(VLOOKUP(C3941,Cadastro_Produtos!A:B,2,FALSE),"")</f>
        <v/>
      </c>
      <c r="F3941" s="12" t="n"/>
      <c r="G3941" s="13" t="n"/>
    </row>
    <row r="3942">
      <c r="A3942" s="12" t="n"/>
      <c r="D3942">
        <f>IFERROR(VLOOKUP(C3942,Cadastro_Produtos!A:B,2,FALSE),"")</f>
        <v/>
      </c>
      <c r="F3942" s="12" t="n"/>
      <c r="G3942" s="13" t="n"/>
    </row>
    <row r="3943">
      <c r="A3943" s="12" t="n"/>
      <c r="D3943">
        <f>IFERROR(VLOOKUP(C3943,Cadastro_Produtos!A:B,2,FALSE),"")</f>
        <v/>
      </c>
      <c r="F3943" s="12" t="n"/>
      <c r="G3943" s="13" t="n"/>
    </row>
    <row r="3944">
      <c r="A3944" s="12" t="n"/>
      <c r="D3944">
        <f>IFERROR(VLOOKUP(C3944,Cadastro_Produtos!A:B,2,FALSE),"")</f>
        <v/>
      </c>
      <c r="F3944" s="12" t="n"/>
      <c r="G3944" s="13" t="n"/>
    </row>
    <row r="3945">
      <c r="A3945" s="12" t="n"/>
      <c r="D3945">
        <f>IFERROR(VLOOKUP(C3945,Cadastro_Produtos!A:B,2,FALSE),"")</f>
        <v/>
      </c>
      <c r="F3945" s="12" t="n"/>
      <c r="G3945" s="13" t="n"/>
    </row>
    <row r="3946">
      <c r="A3946" s="12" t="n"/>
      <c r="D3946">
        <f>IFERROR(VLOOKUP(C3946,Cadastro_Produtos!A:B,2,FALSE),"")</f>
        <v/>
      </c>
      <c r="F3946" s="12" t="n"/>
      <c r="G3946" s="13" t="n"/>
    </row>
    <row r="3947">
      <c r="A3947" s="12" t="n"/>
      <c r="D3947">
        <f>IFERROR(VLOOKUP(C3947,Cadastro_Produtos!A:B,2,FALSE),"")</f>
        <v/>
      </c>
      <c r="F3947" s="12" t="n"/>
      <c r="G3947" s="13" t="n"/>
    </row>
    <row r="3948">
      <c r="A3948" s="12" t="n"/>
      <c r="D3948">
        <f>IFERROR(VLOOKUP(C3948,Cadastro_Produtos!A:B,2,FALSE),"")</f>
        <v/>
      </c>
      <c r="F3948" s="12" t="n"/>
      <c r="G3948" s="13" t="n"/>
    </row>
    <row r="3949">
      <c r="A3949" s="12" t="n"/>
      <c r="D3949">
        <f>IFERROR(VLOOKUP(C3949,Cadastro_Produtos!A:B,2,FALSE),"")</f>
        <v/>
      </c>
      <c r="F3949" s="12" t="n"/>
      <c r="G3949" s="13" t="n"/>
    </row>
    <row r="3950">
      <c r="A3950" s="12" t="n"/>
      <c r="D3950">
        <f>IFERROR(VLOOKUP(C3950,Cadastro_Produtos!A:B,2,FALSE),"")</f>
        <v/>
      </c>
      <c r="F3950" s="12" t="n"/>
      <c r="G3950" s="13" t="n"/>
    </row>
    <row r="3951">
      <c r="A3951" s="12" t="n"/>
      <c r="D3951">
        <f>IFERROR(VLOOKUP(C3951,Cadastro_Produtos!A:B,2,FALSE),"")</f>
        <v/>
      </c>
      <c r="F3951" s="12" t="n"/>
      <c r="G3951" s="13" t="n"/>
    </row>
    <row r="3952">
      <c r="A3952" s="12" t="n"/>
      <c r="D3952">
        <f>IFERROR(VLOOKUP(C3952,Cadastro_Produtos!A:B,2,FALSE),"")</f>
        <v/>
      </c>
      <c r="F3952" s="12" t="n"/>
      <c r="G3952" s="13" t="n"/>
    </row>
    <row r="3953">
      <c r="A3953" s="12" t="n"/>
      <c r="D3953">
        <f>IFERROR(VLOOKUP(C3953,Cadastro_Produtos!A:B,2,FALSE),"")</f>
        <v/>
      </c>
      <c r="F3953" s="12" t="n"/>
      <c r="G3953" s="13" t="n"/>
    </row>
    <row r="3954">
      <c r="A3954" s="12" t="n"/>
      <c r="D3954">
        <f>IFERROR(VLOOKUP(C3954,Cadastro_Produtos!A:B,2,FALSE),"")</f>
        <v/>
      </c>
      <c r="F3954" s="12" t="n"/>
      <c r="G3954" s="13" t="n"/>
    </row>
    <row r="3955">
      <c r="A3955" s="12" t="n"/>
      <c r="D3955">
        <f>IFERROR(VLOOKUP(C3955,Cadastro_Produtos!A:B,2,FALSE),"")</f>
        <v/>
      </c>
      <c r="F3955" s="12" t="n"/>
      <c r="G3955" s="13" t="n"/>
    </row>
    <row r="3956">
      <c r="A3956" s="12" t="n"/>
      <c r="D3956">
        <f>IFERROR(VLOOKUP(C3956,Cadastro_Produtos!A:B,2,FALSE),"")</f>
        <v/>
      </c>
      <c r="F3956" s="12" t="n"/>
      <c r="G3956" s="13" t="n"/>
    </row>
    <row r="3957">
      <c r="A3957" s="12" t="n"/>
      <c r="D3957">
        <f>IFERROR(VLOOKUP(C3957,Cadastro_Produtos!A:B,2,FALSE),"")</f>
        <v/>
      </c>
      <c r="F3957" s="12" t="n"/>
      <c r="G3957" s="13" t="n"/>
    </row>
    <row r="3958">
      <c r="A3958" s="12" t="n"/>
      <c r="D3958">
        <f>IFERROR(VLOOKUP(C3958,Cadastro_Produtos!A:B,2,FALSE),"")</f>
        <v/>
      </c>
      <c r="F3958" s="12" t="n"/>
      <c r="G3958" s="13" t="n"/>
    </row>
    <row r="3959">
      <c r="A3959" s="12" t="n"/>
      <c r="D3959">
        <f>IFERROR(VLOOKUP(C3959,Cadastro_Produtos!A:B,2,FALSE),"")</f>
        <v/>
      </c>
      <c r="F3959" s="12" t="n"/>
      <c r="G3959" s="13" t="n"/>
    </row>
    <row r="3960">
      <c r="A3960" s="12" t="n"/>
      <c r="D3960">
        <f>IFERROR(VLOOKUP(C3960,Cadastro_Produtos!A:B,2,FALSE),"")</f>
        <v/>
      </c>
      <c r="F3960" s="12" t="n"/>
      <c r="G3960" s="13" t="n"/>
    </row>
    <row r="3961">
      <c r="A3961" s="12" t="n"/>
      <c r="D3961">
        <f>IFERROR(VLOOKUP(C3961,Cadastro_Produtos!A:B,2,FALSE),"")</f>
        <v/>
      </c>
      <c r="F3961" s="12" t="n"/>
      <c r="G3961" s="13" t="n"/>
    </row>
    <row r="3962">
      <c r="A3962" s="12" t="n"/>
      <c r="D3962">
        <f>IFERROR(VLOOKUP(C3962,Cadastro_Produtos!A:B,2,FALSE),"")</f>
        <v/>
      </c>
      <c r="F3962" s="12" t="n"/>
      <c r="G3962" s="13" t="n"/>
    </row>
    <row r="3963">
      <c r="A3963" s="12" t="n"/>
      <c r="D3963">
        <f>IFERROR(VLOOKUP(C3963,Cadastro_Produtos!A:B,2,FALSE),"")</f>
        <v/>
      </c>
      <c r="F3963" s="12" t="n"/>
      <c r="G3963" s="13" t="n"/>
    </row>
    <row r="3964">
      <c r="A3964" s="12" t="n"/>
      <c r="D3964">
        <f>IFERROR(VLOOKUP(C3964,Cadastro_Produtos!A:B,2,FALSE),"")</f>
        <v/>
      </c>
      <c r="F3964" s="12" t="n"/>
      <c r="G3964" s="13" t="n"/>
    </row>
    <row r="3965">
      <c r="A3965" s="12" t="n"/>
      <c r="D3965">
        <f>IFERROR(VLOOKUP(C3965,Cadastro_Produtos!A:B,2,FALSE),"")</f>
        <v/>
      </c>
      <c r="F3965" s="12" t="n"/>
      <c r="G3965" s="13" t="n"/>
    </row>
    <row r="3966">
      <c r="A3966" s="12" t="n"/>
      <c r="D3966">
        <f>IFERROR(VLOOKUP(C3966,Cadastro_Produtos!A:B,2,FALSE),"")</f>
        <v/>
      </c>
      <c r="F3966" s="12" t="n"/>
      <c r="G3966" s="13" t="n"/>
    </row>
    <row r="3967">
      <c r="A3967" s="12" t="n"/>
      <c r="D3967">
        <f>IFERROR(VLOOKUP(C3967,Cadastro_Produtos!A:B,2,FALSE),"")</f>
        <v/>
      </c>
      <c r="F3967" s="12" t="n"/>
      <c r="G3967" s="13" t="n"/>
    </row>
    <row r="3968">
      <c r="A3968" s="12" t="n"/>
      <c r="D3968">
        <f>IFERROR(VLOOKUP(C3968,Cadastro_Produtos!A:B,2,FALSE),"")</f>
        <v/>
      </c>
      <c r="F3968" s="12" t="n"/>
      <c r="G3968" s="13" t="n"/>
    </row>
    <row r="3969">
      <c r="A3969" s="12" t="n"/>
      <c r="D3969">
        <f>IFERROR(VLOOKUP(C3969,Cadastro_Produtos!A:B,2,FALSE),"")</f>
        <v/>
      </c>
      <c r="F3969" s="12" t="n"/>
      <c r="G3969" s="13" t="n"/>
    </row>
    <row r="3970">
      <c r="A3970" s="12" t="n"/>
      <c r="D3970">
        <f>IFERROR(VLOOKUP(C3970,Cadastro_Produtos!A:B,2,FALSE),"")</f>
        <v/>
      </c>
      <c r="F3970" s="12" t="n"/>
      <c r="G3970" s="13" t="n"/>
    </row>
    <row r="3971">
      <c r="A3971" s="12" t="n"/>
      <c r="D3971">
        <f>IFERROR(VLOOKUP(C3971,Cadastro_Produtos!A:B,2,FALSE),"")</f>
        <v/>
      </c>
      <c r="F3971" s="12" t="n"/>
      <c r="G3971" s="13" t="n"/>
    </row>
    <row r="3972">
      <c r="A3972" s="12" t="n"/>
      <c r="D3972">
        <f>IFERROR(VLOOKUP(C3972,Cadastro_Produtos!A:B,2,FALSE),"")</f>
        <v/>
      </c>
      <c r="F3972" s="12" t="n"/>
      <c r="G3972" s="13" t="n"/>
    </row>
    <row r="3973">
      <c r="A3973" s="12" t="n"/>
      <c r="D3973">
        <f>IFERROR(VLOOKUP(C3973,Cadastro_Produtos!A:B,2,FALSE),"")</f>
        <v/>
      </c>
      <c r="F3973" s="12" t="n"/>
      <c r="G3973" s="13" t="n"/>
    </row>
    <row r="3974">
      <c r="A3974" s="12" t="n"/>
      <c r="D3974">
        <f>IFERROR(VLOOKUP(C3974,Cadastro_Produtos!A:B,2,FALSE),"")</f>
        <v/>
      </c>
      <c r="F3974" s="12" t="n"/>
      <c r="G3974" s="13" t="n"/>
    </row>
    <row r="3975">
      <c r="A3975" s="12" t="n"/>
      <c r="D3975">
        <f>IFERROR(VLOOKUP(C3975,Cadastro_Produtos!A:B,2,FALSE),"")</f>
        <v/>
      </c>
      <c r="F3975" s="12" t="n"/>
      <c r="G3975" s="13" t="n"/>
    </row>
    <row r="3976">
      <c r="A3976" s="12" t="n"/>
      <c r="D3976">
        <f>IFERROR(VLOOKUP(C3976,Cadastro_Produtos!A:B,2,FALSE),"")</f>
        <v/>
      </c>
      <c r="F3976" s="12" t="n"/>
      <c r="G3976" s="13" t="n"/>
    </row>
    <row r="3977">
      <c r="A3977" s="12" t="n"/>
      <c r="D3977">
        <f>IFERROR(VLOOKUP(C3977,Cadastro_Produtos!A:B,2,FALSE),"")</f>
        <v/>
      </c>
      <c r="F3977" s="12" t="n"/>
      <c r="G3977" s="13" t="n"/>
    </row>
    <row r="3978">
      <c r="A3978" s="12" t="n"/>
      <c r="D3978">
        <f>IFERROR(VLOOKUP(C3978,Cadastro_Produtos!A:B,2,FALSE),"")</f>
        <v/>
      </c>
      <c r="F3978" s="12" t="n"/>
      <c r="G3978" s="13" t="n"/>
    </row>
    <row r="3979">
      <c r="A3979" s="12" t="n"/>
      <c r="D3979">
        <f>IFERROR(VLOOKUP(C3979,Cadastro_Produtos!A:B,2,FALSE),"")</f>
        <v/>
      </c>
      <c r="F3979" s="12" t="n"/>
      <c r="G3979" s="13" t="n"/>
    </row>
    <row r="3980">
      <c r="A3980" s="12" t="n"/>
      <c r="D3980">
        <f>IFERROR(VLOOKUP(C3980,Cadastro_Produtos!A:B,2,FALSE),"")</f>
        <v/>
      </c>
      <c r="F3980" s="12" t="n"/>
      <c r="G3980" s="13" t="n"/>
    </row>
    <row r="3981">
      <c r="A3981" s="12" t="n"/>
      <c r="D3981">
        <f>IFERROR(VLOOKUP(C3981,Cadastro_Produtos!A:B,2,FALSE),"")</f>
        <v/>
      </c>
      <c r="F3981" s="12" t="n"/>
      <c r="G3981" s="13" t="n"/>
    </row>
    <row r="3982">
      <c r="A3982" s="12" t="n"/>
      <c r="D3982">
        <f>IFERROR(VLOOKUP(C3982,Cadastro_Produtos!A:B,2,FALSE),"")</f>
        <v/>
      </c>
      <c r="F3982" s="12" t="n"/>
      <c r="G3982" s="13" t="n"/>
    </row>
    <row r="3983">
      <c r="A3983" s="12" t="n"/>
      <c r="D3983">
        <f>IFERROR(VLOOKUP(C3983,Cadastro_Produtos!A:B,2,FALSE),"")</f>
        <v/>
      </c>
      <c r="F3983" s="12" t="n"/>
      <c r="G3983" s="13" t="n"/>
    </row>
    <row r="3984">
      <c r="A3984" s="12" t="n"/>
      <c r="D3984">
        <f>IFERROR(VLOOKUP(C3984,Cadastro_Produtos!A:B,2,FALSE),"")</f>
        <v/>
      </c>
      <c r="F3984" s="12" t="n"/>
      <c r="G3984" s="13" t="n"/>
    </row>
    <row r="3985">
      <c r="A3985" s="12" t="n"/>
      <c r="D3985">
        <f>IFERROR(VLOOKUP(C3985,Cadastro_Produtos!A:B,2,FALSE),"")</f>
        <v/>
      </c>
      <c r="F3985" s="12" t="n"/>
      <c r="G3985" s="13" t="n"/>
    </row>
    <row r="3986">
      <c r="A3986" s="12" t="n"/>
      <c r="D3986">
        <f>IFERROR(VLOOKUP(C3986,Cadastro_Produtos!A:B,2,FALSE),"")</f>
        <v/>
      </c>
      <c r="F3986" s="12" t="n"/>
      <c r="G3986" s="13" t="n"/>
    </row>
    <row r="3987">
      <c r="A3987" s="12" t="n"/>
      <c r="D3987">
        <f>IFERROR(VLOOKUP(C3987,Cadastro_Produtos!A:B,2,FALSE),"")</f>
        <v/>
      </c>
      <c r="F3987" s="12" t="n"/>
      <c r="G3987" s="13" t="n"/>
    </row>
    <row r="3988">
      <c r="A3988" s="12" t="n"/>
      <c r="D3988">
        <f>IFERROR(VLOOKUP(C3988,Cadastro_Produtos!A:B,2,FALSE),"")</f>
        <v/>
      </c>
      <c r="F3988" s="12" t="n"/>
      <c r="G3988" s="13" t="n"/>
    </row>
    <row r="3989">
      <c r="A3989" s="12" t="n"/>
      <c r="D3989">
        <f>IFERROR(VLOOKUP(C3989,Cadastro_Produtos!A:B,2,FALSE),"")</f>
        <v/>
      </c>
      <c r="F3989" s="12" t="n"/>
      <c r="G3989" s="13" t="n"/>
    </row>
    <row r="3990">
      <c r="A3990" s="12" t="n"/>
      <c r="D3990">
        <f>IFERROR(VLOOKUP(C3990,Cadastro_Produtos!A:B,2,FALSE),"")</f>
        <v/>
      </c>
      <c r="F3990" s="12" t="n"/>
      <c r="G3990" s="13" t="n"/>
    </row>
    <row r="3991">
      <c r="A3991" s="12" t="n"/>
      <c r="D3991">
        <f>IFERROR(VLOOKUP(C3991,Cadastro_Produtos!A:B,2,FALSE),"")</f>
        <v/>
      </c>
      <c r="F3991" s="12" t="n"/>
      <c r="G3991" s="13" t="n"/>
    </row>
    <row r="3992">
      <c r="A3992" s="12" t="n"/>
      <c r="D3992">
        <f>IFERROR(VLOOKUP(C3992,Cadastro_Produtos!A:B,2,FALSE),"")</f>
        <v/>
      </c>
      <c r="F3992" s="12" t="n"/>
      <c r="G3992" s="13" t="n"/>
    </row>
    <row r="3993">
      <c r="A3993" s="12" t="n"/>
      <c r="D3993">
        <f>IFERROR(VLOOKUP(C3993,Cadastro_Produtos!A:B,2,FALSE),"")</f>
        <v/>
      </c>
      <c r="F3993" s="12" t="n"/>
      <c r="G3993" s="13" t="n"/>
    </row>
    <row r="3994">
      <c r="A3994" s="12" t="n"/>
      <c r="D3994">
        <f>IFERROR(VLOOKUP(C3994,Cadastro_Produtos!A:B,2,FALSE),"")</f>
        <v/>
      </c>
      <c r="F3994" s="12" t="n"/>
      <c r="G3994" s="13" t="n"/>
    </row>
    <row r="3995">
      <c r="A3995" s="12" t="n"/>
      <c r="D3995">
        <f>IFERROR(VLOOKUP(C3995,Cadastro_Produtos!A:B,2,FALSE),"")</f>
        <v/>
      </c>
      <c r="F3995" s="12" t="n"/>
      <c r="G3995" s="13" t="n"/>
    </row>
    <row r="3996">
      <c r="A3996" s="12" t="n"/>
      <c r="D3996">
        <f>IFERROR(VLOOKUP(C3996,Cadastro_Produtos!A:B,2,FALSE),"")</f>
        <v/>
      </c>
      <c r="F3996" s="12" t="n"/>
      <c r="G3996" s="13" t="n"/>
    </row>
    <row r="3997">
      <c r="A3997" s="12" t="n"/>
      <c r="D3997">
        <f>IFERROR(VLOOKUP(C3997,Cadastro_Produtos!A:B,2,FALSE),"")</f>
        <v/>
      </c>
      <c r="F3997" s="12" t="n"/>
      <c r="G3997" s="13" t="n"/>
    </row>
    <row r="3998">
      <c r="A3998" s="12" t="n"/>
      <c r="D3998">
        <f>IFERROR(VLOOKUP(C3998,Cadastro_Produtos!A:B,2,FALSE),"")</f>
        <v/>
      </c>
      <c r="F3998" s="12" t="n"/>
      <c r="G3998" s="13" t="n"/>
    </row>
    <row r="3999">
      <c r="A3999" s="12" t="n"/>
      <c r="D3999">
        <f>IFERROR(VLOOKUP(C3999,Cadastro_Produtos!A:B,2,FALSE),"")</f>
        <v/>
      </c>
      <c r="F3999" s="12" t="n"/>
      <c r="G3999" s="13" t="n"/>
    </row>
    <row r="4000">
      <c r="A4000" s="12" t="n"/>
      <c r="D4000">
        <f>IFERROR(VLOOKUP(C4000,Cadastro_Produtos!A:B,2,FALSE),"")</f>
        <v/>
      </c>
      <c r="F4000" s="12" t="n"/>
      <c r="G4000" s="13" t="n"/>
    </row>
    <row r="4001">
      <c r="A4001" s="12" t="n"/>
      <c r="D4001">
        <f>IFERROR(VLOOKUP(C4001,Cadastro_Produtos!A:B,2,FALSE),"")</f>
        <v/>
      </c>
      <c r="F4001" s="12" t="n"/>
      <c r="G4001" s="13" t="n"/>
    </row>
    <row r="4002">
      <c r="A4002" s="12" t="n"/>
      <c r="D4002">
        <f>IFERROR(VLOOKUP(C4002,Cadastro_Produtos!A:B,2,FALSE),"")</f>
        <v/>
      </c>
      <c r="F4002" s="12" t="n"/>
      <c r="G4002" s="13" t="n"/>
    </row>
    <row r="4003">
      <c r="A4003" s="12" t="n"/>
      <c r="D4003">
        <f>IFERROR(VLOOKUP(C4003,Cadastro_Produtos!A:B,2,FALSE),"")</f>
        <v/>
      </c>
      <c r="F4003" s="12" t="n"/>
      <c r="G4003" s="13" t="n"/>
    </row>
    <row r="4004">
      <c r="A4004" s="12" t="n"/>
      <c r="D4004">
        <f>IFERROR(VLOOKUP(C4004,Cadastro_Produtos!A:B,2,FALSE),"")</f>
        <v/>
      </c>
      <c r="F4004" s="12" t="n"/>
      <c r="G4004" s="13" t="n"/>
    </row>
    <row r="4005">
      <c r="A4005" s="12" t="n"/>
      <c r="D4005">
        <f>IFERROR(VLOOKUP(C4005,Cadastro_Produtos!A:B,2,FALSE),"")</f>
        <v/>
      </c>
      <c r="F4005" s="12" t="n"/>
      <c r="G4005" s="13" t="n"/>
    </row>
    <row r="4006">
      <c r="A4006" s="12" t="n"/>
      <c r="D4006">
        <f>IFERROR(VLOOKUP(C4006,Cadastro_Produtos!A:B,2,FALSE),"")</f>
        <v/>
      </c>
      <c r="F4006" s="12" t="n"/>
      <c r="G4006" s="13" t="n"/>
    </row>
    <row r="4007">
      <c r="A4007" s="12" t="n"/>
      <c r="D4007">
        <f>IFERROR(VLOOKUP(C4007,Cadastro_Produtos!A:B,2,FALSE),"")</f>
        <v/>
      </c>
      <c r="F4007" s="12" t="n"/>
      <c r="G4007" s="13" t="n"/>
    </row>
    <row r="4008">
      <c r="A4008" s="12" t="n"/>
      <c r="D4008">
        <f>IFERROR(VLOOKUP(C4008,Cadastro_Produtos!A:B,2,FALSE),"")</f>
        <v/>
      </c>
      <c r="F4008" s="12" t="n"/>
      <c r="G4008" s="13" t="n"/>
    </row>
    <row r="4009">
      <c r="A4009" s="12" t="n"/>
      <c r="D4009">
        <f>IFERROR(VLOOKUP(C4009,Cadastro_Produtos!A:B,2,FALSE),"")</f>
        <v/>
      </c>
      <c r="F4009" s="12" t="n"/>
      <c r="G4009" s="13" t="n"/>
    </row>
    <row r="4010">
      <c r="A4010" s="12" t="n"/>
      <c r="D4010">
        <f>IFERROR(VLOOKUP(C4010,Cadastro_Produtos!A:B,2,FALSE),"")</f>
        <v/>
      </c>
      <c r="F4010" s="12" t="n"/>
      <c r="G4010" s="13" t="n"/>
    </row>
    <row r="4011">
      <c r="A4011" s="12" t="n"/>
      <c r="D4011">
        <f>IFERROR(VLOOKUP(C4011,Cadastro_Produtos!A:B,2,FALSE),"")</f>
        <v/>
      </c>
      <c r="F4011" s="12" t="n"/>
      <c r="G4011" s="13" t="n"/>
    </row>
    <row r="4012">
      <c r="A4012" s="12" t="n"/>
      <c r="D4012">
        <f>IFERROR(VLOOKUP(C4012,Cadastro_Produtos!A:B,2,FALSE),"")</f>
        <v/>
      </c>
      <c r="F4012" s="12" t="n"/>
      <c r="G4012" s="13" t="n"/>
    </row>
    <row r="4013">
      <c r="A4013" s="12" t="n"/>
      <c r="D4013">
        <f>IFERROR(VLOOKUP(C4013,Cadastro_Produtos!A:B,2,FALSE),"")</f>
        <v/>
      </c>
      <c r="F4013" s="12" t="n"/>
      <c r="G4013" s="13" t="n"/>
    </row>
    <row r="4014">
      <c r="A4014" s="12" t="n"/>
      <c r="D4014">
        <f>IFERROR(VLOOKUP(C4014,Cadastro_Produtos!A:B,2,FALSE),"")</f>
        <v/>
      </c>
      <c r="F4014" s="12" t="n"/>
      <c r="G4014" s="13" t="n"/>
    </row>
    <row r="4015">
      <c r="A4015" s="12" t="n"/>
      <c r="D4015">
        <f>IFERROR(VLOOKUP(C4015,Cadastro_Produtos!A:B,2,FALSE),"")</f>
        <v/>
      </c>
      <c r="F4015" s="12" t="n"/>
      <c r="G4015" s="13" t="n"/>
    </row>
    <row r="4016">
      <c r="A4016" s="12" t="n"/>
      <c r="D4016">
        <f>IFERROR(VLOOKUP(C4016,Cadastro_Produtos!A:B,2,FALSE),"")</f>
        <v/>
      </c>
      <c r="F4016" s="12" t="n"/>
      <c r="G4016" s="13" t="n"/>
    </row>
    <row r="4017">
      <c r="A4017" s="12" t="n"/>
      <c r="D4017">
        <f>IFERROR(VLOOKUP(C4017,Cadastro_Produtos!A:B,2,FALSE),"")</f>
        <v/>
      </c>
      <c r="F4017" s="12" t="n"/>
      <c r="G4017" s="13" t="n"/>
    </row>
    <row r="4018">
      <c r="A4018" s="12" t="n"/>
      <c r="D4018">
        <f>IFERROR(VLOOKUP(C4018,Cadastro_Produtos!A:B,2,FALSE),"")</f>
        <v/>
      </c>
      <c r="F4018" s="12" t="n"/>
      <c r="G4018" s="13" t="n"/>
    </row>
    <row r="4019">
      <c r="A4019" s="12" t="n"/>
      <c r="D4019">
        <f>IFERROR(VLOOKUP(C4019,Cadastro_Produtos!A:B,2,FALSE),"")</f>
        <v/>
      </c>
      <c r="F4019" s="12" t="n"/>
      <c r="G4019" s="13" t="n"/>
    </row>
    <row r="4020">
      <c r="A4020" s="12" t="n"/>
      <c r="D4020">
        <f>IFERROR(VLOOKUP(C4020,Cadastro_Produtos!A:B,2,FALSE),"")</f>
        <v/>
      </c>
      <c r="F4020" s="12" t="n"/>
      <c r="G4020" s="13" t="n"/>
    </row>
    <row r="4021">
      <c r="A4021" s="12" t="n"/>
      <c r="D4021">
        <f>IFERROR(VLOOKUP(C4021,Cadastro_Produtos!A:B,2,FALSE),"")</f>
        <v/>
      </c>
      <c r="F4021" s="12" t="n"/>
      <c r="G4021" s="13" t="n"/>
    </row>
    <row r="4022">
      <c r="A4022" s="12" t="n"/>
      <c r="D4022">
        <f>IFERROR(VLOOKUP(C4022,Cadastro_Produtos!A:B,2,FALSE),"")</f>
        <v/>
      </c>
      <c r="F4022" s="12" t="n"/>
      <c r="G4022" s="13" t="n"/>
    </row>
    <row r="4023">
      <c r="A4023" s="12" t="n"/>
      <c r="D4023">
        <f>IFERROR(VLOOKUP(C4023,Cadastro_Produtos!A:B,2,FALSE),"")</f>
        <v/>
      </c>
      <c r="F4023" s="12" t="n"/>
      <c r="G4023" s="13" t="n"/>
    </row>
    <row r="4024">
      <c r="A4024" s="12" t="n"/>
      <c r="D4024">
        <f>IFERROR(VLOOKUP(C4024,Cadastro_Produtos!A:B,2,FALSE),"")</f>
        <v/>
      </c>
      <c r="F4024" s="12" t="n"/>
      <c r="G4024" s="13" t="n"/>
    </row>
    <row r="4025">
      <c r="A4025" s="12" t="n"/>
      <c r="D4025">
        <f>IFERROR(VLOOKUP(C4025,Cadastro_Produtos!A:B,2,FALSE),"")</f>
        <v/>
      </c>
      <c r="F4025" s="12" t="n"/>
      <c r="G4025" s="13" t="n"/>
    </row>
    <row r="4026">
      <c r="A4026" s="12" t="n"/>
      <c r="D4026">
        <f>IFERROR(VLOOKUP(C4026,Cadastro_Produtos!A:B,2,FALSE),"")</f>
        <v/>
      </c>
      <c r="F4026" s="12" t="n"/>
      <c r="G4026" s="13" t="n"/>
    </row>
    <row r="4027">
      <c r="A4027" s="12" t="n"/>
      <c r="D4027">
        <f>IFERROR(VLOOKUP(C4027,Cadastro_Produtos!A:B,2,FALSE),"")</f>
        <v/>
      </c>
      <c r="F4027" s="12" t="n"/>
      <c r="G4027" s="13" t="n"/>
    </row>
    <row r="4028">
      <c r="A4028" s="12" t="n"/>
      <c r="D4028">
        <f>IFERROR(VLOOKUP(C4028,Cadastro_Produtos!A:B,2,FALSE),"")</f>
        <v/>
      </c>
      <c r="F4028" s="12" t="n"/>
      <c r="G4028" s="13" t="n"/>
    </row>
    <row r="4029">
      <c r="A4029" s="12" t="n"/>
      <c r="D4029">
        <f>IFERROR(VLOOKUP(C4029,Cadastro_Produtos!A:B,2,FALSE),"")</f>
        <v/>
      </c>
      <c r="F4029" s="12" t="n"/>
      <c r="G4029" s="13" t="n"/>
    </row>
    <row r="4030">
      <c r="A4030" s="12" t="n"/>
      <c r="D4030">
        <f>IFERROR(VLOOKUP(C4030,Cadastro_Produtos!A:B,2,FALSE),"")</f>
        <v/>
      </c>
      <c r="F4030" s="12" t="n"/>
      <c r="G4030" s="13" t="n"/>
    </row>
    <row r="4031">
      <c r="A4031" s="12" t="n"/>
      <c r="D4031">
        <f>IFERROR(VLOOKUP(C4031,Cadastro_Produtos!A:B,2,FALSE),"")</f>
        <v/>
      </c>
      <c r="F4031" s="12" t="n"/>
      <c r="G4031" s="13" t="n"/>
    </row>
    <row r="4032">
      <c r="A4032" s="12" t="n"/>
      <c r="D4032">
        <f>IFERROR(VLOOKUP(C4032,Cadastro_Produtos!A:B,2,FALSE),"")</f>
        <v/>
      </c>
      <c r="F4032" s="12" t="n"/>
      <c r="G4032" s="13" t="n"/>
    </row>
    <row r="4033">
      <c r="A4033" s="12" t="n"/>
      <c r="D4033">
        <f>IFERROR(VLOOKUP(C4033,Cadastro_Produtos!A:B,2,FALSE),"")</f>
        <v/>
      </c>
      <c r="F4033" s="12" t="n"/>
      <c r="G4033" s="13" t="n"/>
    </row>
    <row r="4034">
      <c r="A4034" s="12" t="n"/>
      <c r="D4034">
        <f>IFERROR(VLOOKUP(C4034,Cadastro_Produtos!A:B,2,FALSE),"")</f>
        <v/>
      </c>
      <c r="F4034" s="12" t="n"/>
      <c r="G4034" s="13" t="n"/>
    </row>
    <row r="4035">
      <c r="A4035" s="12" t="n"/>
      <c r="D4035">
        <f>IFERROR(VLOOKUP(C4035,Cadastro_Produtos!A:B,2,FALSE),"")</f>
        <v/>
      </c>
      <c r="F4035" s="12" t="n"/>
      <c r="G4035" s="13" t="n"/>
    </row>
    <row r="4036">
      <c r="A4036" s="12" t="n"/>
      <c r="D4036">
        <f>IFERROR(VLOOKUP(C4036,Cadastro_Produtos!A:B,2,FALSE),"")</f>
        <v/>
      </c>
      <c r="F4036" s="12" t="n"/>
      <c r="G4036" s="13" t="n"/>
    </row>
    <row r="4037">
      <c r="A4037" s="12" t="n"/>
      <c r="D4037">
        <f>IFERROR(VLOOKUP(C4037,Cadastro_Produtos!A:B,2,FALSE),"")</f>
        <v/>
      </c>
      <c r="F4037" s="12" t="n"/>
      <c r="G4037" s="13" t="n"/>
    </row>
    <row r="4038">
      <c r="A4038" s="12" t="n"/>
      <c r="D4038">
        <f>IFERROR(VLOOKUP(C4038,Cadastro_Produtos!A:B,2,FALSE),"")</f>
        <v/>
      </c>
      <c r="F4038" s="12" t="n"/>
      <c r="G4038" s="13" t="n"/>
    </row>
    <row r="4039">
      <c r="A4039" s="12" t="n"/>
      <c r="D4039">
        <f>IFERROR(VLOOKUP(C4039,Cadastro_Produtos!A:B,2,FALSE),"")</f>
        <v/>
      </c>
      <c r="F4039" s="12" t="n"/>
      <c r="G4039" s="13" t="n"/>
    </row>
    <row r="4040">
      <c r="A4040" s="12" t="n"/>
      <c r="D4040">
        <f>IFERROR(VLOOKUP(C4040,Cadastro_Produtos!A:B,2,FALSE),"")</f>
        <v/>
      </c>
      <c r="F4040" s="12" t="n"/>
      <c r="G4040" s="13" t="n"/>
    </row>
    <row r="4041">
      <c r="A4041" s="12" t="n"/>
      <c r="D4041">
        <f>IFERROR(VLOOKUP(C4041,Cadastro_Produtos!A:B,2,FALSE),"")</f>
        <v/>
      </c>
      <c r="F4041" s="12" t="n"/>
      <c r="G4041" s="13" t="n"/>
    </row>
    <row r="4042">
      <c r="A4042" s="12" t="n"/>
      <c r="D4042">
        <f>IFERROR(VLOOKUP(C4042,Cadastro_Produtos!A:B,2,FALSE),"")</f>
        <v/>
      </c>
      <c r="F4042" s="12" t="n"/>
      <c r="G4042" s="13" t="n"/>
    </row>
    <row r="4043">
      <c r="A4043" s="12" t="n"/>
      <c r="D4043">
        <f>IFERROR(VLOOKUP(C4043,Cadastro_Produtos!A:B,2,FALSE),"")</f>
        <v/>
      </c>
      <c r="F4043" s="12" t="n"/>
      <c r="G4043" s="13" t="n"/>
    </row>
    <row r="4044">
      <c r="A4044" s="12" t="n"/>
      <c r="D4044">
        <f>IFERROR(VLOOKUP(C4044,Cadastro_Produtos!A:B,2,FALSE),"")</f>
        <v/>
      </c>
      <c r="F4044" s="12" t="n"/>
      <c r="G4044" s="13" t="n"/>
    </row>
    <row r="4045">
      <c r="A4045" s="12" t="n"/>
      <c r="D4045">
        <f>IFERROR(VLOOKUP(C4045,Cadastro_Produtos!A:B,2,FALSE),"")</f>
        <v/>
      </c>
      <c r="F4045" s="12" t="n"/>
      <c r="G4045" s="13" t="n"/>
    </row>
    <row r="4046">
      <c r="A4046" s="12" t="n"/>
      <c r="D4046">
        <f>IFERROR(VLOOKUP(C4046,Cadastro_Produtos!A:B,2,FALSE),"")</f>
        <v/>
      </c>
      <c r="F4046" s="12" t="n"/>
      <c r="G4046" s="13" t="n"/>
    </row>
    <row r="4047">
      <c r="A4047" s="12" t="n"/>
      <c r="D4047">
        <f>IFERROR(VLOOKUP(C4047,Cadastro_Produtos!A:B,2,FALSE),"")</f>
        <v/>
      </c>
      <c r="F4047" s="12" t="n"/>
      <c r="G4047" s="13" t="n"/>
    </row>
    <row r="4048">
      <c r="A4048" s="12" t="n"/>
      <c r="D4048">
        <f>IFERROR(VLOOKUP(C4048,Cadastro_Produtos!A:B,2,FALSE),"")</f>
        <v/>
      </c>
      <c r="F4048" s="12" t="n"/>
      <c r="G4048" s="13" t="n"/>
    </row>
    <row r="4049">
      <c r="A4049" s="12" t="n"/>
      <c r="D4049">
        <f>IFERROR(VLOOKUP(C4049,Cadastro_Produtos!A:B,2,FALSE),"")</f>
        <v/>
      </c>
      <c r="F4049" s="12" t="n"/>
      <c r="G4049" s="13" t="n"/>
    </row>
    <row r="4050">
      <c r="A4050" s="12" t="n"/>
      <c r="D4050">
        <f>IFERROR(VLOOKUP(C4050,Cadastro_Produtos!A:B,2,FALSE),"")</f>
        <v/>
      </c>
      <c r="F4050" s="12" t="n"/>
      <c r="G4050" s="13" t="n"/>
    </row>
    <row r="4051">
      <c r="A4051" s="12" t="n"/>
      <c r="D4051">
        <f>IFERROR(VLOOKUP(C4051,Cadastro_Produtos!A:B,2,FALSE),"")</f>
        <v/>
      </c>
      <c r="F4051" s="12" t="n"/>
      <c r="G4051" s="13" t="n"/>
    </row>
    <row r="4052">
      <c r="A4052" s="12" t="n"/>
      <c r="D4052">
        <f>IFERROR(VLOOKUP(C4052,Cadastro_Produtos!A:B,2,FALSE),"")</f>
        <v/>
      </c>
      <c r="F4052" s="12" t="n"/>
      <c r="G4052" s="13" t="n"/>
    </row>
    <row r="4053">
      <c r="A4053" s="12" t="n"/>
      <c r="D4053">
        <f>IFERROR(VLOOKUP(C4053,Cadastro_Produtos!A:B,2,FALSE),"")</f>
        <v/>
      </c>
      <c r="F4053" s="12" t="n"/>
      <c r="G4053" s="13" t="n"/>
    </row>
    <row r="4054">
      <c r="A4054" s="12" t="n"/>
      <c r="D4054">
        <f>IFERROR(VLOOKUP(C4054,Cadastro_Produtos!A:B,2,FALSE),"")</f>
        <v/>
      </c>
      <c r="F4054" s="12" t="n"/>
      <c r="G4054" s="13" t="n"/>
    </row>
    <row r="4055">
      <c r="A4055" s="12" t="n"/>
      <c r="D4055">
        <f>IFERROR(VLOOKUP(C4055,Cadastro_Produtos!A:B,2,FALSE),"")</f>
        <v/>
      </c>
      <c r="F4055" s="12" t="n"/>
      <c r="G4055" s="13" t="n"/>
    </row>
    <row r="4056">
      <c r="A4056" s="12" t="n"/>
      <c r="D4056">
        <f>IFERROR(VLOOKUP(C4056,Cadastro_Produtos!A:B,2,FALSE),"")</f>
        <v/>
      </c>
      <c r="F4056" s="12" t="n"/>
      <c r="G4056" s="13" t="n"/>
    </row>
    <row r="4057">
      <c r="A4057" s="12" t="n"/>
      <c r="D4057">
        <f>IFERROR(VLOOKUP(C4057,Cadastro_Produtos!A:B,2,FALSE),"")</f>
        <v/>
      </c>
      <c r="F4057" s="12" t="n"/>
      <c r="G4057" s="13" t="n"/>
    </row>
    <row r="4058">
      <c r="A4058" s="12" t="n"/>
      <c r="D4058">
        <f>IFERROR(VLOOKUP(C4058,Cadastro_Produtos!A:B,2,FALSE),"")</f>
        <v/>
      </c>
      <c r="F4058" s="12" t="n"/>
      <c r="G4058" s="13" t="n"/>
    </row>
    <row r="4059">
      <c r="A4059" s="12" t="n"/>
      <c r="D4059">
        <f>IFERROR(VLOOKUP(C4059,Cadastro_Produtos!A:B,2,FALSE),"")</f>
        <v/>
      </c>
      <c r="F4059" s="12" t="n"/>
      <c r="G4059" s="13" t="n"/>
    </row>
    <row r="4060">
      <c r="A4060" s="12" t="n"/>
      <c r="D4060">
        <f>IFERROR(VLOOKUP(C4060,Cadastro_Produtos!A:B,2,FALSE),"")</f>
        <v/>
      </c>
      <c r="F4060" s="12" t="n"/>
      <c r="G4060" s="13" t="n"/>
    </row>
    <row r="4061">
      <c r="A4061" s="12" t="n"/>
      <c r="D4061">
        <f>IFERROR(VLOOKUP(C4061,Cadastro_Produtos!A:B,2,FALSE),"")</f>
        <v/>
      </c>
      <c r="F4061" s="12" t="n"/>
      <c r="G4061" s="13" t="n"/>
    </row>
    <row r="4062">
      <c r="A4062" s="12" t="n"/>
      <c r="D4062">
        <f>IFERROR(VLOOKUP(C4062,Cadastro_Produtos!A:B,2,FALSE),"")</f>
        <v/>
      </c>
      <c r="F4062" s="12" t="n"/>
      <c r="G4062" s="13" t="n"/>
    </row>
    <row r="4063">
      <c r="A4063" s="12" t="n"/>
      <c r="D4063">
        <f>IFERROR(VLOOKUP(C4063,Cadastro_Produtos!A:B,2,FALSE),"")</f>
        <v/>
      </c>
      <c r="F4063" s="12" t="n"/>
      <c r="G4063" s="13" t="n"/>
    </row>
    <row r="4064">
      <c r="A4064" s="12" t="n"/>
      <c r="D4064">
        <f>IFERROR(VLOOKUP(C4064,Cadastro_Produtos!A:B,2,FALSE),"")</f>
        <v/>
      </c>
      <c r="F4064" s="12" t="n"/>
      <c r="G4064" s="13" t="n"/>
    </row>
    <row r="4065">
      <c r="A4065" s="12" t="n"/>
      <c r="D4065">
        <f>IFERROR(VLOOKUP(C4065,Cadastro_Produtos!A:B,2,FALSE),"")</f>
        <v/>
      </c>
      <c r="F4065" s="12" t="n"/>
      <c r="G4065" s="13" t="n"/>
    </row>
    <row r="4066">
      <c r="A4066" s="12" t="n"/>
      <c r="D4066">
        <f>IFERROR(VLOOKUP(C4066,Cadastro_Produtos!A:B,2,FALSE),"")</f>
        <v/>
      </c>
      <c r="F4066" s="12" t="n"/>
      <c r="G4066" s="13" t="n"/>
    </row>
    <row r="4067">
      <c r="A4067" s="12" t="n"/>
      <c r="D4067">
        <f>IFERROR(VLOOKUP(C4067,Cadastro_Produtos!A:B,2,FALSE),"")</f>
        <v/>
      </c>
      <c r="F4067" s="12" t="n"/>
      <c r="G4067" s="13" t="n"/>
    </row>
    <row r="4068">
      <c r="A4068" s="12" t="n"/>
      <c r="D4068">
        <f>IFERROR(VLOOKUP(C4068,Cadastro_Produtos!A:B,2,FALSE),"")</f>
        <v/>
      </c>
      <c r="F4068" s="12" t="n"/>
      <c r="G4068" s="13" t="n"/>
    </row>
    <row r="4069">
      <c r="A4069" s="12" t="n"/>
      <c r="D4069">
        <f>IFERROR(VLOOKUP(C4069,Cadastro_Produtos!A:B,2,FALSE),"")</f>
        <v/>
      </c>
      <c r="F4069" s="12" t="n"/>
      <c r="G4069" s="13" t="n"/>
    </row>
    <row r="4070">
      <c r="A4070" s="12" t="n"/>
      <c r="D4070">
        <f>IFERROR(VLOOKUP(C4070,Cadastro_Produtos!A:B,2,FALSE),"")</f>
        <v/>
      </c>
      <c r="F4070" s="12" t="n"/>
      <c r="G4070" s="13" t="n"/>
    </row>
    <row r="4071">
      <c r="A4071" s="12" t="n"/>
      <c r="D4071">
        <f>IFERROR(VLOOKUP(C4071,Cadastro_Produtos!A:B,2,FALSE),"")</f>
        <v/>
      </c>
      <c r="F4071" s="12" t="n"/>
      <c r="G4071" s="13" t="n"/>
    </row>
    <row r="4072">
      <c r="A4072" s="12" t="n"/>
      <c r="D4072">
        <f>IFERROR(VLOOKUP(C4072,Cadastro_Produtos!A:B,2,FALSE),"")</f>
        <v/>
      </c>
      <c r="F4072" s="12" t="n"/>
      <c r="G4072" s="13" t="n"/>
    </row>
    <row r="4073">
      <c r="A4073" s="12" t="n"/>
      <c r="D4073">
        <f>IFERROR(VLOOKUP(C4073,Cadastro_Produtos!A:B,2,FALSE),"")</f>
        <v/>
      </c>
      <c r="F4073" s="12" t="n"/>
      <c r="G4073" s="13" t="n"/>
    </row>
    <row r="4074">
      <c r="A4074" s="12" t="n"/>
      <c r="D4074">
        <f>IFERROR(VLOOKUP(C4074,Cadastro_Produtos!A:B,2,FALSE),"")</f>
        <v/>
      </c>
      <c r="F4074" s="12" t="n"/>
      <c r="G4074" s="13" t="n"/>
    </row>
    <row r="4075">
      <c r="A4075" s="12" t="n"/>
      <c r="D4075">
        <f>IFERROR(VLOOKUP(C4075,Cadastro_Produtos!A:B,2,FALSE),"")</f>
        <v/>
      </c>
      <c r="F4075" s="12" t="n"/>
      <c r="G4075" s="13" t="n"/>
    </row>
    <row r="4076">
      <c r="A4076" s="12" t="n"/>
      <c r="D4076">
        <f>IFERROR(VLOOKUP(C4076,Cadastro_Produtos!A:B,2,FALSE),"")</f>
        <v/>
      </c>
      <c r="F4076" s="12" t="n"/>
      <c r="G4076" s="13" t="n"/>
    </row>
    <row r="4077">
      <c r="A4077" s="12" t="n"/>
      <c r="D4077">
        <f>IFERROR(VLOOKUP(C4077,Cadastro_Produtos!A:B,2,FALSE),"")</f>
        <v/>
      </c>
      <c r="F4077" s="12" t="n"/>
      <c r="G4077" s="13" t="n"/>
    </row>
    <row r="4078">
      <c r="A4078" s="12" t="n"/>
      <c r="D4078">
        <f>IFERROR(VLOOKUP(C4078,Cadastro_Produtos!A:B,2,FALSE),"")</f>
        <v/>
      </c>
      <c r="F4078" s="12" t="n"/>
      <c r="G4078" s="13" t="n"/>
    </row>
    <row r="4079">
      <c r="A4079" s="12" t="n"/>
      <c r="D4079">
        <f>IFERROR(VLOOKUP(C4079,Cadastro_Produtos!A:B,2,FALSE),"")</f>
        <v/>
      </c>
      <c r="F4079" s="12" t="n"/>
      <c r="G4079" s="13" t="n"/>
    </row>
    <row r="4080">
      <c r="A4080" s="12" t="n"/>
      <c r="D4080">
        <f>IFERROR(VLOOKUP(C4080,Cadastro_Produtos!A:B,2,FALSE),"")</f>
        <v/>
      </c>
      <c r="F4080" s="12" t="n"/>
      <c r="G4080" s="13" t="n"/>
    </row>
    <row r="4081">
      <c r="A4081" s="12" t="n"/>
      <c r="D4081">
        <f>IFERROR(VLOOKUP(C4081,Cadastro_Produtos!A:B,2,FALSE),"")</f>
        <v/>
      </c>
      <c r="F4081" s="12" t="n"/>
      <c r="G4081" s="13" t="n"/>
    </row>
    <row r="4082">
      <c r="A4082" s="12" t="n"/>
      <c r="D4082">
        <f>IFERROR(VLOOKUP(C4082,Cadastro_Produtos!A:B,2,FALSE),"")</f>
        <v/>
      </c>
      <c r="F4082" s="12" t="n"/>
      <c r="G4082" s="13" t="n"/>
    </row>
    <row r="4083">
      <c r="A4083" s="12" t="n"/>
      <c r="D4083">
        <f>IFERROR(VLOOKUP(C4083,Cadastro_Produtos!A:B,2,FALSE),"")</f>
        <v/>
      </c>
      <c r="F4083" s="12" t="n"/>
      <c r="G4083" s="13" t="n"/>
    </row>
    <row r="4084">
      <c r="A4084" s="12" t="n"/>
      <c r="D4084">
        <f>IFERROR(VLOOKUP(C4084,Cadastro_Produtos!A:B,2,FALSE),"")</f>
        <v/>
      </c>
      <c r="F4084" s="12" t="n"/>
      <c r="G4084" s="13" t="n"/>
    </row>
    <row r="4085">
      <c r="A4085" s="12" t="n"/>
      <c r="D4085">
        <f>IFERROR(VLOOKUP(C4085,Cadastro_Produtos!A:B,2,FALSE),"")</f>
        <v/>
      </c>
      <c r="F4085" s="12" t="n"/>
      <c r="G4085" s="13" t="n"/>
    </row>
    <row r="4086">
      <c r="A4086" s="12" t="n"/>
      <c r="D4086">
        <f>IFERROR(VLOOKUP(C4086,Cadastro_Produtos!A:B,2,FALSE),"")</f>
        <v/>
      </c>
      <c r="F4086" s="12" t="n"/>
      <c r="G4086" s="13" t="n"/>
    </row>
    <row r="4087">
      <c r="A4087" s="12" t="n"/>
      <c r="D4087">
        <f>IFERROR(VLOOKUP(C4087,Cadastro_Produtos!A:B,2,FALSE),"")</f>
        <v/>
      </c>
      <c r="F4087" s="12" t="n"/>
      <c r="G4087" s="13" t="n"/>
    </row>
    <row r="4088">
      <c r="A4088" s="12" t="n"/>
      <c r="D4088">
        <f>IFERROR(VLOOKUP(C4088,Cadastro_Produtos!A:B,2,FALSE),"")</f>
        <v/>
      </c>
      <c r="F4088" s="12" t="n"/>
      <c r="G4088" s="13" t="n"/>
    </row>
    <row r="4089">
      <c r="A4089" s="12" t="n"/>
      <c r="D4089">
        <f>IFERROR(VLOOKUP(C4089,Cadastro_Produtos!A:B,2,FALSE),"")</f>
        <v/>
      </c>
      <c r="F4089" s="12" t="n"/>
      <c r="G4089" s="13" t="n"/>
    </row>
    <row r="4090">
      <c r="A4090" s="12" t="n"/>
      <c r="D4090">
        <f>IFERROR(VLOOKUP(C4090,Cadastro_Produtos!A:B,2,FALSE),"")</f>
        <v/>
      </c>
      <c r="F4090" s="12" t="n"/>
      <c r="G4090" s="13" t="n"/>
    </row>
    <row r="4091">
      <c r="A4091" s="12" t="n"/>
      <c r="D4091">
        <f>IFERROR(VLOOKUP(C4091,Cadastro_Produtos!A:B,2,FALSE),"")</f>
        <v/>
      </c>
      <c r="F4091" s="12" t="n"/>
      <c r="G4091" s="13" t="n"/>
    </row>
    <row r="4092">
      <c r="A4092" s="12" t="n"/>
      <c r="D4092">
        <f>IFERROR(VLOOKUP(C4092,Cadastro_Produtos!A:B,2,FALSE),"")</f>
        <v/>
      </c>
      <c r="F4092" s="12" t="n"/>
      <c r="G4092" s="13" t="n"/>
    </row>
    <row r="4093">
      <c r="A4093" s="12" t="n"/>
      <c r="D4093">
        <f>IFERROR(VLOOKUP(C4093,Cadastro_Produtos!A:B,2,FALSE),"")</f>
        <v/>
      </c>
      <c r="F4093" s="12" t="n"/>
      <c r="G4093" s="13" t="n"/>
    </row>
    <row r="4094">
      <c r="A4094" s="12" t="n"/>
      <c r="D4094">
        <f>IFERROR(VLOOKUP(C4094,Cadastro_Produtos!A:B,2,FALSE),"")</f>
        <v/>
      </c>
      <c r="F4094" s="12" t="n"/>
      <c r="G4094" s="13" t="n"/>
    </row>
    <row r="4095">
      <c r="A4095" s="12" t="n"/>
      <c r="D4095">
        <f>IFERROR(VLOOKUP(C4095,Cadastro_Produtos!A:B,2,FALSE),"")</f>
        <v/>
      </c>
      <c r="F4095" s="12" t="n"/>
      <c r="G4095" s="13" t="n"/>
    </row>
    <row r="4096">
      <c r="A4096" s="12" t="n"/>
      <c r="D4096">
        <f>IFERROR(VLOOKUP(C4096,Cadastro_Produtos!A:B,2,FALSE),"")</f>
        <v/>
      </c>
      <c r="F4096" s="12" t="n"/>
      <c r="G4096" s="13" t="n"/>
    </row>
    <row r="4097">
      <c r="A4097" s="12" t="n"/>
      <c r="D4097">
        <f>IFERROR(VLOOKUP(C4097,Cadastro_Produtos!A:B,2,FALSE),"")</f>
        <v/>
      </c>
      <c r="F4097" s="12" t="n"/>
      <c r="G4097" s="13" t="n"/>
    </row>
    <row r="4098">
      <c r="A4098" s="12" t="n"/>
      <c r="D4098">
        <f>IFERROR(VLOOKUP(C4098,Cadastro_Produtos!A:B,2,FALSE),"")</f>
        <v/>
      </c>
      <c r="F4098" s="12" t="n"/>
      <c r="G4098" s="13" t="n"/>
    </row>
    <row r="4099">
      <c r="A4099" s="12" t="n"/>
      <c r="D4099">
        <f>IFERROR(VLOOKUP(C4099,Cadastro_Produtos!A:B,2,FALSE),"")</f>
        <v/>
      </c>
      <c r="F4099" s="12" t="n"/>
      <c r="G4099" s="13" t="n"/>
    </row>
    <row r="4100">
      <c r="A4100" s="12" t="n"/>
      <c r="D4100">
        <f>IFERROR(VLOOKUP(C4100,Cadastro_Produtos!A:B,2,FALSE),"")</f>
        <v/>
      </c>
      <c r="F4100" s="12" t="n"/>
      <c r="G4100" s="13" t="n"/>
    </row>
    <row r="4101">
      <c r="A4101" s="12" t="n"/>
      <c r="D4101">
        <f>IFERROR(VLOOKUP(C4101,Cadastro_Produtos!A:B,2,FALSE),"")</f>
        <v/>
      </c>
      <c r="F4101" s="12" t="n"/>
      <c r="G4101" s="13" t="n"/>
    </row>
    <row r="4102">
      <c r="A4102" s="12" t="n"/>
      <c r="D4102">
        <f>IFERROR(VLOOKUP(C4102,Cadastro_Produtos!A:B,2,FALSE),"")</f>
        <v/>
      </c>
      <c r="F4102" s="12" t="n"/>
      <c r="G4102" s="13" t="n"/>
    </row>
    <row r="4103">
      <c r="A4103" s="12" t="n"/>
      <c r="D4103">
        <f>IFERROR(VLOOKUP(C4103,Cadastro_Produtos!A:B,2,FALSE),"")</f>
        <v/>
      </c>
      <c r="F4103" s="12" t="n"/>
      <c r="G4103" s="13" t="n"/>
    </row>
    <row r="4104">
      <c r="A4104" s="12" t="n"/>
      <c r="D4104">
        <f>IFERROR(VLOOKUP(C4104,Cadastro_Produtos!A:B,2,FALSE),"")</f>
        <v/>
      </c>
      <c r="F4104" s="12" t="n"/>
      <c r="G4104" s="13" t="n"/>
    </row>
    <row r="4105">
      <c r="A4105" s="12" t="n"/>
      <c r="D4105">
        <f>IFERROR(VLOOKUP(C4105,Cadastro_Produtos!A:B,2,FALSE),"")</f>
        <v/>
      </c>
      <c r="F4105" s="12" t="n"/>
      <c r="G4105" s="13" t="n"/>
    </row>
    <row r="4106">
      <c r="A4106" s="12" t="n"/>
      <c r="D4106">
        <f>IFERROR(VLOOKUP(C4106,Cadastro_Produtos!A:B,2,FALSE),"")</f>
        <v/>
      </c>
      <c r="F4106" s="12" t="n"/>
      <c r="G4106" s="13" t="n"/>
    </row>
    <row r="4107">
      <c r="A4107" s="12" t="n"/>
      <c r="D4107">
        <f>IFERROR(VLOOKUP(C4107,Cadastro_Produtos!A:B,2,FALSE),"")</f>
        <v/>
      </c>
      <c r="F4107" s="12" t="n"/>
      <c r="G4107" s="13" t="n"/>
    </row>
    <row r="4108">
      <c r="A4108" s="12" t="n"/>
      <c r="D4108">
        <f>IFERROR(VLOOKUP(C4108,Cadastro_Produtos!A:B,2,FALSE),"")</f>
        <v/>
      </c>
      <c r="F4108" s="12" t="n"/>
      <c r="G4108" s="13" t="n"/>
    </row>
    <row r="4109">
      <c r="A4109" s="12" t="n"/>
      <c r="D4109">
        <f>IFERROR(VLOOKUP(C4109,Cadastro_Produtos!A:B,2,FALSE),"")</f>
        <v/>
      </c>
      <c r="F4109" s="12" t="n"/>
      <c r="G4109" s="13" t="n"/>
    </row>
    <row r="4110">
      <c r="A4110" s="12" t="n"/>
      <c r="D4110">
        <f>IFERROR(VLOOKUP(C4110,Cadastro_Produtos!A:B,2,FALSE),"")</f>
        <v/>
      </c>
      <c r="F4110" s="12" t="n"/>
      <c r="G4110" s="13" t="n"/>
    </row>
    <row r="4111">
      <c r="A4111" s="12" t="n"/>
      <c r="D4111">
        <f>IFERROR(VLOOKUP(C4111,Cadastro_Produtos!A:B,2,FALSE),"")</f>
        <v/>
      </c>
      <c r="F4111" s="12" t="n"/>
      <c r="G4111" s="13" t="n"/>
    </row>
    <row r="4112">
      <c r="A4112" s="12" t="n"/>
      <c r="D4112">
        <f>IFERROR(VLOOKUP(C4112,Cadastro_Produtos!A:B,2,FALSE),"")</f>
        <v/>
      </c>
      <c r="F4112" s="12" t="n"/>
      <c r="G4112" s="13" t="n"/>
    </row>
    <row r="4113">
      <c r="A4113" s="12" t="n"/>
      <c r="D4113">
        <f>IFERROR(VLOOKUP(C4113,Cadastro_Produtos!A:B,2,FALSE),"")</f>
        <v/>
      </c>
      <c r="F4113" s="12" t="n"/>
      <c r="G4113" s="13" t="n"/>
    </row>
    <row r="4114">
      <c r="A4114" s="12" t="n"/>
      <c r="D4114">
        <f>IFERROR(VLOOKUP(C4114,Cadastro_Produtos!A:B,2,FALSE),"")</f>
        <v/>
      </c>
      <c r="F4114" s="12" t="n"/>
      <c r="G4114" s="13" t="n"/>
    </row>
    <row r="4115">
      <c r="A4115" s="12" t="n"/>
      <c r="D4115">
        <f>IFERROR(VLOOKUP(C4115,Cadastro_Produtos!A:B,2,FALSE),"")</f>
        <v/>
      </c>
      <c r="F4115" s="12" t="n"/>
      <c r="G4115" s="13" t="n"/>
    </row>
    <row r="4116">
      <c r="A4116" s="12" t="n"/>
      <c r="D4116">
        <f>IFERROR(VLOOKUP(C4116,Cadastro_Produtos!A:B,2,FALSE),"")</f>
        <v/>
      </c>
      <c r="F4116" s="12" t="n"/>
      <c r="G4116" s="13" t="n"/>
    </row>
    <row r="4117">
      <c r="A4117" s="12" t="n"/>
      <c r="D4117">
        <f>IFERROR(VLOOKUP(C4117,Cadastro_Produtos!A:B,2,FALSE),"")</f>
        <v/>
      </c>
      <c r="F4117" s="12" t="n"/>
      <c r="G4117" s="13" t="n"/>
    </row>
    <row r="4118">
      <c r="A4118" s="12" t="n"/>
      <c r="D4118">
        <f>IFERROR(VLOOKUP(C4118,Cadastro_Produtos!A:B,2,FALSE),"")</f>
        <v/>
      </c>
      <c r="F4118" s="12" t="n"/>
      <c r="G4118" s="13" t="n"/>
    </row>
    <row r="4119">
      <c r="A4119" s="12" t="n"/>
      <c r="D4119">
        <f>IFERROR(VLOOKUP(C4119,Cadastro_Produtos!A:B,2,FALSE),"")</f>
        <v/>
      </c>
      <c r="F4119" s="12" t="n"/>
      <c r="G4119" s="13" t="n"/>
    </row>
    <row r="4120">
      <c r="A4120" s="12" t="n"/>
      <c r="D4120">
        <f>IFERROR(VLOOKUP(C4120,Cadastro_Produtos!A:B,2,FALSE),"")</f>
        <v/>
      </c>
      <c r="F4120" s="12" t="n"/>
      <c r="G4120" s="13" t="n"/>
    </row>
    <row r="4121">
      <c r="A4121" s="12" t="n"/>
      <c r="D4121">
        <f>IFERROR(VLOOKUP(C4121,Cadastro_Produtos!A:B,2,FALSE),"")</f>
        <v/>
      </c>
      <c r="F4121" s="12" t="n"/>
      <c r="G4121" s="13" t="n"/>
    </row>
    <row r="4122">
      <c r="A4122" s="12" t="n"/>
      <c r="D4122">
        <f>IFERROR(VLOOKUP(C4122,Cadastro_Produtos!A:B,2,FALSE),"")</f>
        <v/>
      </c>
      <c r="F4122" s="12" t="n"/>
      <c r="G4122" s="13" t="n"/>
    </row>
    <row r="4123">
      <c r="A4123" s="12" t="n"/>
      <c r="D4123">
        <f>IFERROR(VLOOKUP(C4123,Cadastro_Produtos!A:B,2,FALSE),"")</f>
        <v/>
      </c>
      <c r="F4123" s="12" t="n"/>
      <c r="G4123" s="13" t="n"/>
    </row>
    <row r="4124">
      <c r="A4124" s="12" t="n"/>
      <c r="D4124">
        <f>IFERROR(VLOOKUP(C4124,Cadastro_Produtos!A:B,2,FALSE),"")</f>
        <v/>
      </c>
      <c r="F4124" s="12" t="n"/>
      <c r="G4124" s="13" t="n"/>
    </row>
    <row r="4125">
      <c r="A4125" s="12" t="n"/>
      <c r="D4125">
        <f>IFERROR(VLOOKUP(C4125,Cadastro_Produtos!A:B,2,FALSE),"")</f>
        <v/>
      </c>
      <c r="F4125" s="12" t="n"/>
      <c r="G4125" s="13" t="n"/>
    </row>
    <row r="4126">
      <c r="A4126" s="12" t="n"/>
      <c r="D4126">
        <f>IFERROR(VLOOKUP(C4126,Cadastro_Produtos!A:B,2,FALSE),"")</f>
        <v/>
      </c>
      <c r="F4126" s="12" t="n"/>
      <c r="G4126" s="13" t="n"/>
    </row>
    <row r="4127">
      <c r="A4127" s="12" t="n"/>
      <c r="D4127">
        <f>IFERROR(VLOOKUP(C4127,Cadastro_Produtos!A:B,2,FALSE),"")</f>
        <v/>
      </c>
      <c r="F4127" s="12" t="n"/>
      <c r="G4127" s="13" t="n"/>
    </row>
    <row r="4128">
      <c r="A4128" s="12" t="n"/>
      <c r="D4128">
        <f>IFERROR(VLOOKUP(C4128,Cadastro_Produtos!A:B,2,FALSE),"")</f>
        <v/>
      </c>
      <c r="F4128" s="12" t="n"/>
      <c r="G4128" s="13" t="n"/>
    </row>
    <row r="4129">
      <c r="A4129" s="12" t="n"/>
      <c r="D4129">
        <f>IFERROR(VLOOKUP(C4129,Cadastro_Produtos!A:B,2,FALSE),"")</f>
        <v/>
      </c>
      <c r="F4129" s="12" t="n"/>
      <c r="G4129" s="13" t="n"/>
    </row>
    <row r="4130">
      <c r="A4130" s="12" t="n"/>
      <c r="D4130">
        <f>IFERROR(VLOOKUP(C4130,Cadastro_Produtos!A:B,2,FALSE),"")</f>
        <v/>
      </c>
      <c r="F4130" s="12" t="n"/>
      <c r="G4130" s="13" t="n"/>
    </row>
    <row r="4131">
      <c r="A4131" s="12" t="n"/>
      <c r="D4131">
        <f>IFERROR(VLOOKUP(C4131,Cadastro_Produtos!A:B,2,FALSE),"")</f>
        <v/>
      </c>
      <c r="F4131" s="12" t="n"/>
      <c r="G4131" s="13" t="n"/>
    </row>
    <row r="4132">
      <c r="A4132" s="12" t="n"/>
      <c r="D4132">
        <f>IFERROR(VLOOKUP(C4132,Cadastro_Produtos!A:B,2,FALSE),"")</f>
        <v/>
      </c>
      <c r="F4132" s="12" t="n"/>
      <c r="G4132" s="13" t="n"/>
    </row>
    <row r="4133">
      <c r="A4133" s="12" t="n"/>
      <c r="D4133">
        <f>IFERROR(VLOOKUP(C4133,Cadastro_Produtos!A:B,2,FALSE),"")</f>
        <v/>
      </c>
      <c r="F4133" s="12" t="n"/>
      <c r="G4133" s="13" t="n"/>
    </row>
    <row r="4134">
      <c r="A4134" s="12" t="n"/>
      <c r="D4134">
        <f>IFERROR(VLOOKUP(C4134,Cadastro_Produtos!A:B,2,FALSE),"")</f>
        <v/>
      </c>
      <c r="F4134" s="12" t="n"/>
      <c r="G4134" s="13" t="n"/>
    </row>
    <row r="4135">
      <c r="A4135" s="12" t="n"/>
      <c r="D4135">
        <f>IFERROR(VLOOKUP(C4135,Cadastro_Produtos!A:B,2,FALSE),"")</f>
        <v/>
      </c>
      <c r="F4135" s="12" t="n"/>
      <c r="G4135" s="13" t="n"/>
    </row>
    <row r="4136">
      <c r="A4136" s="12" t="n"/>
      <c r="D4136">
        <f>IFERROR(VLOOKUP(C4136,Cadastro_Produtos!A:B,2,FALSE),"")</f>
        <v/>
      </c>
      <c r="F4136" s="12" t="n"/>
      <c r="G4136" s="13" t="n"/>
    </row>
    <row r="4137">
      <c r="A4137" s="12" t="n"/>
      <c r="D4137">
        <f>IFERROR(VLOOKUP(C4137,Cadastro_Produtos!A:B,2,FALSE),"")</f>
        <v/>
      </c>
      <c r="F4137" s="12" t="n"/>
      <c r="G4137" s="13" t="n"/>
    </row>
    <row r="4138">
      <c r="A4138" s="12" t="n"/>
      <c r="D4138">
        <f>IFERROR(VLOOKUP(C4138,Cadastro_Produtos!A:B,2,FALSE),"")</f>
        <v/>
      </c>
      <c r="F4138" s="12" t="n"/>
      <c r="G4138" s="13" t="n"/>
    </row>
    <row r="4139">
      <c r="A4139" s="12" t="n"/>
      <c r="D4139">
        <f>IFERROR(VLOOKUP(C4139,Cadastro_Produtos!A:B,2,FALSE),"")</f>
        <v/>
      </c>
      <c r="F4139" s="12" t="n"/>
      <c r="G4139" s="13" t="n"/>
    </row>
    <row r="4140">
      <c r="A4140" s="12" t="n"/>
      <c r="D4140">
        <f>IFERROR(VLOOKUP(C4140,Cadastro_Produtos!A:B,2,FALSE),"")</f>
        <v/>
      </c>
      <c r="F4140" s="12" t="n"/>
      <c r="G4140" s="13" t="n"/>
    </row>
    <row r="4141">
      <c r="A4141" s="12" t="n"/>
      <c r="D4141">
        <f>IFERROR(VLOOKUP(C4141,Cadastro_Produtos!A:B,2,FALSE),"")</f>
        <v/>
      </c>
      <c r="F4141" s="12" t="n"/>
      <c r="G4141" s="13" t="n"/>
    </row>
    <row r="4142">
      <c r="A4142" s="12" t="n"/>
      <c r="D4142">
        <f>IFERROR(VLOOKUP(C4142,Cadastro_Produtos!A:B,2,FALSE),"")</f>
        <v/>
      </c>
      <c r="F4142" s="12" t="n"/>
      <c r="G4142" s="13" t="n"/>
    </row>
    <row r="4143">
      <c r="A4143" s="12" t="n"/>
      <c r="D4143">
        <f>IFERROR(VLOOKUP(C4143,Cadastro_Produtos!A:B,2,FALSE),"")</f>
        <v/>
      </c>
      <c r="F4143" s="12" t="n"/>
      <c r="G4143" s="13" t="n"/>
    </row>
    <row r="4144">
      <c r="A4144" s="12" t="n"/>
      <c r="D4144">
        <f>IFERROR(VLOOKUP(C4144,Cadastro_Produtos!A:B,2,FALSE),"")</f>
        <v/>
      </c>
      <c r="F4144" s="12" t="n"/>
      <c r="G4144" s="13" t="n"/>
    </row>
    <row r="4145">
      <c r="A4145" s="12" t="n"/>
      <c r="D4145">
        <f>IFERROR(VLOOKUP(C4145,Cadastro_Produtos!A:B,2,FALSE),"")</f>
        <v/>
      </c>
      <c r="F4145" s="12" t="n"/>
      <c r="G4145" s="13" t="n"/>
    </row>
    <row r="4146">
      <c r="A4146" s="12" t="n"/>
      <c r="D4146">
        <f>IFERROR(VLOOKUP(C4146,Cadastro_Produtos!A:B,2,FALSE),"")</f>
        <v/>
      </c>
      <c r="F4146" s="12" t="n"/>
      <c r="G4146" s="13" t="n"/>
    </row>
    <row r="4147">
      <c r="A4147" s="12" t="n"/>
      <c r="D4147">
        <f>IFERROR(VLOOKUP(C4147,Cadastro_Produtos!A:B,2,FALSE),"")</f>
        <v/>
      </c>
      <c r="F4147" s="12" t="n"/>
      <c r="G4147" s="13" t="n"/>
    </row>
    <row r="4148">
      <c r="A4148" s="12" t="n"/>
      <c r="D4148">
        <f>IFERROR(VLOOKUP(C4148,Cadastro_Produtos!A:B,2,FALSE),"")</f>
        <v/>
      </c>
      <c r="F4148" s="12" t="n"/>
      <c r="G4148" s="13" t="n"/>
    </row>
    <row r="4149">
      <c r="A4149" s="12" t="n"/>
      <c r="D4149">
        <f>IFERROR(VLOOKUP(C4149,Cadastro_Produtos!A:B,2,FALSE),"")</f>
        <v/>
      </c>
      <c r="F4149" s="12" t="n"/>
      <c r="G4149" s="13" t="n"/>
    </row>
    <row r="4150">
      <c r="A4150" s="12" t="n"/>
      <c r="D4150">
        <f>IFERROR(VLOOKUP(C4150,Cadastro_Produtos!A:B,2,FALSE),"")</f>
        <v/>
      </c>
      <c r="F4150" s="12" t="n"/>
      <c r="G4150" s="13" t="n"/>
    </row>
    <row r="4151">
      <c r="A4151" s="12" t="n"/>
      <c r="D4151">
        <f>IFERROR(VLOOKUP(C4151,Cadastro_Produtos!A:B,2,FALSE),"")</f>
        <v/>
      </c>
      <c r="F4151" s="12" t="n"/>
      <c r="G4151" s="13" t="n"/>
    </row>
    <row r="4152">
      <c r="A4152" s="12" t="n"/>
      <c r="D4152">
        <f>IFERROR(VLOOKUP(C4152,Cadastro_Produtos!A:B,2,FALSE),"")</f>
        <v/>
      </c>
      <c r="F4152" s="12" t="n"/>
      <c r="G4152" s="13" t="n"/>
    </row>
    <row r="4153">
      <c r="A4153" s="12" t="n"/>
      <c r="D4153">
        <f>IFERROR(VLOOKUP(C4153,Cadastro_Produtos!A:B,2,FALSE),"")</f>
        <v/>
      </c>
      <c r="F4153" s="12" t="n"/>
      <c r="G4153" s="13" t="n"/>
    </row>
    <row r="4154">
      <c r="A4154" s="12" t="n"/>
      <c r="D4154">
        <f>IFERROR(VLOOKUP(C4154,Cadastro_Produtos!A:B,2,FALSE),"")</f>
        <v/>
      </c>
      <c r="F4154" s="12" t="n"/>
      <c r="G4154" s="13" t="n"/>
    </row>
    <row r="4155">
      <c r="A4155" s="12" t="n"/>
      <c r="D4155">
        <f>IFERROR(VLOOKUP(C4155,Cadastro_Produtos!A:B,2,FALSE),"")</f>
        <v/>
      </c>
      <c r="F4155" s="12" t="n"/>
      <c r="G4155" s="13" t="n"/>
    </row>
    <row r="4156">
      <c r="A4156" s="12" t="n"/>
      <c r="D4156">
        <f>IFERROR(VLOOKUP(C4156,Cadastro_Produtos!A:B,2,FALSE),"")</f>
        <v/>
      </c>
      <c r="F4156" s="12" t="n"/>
      <c r="G4156" s="13" t="n"/>
    </row>
    <row r="4157">
      <c r="A4157" s="12" t="n"/>
      <c r="D4157">
        <f>IFERROR(VLOOKUP(C4157,Cadastro_Produtos!A:B,2,FALSE),"")</f>
        <v/>
      </c>
      <c r="F4157" s="12" t="n"/>
      <c r="G4157" s="13" t="n"/>
    </row>
    <row r="4158">
      <c r="A4158" s="12" t="n"/>
      <c r="D4158">
        <f>IFERROR(VLOOKUP(C4158,Cadastro_Produtos!A:B,2,FALSE),"")</f>
        <v/>
      </c>
      <c r="F4158" s="12" t="n"/>
      <c r="G4158" s="13" t="n"/>
    </row>
    <row r="4159">
      <c r="A4159" s="12" t="n"/>
      <c r="D4159">
        <f>IFERROR(VLOOKUP(C4159,Cadastro_Produtos!A:B,2,FALSE),"")</f>
        <v/>
      </c>
      <c r="F4159" s="12" t="n"/>
      <c r="G4159" s="13" t="n"/>
    </row>
    <row r="4160">
      <c r="A4160" s="12" t="n"/>
      <c r="D4160">
        <f>IFERROR(VLOOKUP(C4160,Cadastro_Produtos!A:B,2,FALSE),"")</f>
        <v/>
      </c>
      <c r="F4160" s="12" t="n"/>
      <c r="G4160" s="13" t="n"/>
    </row>
    <row r="4161">
      <c r="A4161" s="12" t="n"/>
      <c r="D4161">
        <f>IFERROR(VLOOKUP(C4161,Cadastro_Produtos!A:B,2,FALSE),"")</f>
        <v/>
      </c>
      <c r="F4161" s="12" t="n"/>
      <c r="G4161" s="13" t="n"/>
    </row>
    <row r="4162">
      <c r="A4162" s="12" t="n"/>
      <c r="D4162">
        <f>IFERROR(VLOOKUP(C4162,Cadastro_Produtos!A:B,2,FALSE),"")</f>
        <v/>
      </c>
      <c r="F4162" s="12" t="n"/>
      <c r="G4162" s="13" t="n"/>
    </row>
    <row r="4163">
      <c r="A4163" s="12" t="n"/>
      <c r="D4163">
        <f>IFERROR(VLOOKUP(C4163,Cadastro_Produtos!A:B,2,FALSE),"")</f>
        <v/>
      </c>
      <c r="F4163" s="12" t="n"/>
      <c r="G4163" s="13" t="n"/>
    </row>
    <row r="4164">
      <c r="A4164" s="12" t="n"/>
      <c r="D4164">
        <f>IFERROR(VLOOKUP(C4164,Cadastro_Produtos!A:B,2,FALSE),"")</f>
        <v/>
      </c>
      <c r="F4164" s="12" t="n"/>
      <c r="G4164" s="13" t="n"/>
    </row>
    <row r="4165">
      <c r="A4165" s="12" t="n"/>
      <c r="D4165">
        <f>IFERROR(VLOOKUP(C4165,Cadastro_Produtos!A:B,2,FALSE),"")</f>
        <v/>
      </c>
      <c r="F4165" s="12" t="n"/>
      <c r="G4165" s="13" t="n"/>
    </row>
    <row r="4166">
      <c r="A4166" s="12" t="n"/>
      <c r="D4166">
        <f>IFERROR(VLOOKUP(C4166,Cadastro_Produtos!A:B,2,FALSE),"")</f>
        <v/>
      </c>
      <c r="F4166" s="12" t="n"/>
      <c r="G4166" s="13" t="n"/>
    </row>
    <row r="4167">
      <c r="A4167" s="12" t="n"/>
      <c r="D4167">
        <f>IFERROR(VLOOKUP(C4167,Cadastro_Produtos!A:B,2,FALSE),"")</f>
        <v/>
      </c>
      <c r="F4167" s="12" t="n"/>
      <c r="G4167" s="13" t="n"/>
    </row>
    <row r="4168">
      <c r="A4168" s="12" t="n"/>
      <c r="D4168">
        <f>IFERROR(VLOOKUP(C4168,Cadastro_Produtos!A:B,2,FALSE),"")</f>
        <v/>
      </c>
      <c r="F4168" s="12" t="n"/>
      <c r="G4168" s="13" t="n"/>
    </row>
    <row r="4169">
      <c r="A4169" s="12" t="n"/>
      <c r="D4169">
        <f>IFERROR(VLOOKUP(C4169,Cadastro_Produtos!A:B,2,FALSE),"")</f>
        <v/>
      </c>
      <c r="F4169" s="12" t="n"/>
      <c r="G4169" s="13" t="n"/>
    </row>
    <row r="4170">
      <c r="A4170" s="12" t="n"/>
      <c r="D4170">
        <f>IFERROR(VLOOKUP(C4170,Cadastro_Produtos!A:B,2,FALSE),"")</f>
        <v/>
      </c>
      <c r="F4170" s="12" t="n"/>
      <c r="G4170" s="13" t="n"/>
    </row>
    <row r="4171">
      <c r="A4171" s="12" t="n"/>
      <c r="D4171">
        <f>IFERROR(VLOOKUP(C4171,Cadastro_Produtos!A:B,2,FALSE),"")</f>
        <v/>
      </c>
      <c r="F4171" s="12" t="n"/>
      <c r="G4171" s="13" t="n"/>
    </row>
    <row r="4172">
      <c r="A4172" s="12" t="n"/>
      <c r="D4172">
        <f>IFERROR(VLOOKUP(C4172,Cadastro_Produtos!A:B,2,FALSE),"")</f>
        <v/>
      </c>
      <c r="F4172" s="12" t="n"/>
      <c r="G4172" s="13" t="n"/>
    </row>
    <row r="4173">
      <c r="A4173" s="12" t="n"/>
      <c r="D4173">
        <f>IFERROR(VLOOKUP(C4173,Cadastro_Produtos!A:B,2,FALSE),"")</f>
        <v/>
      </c>
      <c r="F4173" s="12" t="n"/>
      <c r="G4173" s="13" t="n"/>
    </row>
    <row r="4174">
      <c r="A4174" s="12" t="n"/>
      <c r="D4174">
        <f>IFERROR(VLOOKUP(C4174,Cadastro_Produtos!A:B,2,FALSE),"")</f>
        <v/>
      </c>
      <c r="F4174" s="12" t="n"/>
      <c r="G4174" s="13" t="n"/>
    </row>
    <row r="4175">
      <c r="A4175" s="12" t="n"/>
      <c r="D4175">
        <f>IFERROR(VLOOKUP(C4175,Cadastro_Produtos!A:B,2,FALSE),"")</f>
        <v/>
      </c>
      <c r="F4175" s="12" t="n"/>
      <c r="G4175" s="13" t="n"/>
    </row>
    <row r="4176">
      <c r="A4176" s="12" t="n"/>
      <c r="D4176">
        <f>IFERROR(VLOOKUP(C4176,Cadastro_Produtos!A:B,2,FALSE),"")</f>
        <v/>
      </c>
      <c r="F4176" s="12" t="n"/>
      <c r="G4176" s="13" t="n"/>
    </row>
    <row r="4177">
      <c r="A4177" s="12" t="n"/>
      <c r="D4177">
        <f>IFERROR(VLOOKUP(C4177,Cadastro_Produtos!A:B,2,FALSE),"")</f>
        <v/>
      </c>
      <c r="F4177" s="12" t="n"/>
      <c r="G4177" s="13" t="n"/>
    </row>
    <row r="4178">
      <c r="A4178" s="12" t="n"/>
      <c r="D4178">
        <f>IFERROR(VLOOKUP(C4178,Cadastro_Produtos!A:B,2,FALSE),"")</f>
        <v/>
      </c>
      <c r="F4178" s="12" t="n"/>
      <c r="G4178" s="13" t="n"/>
    </row>
    <row r="4179">
      <c r="A4179" s="12" t="n"/>
      <c r="D4179">
        <f>IFERROR(VLOOKUP(C4179,Cadastro_Produtos!A:B,2,FALSE),"")</f>
        <v/>
      </c>
      <c r="F4179" s="12" t="n"/>
      <c r="G4179" s="13" t="n"/>
    </row>
    <row r="4180">
      <c r="A4180" s="12" t="n"/>
      <c r="D4180">
        <f>IFERROR(VLOOKUP(C4180,Cadastro_Produtos!A:B,2,FALSE),"")</f>
        <v/>
      </c>
      <c r="F4180" s="12" t="n"/>
      <c r="G4180" s="13" t="n"/>
    </row>
    <row r="4181">
      <c r="A4181" s="12" t="n"/>
      <c r="D4181">
        <f>IFERROR(VLOOKUP(C4181,Cadastro_Produtos!A:B,2,FALSE),"")</f>
        <v/>
      </c>
      <c r="F4181" s="12" t="n"/>
      <c r="G4181" s="13" t="n"/>
    </row>
    <row r="4182">
      <c r="A4182" s="12" t="n"/>
      <c r="D4182">
        <f>IFERROR(VLOOKUP(C4182,Cadastro_Produtos!A:B,2,FALSE),"")</f>
        <v/>
      </c>
      <c r="F4182" s="12" t="n"/>
      <c r="G4182" s="13" t="n"/>
    </row>
    <row r="4183">
      <c r="A4183" s="12" t="n"/>
      <c r="D4183">
        <f>IFERROR(VLOOKUP(C4183,Cadastro_Produtos!A:B,2,FALSE),"")</f>
        <v/>
      </c>
      <c r="F4183" s="12" t="n"/>
      <c r="G4183" s="13" t="n"/>
    </row>
    <row r="4184">
      <c r="A4184" s="12" t="n"/>
      <c r="D4184">
        <f>IFERROR(VLOOKUP(C4184,Cadastro_Produtos!A:B,2,FALSE),"")</f>
        <v/>
      </c>
      <c r="F4184" s="12" t="n"/>
      <c r="G4184" s="13" t="n"/>
    </row>
    <row r="4185">
      <c r="A4185" s="12" t="n"/>
      <c r="D4185">
        <f>IFERROR(VLOOKUP(C4185,Cadastro_Produtos!A:B,2,FALSE),"")</f>
        <v/>
      </c>
      <c r="F4185" s="12" t="n"/>
      <c r="G4185" s="13" t="n"/>
    </row>
    <row r="4186">
      <c r="A4186" s="12" t="n"/>
      <c r="D4186">
        <f>IFERROR(VLOOKUP(C4186,Cadastro_Produtos!A:B,2,FALSE),"")</f>
        <v/>
      </c>
      <c r="F4186" s="12" t="n"/>
      <c r="G4186" s="13" t="n"/>
    </row>
    <row r="4187">
      <c r="A4187" s="12" t="n"/>
      <c r="D4187">
        <f>IFERROR(VLOOKUP(C4187,Cadastro_Produtos!A:B,2,FALSE),"")</f>
        <v/>
      </c>
      <c r="F4187" s="12" t="n"/>
      <c r="G4187" s="13" t="n"/>
    </row>
    <row r="4188">
      <c r="A4188" s="12" t="n"/>
      <c r="D4188">
        <f>IFERROR(VLOOKUP(C4188,Cadastro_Produtos!A:B,2,FALSE),"")</f>
        <v/>
      </c>
      <c r="F4188" s="12" t="n"/>
      <c r="G4188" s="13" t="n"/>
    </row>
    <row r="4189">
      <c r="A4189" s="12" t="n"/>
      <c r="D4189">
        <f>IFERROR(VLOOKUP(C4189,Cadastro_Produtos!A:B,2,FALSE),"")</f>
        <v/>
      </c>
      <c r="F4189" s="12" t="n"/>
      <c r="G4189" s="13" t="n"/>
    </row>
    <row r="4190">
      <c r="A4190" s="12" t="n"/>
      <c r="D4190">
        <f>IFERROR(VLOOKUP(C4190,Cadastro_Produtos!A:B,2,FALSE),"")</f>
        <v/>
      </c>
      <c r="F4190" s="12" t="n"/>
      <c r="G4190" s="13" t="n"/>
    </row>
    <row r="4191">
      <c r="A4191" s="12" t="n"/>
      <c r="D4191">
        <f>IFERROR(VLOOKUP(C4191,Cadastro_Produtos!A:B,2,FALSE),"")</f>
        <v/>
      </c>
      <c r="F4191" s="12" t="n"/>
      <c r="G4191" s="13" t="n"/>
    </row>
    <row r="4192">
      <c r="A4192" s="12" t="n"/>
      <c r="D4192">
        <f>IFERROR(VLOOKUP(C4192,Cadastro_Produtos!A:B,2,FALSE),"")</f>
        <v/>
      </c>
      <c r="F4192" s="12" t="n"/>
      <c r="G4192" s="13" t="n"/>
    </row>
    <row r="4193">
      <c r="A4193" s="12" t="n"/>
      <c r="D4193">
        <f>IFERROR(VLOOKUP(C4193,Cadastro_Produtos!A:B,2,FALSE),"")</f>
        <v/>
      </c>
      <c r="F4193" s="12" t="n"/>
      <c r="G4193" s="13" t="n"/>
    </row>
    <row r="4194">
      <c r="A4194" s="12" t="n"/>
      <c r="D4194">
        <f>IFERROR(VLOOKUP(C4194,Cadastro_Produtos!A:B,2,FALSE),"")</f>
        <v/>
      </c>
      <c r="F4194" s="12" t="n"/>
      <c r="G4194" s="13" t="n"/>
    </row>
    <row r="4195">
      <c r="A4195" s="12" t="n"/>
      <c r="D4195">
        <f>IFERROR(VLOOKUP(C4195,Cadastro_Produtos!A:B,2,FALSE),"")</f>
        <v/>
      </c>
      <c r="F4195" s="12" t="n"/>
      <c r="G4195" s="13" t="n"/>
    </row>
    <row r="4196">
      <c r="A4196" s="12" t="n"/>
      <c r="D4196">
        <f>IFERROR(VLOOKUP(C4196,Cadastro_Produtos!A:B,2,FALSE),"")</f>
        <v/>
      </c>
      <c r="F4196" s="12" t="n"/>
      <c r="G4196" s="13" t="n"/>
    </row>
    <row r="4197">
      <c r="A4197" s="12" t="n"/>
      <c r="D4197">
        <f>IFERROR(VLOOKUP(C4197,Cadastro_Produtos!A:B,2,FALSE),"")</f>
        <v/>
      </c>
      <c r="F4197" s="12" t="n"/>
      <c r="G4197" s="13" t="n"/>
    </row>
    <row r="4198">
      <c r="A4198" s="12" t="n"/>
      <c r="D4198">
        <f>IFERROR(VLOOKUP(C4198,Cadastro_Produtos!A:B,2,FALSE),"")</f>
        <v/>
      </c>
      <c r="F4198" s="12" t="n"/>
      <c r="G4198" s="13" t="n"/>
    </row>
    <row r="4199">
      <c r="A4199" s="12" t="n"/>
      <c r="D4199">
        <f>IFERROR(VLOOKUP(C4199,Cadastro_Produtos!A:B,2,FALSE),"")</f>
        <v/>
      </c>
      <c r="F4199" s="12" t="n"/>
      <c r="G4199" s="13" t="n"/>
    </row>
    <row r="4200">
      <c r="A4200" s="12" t="n"/>
      <c r="D4200">
        <f>IFERROR(VLOOKUP(C4200,Cadastro_Produtos!A:B,2,FALSE),"")</f>
        <v/>
      </c>
      <c r="F4200" s="12" t="n"/>
      <c r="G4200" s="13" t="n"/>
    </row>
    <row r="4201">
      <c r="A4201" s="12" t="n"/>
      <c r="D4201">
        <f>IFERROR(VLOOKUP(C4201,Cadastro_Produtos!A:B,2,FALSE),"")</f>
        <v/>
      </c>
      <c r="F4201" s="12" t="n"/>
      <c r="G4201" s="13" t="n"/>
    </row>
    <row r="4202">
      <c r="A4202" s="12" t="n"/>
      <c r="D4202">
        <f>IFERROR(VLOOKUP(C4202,Cadastro_Produtos!A:B,2,FALSE),"")</f>
        <v/>
      </c>
      <c r="F4202" s="12" t="n"/>
      <c r="G4202" s="13" t="n"/>
    </row>
    <row r="4203">
      <c r="A4203" s="12" t="n"/>
      <c r="D4203">
        <f>IFERROR(VLOOKUP(C4203,Cadastro_Produtos!A:B,2,FALSE),"")</f>
        <v/>
      </c>
      <c r="F4203" s="12" t="n"/>
      <c r="G4203" s="13" t="n"/>
    </row>
    <row r="4204">
      <c r="A4204" s="12" t="n"/>
      <c r="D4204">
        <f>IFERROR(VLOOKUP(C4204,Cadastro_Produtos!A:B,2,FALSE),"")</f>
        <v/>
      </c>
      <c r="F4204" s="12" t="n"/>
      <c r="G4204" s="13" t="n"/>
    </row>
    <row r="4205">
      <c r="A4205" s="12" t="n"/>
      <c r="D4205">
        <f>IFERROR(VLOOKUP(C4205,Cadastro_Produtos!A:B,2,FALSE),"")</f>
        <v/>
      </c>
      <c r="F4205" s="12" t="n"/>
      <c r="G4205" s="13" t="n"/>
    </row>
    <row r="4206">
      <c r="A4206" s="12" t="n"/>
      <c r="D4206">
        <f>IFERROR(VLOOKUP(C4206,Cadastro_Produtos!A:B,2,FALSE),"")</f>
        <v/>
      </c>
      <c r="F4206" s="12" t="n"/>
      <c r="G4206" s="13" t="n"/>
    </row>
    <row r="4207">
      <c r="A4207" s="12" t="n"/>
      <c r="D4207">
        <f>IFERROR(VLOOKUP(C4207,Cadastro_Produtos!A:B,2,FALSE),"")</f>
        <v/>
      </c>
      <c r="F4207" s="12" t="n"/>
      <c r="G4207" s="13" t="n"/>
    </row>
    <row r="4208">
      <c r="A4208" s="12" t="n"/>
      <c r="D4208">
        <f>IFERROR(VLOOKUP(C4208,Cadastro_Produtos!A:B,2,FALSE),"")</f>
        <v/>
      </c>
      <c r="F4208" s="12" t="n"/>
      <c r="G4208" s="13" t="n"/>
    </row>
    <row r="4209">
      <c r="A4209" s="12" t="n"/>
      <c r="D4209">
        <f>IFERROR(VLOOKUP(C4209,Cadastro_Produtos!A:B,2,FALSE),"")</f>
        <v/>
      </c>
      <c r="F4209" s="12" t="n"/>
      <c r="G4209" s="13" t="n"/>
    </row>
    <row r="4210">
      <c r="A4210" s="12" t="n"/>
      <c r="D4210">
        <f>IFERROR(VLOOKUP(C4210,Cadastro_Produtos!A:B,2,FALSE),"")</f>
        <v/>
      </c>
      <c r="F4210" s="12" t="n"/>
      <c r="G4210" s="13" t="n"/>
    </row>
    <row r="4211">
      <c r="A4211" s="12" t="n"/>
      <c r="D4211">
        <f>IFERROR(VLOOKUP(C4211,Cadastro_Produtos!A:B,2,FALSE),"")</f>
        <v/>
      </c>
      <c r="F4211" s="12" t="n"/>
      <c r="G4211" s="13" t="n"/>
    </row>
    <row r="4212">
      <c r="A4212" s="12" t="n"/>
      <c r="D4212">
        <f>IFERROR(VLOOKUP(C4212,Cadastro_Produtos!A:B,2,FALSE),"")</f>
        <v/>
      </c>
      <c r="F4212" s="12" t="n"/>
      <c r="G4212" s="13" t="n"/>
    </row>
    <row r="4213">
      <c r="A4213" s="12" t="n"/>
      <c r="D4213">
        <f>IFERROR(VLOOKUP(C4213,Cadastro_Produtos!A:B,2,FALSE),"")</f>
        <v/>
      </c>
      <c r="F4213" s="12" t="n"/>
      <c r="G4213" s="13" t="n"/>
    </row>
    <row r="4214">
      <c r="A4214" s="12" t="n"/>
      <c r="D4214">
        <f>IFERROR(VLOOKUP(C4214,Cadastro_Produtos!A:B,2,FALSE),"")</f>
        <v/>
      </c>
      <c r="F4214" s="12" t="n"/>
      <c r="G4214" s="13" t="n"/>
    </row>
    <row r="4215">
      <c r="A4215" s="12" t="n"/>
      <c r="D4215">
        <f>IFERROR(VLOOKUP(C4215,Cadastro_Produtos!A:B,2,FALSE),"")</f>
        <v/>
      </c>
      <c r="F4215" s="12" t="n"/>
      <c r="G4215" s="13" t="n"/>
    </row>
    <row r="4216">
      <c r="A4216" s="12" t="n"/>
      <c r="D4216">
        <f>IFERROR(VLOOKUP(C4216,Cadastro_Produtos!A:B,2,FALSE),"")</f>
        <v/>
      </c>
      <c r="F4216" s="12" t="n"/>
      <c r="G4216" s="13" t="n"/>
    </row>
    <row r="4217">
      <c r="A4217" s="12" t="n"/>
      <c r="D4217">
        <f>IFERROR(VLOOKUP(C4217,Cadastro_Produtos!A:B,2,FALSE),"")</f>
        <v/>
      </c>
      <c r="F4217" s="12" t="n"/>
      <c r="G4217" s="13" t="n"/>
    </row>
    <row r="4218">
      <c r="A4218" s="12" t="n"/>
      <c r="D4218">
        <f>IFERROR(VLOOKUP(C4218,Cadastro_Produtos!A:B,2,FALSE),"")</f>
        <v/>
      </c>
      <c r="F4218" s="12" t="n"/>
      <c r="G4218" s="13" t="n"/>
    </row>
    <row r="4219">
      <c r="A4219" s="12" t="n"/>
      <c r="D4219">
        <f>IFERROR(VLOOKUP(C4219,Cadastro_Produtos!A:B,2,FALSE),"")</f>
        <v/>
      </c>
      <c r="F4219" s="12" t="n"/>
      <c r="G4219" s="13" t="n"/>
    </row>
    <row r="4220">
      <c r="A4220" s="12" t="n"/>
      <c r="D4220">
        <f>IFERROR(VLOOKUP(C4220,Cadastro_Produtos!A:B,2,FALSE),"")</f>
        <v/>
      </c>
      <c r="F4220" s="12" t="n"/>
      <c r="G4220" s="13" t="n"/>
    </row>
    <row r="4221">
      <c r="A4221" s="12" t="n"/>
      <c r="D4221">
        <f>IFERROR(VLOOKUP(C4221,Cadastro_Produtos!A:B,2,FALSE),"")</f>
        <v/>
      </c>
      <c r="F4221" s="12" t="n"/>
      <c r="G4221" s="13" t="n"/>
    </row>
    <row r="4222">
      <c r="A4222" s="12" t="n"/>
      <c r="D4222">
        <f>IFERROR(VLOOKUP(C4222,Cadastro_Produtos!A:B,2,FALSE),"")</f>
        <v/>
      </c>
      <c r="F4222" s="12" t="n"/>
      <c r="G4222" s="13" t="n"/>
    </row>
    <row r="4223">
      <c r="A4223" s="12" t="n"/>
      <c r="D4223">
        <f>IFERROR(VLOOKUP(C4223,Cadastro_Produtos!A:B,2,FALSE),"")</f>
        <v/>
      </c>
      <c r="F4223" s="12" t="n"/>
      <c r="G4223" s="13" t="n"/>
    </row>
    <row r="4224">
      <c r="A4224" s="12" t="n"/>
      <c r="D4224">
        <f>IFERROR(VLOOKUP(C4224,Cadastro_Produtos!A:B,2,FALSE),"")</f>
        <v/>
      </c>
      <c r="F4224" s="12" t="n"/>
      <c r="G4224" s="13" t="n"/>
    </row>
    <row r="4225">
      <c r="A4225" s="12" t="n"/>
      <c r="D4225">
        <f>IFERROR(VLOOKUP(C4225,Cadastro_Produtos!A:B,2,FALSE),"")</f>
        <v/>
      </c>
      <c r="F4225" s="12" t="n"/>
      <c r="G4225" s="13" t="n"/>
    </row>
    <row r="4226">
      <c r="A4226" s="12" t="n"/>
      <c r="D4226">
        <f>IFERROR(VLOOKUP(C4226,Cadastro_Produtos!A:B,2,FALSE),"")</f>
        <v/>
      </c>
      <c r="F4226" s="12" t="n"/>
      <c r="G4226" s="13" t="n"/>
    </row>
    <row r="4227">
      <c r="A4227" s="12" t="n"/>
      <c r="D4227">
        <f>IFERROR(VLOOKUP(C4227,Cadastro_Produtos!A:B,2,FALSE),"")</f>
        <v/>
      </c>
      <c r="F4227" s="12" t="n"/>
      <c r="G4227" s="13" t="n"/>
    </row>
    <row r="4228">
      <c r="A4228" s="12" t="n"/>
      <c r="D4228">
        <f>IFERROR(VLOOKUP(C4228,Cadastro_Produtos!A:B,2,FALSE),"")</f>
        <v/>
      </c>
      <c r="F4228" s="12" t="n"/>
      <c r="G4228" s="13" t="n"/>
    </row>
    <row r="4229">
      <c r="A4229" s="12" t="n"/>
      <c r="D4229">
        <f>IFERROR(VLOOKUP(C4229,Cadastro_Produtos!A:B,2,FALSE),"")</f>
        <v/>
      </c>
      <c r="F4229" s="12" t="n"/>
      <c r="G4229" s="13" t="n"/>
    </row>
    <row r="4230">
      <c r="A4230" s="12" t="n"/>
      <c r="D4230">
        <f>IFERROR(VLOOKUP(C4230,Cadastro_Produtos!A:B,2,FALSE),"")</f>
        <v/>
      </c>
      <c r="F4230" s="12" t="n"/>
      <c r="G4230" s="13" t="n"/>
    </row>
    <row r="4231">
      <c r="A4231" s="12" t="n"/>
      <c r="D4231">
        <f>IFERROR(VLOOKUP(C4231,Cadastro_Produtos!A:B,2,FALSE),"")</f>
        <v/>
      </c>
      <c r="F4231" s="12" t="n"/>
      <c r="G4231" s="13" t="n"/>
    </row>
    <row r="4232">
      <c r="A4232" s="12" t="n"/>
      <c r="D4232">
        <f>IFERROR(VLOOKUP(C4232,Cadastro_Produtos!A:B,2,FALSE),"")</f>
        <v/>
      </c>
      <c r="F4232" s="12" t="n"/>
      <c r="G4232" s="13" t="n"/>
    </row>
    <row r="4233">
      <c r="A4233" s="12" t="n"/>
      <c r="D4233">
        <f>IFERROR(VLOOKUP(C4233,Cadastro_Produtos!A:B,2,FALSE),"")</f>
        <v/>
      </c>
      <c r="F4233" s="12" t="n"/>
      <c r="G4233" s="13" t="n"/>
    </row>
    <row r="4234">
      <c r="A4234" s="12" t="n"/>
      <c r="D4234">
        <f>IFERROR(VLOOKUP(C4234,Cadastro_Produtos!A:B,2,FALSE),"")</f>
        <v/>
      </c>
      <c r="F4234" s="12" t="n"/>
      <c r="G4234" s="13" t="n"/>
    </row>
    <row r="4235">
      <c r="A4235" s="12" t="n"/>
      <c r="D4235">
        <f>IFERROR(VLOOKUP(C4235,Cadastro_Produtos!A:B,2,FALSE),"")</f>
        <v/>
      </c>
      <c r="F4235" s="12" t="n"/>
      <c r="G4235" s="13" t="n"/>
    </row>
    <row r="4236">
      <c r="A4236" s="12" t="n"/>
      <c r="D4236">
        <f>IFERROR(VLOOKUP(C4236,Cadastro_Produtos!A:B,2,FALSE),"")</f>
        <v/>
      </c>
      <c r="F4236" s="12" t="n"/>
      <c r="G4236" s="13" t="n"/>
    </row>
    <row r="4237">
      <c r="A4237" s="12" t="n"/>
      <c r="D4237">
        <f>IFERROR(VLOOKUP(C4237,Cadastro_Produtos!A:B,2,FALSE),"")</f>
        <v/>
      </c>
      <c r="F4237" s="12" t="n"/>
      <c r="G4237" s="13" t="n"/>
    </row>
    <row r="4238">
      <c r="A4238" s="12" t="n"/>
      <c r="D4238">
        <f>IFERROR(VLOOKUP(C4238,Cadastro_Produtos!A:B,2,FALSE),"")</f>
        <v/>
      </c>
      <c r="F4238" s="12" t="n"/>
      <c r="G4238" s="13" t="n"/>
    </row>
    <row r="4239">
      <c r="A4239" s="12" t="n"/>
      <c r="D4239">
        <f>IFERROR(VLOOKUP(C4239,Cadastro_Produtos!A:B,2,FALSE),"")</f>
        <v/>
      </c>
      <c r="F4239" s="12" t="n"/>
      <c r="G4239" s="13" t="n"/>
    </row>
    <row r="4240">
      <c r="A4240" s="12" t="n"/>
      <c r="D4240">
        <f>IFERROR(VLOOKUP(C4240,Cadastro_Produtos!A:B,2,FALSE),"")</f>
        <v/>
      </c>
      <c r="F4240" s="12" t="n"/>
      <c r="G4240" s="13" t="n"/>
    </row>
    <row r="4241">
      <c r="A4241" s="12" t="n"/>
      <c r="D4241">
        <f>IFERROR(VLOOKUP(C4241,Cadastro_Produtos!A:B,2,FALSE),"")</f>
        <v/>
      </c>
      <c r="F4241" s="12" t="n"/>
      <c r="G4241" s="13" t="n"/>
    </row>
    <row r="4242">
      <c r="A4242" s="12" t="n"/>
      <c r="D4242">
        <f>IFERROR(VLOOKUP(C4242,Cadastro_Produtos!A:B,2,FALSE),"")</f>
        <v/>
      </c>
      <c r="F4242" s="12" t="n"/>
      <c r="G4242" s="13" t="n"/>
    </row>
    <row r="4243">
      <c r="A4243" s="12" t="n"/>
      <c r="D4243">
        <f>IFERROR(VLOOKUP(C4243,Cadastro_Produtos!A:B,2,FALSE),"")</f>
        <v/>
      </c>
      <c r="F4243" s="12" t="n"/>
      <c r="G4243" s="13" t="n"/>
    </row>
    <row r="4244">
      <c r="A4244" s="12" t="n"/>
      <c r="D4244">
        <f>IFERROR(VLOOKUP(C4244,Cadastro_Produtos!A:B,2,FALSE),"")</f>
        <v/>
      </c>
      <c r="F4244" s="12" t="n"/>
      <c r="G4244" s="13" t="n"/>
    </row>
    <row r="4245">
      <c r="A4245" s="12" t="n"/>
      <c r="D4245">
        <f>IFERROR(VLOOKUP(C4245,Cadastro_Produtos!A:B,2,FALSE),"")</f>
        <v/>
      </c>
      <c r="F4245" s="12" t="n"/>
      <c r="G4245" s="13" t="n"/>
    </row>
    <row r="4246">
      <c r="A4246" s="12" t="n"/>
      <c r="D4246">
        <f>IFERROR(VLOOKUP(C4246,Cadastro_Produtos!A:B,2,FALSE),"")</f>
        <v/>
      </c>
      <c r="F4246" s="12" t="n"/>
      <c r="G4246" s="13" t="n"/>
    </row>
    <row r="4247">
      <c r="A4247" s="12" t="n"/>
      <c r="D4247">
        <f>IFERROR(VLOOKUP(C4247,Cadastro_Produtos!A:B,2,FALSE),"")</f>
        <v/>
      </c>
      <c r="F4247" s="12" t="n"/>
      <c r="G4247" s="13" t="n"/>
    </row>
    <row r="4248">
      <c r="A4248" s="12" t="n"/>
      <c r="D4248">
        <f>IFERROR(VLOOKUP(C4248,Cadastro_Produtos!A:B,2,FALSE),"")</f>
        <v/>
      </c>
      <c r="F4248" s="12" t="n"/>
      <c r="G4248" s="13" t="n"/>
    </row>
    <row r="4249">
      <c r="A4249" s="12" t="n"/>
      <c r="D4249">
        <f>IFERROR(VLOOKUP(C4249,Cadastro_Produtos!A:B,2,FALSE),"")</f>
        <v/>
      </c>
      <c r="F4249" s="12" t="n"/>
      <c r="G4249" s="13" t="n"/>
    </row>
    <row r="4250">
      <c r="A4250" s="12" t="n"/>
      <c r="D4250">
        <f>IFERROR(VLOOKUP(C4250,Cadastro_Produtos!A:B,2,FALSE),"")</f>
        <v/>
      </c>
      <c r="F4250" s="12" t="n"/>
      <c r="G4250" s="13" t="n"/>
    </row>
    <row r="4251">
      <c r="A4251" s="12" t="n"/>
      <c r="D4251">
        <f>IFERROR(VLOOKUP(C4251,Cadastro_Produtos!A:B,2,FALSE),"")</f>
        <v/>
      </c>
      <c r="F4251" s="12" t="n"/>
      <c r="G4251" s="13" t="n"/>
    </row>
    <row r="4252">
      <c r="A4252" s="12" t="n"/>
      <c r="D4252">
        <f>IFERROR(VLOOKUP(C4252,Cadastro_Produtos!A:B,2,FALSE),"")</f>
        <v/>
      </c>
      <c r="F4252" s="12" t="n"/>
      <c r="G4252" s="13" t="n"/>
    </row>
    <row r="4253">
      <c r="A4253" s="12" t="n"/>
      <c r="D4253">
        <f>IFERROR(VLOOKUP(C4253,Cadastro_Produtos!A:B,2,FALSE),"")</f>
        <v/>
      </c>
      <c r="F4253" s="12" t="n"/>
      <c r="G4253" s="13" t="n"/>
    </row>
    <row r="4254">
      <c r="A4254" s="12" t="n"/>
      <c r="D4254">
        <f>IFERROR(VLOOKUP(C4254,Cadastro_Produtos!A:B,2,FALSE),"")</f>
        <v/>
      </c>
      <c r="F4254" s="12" t="n"/>
      <c r="G4254" s="13" t="n"/>
    </row>
    <row r="4255">
      <c r="A4255" s="12" t="n"/>
      <c r="D4255">
        <f>IFERROR(VLOOKUP(C4255,Cadastro_Produtos!A:B,2,FALSE),"")</f>
        <v/>
      </c>
      <c r="F4255" s="12" t="n"/>
      <c r="G4255" s="13" t="n"/>
    </row>
    <row r="4256">
      <c r="A4256" s="12" t="n"/>
      <c r="D4256">
        <f>IFERROR(VLOOKUP(C4256,Cadastro_Produtos!A:B,2,FALSE),"")</f>
        <v/>
      </c>
      <c r="F4256" s="12" t="n"/>
      <c r="G4256" s="13" t="n"/>
    </row>
    <row r="4257">
      <c r="A4257" s="12" t="n"/>
      <c r="D4257">
        <f>IFERROR(VLOOKUP(C4257,Cadastro_Produtos!A:B,2,FALSE),"")</f>
        <v/>
      </c>
      <c r="F4257" s="12" t="n"/>
      <c r="G4257" s="13" t="n"/>
    </row>
    <row r="4258">
      <c r="A4258" s="12" t="n"/>
      <c r="D4258">
        <f>IFERROR(VLOOKUP(C4258,Cadastro_Produtos!A:B,2,FALSE),"")</f>
        <v/>
      </c>
      <c r="F4258" s="12" t="n"/>
      <c r="G4258" s="13" t="n"/>
    </row>
    <row r="4259">
      <c r="A4259" s="12" t="n"/>
      <c r="D4259">
        <f>IFERROR(VLOOKUP(C4259,Cadastro_Produtos!A:B,2,FALSE),"")</f>
        <v/>
      </c>
      <c r="F4259" s="12" t="n"/>
      <c r="G4259" s="13" t="n"/>
    </row>
    <row r="4260">
      <c r="A4260" s="12" t="n"/>
      <c r="D4260">
        <f>IFERROR(VLOOKUP(C4260,Cadastro_Produtos!A:B,2,FALSE),"")</f>
        <v/>
      </c>
      <c r="F4260" s="12" t="n"/>
      <c r="G4260" s="13" t="n"/>
    </row>
    <row r="4261">
      <c r="A4261" s="12" t="n"/>
      <c r="D4261">
        <f>IFERROR(VLOOKUP(C4261,Cadastro_Produtos!A:B,2,FALSE),"")</f>
        <v/>
      </c>
      <c r="F4261" s="12" t="n"/>
      <c r="G4261" s="13" t="n"/>
    </row>
    <row r="4262">
      <c r="A4262" s="12" t="n"/>
      <c r="D4262">
        <f>IFERROR(VLOOKUP(C4262,Cadastro_Produtos!A:B,2,FALSE),"")</f>
        <v/>
      </c>
      <c r="F4262" s="12" t="n"/>
      <c r="G4262" s="13" t="n"/>
    </row>
    <row r="4263">
      <c r="A4263" s="12" t="n"/>
      <c r="D4263">
        <f>IFERROR(VLOOKUP(C4263,Cadastro_Produtos!A:B,2,FALSE),"")</f>
        <v/>
      </c>
      <c r="F4263" s="12" t="n"/>
      <c r="G4263" s="13" t="n"/>
    </row>
    <row r="4264">
      <c r="A4264" s="12" t="n"/>
      <c r="D4264">
        <f>IFERROR(VLOOKUP(C4264,Cadastro_Produtos!A:B,2,FALSE),"")</f>
        <v/>
      </c>
      <c r="F4264" s="12" t="n"/>
      <c r="G4264" s="13" t="n"/>
    </row>
    <row r="4265">
      <c r="A4265" s="12" t="n"/>
      <c r="D4265">
        <f>IFERROR(VLOOKUP(C4265,Cadastro_Produtos!A:B,2,FALSE),"")</f>
        <v/>
      </c>
      <c r="F4265" s="12" t="n"/>
      <c r="G4265" s="13" t="n"/>
    </row>
    <row r="4266">
      <c r="A4266" s="12" t="n"/>
      <c r="D4266">
        <f>IFERROR(VLOOKUP(C4266,Cadastro_Produtos!A:B,2,FALSE),"")</f>
        <v/>
      </c>
      <c r="F4266" s="12" t="n"/>
      <c r="G4266" s="13" t="n"/>
    </row>
    <row r="4267">
      <c r="A4267" s="12" t="n"/>
      <c r="D4267">
        <f>IFERROR(VLOOKUP(C4267,Cadastro_Produtos!A:B,2,FALSE),"")</f>
        <v/>
      </c>
      <c r="F4267" s="12" t="n"/>
      <c r="G4267" s="13" t="n"/>
    </row>
    <row r="4268">
      <c r="A4268" s="12" t="n"/>
      <c r="D4268">
        <f>IFERROR(VLOOKUP(C4268,Cadastro_Produtos!A:B,2,FALSE),"")</f>
        <v/>
      </c>
      <c r="F4268" s="12" t="n"/>
      <c r="G4268" s="13" t="n"/>
    </row>
    <row r="4269">
      <c r="A4269" s="12" t="n"/>
      <c r="D4269">
        <f>IFERROR(VLOOKUP(C4269,Cadastro_Produtos!A:B,2,FALSE),"")</f>
        <v/>
      </c>
      <c r="F4269" s="12" t="n"/>
      <c r="G4269" s="13" t="n"/>
    </row>
    <row r="4270">
      <c r="A4270" s="12" t="n"/>
      <c r="D4270">
        <f>IFERROR(VLOOKUP(C4270,Cadastro_Produtos!A:B,2,FALSE),"")</f>
        <v/>
      </c>
      <c r="F4270" s="12" t="n"/>
      <c r="G4270" s="13" t="n"/>
    </row>
    <row r="4271">
      <c r="A4271" s="12" t="n"/>
      <c r="D4271">
        <f>IFERROR(VLOOKUP(C4271,Cadastro_Produtos!A:B,2,FALSE),"")</f>
        <v/>
      </c>
      <c r="F4271" s="12" t="n"/>
      <c r="G4271" s="13" t="n"/>
    </row>
    <row r="4272">
      <c r="A4272" s="12" t="n"/>
      <c r="D4272">
        <f>IFERROR(VLOOKUP(C4272,Cadastro_Produtos!A:B,2,FALSE),"")</f>
        <v/>
      </c>
      <c r="F4272" s="12" t="n"/>
      <c r="G4272" s="13" t="n"/>
    </row>
    <row r="4273">
      <c r="A4273" s="12" t="n"/>
      <c r="D4273">
        <f>IFERROR(VLOOKUP(C4273,Cadastro_Produtos!A:B,2,FALSE),"")</f>
        <v/>
      </c>
      <c r="F4273" s="12" t="n"/>
      <c r="G4273" s="13" t="n"/>
    </row>
    <row r="4274">
      <c r="A4274" s="12" t="n"/>
      <c r="D4274">
        <f>IFERROR(VLOOKUP(C4274,Cadastro_Produtos!A:B,2,FALSE),"")</f>
        <v/>
      </c>
      <c r="F4274" s="12" t="n"/>
      <c r="G4274" s="13" t="n"/>
    </row>
    <row r="4275">
      <c r="A4275" s="12" t="n"/>
      <c r="D4275">
        <f>IFERROR(VLOOKUP(C4275,Cadastro_Produtos!A:B,2,FALSE),"")</f>
        <v/>
      </c>
      <c r="F4275" s="12" t="n"/>
      <c r="G4275" s="13" t="n"/>
    </row>
    <row r="4276">
      <c r="A4276" s="12" t="n"/>
      <c r="D4276">
        <f>IFERROR(VLOOKUP(C4276,Cadastro_Produtos!A:B,2,FALSE),"")</f>
        <v/>
      </c>
      <c r="F4276" s="12" t="n"/>
      <c r="G4276" s="13" t="n"/>
    </row>
    <row r="4277">
      <c r="A4277" s="12" t="n"/>
      <c r="D4277">
        <f>IFERROR(VLOOKUP(C4277,Cadastro_Produtos!A:B,2,FALSE),"")</f>
        <v/>
      </c>
      <c r="F4277" s="12" t="n"/>
      <c r="G4277" s="13" t="n"/>
    </row>
    <row r="4278">
      <c r="A4278" s="12" t="n"/>
      <c r="D4278">
        <f>IFERROR(VLOOKUP(C4278,Cadastro_Produtos!A:B,2,FALSE),"")</f>
        <v/>
      </c>
      <c r="F4278" s="12" t="n"/>
      <c r="G4278" s="13" t="n"/>
    </row>
    <row r="4279">
      <c r="A4279" s="12" t="n"/>
      <c r="D4279">
        <f>IFERROR(VLOOKUP(C4279,Cadastro_Produtos!A:B,2,FALSE),"")</f>
        <v/>
      </c>
      <c r="F4279" s="12" t="n"/>
      <c r="G4279" s="13" t="n"/>
    </row>
    <row r="4280">
      <c r="A4280" s="12" t="n"/>
      <c r="D4280">
        <f>IFERROR(VLOOKUP(C4280,Cadastro_Produtos!A:B,2,FALSE),"")</f>
        <v/>
      </c>
      <c r="F4280" s="12" t="n"/>
      <c r="G4280" s="13" t="n"/>
    </row>
    <row r="4281">
      <c r="A4281" s="12" t="n"/>
      <c r="D4281">
        <f>IFERROR(VLOOKUP(C4281,Cadastro_Produtos!A:B,2,FALSE),"")</f>
        <v/>
      </c>
      <c r="F4281" s="12" t="n"/>
      <c r="G4281" s="13" t="n"/>
    </row>
    <row r="4282">
      <c r="A4282" s="12" t="n"/>
      <c r="D4282">
        <f>IFERROR(VLOOKUP(C4282,Cadastro_Produtos!A:B,2,FALSE),"")</f>
        <v/>
      </c>
      <c r="F4282" s="12" t="n"/>
      <c r="G4282" s="13" t="n"/>
    </row>
    <row r="4283">
      <c r="A4283" s="12" t="n"/>
      <c r="D4283">
        <f>IFERROR(VLOOKUP(C4283,Cadastro_Produtos!A:B,2,FALSE),"")</f>
        <v/>
      </c>
      <c r="F4283" s="12" t="n"/>
      <c r="G4283" s="13" t="n"/>
    </row>
    <row r="4284">
      <c r="A4284" s="12" t="n"/>
      <c r="D4284">
        <f>IFERROR(VLOOKUP(C4284,Cadastro_Produtos!A:B,2,FALSE),"")</f>
        <v/>
      </c>
      <c r="F4284" s="12" t="n"/>
      <c r="G4284" s="13" t="n"/>
    </row>
    <row r="4285">
      <c r="A4285" s="12" t="n"/>
      <c r="D4285">
        <f>IFERROR(VLOOKUP(C4285,Cadastro_Produtos!A:B,2,FALSE),"")</f>
        <v/>
      </c>
      <c r="F4285" s="12" t="n"/>
      <c r="G4285" s="13" t="n"/>
    </row>
    <row r="4286">
      <c r="A4286" s="12" t="n"/>
      <c r="D4286">
        <f>IFERROR(VLOOKUP(C4286,Cadastro_Produtos!A:B,2,FALSE),"")</f>
        <v/>
      </c>
      <c r="F4286" s="12" t="n"/>
      <c r="G4286" s="13" t="n"/>
    </row>
    <row r="4287">
      <c r="A4287" s="12" t="n"/>
      <c r="D4287">
        <f>IFERROR(VLOOKUP(C4287,Cadastro_Produtos!A:B,2,FALSE),"")</f>
        <v/>
      </c>
      <c r="F4287" s="12" t="n"/>
      <c r="G4287" s="13" t="n"/>
    </row>
    <row r="4288">
      <c r="A4288" s="12" t="n"/>
      <c r="D4288">
        <f>IFERROR(VLOOKUP(C4288,Cadastro_Produtos!A:B,2,FALSE),"")</f>
        <v/>
      </c>
      <c r="F4288" s="12" t="n"/>
      <c r="G4288" s="13" t="n"/>
    </row>
    <row r="4289">
      <c r="A4289" s="12" t="n"/>
      <c r="D4289">
        <f>IFERROR(VLOOKUP(C4289,Cadastro_Produtos!A:B,2,FALSE),"")</f>
        <v/>
      </c>
      <c r="F4289" s="12" t="n"/>
      <c r="G4289" s="13" t="n"/>
    </row>
    <row r="4290">
      <c r="A4290" s="12" t="n"/>
      <c r="D4290">
        <f>IFERROR(VLOOKUP(C4290,Cadastro_Produtos!A:B,2,FALSE),"")</f>
        <v/>
      </c>
      <c r="F4290" s="12" t="n"/>
      <c r="G4290" s="13" t="n"/>
    </row>
    <row r="4291">
      <c r="A4291" s="12" t="n"/>
      <c r="D4291">
        <f>IFERROR(VLOOKUP(C4291,Cadastro_Produtos!A:B,2,FALSE),"")</f>
        <v/>
      </c>
      <c r="F4291" s="12" t="n"/>
      <c r="G4291" s="13" t="n"/>
    </row>
    <row r="4292">
      <c r="A4292" s="12" t="n"/>
      <c r="D4292">
        <f>IFERROR(VLOOKUP(C4292,Cadastro_Produtos!A:B,2,FALSE),"")</f>
        <v/>
      </c>
      <c r="F4292" s="12" t="n"/>
      <c r="G4292" s="13" t="n"/>
    </row>
    <row r="4293">
      <c r="A4293" s="12" t="n"/>
      <c r="D4293">
        <f>IFERROR(VLOOKUP(C4293,Cadastro_Produtos!A:B,2,FALSE),"")</f>
        <v/>
      </c>
      <c r="F4293" s="12" t="n"/>
      <c r="G4293" s="13" t="n"/>
    </row>
    <row r="4294">
      <c r="A4294" s="12" t="n"/>
      <c r="D4294">
        <f>IFERROR(VLOOKUP(C4294,Cadastro_Produtos!A:B,2,FALSE),"")</f>
        <v/>
      </c>
      <c r="F4294" s="12" t="n"/>
      <c r="G4294" s="13" t="n"/>
    </row>
    <row r="4295">
      <c r="A4295" s="12" t="n"/>
      <c r="D4295">
        <f>IFERROR(VLOOKUP(C4295,Cadastro_Produtos!A:B,2,FALSE),"")</f>
        <v/>
      </c>
      <c r="F4295" s="12" t="n"/>
      <c r="G4295" s="13" t="n"/>
    </row>
    <row r="4296">
      <c r="A4296" s="12" t="n"/>
      <c r="D4296">
        <f>IFERROR(VLOOKUP(C4296,Cadastro_Produtos!A:B,2,FALSE),"")</f>
        <v/>
      </c>
      <c r="F4296" s="12" t="n"/>
      <c r="G4296" s="13" t="n"/>
    </row>
    <row r="4297">
      <c r="A4297" s="12" t="n"/>
      <c r="D4297">
        <f>IFERROR(VLOOKUP(C4297,Cadastro_Produtos!A:B,2,FALSE),"")</f>
        <v/>
      </c>
      <c r="F4297" s="12" t="n"/>
      <c r="G4297" s="13" t="n"/>
    </row>
    <row r="4298">
      <c r="A4298" s="12" t="n"/>
      <c r="D4298">
        <f>IFERROR(VLOOKUP(C4298,Cadastro_Produtos!A:B,2,FALSE),"")</f>
        <v/>
      </c>
      <c r="F4298" s="12" t="n"/>
      <c r="G4298" s="13" t="n"/>
    </row>
    <row r="4299">
      <c r="A4299" s="12" t="n"/>
      <c r="D4299">
        <f>IFERROR(VLOOKUP(C4299,Cadastro_Produtos!A:B,2,FALSE),"")</f>
        <v/>
      </c>
      <c r="F4299" s="12" t="n"/>
      <c r="G4299" s="13" t="n"/>
    </row>
    <row r="4300">
      <c r="A4300" s="12" t="n"/>
      <c r="D4300">
        <f>IFERROR(VLOOKUP(C4300,Cadastro_Produtos!A:B,2,FALSE),"")</f>
        <v/>
      </c>
      <c r="F4300" s="12" t="n"/>
      <c r="G4300" s="13" t="n"/>
    </row>
    <row r="4301">
      <c r="A4301" s="12" t="n"/>
      <c r="D4301">
        <f>IFERROR(VLOOKUP(C4301,Cadastro_Produtos!A:B,2,FALSE),"")</f>
        <v/>
      </c>
      <c r="F4301" s="12" t="n"/>
      <c r="G4301" s="13" t="n"/>
    </row>
    <row r="4302">
      <c r="A4302" s="12" t="n"/>
      <c r="D4302">
        <f>IFERROR(VLOOKUP(C4302,Cadastro_Produtos!A:B,2,FALSE),"")</f>
        <v/>
      </c>
      <c r="F4302" s="12" t="n"/>
      <c r="G4302" s="13" t="n"/>
    </row>
    <row r="4303">
      <c r="A4303" s="12" t="n"/>
      <c r="D4303">
        <f>IFERROR(VLOOKUP(C4303,Cadastro_Produtos!A:B,2,FALSE),"")</f>
        <v/>
      </c>
      <c r="F4303" s="12" t="n"/>
      <c r="G4303" s="13" t="n"/>
    </row>
    <row r="4304">
      <c r="A4304" s="12" t="n"/>
      <c r="D4304">
        <f>IFERROR(VLOOKUP(C4304,Cadastro_Produtos!A:B,2,FALSE),"")</f>
        <v/>
      </c>
      <c r="F4304" s="12" t="n"/>
      <c r="G4304" s="13" t="n"/>
    </row>
    <row r="4305">
      <c r="A4305" s="12" t="n"/>
      <c r="D4305">
        <f>IFERROR(VLOOKUP(C4305,Cadastro_Produtos!A:B,2,FALSE),"")</f>
        <v/>
      </c>
      <c r="F4305" s="12" t="n"/>
      <c r="G4305" s="13" t="n"/>
    </row>
    <row r="4306">
      <c r="A4306" s="12" t="n"/>
      <c r="D4306">
        <f>IFERROR(VLOOKUP(C4306,Cadastro_Produtos!A:B,2,FALSE),"")</f>
        <v/>
      </c>
      <c r="F4306" s="12" t="n"/>
      <c r="G4306" s="13" t="n"/>
    </row>
    <row r="4307">
      <c r="A4307" s="12" t="n"/>
      <c r="D4307">
        <f>IFERROR(VLOOKUP(C4307,Cadastro_Produtos!A:B,2,FALSE),"")</f>
        <v/>
      </c>
      <c r="F4307" s="12" t="n"/>
      <c r="G4307" s="13" t="n"/>
    </row>
    <row r="4308">
      <c r="A4308" s="12" t="n"/>
      <c r="D4308">
        <f>IFERROR(VLOOKUP(C4308,Cadastro_Produtos!A:B,2,FALSE),"")</f>
        <v/>
      </c>
      <c r="F4308" s="12" t="n"/>
      <c r="G4308" s="13" t="n"/>
    </row>
    <row r="4309">
      <c r="A4309" s="12" t="n"/>
      <c r="D4309">
        <f>IFERROR(VLOOKUP(C4309,Cadastro_Produtos!A:B,2,FALSE),"")</f>
        <v/>
      </c>
      <c r="F4309" s="12" t="n"/>
      <c r="G4309" s="13" t="n"/>
    </row>
    <row r="4310">
      <c r="A4310" s="12" t="n"/>
      <c r="D4310">
        <f>IFERROR(VLOOKUP(C4310,Cadastro_Produtos!A:B,2,FALSE),"")</f>
        <v/>
      </c>
      <c r="F4310" s="12" t="n"/>
      <c r="G4310" s="13" t="n"/>
    </row>
    <row r="4311">
      <c r="A4311" s="12" t="n"/>
      <c r="D4311">
        <f>IFERROR(VLOOKUP(C4311,Cadastro_Produtos!A:B,2,FALSE),"")</f>
        <v/>
      </c>
      <c r="F4311" s="12" t="n"/>
      <c r="G4311" s="13" t="n"/>
    </row>
    <row r="4312">
      <c r="A4312" s="12" t="n"/>
      <c r="D4312">
        <f>IFERROR(VLOOKUP(C4312,Cadastro_Produtos!A:B,2,FALSE),"")</f>
        <v/>
      </c>
      <c r="F4312" s="12" t="n"/>
      <c r="G4312" s="13" t="n"/>
    </row>
    <row r="4313">
      <c r="A4313" s="12" t="n"/>
      <c r="D4313">
        <f>IFERROR(VLOOKUP(C4313,Cadastro_Produtos!A:B,2,FALSE),"")</f>
        <v/>
      </c>
      <c r="F4313" s="12" t="n"/>
      <c r="G4313" s="13" t="n"/>
    </row>
    <row r="4314">
      <c r="A4314" s="12" t="n"/>
      <c r="D4314">
        <f>IFERROR(VLOOKUP(C4314,Cadastro_Produtos!A:B,2,FALSE),"")</f>
        <v/>
      </c>
      <c r="F4314" s="12" t="n"/>
      <c r="G4314" s="13" t="n"/>
    </row>
    <row r="4315">
      <c r="A4315" s="12" t="n"/>
      <c r="D4315">
        <f>IFERROR(VLOOKUP(C4315,Cadastro_Produtos!A:B,2,FALSE),"")</f>
        <v/>
      </c>
      <c r="F4315" s="12" t="n"/>
      <c r="G4315" s="13" t="n"/>
    </row>
    <row r="4316">
      <c r="A4316" s="12" t="n"/>
      <c r="D4316">
        <f>IFERROR(VLOOKUP(C4316,Cadastro_Produtos!A:B,2,FALSE),"")</f>
        <v/>
      </c>
      <c r="F4316" s="12" t="n"/>
      <c r="G4316" s="13" t="n"/>
    </row>
    <row r="4317">
      <c r="A4317" s="12" t="n"/>
      <c r="D4317">
        <f>IFERROR(VLOOKUP(C4317,Cadastro_Produtos!A:B,2,FALSE),"")</f>
        <v/>
      </c>
      <c r="F4317" s="12" t="n"/>
      <c r="G4317" s="13" t="n"/>
    </row>
    <row r="4318">
      <c r="A4318" s="12" t="n"/>
      <c r="D4318">
        <f>IFERROR(VLOOKUP(C4318,Cadastro_Produtos!A:B,2,FALSE),"")</f>
        <v/>
      </c>
      <c r="F4318" s="12" t="n"/>
      <c r="G4318" s="13" t="n"/>
    </row>
    <row r="4319">
      <c r="A4319" s="12" t="n"/>
      <c r="D4319">
        <f>IFERROR(VLOOKUP(C4319,Cadastro_Produtos!A:B,2,FALSE),"")</f>
        <v/>
      </c>
      <c r="F4319" s="12" t="n"/>
      <c r="G4319" s="13" t="n"/>
    </row>
    <row r="4320">
      <c r="A4320" s="12" t="n"/>
      <c r="D4320">
        <f>IFERROR(VLOOKUP(C4320,Cadastro_Produtos!A:B,2,FALSE),"")</f>
        <v/>
      </c>
      <c r="F4320" s="12" t="n"/>
      <c r="G4320" s="13" t="n"/>
    </row>
    <row r="4321">
      <c r="A4321" s="12" t="n"/>
      <c r="D4321">
        <f>IFERROR(VLOOKUP(C4321,Cadastro_Produtos!A:B,2,FALSE),"")</f>
        <v/>
      </c>
      <c r="F4321" s="12" t="n"/>
      <c r="G4321" s="13" t="n"/>
    </row>
    <row r="4322">
      <c r="A4322" s="12" t="n"/>
      <c r="D4322">
        <f>IFERROR(VLOOKUP(C4322,Cadastro_Produtos!A:B,2,FALSE),"")</f>
        <v/>
      </c>
      <c r="F4322" s="12" t="n"/>
      <c r="G4322" s="13" t="n"/>
    </row>
    <row r="4323">
      <c r="A4323" s="12" t="n"/>
      <c r="D4323">
        <f>IFERROR(VLOOKUP(C4323,Cadastro_Produtos!A:B,2,FALSE),"")</f>
        <v/>
      </c>
      <c r="F4323" s="12" t="n"/>
      <c r="G4323" s="13" t="n"/>
    </row>
    <row r="4324">
      <c r="A4324" s="12" t="n"/>
      <c r="D4324">
        <f>IFERROR(VLOOKUP(C4324,Cadastro_Produtos!A:B,2,FALSE),"")</f>
        <v/>
      </c>
      <c r="F4324" s="12" t="n"/>
      <c r="G4324" s="13" t="n"/>
    </row>
    <row r="4325">
      <c r="A4325" s="12" t="n"/>
      <c r="D4325">
        <f>IFERROR(VLOOKUP(C4325,Cadastro_Produtos!A:B,2,FALSE),"")</f>
        <v/>
      </c>
      <c r="F4325" s="12" t="n"/>
      <c r="G4325" s="13" t="n"/>
    </row>
    <row r="4326">
      <c r="A4326" s="12" t="n"/>
      <c r="D4326">
        <f>IFERROR(VLOOKUP(C4326,Cadastro_Produtos!A:B,2,FALSE),"")</f>
        <v/>
      </c>
      <c r="F4326" s="12" t="n"/>
      <c r="G4326" s="13" t="n"/>
    </row>
    <row r="4327">
      <c r="A4327" s="12" t="n"/>
      <c r="D4327">
        <f>IFERROR(VLOOKUP(C4327,Cadastro_Produtos!A:B,2,FALSE),"")</f>
        <v/>
      </c>
      <c r="F4327" s="12" t="n"/>
      <c r="G4327" s="13" t="n"/>
    </row>
    <row r="4328">
      <c r="A4328" s="12" t="n"/>
      <c r="D4328">
        <f>IFERROR(VLOOKUP(C4328,Cadastro_Produtos!A:B,2,FALSE),"")</f>
        <v/>
      </c>
      <c r="F4328" s="12" t="n"/>
      <c r="G4328" s="13" t="n"/>
    </row>
    <row r="4329">
      <c r="A4329" s="12" t="n"/>
      <c r="D4329">
        <f>IFERROR(VLOOKUP(C4329,Cadastro_Produtos!A:B,2,FALSE),"")</f>
        <v/>
      </c>
      <c r="F4329" s="12" t="n"/>
      <c r="G4329" s="13" t="n"/>
    </row>
    <row r="4330">
      <c r="A4330" s="12" t="n"/>
      <c r="D4330">
        <f>IFERROR(VLOOKUP(C4330,Cadastro_Produtos!A:B,2,FALSE),"")</f>
        <v/>
      </c>
      <c r="F4330" s="12" t="n"/>
      <c r="G4330" s="13" t="n"/>
    </row>
    <row r="4331">
      <c r="A4331" s="12" t="n"/>
      <c r="D4331">
        <f>IFERROR(VLOOKUP(C4331,Cadastro_Produtos!A:B,2,FALSE),"")</f>
        <v/>
      </c>
      <c r="F4331" s="12" t="n"/>
      <c r="G4331" s="13" t="n"/>
    </row>
    <row r="4332">
      <c r="A4332" s="12" t="n"/>
      <c r="D4332">
        <f>IFERROR(VLOOKUP(C4332,Cadastro_Produtos!A:B,2,FALSE),"")</f>
        <v/>
      </c>
      <c r="F4332" s="12" t="n"/>
      <c r="G4332" s="13" t="n"/>
    </row>
    <row r="4333">
      <c r="A4333" s="12" t="n"/>
      <c r="D4333">
        <f>IFERROR(VLOOKUP(C4333,Cadastro_Produtos!A:B,2,FALSE),"")</f>
        <v/>
      </c>
      <c r="F4333" s="12" t="n"/>
      <c r="G4333" s="13" t="n"/>
    </row>
    <row r="4334">
      <c r="A4334" s="12" t="n"/>
      <c r="D4334">
        <f>IFERROR(VLOOKUP(C4334,Cadastro_Produtos!A:B,2,FALSE),"")</f>
        <v/>
      </c>
      <c r="F4334" s="12" t="n"/>
      <c r="G4334" s="13" t="n"/>
    </row>
    <row r="4335">
      <c r="A4335" s="12" t="n"/>
      <c r="D4335">
        <f>IFERROR(VLOOKUP(C4335,Cadastro_Produtos!A:B,2,FALSE),"")</f>
        <v/>
      </c>
      <c r="F4335" s="12" t="n"/>
      <c r="G4335" s="13" t="n"/>
    </row>
    <row r="4336">
      <c r="A4336" s="12" t="n"/>
      <c r="D4336">
        <f>IFERROR(VLOOKUP(C4336,Cadastro_Produtos!A:B,2,FALSE),"")</f>
        <v/>
      </c>
      <c r="F4336" s="12" t="n"/>
      <c r="G4336" s="13" t="n"/>
    </row>
    <row r="4337">
      <c r="A4337" s="12" t="n"/>
      <c r="D4337">
        <f>IFERROR(VLOOKUP(C4337,Cadastro_Produtos!A:B,2,FALSE),"")</f>
        <v/>
      </c>
      <c r="F4337" s="12" t="n"/>
      <c r="G4337" s="13" t="n"/>
    </row>
    <row r="4338">
      <c r="A4338" s="12" t="n"/>
      <c r="D4338">
        <f>IFERROR(VLOOKUP(C4338,Cadastro_Produtos!A:B,2,FALSE),"")</f>
        <v/>
      </c>
      <c r="F4338" s="12" t="n"/>
      <c r="G4338" s="13" t="n"/>
    </row>
    <row r="4339">
      <c r="A4339" s="12" t="n"/>
      <c r="D4339">
        <f>IFERROR(VLOOKUP(C4339,Cadastro_Produtos!A:B,2,FALSE),"")</f>
        <v/>
      </c>
      <c r="F4339" s="12" t="n"/>
      <c r="G4339" s="13" t="n"/>
    </row>
    <row r="4340">
      <c r="A4340" s="12" t="n"/>
      <c r="D4340">
        <f>IFERROR(VLOOKUP(C4340,Cadastro_Produtos!A:B,2,FALSE),"")</f>
        <v/>
      </c>
      <c r="F4340" s="12" t="n"/>
      <c r="G4340" s="13" t="n"/>
    </row>
    <row r="4341">
      <c r="A4341" s="12" t="n"/>
      <c r="D4341">
        <f>IFERROR(VLOOKUP(C4341,Cadastro_Produtos!A:B,2,FALSE),"")</f>
        <v/>
      </c>
      <c r="F4341" s="12" t="n"/>
      <c r="G4341" s="13" t="n"/>
    </row>
    <row r="4342">
      <c r="A4342" s="12" t="n"/>
      <c r="D4342">
        <f>IFERROR(VLOOKUP(C4342,Cadastro_Produtos!A:B,2,FALSE),"")</f>
        <v/>
      </c>
      <c r="F4342" s="12" t="n"/>
      <c r="G4342" s="13" t="n"/>
    </row>
    <row r="4343">
      <c r="A4343" s="12" t="n"/>
      <c r="D4343">
        <f>IFERROR(VLOOKUP(C4343,Cadastro_Produtos!A:B,2,FALSE),"")</f>
        <v/>
      </c>
      <c r="F4343" s="12" t="n"/>
      <c r="G4343" s="13" t="n"/>
    </row>
    <row r="4344">
      <c r="A4344" s="12" t="n"/>
      <c r="D4344">
        <f>IFERROR(VLOOKUP(C4344,Cadastro_Produtos!A:B,2,FALSE),"")</f>
        <v/>
      </c>
      <c r="F4344" s="12" t="n"/>
      <c r="G4344" s="13" t="n"/>
    </row>
    <row r="4345">
      <c r="A4345" s="12" t="n"/>
      <c r="D4345">
        <f>IFERROR(VLOOKUP(C4345,Cadastro_Produtos!A:B,2,FALSE),"")</f>
        <v/>
      </c>
      <c r="F4345" s="12" t="n"/>
      <c r="G4345" s="13" t="n"/>
    </row>
    <row r="4346">
      <c r="A4346" s="12" t="n"/>
      <c r="D4346">
        <f>IFERROR(VLOOKUP(C4346,Cadastro_Produtos!A:B,2,FALSE),"")</f>
        <v/>
      </c>
      <c r="F4346" s="12" t="n"/>
      <c r="G4346" s="13" t="n"/>
    </row>
    <row r="4347">
      <c r="A4347" s="12" t="n"/>
      <c r="D4347">
        <f>IFERROR(VLOOKUP(C4347,Cadastro_Produtos!A:B,2,FALSE),"")</f>
        <v/>
      </c>
      <c r="F4347" s="12" t="n"/>
      <c r="G4347" s="13" t="n"/>
    </row>
    <row r="4348">
      <c r="A4348" s="12" t="n"/>
      <c r="D4348">
        <f>IFERROR(VLOOKUP(C4348,Cadastro_Produtos!A:B,2,FALSE),"")</f>
        <v/>
      </c>
      <c r="F4348" s="12" t="n"/>
      <c r="G4348" s="13" t="n"/>
    </row>
    <row r="4349">
      <c r="A4349" s="12" t="n"/>
      <c r="D4349">
        <f>IFERROR(VLOOKUP(C4349,Cadastro_Produtos!A:B,2,FALSE),"")</f>
        <v/>
      </c>
      <c r="F4349" s="12" t="n"/>
      <c r="G4349" s="13" t="n"/>
    </row>
    <row r="4350">
      <c r="A4350" s="12" t="n"/>
      <c r="D4350">
        <f>IFERROR(VLOOKUP(C4350,Cadastro_Produtos!A:B,2,FALSE),"")</f>
        <v/>
      </c>
      <c r="F4350" s="12" t="n"/>
      <c r="G4350" s="13" t="n"/>
    </row>
    <row r="4351">
      <c r="A4351" s="12" t="n"/>
      <c r="D4351">
        <f>IFERROR(VLOOKUP(C4351,Cadastro_Produtos!A:B,2,FALSE),"")</f>
        <v/>
      </c>
      <c r="F4351" s="12" t="n"/>
      <c r="G4351" s="13" t="n"/>
    </row>
    <row r="4352">
      <c r="A4352" s="12" t="n"/>
      <c r="D4352">
        <f>IFERROR(VLOOKUP(C4352,Cadastro_Produtos!A:B,2,FALSE),"")</f>
        <v/>
      </c>
      <c r="F4352" s="12" t="n"/>
      <c r="G4352" s="13" t="n"/>
    </row>
    <row r="4353">
      <c r="A4353" s="12" t="n"/>
      <c r="D4353">
        <f>IFERROR(VLOOKUP(C4353,Cadastro_Produtos!A:B,2,FALSE),"")</f>
        <v/>
      </c>
      <c r="F4353" s="12" t="n"/>
      <c r="G4353" s="13" t="n"/>
    </row>
    <row r="4354">
      <c r="A4354" s="12" t="n"/>
      <c r="D4354">
        <f>IFERROR(VLOOKUP(C4354,Cadastro_Produtos!A:B,2,FALSE),"")</f>
        <v/>
      </c>
      <c r="F4354" s="12" t="n"/>
      <c r="G4354" s="13" t="n"/>
    </row>
    <row r="4355">
      <c r="A4355" s="12" t="n"/>
      <c r="D4355">
        <f>IFERROR(VLOOKUP(C4355,Cadastro_Produtos!A:B,2,FALSE),"")</f>
        <v/>
      </c>
      <c r="F4355" s="12" t="n"/>
      <c r="G4355" s="13" t="n"/>
    </row>
    <row r="4356">
      <c r="A4356" s="12" t="n"/>
      <c r="D4356">
        <f>IFERROR(VLOOKUP(C4356,Cadastro_Produtos!A:B,2,FALSE),"")</f>
        <v/>
      </c>
      <c r="F4356" s="12" t="n"/>
      <c r="G4356" s="13" t="n"/>
    </row>
    <row r="4357">
      <c r="A4357" s="12" t="n"/>
      <c r="D4357">
        <f>IFERROR(VLOOKUP(C4357,Cadastro_Produtos!A:B,2,FALSE),"")</f>
        <v/>
      </c>
      <c r="F4357" s="12" t="n"/>
      <c r="G4357" s="13" t="n"/>
    </row>
    <row r="4358">
      <c r="A4358" s="12" t="n"/>
      <c r="D4358">
        <f>IFERROR(VLOOKUP(C4358,Cadastro_Produtos!A:B,2,FALSE),"")</f>
        <v/>
      </c>
      <c r="F4358" s="12" t="n"/>
      <c r="G4358" s="13" t="n"/>
    </row>
    <row r="4359">
      <c r="A4359" s="12" t="n"/>
      <c r="D4359">
        <f>IFERROR(VLOOKUP(C4359,Cadastro_Produtos!A:B,2,FALSE),"")</f>
        <v/>
      </c>
      <c r="F4359" s="12" t="n"/>
      <c r="G4359" s="13" t="n"/>
    </row>
    <row r="4360">
      <c r="A4360" s="12" t="n"/>
      <c r="D4360">
        <f>IFERROR(VLOOKUP(C4360,Cadastro_Produtos!A:B,2,FALSE),"")</f>
        <v/>
      </c>
      <c r="F4360" s="12" t="n"/>
      <c r="G4360" s="13" t="n"/>
    </row>
    <row r="4361">
      <c r="A4361" s="12" t="n"/>
      <c r="D4361">
        <f>IFERROR(VLOOKUP(C4361,Cadastro_Produtos!A:B,2,FALSE),"")</f>
        <v/>
      </c>
      <c r="F4361" s="12" t="n"/>
      <c r="G4361" s="13" t="n"/>
    </row>
    <row r="4362">
      <c r="A4362" s="12" t="n"/>
      <c r="D4362">
        <f>IFERROR(VLOOKUP(C4362,Cadastro_Produtos!A:B,2,FALSE),"")</f>
        <v/>
      </c>
      <c r="F4362" s="12" t="n"/>
      <c r="G4362" s="13" t="n"/>
    </row>
    <row r="4363">
      <c r="A4363" s="12" t="n"/>
      <c r="D4363">
        <f>IFERROR(VLOOKUP(C4363,Cadastro_Produtos!A:B,2,FALSE),"")</f>
        <v/>
      </c>
      <c r="F4363" s="12" t="n"/>
      <c r="G4363" s="13" t="n"/>
    </row>
    <row r="4364">
      <c r="A4364" s="12" t="n"/>
      <c r="D4364">
        <f>IFERROR(VLOOKUP(C4364,Cadastro_Produtos!A:B,2,FALSE),"")</f>
        <v/>
      </c>
      <c r="F4364" s="12" t="n"/>
      <c r="G4364" s="13" t="n"/>
    </row>
    <row r="4365">
      <c r="A4365" s="12" t="n"/>
      <c r="D4365">
        <f>IFERROR(VLOOKUP(C4365,Cadastro_Produtos!A:B,2,FALSE),"")</f>
        <v/>
      </c>
      <c r="F4365" s="12" t="n"/>
      <c r="G4365" s="13" t="n"/>
    </row>
    <row r="4366">
      <c r="A4366" s="12" t="n"/>
      <c r="D4366">
        <f>IFERROR(VLOOKUP(C4366,Cadastro_Produtos!A:B,2,FALSE),"")</f>
        <v/>
      </c>
      <c r="F4366" s="12" t="n"/>
      <c r="G4366" s="13" t="n"/>
    </row>
    <row r="4367">
      <c r="A4367" s="12" t="n"/>
      <c r="D4367">
        <f>IFERROR(VLOOKUP(C4367,Cadastro_Produtos!A:B,2,FALSE),"")</f>
        <v/>
      </c>
      <c r="F4367" s="12" t="n"/>
      <c r="G4367" s="13" t="n"/>
    </row>
    <row r="4368">
      <c r="A4368" s="12" t="n"/>
      <c r="D4368">
        <f>IFERROR(VLOOKUP(C4368,Cadastro_Produtos!A:B,2,FALSE),"")</f>
        <v/>
      </c>
      <c r="F4368" s="12" t="n"/>
      <c r="G4368" s="13" t="n"/>
    </row>
    <row r="4369">
      <c r="A4369" s="12" t="n"/>
      <c r="D4369">
        <f>IFERROR(VLOOKUP(C4369,Cadastro_Produtos!A:B,2,FALSE),"")</f>
        <v/>
      </c>
      <c r="F4369" s="12" t="n"/>
      <c r="G4369" s="13" t="n"/>
    </row>
    <row r="4370">
      <c r="A4370" s="12" t="n"/>
      <c r="D4370">
        <f>IFERROR(VLOOKUP(C4370,Cadastro_Produtos!A:B,2,FALSE),"")</f>
        <v/>
      </c>
      <c r="F4370" s="12" t="n"/>
      <c r="G4370" s="13" t="n"/>
    </row>
    <row r="4371">
      <c r="A4371" s="12" t="n"/>
      <c r="D4371">
        <f>IFERROR(VLOOKUP(C4371,Cadastro_Produtos!A:B,2,FALSE),"")</f>
        <v/>
      </c>
      <c r="F4371" s="12" t="n"/>
      <c r="G4371" s="13" t="n"/>
    </row>
    <row r="4372">
      <c r="A4372" s="12" t="n"/>
      <c r="D4372">
        <f>IFERROR(VLOOKUP(C4372,Cadastro_Produtos!A:B,2,FALSE),"")</f>
        <v/>
      </c>
      <c r="F4372" s="12" t="n"/>
      <c r="G4372" s="13" t="n"/>
    </row>
    <row r="4373">
      <c r="A4373" s="12" t="n"/>
      <c r="D4373">
        <f>IFERROR(VLOOKUP(C4373,Cadastro_Produtos!A:B,2,FALSE),"")</f>
        <v/>
      </c>
      <c r="F4373" s="12" t="n"/>
      <c r="G4373" s="13" t="n"/>
    </row>
    <row r="4374">
      <c r="A4374" s="12" t="n"/>
      <c r="D4374">
        <f>IFERROR(VLOOKUP(C4374,Cadastro_Produtos!A:B,2,FALSE),"")</f>
        <v/>
      </c>
      <c r="F4374" s="12" t="n"/>
      <c r="G4374" s="13" t="n"/>
    </row>
    <row r="4375">
      <c r="A4375" s="12" t="n"/>
      <c r="D4375">
        <f>IFERROR(VLOOKUP(C4375,Cadastro_Produtos!A:B,2,FALSE),"")</f>
        <v/>
      </c>
      <c r="F4375" s="12" t="n"/>
      <c r="G4375" s="13" t="n"/>
    </row>
    <row r="4376">
      <c r="A4376" s="12" t="n"/>
      <c r="D4376">
        <f>IFERROR(VLOOKUP(C4376,Cadastro_Produtos!A:B,2,FALSE),"")</f>
        <v/>
      </c>
      <c r="F4376" s="12" t="n"/>
      <c r="G4376" s="13" t="n"/>
    </row>
    <row r="4377">
      <c r="A4377" s="12" t="n"/>
      <c r="D4377">
        <f>IFERROR(VLOOKUP(C4377,Cadastro_Produtos!A:B,2,FALSE),"")</f>
        <v/>
      </c>
      <c r="F4377" s="12" t="n"/>
      <c r="G4377" s="13" t="n"/>
    </row>
    <row r="4378">
      <c r="A4378" s="12" t="n"/>
      <c r="D4378">
        <f>IFERROR(VLOOKUP(C4378,Cadastro_Produtos!A:B,2,FALSE),"")</f>
        <v/>
      </c>
      <c r="F4378" s="12" t="n"/>
      <c r="G4378" s="13" t="n"/>
    </row>
    <row r="4379">
      <c r="A4379" s="12" t="n"/>
      <c r="D4379">
        <f>IFERROR(VLOOKUP(C4379,Cadastro_Produtos!A:B,2,FALSE),"")</f>
        <v/>
      </c>
      <c r="F4379" s="12" t="n"/>
      <c r="G4379" s="13" t="n"/>
    </row>
    <row r="4380">
      <c r="A4380" s="12" t="n"/>
      <c r="D4380">
        <f>IFERROR(VLOOKUP(C4380,Cadastro_Produtos!A:B,2,FALSE),"")</f>
        <v/>
      </c>
      <c r="F4380" s="12" t="n"/>
      <c r="G4380" s="13" t="n"/>
    </row>
    <row r="4381">
      <c r="A4381" s="12" t="n"/>
      <c r="D4381">
        <f>IFERROR(VLOOKUP(C4381,Cadastro_Produtos!A:B,2,FALSE),"")</f>
        <v/>
      </c>
      <c r="F4381" s="12" t="n"/>
      <c r="G4381" s="13" t="n"/>
    </row>
    <row r="4382">
      <c r="A4382" s="12" t="n"/>
      <c r="D4382">
        <f>IFERROR(VLOOKUP(C4382,Cadastro_Produtos!A:B,2,FALSE),"")</f>
        <v/>
      </c>
      <c r="F4382" s="12" t="n"/>
      <c r="G4382" s="13" t="n"/>
    </row>
    <row r="4383">
      <c r="A4383" s="12" t="n"/>
      <c r="D4383">
        <f>IFERROR(VLOOKUP(C4383,Cadastro_Produtos!A:B,2,FALSE),"")</f>
        <v/>
      </c>
      <c r="F4383" s="12" t="n"/>
      <c r="G4383" s="13" t="n"/>
    </row>
    <row r="4384">
      <c r="A4384" s="12" t="n"/>
      <c r="D4384">
        <f>IFERROR(VLOOKUP(C4384,Cadastro_Produtos!A:B,2,FALSE),"")</f>
        <v/>
      </c>
      <c r="F4384" s="12" t="n"/>
      <c r="G4384" s="13" t="n"/>
    </row>
    <row r="4385">
      <c r="A4385" s="12" t="n"/>
      <c r="D4385">
        <f>IFERROR(VLOOKUP(C4385,Cadastro_Produtos!A:B,2,FALSE),"")</f>
        <v/>
      </c>
      <c r="F4385" s="12" t="n"/>
      <c r="G4385" s="13" t="n"/>
    </row>
    <row r="4386">
      <c r="A4386" s="12" t="n"/>
      <c r="D4386">
        <f>IFERROR(VLOOKUP(C4386,Cadastro_Produtos!A:B,2,FALSE),"")</f>
        <v/>
      </c>
      <c r="F4386" s="12" t="n"/>
      <c r="G4386" s="13" t="n"/>
    </row>
    <row r="4387">
      <c r="A4387" s="12" t="n"/>
      <c r="D4387">
        <f>IFERROR(VLOOKUP(C4387,Cadastro_Produtos!A:B,2,FALSE),"")</f>
        <v/>
      </c>
      <c r="F4387" s="12" t="n"/>
      <c r="G4387" s="13" t="n"/>
    </row>
    <row r="4388">
      <c r="A4388" s="12" t="n"/>
      <c r="D4388">
        <f>IFERROR(VLOOKUP(C4388,Cadastro_Produtos!A:B,2,FALSE),"")</f>
        <v/>
      </c>
      <c r="F4388" s="12" t="n"/>
      <c r="G4388" s="13" t="n"/>
    </row>
    <row r="4389">
      <c r="A4389" s="12" t="n"/>
      <c r="D4389">
        <f>IFERROR(VLOOKUP(C4389,Cadastro_Produtos!A:B,2,FALSE),"")</f>
        <v/>
      </c>
      <c r="F4389" s="12" t="n"/>
      <c r="G4389" s="13" t="n"/>
    </row>
    <row r="4390">
      <c r="A4390" s="12" t="n"/>
      <c r="D4390">
        <f>IFERROR(VLOOKUP(C4390,Cadastro_Produtos!A:B,2,FALSE),"")</f>
        <v/>
      </c>
      <c r="F4390" s="12" t="n"/>
      <c r="G4390" s="13" t="n"/>
    </row>
    <row r="4391">
      <c r="A4391" s="12" t="n"/>
      <c r="D4391">
        <f>IFERROR(VLOOKUP(C4391,Cadastro_Produtos!A:B,2,FALSE),"")</f>
        <v/>
      </c>
      <c r="F4391" s="12" t="n"/>
      <c r="G4391" s="13" t="n"/>
    </row>
    <row r="4392">
      <c r="A4392" s="12" t="n"/>
      <c r="D4392">
        <f>IFERROR(VLOOKUP(C4392,Cadastro_Produtos!A:B,2,FALSE),"")</f>
        <v/>
      </c>
      <c r="F4392" s="12" t="n"/>
      <c r="G4392" s="13" t="n"/>
    </row>
    <row r="4393">
      <c r="A4393" s="12" t="n"/>
      <c r="D4393">
        <f>IFERROR(VLOOKUP(C4393,Cadastro_Produtos!A:B,2,FALSE),"")</f>
        <v/>
      </c>
      <c r="F4393" s="12" t="n"/>
      <c r="G4393" s="13" t="n"/>
    </row>
    <row r="4394">
      <c r="A4394" s="12" t="n"/>
      <c r="D4394">
        <f>IFERROR(VLOOKUP(C4394,Cadastro_Produtos!A:B,2,FALSE),"")</f>
        <v/>
      </c>
      <c r="F4394" s="12" t="n"/>
      <c r="G4394" s="13" t="n"/>
    </row>
    <row r="4395">
      <c r="A4395" s="12" t="n"/>
      <c r="D4395">
        <f>IFERROR(VLOOKUP(C4395,Cadastro_Produtos!A:B,2,FALSE),"")</f>
        <v/>
      </c>
      <c r="F4395" s="12" t="n"/>
      <c r="G4395" s="13" t="n"/>
    </row>
    <row r="4396">
      <c r="A4396" s="12" t="n"/>
      <c r="D4396">
        <f>IFERROR(VLOOKUP(C4396,Cadastro_Produtos!A:B,2,FALSE),"")</f>
        <v/>
      </c>
      <c r="F4396" s="12" t="n"/>
      <c r="G4396" s="13" t="n"/>
    </row>
    <row r="4397">
      <c r="A4397" s="12" t="n"/>
      <c r="D4397">
        <f>IFERROR(VLOOKUP(C4397,Cadastro_Produtos!A:B,2,FALSE),"")</f>
        <v/>
      </c>
      <c r="F4397" s="12" t="n"/>
      <c r="G4397" s="13" t="n"/>
    </row>
    <row r="4398">
      <c r="A4398" s="12" t="n"/>
      <c r="D4398">
        <f>IFERROR(VLOOKUP(C4398,Cadastro_Produtos!A:B,2,FALSE),"")</f>
        <v/>
      </c>
      <c r="F4398" s="12" t="n"/>
      <c r="G4398" s="13" t="n"/>
    </row>
    <row r="4399">
      <c r="A4399" s="12" t="n"/>
      <c r="D4399">
        <f>IFERROR(VLOOKUP(C4399,Cadastro_Produtos!A:B,2,FALSE),"")</f>
        <v/>
      </c>
      <c r="F4399" s="12" t="n"/>
      <c r="G4399" s="13" t="n"/>
    </row>
    <row r="4400">
      <c r="A4400" s="12" t="n"/>
      <c r="D4400">
        <f>IFERROR(VLOOKUP(C4400,Cadastro_Produtos!A:B,2,FALSE),"")</f>
        <v/>
      </c>
      <c r="F4400" s="12" t="n"/>
      <c r="G4400" s="13" t="n"/>
    </row>
    <row r="4401">
      <c r="A4401" s="12" t="n"/>
      <c r="D4401">
        <f>IFERROR(VLOOKUP(C4401,Cadastro_Produtos!A:B,2,FALSE),"")</f>
        <v/>
      </c>
      <c r="F4401" s="12" t="n"/>
      <c r="G4401" s="13" t="n"/>
    </row>
    <row r="4402">
      <c r="A4402" s="12" t="n"/>
      <c r="D4402">
        <f>IFERROR(VLOOKUP(C4402,Cadastro_Produtos!A:B,2,FALSE),"")</f>
        <v/>
      </c>
      <c r="F4402" s="12" t="n"/>
      <c r="G4402" s="13" t="n"/>
    </row>
    <row r="4403">
      <c r="A4403" s="12" t="n"/>
      <c r="D4403">
        <f>IFERROR(VLOOKUP(C4403,Cadastro_Produtos!A:B,2,FALSE),"")</f>
        <v/>
      </c>
      <c r="F4403" s="12" t="n"/>
      <c r="G4403" s="13" t="n"/>
    </row>
    <row r="4404">
      <c r="A4404" s="12" t="n"/>
      <c r="D4404">
        <f>IFERROR(VLOOKUP(C4404,Cadastro_Produtos!A:B,2,FALSE),"")</f>
        <v/>
      </c>
      <c r="F4404" s="12" t="n"/>
      <c r="G4404" s="13" t="n"/>
    </row>
    <row r="4405">
      <c r="A4405" s="12" t="n"/>
      <c r="D4405">
        <f>IFERROR(VLOOKUP(C4405,Cadastro_Produtos!A:B,2,FALSE),"")</f>
        <v/>
      </c>
      <c r="F4405" s="12" t="n"/>
      <c r="G4405" s="13" t="n"/>
    </row>
    <row r="4406">
      <c r="A4406" s="12" t="n"/>
      <c r="D4406">
        <f>IFERROR(VLOOKUP(C4406,Cadastro_Produtos!A:B,2,FALSE),"")</f>
        <v/>
      </c>
      <c r="F4406" s="12" t="n"/>
      <c r="G4406" s="13" t="n"/>
    </row>
    <row r="4407">
      <c r="A4407" s="12" t="n"/>
      <c r="D4407">
        <f>IFERROR(VLOOKUP(C4407,Cadastro_Produtos!A:B,2,FALSE),"")</f>
        <v/>
      </c>
      <c r="F4407" s="12" t="n"/>
      <c r="G4407" s="13" t="n"/>
    </row>
    <row r="4408">
      <c r="A4408" s="12" t="n"/>
      <c r="D4408">
        <f>IFERROR(VLOOKUP(C4408,Cadastro_Produtos!A:B,2,FALSE),"")</f>
        <v/>
      </c>
      <c r="F4408" s="12" t="n"/>
      <c r="G4408" s="13" t="n"/>
    </row>
    <row r="4409">
      <c r="A4409" s="12" t="n"/>
      <c r="D4409">
        <f>IFERROR(VLOOKUP(C4409,Cadastro_Produtos!A:B,2,FALSE),"")</f>
        <v/>
      </c>
      <c r="F4409" s="12" t="n"/>
      <c r="G4409" s="13" t="n"/>
    </row>
    <row r="4410">
      <c r="A4410" s="12" t="n"/>
      <c r="D4410">
        <f>IFERROR(VLOOKUP(C4410,Cadastro_Produtos!A:B,2,FALSE),"")</f>
        <v/>
      </c>
      <c r="F4410" s="12" t="n"/>
      <c r="G4410" s="13" t="n"/>
    </row>
    <row r="4411">
      <c r="A4411" s="12" t="n"/>
      <c r="D4411">
        <f>IFERROR(VLOOKUP(C4411,Cadastro_Produtos!A:B,2,FALSE),"")</f>
        <v/>
      </c>
      <c r="F4411" s="12" t="n"/>
      <c r="G4411" s="13" t="n"/>
    </row>
    <row r="4412">
      <c r="A4412" s="12" t="n"/>
      <c r="D4412">
        <f>IFERROR(VLOOKUP(C4412,Cadastro_Produtos!A:B,2,FALSE),"")</f>
        <v/>
      </c>
      <c r="F4412" s="12" t="n"/>
      <c r="G4412" s="13" t="n"/>
    </row>
    <row r="4413">
      <c r="A4413" s="12" t="n"/>
      <c r="D4413">
        <f>IFERROR(VLOOKUP(C4413,Cadastro_Produtos!A:B,2,FALSE),"")</f>
        <v/>
      </c>
      <c r="F4413" s="12" t="n"/>
      <c r="G4413" s="13" t="n"/>
    </row>
    <row r="4414">
      <c r="A4414" s="12" t="n"/>
      <c r="D4414">
        <f>IFERROR(VLOOKUP(C4414,Cadastro_Produtos!A:B,2,FALSE),"")</f>
        <v/>
      </c>
      <c r="F4414" s="12" t="n"/>
      <c r="G4414" s="13" t="n"/>
    </row>
    <row r="4415">
      <c r="A4415" s="12" t="n"/>
      <c r="D4415">
        <f>IFERROR(VLOOKUP(C4415,Cadastro_Produtos!A:B,2,FALSE),"")</f>
        <v/>
      </c>
      <c r="F4415" s="12" t="n"/>
      <c r="G4415" s="13" t="n"/>
    </row>
    <row r="4416">
      <c r="A4416" s="12" t="n"/>
      <c r="D4416">
        <f>IFERROR(VLOOKUP(C4416,Cadastro_Produtos!A:B,2,FALSE),"")</f>
        <v/>
      </c>
      <c r="F4416" s="12" t="n"/>
      <c r="G4416" s="13" t="n"/>
    </row>
    <row r="4417">
      <c r="A4417" s="12" t="n"/>
      <c r="D4417">
        <f>IFERROR(VLOOKUP(C4417,Cadastro_Produtos!A:B,2,FALSE),"")</f>
        <v/>
      </c>
      <c r="F4417" s="12" t="n"/>
      <c r="G4417" s="13" t="n"/>
    </row>
    <row r="4418">
      <c r="A4418" s="12" t="n"/>
      <c r="D4418">
        <f>IFERROR(VLOOKUP(C4418,Cadastro_Produtos!A:B,2,FALSE),"")</f>
        <v/>
      </c>
      <c r="F4418" s="12" t="n"/>
      <c r="G4418" s="13" t="n"/>
    </row>
    <row r="4419">
      <c r="A4419" s="12" t="n"/>
      <c r="D4419">
        <f>IFERROR(VLOOKUP(C4419,Cadastro_Produtos!A:B,2,FALSE),"")</f>
        <v/>
      </c>
      <c r="F4419" s="12" t="n"/>
      <c r="G4419" s="13" t="n"/>
    </row>
    <row r="4420">
      <c r="A4420" s="12" t="n"/>
      <c r="D4420">
        <f>IFERROR(VLOOKUP(C4420,Cadastro_Produtos!A:B,2,FALSE),"")</f>
        <v/>
      </c>
      <c r="F4420" s="12" t="n"/>
      <c r="G4420" s="13" t="n"/>
    </row>
    <row r="4421">
      <c r="A4421" s="12" t="n"/>
      <c r="D4421">
        <f>IFERROR(VLOOKUP(C4421,Cadastro_Produtos!A:B,2,FALSE),"")</f>
        <v/>
      </c>
      <c r="F4421" s="12" t="n"/>
      <c r="G4421" s="13" t="n"/>
    </row>
    <row r="4422">
      <c r="A4422" s="12" t="n"/>
      <c r="D4422">
        <f>IFERROR(VLOOKUP(C4422,Cadastro_Produtos!A:B,2,FALSE),"")</f>
        <v/>
      </c>
      <c r="F4422" s="12" t="n"/>
      <c r="G4422" s="13" t="n"/>
    </row>
    <row r="4423">
      <c r="A4423" s="12" t="n"/>
      <c r="D4423">
        <f>IFERROR(VLOOKUP(C4423,Cadastro_Produtos!A:B,2,FALSE),"")</f>
        <v/>
      </c>
      <c r="F4423" s="12" t="n"/>
      <c r="G4423" s="13" t="n"/>
    </row>
    <row r="4424">
      <c r="A4424" s="12" t="n"/>
      <c r="D4424">
        <f>IFERROR(VLOOKUP(C4424,Cadastro_Produtos!A:B,2,FALSE),"")</f>
        <v/>
      </c>
      <c r="F4424" s="12" t="n"/>
      <c r="G4424" s="13" t="n"/>
    </row>
    <row r="4425">
      <c r="A4425" s="12" t="n"/>
      <c r="D4425">
        <f>IFERROR(VLOOKUP(C4425,Cadastro_Produtos!A:B,2,FALSE),"")</f>
        <v/>
      </c>
      <c r="F4425" s="12" t="n"/>
      <c r="G4425" s="13" t="n"/>
    </row>
    <row r="4426">
      <c r="A4426" s="12" t="n"/>
      <c r="D4426">
        <f>IFERROR(VLOOKUP(C4426,Cadastro_Produtos!A:B,2,FALSE),"")</f>
        <v/>
      </c>
      <c r="F4426" s="12" t="n"/>
      <c r="G4426" s="13" t="n"/>
    </row>
    <row r="4427">
      <c r="A4427" s="12" t="n"/>
      <c r="D4427">
        <f>IFERROR(VLOOKUP(C4427,Cadastro_Produtos!A:B,2,FALSE),"")</f>
        <v/>
      </c>
      <c r="F4427" s="12" t="n"/>
      <c r="G4427" s="13" t="n"/>
    </row>
    <row r="4428">
      <c r="A4428" s="12" t="n"/>
      <c r="D4428">
        <f>IFERROR(VLOOKUP(C4428,Cadastro_Produtos!A:B,2,FALSE),"")</f>
        <v/>
      </c>
      <c r="F4428" s="12" t="n"/>
      <c r="G4428" s="13" t="n"/>
    </row>
    <row r="4429">
      <c r="A4429" s="12" t="n"/>
      <c r="D4429">
        <f>IFERROR(VLOOKUP(C4429,Cadastro_Produtos!A:B,2,FALSE),"")</f>
        <v/>
      </c>
      <c r="F4429" s="12" t="n"/>
      <c r="G4429" s="13" t="n"/>
    </row>
    <row r="4430">
      <c r="A4430" s="12" t="n"/>
      <c r="D4430">
        <f>IFERROR(VLOOKUP(C4430,Cadastro_Produtos!A:B,2,FALSE),"")</f>
        <v/>
      </c>
      <c r="F4430" s="12" t="n"/>
      <c r="G4430" s="13" t="n"/>
    </row>
    <row r="4431">
      <c r="A4431" s="12" t="n"/>
      <c r="D4431">
        <f>IFERROR(VLOOKUP(C4431,Cadastro_Produtos!A:B,2,FALSE),"")</f>
        <v/>
      </c>
      <c r="F4431" s="12" t="n"/>
      <c r="G4431" s="13" t="n"/>
    </row>
    <row r="4432">
      <c r="A4432" s="12" t="n"/>
      <c r="D4432">
        <f>IFERROR(VLOOKUP(C4432,Cadastro_Produtos!A:B,2,FALSE),"")</f>
        <v/>
      </c>
      <c r="F4432" s="12" t="n"/>
      <c r="G4432" s="13" t="n"/>
    </row>
    <row r="4433">
      <c r="A4433" s="12" t="n"/>
      <c r="D4433">
        <f>IFERROR(VLOOKUP(C4433,Cadastro_Produtos!A:B,2,FALSE),"")</f>
        <v/>
      </c>
      <c r="F4433" s="12" t="n"/>
      <c r="G4433" s="13" t="n"/>
    </row>
    <row r="4434">
      <c r="A4434" s="12" t="n"/>
      <c r="D4434">
        <f>IFERROR(VLOOKUP(C4434,Cadastro_Produtos!A:B,2,FALSE),"")</f>
        <v/>
      </c>
      <c r="F4434" s="12" t="n"/>
      <c r="G4434" s="13" t="n"/>
    </row>
    <row r="4435">
      <c r="A4435" s="12" t="n"/>
      <c r="D4435">
        <f>IFERROR(VLOOKUP(C4435,Cadastro_Produtos!A:B,2,FALSE),"")</f>
        <v/>
      </c>
      <c r="F4435" s="12" t="n"/>
      <c r="G4435" s="13" t="n"/>
    </row>
    <row r="4436">
      <c r="A4436" s="12" t="n"/>
      <c r="D4436">
        <f>IFERROR(VLOOKUP(C4436,Cadastro_Produtos!A:B,2,FALSE),"")</f>
        <v/>
      </c>
      <c r="F4436" s="12" t="n"/>
      <c r="G4436" s="13" t="n"/>
    </row>
    <row r="4437">
      <c r="A4437" s="12" t="n"/>
      <c r="D4437">
        <f>IFERROR(VLOOKUP(C4437,Cadastro_Produtos!A:B,2,FALSE),"")</f>
        <v/>
      </c>
      <c r="F4437" s="12" t="n"/>
      <c r="G4437" s="13" t="n"/>
    </row>
    <row r="4438">
      <c r="A4438" s="12" t="n"/>
      <c r="D4438">
        <f>IFERROR(VLOOKUP(C4438,Cadastro_Produtos!A:B,2,FALSE),"")</f>
        <v/>
      </c>
      <c r="F4438" s="12" t="n"/>
      <c r="G4438" s="13" t="n"/>
    </row>
    <row r="4439">
      <c r="A4439" s="12" t="n"/>
      <c r="D4439">
        <f>IFERROR(VLOOKUP(C4439,Cadastro_Produtos!A:B,2,FALSE),"")</f>
        <v/>
      </c>
      <c r="F4439" s="12" t="n"/>
      <c r="G4439" s="13" t="n"/>
    </row>
    <row r="4440">
      <c r="A4440" s="12" t="n"/>
      <c r="D4440">
        <f>IFERROR(VLOOKUP(C4440,Cadastro_Produtos!A:B,2,FALSE),"")</f>
        <v/>
      </c>
      <c r="F4440" s="12" t="n"/>
      <c r="G4440" s="13" t="n"/>
    </row>
    <row r="4441">
      <c r="A4441" s="12" t="n"/>
      <c r="D4441">
        <f>IFERROR(VLOOKUP(C4441,Cadastro_Produtos!A:B,2,FALSE),"")</f>
        <v/>
      </c>
      <c r="F4441" s="12" t="n"/>
      <c r="G4441" s="13" t="n"/>
    </row>
    <row r="4442">
      <c r="A4442" s="12" t="n"/>
      <c r="D4442">
        <f>IFERROR(VLOOKUP(C4442,Cadastro_Produtos!A:B,2,FALSE),"")</f>
        <v/>
      </c>
      <c r="F4442" s="12" t="n"/>
      <c r="G4442" s="13" t="n"/>
    </row>
    <row r="4443">
      <c r="A4443" s="12" t="n"/>
      <c r="D4443">
        <f>IFERROR(VLOOKUP(C4443,Cadastro_Produtos!A:B,2,FALSE),"")</f>
        <v/>
      </c>
      <c r="F4443" s="12" t="n"/>
      <c r="G4443" s="13" t="n"/>
    </row>
    <row r="4444">
      <c r="A4444" s="12" t="n"/>
      <c r="D4444">
        <f>IFERROR(VLOOKUP(C4444,Cadastro_Produtos!A:B,2,FALSE),"")</f>
        <v/>
      </c>
      <c r="F4444" s="12" t="n"/>
      <c r="G4444" s="13" t="n"/>
    </row>
    <row r="4445">
      <c r="A4445" s="12" t="n"/>
      <c r="D4445">
        <f>IFERROR(VLOOKUP(C4445,Cadastro_Produtos!A:B,2,FALSE),"")</f>
        <v/>
      </c>
      <c r="F4445" s="12" t="n"/>
      <c r="G4445" s="13" t="n"/>
    </row>
    <row r="4446">
      <c r="A4446" s="12" t="n"/>
      <c r="D4446">
        <f>IFERROR(VLOOKUP(C4446,Cadastro_Produtos!A:B,2,FALSE),"")</f>
        <v/>
      </c>
      <c r="F4446" s="12" t="n"/>
      <c r="G4446" s="13" t="n"/>
    </row>
    <row r="4447">
      <c r="A4447" s="12" t="n"/>
      <c r="D4447">
        <f>IFERROR(VLOOKUP(C4447,Cadastro_Produtos!A:B,2,FALSE),"")</f>
        <v/>
      </c>
      <c r="F4447" s="12" t="n"/>
      <c r="G4447" s="13" t="n"/>
    </row>
    <row r="4448">
      <c r="A4448" s="12" t="n"/>
      <c r="D4448">
        <f>IFERROR(VLOOKUP(C4448,Cadastro_Produtos!A:B,2,FALSE),"")</f>
        <v/>
      </c>
      <c r="F4448" s="12" t="n"/>
      <c r="G4448" s="13" t="n"/>
    </row>
    <row r="4449">
      <c r="A4449" s="12" t="n"/>
      <c r="D4449">
        <f>IFERROR(VLOOKUP(C4449,Cadastro_Produtos!A:B,2,FALSE),"")</f>
        <v/>
      </c>
      <c r="F4449" s="12" t="n"/>
      <c r="G4449" s="13" t="n"/>
    </row>
    <row r="4450">
      <c r="A4450" s="12" t="n"/>
      <c r="D4450">
        <f>IFERROR(VLOOKUP(C4450,Cadastro_Produtos!A:B,2,FALSE),"")</f>
        <v/>
      </c>
      <c r="F4450" s="12" t="n"/>
      <c r="G4450" s="13" t="n"/>
    </row>
    <row r="4451">
      <c r="A4451" s="12" t="n"/>
      <c r="D4451">
        <f>IFERROR(VLOOKUP(C4451,Cadastro_Produtos!A:B,2,FALSE),"")</f>
        <v/>
      </c>
      <c r="F4451" s="12" t="n"/>
      <c r="G4451" s="13" t="n"/>
    </row>
    <row r="4452">
      <c r="A4452" s="12" t="n"/>
      <c r="D4452">
        <f>IFERROR(VLOOKUP(C4452,Cadastro_Produtos!A:B,2,FALSE),"")</f>
        <v/>
      </c>
      <c r="F4452" s="12" t="n"/>
      <c r="G4452" s="13" t="n"/>
    </row>
    <row r="4453">
      <c r="A4453" s="12" t="n"/>
      <c r="D4453">
        <f>IFERROR(VLOOKUP(C4453,Cadastro_Produtos!A:B,2,FALSE),"")</f>
        <v/>
      </c>
      <c r="F4453" s="12" t="n"/>
      <c r="G4453" s="13" t="n"/>
    </row>
    <row r="4454">
      <c r="A4454" s="12" t="n"/>
      <c r="D4454">
        <f>IFERROR(VLOOKUP(C4454,Cadastro_Produtos!A:B,2,FALSE),"")</f>
        <v/>
      </c>
      <c r="F4454" s="12" t="n"/>
      <c r="G4454" s="13" t="n"/>
    </row>
    <row r="4455">
      <c r="A4455" s="12" t="n"/>
      <c r="D4455">
        <f>IFERROR(VLOOKUP(C4455,Cadastro_Produtos!A:B,2,FALSE),"")</f>
        <v/>
      </c>
      <c r="F4455" s="12" t="n"/>
      <c r="G4455" s="13" t="n"/>
    </row>
    <row r="4456">
      <c r="A4456" s="12" t="n"/>
      <c r="D4456">
        <f>IFERROR(VLOOKUP(C4456,Cadastro_Produtos!A:B,2,FALSE),"")</f>
        <v/>
      </c>
      <c r="F4456" s="12" t="n"/>
      <c r="G4456" s="13" t="n"/>
    </row>
    <row r="4457">
      <c r="A4457" s="12" t="n"/>
      <c r="D4457">
        <f>IFERROR(VLOOKUP(C4457,Cadastro_Produtos!A:B,2,FALSE),"")</f>
        <v/>
      </c>
      <c r="F4457" s="12" t="n"/>
      <c r="G4457" s="13" t="n"/>
    </row>
    <row r="4458">
      <c r="A4458" s="12" t="n"/>
      <c r="D4458">
        <f>IFERROR(VLOOKUP(C4458,Cadastro_Produtos!A:B,2,FALSE),"")</f>
        <v/>
      </c>
      <c r="F4458" s="12" t="n"/>
      <c r="G4458" s="13" t="n"/>
    </row>
    <row r="4459">
      <c r="A4459" s="12" t="n"/>
      <c r="D4459">
        <f>IFERROR(VLOOKUP(C4459,Cadastro_Produtos!A:B,2,FALSE),"")</f>
        <v/>
      </c>
      <c r="F4459" s="12" t="n"/>
      <c r="G4459" s="13" t="n"/>
    </row>
    <row r="4460">
      <c r="A4460" s="12" t="n"/>
      <c r="D4460">
        <f>IFERROR(VLOOKUP(C4460,Cadastro_Produtos!A:B,2,FALSE),"")</f>
        <v/>
      </c>
      <c r="F4460" s="12" t="n"/>
      <c r="G4460" s="13" t="n"/>
    </row>
    <row r="4461">
      <c r="A4461" s="12" t="n"/>
      <c r="D4461">
        <f>IFERROR(VLOOKUP(C4461,Cadastro_Produtos!A:B,2,FALSE),"")</f>
        <v/>
      </c>
      <c r="F4461" s="12" t="n"/>
      <c r="G4461" s="13" t="n"/>
    </row>
    <row r="4462">
      <c r="A4462" s="12" t="n"/>
      <c r="D4462">
        <f>IFERROR(VLOOKUP(C4462,Cadastro_Produtos!A:B,2,FALSE),"")</f>
        <v/>
      </c>
      <c r="F4462" s="12" t="n"/>
      <c r="G4462" s="13" t="n"/>
    </row>
    <row r="4463">
      <c r="A4463" s="12" t="n"/>
      <c r="D4463">
        <f>IFERROR(VLOOKUP(C4463,Cadastro_Produtos!A:B,2,FALSE),"")</f>
        <v/>
      </c>
      <c r="F4463" s="12" t="n"/>
      <c r="G4463" s="13" t="n"/>
    </row>
    <row r="4464">
      <c r="A4464" s="12" t="n"/>
      <c r="D4464">
        <f>IFERROR(VLOOKUP(C4464,Cadastro_Produtos!A:B,2,FALSE),"")</f>
        <v/>
      </c>
      <c r="F4464" s="12" t="n"/>
      <c r="G4464" s="13" t="n"/>
    </row>
    <row r="4465">
      <c r="A4465" s="12" t="n"/>
      <c r="D4465">
        <f>IFERROR(VLOOKUP(C4465,Cadastro_Produtos!A:B,2,FALSE),"")</f>
        <v/>
      </c>
      <c r="F4465" s="12" t="n"/>
      <c r="G4465" s="13" t="n"/>
    </row>
    <row r="4466">
      <c r="A4466" s="12" t="n"/>
      <c r="D4466">
        <f>IFERROR(VLOOKUP(C4466,Cadastro_Produtos!A:B,2,FALSE),"")</f>
        <v/>
      </c>
      <c r="F4466" s="12" t="n"/>
      <c r="G4466" s="13" t="n"/>
    </row>
    <row r="4467">
      <c r="A4467" s="12" t="n"/>
      <c r="D4467">
        <f>IFERROR(VLOOKUP(C4467,Cadastro_Produtos!A:B,2,FALSE),"")</f>
        <v/>
      </c>
      <c r="F4467" s="12" t="n"/>
      <c r="G4467" s="13" t="n"/>
    </row>
    <row r="4468">
      <c r="A4468" s="12" t="n"/>
      <c r="D4468">
        <f>IFERROR(VLOOKUP(C4468,Cadastro_Produtos!A:B,2,FALSE),"")</f>
        <v/>
      </c>
      <c r="F4468" s="12" t="n"/>
      <c r="G4468" s="13" t="n"/>
    </row>
    <row r="4469">
      <c r="A4469" s="12" t="n"/>
      <c r="D4469">
        <f>IFERROR(VLOOKUP(C4469,Cadastro_Produtos!A:B,2,FALSE),"")</f>
        <v/>
      </c>
      <c r="F4469" s="12" t="n"/>
      <c r="G4469" s="13" t="n"/>
    </row>
    <row r="4470">
      <c r="A4470" s="12" t="n"/>
      <c r="D4470">
        <f>IFERROR(VLOOKUP(C4470,Cadastro_Produtos!A:B,2,FALSE),"")</f>
        <v/>
      </c>
      <c r="F4470" s="12" t="n"/>
      <c r="G4470" s="13" t="n"/>
    </row>
    <row r="4471">
      <c r="A4471" s="12" t="n"/>
      <c r="D4471">
        <f>IFERROR(VLOOKUP(C4471,Cadastro_Produtos!A:B,2,FALSE),"")</f>
        <v/>
      </c>
      <c r="F4471" s="12" t="n"/>
      <c r="G4471" s="13" t="n"/>
    </row>
    <row r="4472">
      <c r="A4472" s="12" t="n"/>
      <c r="D4472">
        <f>IFERROR(VLOOKUP(C4472,Cadastro_Produtos!A:B,2,FALSE),"")</f>
        <v/>
      </c>
      <c r="F4472" s="12" t="n"/>
      <c r="G4472" s="13" t="n"/>
    </row>
    <row r="4473">
      <c r="A4473" s="12" t="n"/>
      <c r="D4473">
        <f>IFERROR(VLOOKUP(C4473,Cadastro_Produtos!A:B,2,FALSE),"")</f>
        <v/>
      </c>
      <c r="F4473" s="12" t="n"/>
      <c r="G4473" s="13" t="n"/>
    </row>
    <row r="4474">
      <c r="A4474" s="12" t="n"/>
      <c r="D4474">
        <f>IFERROR(VLOOKUP(C4474,Cadastro_Produtos!A:B,2,FALSE),"")</f>
        <v/>
      </c>
      <c r="F4474" s="12" t="n"/>
      <c r="G4474" s="13" t="n"/>
    </row>
    <row r="4475">
      <c r="A4475" s="12" t="n"/>
      <c r="D4475">
        <f>IFERROR(VLOOKUP(C4475,Cadastro_Produtos!A:B,2,FALSE),"")</f>
        <v/>
      </c>
      <c r="F4475" s="12" t="n"/>
      <c r="G4475" s="13" t="n"/>
    </row>
    <row r="4476">
      <c r="A4476" s="12" t="n"/>
      <c r="D4476">
        <f>IFERROR(VLOOKUP(C4476,Cadastro_Produtos!A:B,2,FALSE),"")</f>
        <v/>
      </c>
      <c r="F4476" s="12" t="n"/>
      <c r="G4476" s="13" t="n"/>
    </row>
    <row r="4477">
      <c r="A4477" s="12" t="n"/>
      <c r="D4477">
        <f>IFERROR(VLOOKUP(C4477,Cadastro_Produtos!A:B,2,FALSE),"")</f>
        <v/>
      </c>
      <c r="F4477" s="12" t="n"/>
      <c r="G4477" s="13" t="n"/>
    </row>
    <row r="4478">
      <c r="A4478" s="12" t="n"/>
      <c r="D4478">
        <f>IFERROR(VLOOKUP(C4478,Cadastro_Produtos!A:B,2,FALSE),"")</f>
        <v/>
      </c>
      <c r="F4478" s="12" t="n"/>
      <c r="G4478" s="13" t="n"/>
    </row>
    <row r="4479">
      <c r="A4479" s="12" t="n"/>
      <c r="D4479">
        <f>IFERROR(VLOOKUP(C4479,Cadastro_Produtos!A:B,2,FALSE),"")</f>
        <v/>
      </c>
      <c r="F4479" s="12" t="n"/>
      <c r="G4479" s="13" t="n"/>
    </row>
    <row r="4480">
      <c r="A4480" s="12" t="n"/>
      <c r="D4480">
        <f>IFERROR(VLOOKUP(C4480,Cadastro_Produtos!A:B,2,FALSE),"")</f>
        <v/>
      </c>
      <c r="F4480" s="12" t="n"/>
      <c r="G4480" s="13" t="n"/>
    </row>
    <row r="4481">
      <c r="A4481" s="12" t="n"/>
      <c r="D4481">
        <f>IFERROR(VLOOKUP(C4481,Cadastro_Produtos!A:B,2,FALSE),"")</f>
        <v/>
      </c>
      <c r="F4481" s="12" t="n"/>
      <c r="G4481" s="13" t="n"/>
    </row>
    <row r="4482">
      <c r="A4482" s="12" t="n"/>
      <c r="D4482">
        <f>IFERROR(VLOOKUP(C4482,Cadastro_Produtos!A:B,2,FALSE),"")</f>
        <v/>
      </c>
      <c r="F4482" s="12" t="n"/>
      <c r="G4482" s="13" t="n"/>
    </row>
    <row r="4483">
      <c r="A4483" s="12" t="n"/>
      <c r="D4483">
        <f>IFERROR(VLOOKUP(C4483,Cadastro_Produtos!A:B,2,FALSE),"")</f>
        <v/>
      </c>
      <c r="F4483" s="12" t="n"/>
      <c r="G4483" s="13" t="n"/>
    </row>
    <row r="4484">
      <c r="A4484" s="12" t="n"/>
      <c r="D4484">
        <f>IFERROR(VLOOKUP(C4484,Cadastro_Produtos!A:B,2,FALSE),"")</f>
        <v/>
      </c>
      <c r="F4484" s="12" t="n"/>
      <c r="G4484" s="13" t="n"/>
    </row>
    <row r="4485">
      <c r="A4485" s="12" t="n"/>
      <c r="D4485">
        <f>IFERROR(VLOOKUP(C4485,Cadastro_Produtos!A:B,2,FALSE),"")</f>
        <v/>
      </c>
      <c r="F4485" s="12" t="n"/>
      <c r="G4485" s="13" t="n"/>
    </row>
    <row r="4486">
      <c r="A4486" s="12" t="n"/>
      <c r="D4486">
        <f>IFERROR(VLOOKUP(C4486,Cadastro_Produtos!A:B,2,FALSE),"")</f>
        <v/>
      </c>
      <c r="F4486" s="12" t="n"/>
      <c r="G4486" s="13" t="n"/>
    </row>
    <row r="4487">
      <c r="A4487" s="12" t="n"/>
      <c r="D4487">
        <f>IFERROR(VLOOKUP(C4487,Cadastro_Produtos!A:B,2,FALSE),"")</f>
        <v/>
      </c>
      <c r="F4487" s="12" t="n"/>
      <c r="G4487" s="13" t="n"/>
    </row>
    <row r="4488">
      <c r="A4488" s="12" t="n"/>
      <c r="D4488">
        <f>IFERROR(VLOOKUP(C4488,Cadastro_Produtos!A:B,2,FALSE),"")</f>
        <v/>
      </c>
      <c r="F4488" s="12" t="n"/>
      <c r="G4488" s="13" t="n"/>
    </row>
    <row r="4489">
      <c r="A4489" s="12" t="n"/>
      <c r="D4489">
        <f>IFERROR(VLOOKUP(C4489,Cadastro_Produtos!A:B,2,FALSE),"")</f>
        <v/>
      </c>
      <c r="F4489" s="12" t="n"/>
      <c r="G4489" s="13" t="n"/>
    </row>
    <row r="4490">
      <c r="A4490" s="12" t="n"/>
      <c r="D4490">
        <f>IFERROR(VLOOKUP(C4490,Cadastro_Produtos!A:B,2,FALSE),"")</f>
        <v/>
      </c>
      <c r="F4490" s="12" t="n"/>
      <c r="G4490" s="13" t="n"/>
    </row>
    <row r="4491">
      <c r="A4491" s="12" t="n"/>
      <c r="D4491">
        <f>IFERROR(VLOOKUP(C4491,Cadastro_Produtos!A:B,2,FALSE),"")</f>
        <v/>
      </c>
      <c r="F4491" s="12" t="n"/>
      <c r="G4491" s="13" t="n"/>
    </row>
    <row r="4492">
      <c r="A4492" s="12" t="n"/>
      <c r="D4492">
        <f>IFERROR(VLOOKUP(C4492,Cadastro_Produtos!A:B,2,FALSE),"")</f>
        <v/>
      </c>
      <c r="F4492" s="12" t="n"/>
      <c r="G4492" s="13" t="n"/>
    </row>
    <row r="4493">
      <c r="A4493" s="12" t="n"/>
      <c r="D4493">
        <f>IFERROR(VLOOKUP(C4493,Cadastro_Produtos!A:B,2,FALSE),"")</f>
        <v/>
      </c>
      <c r="F4493" s="12" t="n"/>
      <c r="G4493" s="13" t="n"/>
    </row>
    <row r="4494">
      <c r="A4494" s="12" t="n"/>
      <c r="D4494">
        <f>IFERROR(VLOOKUP(C4494,Cadastro_Produtos!A:B,2,FALSE),"")</f>
        <v/>
      </c>
      <c r="F4494" s="12" t="n"/>
      <c r="G4494" s="13" t="n"/>
    </row>
    <row r="4495">
      <c r="A4495" s="12" t="n"/>
      <c r="D4495">
        <f>IFERROR(VLOOKUP(C4495,Cadastro_Produtos!A:B,2,FALSE),"")</f>
        <v/>
      </c>
      <c r="F4495" s="12" t="n"/>
      <c r="G4495" s="13" t="n"/>
    </row>
    <row r="4496">
      <c r="A4496" s="12" t="n"/>
      <c r="D4496">
        <f>IFERROR(VLOOKUP(C4496,Cadastro_Produtos!A:B,2,FALSE),"")</f>
        <v/>
      </c>
      <c r="F4496" s="12" t="n"/>
      <c r="G4496" s="13" t="n"/>
    </row>
    <row r="4497">
      <c r="A4497" s="12" t="n"/>
      <c r="D4497">
        <f>IFERROR(VLOOKUP(C4497,Cadastro_Produtos!A:B,2,FALSE),"")</f>
        <v/>
      </c>
      <c r="F4497" s="12" t="n"/>
      <c r="G4497" s="13" t="n"/>
    </row>
    <row r="4498">
      <c r="A4498" s="12" t="n"/>
      <c r="D4498">
        <f>IFERROR(VLOOKUP(C4498,Cadastro_Produtos!A:B,2,FALSE),"")</f>
        <v/>
      </c>
      <c r="F4498" s="12" t="n"/>
      <c r="G4498" s="13" t="n"/>
    </row>
    <row r="4499">
      <c r="A4499" s="12" t="n"/>
      <c r="D4499">
        <f>IFERROR(VLOOKUP(C4499,Cadastro_Produtos!A:B,2,FALSE),"")</f>
        <v/>
      </c>
      <c r="F4499" s="12" t="n"/>
      <c r="G4499" s="13" t="n"/>
    </row>
    <row r="4500">
      <c r="A4500" s="12" t="n"/>
      <c r="D4500">
        <f>IFERROR(VLOOKUP(C4500,Cadastro_Produtos!A:B,2,FALSE),"")</f>
        <v/>
      </c>
      <c r="F4500" s="12" t="n"/>
      <c r="G4500" s="13" t="n"/>
    </row>
    <row r="4501">
      <c r="A4501" s="12" t="n"/>
      <c r="D4501">
        <f>IFERROR(VLOOKUP(C4501,Cadastro_Produtos!A:B,2,FALSE),"")</f>
        <v/>
      </c>
      <c r="F4501" s="12" t="n"/>
      <c r="G4501" s="13" t="n"/>
    </row>
    <row r="4502">
      <c r="A4502" s="12" t="n"/>
      <c r="D4502">
        <f>IFERROR(VLOOKUP(C4502,Cadastro_Produtos!A:B,2,FALSE),"")</f>
        <v/>
      </c>
      <c r="F4502" s="12" t="n"/>
      <c r="G4502" s="13" t="n"/>
    </row>
    <row r="4503">
      <c r="A4503" s="12" t="n"/>
      <c r="D4503">
        <f>IFERROR(VLOOKUP(C4503,Cadastro_Produtos!A:B,2,FALSE),"")</f>
        <v/>
      </c>
      <c r="F4503" s="12" t="n"/>
      <c r="G4503" s="13" t="n"/>
    </row>
    <row r="4504">
      <c r="A4504" s="12" t="n"/>
      <c r="D4504">
        <f>IFERROR(VLOOKUP(C4504,Cadastro_Produtos!A:B,2,FALSE),"")</f>
        <v/>
      </c>
      <c r="F4504" s="12" t="n"/>
      <c r="G4504" s="13" t="n"/>
    </row>
    <row r="4505">
      <c r="A4505" s="12" t="n"/>
      <c r="D4505">
        <f>IFERROR(VLOOKUP(C4505,Cadastro_Produtos!A:B,2,FALSE),"")</f>
        <v/>
      </c>
      <c r="F4505" s="12" t="n"/>
      <c r="G4505" s="13" t="n"/>
    </row>
    <row r="4506">
      <c r="A4506" s="12" t="n"/>
      <c r="D4506">
        <f>IFERROR(VLOOKUP(C4506,Cadastro_Produtos!A:B,2,FALSE),"")</f>
        <v/>
      </c>
      <c r="F4506" s="12" t="n"/>
      <c r="G4506" s="13" t="n"/>
    </row>
    <row r="4507">
      <c r="A4507" s="12" t="n"/>
      <c r="D4507">
        <f>IFERROR(VLOOKUP(C4507,Cadastro_Produtos!A:B,2,FALSE),"")</f>
        <v/>
      </c>
      <c r="F4507" s="12" t="n"/>
      <c r="G4507" s="13" t="n"/>
    </row>
    <row r="4508">
      <c r="A4508" s="12" t="n"/>
      <c r="D4508">
        <f>IFERROR(VLOOKUP(C4508,Cadastro_Produtos!A:B,2,FALSE),"")</f>
        <v/>
      </c>
      <c r="F4508" s="12" t="n"/>
      <c r="G4508" s="13" t="n"/>
    </row>
    <row r="4509">
      <c r="A4509" s="12" t="n"/>
      <c r="D4509">
        <f>IFERROR(VLOOKUP(C4509,Cadastro_Produtos!A:B,2,FALSE),"")</f>
        <v/>
      </c>
      <c r="F4509" s="12" t="n"/>
      <c r="G4509" s="13" t="n"/>
    </row>
    <row r="4510">
      <c r="A4510" s="12" t="n"/>
      <c r="D4510">
        <f>IFERROR(VLOOKUP(C4510,Cadastro_Produtos!A:B,2,FALSE),"")</f>
        <v/>
      </c>
      <c r="F4510" s="12" t="n"/>
      <c r="G4510" s="13" t="n"/>
    </row>
    <row r="4511">
      <c r="A4511" s="12" t="n"/>
      <c r="D4511">
        <f>IFERROR(VLOOKUP(C4511,Cadastro_Produtos!A:B,2,FALSE),"")</f>
        <v/>
      </c>
      <c r="F4511" s="12" t="n"/>
      <c r="G4511" s="13" t="n"/>
    </row>
    <row r="4512">
      <c r="A4512" s="12" t="n"/>
      <c r="D4512">
        <f>IFERROR(VLOOKUP(C4512,Cadastro_Produtos!A:B,2,FALSE),"")</f>
        <v/>
      </c>
      <c r="F4512" s="12" t="n"/>
      <c r="G4512" s="13" t="n"/>
    </row>
    <row r="4513">
      <c r="A4513" s="12" t="n"/>
      <c r="D4513">
        <f>IFERROR(VLOOKUP(C4513,Cadastro_Produtos!A:B,2,FALSE),"")</f>
        <v/>
      </c>
      <c r="F4513" s="12" t="n"/>
      <c r="G4513" s="13" t="n"/>
    </row>
    <row r="4514">
      <c r="A4514" s="12" t="n"/>
      <c r="D4514">
        <f>IFERROR(VLOOKUP(C4514,Cadastro_Produtos!A:B,2,FALSE),"")</f>
        <v/>
      </c>
      <c r="F4514" s="12" t="n"/>
      <c r="G4514" s="13" t="n"/>
    </row>
    <row r="4515">
      <c r="A4515" s="12" t="n"/>
      <c r="D4515">
        <f>IFERROR(VLOOKUP(C4515,Cadastro_Produtos!A:B,2,FALSE),"")</f>
        <v/>
      </c>
      <c r="F4515" s="12" t="n"/>
      <c r="G4515" s="13" t="n"/>
    </row>
    <row r="4516">
      <c r="A4516" s="12" t="n"/>
      <c r="D4516">
        <f>IFERROR(VLOOKUP(C4516,Cadastro_Produtos!A:B,2,FALSE),"")</f>
        <v/>
      </c>
      <c r="F4516" s="12" t="n"/>
      <c r="G4516" s="13" t="n"/>
    </row>
    <row r="4517">
      <c r="A4517" s="12" t="n"/>
      <c r="D4517">
        <f>IFERROR(VLOOKUP(C4517,Cadastro_Produtos!A:B,2,FALSE),"")</f>
        <v/>
      </c>
      <c r="F4517" s="12" t="n"/>
      <c r="G4517" s="13" t="n"/>
    </row>
    <row r="4518">
      <c r="A4518" s="12" t="n"/>
      <c r="D4518">
        <f>IFERROR(VLOOKUP(C4518,Cadastro_Produtos!A:B,2,FALSE),"")</f>
        <v/>
      </c>
      <c r="F4518" s="12" t="n"/>
      <c r="G4518" s="13" t="n"/>
    </row>
    <row r="4519">
      <c r="A4519" s="12" t="n"/>
      <c r="D4519">
        <f>IFERROR(VLOOKUP(C4519,Cadastro_Produtos!A:B,2,FALSE),"")</f>
        <v/>
      </c>
      <c r="F4519" s="12" t="n"/>
      <c r="G4519" s="13" t="n"/>
    </row>
    <row r="4520">
      <c r="A4520" s="12" t="n"/>
      <c r="D4520">
        <f>IFERROR(VLOOKUP(C4520,Cadastro_Produtos!A:B,2,FALSE),"")</f>
        <v/>
      </c>
      <c r="F4520" s="12" t="n"/>
      <c r="G4520" s="13" t="n"/>
    </row>
    <row r="4521">
      <c r="A4521" s="12" t="n"/>
      <c r="D4521">
        <f>IFERROR(VLOOKUP(C4521,Cadastro_Produtos!A:B,2,FALSE),"")</f>
        <v/>
      </c>
      <c r="F4521" s="12" t="n"/>
      <c r="G4521" s="13" t="n"/>
    </row>
    <row r="4522">
      <c r="A4522" s="12" t="n"/>
      <c r="D4522">
        <f>IFERROR(VLOOKUP(C4522,Cadastro_Produtos!A:B,2,FALSE),"")</f>
        <v/>
      </c>
      <c r="F4522" s="12" t="n"/>
      <c r="G4522" s="13" t="n"/>
    </row>
    <row r="4523">
      <c r="A4523" s="12" t="n"/>
      <c r="D4523">
        <f>IFERROR(VLOOKUP(C4523,Cadastro_Produtos!A:B,2,FALSE),"")</f>
        <v/>
      </c>
      <c r="F4523" s="12" t="n"/>
      <c r="G4523" s="13" t="n"/>
    </row>
    <row r="4524">
      <c r="A4524" s="12" t="n"/>
      <c r="D4524">
        <f>IFERROR(VLOOKUP(C4524,Cadastro_Produtos!A:B,2,FALSE),"")</f>
        <v/>
      </c>
      <c r="F4524" s="12" t="n"/>
      <c r="G4524" s="13" t="n"/>
    </row>
    <row r="4525">
      <c r="A4525" s="12" t="n"/>
      <c r="D4525">
        <f>IFERROR(VLOOKUP(C4525,Cadastro_Produtos!A:B,2,FALSE),"")</f>
        <v/>
      </c>
      <c r="F4525" s="12" t="n"/>
      <c r="G4525" s="13" t="n"/>
    </row>
    <row r="4526">
      <c r="A4526" s="12" t="n"/>
      <c r="D4526">
        <f>IFERROR(VLOOKUP(C4526,Cadastro_Produtos!A:B,2,FALSE),"")</f>
        <v/>
      </c>
      <c r="F4526" s="12" t="n"/>
      <c r="G4526" s="13" t="n"/>
    </row>
    <row r="4527">
      <c r="A4527" s="12" t="n"/>
      <c r="D4527">
        <f>IFERROR(VLOOKUP(C4527,Cadastro_Produtos!A:B,2,FALSE),"")</f>
        <v/>
      </c>
      <c r="F4527" s="12" t="n"/>
      <c r="G4527" s="13" t="n"/>
    </row>
    <row r="4528">
      <c r="A4528" s="12" t="n"/>
      <c r="D4528">
        <f>IFERROR(VLOOKUP(C4528,Cadastro_Produtos!A:B,2,FALSE),"")</f>
        <v/>
      </c>
      <c r="F4528" s="12" t="n"/>
      <c r="G4528" s="13" t="n"/>
    </row>
    <row r="4529">
      <c r="A4529" s="12" t="n"/>
      <c r="D4529">
        <f>IFERROR(VLOOKUP(C4529,Cadastro_Produtos!A:B,2,FALSE),"")</f>
        <v/>
      </c>
      <c r="F4529" s="12" t="n"/>
      <c r="G4529" s="13" t="n"/>
    </row>
    <row r="4530">
      <c r="A4530" s="12" t="n"/>
      <c r="D4530">
        <f>IFERROR(VLOOKUP(C4530,Cadastro_Produtos!A:B,2,FALSE),"")</f>
        <v/>
      </c>
      <c r="F4530" s="12" t="n"/>
      <c r="G4530" s="13" t="n"/>
    </row>
    <row r="4531">
      <c r="A4531" s="12" t="n"/>
      <c r="D4531">
        <f>IFERROR(VLOOKUP(C4531,Cadastro_Produtos!A:B,2,FALSE),"")</f>
        <v/>
      </c>
      <c r="F4531" s="12" t="n"/>
      <c r="G4531" s="13" t="n"/>
    </row>
    <row r="4532">
      <c r="A4532" s="12" t="n"/>
      <c r="D4532">
        <f>IFERROR(VLOOKUP(C4532,Cadastro_Produtos!A:B,2,FALSE),"")</f>
        <v/>
      </c>
      <c r="F4532" s="12" t="n"/>
      <c r="G4532" s="13" t="n"/>
    </row>
    <row r="4533">
      <c r="A4533" s="12" t="n"/>
      <c r="D4533">
        <f>IFERROR(VLOOKUP(C4533,Cadastro_Produtos!A:B,2,FALSE),"")</f>
        <v/>
      </c>
      <c r="F4533" s="12" t="n"/>
      <c r="G4533" s="13" t="n"/>
    </row>
    <row r="4534">
      <c r="A4534" s="12" t="n"/>
      <c r="D4534">
        <f>IFERROR(VLOOKUP(C4534,Cadastro_Produtos!A:B,2,FALSE),"")</f>
        <v/>
      </c>
      <c r="F4534" s="12" t="n"/>
      <c r="G4534" s="13" t="n"/>
    </row>
    <row r="4535">
      <c r="A4535" s="12" t="n"/>
      <c r="D4535">
        <f>IFERROR(VLOOKUP(C4535,Cadastro_Produtos!A:B,2,FALSE),"")</f>
        <v/>
      </c>
      <c r="F4535" s="12" t="n"/>
      <c r="G4535" s="13" t="n"/>
    </row>
    <row r="4536">
      <c r="A4536" s="12" t="n"/>
      <c r="D4536">
        <f>IFERROR(VLOOKUP(C4536,Cadastro_Produtos!A:B,2,FALSE),"")</f>
        <v/>
      </c>
      <c r="F4536" s="12" t="n"/>
      <c r="G4536" s="13" t="n"/>
    </row>
    <row r="4537">
      <c r="A4537" s="12" t="n"/>
      <c r="D4537">
        <f>IFERROR(VLOOKUP(C4537,Cadastro_Produtos!A:B,2,FALSE),"")</f>
        <v/>
      </c>
      <c r="F4537" s="12" t="n"/>
      <c r="G4537" s="13" t="n"/>
    </row>
    <row r="4538">
      <c r="A4538" s="12" t="n"/>
      <c r="D4538">
        <f>IFERROR(VLOOKUP(C4538,Cadastro_Produtos!A:B,2,FALSE),"")</f>
        <v/>
      </c>
      <c r="F4538" s="12" t="n"/>
      <c r="G4538" s="13" t="n"/>
    </row>
    <row r="4539">
      <c r="A4539" s="12" t="n"/>
      <c r="D4539">
        <f>IFERROR(VLOOKUP(C4539,Cadastro_Produtos!A:B,2,FALSE),"")</f>
        <v/>
      </c>
      <c r="F4539" s="12" t="n"/>
      <c r="G4539" s="13" t="n"/>
    </row>
    <row r="4540">
      <c r="A4540" s="12" t="n"/>
      <c r="D4540">
        <f>IFERROR(VLOOKUP(C4540,Cadastro_Produtos!A:B,2,FALSE),"")</f>
        <v/>
      </c>
      <c r="F4540" s="12" t="n"/>
      <c r="G4540" s="13" t="n"/>
    </row>
    <row r="4541">
      <c r="A4541" s="12" t="n"/>
      <c r="D4541">
        <f>IFERROR(VLOOKUP(C4541,Cadastro_Produtos!A:B,2,FALSE),"")</f>
        <v/>
      </c>
      <c r="F4541" s="12" t="n"/>
      <c r="G4541" s="13" t="n"/>
    </row>
    <row r="4542">
      <c r="A4542" s="12" t="n"/>
      <c r="D4542">
        <f>IFERROR(VLOOKUP(C4542,Cadastro_Produtos!A:B,2,FALSE),"")</f>
        <v/>
      </c>
      <c r="F4542" s="12" t="n"/>
      <c r="G4542" s="13" t="n"/>
    </row>
    <row r="4543">
      <c r="A4543" s="12" t="n"/>
      <c r="D4543">
        <f>IFERROR(VLOOKUP(C4543,Cadastro_Produtos!A:B,2,FALSE),"")</f>
        <v/>
      </c>
      <c r="F4543" s="12" t="n"/>
      <c r="G4543" s="13" t="n"/>
    </row>
    <row r="4544">
      <c r="A4544" s="12" t="n"/>
      <c r="D4544">
        <f>IFERROR(VLOOKUP(C4544,Cadastro_Produtos!A:B,2,FALSE),"")</f>
        <v/>
      </c>
      <c r="F4544" s="12" t="n"/>
      <c r="G4544" s="13" t="n"/>
    </row>
    <row r="4545">
      <c r="A4545" s="12" t="n"/>
      <c r="D4545">
        <f>IFERROR(VLOOKUP(C4545,Cadastro_Produtos!A:B,2,FALSE),"")</f>
        <v/>
      </c>
      <c r="F4545" s="12" t="n"/>
      <c r="G4545" s="13" t="n"/>
    </row>
    <row r="4546">
      <c r="A4546" s="12" t="n"/>
      <c r="D4546">
        <f>IFERROR(VLOOKUP(C4546,Cadastro_Produtos!A:B,2,FALSE),"")</f>
        <v/>
      </c>
      <c r="F4546" s="12" t="n"/>
      <c r="G4546" s="13" t="n"/>
    </row>
    <row r="4547">
      <c r="A4547" s="12" t="n"/>
      <c r="D4547">
        <f>IFERROR(VLOOKUP(C4547,Cadastro_Produtos!A:B,2,FALSE),"")</f>
        <v/>
      </c>
      <c r="F4547" s="12" t="n"/>
      <c r="G4547" s="13" t="n"/>
    </row>
    <row r="4548">
      <c r="A4548" s="12" t="n"/>
      <c r="D4548">
        <f>IFERROR(VLOOKUP(C4548,Cadastro_Produtos!A:B,2,FALSE),"")</f>
        <v/>
      </c>
      <c r="F4548" s="12" t="n"/>
      <c r="G4548" s="13" t="n"/>
    </row>
    <row r="4549">
      <c r="A4549" s="12" t="n"/>
      <c r="D4549">
        <f>IFERROR(VLOOKUP(C4549,Cadastro_Produtos!A:B,2,FALSE),"")</f>
        <v/>
      </c>
      <c r="F4549" s="12" t="n"/>
      <c r="G4549" s="13" t="n"/>
    </row>
    <row r="4550">
      <c r="A4550" s="12" t="n"/>
      <c r="D4550">
        <f>IFERROR(VLOOKUP(C4550,Cadastro_Produtos!A:B,2,FALSE),"")</f>
        <v/>
      </c>
      <c r="F4550" s="12" t="n"/>
      <c r="G4550" s="13" t="n"/>
    </row>
    <row r="4551">
      <c r="A4551" s="12" t="n"/>
      <c r="D4551">
        <f>IFERROR(VLOOKUP(C4551,Cadastro_Produtos!A:B,2,FALSE),"")</f>
        <v/>
      </c>
      <c r="F4551" s="12" t="n"/>
      <c r="G4551" s="13" t="n"/>
    </row>
    <row r="4552">
      <c r="A4552" s="12" t="n"/>
      <c r="D4552">
        <f>IFERROR(VLOOKUP(C4552,Cadastro_Produtos!A:B,2,FALSE),"")</f>
        <v/>
      </c>
      <c r="F4552" s="12" t="n"/>
      <c r="G4552" s="13" t="n"/>
    </row>
    <row r="4553">
      <c r="A4553" s="12" t="n"/>
      <c r="D4553">
        <f>IFERROR(VLOOKUP(C4553,Cadastro_Produtos!A:B,2,FALSE),"")</f>
        <v/>
      </c>
      <c r="F4553" s="12" t="n"/>
      <c r="G4553" s="13" t="n"/>
    </row>
    <row r="4554">
      <c r="A4554" s="12" t="n"/>
      <c r="D4554">
        <f>IFERROR(VLOOKUP(C4554,Cadastro_Produtos!A:B,2,FALSE),"")</f>
        <v/>
      </c>
      <c r="F4554" s="12" t="n"/>
      <c r="G4554" s="13" t="n"/>
    </row>
    <row r="4555">
      <c r="A4555" s="12" t="n"/>
      <c r="D4555">
        <f>IFERROR(VLOOKUP(C4555,Cadastro_Produtos!A:B,2,FALSE),"")</f>
        <v/>
      </c>
      <c r="F4555" s="12" t="n"/>
      <c r="G4555" s="13" t="n"/>
    </row>
    <row r="4556">
      <c r="A4556" s="12" t="n"/>
      <c r="D4556">
        <f>IFERROR(VLOOKUP(C4556,Cadastro_Produtos!A:B,2,FALSE),"")</f>
        <v/>
      </c>
      <c r="F4556" s="12" t="n"/>
      <c r="G4556" s="13" t="n"/>
    </row>
    <row r="4557">
      <c r="A4557" s="12" t="n"/>
      <c r="D4557">
        <f>IFERROR(VLOOKUP(C4557,Cadastro_Produtos!A:B,2,FALSE),"")</f>
        <v/>
      </c>
      <c r="F4557" s="12" t="n"/>
      <c r="G4557" s="13" t="n"/>
    </row>
    <row r="4558">
      <c r="A4558" s="12" t="n"/>
      <c r="D4558">
        <f>IFERROR(VLOOKUP(C4558,Cadastro_Produtos!A:B,2,FALSE),"")</f>
        <v/>
      </c>
      <c r="F4558" s="12" t="n"/>
      <c r="G4558" s="13" t="n"/>
    </row>
    <row r="4559">
      <c r="A4559" s="12" t="n"/>
      <c r="D4559">
        <f>IFERROR(VLOOKUP(C4559,Cadastro_Produtos!A:B,2,FALSE),"")</f>
        <v/>
      </c>
      <c r="F4559" s="12" t="n"/>
      <c r="G4559" s="13" t="n"/>
    </row>
    <row r="4560">
      <c r="A4560" s="12" t="n"/>
      <c r="D4560">
        <f>IFERROR(VLOOKUP(C4560,Cadastro_Produtos!A:B,2,FALSE),"")</f>
        <v/>
      </c>
      <c r="F4560" s="12" t="n"/>
      <c r="G4560" s="13" t="n"/>
    </row>
    <row r="4561">
      <c r="A4561" s="12" t="n"/>
      <c r="D4561">
        <f>IFERROR(VLOOKUP(C4561,Cadastro_Produtos!A:B,2,FALSE),"")</f>
        <v/>
      </c>
      <c r="F4561" s="12" t="n"/>
      <c r="G4561" s="13" t="n"/>
    </row>
    <row r="4562">
      <c r="A4562" s="12" t="n"/>
      <c r="D4562">
        <f>IFERROR(VLOOKUP(C4562,Cadastro_Produtos!A:B,2,FALSE),"")</f>
        <v/>
      </c>
      <c r="F4562" s="12" t="n"/>
      <c r="G4562" s="13" t="n"/>
    </row>
    <row r="4563">
      <c r="A4563" s="12" t="n"/>
      <c r="D4563">
        <f>IFERROR(VLOOKUP(C4563,Cadastro_Produtos!A:B,2,FALSE),"")</f>
        <v/>
      </c>
      <c r="F4563" s="12" t="n"/>
      <c r="G4563" s="13" t="n"/>
    </row>
    <row r="4564">
      <c r="A4564" s="12" t="n"/>
      <c r="D4564">
        <f>IFERROR(VLOOKUP(C4564,Cadastro_Produtos!A:B,2,FALSE),"")</f>
        <v/>
      </c>
      <c r="F4564" s="12" t="n"/>
      <c r="G4564" s="13" t="n"/>
    </row>
    <row r="4565">
      <c r="A4565" s="12" t="n"/>
      <c r="D4565">
        <f>IFERROR(VLOOKUP(C4565,Cadastro_Produtos!A:B,2,FALSE),"")</f>
        <v/>
      </c>
      <c r="F4565" s="12" t="n"/>
      <c r="G4565" s="13" t="n"/>
    </row>
    <row r="4566">
      <c r="A4566" s="12" t="n"/>
      <c r="D4566">
        <f>IFERROR(VLOOKUP(C4566,Cadastro_Produtos!A:B,2,FALSE),"")</f>
        <v/>
      </c>
      <c r="F4566" s="12" t="n"/>
      <c r="G4566" s="13" t="n"/>
    </row>
    <row r="4567">
      <c r="A4567" s="12" t="n"/>
      <c r="D4567">
        <f>IFERROR(VLOOKUP(C4567,Cadastro_Produtos!A:B,2,FALSE),"")</f>
        <v/>
      </c>
      <c r="F4567" s="12" t="n"/>
      <c r="G4567" s="13" t="n"/>
    </row>
    <row r="4568">
      <c r="A4568" s="12" t="n"/>
      <c r="D4568">
        <f>IFERROR(VLOOKUP(C4568,Cadastro_Produtos!A:B,2,FALSE),"")</f>
        <v/>
      </c>
      <c r="F4568" s="12" t="n"/>
      <c r="G4568" s="13" t="n"/>
    </row>
    <row r="4569">
      <c r="A4569" s="12" t="n"/>
      <c r="D4569">
        <f>IFERROR(VLOOKUP(C4569,Cadastro_Produtos!A:B,2,FALSE),"")</f>
        <v/>
      </c>
      <c r="F4569" s="12" t="n"/>
      <c r="G4569" s="13" t="n"/>
    </row>
    <row r="4570">
      <c r="A4570" s="12" t="n"/>
      <c r="D4570">
        <f>IFERROR(VLOOKUP(C4570,Cadastro_Produtos!A:B,2,FALSE),"")</f>
        <v/>
      </c>
      <c r="F4570" s="12" t="n"/>
      <c r="G4570" s="13" t="n"/>
    </row>
    <row r="4571">
      <c r="A4571" s="12" t="n"/>
      <c r="D4571">
        <f>IFERROR(VLOOKUP(C4571,Cadastro_Produtos!A:B,2,FALSE),"")</f>
        <v/>
      </c>
      <c r="F4571" s="12" t="n"/>
      <c r="G4571" s="13" t="n"/>
    </row>
    <row r="4572">
      <c r="A4572" s="12" t="n"/>
      <c r="D4572">
        <f>IFERROR(VLOOKUP(C4572,Cadastro_Produtos!A:B,2,FALSE),"")</f>
        <v/>
      </c>
      <c r="F4572" s="12" t="n"/>
      <c r="G4572" s="13" t="n"/>
    </row>
    <row r="4573">
      <c r="A4573" s="12" t="n"/>
      <c r="D4573">
        <f>IFERROR(VLOOKUP(C4573,Cadastro_Produtos!A:B,2,FALSE),"")</f>
        <v/>
      </c>
      <c r="F4573" s="12" t="n"/>
      <c r="G4573" s="13" t="n"/>
    </row>
    <row r="4574">
      <c r="A4574" s="12" t="n"/>
      <c r="D4574">
        <f>IFERROR(VLOOKUP(C4574,Cadastro_Produtos!A:B,2,FALSE),"")</f>
        <v/>
      </c>
      <c r="F4574" s="12" t="n"/>
      <c r="G4574" s="13" t="n"/>
    </row>
    <row r="4575">
      <c r="A4575" s="12" t="n"/>
      <c r="D4575">
        <f>IFERROR(VLOOKUP(C4575,Cadastro_Produtos!A:B,2,FALSE),"")</f>
        <v/>
      </c>
      <c r="F4575" s="12" t="n"/>
      <c r="G4575" s="13" t="n"/>
    </row>
    <row r="4576">
      <c r="A4576" s="12" t="n"/>
      <c r="D4576">
        <f>IFERROR(VLOOKUP(C4576,Cadastro_Produtos!A:B,2,FALSE),"")</f>
        <v/>
      </c>
      <c r="F4576" s="12" t="n"/>
      <c r="G4576" s="13" t="n"/>
    </row>
    <row r="4577">
      <c r="A4577" s="12" t="n"/>
      <c r="D4577">
        <f>IFERROR(VLOOKUP(C4577,Cadastro_Produtos!A:B,2,FALSE),"")</f>
        <v/>
      </c>
      <c r="F4577" s="12" t="n"/>
      <c r="G4577" s="13" t="n"/>
    </row>
    <row r="4578">
      <c r="A4578" s="12" t="n"/>
      <c r="D4578">
        <f>IFERROR(VLOOKUP(C4578,Cadastro_Produtos!A:B,2,FALSE),"")</f>
        <v/>
      </c>
      <c r="F4578" s="12" t="n"/>
      <c r="G4578" s="13" t="n"/>
    </row>
    <row r="4579">
      <c r="A4579" s="12" t="n"/>
      <c r="D4579">
        <f>IFERROR(VLOOKUP(C4579,Cadastro_Produtos!A:B,2,FALSE),"")</f>
        <v/>
      </c>
      <c r="F4579" s="12" t="n"/>
      <c r="G4579" s="13" t="n"/>
    </row>
    <row r="4580">
      <c r="A4580" s="12" t="n"/>
      <c r="D4580">
        <f>IFERROR(VLOOKUP(C4580,Cadastro_Produtos!A:B,2,FALSE),"")</f>
        <v/>
      </c>
      <c r="F4580" s="12" t="n"/>
      <c r="G4580" s="13" t="n"/>
    </row>
    <row r="4581">
      <c r="A4581" s="12" t="n"/>
      <c r="D4581">
        <f>IFERROR(VLOOKUP(C4581,Cadastro_Produtos!A:B,2,FALSE),"")</f>
        <v/>
      </c>
      <c r="F4581" s="12" t="n"/>
      <c r="G4581" s="13" t="n"/>
    </row>
    <row r="4582">
      <c r="A4582" s="12" t="n"/>
      <c r="D4582">
        <f>IFERROR(VLOOKUP(C4582,Cadastro_Produtos!A:B,2,FALSE),"")</f>
        <v/>
      </c>
      <c r="F4582" s="12" t="n"/>
      <c r="G4582" s="13" t="n"/>
    </row>
    <row r="4583">
      <c r="A4583" s="12" t="n"/>
      <c r="D4583">
        <f>IFERROR(VLOOKUP(C4583,Cadastro_Produtos!A:B,2,FALSE),"")</f>
        <v/>
      </c>
      <c r="F4583" s="12" t="n"/>
      <c r="G4583" s="13" t="n"/>
    </row>
    <row r="4584">
      <c r="A4584" s="12" t="n"/>
      <c r="D4584">
        <f>IFERROR(VLOOKUP(C4584,Cadastro_Produtos!A:B,2,FALSE),"")</f>
        <v/>
      </c>
      <c r="F4584" s="12" t="n"/>
      <c r="G4584" s="13" t="n"/>
    </row>
    <row r="4585">
      <c r="A4585" s="12" t="n"/>
      <c r="D4585">
        <f>IFERROR(VLOOKUP(C4585,Cadastro_Produtos!A:B,2,FALSE),"")</f>
        <v/>
      </c>
      <c r="F4585" s="12" t="n"/>
      <c r="G4585" s="13" t="n"/>
    </row>
    <row r="4586">
      <c r="A4586" s="12" t="n"/>
      <c r="D4586">
        <f>IFERROR(VLOOKUP(C4586,Cadastro_Produtos!A:B,2,FALSE),"")</f>
        <v/>
      </c>
      <c r="F4586" s="12" t="n"/>
      <c r="G4586" s="13" t="n"/>
    </row>
    <row r="4587">
      <c r="A4587" s="12" t="n"/>
      <c r="D4587">
        <f>IFERROR(VLOOKUP(C4587,Cadastro_Produtos!A:B,2,FALSE),"")</f>
        <v/>
      </c>
      <c r="F4587" s="12" t="n"/>
      <c r="G4587" s="13" t="n"/>
    </row>
    <row r="4588">
      <c r="A4588" s="12" t="n"/>
      <c r="D4588">
        <f>IFERROR(VLOOKUP(C4588,Cadastro_Produtos!A:B,2,FALSE),"")</f>
        <v/>
      </c>
      <c r="F4588" s="12" t="n"/>
      <c r="G4588" s="13" t="n"/>
    </row>
    <row r="4589">
      <c r="A4589" s="12" t="n"/>
      <c r="D4589">
        <f>IFERROR(VLOOKUP(C4589,Cadastro_Produtos!A:B,2,FALSE),"")</f>
        <v/>
      </c>
      <c r="F4589" s="12" t="n"/>
      <c r="G4589" s="13" t="n"/>
    </row>
    <row r="4590">
      <c r="A4590" s="12" t="n"/>
      <c r="D4590">
        <f>IFERROR(VLOOKUP(C4590,Cadastro_Produtos!A:B,2,FALSE),"")</f>
        <v/>
      </c>
      <c r="F4590" s="12" t="n"/>
      <c r="G4590" s="13" t="n"/>
    </row>
    <row r="4591">
      <c r="A4591" s="12" t="n"/>
      <c r="D4591">
        <f>IFERROR(VLOOKUP(C4591,Cadastro_Produtos!A:B,2,FALSE),"")</f>
        <v/>
      </c>
      <c r="F4591" s="12" t="n"/>
      <c r="G4591" s="13" t="n"/>
    </row>
    <row r="4592">
      <c r="A4592" s="12" t="n"/>
      <c r="D4592">
        <f>IFERROR(VLOOKUP(C4592,Cadastro_Produtos!A:B,2,FALSE),"")</f>
        <v/>
      </c>
      <c r="F4592" s="12" t="n"/>
      <c r="G4592" s="13" t="n"/>
    </row>
    <row r="4593">
      <c r="A4593" s="12" t="n"/>
      <c r="D4593">
        <f>IFERROR(VLOOKUP(C4593,Cadastro_Produtos!A:B,2,FALSE),"")</f>
        <v/>
      </c>
      <c r="F4593" s="12" t="n"/>
      <c r="G4593" s="13" t="n"/>
    </row>
    <row r="4594">
      <c r="A4594" s="12" t="n"/>
      <c r="D4594">
        <f>IFERROR(VLOOKUP(C4594,Cadastro_Produtos!A:B,2,FALSE),"")</f>
        <v/>
      </c>
      <c r="F4594" s="12" t="n"/>
      <c r="G4594" s="13" t="n"/>
    </row>
    <row r="4595">
      <c r="A4595" s="12" t="n"/>
      <c r="D4595">
        <f>IFERROR(VLOOKUP(C4595,Cadastro_Produtos!A:B,2,FALSE),"")</f>
        <v/>
      </c>
      <c r="F4595" s="12" t="n"/>
      <c r="G4595" s="13" t="n"/>
    </row>
    <row r="4596">
      <c r="A4596" s="12" t="n"/>
      <c r="D4596">
        <f>IFERROR(VLOOKUP(C4596,Cadastro_Produtos!A:B,2,FALSE),"")</f>
        <v/>
      </c>
      <c r="F4596" s="12" t="n"/>
      <c r="G4596" s="13" t="n"/>
    </row>
    <row r="4597">
      <c r="A4597" s="12" t="n"/>
      <c r="D4597">
        <f>IFERROR(VLOOKUP(C4597,Cadastro_Produtos!A:B,2,FALSE),"")</f>
        <v/>
      </c>
      <c r="F4597" s="12" t="n"/>
      <c r="G4597" s="13" t="n"/>
    </row>
    <row r="4598">
      <c r="A4598" s="12" t="n"/>
      <c r="D4598">
        <f>IFERROR(VLOOKUP(C4598,Cadastro_Produtos!A:B,2,FALSE),"")</f>
        <v/>
      </c>
      <c r="F4598" s="12" t="n"/>
      <c r="G4598" s="13" t="n"/>
    </row>
    <row r="4599">
      <c r="A4599" s="12" t="n"/>
      <c r="D4599">
        <f>IFERROR(VLOOKUP(C4599,Cadastro_Produtos!A:B,2,FALSE),"")</f>
        <v/>
      </c>
      <c r="F4599" s="12" t="n"/>
      <c r="G4599" s="13" t="n"/>
    </row>
    <row r="4600">
      <c r="A4600" s="12" t="n"/>
      <c r="D4600">
        <f>IFERROR(VLOOKUP(C4600,Cadastro_Produtos!A:B,2,FALSE),"")</f>
        <v/>
      </c>
      <c r="F4600" s="12" t="n"/>
      <c r="G4600" s="13" t="n"/>
    </row>
    <row r="4601">
      <c r="A4601" s="12" t="n"/>
      <c r="D4601">
        <f>IFERROR(VLOOKUP(C4601,Cadastro_Produtos!A:B,2,FALSE),"")</f>
        <v/>
      </c>
      <c r="F4601" s="12" t="n"/>
      <c r="G4601" s="13" t="n"/>
    </row>
    <row r="4602">
      <c r="A4602" s="12" t="n"/>
      <c r="D4602">
        <f>IFERROR(VLOOKUP(C4602,Cadastro_Produtos!A:B,2,FALSE),"")</f>
        <v/>
      </c>
      <c r="F4602" s="12" t="n"/>
      <c r="G4602" s="13" t="n"/>
    </row>
    <row r="4603">
      <c r="A4603" s="12" t="n"/>
      <c r="D4603">
        <f>IFERROR(VLOOKUP(C4603,Cadastro_Produtos!A:B,2,FALSE),"")</f>
        <v/>
      </c>
      <c r="F4603" s="12" t="n"/>
      <c r="G4603" s="13" t="n"/>
    </row>
    <row r="4604">
      <c r="A4604" s="12" t="n"/>
      <c r="D4604">
        <f>IFERROR(VLOOKUP(C4604,Cadastro_Produtos!A:B,2,FALSE),"")</f>
        <v/>
      </c>
      <c r="F4604" s="12" t="n"/>
      <c r="G4604" s="13" t="n"/>
    </row>
    <row r="4605">
      <c r="A4605" s="12" t="n"/>
      <c r="D4605">
        <f>IFERROR(VLOOKUP(C4605,Cadastro_Produtos!A:B,2,FALSE),"")</f>
        <v/>
      </c>
      <c r="F4605" s="12" t="n"/>
      <c r="G4605" s="13" t="n"/>
    </row>
    <row r="4606">
      <c r="A4606" s="12" t="n"/>
      <c r="D4606">
        <f>IFERROR(VLOOKUP(C4606,Cadastro_Produtos!A:B,2,FALSE),"")</f>
        <v/>
      </c>
      <c r="F4606" s="12" t="n"/>
      <c r="G4606" s="13" t="n"/>
    </row>
    <row r="4607">
      <c r="A4607" s="12" t="n"/>
      <c r="D4607">
        <f>IFERROR(VLOOKUP(C4607,Cadastro_Produtos!A:B,2,FALSE),"")</f>
        <v/>
      </c>
      <c r="F4607" s="12" t="n"/>
      <c r="G4607" s="13" t="n"/>
    </row>
    <row r="4608">
      <c r="A4608" s="12" t="n"/>
      <c r="D4608">
        <f>IFERROR(VLOOKUP(C4608,Cadastro_Produtos!A:B,2,FALSE),"")</f>
        <v/>
      </c>
      <c r="F4608" s="12" t="n"/>
      <c r="G4608" s="13" t="n"/>
    </row>
    <row r="4609">
      <c r="A4609" s="12" t="n"/>
      <c r="D4609">
        <f>IFERROR(VLOOKUP(C4609,Cadastro_Produtos!A:B,2,FALSE),"")</f>
        <v/>
      </c>
      <c r="F4609" s="12" t="n"/>
      <c r="G4609" s="13" t="n"/>
    </row>
    <row r="4610">
      <c r="A4610" s="12" t="n"/>
      <c r="D4610">
        <f>IFERROR(VLOOKUP(C4610,Cadastro_Produtos!A:B,2,FALSE),"")</f>
        <v/>
      </c>
      <c r="F4610" s="12" t="n"/>
      <c r="G4610" s="13" t="n"/>
    </row>
    <row r="4611">
      <c r="A4611" s="12" t="n"/>
      <c r="D4611">
        <f>IFERROR(VLOOKUP(C4611,Cadastro_Produtos!A:B,2,FALSE),"")</f>
        <v/>
      </c>
      <c r="F4611" s="12" t="n"/>
      <c r="G4611" s="13" t="n"/>
    </row>
    <row r="4612">
      <c r="A4612" s="12" t="n"/>
      <c r="D4612">
        <f>IFERROR(VLOOKUP(C4612,Cadastro_Produtos!A:B,2,FALSE),"")</f>
        <v/>
      </c>
      <c r="F4612" s="12" t="n"/>
      <c r="G4612" s="13" t="n"/>
    </row>
    <row r="4613">
      <c r="A4613" s="12" t="n"/>
      <c r="D4613">
        <f>IFERROR(VLOOKUP(C4613,Cadastro_Produtos!A:B,2,FALSE),"")</f>
        <v/>
      </c>
      <c r="F4613" s="12" t="n"/>
      <c r="G4613" s="13" t="n"/>
    </row>
    <row r="4614">
      <c r="A4614" s="12" t="n"/>
      <c r="D4614">
        <f>IFERROR(VLOOKUP(C4614,Cadastro_Produtos!A:B,2,FALSE),"")</f>
        <v/>
      </c>
      <c r="F4614" s="12" t="n"/>
      <c r="G4614" s="13" t="n"/>
    </row>
    <row r="4615">
      <c r="A4615" s="12" t="n"/>
      <c r="D4615">
        <f>IFERROR(VLOOKUP(C4615,Cadastro_Produtos!A:B,2,FALSE),"")</f>
        <v/>
      </c>
      <c r="F4615" s="12" t="n"/>
      <c r="G4615" s="13" t="n"/>
    </row>
    <row r="4616">
      <c r="A4616" s="12" t="n"/>
      <c r="D4616">
        <f>IFERROR(VLOOKUP(C4616,Cadastro_Produtos!A:B,2,FALSE),"")</f>
        <v/>
      </c>
      <c r="F4616" s="12" t="n"/>
      <c r="G4616" s="13" t="n"/>
    </row>
    <row r="4617">
      <c r="A4617" s="12" t="n"/>
      <c r="D4617">
        <f>IFERROR(VLOOKUP(C4617,Cadastro_Produtos!A:B,2,FALSE),"")</f>
        <v/>
      </c>
      <c r="F4617" s="12" t="n"/>
      <c r="G4617" s="13" t="n"/>
    </row>
    <row r="4618">
      <c r="A4618" s="12" t="n"/>
      <c r="D4618">
        <f>IFERROR(VLOOKUP(C4618,Cadastro_Produtos!A:B,2,FALSE),"")</f>
        <v/>
      </c>
      <c r="F4618" s="12" t="n"/>
      <c r="G4618" s="13" t="n"/>
    </row>
    <row r="4619">
      <c r="A4619" s="12" t="n"/>
      <c r="D4619">
        <f>IFERROR(VLOOKUP(C4619,Cadastro_Produtos!A:B,2,FALSE),"")</f>
        <v/>
      </c>
      <c r="F4619" s="12" t="n"/>
      <c r="G4619" s="13" t="n"/>
    </row>
    <row r="4620">
      <c r="A4620" s="12" t="n"/>
      <c r="D4620">
        <f>IFERROR(VLOOKUP(C4620,Cadastro_Produtos!A:B,2,FALSE),"")</f>
        <v/>
      </c>
      <c r="F4620" s="12" t="n"/>
      <c r="G4620" s="13" t="n"/>
    </row>
    <row r="4621">
      <c r="A4621" s="12" t="n"/>
      <c r="D4621">
        <f>IFERROR(VLOOKUP(C4621,Cadastro_Produtos!A:B,2,FALSE),"")</f>
        <v/>
      </c>
      <c r="F4621" s="12" t="n"/>
      <c r="G4621" s="13" t="n"/>
    </row>
    <row r="4622">
      <c r="A4622" s="12" t="n"/>
      <c r="D4622">
        <f>IFERROR(VLOOKUP(C4622,Cadastro_Produtos!A:B,2,FALSE),"")</f>
        <v/>
      </c>
      <c r="F4622" s="12" t="n"/>
      <c r="G4622" s="13" t="n"/>
    </row>
    <row r="4623">
      <c r="A4623" s="12" t="n"/>
      <c r="D4623">
        <f>IFERROR(VLOOKUP(C4623,Cadastro_Produtos!A:B,2,FALSE),"")</f>
        <v/>
      </c>
      <c r="F4623" s="12" t="n"/>
      <c r="G4623" s="13" t="n"/>
    </row>
    <row r="4624">
      <c r="A4624" s="12" t="n"/>
      <c r="D4624">
        <f>IFERROR(VLOOKUP(C4624,Cadastro_Produtos!A:B,2,FALSE),"")</f>
        <v/>
      </c>
      <c r="F4624" s="12" t="n"/>
      <c r="G4624" s="13" t="n"/>
    </row>
    <row r="4625">
      <c r="A4625" s="12" t="n"/>
      <c r="D4625">
        <f>IFERROR(VLOOKUP(C4625,Cadastro_Produtos!A:B,2,FALSE),"")</f>
        <v/>
      </c>
      <c r="F4625" s="12" t="n"/>
      <c r="G4625" s="13" t="n"/>
    </row>
    <row r="4626">
      <c r="A4626" s="12" t="n"/>
      <c r="D4626">
        <f>IFERROR(VLOOKUP(C4626,Cadastro_Produtos!A:B,2,FALSE),"")</f>
        <v/>
      </c>
      <c r="F4626" s="12" t="n"/>
      <c r="G4626" s="13" t="n"/>
    </row>
    <row r="4627">
      <c r="A4627" s="12" t="n"/>
      <c r="D4627">
        <f>IFERROR(VLOOKUP(C4627,Cadastro_Produtos!A:B,2,FALSE),"")</f>
        <v/>
      </c>
      <c r="F4627" s="12" t="n"/>
      <c r="G4627" s="13" t="n"/>
    </row>
    <row r="4628">
      <c r="A4628" s="12" t="n"/>
      <c r="D4628">
        <f>IFERROR(VLOOKUP(C4628,Cadastro_Produtos!A:B,2,FALSE),"")</f>
        <v/>
      </c>
      <c r="F4628" s="12" t="n"/>
      <c r="G4628" s="13" t="n"/>
    </row>
    <row r="4629">
      <c r="A4629" s="12" t="n"/>
      <c r="D4629">
        <f>IFERROR(VLOOKUP(C4629,Cadastro_Produtos!A:B,2,FALSE),"")</f>
        <v/>
      </c>
      <c r="F4629" s="12" t="n"/>
      <c r="G4629" s="13" t="n"/>
    </row>
    <row r="4630">
      <c r="A4630" s="12" t="n"/>
      <c r="D4630">
        <f>IFERROR(VLOOKUP(C4630,Cadastro_Produtos!A:B,2,FALSE),"")</f>
        <v/>
      </c>
      <c r="F4630" s="12" t="n"/>
      <c r="G4630" s="13" t="n"/>
    </row>
    <row r="4631">
      <c r="A4631" s="12" t="n"/>
      <c r="D4631">
        <f>IFERROR(VLOOKUP(C4631,Cadastro_Produtos!A:B,2,FALSE),"")</f>
        <v/>
      </c>
      <c r="F4631" s="12" t="n"/>
      <c r="G4631" s="13" t="n"/>
    </row>
    <row r="4632">
      <c r="A4632" s="12" t="n"/>
      <c r="D4632">
        <f>IFERROR(VLOOKUP(C4632,Cadastro_Produtos!A:B,2,FALSE),"")</f>
        <v/>
      </c>
      <c r="F4632" s="12" t="n"/>
      <c r="G4632" s="13" t="n"/>
    </row>
    <row r="4633">
      <c r="A4633" s="12" t="n"/>
      <c r="D4633">
        <f>IFERROR(VLOOKUP(C4633,Cadastro_Produtos!A:B,2,FALSE),"")</f>
        <v/>
      </c>
      <c r="F4633" s="12" t="n"/>
      <c r="G4633" s="13" t="n"/>
    </row>
    <row r="4634">
      <c r="A4634" s="12" t="n"/>
      <c r="D4634">
        <f>IFERROR(VLOOKUP(C4634,Cadastro_Produtos!A:B,2,FALSE),"")</f>
        <v/>
      </c>
      <c r="F4634" s="12" t="n"/>
      <c r="G4634" s="13" t="n"/>
    </row>
    <row r="4635">
      <c r="A4635" s="12" t="n"/>
      <c r="D4635">
        <f>IFERROR(VLOOKUP(C4635,Cadastro_Produtos!A:B,2,FALSE),"")</f>
        <v/>
      </c>
      <c r="F4635" s="12" t="n"/>
      <c r="G4635" s="13" t="n"/>
    </row>
    <row r="4636">
      <c r="A4636" s="12" t="n"/>
      <c r="D4636">
        <f>IFERROR(VLOOKUP(C4636,Cadastro_Produtos!A:B,2,FALSE),"")</f>
        <v/>
      </c>
      <c r="F4636" s="12" t="n"/>
      <c r="G4636" s="13" t="n"/>
    </row>
    <row r="4637">
      <c r="A4637" s="12" t="n"/>
      <c r="D4637">
        <f>IFERROR(VLOOKUP(C4637,Cadastro_Produtos!A:B,2,FALSE),"")</f>
        <v/>
      </c>
      <c r="F4637" s="12" t="n"/>
      <c r="G4637" s="13" t="n"/>
    </row>
    <row r="4638">
      <c r="A4638" s="12" t="n"/>
      <c r="D4638">
        <f>IFERROR(VLOOKUP(C4638,Cadastro_Produtos!A:B,2,FALSE),"")</f>
        <v/>
      </c>
      <c r="F4638" s="12" t="n"/>
      <c r="G4638" s="13" t="n"/>
    </row>
    <row r="4639">
      <c r="A4639" s="12" t="n"/>
      <c r="D4639">
        <f>IFERROR(VLOOKUP(C4639,Cadastro_Produtos!A:B,2,FALSE),"")</f>
        <v/>
      </c>
      <c r="F4639" s="12" t="n"/>
      <c r="G4639" s="13" t="n"/>
    </row>
    <row r="4640">
      <c r="A4640" s="12" t="n"/>
      <c r="D4640">
        <f>IFERROR(VLOOKUP(C4640,Cadastro_Produtos!A:B,2,FALSE),"")</f>
        <v/>
      </c>
      <c r="F4640" s="12" t="n"/>
      <c r="G4640" s="13" t="n"/>
    </row>
    <row r="4641">
      <c r="A4641" s="12" t="n"/>
      <c r="D4641">
        <f>IFERROR(VLOOKUP(C4641,Cadastro_Produtos!A:B,2,FALSE),"")</f>
        <v/>
      </c>
      <c r="F4641" s="12" t="n"/>
      <c r="G4641" s="13" t="n"/>
    </row>
    <row r="4642">
      <c r="A4642" s="12" t="n"/>
      <c r="D4642">
        <f>IFERROR(VLOOKUP(C4642,Cadastro_Produtos!A:B,2,FALSE),"")</f>
        <v/>
      </c>
      <c r="F4642" s="12" t="n"/>
      <c r="G4642" s="13" t="n"/>
    </row>
    <row r="4643">
      <c r="A4643" s="12" t="n"/>
      <c r="D4643">
        <f>IFERROR(VLOOKUP(C4643,Cadastro_Produtos!A:B,2,FALSE),"")</f>
        <v/>
      </c>
      <c r="F4643" s="12" t="n"/>
      <c r="G4643" s="13" t="n"/>
    </row>
    <row r="4644">
      <c r="A4644" s="12" t="n"/>
      <c r="D4644">
        <f>IFERROR(VLOOKUP(C4644,Cadastro_Produtos!A:B,2,FALSE),"")</f>
        <v/>
      </c>
      <c r="F4644" s="12" t="n"/>
      <c r="G4644" s="13" t="n"/>
    </row>
    <row r="4645">
      <c r="A4645" s="12" t="n"/>
      <c r="D4645">
        <f>IFERROR(VLOOKUP(C4645,Cadastro_Produtos!A:B,2,FALSE),"")</f>
        <v/>
      </c>
      <c r="F4645" s="12" t="n"/>
      <c r="G4645" s="13" t="n"/>
    </row>
    <row r="4646">
      <c r="A4646" s="12" t="n"/>
      <c r="D4646">
        <f>IFERROR(VLOOKUP(C4646,Cadastro_Produtos!A:B,2,FALSE),"")</f>
        <v/>
      </c>
      <c r="F4646" s="12" t="n"/>
      <c r="G4646" s="13" t="n"/>
    </row>
    <row r="4647">
      <c r="A4647" s="12" t="n"/>
      <c r="D4647">
        <f>IFERROR(VLOOKUP(C4647,Cadastro_Produtos!A:B,2,FALSE),"")</f>
        <v/>
      </c>
      <c r="F4647" s="12" t="n"/>
      <c r="G4647" s="13" t="n"/>
    </row>
    <row r="4648">
      <c r="A4648" s="12" t="n"/>
      <c r="D4648">
        <f>IFERROR(VLOOKUP(C4648,Cadastro_Produtos!A:B,2,FALSE),"")</f>
        <v/>
      </c>
      <c r="F4648" s="12" t="n"/>
      <c r="G4648" s="13" t="n"/>
    </row>
    <row r="4649">
      <c r="A4649" s="12" t="n"/>
      <c r="D4649">
        <f>IFERROR(VLOOKUP(C4649,Cadastro_Produtos!A:B,2,FALSE),"")</f>
        <v/>
      </c>
      <c r="F4649" s="12" t="n"/>
      <c r="G4649" s="13" t="n"/>
    </row>
    <row r="4650">
      <c r="A4650" s="12" t="n"/>
      <c r="D4650">
        <f>IFERROR(VLOOKUP(C4650,Cadastro_Produtos!A:B,2,FALSE),"")</f>
        <v/>
      </c>
      <c r="F4650" s="12" t="n"/>
      <c r="G4650" s="13" t="n"/>
    </row>
    <row r="4651">
      <c r="A4651" s="12" t="n"/>
      <c r="D4651">
        <f>IFERROR(VLOOKUP(C4651,Cadastro_Produtos!A:B,2,FALSE),"")</f>
        <v/>
      </c>
      <c r="F4651" s="12" t="n"/>
      <c r="G4651" s="13" t="n"/>
    </row>
    <row r="4652">
      <c r="A4652" s="12" t="n"/>
      <c r="D4652">
        <f>IFERROR(VLOOKUP(C4652,Cadastro_Produtos!A:B,2,FALSE),"")</f>
        <v/>
      </c>
      <c r="F4652" s="12" t="n"/>
      <c r="G4652" s="13" t="n"/>
    </row>
    <row r="4653">
      <c r="A4653" s="12" t="n"/>
      <c r="D4653">
        <f>IFERROR(VLOOKUP(C4653,Cadastro_Produtos!A:B,2,FALSE),"")</f>
        <v/>
      </c>
      <c r="F4653" s="12" t="n"/>
      <c r="G4653" s="13" t="n"/>
    </row>
    <row r="4654">
      <c r="A4654" s="12" t="n"/>
      <c r="D4654">
        <f>IFERROR(VLOOKUP(C4654,Cadastro_Produtos!A:B,2,FALSE),"")</f>
        <v/>
      </c>
      <c r="F4654" s="12" t="n"/>
      <c r="G4654" s="13" t="n"/>
    </row>
    <row r="4655">
      <c r="A4655" s="12" t="n"/>
      <c r="D4655">
        <f>IFERROR(VLOOKUP(C4655,Cadastro_Produtos!A:B,2,FALSE),"")</f>
        <v/>
      </c>
      <c r="F4655" s="12" t="n"/>
      <c r="G4655" s="13" t="n"/>
    </row>
    <row r="4656">
      <c r="A4656" s="12" t="n"/>
      <c r="D4656">
        <f>IFERROR(VLOOKUP(C4656,Cadastro_Produtos!A:B,2,FALSE),"")</f>
        <v/>
      </c>
      <c r="F4656" s="12" t="n"/>
      <c r="G4656" s="13" t="n"/>
    </row>
    <row r="4657">
      <c r="A4657" s="12" t="n"/>
      <c r="D4657">
        <f>IFERROR(VLOOKUP(C4657,Cadastro_Produtos!A:B,2,FALSE),"")</f>
        <v/>
      </c>
      <c r="F4657" s="12" t="n"/>
      <c r="G4657" s="13" t="n"/>
    </row>
    <row r="4658">
      <c r="A4658" s="12" t="n"/>
      <c r="D4658">
        <f>IFERROR(VLOOKUP(C4658,Cadastro_Produtos!A:B,2,FALSE),"")</f>
        <v/>
      </c>
      <c r="F4658" s="12" t="n"/>
      <c r="G4658" s="13" t="n"/>
    </row>
    <row r="4659">
      <c r="A4659" s="12" t="n"/>
      <c r="D4659">
        <f>IFERROR(VLOOKUP(C4659,Cadastro_Produtos!A:B,2,FALSE),"")</f>
        <v/>
      </c>
      <c r="F4659" s="12" t="n"/>
      <c r="G4659" s="13" t="n"/>
    </row>
    <row r="4660">
      <c r="A4660" s="12" t="n"/>
      <c r="D4660">
        <f>IFERROR(VLOOKUP(C4660,Cadastro_Produtos!A:B,2,FALSE),"")</f>
        <v/>
      </c>
      <c r="F4660" s="12" t="n"/>
      <c r="G4660" s="13" t="n"/>
    </row>
    <row r="4661">
      <c r="A4661" s="12" t="n"/>
      <c r="D4661">
        <f>IFERROR(VLOOKUP(C4661,Cadastro_Produtos!A:B,2,FALSE),"")</f>
        <v/>
      </c>
      <c r="F4661" s="12" t="n"/>
      <c r="G4661" s="13" t="n"/>
    </row>
    <row r="4662">
      <c r="A4662" s="12" t="n"/>
      <c r="D4662">
        <f>IFERROR(VLOOKUP(C4662,Cadastro_Produtos!A:B,2,FALSE),"")</f>
        <v/>
      </c>
      <c r="F4662" s="12" t="n"/>
      <c r="G4662" s="13" t="n"/>
    </row>
    <row r="4663">
      <c r="A4663" s="12" t="n"/>
      <c r="D4663">
        <f>IFERROR(VLOOKUP(C4663,Cadastro_Produtos!A:B,2,FALSE),"")</f>
        <v/>
      </c>
      <c r="F4663" s="12" t="n"/>
      <c r="G4663" s="13" t="n"/>
    </row>
    <row r="4664">
      <c r="A4664" s="12" t="n"/>
      <c r="D4664">
        <f>IFERROR(VLOOKUP(C4664,Cadastro_Produtos!A:B,2,FALSE),"")</f>
        <v/>
      </c>
      <c r="F4664" s="12" t="n"/>
      <c r="G4664" s="13" t="n"/>
    </row>
    <row r="4665">
      <c r="A4665" s="12" t="n"/>
      <c r="D4665">
        <f>IFERROR(VLOOKUP(C4665,Cadastro_Produtos!A:B,2,FALSE),"")</f>
        <v/>
      </c>
      <c r="F4665" s="12" t="n"/>
      <c r="G4665" s="13" t="n"/>
    </row>
    <row r="4666">
      <c r="A4666" s="12" t="n"/>
      <c r="D4666">
        <f>IFERROR(VLOOKUP(C4666,Cadastro_Produtos!A:B,2,FALSE),"")</f>
        <v/>
      </c>
      <c r="F4666" s="12" t="n"/>
      <c r="G4666" s="13" t="n"/>
    </row>
    <row r="4667">
      <c r="A4667" s="12" t="n"/>
      <c r="D4667">
        <f>IFERROR(VLOOKUP(C4667,Cadastro_Produtos!A:B,2,FALSE),"")</f>
        <v/>
      </c>
      <c r="F4667" s="12" t="n"/>
      <c r="G4667" s="13" t="n"/>
    </row>
    <row r="4668">
      <c r="A4668" s="12" t="n"/>
      <c r="D4668">
        <f>IFERROR(VLOOKUP(C4668,Cadastro_Produtos!A:B,2,FALSE),"")</f>
        <v/>
      </c>
      <c r="F4668" s="12" t="n"/>
      <c r="G4668" s="13" t="n"/>
    </row>
    <row r="4669">
      <c r="A4669" s="12" t="n"/>
      <c r="D4669">
        <f>IFERROR(VLOOKUP(C4669,Cadastro_Produtos!A:B,2,FALSE),"")</f>
        <v/>
      </c>
      <c r="F4669" s="12" t="n"/>
      <c r="G4669" s="13" t="n"/>
    </row>
    <row r="4670">
      <c r="A4670" s="12" t="n"/>
      <c r="D4670">
        <f>IFERROR(VLOOKUP(C4670,Cadastro_Produtos!A:B,2,FALSE),"")</f>
        <v/>
      </c>
      <c r="F4670" s="12" t="n"/>
      <c r="G4670" s="13" t="n"/>
    </row>
    <row r="4671">
      <c r="A4671" s="12" t="n"/>
      <c r="D4671">
        <f>IFERROR(VLOOKUP(C4671,Cadastro_Produtos!A:B,2,FALSE),"")</f>
        <v/>
      </c>
      <c r="F4671" s="12" t="n"/>
      <c r="G4671" s="13" t="n"/>
    </row>
    <row r="4672">
      <c r="A4672" s="12" t="n"/>
      <c r="D4672">
        <f>IFERROR(VLOOKUP(C4672,Cadastro_Produtos!A:B,2,FALSE),"")</f>
        <v/>
      </c>
      <c r="F4672" s="12" t="n"/>
      <c r="G4672" s="13" t="n"/>
    </row>
    <row r="4673">
      <c r="A4673" s="12" t="n"/>
      <c r="D4673">
        <f>IFERROR(VLOOKUP(C4673,Cadastro_Produtos!A:B,2,FALSE),"")</f>
        <v/>
      </c>
      <c r="F4673" s="12" t="n"/>
      <c r="G4673" s="13" t="n"/>
    </row>
    <row r="4674">
      <c r="A4674" s="12" t="n"/>
      <c r="D4674">
        <f>IFERROR(VLOOKUP(C4674,Cadastro_Produtos!A:B,2,FALSE),"")</f>
        <v/>
      </c>
      <c r="F4674" s="12" t="n"/>
      <c r="G4674" s="13" t="n"/>
    </row>
    <row r="4675">
      <c r="A4675" s="12" t="n"/>
      <c r="D4675">
        <f>IFERROR(VLOOKUP(C4675,Cadastro_Produtos!A:B,2,FALSE),"")</f>
        <v/>
      </c>
      <c r="F4675" s="12" t="n"/>
      <c r="G4675" s="13" t="n"/>
    </row>
    <row r="4676">
      <c r="A4676" s="12" t="n"/>
      <c r="D4676">
        <f>IFERROR(VLOOKUP(C4676,Cadastro_Produtos!A:B,2,FALSE),"")</f>
        <v/>
      </c>
      <c r="F4676" s="12" t="n"/>
      <c r="G4676" s="13" t="n"/>
    </row>
    <row r="4677">
      <c r="A4677" s="12" t="n"/>
      <c r="D4677">
        <f>IFERROR(VLOOKUP(C4677,Cadastro_Produtos!A:B,2,FALSE),"")</f>
        <v/>
      </c>
      <c r="F4677" s="12" t="n"/>
      <c r="G4677" s="13" t="n"/>
    </row>
    <row r="4678">
      <c r="A4678" s="12" t="n"/>
      <c r="D4678">
        <f>IFERROR(VLOOKUP(C4678,Cadastro_Produtos!A:B,2,FALSE),"")</f>
        <v/>
      </c>
      <c r="F4678" s="12" t="n"/>
      <c r="G4678" s="13" t="n"/>
    </row>
    <row r="4679">
      <c r="A4679" s="12" t="n"/>
      <c r="D4679">
        <f>IFERROR(VLOOKUP(C4679,Cadastro_Produtos!A:B,2,FALSE),"")</f>
        <v/>
      </c>
      <c r="F4679" s="12" t="n"/>
      <c r="G4679" s="13" t="n"/>
    </row>
    <row r="4680">
      <c r="A4680" s="12" t="n"/>
      <c r="D4680">
        <f>IFERROR(VLOOKUP(C4680,Cadastro_Produtos!A:B,2,FALSE),"")</f>
        <v/>
      </c>
      <c r="F4680" s="12" t="n"/>
      <c r="G4680" s="13" t="n"/>
    </row>
    <row r="4681">
      <c r="A4681" s="12" t="n"/>
      <c r="D4681">
        <f>IFERROR(VLOOKUP(C4681,Cadastro_Produtos!A:B,2,FALSE),"")</f>
        <v/>
      </c>
      <c r="F4681" s="12" t="n"/>
      <c r="G4681" s="13" t="n"/>
    </row>
    <row r="4682">
      <c r="A4682" s="12" t="n"/>
      <c r="D4682">
        <f>IFERROR(VLOOKUP(C4682,Cadastro_Produtos!A:B,2,FALSE),"")</f>
        <v/>
      </c>
      <c r="F4682" s="12" t="n"/>
      <c r="G4682" s="13" t="n"/>
    </row>
    <row r="4683">
      <c r="A4683" s="12" t="n"/>
      <c r="D4683">
        <f>IFERROR(VLOOKUP(C4683,Cadastro_Produtos!A:B,2,FALSE),"")</f>
        <v/>
      </c>
      <c r="F4683" s="12" t="n"/>
      <c r="G4683" s="13" t="n"/>
    </row>
    <row r="4684">
      <c r="A4684" s="12" t="n"/>
      <c r="D4684">
        <f>IFERROR(VLOOKUP(C4684,Cadastro_Produtos!A:B,2,FALSE),"")</f>
        <v/>
      </c>
      <c r="F4684" s="12" t="n"/>
      <c r="G4684" s="13" t="n"/>
    </row>
    <row r="4685">
      <c r="A4685" s="12" t="n"/>
      <c r="D4685">
        <f>IFERROR(VLOOKUP(C4685,Cadastro_Produtos!A:B,2,FALSE),"")</f>
        <v/>
      </c>
      <c r="F4685" s="12" t="n"/>
      <c r="G4685" s="13" t="n"/>
    </row>
    <row r="4686">
      <c r="A4686" s="12" t="n"/>
      <c r="D4686">
        <f>IFERROR(VLOOKUP(C4686,Cadastro_Produtos!A:B,2,FALSE),"")</f>
        <v/>
      </c>
      <c r="F4686" s="12" t="n"/>
      <c r="G4686" s="13" t="n"/>
    </row>
    <row r="4687">
      <c r="A4687" s="12" t="n"/>
      <c r="D4687">
        <f>IFERROR(VLOOKUP(C4687,Cadastro_Produtos!A:B,2,FALSE),"")</f>
        <v/>
      </c>
      <c r="F4687" s="12" t="n"/>
      <c r="G4687" s="13" t="n"/>
    </row>
    <row r="4688">
      <c r="A4688" s="12" t="n"/>
      <c r="D4688">
        <f>IFERROR(VLOOKUP(C4688,Cadastro_Produtos!A:B,2,FALSE),"")</f>
        <v/>
      </c>
      <c r="F4688" s="12" t="n"/>
      <c r="G4688" s="13" t="n"/>
    </row>
    <row r="4689">
      <c r="A4689" s="12" t="n"/>
      <c r="D4689">
        <f>IFERROR(VLOOKUP(C4689,Cadastro_Produtos!A:B,2,FALSE),"")</f>
        <v/>
      </c>
      <c r="F4689" s="12" t="n"/>
      <c r="G4689" s="13" t="n"/>
    </row>
    <row r="4690">
      <c r="A4690" s="12" t="n"/>
      <c r="D4690">
        <f>IFERROR(VLOOKUP(C4690,Cadastro_Produtos!A:B,2,FALSE),"")</f>
        <v/>
      </c>
      <c r="F4690" s="12" t="n"/>
      <c r="G4690" s="13" t="n"/>
    </row>
    <row r="4691">
      <c r="A4691" s="12" t="n"/>
      <c r="D4691">
        <f>IFERROR(VLOOKUP(C4691,Cadastro_Produtos!A:B,2,FALSE),"")</f>
        <v/>
      </c>
      <c r="F4691" s="12" t="n"/>
      <c r="G4691" s="13" t="n"/>
    </row>
    <row r="4692">
      <c r="A4692" s="12" t="n"/>
      <c r="D4692">
        <f>IFERROR(VLOOKUP(C4692,Cadastro_Produtos!A:B,2,FALSE),"")</f>
        <v/>
      </c>
      <c r="F4692" s="12" t="n"/>
      <c r="G4692" s="13" t="n"/>
    </row>
    <row r="4693">
      <c r="A4693" s="12" t="n"/>
      <c r="D4693">
        <f>IFERROR(VLOOKUP(C4693,Cadastro_Produtos!A:B,2,FALSE),"")</f>
        <v/>
      </c>
      <c r="F4693" s="12" t="n"/>
      <c r="G4693" s="13" t="n"/>
    </row>
    <row r="4694">
      <c r="A4694" s="12" t="n"/>
      <c r="D4694">
        <f>IFERROR(VLOOKUP(C4694,Cadastro_Produtos!A:B,2,FALSE),"")</f>
        <v/>
      </c>
      <c r="F4694" s="12" t="n"/>
      <c r="G4694" s="13" t="n"/>
    </row>
    <row r="4695">
      <c r="A4695" s="12" t="n"/>
      <c r="D4695">
        <f>IFERROR(VLOOKUP(C4695,Cadastro_Produtos!A:B,2,FALSE),"")</f>
        <v/>
      </c>
      <c r="F4695" s="12" t="n"/>
      <c r="G4695" s="13" t="n"/>
    </row>
    <row r="4696">
      <c r="A4696" s="12" t="n"/>
      <c r="D4696">
        <f>IFERROR(VLOOKUP(C4696,Cadastro_Produtos!A:B,2,FALSE),"")</f>
        <v/>
      </c>
      <c r="F4696" s="12" t="n"/>
      <c r="G4696" s="13" t="n"/>
    </row>
    <row r="4697">
      <c r="A4697" s="12" t="n"/>
      <c r="D4697">
        <f>IFERROR(VLOOKUP(C4697,Cadastro_Produtos!A:B,2,FALSE),"")</f>
        <v/>
      </c>
      <c r="F4697" s="12" t="n"/>
      <c r="G4697" s="13" t="n"/>
    </row>
    <row r="4698">
      <c r="A4698" s="12" t="n"/>
      <c r="D4698">
        <f>IFERROR(VLOOKUP(C4698,Cadastro_Produtos!A:B,2,FALSE),"")</f>
        <v/>
      </c>
      <c r="F4698" s="12" t="n"/>
      <c r="G4698" s="13" t="n"/>
    </row>
    <row r="4699">
      <c r="A4699" s="12" t="n"/>
      <c r="D4699">
        <f>IFERROR(VLOOKUP(C4699,Cadastro_Produtos!A:B,2,FALSE),"")</f>
        <v/>
      </c>
      <c r="F4699" s="12" t="n"/>
      <c r="G4699" s="13" t="n"/>
    </row>
    <row r="4700">
      <c r="A4700" s="12" t="n"/>
      <c r="D4700">
        <f>IFERROR(VLOOKUP(C4700,Cadastro_Produtos!A:B,2,FALSE),"")</f>
        <v/>
      </c>
      <c r="F4700" s="12" t="n"/>
      <c r="G4700" s="13" t="n"/>
    </row>
    <row r="4701">
      <c r="A4701" s="12" t="n"/>
      <c r="D4701">
        <f>IFERROR(VLOOKUP(C4701,Cadastro_Produtos!A:B,2,FALSE),"")</f>
        <v/>
      </c>
      <c r="F4701" s="12" t="n"/>
      <c r="G4701" s="13" t="n"/>
    </row>
    <row r="4702">
      <c r="A4702" s="12" t="n"/>
      <c r="D4702">
        <f>IFERROR(VLOOKUP(C4702,Cadastro_Produtos!A:B,2,FALSE),"")</f>
        <v/>
      </c>
      <c r="F4702" s="12" t="n"/>
      <c r="G4702" s="13" t="n"/>
    </row>
    <row r="4703">
      <c r="A4703" s="12" t="n"/>
      <c r="D4703">
        <f>IFERROR(VLOOKUP(C4703,Cadastro_Produtos!A:B,2,FALSE),"")</f>
        <v/>
      </c>
      <c r="F4703" s="12" t="n"/>
      <c r="G4703" s="13" t="n"/>
    </row>
    <row r="4704">
      <c r="A4704" s="12" t="n"/>
      <c r="D4704">
        <f>IFERROR(VLOOKUP(C4704,Cadastro_Produtos!A:B,2,FALSE),"")</f>
        <v/>
      </c>
      <c r="F4704" s="12" t="n"/>
      <c r="G4704" s="13" t="n"/>
    </row>
    <row r="4705">
      <c r="A4705" s="12" t="n"/>
      <c r="D4705">
        <f>IFERROR(VLOOKUP(C4705,Cadastro_Produtos!A:B,2,FALSE),"")</f>
        <v/>
      </c>
      <c r="F4705" s="12" t="n"/>
      <c r="G4705" s="13" t="n"/>
    </row>
    <row r="4706">
      <c r="A4706" s="12" t="n"/>
      <c r="D4706">
        <f>IFERROR(VLOOKUP(C4706,Cadastro_Produtos!A:B,2,FALSE),"")</f>
        <v/>
      </c>
      <c r="F4706" s="12" t="n"/>
      <c r="G4706" s="13" t="n"/>
    </row>
    <row r="4707">
      <c r="A4707" s="12" t="n"/>
      <c r="D4707">
        <f>IFERROR(VLOOKUP(C4707,Cadastro_Produtos!A:B,2,FALSE),"")</f>
        <v/>
      </c>
      <c r="F4707" s="12" t="n"/>
      <c r="G4707" s="13" t="n"/>
    </row>
    <row r="4708">
      <c r="A4708" s="12" t="n"/>
      <c r="D4708">
        <f>IFERROR(VLOOKUP(C4708,Cadastro_Produtos!A:B,2,FALSE),"")</f>
        <v/>
      </c>
      <c r="F4708" s="12" t="n"/>
      <c r="G4708" s="13" t="n"/>
    </row>
    <row r="4709">
      <c r="A4709" s="12" t="n"/>
      <c r="D4709">
        <f>IFERROR(VLOOKUP(C4709,Cadastro_Produtos!A:B,2,FALSE),"")</f>
        <v/>
      </c>
      <c r="F4709" s="12" t="n"/>
      <c r="G4709" s="13" t="n"/>
    </row>
    <row r="4710">
      <c r="A4710" s="12" t="n"/>
      <c r="D4710">
        <f>IFERROR(VLOOKUP(C4710,Cadastro_Produtos!A:B,2,FALSE),"")</f>
        <v/>
      </c>
      <c r="F4710" s="12" t="n"/>
      <c r="G4710" s="13" t="n"/>
    </row>
    <row r="4711">
      <c r="A4711" s="12" t="n"/>
      <c r="D4711">
        <f>IFERROR(VLOOKUP(C4711,Cadastro_Produtos!A:B,2,FALSE),"")</f>
        <v/>
      </c>
      <c r="F4711" s="12" t="n"/>
      <c r="G4711" s="13" t="n"/>
    </row>
    <row r="4712">
      <c r="A4712" s="12" t="n"/>
      <c r="D4712">
        <f>IFERROR(VLOOKUP(C4712,Cadastro_Produtos!A:B,2,FALSE),"")</f>
        <v/>
      </c>
      <c r="F4712" s="12" t="n"/>
      <c r="G4712" s="13" t="n"/>
    </row>
    <row r="4713">
      <c r="A4713" s="12" t="n"/>
      <c r="D4713">
        <f>IFERROR(VLOOKUP(C4713,Cadastro_Produtos!A:B,2,FALSE),"")</f>
        <v/>
      </c>
      <c r="F4713" s="12" t="n"/>
      <c r="G4713" s="13" t="n"/>
    </row>
    <row r="4714">
      <c r="A4714" s="12" t="n"/>
      <c r="D4714">
        <f>IFERROR(VLOOKUP(C4714,Cadastro_Produtos!A:B,2,FALSE),"")</f>
        <v/>
      </c>
      <c r="F4714" s="12" t="n"/>
      <c r="G4714" s="13" t="n"/>
    </row>
    <row r="4715">
      <c r="A4715" s="12" t="n"/>
      <c r="D4715">
        <f>IFERROR(VLOOKUP(C4715,Cadastro_Produtos!A:B,2,FALSE),"")</f>
        <v/>
      </c>
      <c r="F4715" s="12" t="n"/>
      <c r="G4715" s="13" t="n"/>
    </row>
    <row r="4716">
      <c r="A4716" s="12" t="n"/>
      <c r="D4716">
        <f>IFERROR(VLOOKUP(C4716,Cadastro_Produtos!A:B,2,FALSE),"")</f>
        <v/>
      </c>
      <c r="F4716" s="12" t="n"/>
      <c r="G4716" s="13" t="n"/>
    </row>
    <row r="4717">
      <c r="A4717" s="12" t="n"/>
      <c r="D4717">
        <f>IFERROR(VLOOKUP(C4717,Cadastro_Produtos!A:B,2,FALSE),"")</f>
        <v/>
      </c>
      <c r="F4717" s="12" t="n"/>
      <c r="G4717" s="13" t="n"/>
    </row>
    <row r="4718">
      <c r="A4718" s="12" t="n"/>
      <c r="D4718">
        <f>IFERROR(VLOOKUP(C4718,Cadastro_Produtos!A:B,2,FALSE),"")</f>
        <v/>
      </c>
      <c r="F4718" s="12" t="n"/>
      <c r="G4718" s="13" t="n"/>
    </row>
    <row r="4719">
      <c r="A4719" s="12" t="n"/>
      <c r="D4719">
        <f>IFERROR(VLOOKUP(C4719,Cadastro_Produtos!A:B,2,FALSE),"")</f>
        <v/>
      </c>
      <c r="F4719" s="12" t="n"/>
      <c r="G4719" s="13" t="n"/>
    </row>
    <row r="4720">
      <c r="A4720" s="12" t="n"/>
      <c r="D4720">
        <f>IFERROR(VLOOKUP(C4720,Cadastro_Produtos!A:B,2,FALSE),"")</f>
        <v/>
      </c>
      <c r="F4720" s="12" t="n"/>
      <c r="G4720" s="13" t="n"/>
    </row>
    <row r="4721">
      <c r="A4721" s="12" t="n"/>
      <c r="D4721">
        <f>IFERROR(VLOOKUP(C4721,Cadastro_Produtos!A:B,2,FALSE),"")</f>
        <v/>
      </c>
      <c r="F4721" s="12" t="n"/>
      <c r="G4721" s="13" t="n"/>
    </row>
    <row r="4722">
      <c r="A4722" s="12" t="n"/>
      <c r="D4722">
        <f>IFERROR(VLOOKUP(C4722,Cadastro_Produtos!A:B,2,FALSE),"")</f>
        <v/>
      </c>
      <c r="F4722" s="12" t="n"/>
      <c r="G4722" s="13" t="n"/>
    </row>
    <row r="4723">
      <c r="A4723" s="12" t="n"/>
      <c r="D4723">
        <f>IFERROR(VLOOKUP(C4723,Cadastro_Produtos!A:B,2,FALSE),"")</f>
        <v/>
      </c>
      <c r="F4723" s="12" t="n"/>
      <c r="G4723" s="13" t="n"/>
    </row>
    <row r="4724">
      <c r="A4724" s="12" t="n"/>
      <c r="D4724">
        <f>IFERROR(VLOOKUP(C4724,Cadastro_Produtos!A:B,2,FALSE),"")</f>
        <v/>
      </c>
      <c r="F4724" s="12" t="n"/>
      <c r="G4724" s="13" t="n"/>
    </row>
    <row r="4725">
      <c r="A4725" s="12" t="n"/>
      <c r="D4725">
        <f>IFERROR(VLOOKUP(C4725,Cadastro_Produtos!A:B,2,FALSE),"")</f>
        <v/>
      </c>
      <c r="F4725" s="12" t="n"/>
      <c r="G4725" s="13" t="n"/>
    </row>
    <row r="4726">
      <c r="A4726" s="12" t="n"/>
      <c r="D4726">
        <f>IFERROR(VLOOKUP(C4726,Cadastro_Produtos!A:B,2,FALSE),"")</f>
        <v/>
      </c>
      <c r="F4726" s="12" t="n"/>
      <c r="G4726" s="13" t="n"/>
    </row>
    <row r="4727">
      <c r="A4727" s="12" t="n"/>
      <c r="D4727">
        <f>IFERROR(VLOOKUP(C4727,Cadastro_Produtos!A:B,2,FALSE),"")</f>
        <v/>
      </c>
      <c r="F4727" s="12" t="n"/>
      <c r="G4727" s="13" t="n"/>
    </row>
    <row r="4728">
      <c r="A4728" s="12" t="n"/>
      <c r="D4728">
        <f>IFERROR(VLOOKUP(C4728,Cadastro_Produtos!A:B,2,FALSE),"")</f>
        <v/>
      </c>
      <c r="F4728" s="12" t="n"/>
      <c r="G4728" s="13" t="n"/>
    </row>
    <row r="4729">
      <c r="A4729" s="12" t="n"/>
      <c r="D4729">
        <f>IFERROR(VLOOKUP(C4729,Cadastro_Produtos!A:B,2,FALSE),"")</f>
        <v/>
      </c>
      <c r="F4729" s="12" t="n"/>
      <c r="G4729" s="13" t="n"/>
    </row>
    <row r="4730">
      <c r="A4730" s="12" t="n"/>
      <c r="D4730">
        <f>IFERROR(VLOOKUP(C4730,Cadastro_Produtos!A:B,2,FALSE),"")</f>
        <v/>
      </c>
      <c r="F4730" s="12" t="n"/>
      <c r="G4730" s="13" t="n"/>
    </row>
    <row r="4731">
      <c r="A4731" s="12" t="n"/>
      <c r="D4731">
        <f>IFERROR(VLOOKUP(C4731,Cadastro_Produtos!A:B,2,FALSE),"")</f>
        <v/>
      </c>
      <c r="F4731" s="12" t="n"/>
      <c r="G4731" s="13" t="n"/>
    </row>
    <row r="4732">
      <c r="A4732" s="12" t="n"/>
      <c r="D4732">
        <f>IFERROR(VLOOKUP(C4732,Cadastro_Produtos!A:B,2,FALSE),"")</f>
        <v/>
      </c>
      <c r="F4732" s="12" t="n"/>
      <c r="G4732" s="13" t="n"/>
    </row>
    <row r="4733">
      <c r="A4733" s="12" t="n"/>
      <c r="D4733">
        <f>IFERROR(VLOOKUP(C4733,Cadastro_Produtos!A:B,2,FALSE),"")</f>
        <v/>
      </c>
      <c r="F4733" s="12" t="n"/>
      <c r="G4733" s="13" t="n"/>
    </row>
    <row r="4734">
      <c r="A4734" s="12" t="n"/>
      <c r="D4734">
        <f>IFERROR(VLOOKUP(C4734,Cadastro_Produtos!A:B,2,FALSE),"")</f>
        <v/>
      </c>
      <c r="F4734" s="12" t="n"/>
      <c r="G4734" s="13" t="n"/>
    </row>
    <row r="4735">
      <c r="A4735" s="12" t="n"/>
      <c r="D4735">
        <f>IFERROR(VLOOKUP(C4735,Cadastro_Produtos!A:B,2,FALSE),"")</f>
        <v/>
      </c>
      <c r="F4735" s="12" t="n"/>
      <c r="G4735" s="13" t="n"/>
    </row>
    <row r="4736">
      <c r="A4736" s="12" t="n"/>
      <c r="D4736">
        <f>IFERROR(VLOOKUP(C4736,Cadastro_Produtos!A:B,2,FALSE),"")</f>
        <v/>
      </c>
      <c r="F4736" s="12" t="n"/>
      <c r="G4736" s="13" t="n"/>
    </row>
    <row r="4737">
      <c r="A4737" s="12" t="n"/>
      <c r="D4737">
        <f>IFERROR(VLOOKUP(C4737,Cadastro_Produtos!A:B,2,FALSE),"")</f>
        <v/>
      </c>
      <c r="F4737" s="12" t="n"/>
      <c r="G4737" s="13" t="n"/>
    </row>
    <row r="4738">
      <c r="A4738" s="12" t="n"/>
      <c r="D4738">
        <f>IFERROR(VLOOKUP(C4738,Cadastro_Produtos!A:B,2,FALSE),"")</f>
        <v/>
      </c>
      <c r="F4738" s="12" t="n"/>
      <c r="G4738" s="13" t="n"/>
    </row>
    <row r="4739">
      <c r="A4739" s="12" t="n"/>
      <c r="D4739">
        <f>IFERROR(VLOOKUP(C4739,Cadastro_Produtos!A:B,2,FALSE),"")</f>
        <v/>
      </c>
      <c r="F4739" s="12" t="n"/>
      <c r="G4739" s="13" t="n"/>
    </row>
    <row r="4740">
      <c r="A4740" s="12" t="n"/>
      <c r="D4740">
        <f>IFERROR(VLOOKUP(C4740,Cadastro_Produtos!A:B,2,FALSE),"")</f>
        <v/>
      </c>
      <c r="F4740" s="12" t="n"/>
      <c r="G4740" s="13" t="n"/>
    </row>
    <row r="4741">
      <c r="A4741" s="12" t="n"/>
      <c r="D4741">
        <f>IFERROR(VLOOKUP(C4741,Cadastro_Produtos!A:B,2,FALSE),"")</f>
        <v/>
      </c>
      <c r="F4741" s="12" t="n"/>
      <c r="G4741" s="13" t="n"/>
    </row>
    <row r="4742">
      <c r="A4742" s="12" t="n"/>
      <c r="D4742">
        <f>IFERROR(VLOOKUP(C4742,Cadastro_Produtos!A:B,2,FALSE),"")</f>
        <v/>
      </c>
      <c r="F4742" s="12" t="n"/>
      <c r="G4742" s="13" t="n"/>
    </row>
    <row r="4743">
      <c r="A4743" s="12" t="n"/>
      <c r="D4743">
        <f>IFERROR(VLOOKUP(C4743,Cadastro_Produtos!A:B,2,FALSE),"")</f>
        <v/>
      </c>
      <c r="F4743" s="12" t="n"/>
      <c r="G4743" s="13" t="n"/>
    </row>
    <row r="4744">
      <c r="A4744" s="12" t="n"/>
      <c r="D4744">
        <f>IFERROR(VLOOKUP(C4744,Cadastro_Produtos!A:B,2,FALSE),"")</f>
        <v/>
      </c>
      <c r="F4744" s="12" t="n"/>
      <c r="G4744" s="13" t="n"/>
    </row>
    <row r="4745">
      <c r="A4745" s="12" t="n"/>
      <c r="D4745">
        <f>IFERROR(VLOOKUP(C4745,Cadastro_Produtos!A:B,2,FALSE),"")</f>
        <v/>
      </c>
      <c r="F4745" s="12" t="n"/>
      <c r="G4745" s="13" t="n"/>
    </row>
    <row r="4746">
      <c r="A4746" s="12" t="n"/>
      <c r="D4746">
        <f>IFERROR(VLOOKUP(C4746,Cadastro_Produtos!A:B,2,FALSE),"")</f>
        <v/>
      </c>
      <c r="F4746" s="12" t="n"/>
      <c r="G4746" s="13" t="n"/>
    </row>
    <row r="4747">
      <c r="A4747" s="12" t="n"/>
      <c r="D4747">
        <f>IFERROR(VLOOKUP(C4747,Cadastro_Produtos!A:B,2,FALSE),"")</f>
        <v/>
      </c>
      <c r="F4747" s="12" t="n"/>
      <c r="G4747" s="13" t="n"/>
    </row>
    <row r="4748">
      <c r="A4748" s="12" t="n"/>
      <c r="D4748">
        <f>IFERROR(VLOOKUP(C4748,Cadastro_Produtos!A:B,2,FALSE),"")</f>
        <v/>
      </c>
      <c r="F4748" s="12" t="n"/>
      <c r="G4748" s="13" t="n"/>
    </row>
    <row r="4749">
      <c r="A4749" s="12" t="n"/>
      <c r="D4749">
        <f>IFERROR(VLOOKUP(C4749,Cadastro_Produtos!A:B,2,FALSE),"")</f>
        <v/>
      </c>
      <c r="F4749" s="12" t="n"/>
      <c r="G4749" s="13" t="n"/>
    </row>
    <row r="4750">
      <c r="A4750" s="12" t="n"/>
      <c r="D4750">
        <f>IFERROR(VLOOKUP(C4750,Cadastro_Produtos!A:B,2,FALSE),"")</f>
        <v/>
      </c>
      <c r="F4750" s="12" t="n"/>
      <c r="G4750" s="13" t="n"/>
    </row>
    <row r="4751">
      <c r="A4751" s="12" t="n"/>
      <c r="D4751">
        <f>IFERROR(VLOOKUP(C4751,Cadastro_Produtos!A:B,2,FALSE),"")</f>
        <v/>
      </c>
      <c r="F4751" s="12" t="n"/>
      <c r="G4751" s="13" t="n"/>
    </row>
    <row r="4752">
      <c r="A4752" s="12" t="n"/>
      <c r="D4752">
        <f>IFERROR(VLOOKUP(C4752,Cadastro_Produtos!A:B,2,FALSE),"")</f>
        <v/>
      </c>
      <c r="F4752" s="12" t="n"/>
      <c r="G4752" s="13" t="n"/>
    </row>
    <row r="4753">
      <c r="A4753" s="12" t="n"/>
      <c r="D4753">
        <f>IFERROR(VLOOKUP(C4753,Cadastro_Produtos!A:B,2,FALSE),"")</f>
        <v/>
      </c>
      <c r="F4753" s="12" t="n"/>
      <c r="G4753" s="13" t="n"/>
    </row>
    <row r="4754">
      <c r="A4754" s="12" t="n"/>
      <c r="D4754">
        <f>IFERROR(VLOOKUP(C4754,Cadastro_Produtos!A:B,2,FALSE),"")</f>
        <v/>
      </c>
      <c r="F4754" s="12" t="n"/>
      <c r="G4754" s="13" t="n"/>
    </row>
    <row r="4755">
      <c r="A4755" s="12" t="n"/>
      <c r="D4755">
        <f>IFERROR(VLOOKUP(C4755,Cadastro_Produtos!A:B,2,FALSE),"")</f>
        <v/>
      </c>
      <c r="F4755" s="12" t="n"/>
      <c r="G4755" s="13" t="n"/>
    </row>
    <row r="4756">
      <c r="A4756" s="12" t="n"/>
      <c r="D4756">
        <f>IFERROR(VLOOKUP(C4756,Cadastro_Produtos!A:B,2,FALSE),"")</f>
        <v/>
      </c>
      <c r="F4756" s="12" t="n"/>
      <c r="G4756" s="13" t="n"/>
    </row>
    <row r="4757">
      <c r="A4757" s="12" t="n"/>
      <c r="D4757">
        <f>IFERROR(VLOOKUP(C4757,Cadastro_Produtos!A:B,2,FALSE),"")</f>
        <v/>
      </c>
      <c r="F4757" s="12" t="n"/>
      <c r="G4757" s="13" t="n"/>
    </row>
    <row r="4758">
      <c r="A4758" s="12" t="n"/>
      <c r="D4758">
        <f>IFERROR(VLOOKUP(C4758,Cadastro_Produtos!A:B,2,FALSE),"")</f>
        <v/>
      </c>
      <c r="F4758" s="12" t="n"/>
      <c r="G4758" s="13" t="n"/>
    </row>
    <row r="4759">
      <c r="A4759" s="12" t="n"/>
      <c r="D4759">
        <f>IFERROR(VLOOKUP(C4759,Cadastro_Produtos!A:B,2,FALSE),"")</f>
        <v/>
      </c>
      <c r="F4759" s="12" t="n"/>
      <c r="G4759" s="13" t="n"/>
    </row>
    <row r="4760">
      <c r="A4760" s="12" t="n"/>
      <c r="D4760">
        <f>IFERROR(VLOOKUP(C4760,Cadastro_Produtos!A:B,2,FALSE),"")</f>
        <v/>
      </c>
      <c r="F4760" s="12" t="n"/>
      <c r="G4760" s="13" t="n"/>
    </row>
    <row r="4761">
      <c r="A4761" s="12" t="n"/>
      <c r="D4761">
        <f>IFERROR(VLOOKUP(C4761,Cadastro_Produtos!A:B,2,FALSE),"")</f>
        <v/>
      </c>
      <c r="F4761" s="12" t="n"/>
      <c r="G4761" s="13" t="n"/>
    </row>
    <row r="4762">
      <c r="A4762" s="12" t="n"/>
      <c r="D4762">
        <f>IFERROR(VLOOKUP(C4762,Cadastro_Produtos!A:B,2,FALSE),"")</f>
        <v/>
      </c>
      <c r="F4762" s="12" t="n"/>
      <c r="G4762" s="13" t="n"/>
    </row>
    <row r="4763">
      <c r="A4763" s="12" t="n"/>
      <c r="D4763">
        <f>IFERROR(VLOOKUP(C4763,Cadastro_Produtos!A:B,2,FALSE),"")</f>
        <v/>
      </c>
      <c r="F4763" s="12" t="n"/>
      <c r="G4763" s="13" t="n"/>
    </row>
    <row r="4764">
      <c r="A4764" s="12" t="n"/>
      <c r="D4764">
        <f>IFERROR(VLOOKUP(C4764,Cadastro_Produtos!A:B,2,FALSE),"")</f>
        <v/>
      </c>
      <c r="F4764" s="12" t="n"/>
      <c r="G4764" s="13" t="n"/>
    </row>
    <row r="4765">
      <c r="A4765" s="12" t="n"/>
      <c r="D4765">
        <f>IFERROR(VLOOKUP(C4765,Cadastro_Produtos!A:B,2,FALSE),"")</f>
        <v/>
      </c>
      <c r="F4765" s="12" t="n"/>
      <c r="G4765" s="13" t="n"/>
    </row>
    <row r="4766">
      <c r="A4766" s="12" t="n"/>
      <c r="D4766">
        <f>IFERROR(VLOOKUP(C4766,Cadastro_Produtos!A:B,2,FALSE),"")</f>
        <v/>
      </c>
      <c r="F4766" s="12" t="n"/>
      <c r="G4766" s="13" t="n"/>
    </row>
    <row r="4767">
      <c r="A4767" s="12" t="n"/>
      <c r="D4767">
        <f>IFERROR(VLOOKUP(C4767,Cadastro_Produtos!A:B,2,FALSE),"")</f>
        <v/>
      </c>
      <c r="F4767" s="12" t="n"/>
      <c r="G4767" s="13" t="n"/>
    </row>
    <row r="4768">
      <c r="A4768" s="12" t="n"/>
      <c r="D4768">
        <f>IFERROR(VLOOKUP(C4768,Cadastro_Produtos!A:B,2,FALSE),"")</f>
        <v/>
      </c>
      <c r="F4768" s="12" t="n"/>
      <c r="G4768" s="13" t="n"/>
    </row>
    <row r="4769">
      <c r="A4769" s="12" t="n"/>
      <c r="D4769">
        <f>IFERROR(VLOOKUP(C4769,Cadastro_Produtos!A:B,2,FALSE),"")</f>
        <v/>
      </c>
      <c r="F4769" s="12" t="n"/>
      <c r="G4769" s="13" t="n"/>
    </row>
    <row r="4770">
      <c r="A4770" s="12" t="n"/>
      <c r="D4770">
        <f>IFERROR(VLOOKUP(C4770,Cadastro_Produtos!A:B,2,FALSE),"")</f>
        <v/>
      </c>
      <c r="F4770" s="12" t="n"/>
      <c r="G4770" s="13" t="n"/>
    </row>
    <row r="4771">
      <c r="A4771" s="12" t="n"/>
      <c r="D4771">
        <f>IFERROR(VLOOKUP(C4771,Cadastro_Produtos!A:B,2,FALSE),"")</f>
        <v/>
      </c>
      <c r="F4771" s="12" t="n"/>
      <c r="G4771" s="13" t="n"/>
    </row>
    <row r="4772">
      <c r="A4772" s="12" t="n"/>
      <c r="D4772">
        <f>IFERROR(VLOOKUP(C4772,Cadastro_Produtos!A:B,2,FALSE),"")</f>
        <v/>
      </c>
      <c r="F4772" s="12" t="n"/>
      <c r="G4772" s="13" t="n"/>
    </row>
    <row r="4773">
      <c r="A4773" s="12" t="n"/>
      <c r="D4773">
        <f>IFERROR(VLOOKUP(C4773,Cadastro_Produtos!A:B,2,FALSE),"")</f>
        <v/>
      </c>
      <c r="F4773" s="12" t="n"/>
      <c r="G4773" s="13" t="n"/>
    </row>
    <row r="4774">
      <c r="A4774" s="12" t="n"/>
      <c r="D4774">
        <f>IFERROR(VLOOKUP(C4774,Cadastro_Produtos!A:B,2,FALSE),"")</f>
        <v/>
      </c>
      <c r="F4774" s="12" t="n"/>
      <c r="G4774" s="13" t="n"/>
    </row>
    <row r="4775">
      <c r="A4775" s="12" t="n"/>
      <c r="D4775">
        <f>IFERROR(VLOOKUP(C4775,Cadastro_Produtos!A:B,2,FALSE),"")</f>
        <v/>
      </c>
      <c r="F4775" s="12" t="n"/>
      <c r="G4775" s="13" t="n"/>
    </row>
    <row r="4776">
      <c r="A4776" s="12" t="n"/>
      <c r="D4776">
        <f>IFERROR(VLOOKUP(C4776,Cadastro_Produtos!A:B,2,FALSE),"")</f>
        <v/>
      </c>
      <c r="F4776" s="12" t="n"/>
      <c r="G4776" s="13" t="n"/>
    </row>
    <row r="4777">
      <c r="A4777" s="12" t="n"/>
      <c r="D4777">
        <f>IFERROR(VLOOKUP(C4777,Cadastro_Produtos!A:B,2,FALSE),"")</f>
        <v/>
      </c>
      <c r="F4777" s="12" t="n"/>
      <c r="G4777" s="13" t="n"/>
    </row>
    <row r="4778">
      <c r="A4778" s="12" t="n"/>
      <c r="D4778">
        <f>IFERROR(VLOOKUP(C4778,Cadastro_Produtos!A:B,2,FALSE),"")</f>
        <v/>
      </c>
      <c r="F4778" s="12" t="n"/>
      <c r="G4778" s="13" t="n"/>
    </row>
    <row r="4779">
      <c r="A4779" s="12" t="n"/>
      <c r="D4779">
        <f>IFERROR(VLOOKUP(C4779,Cadastro_Produtos!A:B,2,FALSE),"")</f>
        <v/>
      </c>
      <c r="F4779" s="12" t="n"/>
      <c r="G4779" s="13" t="n"/>
    </row>
    <row r="4780">
      <c r="A4780" s="12" t="n"/>
      <c r="D4780">
        <f>IFERROR(VLOOKUP(C4780,Cadastro_Produtos!A:B,2,FALSE),"")</f>
        <v/>
      </c>
      <c r="F4780" s="12" t="n"/>
      <c r="G4780" s="13" t="n"/>
    </row>
    <row r="4781">
      <c r="A4781" s="12" t="n"/>
      <c r="D4781">
        <f>IFERROR(VLOOKUP(C4781,Cadastro_Produtos!A:B,2,FALSE),"")</f>
        <v/>
      </c>
      <c r="F4781" s="12" t="n"/>
      <c r="G4781" s="13" t="n"/>
    </row>
    <row r="4782">
      <c r="A4782" s="12" t="n"/>
      <c r="D4782">
        <f>IFERROR(VLOOKUP(C4782,Cadastro_Produtos!A:B,2,FALSE),"")</f>
        <v/>
      </c>
      <c r="F4782" s="12" t="n"/>
      <c r="G4782" s="13" t="n"/>
    </row>
    <row r="4783">
      <c r="A4783" s="12" t="n"/>
      <c r="D4783">
        <f>IFERROR(VLOOKUP(C4783,Cadastro_Produtos!A:B,2,FALSE),"")</f>
        <v/>
      </c>
      <c r="F4783" s="12" t="n"/>
      <c r="G4783" s="13" t="n"/>
    </row>
    <row r="4784">
      <c r="A4784" s="12" t="n"/>
      <c r="D4784">
        <f>IFERROR(VLOOKUP(C4784,Cadastro_Produtos!A:B,2,FALSE),"")</f>
        <v/>
      </c>
      <c r="F4784" s="12" t="n"/>
      <c r="G4784" s="13" t="n"/>
    </row>
    <row r="4785">
      <c r="A4785" s="12" t="n"/>
      <c r="D4785">
        <f>IFERROR(VLOOKUP(C4785,Cadastro_Produtos!A:B,2,FALSE),"")</f>
        <v/>
      </c>
      <c r="F4785" s="12" t="n"/>
      <c r="G4785" s="13" t="n"/>
    </row>
    <row r="4786">
      <c r="A4786" s="12" t="n"/>
      <c r="D4786">
        <f>IFERROR(VLOOKUP(C4786,Cadastro_Produtos!A:B,2,FALSE),"")</f>
        <v/>
      </c>
      <c r="F4786" s="12" t="n"/>
      <c r="G4786" s="13" t="n"/>
    </row>
    <row r="4787">
      <c r="A4787" s="12" t="n"/>
      <c r="D4787">
        <f>IFERROR(VLOOKUP(C4787,Cadastro_Produtos!A:B,2,FALSE),"")</f>
        <v/>
      </c>
      <c r="F4787" s="12" t="n"/>
      <c r="G4787" s="13" t="n"/>
    </row>
    <row r="4788">
      <c r="A4788" s="12" t="n"/>
      <c r="D4788">
        <f>IFERROR(VLOOKUP(C4788,Cadastro_Produtos!A:B,2,FALSE),"")</f>
        <v/>
      </c>
      <c r="F4788" s="12" t="n"/>
      <c r="G4788" s="13" t="n"/>
    </row>
    <row r="4789">
      <c r="A4789" s="12" t="n"/>
      <c r="D4789">
        <f>IFERROR(VLOOKUP(C4789,Cadastro_Produtos!A:B,2,FALSE),"")</f>
        <v/>
      </c>
      <c r="F4789" s="12" t="n"/>
      <c r="G4789" s="13" t="n"/>
    </row>
    <row r="4790">
      <c r="A4790" s="12" t="n"/>
      <c r="D4790">
        <f>IFERROR(VLOOKUP(C4790,Cadastro_Produtos!A:B,2,FALSE),"")</f>
        <v/>
      </c>
      <c r="F4790" s="12" t="n"/>
      <c r="G4790" s="13" t="n"/>
    </row>
    <row r="4791">
      <c r="A4791" s="12" t="n"/>
      <c r="D4791">
        <f>IFERROR(VLOOKUP(C4791,Cadastro_Produtos!A:B,2,FALSE),"")</f>
        <v/>
      </c>
      <c r="F4791" s="12" t="n"/>
      <c r="G4791" s="13" t="n"/>
    </row>
    <row r="4792">
      <c r="A4792" s="12" t="n"/>
      <c r="D4792">
        <f>IFERROR(VLOOKUP(C4792,Cadastro_Produtos!A:B,2,FALSE),"")</f>
        <v/>
      </c>
      <c r="F4792" s="12" t="n"/>
      <c r="G4792" s="13" t="n"/>
    </row>
    <row r="4793">
      <c r="A4793" s="12" t="n"/>
      <c r="D4793">
        <f>IFERROR(VLOOKUP(C4793,Cadastro_Produtos!A:B,2,FALSE),"")</f>
        <v/>
      </c>
      <c r="F4793" s="12" t="n"/>
      <c r="G4793" s="13" t="n"/>
    </row>
    <row r="4794">
      <c r="A4794" s="12" t="n"/>
      <c r="D4794">
        <f>IFERROR(VLOOKUP(C4794,Cadastro_Produtos!A:B,2,FALSE),"")</f>
        <v/>
      </c>
      <c r="F4794" s="12" t="n"/>
      <c r="G4794" s="13" t="n"/>
    </row>
    <row r="4795">
      <c r="A4795" s="12" t="n"/>
      <c r="D4795">
        <f>IFERROR(VLOOKUP(C4795,Cadastro_Produtos!A:B,2,FALSE),"")</f>
        <v/>
      </c>
      <c r="F4795" s="12" t="n"/>
      <c r="G4795" s="13" t="n"/>
    </row>
    <row r="4796">
      <c r="A4796" s="12" t="n"/>
      <c r="D4796">
        <f>IFERROR(VLOOKUP(C4796,Cadastro_Produtos!A:B,2,FALSE),"")</f>
        <v/>
      </c>
      <c r="F4796" s="12" t="n"/>
      <c r="G4796" s="13" t="n"/>
    </row>
    <row r="4797">
      <c r="A4797" s="12" t="n"/>
      <c r="D4797">
        <f>IFERROR(VLOOKUP(C4797,Cadastro_Produtos!A:B,2,FALSE),"")</f>
        <v/>
      </c>
      <c r="F4797" s="12" t="n"/>
      <c r="G4797" s="13" t="n"/>
    </row>
    <row r="4798">
      <c r="A4798" s="12" t="n"/>
      <c r="D4798">
        <f>IFERROR(VLOOKUP(C4798,Cadastro_Produtos!A:B,2,FALSE),"")</f>
        <v/>
      </c>
      <c r="F4798" s="12" t="n"/>
      <c r="G4798" s="13" t="n"/>
    </row>
    <row r="4799">
      <c r="A4799" s="12" t="n"/>
      <c r="D4799">
        <f>IFERROR(VLOOKUP(C4799,Cadastro_Produtos!A:B,2,FALSE),"")</f>
        <v/>
      </c>
      <c r="F4799" s="12" t="n"/>
      <c r="G4799" s="13" t="n"/>
    </row>
    <row r="4800">
      <c r="A4800" s="12" t="n"/>
      <c r="D4800">
        <f>IFERROR(VLOOKUP(C4800,Cadastro_Produtos!A:B,2,FALSE),"")</f>
        <v/>
      </c>
      <c r="F4800" s="12" t="n"/>
      <c r="G4800" s="13" t="n"/>
    </row>
    <row r="4801">
      <c r="A4801" s="12" t="n"/>
      <c r="D4801">
        <f>IFERROR(VLOOKUP(C4801,Cadastro_Produtos!A:B,2,FALSE),"")</f>
        <v/>
      </c>
      <c r="F4801" s="12" t="n"/>
      <c r="G4801" s="13" t="n"/>
    </row>
    <row r="4802">
      <c r="A4802" s="12" t="n"/>
      <c r="D4802">
        <f>IFERROR(VLOOKUP(C4802,Cadastro_Produtos!A:B,2,FALSE),"")</f>
        <v/>
      </c>
      <c r="F4802" s="12" t="n"/>
      <c r="G4802" s="13" t="n"/>
    </row>
    <row r="4803">
      <c r="A4803" s="12" t="n"/>
      <c r="D4803">
        <f>IFERROR(VLOOKUP(C4803,Cadastro_Produtos!A:B,2,FALSE),"")</f>
        <v/>
      </c>
      <c r="F4803" s="12" t="n"/>
      <c r="G4803" s="13" t="n"/>
    </row>
    <row r="4804">
      <c r="A4804" s="12" t="n"/>
      <c r="D4804">
        <f>IFERROR(VLOOKUP(C4804,Cadastro_Produtos!A:B,2,FALSE),"")</f>
        <v/>
      </c>
      <c r="F4804" s="12" t="n"/>
      <c r="G4804" s="13" t="n"/>
    </row>
    <row r="4805">
      <c r="A4805" s="12" t="n"/>
      <c r="D4805">
        <f>IFERROR(VLOOKUP(C4805,Cadastro_Produtos!A:B,2,FALSE),"")</f>
        <v/>
      </c>
      <c r="F4805" s="12" t="n"/>
      <c r="G4805" s="13" t="n"/>
    </row>
    <row r="4806">
      <c r="A4806" s="12" t="n"/>
      <c r="D4806">
        <f>IFERROR(VLOOKUP(C4806,Cadastro_Produtos!A:B,2,FALSE),"")</f>
        <v/>
      </c>
      <c r="F4806" s="12" t="n"/>
      <c r="G4806" s="13" t="n"/>
    </row>
    <row r="4807">
      <c r="A4807" s="12" t="n"/>
      <c r="D4807">
        <f>IFERROR(VLOOKUP(C4807,Cadastro_Produtos!A:B,2,FALSE),"")</f>
        <v/>
      </c>
      <c r="F4807" s="12" t="n"/>
      <c r="G4807" s="13" t="n"/>
    </row>
    <row r="4808">
      <c r="A4808" s="12" t="n"/>
      <c r="D4808">
        <f>IFERROR(VLOOKUP(C4808,Cadastro_Produtos!A:B,2,FALSE),"")</f>
        <v/>
      </c>
      <c r="F4808" s="12" t="n"/>
      <c r="G4808" s="13" t="n"/>
    </row>
    <row r="4809">
      <c r="A4809" s="12" t="n"/>
      <c r="D4809">
        <f>IFERROR(VLOOKUP(C4809,Cadastro_Produtos!A:B,2,FALSE),"")</f>
        <v/>
      </c>
      <c r="F4809" s="12" t="n"/>
      <c r="G4809" s="13" t="n"/>
    </row>
    <row r="4810">
      <c r="A4810" s="12" t="n"/>
      <c r="D4810">
        <f>IFERROR(VLOOKUP(C4810,Cadastro_Produtos!A:B,2,FALSE),"")</f>
        <v/>
      </c>
      <c r="F4810" s="12" t="n"/>
      <c r="G4810" s="13" t="n"/>
    </row>
    <row r="4811">
      <c r="A4811" s="12" t="n"/>
      <c r="D4811">
        <f>IFERROR(VLOOKUP(C4811,Cadastro_Produtos!A:B,2,FALSE),"")</f>
        <v/>
      </c>
      <c r="F4811" s="12" t="n"/>
      <c r="G4811" s="13" t="n"/>
    </row>
    <row r="4812">
      <c r="A4812" s="12" t="n"/>
      <c r="D4812">
        <f>IFERROR(VLOOKUP(C4812,Cadastro_Produtos!A:B,2,FALSE),"")</f>
        <v/>
      </c>
      <c r="F4812" s="12" t="n"/>
      <c r="G4812" s="13" t="n"/>
    </row>
    <row r="4813">
      <c r="A4813" s="12" t="n"/>
      <c r="D4813">
        <f>IFERROR(VLOOKUP(C4813,Cadastro_Produtos!A:B,2,FALSE),"")</f>
        <v/>
      </c>
      <c r="F4813" s="12" t="n"/>
      <c r="G4813" s="13" t="n"/>
    </row>
    <row r="4814">
      <c r="A4814" s="12" t="n"/>
      <c r="D4814">
        <f>IFERROR(VLOOKUP(C4814,Cadastro_Produtos!A:B,2,FALSE),"")</f>
        <v/>
      </c>
      <c r="F4814" s="12" t="n"/>
      <c r="G4814" s="13" t="n"/>
    </row>
    <row r="4815">
      <c r="A4815" s="12" t="n"/>
      <c r="D4815">
        <f>IFERROR(VLOOKUP(C4815,Cadastro_Produtos!A:B,2,FALSE),"")</f>
        <v/>
      </c>
      <c r="F4815" s="12" t="n"/>
      <c r="G4815" s="13" t="n"/>
    </row>
    <row r="4816">
      <c r="A4816" s="12" t="n"/>
      <c r="D4816">
        <f>IFERROR(VLOOKUP(C4816,Cadastro_Produtos!A:B,2,FALSE),"")</f>
        <v/>
      </c>
      <c r="F4816" s="12" t="n"/>
      <c r="G4816" s="13" t="n"/>
    </row>
    <row r="4817">
      <c r="A4817" s="12" t="n"/>
      <c r="D4817">
        <f>IFERROR(VLOOKUP(C4817,Cadastro_Produtos!A:B,2,FALSE),"")</f>
        <v/>
      </c>
      <c r="F4817" s="12" t="n"/>
      <c r="G4817" s="13" t="n"/>
    </row>
    <row r="4818">
      <c r="A4818" s="12" t="n"/>
      <c r="D4818">
        <f>IFERROR(VLOOKUP(C4818,Cadastro_Produtos!A:B,2,FALSE),"")</f>
        <v/>
      </c>
      <c r="F4818" s="12" t="n"/>
      <c r="G4818" s="13" t="n"/>
    </row>
    <row r="4819">
      <c r="A4819" s="12" t="n"/>
      <c r="D4819">
        <f>IFERROR(VLOOKUP(C4819,Cadastro_Produtos!A:B,2,FALSE),"")</f>
        <v/>
      </c>
      <c r="F4819" s="12" t="n"/>
      <c r="G4819" s="13" t="n"/>
    </row>
    <row r="4820">
      <c r="A4820" s="12" t="n"/>
      <c r="D4820">
        <f>IFERROR(VLOOKUP(C4820,Cadastro_Produtos!A:B,2,FALSE),"")</f>
        <v/>
      </c>
      <c r="F4820" s="12" t="n"/>
      <c r="G4820" s="13" t="n"/>
    </row>
    <row r="4821">
      <c r="A4821" s="12" t="n"/>
      <c r="D4821">
        <f>IFERROR(VLOOKUP(C4821,Cadastro_Produtos!A:B,2,FALSE),"")</f>
        <v/>
      </c>
      <c r="F4821" s="12" t="n"/>
      <c r="G4821" s="13" t="n"/>
    </row>
    <row r="4822">
      <c r="A4822" s="12" t="n"/>
      <c r="D4822">
        <f>IFERROR(VLOOKUP(C4822,Cadastro_Produtos!A:B,2,FALSE),"")</f>
        <v/>
      </c>
      <c r="F4822" s="12" t="n"/>
      <c r="G4822" s="13" t="n"/>
    </row>
    <row r="4823">
      <c r="A4823" s="12" t="n"/>
      <c r="D4823">
        <f>IFERROR(VLOOKUP(C4823,Cadastro_Produtos!A:B,2,FALSE),"")</f>
        <v/>
      </c>
      <c r="F4823" s="12" t="n"/>
      <c r="G4823" s="13" t="n"/>
    </row>
    <row r="4824">
      <c r="A4824" s="12" t="n"/>
      <c r="D4824">
        <f>IFERROR(VLOOKUP(C4824,Cadastro_Produtos!A:B,2,FALSE),"")</f>
        <v/>
      </c>
      <c r="F4824" s="12" t="n"/>
      <c r="G4824" s="13" t="n"/>
    </row>
    <row r="4825">
      <c r="A4825" s="12" t="n"/>
      <c r="D4825">
        <f>IFERROR(VLOOKUP(C4825,Cadastro_Produtos!A:B,2,FALSE),"")</f>
        <v/>
      </c>
      <c r="F4825" s="12" t="n"/>
      <c r="G4825" s="13" t="n"/>
    </row>
    <row r="4826">
      <c r="A4826" s="12" t="n"/>
      <c r="D4826">
        <f>IFERROR(VLOOKUP(C4826,Cadastro_Produtos!A:B,2,FALSE),"")</f>
        <v/>
      </c>
      <c r="F4826" s="12" t="n"/>
      <c r="G4826" s="13" t="n"/>
    </row>
    <row r="4827">
      <c r="A4827" s="12" t="n"/>
      <c r="D4827">
        <f>IFERROR(VLOOKUP(C4827,Cadastro_Produtos!A:B,2,FALSE),"")</f>
        <v/>
      </c>
      <c r="F4827" s="12" t="n"/>
      <c r="G4827" s="13" t="n"/>
    </row>
    <row r="4828">
      <c r="A4828" s="12" t="n"/>
      <c r="D4828">
        <f>IFERROR(VLOOKUP(C4828,Cadastro_Produtos!A:B,2,FALSE),"")</f>
        <v/>
      </c>
      <c r="F4828" s="12" t="n"/>
      <c r="G4828" s="13" t="n"/>
    </row>
    <row r="4829">
      <c r="A4829" s="12" t="n"/>
      <c r="D4829">
        <f>IFERROR(VLOOKUP(C4829,Cadastro_Produtos!A:B,2,FALSE),"")</f>
        <v/>
      </c>
      <c r="F4829" s="12" t="n"/>
      <c r="G4829" s="13" t="n"/>
    </row>
    <row r="4830">
      <c r="A4830" s="12" t="n"/>
      <c r="D4830">
        <f>IFERROR(VLOOKUP(C4830,Cadastro_Produtos!A:B,2,FALSE),"")</f>
        <v/>
      </c>
      <c r="F4830" s="12" t="n"/>
      <c r="G4830" s="13" t="n"/>
    </row>
    <row r="4831">
      <c r="A4831" s="12" t="n"/>
      <c r="D4831">
        <f>IFERROR(VLOOKUP(C4831,Cadastro_Produtos!A:B,2,FALSE),"")</f>
        <v/>
      </c>
      <c r="F4831" s="12" t="n"/>
      <c r="G4831" s="13" t="n"/>
    </row>
    <row r="4832">
      <c r="A4832" s="12" t="n"/>
      <c r="D4832">
        <f>IFERROR(VLOOKUP(C4832,Cadastro_Produtos!A:B,2,FALSE),"")</f>
        <v/>
      </c>
      <c r="F4832" s="12" t="n"/>
      <c r="G4832" s="13" t="n"/>
    </row>
    <row r="4833">
      <c r="A4833" s="12" t="n"/>
      <c r="D4833">
        <f>IFERROR(VLOOKUP(C4833,Cadastro_Produtos!A:B,2,FALSE),"")</f>
        <v/>
      </c>
      <c r="F4833" s="12" t="n"/>
      <c r="G4833" s="13" t="n"/>
    </row>
    <row r="4834">
      <c r="A4834" s="12" t="n"/>
      <c r="D4834">
        <f>IFERROR(VLOOKUP(C4834,Cadastro_Produtos!A:B,2,FALSE),"")</f>
        <v/>
      </c>
      <c r="F4834" s="12" t="n"/>
      <c r="G4834" s="13" t="n"/>
    </row>
    <row r="4835">
      <c r="A4835" s="12" t="n"/>
      <c r="D4835">
        <f>IFERROR(VLOOKUP(C4835,Cadastro_Produtos!A:B,2,FALSE),"")</f>
        <v/>
      </c>
      <c r="F4835" s="12" t="n"/>
      <c r="G4835" s="13" t="n"/>
    </row>
    <row r="4836">
      <c r="A4836" s="12" t="n"/>
      <c r="D4836">
        <f>IFERROR(VLOOKUP(C4836,Cadastro_Produtos!A:B,2,FALSE),"")</f>
        <v/>
      </c>
      <c r="F4836" s="12" t="n"/>
      <c r="G4836" s="13" t="n"/>
    </row>
    <row r="4837">
      <c r="A4837" s="12" t="n"/>
      <c r="D4837">
        <f>IFERROR(VLOOKUP(C4837,Cadastro_Produtos!A:B,2,FALSE),"")</f>
        <v/>
      </c>
      <c r="F4837" s="12" t="n"/>
      <c r="G4837" s="13" t="n"/>
    </row>
    <row r="4838">
      <c r="A4838" s="12" t="n"/>
      <c r="D4838">
        <f>IFERROR(VLOOKUP(C4838,Cadastro_Produtos!A:B,2,FALSE),"")</f>
        <v/>
      </c>
      <c r="F4838" s="12" t="n"/>
      <c r="G4838" s="13" t="n"/>
    </row>
    <row r="4839">
      <c r="A4839" s="12" t="n"/>
      <c r="D4839">
        <f>IFERROR(VLOOKUP(C4839,Cadastro_Produtos!A:B,2,FALSE),"")</f>
        <v/>
      </c>
      <c r="F4839" s="12" t="n"/>
      <c r="G4839" s="13" t="n"/>
    </row>
    <row r="4840">
      <c r="A4840" s="12" t="n"/>
      <c r="D4840">
        <f>IFERROR(VLOOKUP(C4840,Cadastro_Produtos!A:B,2,FALSE),"")</f>
        <v/>
      </c>
      <c r="F4840" s="12" t="n"/>
      <c r="G4840" s="13" t="n"/>
    </row>
    <row r="4841">
      <c r="A4841" s="12" t="n"/>
      <c r="D4841">
        <f>IFERROR(VLOOKUP(C4841,Cadastro_Produtos!A:B,2,FALSE),"")</f>
        <v/>
      </c>
      <c r="F4841" s="12" t="n"/>
      <c r="G4841" s="13" t="n"/>
    </row>
    <row r="4842">
      <c r="A4842" s="12" t="n"/>
      <c r="D4842">
        <f>IFERROR(VLOOKUP(C4842,Cadastro_Produtos!A:B,2,FALSE),"")</f>
        <v/>
      </c>
      <c r="F4842" s="12" t="n"/>
      <c r="G4842" s="13" t="n"/>
    </row>
    <row r="4843">
      <c r="A4843" s="12" t="n"/>
      <c r="D4843">
        <f>IFERROR(VLOOKUP(C4843,Cadastro_Produtos!A:B,2,FALSE),"")</f>
        <v/>
      </c>
      <c r="F4843" s="12" t="n"/>
      <c r="G4843" s="13" t="n"/>
    </row>
    <row r="4844">
      <c r="A4844" s="12" t="n"/>
      <c r="D4844">
        <f>IFERROR(VLOOKUP(C4844,Cadastro_Produtos!A:B,2,FALSE),"")</f>
        <v/>
      </c>
      <c r="F4844" s="12" t="n"/>
      <c r="G4844" s="13" t="n"/>
    </row>
    <row r="4845">
      <c r="A4845" s="12" t="n"/>
      <c r="D4845">
        <f>IFERROR(VLOOKUP(C4845,Cadastro_Produtos!A:B,2,FALSE),"")</f>
        <v/>
      </c>
      <c r="F4845" s="12" t="n"/>
      <c r="G4845" s="13" t="n"/>
    </row>
    <row r="4846">
      <c r="A4846" s="12" t="n"/>
      <c r="D4846">
        <f>IFERROR(VLOOKUP(C4846,Cadastro_Produtos!A:B,2,FALSE),"")</f>
        <v/>
      </c>
      <c r="F4846" s="12" t="n"/>
      <c r="G4846" s="13" t="n"/>
    </row>
    <row r="4847">
      <c r="A4847" s="12" t="n"/>
      <c r="D4847">
        <f>IFERROR(VLOOKUP(C4847,Cadastro_Produtos!A:B,2,FALSE),"")</f>
        <v/>
      </c>
      <c r="F4847" s="12" t="n"/>
      <c r="G4847" s="13" t="n"/>
    </row>
    <row r="4848">
      <c r="A4848" s="12" t="n"/>
      <c r="D4848">
        <f>IFERROR(VLOOKUP(C4848,Cadastro_Produtos!A:B,2,FALSE),"")</f>
        <v/>
      </c>
      <c r="F4848" s="12" t="n"/>
      <c r="G4848" s="13" t="n"/>
    </row>
    <row r="4849">
      <c r="A4849" s="12" t="n"/>
      <c r="D4849">
        <f>IFERROR(VLOOKUP(C4849,Cadastro_Produtos!A:B,2,FALSE),"")</f>
        <v/>
      </c>
      <c r="F4849" s="12" t="n"/>
      <c r="G4849" s="13" t="n"/>
    </row>
    <row r="4850">
      <c r="A4850" s="12" t="n"/>
      <c r="D4850">
        <f>IFERROR(VLOOKUP(C4850,Cadastro_Produtos!A:B,2,FALSE),"")</f>
        <v/>
      </c>
      <c r="F4850" s="12" t="n"/>
      <c r="G4850" s="13" t="n"/>
    </row>
    <row r="4851">
      <c r="A4851" s="12" t="n"/>
      <c r="D4851">
        <f>IFERROR(VLOOKUP(C4851,Cadastro_Produtos!A:B,2,FALSE),"")</f>
        <v/>
      </c>
      <c r="F4851" s="12" t="n"/>
      <c r="G4851" s="13" t="n"/>
    </row>
    <row r="4852">
      <c r="A4852" s="12" t="n"/>
      <c r="D4852">
        <f>IFERROR(VLOOKUP(C4852,Cadastro_Produtos!A:B,2,FALSE),"")</f>
        <v/>
      </c>
      <c r="F4852" s="12" t="n"/>
      <c r="G4852" s="13" t="n"/>
    </row>
    <row r="4853">
      <c r="A4853" s="12" t="n"/>
      <c r="D4853">
        <f>IFERROR(VLOOKUP(C4853,Cadastro_Produtos!A:B,2,FALSE),"")</f>
        <v/>
      </c>
      <c r="F4853" s="12" t="n"/>
      <c r="G4853" s="13" t="n"/>
    </row>
    <row r="4854">
      <c r="A4854" s="12" t="n"/>
      <c r="D4854">
        <f>IFERROR(VLOOKUP(C4854,Cadastro_Produtos!A:B,2,FALSE),"")</f>
        <v/>
      </c>
      <c r="F4854" s="12" t="n"/>
      <c r="G4854" s="13" t="n"/>
    </row>
    <row r="4855">
      <c r="A4855" s="12" t="n"/>
      <c r="D4855">
        <f>IFERROR(VLOOKUP(C4855,Cadastro_Produtos!A:B,2,FALSE),"")</f>
        <v/>
      </c>
      <c r="F4855" s="12" t="n"/>
      <c r="G4855" s="13" t="n"/>
    </row>
    <row r="4856">
      <c r="A4856" s="12" t="n"/>
      <c r="D4856">
        <f>IFERROR(VLOOKUP(C4856,Cadastro_Produtos!A:B,2,FALSE),"")</f>
        <v/>
      </c>
      <c r="F4856" s="12" t="n"/>
      <c r="G4856" s="13" t="n"/>
    </row>
    <row r="4857">
      <c r="A4857" s="12" t="n"/>
      <c r="D4857">
        <f>IFERROR(VLOOKUP(C4857,Cadastro_Produtos!A:B,2,FALSE),"")</f>
        <v/>
      </c>
      <c r="F4857" s="12" t="n"/>
      <c r="G4857" s="13" t="n"/>
    </row>
    <row r="4858">
      <c r="A4858" s="12" t="n"/>
      <c r="D4858">
        <f>IFERROR(VLOOKUP(C4858,Cadastro_Produtos!A:B,2,FALSE),"")</f>
        <v/>
      </c>
      <c r="F4858" s="12" t="n"/>
      <c r="G4858" s="13" t="n"/>
    </row>
    <row r="4859">
      <c r="A4859" s="12" t="n"/>
      <c r="D4859">
        <f>IFERROR(VLOOKUP(C4859,Cadastro_Produtos!A:B,2,FALSE),"")</f>
        <v/>
      </c>
      <c r="F4859" s="12" t="n"/>
      <c r="G4859" s="13" t="n"/>
    </row>
    <row r="4860">
      <c r="A4860" s="12" t="n"/>
      <c r="D4860">
        <f>IFERROR(VLOOKUP(C4860,Cadastro_Produtos!A:B,2,FALSE),"")</f>
        <v/>
      </c>
      <c r="F4860" s="12" t="n"/>
      <c r="G4860" s="13" t="n"/>
    </row>
    <row r="4861">
      <c r="A4861" s="12" t="n"/>
      <c r="D4861">
        <f>IFERROR(VLOOKUP(C4861,Cadastro_Produtos!A:B,2,FALSE),"")</f>
        <v/>
      </c>
      <c r="F4861" s="12" t="n"/>
      <c r="G4861" s="13" t="n"/>
    </row>
    <row r="4862">
      <c r="A4862" s="12" t="n"/>
      <c r="D4862">
        <f>IFERROR(VLOOKUP(C4862,Cadastro_Produtos!A:B,2,FALSE),"")</f>
        <v/>
      </c>
      <c r="F4862" s="12" t="n"/>
      <c r="G4862" s="13" t="n"/>
    </row>
    <row r="4863">
      <c r="A4863" s="12" t="n"/>
      <c r="D4863">
        <f>IFERROR(VLOOKUP(C4863,Cadastro_Produtos!A:B,2,FALSE),"")</f>
        <v/>
      </c>
      <c r="F4863" s="12" t="n"/>
      <c r="G4863" s="13" t="n"/>
    </row>
    <row r="4864">
      <c r="A4864" s="12" t="n"/>
      <c r="D4864">
        <f>IFERROR(VLOOKUP(C4864,Cadastro_Produtos!A:B,2,FALSE),"")</f>
        <v/>
      </c>
      <c r="F4864" s="12" t="n"/>
      <c r="G4864" s="13" t="n"/>
    </row>
    <row r="4865">
      <c r="A4865" s="12" t="n"/>
      <c r="D4865">
        <f>IFERROR(VLOOKUP(C4865,Cadastro_Produtos!A:B,2,FALSE),"")</f>
        <v/>
      </c>
      <c r="F4865" s="12" t="n"/>
      <c r="G4865" s="13" t="n"/>
    </row>
    <row r="4866">
      <c r="A4866" s="12" t="n"/>
      <c r="D4866">
        <f>IFERROR(VLOOKUP(C4866,Cadastro_Produtos!A:B,2,FALSE),"")</f>
        <v/>
      </c>
      <c r="F4866" s="12" t="n"/>
      <c r="G4866" s="13" t="n"/>
    </row>
    <row r="4867">
      <c r="A4867" s="12" t="n"/>
      <c r="D4867">
        <f>IFERROR(VLOOKUP(C4867,Cadastro_Produtos!A:B,2,FALSE),"")</f>
        <v/>
      </c>
      <c r="F4867" s="12" t="n"/>
      <c r="G4867" s="13" t="n"/>
    </row>
    <row r="4868">
      <c r="A4868" s="12" t="n"/>
      <c r="D4868">
        <f>IFERROR(VLOOKUP(C4868,Cadastro_Produtos!A:B,2,FALSE),"")</f>
        <v/>
      </c>
      <c r="F4868" s="12" t="n"/>
      <c r="G4868" s="13" t="n"/>
    </row>
    <row r="4869">
      <c r="A4869" s="12" t="n"/>
      <c r="D4869">
        <f>IFERROR(VLOOKUP(C4869,Cadastro_Produtos!A:B,2,FALSE),"")</f>
        <v/>
      </c>
      <c r="F4869" s="12" t="n"/>
      <c r="G4869" s="13" t="n"/>
    </row>
    <row r="4870">
      <c r="A4870" s="12" t="n"/>
      <c r="D4870">
        <f>IFERROR(VLOOKUP(C4870,Cadastro_Produtos!A:B,2,FALSE),"")</f>
        <v/>
      </c>
      <c r="F4870" s="12" t="n"/>
      <c r="G4870" s="13" t="n"/>
    </row>
    <row r="4871">
      <c r="A4871" s="12" t="n"/>
      <c r="D4871">
        <f>IFERROR(VLOOKUP(C4871,Cadastro_Produtos!A:B,2,FALSE),"")</f>
        <v/>
      </c>
      <c r="F4871" s="12" t="n"/>
      <c r="G4871" s="13" t="n"/>
    </row>
    <row r="4872">
      <c r="A4872" s="12" t="n"/>
      <c r="D4872">
        <f>IFERROR(VLOOKUP(C4872,Cadastro_Produtos!A:B,2,FALSE),"")</f>
        <v/>
      </c>
      <c r="F4872" s="12" t="n"/>
      <c r="G4872" s="13" t="n"/>
    </row>
    <row r="4873">
      <c r="A4873" s="12" t="n"/>
      <c r="D4873">
        <f>IFERROR(VLOOKUP(C4873,Cadastro_Produtos!A:B,2,FALSE),"")</f>
        <v/>
      </c>
      <c r="F4873" s="12" t="n"/>
      <c r="G4873" s="13" t="n"/>
    </row>
    <row r="4874">
      <c r="A4874" s="12" t="n"/>
      <c r="D4874">
        <f>IFERROR(VLOOKUP(C4874,Cadastro_Produtos!A:B,2,FALSE),"")</f>
        <v/>
      </c>
      <c r="F4874" s="12" t="n"/>
      <c r="G4874" s="13" t="n"/>
    </row>
    <row r="4875">
      <c r="A4875" s="12" t="n"/>
      <c r="D4875">
        <f>IFERROR(VLOOKUP(C4875,Cadastro_Produtos!A:B,2,FALSE),"")</f>
        <v/>
      </c>
      <c r="F4875" s="12" t="n"/>
      <c r="G4875" s="13" t="n"/>
    </row>
    <row r="4876">
      <c r="A4876" s="12" t="n"/>
      <c r="D4876">
        <f>IFERROR(VLOOKUP(C4876,Cadastro_Produtos!A:B,2,FALSE),"")</f>
        <v/>
      </c>
      <c r="F4876" s="12" t="n"/>
      <c r="G4876" s="13" t="n"/>
    </row>
    <row r="4877">
      <c r="A4877" s="12" t="n"/>
      <c r="D4877">
        <f>IFERROR(VLOOKUP(C4877,Cadastro_Produtos!A:B,2,FALSE),"")</f>
        <v/>
      </c>
      <c r="F4877" s="12" t="n"/>
      <c r="G4877" s="13" t="n"/>
    </row>
    <row r="4878">
      <c r="A4878" s="12" t="n"/>
      <c r="D4878">
        <f>IFERROR(VLOOKUP(C4878,Cadastro_Produtos!A:B,2,FALSE),"")</f>
        <v/>
      </c>
      <c r="F4878" s="12" t="n"/>
      <c r="G4878" s="13" t="n"/>
    </row>
    <row r="4879">
      <c r="A4879" s="12" t="n"/>
      <c r="D4879">
        <f>IFERROR(VLOOKUP(C4879,Cadastro_Produtos!A:B,2,FALSE),"")</f>
        <v/>
      </c>
      <c r="F4879" s="12" t="n"/>
      <c r="G4879" s="13" t="n"/>
    </row>
    <row r="4880">
      <c r="A4880" s="12" t="n"/>
      <c r="D4880">
        <f>IFERROR(VLOOKUP(C4880,Cadastro_Produtos!A:B,2,FALSE),"")</f>
        <v/>
      </c>
      <c r="F4880" s="12" t="n"/>
      <c r="G4880" s="13" t="n"/>
    </row>
    <row r="4881">
      <c r="A4881" s="12" t="n"/>
      <c r="D4881">
        <f>IFERROR(VLOOKUP(C4881,Cadastro_Produtos!A:B,2,FALSE),"")</f>
        <v/>
      </c>
      <c r="F4881" s="12" t="n"/>
      <c r="G4881" s="13" t="n"/>
    </row>
    <row r="4882">
      <c r="A4882" s="12" t="n"/>
      <c r="D4882">
        <f>IFERROR(VLOOKUP(C4882,Cadastro_Produtos!A:B,2,FALSE),"")</f>
        <v/>
      </c>
      <c r="F4882" s="12" t="n"/>
      <c r="G4882" s="13" t="n"/>
    </row>
    <row r="4883">
      <c r="A4883" s="12" t="n"/>
      <c r="D4883">
        <f>IFERROR(VLOOKUP(C4883,Cadastro_Produtos!A:B,2,FALSE),"")</f>
        <v/>
      </c>
      <c r="F4883" s="12" t="n"/>
      <c r="G4883" s="13" t="n"/>
    </row>
    <row r="4884">
      <c r="A4884" s="12" t="n"/>
      <c r="D4884">
        <f>IFERROR(VLOOKUP(C4884,Cadastro_Produtos!A:B,2,FALSE),"")</f>
        <v/>
      </c>
      <c r="F4884" s="12" t="n"/>
      <c r="G4884" s="13" t="n"/>
    </row>
    <row r="4885">
      <c r="A4885" s="12" t="n"/>
      <c r="D4885">
        <f>IFERROR(VLOOKUP(C4885,Cadastro_Produtos!A:B,2,FALSE),"")</f>
        <v/>
      </c>
      <c r="F4885" s="12" t="n"/>
      <c r="G4885" s="13" t="n"/>
    </row>
    <row r="4886">
      <c r="A4886" s="12" t="n"/>
      <c r="D4886">
        <f>IFERROR(VLOOKUP(C4886,Cadastro_Produtos!A:B,2,FALSE),"")</f>
        <v/>
      </c>
      <c r="F4886" s="12" t="n"/>
      <c r="G4886" s="13" t="n"/>
    </row>
    <row r="4887">
      <c r="A4887" s="12" t="n"/>
      <c r="D4887">
        <f>IFERROR(VLOOKUP(C4887,Cadastro_Produtos!A:B,2,FALSE),"")</f>
        <v/>
      </c>
      <c r="F4887" s="12" t="n"/>
      <c r="G4887" s="13" t="n"/>
    </row>
    <row r="4888">
      <c r="A4888" s="12" t="n"/>
      <c r="D4888">
        <f>IFERROR(VLOOKUP(C4888,Cadastro_Produtos!A:B,2,FALSE),"")</f>
        <v/>
      </c>
      <c r="F4888" s="12" t="n"/>
      <c r="G4888" s="13" t="n"/>
    </row>
    <row r="4889">
      <c r="A4889" s="12" t="n"/>
      <c r="D4889">
        <f>IFERROR(VLOOKUP(C4889,Cadastro_Produtos!A:B,2,FALSE),"")</f>
        <v/>
      </c>
      <c r="F4889" s="12" t="n"/>
      <c r="G4889" s="13" t="n"/>
    </row>
    <row r="4890">
      <c r="A4890" s="12" t="n"/>
      <c r="D4890">
        <f>IFERROR(VLOOKUP(C4890,Cadastro_Produtos!A:B,2,FALSE),"")</f>
        <v/>
      </c>
      <c r="F4890" s="12" t="n"/>
      <c r="G4890" s="13" t="n"/>
    </row>
    <row r="4891">
      <c r="A4891" s="12" t="n"/>
      <c r="D4891">
        <f>IFERROR(VLOOKUP(C4891,Cadastro_Produtos!A:B,2,FALSE),"")</f>
        <v/>
      </c>
      <c r="F4891" s="12" t="n"/>
      <c r="G4891" s="13" t="n"/>
    </row>
    <row r="4892">
      <c r="A4892" s="12" t="n"/>
      <c r="D4892">
        <f>IFERROR(VLOOKUP(C4892,Cadastro_Produtos!A:B,2,FALSE),"")</f>
        <v/>
      </c>
      <c r="F4892" s="12" t="n"/>
      <c r="G4892" s="13" t="n"/>
    </row>
    <row r="4893">
      <c r="A4893" s="12" t="n"/>
      <c r="D4893">
        <f>IFERROR(VLOOKUP(C4893,Cadastro_Produtos!A:B,2,FALSE),"")</f>
        <v/>
      </c>
      <c r="F4893" s="12" t="n"/>
      <c r="G4893" s="13" t="n"/>
    </row>
    <row r="4894">
      <c r="A4894" s="12" t="n"/>
      <c r="D4894">
        <f>IFERROR(VLOOKUP(C4894,Cadastro_Produtos!A:B,2,FALSE),"")</f>
        <v/>
      </c>
      <c r="F4894" s="12" t="n"/>
      <c r="G4894" s="13" t="n"/>
    </row>
    <row r="4895">
      <c r="A4895" s="12" t="n"/>
      <c r="D4895">
        <f>IFERROR(VLOOKUP(C4895,Cadastro_Produtos!A:B,2,FALSE),"")</f>
        <v/>
      </c>
      <c r="F4895" s="12" t="n"/>
      <c r="G4895" s="13" t="n"/>
    </row>
    <row r="4896">
      <c r="A4896" s="12" t="n"/>
      <c r="D4896">
        <f>IFERROR(VLOOKUP(C4896,Cadastro_Produtos!A:B,2,FALSE),"")</f>
        <v/>
      </c>
      <c r="F4896" s="12" t="n"/>
      <c r="G4896" s="13" t="n"/>
    </row>
    <row r="4897">
      <c r="A4897" s="12" t="n"/>
      <c r="D4897">
        <f>IFERROR(VLOOKUP(C4897,Cadastro_Produtos!A:B,2,FALSE),"")</f>
        <v/>
      </c>
      <c r="F4897" s="12" t="n"/>
      <c r="G4897" s="13" t="n"/>
    </row>
    <row r="4898">
      <c r="A4898" s="12" t="n"/>
      <c r="D4898">
        <f>IFERROR(VLOOKUP(C4898,Cadastro_Produtos!A:B,2,FALSE),"")</f>
        <v/>
      </c>
      <c r="F4898" s="12" t="n"/>
      <c r="G4898" s="13" t="n"/>
    </row>
    <row r="4899">
      <c r="A4899" s="12" t="n"/>
      <c r="D4899">
        <f>IFERROR(VLOOKUP(C4899,Cadastro_Produtos!A:B,2,FALSE),"")</f>
        <v/>
      </c>
      <c r="F4899" s="12" t="n"/>
      <c r="G4899" s="13" t="n"/>
    </row>
    <row r="4900">
      <c r="A4900" s="12" t="n"/>
      <c r="D4900">
        <f>IFERROR(VLOOKUP(C4900,Cadastro_Produtos!A:B,2,FALSE),"")</f>
        <v/>
      </c>
      <c r="F4900" s="12" t="n"/>
      <c r="G4900" s="13" t="n"/>
    </row>
    <row r="4901">
      <c r="A4901" s="12" t="n"/>
      <c r="D4901">
        <f>IFERROR(VLOOKUP(C4901,Cadastro_Produtos!A:B,2,FALSE),"")</f>
        <v/>
      </c>
      <c r="F4901" s="12" t="n"/>
      <c r="G4901" s="13" t="n"/>
    </row>
    <row r="4902">
      <c r="A4902" s="12" t="n"/>
      <c r="D4902">
        <f>IFERROR(VLOOKUP(C4902,Cadastro_Produtos!A:B,2,FALSE),"")</f>
        <v/>
      </c>
      <c r="F4902" s="12" t="n"/>
      <c r="G4902" s="13" t="n"/>
    </row>
    <row r="4903">
      <c r="A4903" s="12" t="n"/>
      <c r="D4903">
        <f>IFERROR(VLOOKUP(C4903,Cadastro_Produtos!A:B,2,FALSE),"")</f>
        <v/>
      </c>
      <c r="F4903" s="12" t="n"/>
      <c r="G4903" s="13" t="n"/>
    </row>
    <row r="4904">
      <c r="A4904" s="12" t="n"/>
      <c r="D4904">
        <f>IFERROR(VLOOKUP(C4904,Cadastro_Produtos!A:B,2,FALSE),"")</f>
        <v/>
      </c>
      <c r="F4904" s="12" t="n"/>
      <c r="G4904" s="13" t="n"/>
    </row>
    <row r="4905">
      <c r="A4905" s="12" t="n"/>
      <c r="D4905">
        <f>IFERROR(VLOOKUP(C4905,Cadastro_Produtos!A:B,2,FALSE),"")</f>
        <v/>
      </c>
      <c r="F4905" s="12" t="n"/>
      <c r="G4905" s="13" t="n"/>
    </row>
    <row r="4906">
      <c r="A4906" s="12" t="n"/>
      <c r="D4906">
        <f>IFERROR(VLOOKUP(C4906,Cadastro_Produtos!A:B,2,FALSE),"")</f>
        <v/>
      </c>
      <c r="F4906" s="12" t="n"/>
      <c r="G4906" s="13" t="n"/>
    </row>
    <row r="4907">
      <c r="A4907" s="12" t="n"/>
      <c r="D4907">
        <f>IFERROR(VLOOKUP(C4907,Cadastro_Produtos!A:B,2,FALSE),"")</f>
        <v/>
      </c>
      <c r="F4907" s="12" t="n"/>
      <c r="G4907" s="13" t="n"/>
    </row>
    <row r="4908">
      <c r="A4908" s="12" t="n"/>
      <c r="D4908">
        <f>IFERROR(VLOOKUP(C4908,Cadastro_Produtos!A:B,2,FALSE),"")</f>
        <v/>
      </c>
      <c r="F4908" s="12" t="n"/>
      <c r="G4908" s="13" t="n"/>
    </row>
    <row r="4909">
      <c r="A4909" s="12" t="n"/>
      <c r="D4909">
        <f>IFERROR(VLOOKUP(C4909,Cadastro_Produtos!A:B,2,FALSE),"")</f>
        <v/>
      </c>
      <c r="F4909" s="12" t="n"/>
      <c r="G4909" s="13" t="n"/>
    </row>
    <row r="4910">
      <c r="A4910" s="12" t="n"/>
      <c r="D4910">
        <f>IFERROR(VLOOKUP(C4910,Cadastro_Produtos!A:B,2,FALSE),"")</f>
        <v/>
      </c>
      <c r="F4910" s="12" t="n"/>
      <c r="G4910" s="13" t="n"/>
    </row>
    <row r="4911">
      <c r="A4911" s="12" t="n"/>
      <c r="D4911">
        <f>IFERROR(VLOOKUP(C4911,Cadastro_Produtos!A:B,2,FALSE),"")</f>
        <v/>
      </c>
      <c r="F4911" s="12" t="n"/>
      <c r="G4911" s="13" t="n"/>
    </row>
    <row r="4912">
      <c r="A4912" s="12" t="n"/>
      <c r="D4912">
        <f>IFERROR(VLOOKUP(C4912,Cadastro_Produtos!A:B,2,FALSE),"")</f>
        <v/>
      </c>
      <c r="F4912" s="12" t="n"/>
      <c r="G4912" s="13" t="n"/>
    </row>
    <row r="4913">
      <c r="A4913" s="12" t="n"/>
      <c r="D4913">
        <f>IFERROR(VLOOKUP(C4913,Cadastro_Produtos!A:B,2,FALSE),"")</f>
        <v/>
      </c>
      <c r="F4913" s="12" t="n"/>
      <c r="G4913" s="13" t="n"/>
    </row>
    <row r="4914">
      <c r="A4914" s="12" t="n"/>
      <c r="D4914">
        <f>IFERROR(VLOOKUP(C4914,Cadastro_Produtos!A:B,2,FALSE),"")</f>
        <v/>
      </c>
      <c r="F4914" s="12" t="n"/>
      <c r="G4914" s="13" t="n"/>
    </row>
    <row r="4915">
      <c r="A4915" s="12" t="n"/>
      <c r="D4915">
        <f>IFERROR(VLOOKUP(C4915,Cadastro_Produtos!A:B,2,FALSE),"")</f>
        <v/>
      </c>
      <c r="F4915" s="12" t="n"/>
      <c r="G4915" s="13" t="n"/>
    </row>
    <row r="4916">
      <c r="A4916" s="12" t="n"/>
      <c r="D4916">
        <f>IFERROR(VLOOKUP(C4916,Cadastro_Produtos!A:B,2,FALSE),"")</f>
        <v/>
      </c>
      <c r="F4916" s="12" t="n"/>
      <c r="G4916" s="13" t="n"/>
    </row>
    <row r="4917">
      <c r="A4917" s="12" t="n"/>
      <c r="D4917">
        <f>IFERROR(VLOOKUP(C4917,Cadastro_Produtos!A:B,2,FALSE),"")</f>
        <v/>
      </c>
      <c r="F4917" s="12" t="n"/>
      <c r="G4917" s="13" t="n"/>
    </row>
    <row r="4918">
      <c r="A4918" s="12" t="n"/>
      <c r="D4918">
        <f>IFERROR(VLOOKUP(C4918,Cadastro_Produtos!A:B,2,FALSE),"")</f>
        <v/>
      </c>
      <c r="F4918" s="12" t="n"/>
      <c r="G4918" s="13" t="n"/>
    </row>
    <row r="4919">
      <c r="A4919" s="12" t="n"/>
      <c r="D4919">
        <f>IFERROR(VLOOKUP(C4919,Cadastro_Produtos!A:B,2,FALSE),"")</f>
        <v/>
      </c>
      <c r="F4919" s="12" t="n"/>
      <c r="G4919" s="13" t="n"/>
    </row>
    <row r="4920">
      <c r="A4920" s="12" t="n"/>
      <c r="D4920">
        <f>IFERROR(VLOOKUP(C4920,Cadastro_Produtos!A:B,2,FALSE),"")</f>
        <v/>
      </c>
      <c r="F4920" s="12" t="n"/>
      <c r="G4920" s="13" t="n"/>
    </row>
    <row r="4921">
      <c r="A4921" s="12" t="n"/>
      <c r="D4921">
        <f>IFERROR(VLOOKUP(C4921,Cadastro_Produtos!A:B,2,FALSE),"")</f>
        <v/>
      </c>
      <c r="F4921" s="12" t="n"/>
      <c r="G4921" s="13" t="n"/>
    </row>
    <row r="4922">
      <c r="A4922" s="12" t="n"/>
      <c r="D4922">
        <f>IFERROR(VLOOKUP(C4922,Cadastro_Produtos!A:B,2,FALSE),"")</f>
        <v/>
      </c>
      <c r="F4922" s="12" t="n"/>
      <c r="G4922" s="13" t="n"/>
    </row>
    <row r="4923">
      <c r="A4923" s="12" t="n"/>
      <c r="D4923">
        <f>IFERROR(VLOOKUP(C4923,Cadastro_Produtos!A:B,2,FALSE),"")</f>
        <v/>
      </c>
      <c r="F4923" s="12" t="n"/>
      <c r="G4923" s="13" t="n"/>
    </row>
    <row r="4924">
      <c r="A4924" s="12" t="n"/>
      <c r="D4924">
        <f>IFERROR(VLOOKUP(C4924,Cadastro_Produtos!A:B,2,FALSE),"")</f>
        <v/>
      </c>
      <c r="F4924" s="12" t="n"/>
      <c r="G4924" s="13" t="n"/>
    </row>
    <row r="4925">
      <c r="A4925" s="12" t="n"/>
      <c r="D4925">
        <f>IFERROR(VLOOKUP(C4925,Cadastro_Produtos!A:B,2,FALSE),"")</f>
        <v/>
      </c>
      <c r="F4925" s="12" t="n"/>
      <c r="G4925" s="13" t="n"/>
    </row>
    <row r="4926">
      <c r="A4926" s="12" t="n"/>
      <c r="D4926">
        <f>IFERROR(VLOOKUP(C4926,Cadastro_Produtos!A:B,2,FALSE),"")</f>
        <v/>
      </c>
      <c r="F4926" s="12" t="n"/>
      <c r="G4926" s="13" t="n"/>
    </row>
    <row r="4927">
      <c r="A4927" s="12" t="n"/>
      <c r="D4927">
        <f>IFERROR(VLOOKUP(C4927,Cadastro_Produtos!A:B,2,FALSE),"")</f>
        <v/>
      </c>
      <c r="F4927" s="12" t="n"/>
      <c r="G4927" s="13" t="n"/>
    </row>
    <row r="4928">
      <c r="A4928" s="12" t="n"/>
      <c r="D4928">
        <f>IFERROR(VLOOKUP(C4928,Cadastro_Produtos!A:B,2,FALSE),"")</f>
        <v/>
      </c>
      <c r="F4928" s="12" t="n"/>
      <c r="G4928" s="13" t="n"/>
    </row>
    <row r="4929">
      <c r="A4929" s="12" t="n"/>
      <c r="D4929">
        <f>IFERROR(VLOOKUP(C4929,Cadastro_Produtos!A:B,2,FALSE),"")</f>
        <v/>
      </c>
      <c r="F4929" s="12" t="n"/>
      <c r="G4929" s="13" t="n"/>
    </row>
    <row r="4930">
      <c r="A4930" s="12" t="n"/>
      <c r="D4930">
        <f>IFERROR(VLOOKUP(C4930,Cadastro_Produtos!A:B,2,FALSE),"")</f>
        <v/>
      </c>
      <c r="F4930" s="12" t="n"/>
      <c r="G4930" s="13" t="n"/>
    </row>
    <row r="4931">
      <c r="A4931" s="12" t="n"/>
      <c r="D4931">
        <f>IFERROR(VLOOKUP(C4931,Cadastro_Produtos!A:B,2,FALSE),"")</f>
        <v/>
      </c>
      <c r="F4931" s="12" t="n"/>
      <c r="G4931" s="13" t="n"/>
    </row>
    <row r="4932">
      <c r="A4932" s="12" t="n"/>
      <c r="D4932">
        <f>IFERROR(VLOOKUP(C4932,Cadastro_Produtos!A:B,2,FALSE),"")</f>
        <v/>
      </c>
      <c r="F4932" s="12" t="n"/>
      <c r="G4932" s="13" t="n"/>
    </row>
    <row r="4933">
      <c r="A4933" s="12" t="n"/>
      <c r="D4933">
        <f>IFERROR(VLOOKUP(C4933,Cadastro_Produtos!A:B,2,FALSE),"")</f>
        <v/>
      </c>
      <c r="F4933" s="12" t="n"/>
      <c r="G4933" s="13" t="n"/>
    </row>
    <row r="4934">
      <c r="A4934" s="12" t="n"/>
      <c r="D4934">
        <f>IFERROR(VLOOKUP(C4934,Cadastro_Produtos!A:B,2,FALSE),"")</f>
        <v/>
      </c>
      <c r="F4934" s="12" t="n"/>
      <c r="G4934" s="13" t="n"/>
    </row>
    <row r="4935">
      <c r="A4935" s="12" t="n"/>
      <c r="D4935">
        <f>IFERROR(VLOOKUP(C4935,Cadastro_Produtos!A:B,2,FALSE),"")</f>
        <v/>
      </c>
      <c r="F4935" s="12" t="n"/>
      <c r="G4935" s="13" t="n"/>
    </row>
    <row r="4936">
      <c r="A4936" s="12" t="n"/>
      <c r="D4936">
        <f>IFERROR(VLOOKUP(C4936,Cadastro_Produtos!A:B,2,FALSE),"")</f>
        <v/>
      </c>
      <c r="F4936" s="12" t="n"/>
      <c r="G4936" s="13" t="n"/>
    </row>
    <row r="4937">
      <c r="A4937" s="12" t="n"/>
      <c r="D4937">
        <f>IFERROR(VLOOKUP(C4937,Cadastro_Produtos!A:B,2,FALSE),"")</f>
        <v/>
      </c>
      <c r="F4937" s="12" t="n"/>
      <c r="G4937" s="13" t="n"/>
    </row>
    <row r="4938">
      <c r="A4938" s="12" t="n"/>
      <c r="D4938">
        <f>IFERROR(VLOOKUP(C4938,Cadastro_Produtos!A:B,2,FALSE),"")</f>
        <v/>
      </c>
      <c r="F4938" s="12" t="n"/>
      <c r="G4938" s="13" t="n"/>
    </row>
    <row r="4939">
      <c r="A4939" s="12" t="n"/>
      <c r="D4939">
        <f>IFERROR(VLOOKUP(C4939,Cadastro_Produtos!A:B,2,FALSE),"")</f>
        <v/>
      </c>
      <c r="F4939" s="12" t="n"/>
      <c r="G4939" s="13" t="n"/>
    </row>
    <row r="4940">
      <c r="A4940" s="12" t="n"/>
      <c r="D4940">
        <f>IFERROR(VLOOKUP(C4940,Cadastro_Produtos!A:B,2,FALSE),"")</f>
        <v/>
      </c>
      <c r="F4940" s="12" t="n"/>
      <c r="G4940" s="13" t="n"/>
    </row>
    <row r="4941">
      <c r="A4941" s="12" t="n"/>
      <c r="D4941">
        <f>IFERROR(VLOOKUP(C4941,Cadastro_Produtos!A:B,2,FALSE),"")</f>
        <v/>
      </c>
      <c r="F4941" s="12" t="n"/>
      <c r="G4941" s="13" t="n"/>
    </row>
    <row r="4942">
      <c r="A4942" s="12" t="n"/>
      <c r="D4942">
        <f>IFERROR(VLOOKUP(C4942,Cadastro_Produtos!A:B,2,FALSE),"")</f>
        <v/>
      </c>
      <c r="F4942" s="12" t="n"/>
      <c r="G4942" s="13" t="n"/>
    </row>
    <row r="4943">
      <c r="A4943" s="12" t="n"/>
      <c r="D4943">
        <f>IFERROR(VLOOKUP(C4943,Cadastro_Produtos!A:B,2,FALSE),"")</f>
        <v/>
      </c>
      <c r="F4943" s="12" t="n"/>
      <c r="G4943" s="13" t="n"/>
    </row>
    <row r="4944">
      <c r="A4944" s="12" t="n"/>
      <c r="D4944">
        <f>IFERROR(VLOOKUP(C4944,Cadastro_Produtos!A:B,2,FALSE),"")</f>
        <v/>
      </c>
      <c r="F4944" s="12" t="n"/>
      <c r="G4944" s="13" t="n"/>
    </row>
    <row r="4945">
      <c r="A4945" s="12" t="n"/>
      <c r="D4945">
        <f>IFERROR(VLOOKUP(C4945,Cadastro_Produtos!A:B,2,FALSE),"")</f>
        <v/>
      </c>
      <c r="F4945" s="12" t="n"/>
      <c r="G4945" s="13" t="n"/>
    </row>
    <row r="4946">
      <c r="A4946" s="12" t="n"/>
      <c r="D4946">
        <f>IFERROR(VLOOKUP(C4946,Cadastro_Produtos!A:B,2,FALSE),"")</f>
        <v/>
      </c>
      <c r="F4946" s="12" t="n"/>
      <c r="G4946" s="13" t="n"/>
    </row>
    <row r="4947">
      <c r="A4947" s="12" t="n"/>
      <c r="D4947">
        <f>IFERROR(VLOOKUP(C4947,Cadastro_Produtos!A:B,2,FALSE),"")</f>
        <v/>
      </c>
      <c r="F4947" s="12" t="n"/>
      <c r="G4947" s="13" t="n"/>
    </row>
    <row r="4948">
      <c r="A4948" s="12" t="n"/>
      <c r="D4948">
        <f>IFERROR(VLOOKUP(C4948,Cadastro_Produtos!A:B,2,FALSE),"")</f>
        <v/>
      </c>
      <c r="F4948" s="12" t="n"/>
      <c r="G4948" s="13" t="n"/>
    </row>
    <row r="4949">
      <c r="A4949" s="12" t="n"/>
      <c r="D4949">
        <f>IFERROR(VLOOKUP(C4949,Cadastro_Produtos!A:B,2,FALSE),"")</f>
        <v/>
      </c>
      <c r="F4949" s="12" t="n"/>
      <c r="G4949" s="13" t="n"/>
    </row>
    <row r="4950">
      <c r="A4950" s="12" t="n"/>
      <c r="D4950">
        <f>IFERROR(VLOOKUP(C4950,Cadastro_Produtos!A:B,2,FALSE),"")</f>
        <v/>
      </c>
      <c r="F4950" s="12" t="n"/>
      <c r="G4950" s="13" t="n"/>
    </row>
    <row r="4951">
      <c r="A4951" s="12" t="n"/>
      <c r="D4951">
        <f>IFERROR(VLOOKUP(C4951,Cadastro_Produtos!A:B,2,FALSE),"")</f>
        <v/>
      </c>
      <c r="F4951" s="12" t="n"/>
      <c r="G4951" s="13" t="n"/>
    </row>
    <row r="4952">
      <c r="A4952" s="12" t="n"/>
      <c r="D4952">
        <f>IFERROR(VLOOKUP(C4952,Cadastro_Produtos!A:B,2,FALSE),"")</f>
        <v/>
      </c>
      <c r="F4952" s="12" t="n"/>
      <c r="G4952" s="13" t="n"/>
    </row>
    <row r="4953">
      <c r="A4953" s="12" t="n"/>
      <c r="D4953">
        <f>IFERROR(VLOOKUP(C4953,Cadastro_Produtos!A:B,2,FALSE),"")</f>
        <v/>
      </c>
      <c r="F4953" s="12" t="n"/>
      <c r="G4953" s="13" t="n"/>
    </row>
    <row r="4954">
      <c r="A4954" s="12" t="n"/>
      <c r="D4954">
        <f>IFERROR(VLOOKUP(C4954,Cadastro_Produtos!A:B,2,FALSE),"")</f>
        <v/>
      </c>
      <c r="F4954" s="12" t="n"/>
      <c r="G4954" s="13" t="n"/>
    </row>
    <row r="4955">
      <c r="A4955" s="12" t="n"/>
      <c r="D4955">
        <f>IFERROR(VLOOKUP(C4955,Cadastro_Produtos!A:B,2,FALSE),"")</f>
        <v/>
      </c>
      <c r="F4955" s="12" t="n"/>
      <c r="G4955" s="13" t="n"/>
    </row>
    <row r="4956">
      <c r="A4956" s="12" t="n"/>
      <c r="D4956">
        <f>IFERROR(VLOOKUP(C4956,Cadastro_Produtos!A:B,2,FALSE),"")</f>
        <v/>
      </c>
      <c r="F4956" s="12" t="n"/>
      <c r="G4956" s="13" t="n"/>
    </row>
    <row r="4957">
      <c r="A4957" s="12" t="n"/>
      <c r="D4957">
        <f>IFERROR(VLOOKUP(C4957,Cadastro_Produtos!A:B,2,FALSE),"")</f>
        <v/>
      </c>
      <c r="F4957" s="12" t="n"/>
      <c r="G4957" s="13" t="n"/>
    </row>
    <row r="4958">
      <c r="A4958" s="12" t="n"/>
      <c r="D4958">
        <f>IFERROR(VLOOKUP(C4958,Cadastro_Produtos!A:B,2,FALSE),"")</f>
        <v/>
      </c>
      <c r="F4958" s="12" t="n"/>
      <c r="G4958" s="13" t="n"/>
    </row>
    <row r="4959">
      <c r="A4959" s="12" t="n"/>
      <c r="D4959">
        <f>IFERROR(VLOOKUP(C4959,Cadastro_Produtos!A:B,2,FALSE),"")</f>
        <v/>
      </c>
      <c r="F4959" s="12" t="n"/>
      <c r="G4959" s="13" t="n"/>
    </row>
    <row r="4960">
      <c r="A4960" s="12" t="n"/>
      <c r="D4960">
        <f>IFERROR(VLOOKUP(C4960,Cadastro_Produtos!A:B,2,FALSE),"")</f>
        <v/>
      </c>
      <c r="F4960" s="12" t="n"/>
      <c r="G4960" s="13" t="n"/>
    </row>
    <row r="4961">
      <c r="A4961" s="12" t="n"/>
      <c r="D4961">
        <f>IFERROR(VLOOKUP(C4961,Cadastro_Produtos!A:B,2,FALSE),"")</f>
        <v/>
      </c>
      <c r="F4961" s="12" t="n"/>
      <c r="G4961" s="13" t="n"/>
    </row>
    <row r="4962">
      <c r="A4962" s="12" t="n"/>
      <c r="D4962">
        <f>IFERROR(VLOOKUP(C4962,Cadastro_Produtos!A:B,2,FALSE),"")</f>
        <v/>
      </c>
      <c r="F4962" s="12" t="n"/>
      <c r="G4962" s="13" t="n"/>
    </row>
    <row r="4963">
      <c r="A4963" s="12" t="n"/>
      <c r="D4963">
        <f>IFERROR(VLOOKUP(C4963,Cadastro_Produtos!A:B,2,FALSE),"")</f>
        <v/>
      </c>
      <c r="F4963" s="12" t="n"/>
      <c r="G4963" s="13" t="n"/>
    </row>
    <row r="4964">
      <c r="A4964" s="12" t="n"/>
      <c r="D4964">
        <f>IFERROR(VLOOKUP(C4964,Cadastro_Produtos!A:B,2,FALSE),"")</f>
        <v/>
      </c>
      <c r="F4964" s="12" t="n"/>
      <c r="G4964" s="13" t="n"/>
    </row>
    <row r="4965">
      <c r="A4965" s="12" t="n"/>
      <c r="D4965">
        <f>IFERROR(VLOOKUP(C4965,Cadastro_Produtos!A:B,2,FALSE),"")</f>
        <v/>
      </c>
      <c r="F4965" s="12" t="n"/>
      <c r="G4965" s="13" t="n"/>
    </row>
    <row r="4966">
      <c r="A4966" s="12" t="n"/>
      <c r="D4966">
        <f>IFERROR(VLOOKUP(C4966,Cadastro_Produtos!A:B,2,FALSE),"")</f>
        <v/>
      </c>
      <c r="F4966" s="12" t="n"/>
      <c r="G4966" s="13" t="n"/>
    </row>
    <row r="4967">
      <c r="A4967" s="12" t="n"/>
      <c r="D4967">
        <f>IFERROR(VLOOKUP(C4967,Cadastro_Produtos!A:B,2,FALSE),"")</f>
        <v/>
      </c>
      <c r="F4967" s="12" t="n"/>
      <c r="G4967" s="13" t="n"/>
    </row>
    <row r="4968">
      <c r="A4968" s="12" t="n"/>
      <c r="D4968">
        <f>IFERROR(VLOOKUP(C4968,Cadastro_Produtos!A:B,2,FALSE),"")</f>
        <v/>
      </c>
      <c r="F4968" s="12" t="n"/>
      <c r="G4968" s="13" t="n"/>
    </row>
    <row r="4969">
      <c r="A4969" s="12" t="n"/>
      <c r="D4969">
        <f>IFERROR(VLOOKUP(C4969,Cadastro_Produtos!A:B,2,FALSE),"")</f>
        <v/>
      </c>
      <c r="F4969" s="12" t="n"/>
      <c r="G4969" s="13" t="n"/>
    </row>
    <row r="4970">
      <c r="A4970" s="12" t="n"/>
      <c r="D4970">
        <f>IFERROR(VLOOKUP(C4970,Cadastro_Produtos!A:B,2,FALSE),"")</f>
        <v/>
      </c>
      <c r="F4970" s="12" t="n"/>
      <c r="G4970" s="13" t="n"/>
    </row>
    <row r="4971">
      <c r="A4971" s="12" t="n"/>
      <c r="D4971">
        <f>IFERROR(VLOOKUP(C4971,Cadastro_Produtos!A:B,2,FALSE),"")</f>
        <v/>
      </c>
      <c r="F4971" s="12" t="n"/>
      <c r="G4971" s="13" t="n"/>
    </row>
    <row r="4972">
      <c r="A4972" s="12" t="n"/>
      <c r="D4972">
        <f>IFERROR(VLOOKUP(C4972,Cadastro_Produtos!A:B,2,FALSE),"")</f>
        <v/>
      </c>
      <c r="F4972" s="12" t="n"/>
      <c r="G4972" s="13" t="n"/>
    </row>
    <row r="4973">
      <c r="A4973" s="12" t="n"/>
      <c r="D4973">
        <f>IFERROR(VLOOKUP(C4973,Cadastro_Produtos!A:B,2,FALSE),"")</f>
        <v/>
      </c>
      <c r="F4973" s="12" t="n"/>
      <c r="G4973" s="13" t="n"/>
    </row>
    <row r="4974">
      <c r="A4974" s="12" t="n"/>
      <c r="D4974">
        <f>IFERROR(VLOOKUP(C4974,Cadastro_Produtos!A:B,2,FALSE),"")</f>
        <v/>
      </c>
      <c r="F4974" s="12" t="n"/>
      <c r="G4974" s="13" t="n"/>
    </row>
    <row r="4975">
      <c r="A4975" s="12" t="n"/>
      <c r="D4975">
        <f>IFERROR(VLOOKUP(C4975,Cadastro_Produtos!A:B,2,FALSE),"")</f>
        <v/>
      </c>
      <c r="F4975" s="12" t="n"/>
      <c r="G4975" s="13" t="n"/>
    </row>
    <row r="4976">
      <c r="A4976" s="12" t="n"/>
      <c r="D4976">
        <f>IFERROR(VLOOKUP(C4976,Cadastro_Produtos!A:B,2,FALSE),"")</f>
        <v/>
      </c>
      <c r="F4976" s="12" t="n"/>
      <c r="G4976" s="13" t="n"/>
    </row>
    <row r="4977">
      <c r="A4977" s="12" t="n"/>
      <c r="D4977">
        <f>IFERROR(VLOOKUP(C4977,Cadastro_Produtos!A:B,2,FALSE),"")</f>
        <v/>
      </c>
      <c r="F4977" s="12" t="n"/>
      <c r="G4977" s="13" t="n"/>
    </row>
    <row r="4978">
      <c r="A4978" s="12" t="n"/>
      <c r="D4978">
        <f>IFERROR(VLOOKUP(C4978,Cadastro_Produtos!A:B,2,FALSE),"")</f>
        <v/>
      </c>
      <c r="F4978" s="12" t="n"/>
      <c r="G4978" s="13" t="n"/>
    </row>
    <row r="4979">
      <c r="A4979" s="12" t="n"/>
      <c r="D4979">
        <f>IFERROR(VLOOKUP(C4979,Cadastro_Produtos!A:B,2,FALSE),"")</f>
        <v/>
      </c>
      <c r="F4979" s="12" t="n"/>
      <c r="G4979" s="13" t="n"/>
    </row>
    <row r="4980">
      <c r="A4980" s="12" t="n"/>
      <c r="D4980">
        <f>IFERROR(VLOOKUP(C4980,Cadastro_Produtos!A:B,2,FALSE),"")</f>
        <v/>
      </c>
      <c r="F4980" s="12" t="n"/>
      <c r="G4980" s="13" t="n"/>
    </row>
    <row r="4981">
      <c r="A4981" s="12" t="n"/>
      <c r="D4981">
        <f>IFERROR(VLOOKUP(C4981,Cadastro_Produtos!A:B,2,FALSE),"")</f>
        <v/>
      </c>
      <c r="F4981" s="12" t="n"/>
      <c r="G4981" s="13" t="n"/>
    </row>
    <row r="4982">
      <c r="A4982" s="12" t="n"/>
      <c r="D4982">
        <f>IFERROR(VLOOKUP(C4982,Cadastro_Produtos!A:B,2,FALSE),"")</f>
        <v/>
      </c>
      <c r="F4982" s="12" t="n"/>
      <c r="G4982" s="13" t="n"/>
    </row>
    <row r="4983">
      <c r="A4983" s="12" t="n"/>
      <c r="D4983">
        <f>IFERROR(VLOOKUP(C4983,Cadastro_Produtos!A:B,2,FALSE),"")</f>
        <v/>
      </c>
      <c r="F4983" s="12" t="n"/>
      <c r="G4983" s="13" t="n"/>
    </row>
    <row r="4984">
      <c r="A4984" s="12" t="n"/>
      <c r="D4984">
        <f>IFERROR(VLOOKUP(C4984,Cadastro_Produtos!A:B,2,FALSE),"")</f>
        <v/>
      </c>
      <c r="F4984" s="12" t="n"/>
      <c r="G4984" s="13" t="n"/>
    </row>
    <row r="4985">
      <c r="A4985" s="12" t="n"/>
      <c r="D4985">
        <f>IFERROR(VLOOKUP(C4985,Cadastro_Produtos!A:B,2,FALSE),"")</f>
        <v/>
      </c>
      <c r="F4985" s="12" t="n"/>
      <c r="G4985" s="13" t="n"/>
    </row>
    <row r="4986">
      <c r="A4986" s="12" t="n"/>
      <c r="D4986">
        <f>IFERROR(VLOOKUP(C4986,Cadastro_Produtos!A:B,2,FALSE),"")</f>
        <v/>
      </c>
      <c r="F4986" s="12" t="n"/>
      <c r="G4986" s="13" t="n"/>
    </row>
    <row r="4987">
      <c r="A4987" s="12" t="n"/>
      <c r="D4987">
        <f>IFERROR(VLOOKUP(C4987,Cadastro_Produtos!A:B,2,FALSE),"")</f>
        <v/>
      </c>
      <c r="F4987" s="12" t="n"/>
      <c r="G4987" s="13" t="n"/>
    </row>
    <row r="4988">
      <c r="A4988" s="12" t="n"/>
      <c r="D4988">
        <f>IFERROR(VLOOKUP(C4988,Cadastro_Produtos!A:B,2,FALSE),"")</f>
        <v/>
      </c>
      <c r="F4988" s="12" t="n"/>
      <c r="G4988" s="13" t="n"/>
    </row>
    <row r="4989">
      <c r="A4989" s="12" t="n"/>
      <c r="D4989">
        <f>IFERROR(VLOOKUP(C4989,Cadastro_Produtos!A:B,2,FALSE),"")</f>
        <v/>
      </c>
      <c r="F4989" s="12" t="n"/>
      <c r="G4989" s="13" t="n"/>
    </row>
    <row r="4990">
      <c r="A4990" s="12" t="n"/>
      <c r="D4990">
        <f>IFERROR(VLOOKUP(C4990,Cadastro_Produtos!A:B,2,FALSE),"")</f>
        <v/>
      </c>
      <c r="F4990" s="12" t="n"/>
      <c r="G4990" s="13" t="n"/>
    </row>
    <row r="4991">
      <c r="A4991" s="12" t="n"/>
      <c r="D4991">
        <f>IFERROR(VLOOKUP(C4991,Cadastro_Produtos!A:B,2,FALSE),"")</f>
        <v/>
      </c>
      <c r="F4991" s="12" t="n"/>
      <c r="G4991" s="13" t="n"/>
    </row>
    <row r="4992">
      <c r="A4992" s="12" t="n"/>
      <c r="D4992">
        <f>IFERROR(VLOOKUP(C4992,Cadastro_Produtos!A:B,2,FALSE),"")</f>
        <v/>
      </c>
      <c r="F4992" s="12" t="n"/>
      <c r="G4992" s="13" t="n"/>
    </row>
    <row r="4993">
      <c r="A4993" s="12" t="n"/>
      <c r="D4993">
        <f>IFERROR(VLOOKUP(C4993,Cadastro_Produtos!A:B,2,FALSE),"")</f>
        <v/>
      </c>
      <c r="F4993" s="12" t="n"/>
      <c r="G4993" s="13" t="n"/>
    </row>
    <row r="4994">
      <c r="A4994" s="12" t="n"/>
      <c r="D4994">
        <f>IFERROR(VLOOKUP(C4994,Cadastro_Produtos!A:B,2,FALSE),"")</f>
        <v/>
      </c>
      <c r="F4994" s="12" t="n"/>
      <c r="G4994" s="13" t="n"/>
    </row>
    <row r="4995">
      <c r="A4995" s="12" t="n"/>
      <c r="D4995">
        <f>IFERROR(VLOOKUP(C4995,Cadastro_Produtos!A:B,2,FALSE),"")</f>
        <v/>
      </c>
      <c r="F4995" s="12" t="n"/>
      <c r="G4995" s="13" t="n"/>
    </row>
    <row r="4996">
      <c r="A4996" s="12" t="n"/>
      <c r="D4996">
        <f>IFERROR(VLOOKUP(C4996,Cadastro_Produtos!A:B,2,FALSE),"")</f>
        <v/>
      </c>
      <c r="F4996" s="12" t="n"/>
      <c r="G4996" s="13" t="n"/>
    </row>
    <row r="4997">
      <c r="A4997" s="12" t="n"/>
      <c r="D4997">
        <f>IFERROR(VLOOKUP(C4997,Cadastro_Produtos!A:B,2,FALSE),"")</f>
        <v/>
      </c>
      <c r="F4997" s="12" t="n"/>
      <c r="G4997" s="13" t="n"/>
    </row>
    <row r="4998">
      <c r="A4998" s="12" t="n"/>
      <c r="D4998">
        <f>IFERROR(VLOOKUP(C4998,Cadastro_Produtos!A:B,2,FALSE),"")</f>
        <v/>
      </c>
      <c r="F4998" s="12" t="n"/>
      <c r="G4998" s="13" t="n"/>
    </row>
    <row r="4999">
      <c r="A4999" s="12" t="n"/>
      <c r="D4999">
        <f>IFERROR(VLOOKUP(C4999,Cadastro_Produtos!A:B,2,FALSE),"")</f>
        <v/>
      </c>
      <c r="F4999" s="12" t="n"/>
      <c r="G4999" s="13" t="n"/>
    </row>
    <row r="5000">
      <c r="A5000" s="12" t="n"/>
      <c r="D5000">
        <f>IFERROR(VLOOKUP(C5000,Cadastro_Produtos!A:B,2,FALSE),"")</f>
        <v/>
      </c>
      <c r="F5000" s="12" t="n"/>
      <c r="G5000" s="13" t="n"/>
    </row>
  </sheetData>
  <autoFilter ref="A5:J5000"/>
  <mergeCells count="1">
    <mergeCell ref="A1:J1"/>
  </mergeCells>
  <dataValidations count="1">
    <dataValidation sqref="B6:B5000" showDropDown="0" showInputMessage="0" showErrorMessage="0" allowBlank="0" type="list">
      <formula1>"ENTRADA,SAIDA_USO,SAIDA_DESCARTE"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00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2" customWidth="1" min="4" max="4"/>
    <col width="15" customWidth="1" min="5" max="5"/>
    <col width="24" customWidth="1" min="6" max="6"/>
    <col width="12" customWidth="1" min="7" max="7"/>
    <col width="12" customWidth="1" min="8" max="8"/>
    <col width="14" customWidth="1" min="9" max="9"/>
    <col width="12" customWidth="1" min="10" max="10"/>
    <col width="18" customWidth="1" min="11" max="11"/>
  </cols>
  <sheetData>
    <row r="1">
      <c r="A1" s="1" t="inlineStr">
        <is>
          <t>ESTOQUE, ALERTAS E VALIDADES POR LOTE</t>
        </is>
      </c>
    </row>
    <row r="3">
      <c r="A3" s="5" t="inlineStr">
        <is>
          <t>Cadastre cada lote uma vez e o saldo sera calculado automaticamente pelas movimentacoes.</t>
        </is>
      </c>
    </row>
    <row r="5">
      <c r="A5" s="6" t="inlineStr">
        <is>
          <t>ID_Produto</t>
        </is>
      </c>
      <c r="B5" s="6" t="inlineStr">
        <is>
          <t>Produto</t>
        </is>
      </c>
      <c r="C5" s="6" t="inlineStr">
        <is>
          <t>Lote</t>
        </is>
      </c>
      <c r="D5" s="6" t="inlineStr">
        <is>
          <t>Validade</t>
        </is>
      </c>
      <c r="E5" s="6" t="inlineStr">
        <is>
          <t>Dias_para_Vencer</t>
        </is>
      </c>
      <c r="F5" s="6" t="inlineStr">
        <is>
          <t>Status_Validade</t>
        </is>
      </c>
      <c r="G5" s="6" t="inlineStr">
        <is>
          <t>Entradas</t>
        </is>
      </c>
      <c r="H5" s="6" t="inlineStr">
        <is>
          <t>Saida_Uso</t>
        </is>
      </c>
      <c r="I5" s="6" t="inlineStr">
        <is>
          <t>Saida_Descarte</t>
        </is>
      </c>
      <c r="J5" s="6" t="inlineStr">
        <is>
          <t>Saldo</t>
        </is>
      </c>
      <c r="K5" s="6" t="inlineStr">
        <is>
          <t>Alerta_Estoque</t>
        </is>
      </c>
    </row>
    <row r="6">
      <c r="A6" s="7" t="inlineStr">
        <is>
          <t>PRD001</t>
        </is>
      </c>
      <c r="B6" s="7">
        <f>IFERROR(VLOOKUP(A6,Cadastro_Produtos!A:B,2,FALSE),"")</f>
        <v/>
      </c>
      <c r="C6" s="7" t="inlineStr">
        <is>
          <t>LOT-001</t>
        </is>
      </c>
      <c r="D6" s="10" t="inlineStr">
        <is>
          <t>20/06/2026</t>
        </is>
      </c>
      <c r="E6" s="11">
        <f>IF(D6="","",D6-TODAY())</f>
        <v/>
      </c>
      <c r="F6" s="8">
        <f>IF(D6="","",IF(E6&lt;0,"VENCIDO",IF(E6&lt;=30,"VENCE EM &lt;= 30 DIAS",IF(E6&lt;=60,"ATENCAO (31-60 DIAS)","OK"))))</f>
        <v/>
      </c>
      <c r="G6" s="11">
        <f>SUMIFS(Movimentacoes!$G:$G,Movimentacoes!$C:$C,$A6,Movimentacoes!$E:$E,$C6,Movimentacoes!$B:$B,"ENTRADA")</f>
        <v/>
      </c>
      <c r="H6" s="11">
        <f>SUMIFS(Movimentacoes!$G:$G,Movimentacoes!$C:$C,$A6,Movimentacoes!$E:$E,$C6,Movimentacoes!$B:$B,"SAIDA_USO")</f>
        <v/>
      </c>
      <c r="I6" s="11">
        <f>SUMIFS(Movimentacoes!$G:$G,Movimentacoes!$C:$C,$A6,Movimentacoes!$E:$E,$C6,Movimentacoes!$B:$B,"SAIDA_DESCARTE")</f>
        <v/>
      </c>
      <c r="J6" s="11">
        <f>G6-H6-I6</f>
        <v/>
      </c>
      <c r="K6" s="8">
        <f>IF(A6="","",IF(J6&lt;=IFERROR(VLOOKUP(A6,Cadastro_Produtos!$A:$E,5,FALSE),0),"ABAIXO DO MINIMO","OK"))</f>
        <v/>
      </c>
    </row>
    <row r="7">
      <c r="A7" s="7" t="n"/>
      <c r="B7" s="7">
        <f>IFERROR(VLOOKUP(A7,Cadastro_Produtos!A:B,2,FALSE),"")</f>
        <v/>
      </c>
      <c r="C7" s="7" t="n"/>
      <c r="D7" s="10" t="n"/>
      <c r="E7" s="11">
        <f>IF(D7="","",D7-TODAY())</f>
        <v/>
      </c>
      <c r="F7" s="8">
        <f>IF(D7="","",IF(E7&lt;0,"VENCIDO",IF(E7&lt;=30,"VENCE EM &lt;= 30 DIAS",IF(E7&lt;=60,"ATENCAO (31-60 DIAS)","OK"))))</f>
        <v/>
      </c>
      <c r="G7" s="11">
        <f>SUMIFS(Movimentacoes!$G:$G,Movimentacoes!$C:$C,$A7,Movimentacoes!$E:$E,$C7,Movimentacoes!$B:$B,"ENTRADA")</f>
        <v/>
      </c>
      <c r="H7" s="11">
        <f>SUMIFS(Movimentacoes!$G:$G,Movimentacoes!$C:$C,$A7,Movimentacoes!$E:$E,$C7,Movimentacoes!$B:$B,"SAIDA_USO")</f>
        <v/>
      </c>
      <c r="I7" s="11">
        <f>SUMIFS(Movimentacoes!$G:$G,Movimentacoes!$C:$C,$A7,Movimentacoes!$E:$E,$C7,Movimentacoes!$B:$B,"SAIDA_DESCARTE")</f>
        <v/>
      </c>
      <c r="J7" s="11">
        <f>G7-H7-I7</f>
        <v/>
      </c>
      <c r="K7" s="8">
        <f>IF(A7="","",IF(J7&lt;=IFERROR(VLOOKUP(A7,Cadastro_Produtos!$A:$E,5,FALSE),0),"ABAIXO DO MINIMO","OK"))</f>
        <v/>
      </c>
    </row>
    <row r="8">
      <c r="A8" s="7" t="n"/>
      <c r="B8" s="7">
        <f>IFERROR(VLOOKUP(A8,Cadastro_Produtos!A:B,2,FALSE),"")</f>
        <v/>
      </c>
      <c r="C8" s="7" t="n"/>
      <c r="D8" s="10" t="n"/>
      <c r="E8" s="11">
        <f>IF(D8="","",D8-TODAY())</f>
        <v/>
      </c>
      <c r="F8" s="8">
        <f>IF(D8="","",IF(E8&lt;0,"VENCIDO",IF(E8&lt;=30,"VENCE EM &lt;= 30 DIAS",IF(E8&lt;=60,"ATENCAO (31-60 DIAS)","OK"))))</f>
        <v/>
      </c>
      <c r="G8" s="11">
        <f>SUMIFS(Movimentacoes!$G:$G,Movimentacoes!$C:$C,$A8,Movimentacoes!$E:$E,$C8,Movimentacoes!$B:$B,"ENTRADA")</f>
        <v/>
      </c>
      <c r="H8" s="11">
        <f>SUMIFS(Movimentacoes!$G:$G,Movimentacoes!$C:$C,$A8,Movimentacoes!$E:$E,$C8,Movimentacoes!$B:$B,"SAIDA_USO")</f>
        <v/>
      </c>
      <c r="I8" s="11">
        <f>SUMIFS(Movimentacoes!$G:$G,Movimentacoes!$C:$C,$A8,Movimentacoes!$E:$E,$C8,Movimentacoes!$B:$B,"SAIDA_DESCARTE")</f>
        <v/>
      </c>
      <c r="J8" s="11">
        <f>G8-H8-I8</f>
        <v/>
      </c>
      <c r="K8" s="8">
        <f>IF(A8="","",IF(J8&lt;=IFERROR(VLOOKUP(A8,Cadastro_Produtos!$A:$E,5,FALSE),0),"ABAIXO DO MINIMO","OK"))</f>
        <v/>
      </c>
    </row>
    <row r="9">
      <c r="A9" s="7" t="n"/>
      <c r="B9" s="7">
        <f>IFERROR(VLOOKUP(A9,Cadastro_Produtos!A:B,2,FALSE),"")</f>
        <v/>
      </c>
      <c r="C9" s="7" t="n"/>
      <c r="D9" s="10" t="n"/>
      <c r="E9" s="11">
        <f>IF(D9="","",D9-TODAY())</f>
        <v/>
      </c>
      <c r="F9" s="8">
        <f>IF(D9="","",IF(E9&lt;0,"VENCIDO",IF(E9&lt;=30,"VENCE EM &lt;= 30 DIAS",IF(E9&lt;=60,"ATENCAO (31-60 DIAS)","OK"))))</f>
        <v/>
      </c>
      <c r="G9" s="11">
        <f>SUMIFS(Movimentacoes!$G:$G,Movimentacoes!$C:$C,$A9,Movimentacoes!$E:$E,$C9,Movimentacoes!$B:$B,"ENTRADA")</f>
        <v/>
      </c>
      <c r="H9" s="11">
        <f>SUMIFS(Movimentacoes!$G:$G,Movimentacoes!$C:$C,$A9,Movimentacoes!$E:$E,$C9,Movimentacoes!$B:$B,"SAIDA_USO")</f>
        <v/>
      </c>
      <c r="I9" s="11">
        <f>SUMIFS(Movimentacoes!$G:$G,Movimentacoes!$C:$C,$A9,Movimentacoes!$E:$E,$C9,Movimentacoes!$B:$B,"SAIDA_DESCARTE")</f>
        <v/>
      </c>
      <c r="J9" s="11">
        <f>G9-H9-I9</f>
        <v/>
      </c>
      <c r="K9" s="8">
        <f>IF(A9="","",IF(J9&lt;=IFERROR(VLOOKUP(A9,Cadastro_Produtos!$A:$E,5,FALSE),0),"ABAIXO DO MINIMO","OK"))</f>
        <v/>
      </c>
    </row>
    <row r="10">
      <c r="A10" s="7" t="n"/>
      <c r="B10" s="7">
        <f>IFERROR(VLOOKUP(A10,Cadastro_Produtos!A:B,2,FALSE),"")</f>
        <v/>
      </c>
      <c r="C10" s="7" t="n"/>
      <c r="D10" s="10" t="n"/>
      <c r="E10" s="11">
        <f>IF(D10="","",D10-TODAY())</f>
        <v/>
      </c>
      <c r="F10" s="8">
        <f>IF(D10="","",IF(E10&lt;0,"VENCIDO",IF(E10&lt;=30,"VENCE EM &lt;= 30 DIAS",IF(E10&lt;=60,"ATENCAO (31-60 DIAS)","OK"))))</f>
        <v/>
      </c>
      <c r="G10" s="11">
        <f>SUMIFS(Movimentacoes!$G:$G,Movimentacoes!$C:$C,$A10,Movimentacoes!$E:$E,$C10,Movimentacoes!$B:$B,"ENTRADA")</f>
        <v/>
      </c>
      <c r="H10" s="11">
        <f>SUMIFS(Movimentacoes!$G:$G,Movimentacoes!$C:$C,$A10,Movimentacoes!$E:$E,$C10,Movimentacoes!$B:$B,"SAIDA_USO")</f>
        <v/>
      </c>
      <c r="I10" s="11">
        <f>SUMIFS(Movimentacoes!$G:$G,Movimentacoes!$C:$C,$A10,Movimentacoes!$E:$E,$C10,Movimentacoes!$B:$B,"SAIDA_DESCARTE")</f>
        <v/>
      </c>
      <c r="J10" s="11">
        <f>G10-H10-I10</f>
        <v/>
      </c>
      <c r="K10" s="8">
        <f>IF(A10="","",IF(J10&lt;=IFERROR(VLOOKUP(A10,Cadastro_Produtos!$A:$E,5,FALSE),0),"ABAIXO DO MINIMO","OK"))</f>
        <v/>
      </c>
    </row>
    <row r="11">
      <c r="A11" s="7" t="n"/>
      <c r="B11" s="7">
        <f>IFERROR(VLOOKUP(A11,Cadastro_Produtos!A:B,2,FALSE),"")</f>
        <v/>
      </c>
      <c r="C11" s="7" t="n"/>
      <c r="D11" s="10" t="n"/>
      <c r="E11" s="11">
        <f>IF(D11="","",D11-TODAY())</f>
        <v/>
      </c>
      <c r="F11" s="8">
        <f>IF(D11="","",IF(E11&lt;0,"VENCIDO",IF(E11&lt;=30,"VENCE EM &lt;= 30 DIAS",IF(E11&lt;=60,"ATENCAO (31-60 DIAS)","OK"))))</f>
        <v/>
      </c>
      <c r="G11" s="11">
        <f>SUMIFS(Movimentacoes!$G:$G,Movimentacoes!$C:$C,$A11,Movimentacoes!$E:$E,$C11,Movimentacoes!$B:$B,"ENTRADA")</f>
        <v/>
      </c>
      <c r="H11" s="11">
        <f>SUMIFS(Movimentacoes!$G:$G,Movimentacoes!$C:$C,$A11,Movimentacoes!$E:$E,$C11,Movimentacoes!$B:$B,"SAIDA_USO")</f>
        <v/>
      </c>
      <c r="I11" s="11">
        <f>SUMIFS(Movimentacoes!$G:$G,Movimentacoes!$C:$C,$A11,Movimentacoes!$E:$E,$C11,Movimentacoes!$B:$B,"SAIDA_DESCARTE")</f>
        <v/>
      </c>
      <c r="J11" s="11">
        <f>G11-H11-I11</f>
        <v/>
      </c>
      <c r="K11" s="8">
        <f>IF(A11="","",IF(J11&lt;=IFERROR(VLOOKUP(A11,Cadastro_Produtos!$A:$E,5,FALSE),0),"ABAIXO DO MINIMO","OK"))</f>
        <v/>
      </c>
    </row>
    <row r="12">
      <c r="A12" s="7" t="n"/>
      <c r="B12" s="7">
        <f>IFERROR(VLOOKUP(A12,Cadastro_Produtos!A:B,2,FALSE),"")</f>
        <v/>
      </c>
      <c r="C12" s="7" t="n"/>
      <c r="D12" s="10" t="n"/>
      <c r="E12" s="11">
        <f>IF(D12="","",D12-TODAY())</f>
        <v/>
      </c>
      <c r="F12" s="8">
        <f>IF(D12="","",IF(E12&lt;0,"VENCIDO",IF(E12&lt;=30,"VENCE EM &lt;= 30 DIAS",IF(E12&lt;=60,"ATENCAO (31-60 DIAS)","OK"))))</f>
        <v/>
      </c>
      <c r="G12" s="11">
        <f>SUMIFS(Movimentacoes!$G:$G,Movimentacoes!$C:$C,$A12,Movimentacoes!$E:$E,$C12,Movimentacoes!$B:$B,"ENTRADA")</f>
        <v/>
      </c>
      <c r="H12" s="11">
        <f>SUMIFS(Movimentacoes!$G:$G,Movimentacoes!$C:$C,$A12,Movimentacoes!$E:$E,$C12,Movimentacoes!$B:$B,"SAIDA_USO")</f>
        <v/>
      </c>
      <c r="I12" s="11">
        <f>SUMIFS(Movimentacoes!$G:$G,Movimentacoes!$C:$C,$A12,Movimentacoes!$E:$E,$C12,Movimentacoes!$B:$B,"SAIDA_DESCARTE")</f>
        <v/>
      </c>
      <c r="J12" s="11">
        <f>G12-H12-I12</f>
        <v/>
      </c>
      <c r="K12" s="8">
        <f>IF(A12="","",IF(J12&lt;=IFERROR(VLOOKUP(A12,Cadastro_Produtos!$A:$E,5,FALSE),0),"ABAIXO DO MINIMO","OK"))</f>
        <v/>
      </c>
    </row>
    <row r="13">
      <c r="A13" s="7" t="n"/>
      <c r="B13" s="7">
        <f>IFERROR(VLOOKUP(A13,Cadastro_Produtos!A:B,2,FALSE),"")</f>
        <v/>
      </c>
      <c r="C13" s="7" t="n"/>
      <c r="D13" s="10" t="n"/>
      <c r="E13" s="11">
        <f>IF(D13="","",D13-TODAY())</f>
        <v/>
      </c>
      <c r="F13" s="8">
        <f>IF(D13="","",IF(E13&lt;0,"VENCIDO",IF(E13&lt;=30,"VENCE EM &lt;= 30 DIAS",IF(E13&lt;=60,"ATENCAO (31-60 DIAS)","OK"))))</f>
        <v/>
      </c>
      <c r="G13" s="11">
        <f>SUMIFS(Movimentacoes!$G:$G,Movimentacoes!$C:$C,$A13,Movimentacoes!$E:$E,$C13,Movimentacoes!$B:$B,"ENTRADA")</f>
        <v/>
      </c>
      <c r="H13" s="11">
        <f>SUMIFS(Movimentacoes!$G:$G,Movimentacoes!$C:$C,$A13,Movimentacoes!$E:$E,$C13,Movimentacoes!$B:$B,"SAIDA_USO")</f>
        <v/>
      </c>
      <c r="I13" s="11">
        <f>SUMIFS(Movimentacoes!$G:$G,Movimentacoes!$C:$C,$A13,Movimentacoes!$E:$E,$C13,Movimentacoes!$B:$B,"SAIDA_DESCARTE")</f>
        <v/>
      </c>
      <c r="J13" s="11">
        <f>G13-H13-I13</f>
        <v/>
      </c>
      <c r="K13" s="8">
        <f>IF(A13="","",IF(J13&lt;=IFERROR(VLOOKUP(A13,Cadastro_Produtos!$A:$E,5,FALSE),0),"ABAIXO DO MINIMO","OK"))</f>
        <v/>
      </c>
    </row>
    <row r="14">
      <c r="A14" s="7" t="n"/>
      <c r="B14" s="7">
        <f>IFERROR(VLOOKUP(A14,Cadastro_Produtos!A:B,2,FALSE),"")</f>
        <v/>
      </c>
      <c r="C14" s="7" t="n"/>
      <c r="D14" s="10" t="n"/>
      <c r="E14" s="11">
        <f>IF(D14="","",D14-TODAY())</f>
        <v/>
      </c>
      <c r="F14" s="8">
        <f>IF(D14="","",IF(E14&lt;0,"VENCIDO",IF(E14&lt;=30,"VENCE EM &lt;= 30 DIAS",IF(E14&lt;=60,"ATENCAO (31-60 DIAS)","OK"))))</f>
        <v/>
      </c>
      <c r="G14" s="11">
        <f>SUMIFS(Movimentacoes!$G:$G,Movimentacoes!$C:$C,$A14,Movimentacoes!$E:$E,$C14,Movimentacoes!$B:$B,"ENTRADA")</f>
        <v/>
      </c>
      <c r="H14" s="11">
        <f>SUMIFS(Movimentacoes!$G:$G,Movimentacoes!$C:$C,$A14,Movimentacoes!$E:$E,$C14,Movimentacoes!$B:$B,"SAIDA_USO")</f>
        <v/>
      </c>
      <c r="I14" s="11">
        <f>SUMIFS(Movimentacoes!$G:$G,Movimentacoes!$C:$C,$A14,Movimentacoes!$E:$E,$C14,Movimentacoes!$B:$B,"SAIDA_DESCARTE")</f>
        <v/>
      </c>
      <c r="J14" s="11">
        <f>G14-H14-I14</f>
        <v/>
      </c>
      <c r="K14" s="8">
        <f>IF(A14="","",IF(J14&lt;=IFERROR(VLOOKUP(A14,Cadastro_Produtos!$A:$E,5,FALSE),0),"ABAIXO DO MINIMO","OK"))</f>
        <v/>
      </c>
    </row>
    <row r="15">
      <c r="A15" s="7" t="n"/>
      <c r="B15" s="7">
        <f>IFERROR(VLOOKUP(A15,Cadastro_Produtos!A:B,2,FALSE),"")</f>
        <v/>
      </c>
      <c r="C15" s="7" t="n"/>
      <c r="D15" s="10" t="n"/>
      <c r="E15" s="11">
        <f>IF(D15="","",D15-TODAY())</f>
        <v/>
      </c>
      <c r="F15" s="8">
        <f>IF(D15="","",IF(E15&lt;0,"VENCIDO",IF(E15&lt;=30,"VENCE EM &lt;= 30 DIAS",IF(E15&lt;=60,"ATENCAO (31-60 DIAS)","OK"))))</f>
        <v/>
      </c>
      <c r="G15" s="11">
        <f>SUMIFS(Movimentacoes!$G:$G,Movimentacoes!$C:$C,$A15,Movimentacoes!$E:$E,$C15,Movimentacoes!$B:$B,"ENTRADA")</f>
        <v/>
      </c>
      <c r="H15" s="11">
        <f>SUMIFS(Movimentacoes!$G:$G,Movimentacoes!$C:$C,$A15,Movimentacoes!$E:$E,$C15,Movimentacoes!$B:$B,"SAIDA_USO")</f>
        <v/>
      </c>
      <c r="I15" s="11">
        <f>SUMIFS(Movimentacoes!$G:$G,Movimentacoes!$C:$C,$A15,Movimentacoes!$E:$E,$C15,Movimentacoes!$B:$B,"SAIDA_DESCARTE")</f>
        <v/>
      </c>
      <c r="J15" s="11">
        <f>G15-H15-I15</f>
        <v/>
      </c>
      <c r="K15" s="8">
        <f>IF(A15="","",IF(J15&lt;=IFERROR(VLOOKUP(A15,Cadastro_Produtos!$A:$E,5,FALSE),0),"ABAIXO DO MINIMO","OK"))</f>
        <v/>
      </c>
    </row>
    <row r="16">
      <c r="A16" s="7" t="n"/>
      <c r="B16" s="7">
        <f>IFERROR(VLOOKUP(A16,Cadastro_Produtos!A:B,2,FALSE),"")</f>
        <v/>
      </c>
      <c r="C16" s="7" t="n"/>
      <c r="D16" s="10" t="n"/>
      <c r="E16" s="11">
        <f>IF(D16="","",D16-TODAY())</f>
        <v/>
      </c>
      <c r="F16" s="8">
        <f>IF(D16="","",IF(E16&lt;0,"VENCIDO",IF(E16&lt;=30,"VENCE EM &lt;= 30 DIAS",IF(E16&lt;=60,"ATENCAO (31-60 DIAS)","OK"))))</f>
        <v/>
      </c>
      <c r="G16" s="11">
        <f>SUMIFS(Movimentacoes!$G:$G,Movimentacoes!$C:$C,$A16,Movimentacoes!$E:$E,$C16,Movimentacoes!$B:$B,"ENTRADA")</f>
        <v/>
      </c>
      <c r="H16" s="11">
        <f>SUMIFS(Movimentacoes!$G:$G,Movimentacoes!$C:$C,$A16,Movimentacoes!$E:$E,$C16,Movimentacoes!$B:$B,"SAIDA_USO")</f>
        <v/>
      </c>
      <c r="I16" s="11">
        <f>SUMIFS(Movimentacoes!$G:$G,Movimentacoes!$C:$C,$A16,Movimentacoes!$E:$E,$C16,Movimentacoes!$B:$B,"SAIDA_DESCARTE")</f>
        <v/>
      </c>
      <c r="J16" s="11">
        <f>G16-H16-I16</f>
        <v/>
      </c>
      <c r="K16" s="8">
        <f>IF(A16="","",IF(J16&lt;=IFERROR(VLOOKUP(A16,Cadastro_Produtos!$A:$E,5,FALSE),0),"ABAIXO DO MINIMO","OK"))</f>
        <v/>
      </c>
    </row>
    <row r="17">
      <c r="A17" s="7" t="n"/>
      <c r="B17" s="7">
        <f>IFERROR(VLOOKUP(A17,Cadastro_Produtos!A:B,2,FALSE),"")</f>
        <v/>
      </c>
      <c r="C17" s="7" t="n"/>
      <c r="D17" s="10" t="n"/>
      <c r="E17" s="11">
        <f>IF(D17="","",D17-TODAY())</f>
        <v/>
      </c>
      <c r="F17" s="8">
        <f>IF(D17="","",IF(E17&lt;0,"VENCIDO",IF(E17&lt;=30,"VENCE EM &lt;= 30 DIAS",IF(E17&lt;=60,"ATENCAO (31-60 DIAS)","OK"))))</f>
        <v/>
      </c>
      <c r="G17" s="11">
        <f>SUMIFS(Movimentacoes!$G:$G,Movimentacoes!$C:$C,$A17,Movimentacoes!$E:$E,$C17,Movimentacoes!$B:$B,"ENTRADA")</f>
        <v/>
      </c>
      <c r="H17" s="11">
        <f>SUMIFS(Movimentacoes!$G:$G,Movimentacoes!$C:$C,$A17,Movimentacoes!$E:$E,$C17,Movimentacoes!$B:$B,"SAIDA_USO")</f>
        <v/>
      </c>
      <c r="I17" s="11">
        <f>SUMIFS(Movimentacoes!$G:$G,Movimentacoes!$C:$C,$A17,Movimentacoes!$E:$E,$C17,Movimentacoes!$B:$B,"SAIDA_DESCARTE")</f>
        <v/>
      </c>
      <c r="J17" s="11">
        <f>G17-H17-I17</f>
        <v/>
      </c>
      <c r="K17" s="8">
        <f>IF(A17="","",IF(J17&lt;=IFERROR(VLOOKUP(A17,Cadastro_Produtos!$A:$E,5,FALSE),0),"ABAIXO DO MINIMO","OK"))</f>
        <v/>
      </c>
    </row>
    <row r="18">
      <c r="A18" s="7" t="n"/>
      <c r="B18" s="7">
        <f>IFERROR(VLOOKUP(A18,Cadastro_Produtos!A:B,2,FALSE),"")</f>
        <v/>
      </c>
      <c r="C18" s="7" t="n"/>
      <c r="D18" s="10" t="n"/>
      <c r="E18" s="11">
        <f>IF(D18="","",D18-TODAY())</f>
        <v/>
      </c>
      <c r="F18" s="8">
        <f>IF(D18="","",IF(E18&lt;0,"VENCIDO",IF(E18&lt;=30,"VENCE EM &lt;= 30 DIAS",IF(E18&lt;=60,"ATENCAO (31-60 DIAS)","OK"))))</f>
        <v/>
      </c>
      <c r="G18" s="11">
        <f>SUMIFS(Movimentacoes!$G:$G,Movimentacoes!$C:$C,$A18,Movimentacoes!$E:$E,$C18,Movimentacoes!$B:$B,"ENTRADA")</f>
        <v/>
      </c>
      <c r="H18" s="11">
        <f>SUMIFS(Movimentacoes!$G:$G,Movimentacoes!$C:$C,$A18,Movimentacoes!$E:$E,$C18,Movimentacoes!$B:$B,"SAIDA_USO")</f>
        <v/>
      </c>
      <c r="I18" s="11">
        <f>SUMIFS(Movimentacoes!$G:$G,Movimentacoes!$C:$C,$A18,Movimentacoes!$E:$E,$C18,Movimentacoes!$B:$B,"SAIDA_DESCARTE")</f>
        <v/>
      </c>
      <c r="J18" s="11">
        <f>G18-H18-I18</f>
        <v/>
      </c>
      <c r="K18" s="8">
        <f>IF(A18="","",IF(J18&lt;=IFERROR(VLOOKUP(A18,Cadastro_Produtos!$A:$E,5,FALSE),0),"ABAIXO DO MINIMO","OK"))</f>
        <v/>
      </c>
    </row>
    <row r="19">
      <c r="A19" s="7" t="n"/>
      <c r="B19" s="7">
        <f>IFERROR(VLOOKUP(A19,Cadastro_Produtos!A:B,2,FALSE),"")</f>
        <v/>
      </c>
      <c r="C19" s="7" t="n"/>
      <c r="D19" s="10" t="n"/>
      <c r="E19" s="11">
        <f>IF(D19="","",D19-TODAY())</f>
        <v/>
      </c>
      <c r="F19" s="8">
        <f>IF(D19="","",IF(E19&lt;0,"VENCIDO",IF(E19&lt;=30,"VENCE EM &lt;= 30 DIAS",IF(E19&lt;=60,"ATENCAO (31-60 DIAS)","OK"))))</f>
        <v/>
      </c>
      <c r="G19" s="11">
        <f>SUMIFS(Movimentacoes!$G:$G,Movimentacoes!$C:$C,$A19,Movimentacoes!$E:$E,$C19,Movimentacoes!$B:$B,"ENTRADA")</f>
        <v/>
      </c>
      <c r="H19" s="11">
        <f>SUMIFS(Movimentacoes!$G:$G,Movimentacoes!$C:$C,$A19,Movimentacoes!$E:$E,$C19,Movimentacoes!$B:$B,"SAIDA_USO")</f>
        <v/>
      </c>
      <c r="I19" s="11">
        <f>SUMIFS(Movimentacoes!$G:$G,Movimentacoes!$C:$C,$A19,Movimentacoes!$E:$E,$C19,Movimentacoes!$B:$B,"SAIDA_DESCARTE")</f>
        <v/>
      </c>
      <c r="J19" s="11">
        <f>G19-H19-I19</f>
        <v/>
      </c>
      <c r="K19" s="8">
        <f>IF(A19="","",IF(J19&lt;=IFERROR(VLOOKUP(A19,Cadastro_Produtos!$A:$E,5,FALSE),0),"ABAIXO DO MINIMO","OK"))</f>
        <v/>
      </c>
    </row>
    <row r="20">
      <c r="A20" s="7" t="n"/>
      <c r="B20" s="7">
        <f>IFERROR(VLOOKUP(A20,Cadastro_Produtos!A:B,2,FALSE),"")</f>
        <v/>
      </c>
      <c r="C20" s="7" t="n"/>
      <c r="D20" s="10" t="n"/>
      <c r="E20" s="11">
        <f>IF(D20="","",D20-TODAY())</f>
        <v/>
      </c>
      <c r="F20" s="8">
        <f>IF(D20="","",IF(E20&lt;0,"VENCIDO",IF(E20&lt;=30,"VENCE EM &lt;= 30 DIAS",IF(E20&lt;=60,"ATENCAO (31-60 DIAS)","OK"))))</f>
        <v/>
      </c>
      <c r="G20" s="11">
        <f>SUMIFS(Movimentacoes!$G:$G,Movimentacoes!$C:$C,$A20,Movimentacoes!$E:$E,$C20,Movimentacoes!$B:$B,"ENTRADA")</f>
        <v/>
      </c>
      <c r="H20" s="11">
        <f>SUMIFS(Movimentacoes!$G:$G,Movimentacoes!$C:$C,$A20,Movimentacoes!$E:$E,$C20,Movimentacoes!$B:$B,"SAIDA_USO")</f>
        <v/>
      </c>
      <c r="I20" s="11">
        <f>SUMIFS(Movimentacoes!$G:$G,Movimentacoes!$C:$C,$A20,Movimentacoes!$E:$E,$C20,Movimentacoes!$B:$B,"SAIDA_DESCARTE")</f>
        <v/>
      </c>
      <c r="J20" s="11">
        <f>G20-H20-I20</f>
        <v/>
      </c>
      <c r="K20" s="8">
        <f>IF(A20="","",IF(J20&lt;=IFERROR(VLOOKUP(A20,Cadastro_Produtos!$A:$E,5,FALSE),0),"ABAIXO DO MINIMO","OK"))</f>
        <v/>
      </c>
    </row>
    <row r="21">
      <c r="A21" s="7" t="n"/>
      <c r="B21" s="7">
        <f>IFERROR(VLOOKUP(A21,Cadastro_Produtos!A:B,2,FALSE),"")</f>
        <v/>
      </c>
      <c r="C21" s="7" t="n"/>
      <c r="D21" s="10" t="n"/>
      <c r="E21" s="11">
        <f>IF(D21="","",D21-TODAY())</f>
        <v/>
      </c>
      <c r="F21" s="8">
        <f>IF(D21="","",IF(E21&lt;0,"VENCIDO",IF(E21&lt;=30,"VENCE EM &lt;= 30 DIAS",IF(E21&lt;=60,"ATENCAO (31-60 DIAS)","OK"))))</f>
        <v/>
      </c>
      <c r="G21" s="11">
        <f>SUMIFS(Movimentacoes!$G:$G,Movimentacoes!$C:$C,$A21,Movimentacoes!$E:$E,$C21,Movimentacoes!$B:$B,"ENTRADA")</f>
        <v/>
      </c>
      <c r="H21" s="11">
        <f>SUMIFS(Movimentacoes!$G:$G,Movimentacoes!$C:$C,$A21,Movimentacoes!$E:$E,$C21,Movimentacoes!$B:$B,"SAIDA_USO")</f>
        <v/>
      </c>
      <c r="I21" s="11">
        <f>SUMIFS(Movimentacoes!$G:$G,Movimentacoes!$C:$C,$A21,Movimentacoes!$E:$E,$C21,Movimentacoes!$B:$B,"SAIDA_DESCARTE")</f>
        <v/>
      </c>
      <c r="J21" s="11">
        <f>G21-H21-I21</f>
        <v/>
      </c>
      <c r="K21" s="8">
        <f>IF(A21="","",IF(J21&lt;=IFERROR(VLOOKUP(A21,Cadastro_Produtos!$A:$E,5,FALSE),0),"ABAIXO DO MINIMO","OK"))</f>
        <v/>
      </c>
    </row>
    <row r="22">
      <c r="A22" s="7" t="n"/>
      <c r="B22" s="7">
        <f>IFERROR(VLOOKUP(A22,Cadastro_Produtos!A:B,2,FALSE),"")</f>
        <v/>
      </c>
      <c r="C22" s="7" t="n"/>
      <c r="D22" s="10" t="n"/>
      <c r="E22" s="11">
        <f>IF(D22="","",D22-TODAY())</f>
        <v/>
      </c>
      <c r="F22" s="8">
        <f>IF(D22="","",IF(E22&lt;0,"VENCIDO",IF(E22&lt;=30,"VENCE EM &lt;= 30 DIAS",IF(E22&lt;=60,"ATENCAO (31-60 DIAS)","OK"))))</f>
        <v/>
      </c>
      <c r="G22" s="11">
        <f>SUMIFS(Movimentacoes!$G:$G,Movimentacoes!$C:$C,$A22,Movimentacoes!$E:$E,$C22,Movimentacoes!$B:$B,"ENTRADA")</f>
        <v/>
      </c>
      <c r="H22" s="11">
        <f>SUMIFS(Movimentacoes!$G:$G,Movimentacoes!$C:$C,$A22,Movimentacoes!$E:$E,$C22,Movimentacoes!$B:$B,"SAIDA_USO")</f>
        <v/>
      </c>
      <c r="I22" s="11">
        <f>SUMIFS(Movimentacoes!$G:$G,Movimentacoes!$C:$C,$A22,Movimentacoes!$E:$E,$C22,Movimentacoes!$B:$B,"SAIDA_DESCARTE")</f>
        <v/>
      </c>
      <c r="J22" s="11">
        <f>G22-H22-I22</f>
        <v/>
      </c>
      <c r="K22" s="8">
        <f>IF(A22="","",IF(J22&lt;=IFERROR(VLOOKUP(A22,Cadastro_Produtos!$A:$E,5,FALSE),0),"ABAIXO DO MINIMO","OK"))</f>
        <v/>
      </c>
    </row>
    <row r="23">
      <c r="A23" s="7" t="n"/>
      <c r="B23" s="7">
        <f>IFERROR(VLOOKUP(A23,Cadastro_Produtos!A:B,2,FALSE),"")</f>
        <v/>
      </c>
      <c r="C23" s="7" t="n"/>
      <c r="D23" s="10" t="n"/>
      <c r="E23" s="11">
        <f>IF(D23="","",D23-TODAY())</f>
        <v/>
      </c>
      <c r="F23" s="8">
        <f>IF(D23="","",IF(E23&lt;0,"VENCIDO",IF(E23&lt;=30,"VENCE EM &lt;= 30 DIAS",IF(E23&lt;=60,"ATENCAO (31-60 DIAS)","OK"))))</f>
        <v/>
      </c>
      <c r="G23" s="11">
        <f>SUMIFS(Movimentacoes!$G:$G,Movimentacoes!$C:$C,$A23,Movimentacoes!$E:$E,$C23,Movimentacoes!$B:$B,"ENTRADA")</f>
        <v/>
      </c>
      <c r="H23" s="11">
        <f>SUMIFS(Movimentacoes!$G:$G,Movimentacoes!$C:$C,$A23,Movimentacoes!$E:$E,$C23,Movimentacoes!$B:$B,"SAIDA_USO")</f>
        <v/>
      </c>
      <c r="I23" s="11">
        <f>SUMIFS(Movimentacoes!$G:$G,Movimentacoes!$C:$C,$A23,Movimentacoes!$E:$E,$C23,Movimentacoes!$B:$B,"SAIDA_DESCARTE")</f>
        <v/>
      </c>
      <c r="J23" s="11">
        <f>G23-H23-I23</f>
        <v/>
      </c>
      <c r="K23" s="8">
        <f>IF(A23="","",IF(J23&lt;=IFERROR(VLOOKUP(A23,Cadastro_Produtos!$A:$E,5,FALSE),0),"ABAIXO DO MINIMO","OK"))</f>
        <v/>
      </c>
    </row>
    <row r="24">
      <c r="A24" s="7" t="n"/>
      <c r="B24" s="7">
        <f>IFERROR(VLOOKUP(A24,Cadastro_Produtos!A:B,2,FALSE),"")</f>
        <v/>
      </c>
      <c r="C24" s="7" t="n"/>
      <c r="D24" s="10" t="n"/>
      <c r="E24" s="11">
        <f>IF(D24="","",D24-TODAY())</f>
        <v/>
      </c>
      <c r="F24" s="8">
        <f>IF(D24="","",IF(E24&lt;0,"VENCIDO",IF(E24&lt;=30,"VENCE EM &lt;= 30 DIAS",IF(E24&lt;=60,"ATENCAO (31-60 DIAS)","OK"))))</f>
        <v/>
      </c>
      <c r="G24" s="11">
        <f>SUMIFS(Movimentacoes!$G:$G,Movimentacoes!$C:$C,$A24,Movimentacoes!$E:$E,$C24,Movimentacoes!$B:$B,"ENTRADA")</f>
        <v/>
      </c>
      <c r="H24" s="11">
        <f>SUMIFS(Movimentacoes!$G:$G,Movimentacoes!$C:$C,$A24,Movimentacoes!$E:$E,$C24,Movimentacoes!$B:$B,"SAIDA_USO")</f>
        <v/>
      </c>
      <c r="I24" s="11">
        <f>SUMIFS(Movimentacoes!$G:$G,Movimentacoes!$C:$C,$A24,Movimentacoes!$E:$E,$C24,Movimentacoes!$B:$B,"SAIDA_DESCARTE")</f>
        <v/>
      </c>
      <c r="J24" s="11">
        <f>G24-H24-I24</f>
        <v/>
      </c>
      <c r="K24" s="8">
        <f>IF(A24="","",IF(J24&lt;=IFERROR(VLOOKUP(A24,Cadastro_Produtos!$A:$E,5,FALSE),0),"ABAIXO DO MINIMO","OK"))</f>
        <v/>
      </c>
    </row>
    <row r="25">
      <c r="A25" s="7" t="n"/>
      <c r="B25" s="7">
        <f>IFERROR(VLOOKUP(A25,Cadastro_Produtos!A:B,2,FALSE),"")</f>
        <v/>
      </c>
      <c r="C25" s="7" t="n"/>
      <c r="D25" s="10" t="n"/>
      <c r="E25" s="11">
        <f>IF(D25="","",D25-TODAY())</f>
        <v/>
      </c>
      <c r="F25" s="8">
        <f>IF(D25="","",IF(E25&lt;0,"VENCIDO",IF(E25&lt;=30,"VENCE EM &lt;= 30 DIAS",IF(E25&lt;=60,"ATENCAO (31-60 DIAS)","OK"))))</f>
        <v/>
      </c>
      <c r="G25" s="11">
        <f>SUMIFS(Movimentacoes!$G:$G,Movimentacoes!$C:$C,$A25,Movimentacoes!$E:$E,$C25,Movimentacoes!$B:$B,"ENTRADA")</f>
        <v/>
      </c>
      <c r="H25" s="11">
        <f>SUMIFS(Movimentacoes!$G:$G,Movimentacoes!$C:$C,$A25,Movimentacoes!$E:$E,$C25,Movimentacoes!$B:$B,"SAIDA_USO")</f>
        <v/>
      </c>
      <c r="I25" s="11">
        <f>SUMIFS(Movimentacoes!$G:$G,Movimentacoes!$C:$C,$A25,Movimentacoes!$E:$E,$C25,Movimentacoes!$B:$B,"SAIDA_DESCARTE")</f>
        <v/>
      </c>
      <c r="J25" s="11">
        <f>G25-H25-I25</f>
        <v/>
      </c>
      <c r="K25" s="8">
        <f>IF(A25="","",IF(J25&lt;=IFERROR(VLOOKUP(A25,Cadastro_Produtos!$A:$E,5,FALSE),0),"ABAIXO DO MINIMO","OK"))</f>
        <v/>
      </c>
    </row>
    <row r="26">
      <c r="A26" s="7" t="n"/>
      <c r="B26" s="7">
        <f>IFERROR(VLOOKUP(A26,Cadastro_Produtos!A:B,2,FALSE),"")</f>
        <v/>
      </c>
      <c r="C26" s="7" t="n"/>
      <c r="D26" s="10" t="n"/>
      <c r="E26" s="11">
        <f>IF(D26="","",D26-TODAY())</f>
        <v/>
      </c>
      <c r="F26" s="8">
        <f>IF(D26="","",IF(E26&lt;0,"VENCIDO",IF(E26&lt;=30,"VENCE EM &lt;= 30 DIAS",IF(E26&lt;=60,"ATENCAO (31-60 DIAS)","OK"))))</f>
        <v/>
      </c>
      <c r="G26" s="11">
        <f>SUMIFS(Movimentacoes!$G:$G,Movimentacoes!$C:$C,$A26,Movimentacoes!$E:$E,$C26,Movimentacoes!$B:$B,"ENTRADA")</f>
        <v/>
      </c>
      <c r="H26" s="11">
        <f>SUMIFS(Movimentacoes!$G:$G,Movimentacoes!$C:$C,$A26,Movimentacoes!$E:$E,$C26,Movimentacoes!$B:$B,"SAIDA_USO")</f>
        <v/>
      </c>
      <c r="I26" s="11">
        <f>SUMIFS(Movimentacoes!$G:$G,Movimentacoes!$C:$C,$A26,Movimentacoes!$E:$E,$C26,Movimentacoes!$B:$B,"SAIDA_DESCARTE")</f>
        <v/>
      </c>
      <c r="J26" s="11">
        <f>G26-H26-I26</f>
        <v/>
      </c>
      <c r="K26" s="8">
        <f>IF(A26="","",IF(J26&lt;=IFERROR(VLOOKUP(A26,Cadastro_Produtos!$A:$E,5,FALSE),0),"ABAIXO DO MINIMO","OK"))</f>
        <v/>
      </c>
    </row>
    <row r="27">
      <c r="A27" s="7" t="n"/>
      <c r="B27" s="7">
        <f>IFERROR(VLOOKUP(A27,Cadastro_Produtos!A:B,2,FALSE),"")</f>
        <v/>
      </c>
      <c r="C27" s="7" t="n"/>
      <c r="D27" s="10" t="n"/>
      <c r="E27" s="11">
        <f>IF(D27="","",D27-TODAY())</f>
        <v/>
      </c>
      <c r="F27" s="8">
        <f>IF(D27="","",IF(E27&lt;0,"VENCIDO",IF(E27&lt;=30,"VENCE EM &lt;= 30 DIAS",IF(E27&lt;=60,"ATENCAO (31-60 DIAS)","OK"))))</f>
        <v/>
      </c>
      <c r="G27" s="11">
        <f>SUMIFS(Movimentacoes!$G:$G,Movimentacoes!$C:$C,$A27,Movimentacoes!$E:$E,$C27,Movimentacoes!$B:$B,"ENTRADA")</f>
        <v/>
      </c>
      <c r="H27" s="11">
        <f>SUMIFS(Movimentacoes!$G:$G,Movimentacoes!$C:$C,$A27,Movimentacoes!$E:$E,$C27,Movimentacoes!$B:$B,"SAIDA_USO")</f>
        <v/>
      </c>
      <c r="I27" s="11">
        <f>SUMIFS(Movimentacoes!$G:$G,Movimentacoes!$C:$C,$A27,Movimentacoes!$E:$E,$C27,Movimentacoes!$B:$B,"SAIDA_DESCARTE")</f>
        <v/>
      </c>
      <c r="J27" s="11">
        <f>G27-H27-I27</f>
        <v/>
      </c>
      <c r="K27" s="8">
        <f>IF(A27="","",IF(J27&lt;=IFERROR(VLOOKUP(A27,Cadastro_Produtos!$A:$E,5,FALSE),0),"ABAIXO DO MINIMO","OK"))</f>
        <v/>
      </c>
    </row>
    <row r="28">
      <c r="A28" s="7" t="n"/>
      <c r="B28" s="7">
        <f>IFERROR(VLOOKUP(A28,Cadastro_Produtos!A:B,2,FALSE),"")</f>
        <v/>
      </c>
      <c r="C28" s="7" t="n"/>
      <c r="D28" s="10" t="n"/>
      <c r="E28" s="11">
        <f>IF(D28="","",D28-TODAY())</f>
        <v/>
      </c>
      <c r="F28" s="8">
        <f>IF(D28="","",IF(E28&lt;0,"VENCIDO",IF(E28&lt;=30,"VENCE EM &lt;= 30 DIAS",IF(E28&lt;=60,"ATENCAO (31-60 DIAS)","OK"))))</f>
        <v/>
      </c>
      <c r="G28" s="11">
        <f>SUMIFS(Movimentacoes!$G:$G,Movimentacoes!$C:$C,$A28,Movimentacoes!$E:$E,$C28,Movimentacoes!$B:$B,"ENTRADA")</f>
        <v/>
      </c>
      <c r="H28" s="11">
        <f>SUMIFS(Movimentacoes!$G:$G,Movimentacoes!$C:$C,$A28,Movimentacoes!$E:$E,$C28,Movimentacoes!$B:$B,"SAIDA_USO")</f>
        <v/>
      </c>
      <c r="I28" s="11">
        <f>SUMIFS(Movimentacoes!$G:$G,Movimentacoes!$C:$C,$A28,Movimentacoes!$E:$E,$C28,Movimentacoes!$B:$B,"SAIDA_DESCARTE")</f>
        <v/>
      </c>
      <c r="J28" s="11">
        <f>G28-H28-I28</f>
        <v/>
      </c>
      <c r="K28" s="8">
        <f>IF(A28="","",IF(J28&lt;=IFERROR(VLOOKUP(A28,Cadastro_Produtos!$A:$E,5,FALSE),0),"ABAIXO DO MINIMO","OK"))</f>
        <v/>
      </c>
    </row>
    <row r="29">
      <c r="A29" s="7" t="n"/>
      <c r="B29" s="7">
        <f>IFERROR(VLOOKUP(A29,Cadastro_Produtos!A:B,2,FALSE),"")</f>
        <v/>
      </c>
      <c r="C29" s="7" t="n"/>
      <c r="D29" s="10" t="n"/>
      <c r="E29" s="11">
        <f>IF(D29="","",D29-TODAY())</f>
        <v/>
      </c>
      <c r="F29" s="8">
        <f>IF(D29="","",IF(E29&lt;0,"VENCIDO",IF(E29&lt;=30,"VENCE EM &lt;= 30 DIAS",IF(E29&lt;=60,"ATENCAO (31-60 DIAS)","OK"))))</f>
        <v/>
      </c>
      <c r="G29" s="11">
        <f>SUMIFS(Movimentacoes!$G:$G,Movimentacoes!$C:$C,$A29,Movimentacoes!$E:$E,$C29,Movimentacoes!$B:$B,"ENTRADA")</f>
        <v/>
      </c>
      <c r="H29" s="11">
        <f>SUMIFS(Movimentacoes!$G:$G,Movimentacoes!$C:$C,$A29,Movimentacoes!$E:$E,$C29,Movimentacoes!$B:$B,"SAIDA_USO")</f>
        <v/>
      </c>
      <c r="I29" s="11">
        <f>SUMIFS(Movimentacoes!$G:$G,Movimentacoes!$C:$C,$A29,Movimentacoes!$E:$E,$C29,Movimentacoes!$B:$B,"SAIDA_DESCARTE")</f>
        <v/>
      </c>
      <c r="J29" s="11">
        <f>G29-H29-I29</f>
        <v/>
      </c>
      <c r="K29" s="8">
        <f>IF(A29="","",IF(J29&lt;=IFERROR(VLOOKUP(A29,Cadastro_Produtos!$A:$E,5,FALSE),0),"ABAIXO DO MINIMO","OK"))</f>
        <v/>
      </c>
    </row>
    <row r="30">
      <c r="A30" s="7" t="n"/>
      <c r="B30" s="7">
        <f>IFERROR(VLOOKUP(A30,Cadastro_Produtos!A:B,2,FALSE),"")</f>
        <v/>
      </c>
      <c r="C30" s="7" t="n"/>
      <c r="D30" s="10" t="n"/>
      <c r="E30" s="11">
        <f>IF(D30="","",D30-TODAY())</f>
        <v/>
      </c>
      <c r="F30" s="8">
        <f>IF(D30="","",IF(E30&lt;0,"VENCIDO",IF(E30&lt;=30,"VENCE EM &lt;= 30 DIAS",IF(E30&lt;=60,"ATENCAO (31-60 DIAS)","OK"))))</f>
        <v/>
      </c>
      <c r="G30" s="11">
        <f>SUMIFS(Movimentacoes!$G:$G,Movimentacoes!$C:$C,$A30,Movimentacoes!$E:$E,$C30,Movimentacoes!$B:$B,"ENTRADA")</f>
        <v/>
      </c>
      <c r="H30" s="11">
        <f>SUMIFS(Movimentacoes!$G:$G,Movimentacoes!$C:$C,$A30,Movimentacoes!$E:$E,$C30,Movimentacoes!$B:$B,"SAIDA_USO")</f>
        <v/>
      </c>
      <c r="I30" s="11">
        <f>SUMIFS(Movimentacoes!$G:$G,Movimentacoes!$C:$C,$A30,Movimentacoes!$E:$E,$C30,Movimentacoes!$B:$B,"SAIDA_DESCARTE")</f>
        <v/>
      </c>
      <c r="J30" s="11">
        <f>G30-H30-I30</f>
        <v/>
      </c>
      <c r="K30" s="8">
        <f>IF(A30="","",IF(J30&lt;=IFERROR(VLOOKUP(A30,Cadastro_Produtos!$A:$E,5,FALSE),0),"ABAIXO DO MINIMO","OK"))</f>
        <v/>
      </c>
    </row>
    <row r="31">
      <c r="A31" s="7" t="n"/>
      <c r="B31" s="7">
        <f>IFERROR(VLOOKUP(A31,Cadastro_Produtos!A:B,2,FALSE),"")</f>
        <v/>
      </c>
      <c r="C31" s="7" t="n"/>
      <c r="D31" s="10" t="n"/>
      <c r="E31" s="11">
        <f>IF(D31="","",D31-TODAY())</f>
        <v/>
      </c>
      <c r="F31" s="8">
        <f>IF(D31="","",IF(E31&lt;0,"VENCIDO",IF(E31&lt;=30,"VENCE EM &lt;= 30 DIAS",IF(E31&lt;=60,"ATENCAO (31-60 DIAS)","OK"))))</f>
        <v/>
      </c>
      <c r="G31" s="11">
        <f>SUMIFS(Movimentacoes!$G:$G,Movimentacoes!$C:$C,$A31,Movimentacoes!$E:$E,$C31,Movimentacoes!$B:$B,"ENTRADA")</f>
        <v/>
      </c>
      <c r="H31" s="11">
        <f>SUMIFS(Movimentacoes!$G:$G,Movimentacoes!$C:$C,$A31,Movimentacoes!$E:$E,$C31,Movimentacoes!$B:$B,"SAIDA_USO")</f>
        <v/>
      </c>
      <c r="I31" s="11">
        <f>SUMIFS(Movimentacoes!$G:$G,Movimentacoes!$C:$C,$A31,Movimentacoes!$E:$E,$C31,Movimentacoes!$B:$B,"SAIDA_DESCARTE")</f>
        <v/>
      </c>
      <c r="J31" s="11">
        <f>G31-H31-I31</f>
        <v/>
      </c>
      <c r="K31" s="8">
        <f>IF(A31="","",IF(J31&lt;=IFERROR(VLOOKUP(A31,Cadastro_Produtos!$A:$E,5,FALSE),0),"ABAIXO DO MINIMO","OK"))</f>
        <v/>
      </c>
    </row>
    <row r="32">
      <c r="A32" s="7" t="n"/>
      <c r="B32" s="7">
        <f>IFERROR(VLOOKUP(A32,Cadastro_Produtos!A:B,2,FALSE),"")</f>
        <v/>
      </c>
      <c r="C32" s="7" t="n"/>
      <c r="D32" s="10" t="n"/>
      <c r="E32" s="11">
        <f>IF(D32="","",D32-TODAY())</f>
        <v/>
      </c>
      <c r="F32" s="8">
        <f>IF(D32="","",IF(E32&lt;0,"VENCIDO",IF(E32&lt;=30,"VENCE EM &lt;= 30 DIAS",IF(E32&lt;=60,"ATENCAO (31-60 DIAS)","OK"))))</f>
        <v/>
      </c>
      <c r="G32" s="11">
        <f>SUMIFS(Movimentacoes!$G:$G,Movimentacoes!$C:$C,$A32,Movimentacoes!$E:$E,$C32,Movimentacoes!$B:$B,"ENTRADA")</f>
        <v/>
      </c>
      <c r="H32" s="11">
        <f>SUMIFS(Movimentacoes!$G:$G,Movimentacoes!$C:$C,$A32,Movimentacoes!$E:$E,$C32,Movimentacoes!$B:$B,"SAIDA_USO")</f>
        <v/>
      </c>
      <c r="I32" s="11">
        <f>SUMIFS(Movimentacoes!$G:$G,Movimentacoes!$C:$C,$A32,Movimentacoes!$E:$E,$C32,Movimentacoes!$B:$B,"SAIDA_DESCARTE")</f>
        <v/>
      </c>
      <c r="J32" s="11">
        <f>G32-H32-I32</f>
        <v/>
      </c>
      <c r="K32" s="8">
        <f>IF(A32="","",IF(J32&lt;=IFERROR(VLOOKUP(A32,Cadastro_Produtos!$A:$E,5,FALSE),0),"ABAIXO DO MINIMO","OK"))</f>
        <v/>
      </c>
    </row>
    <row r="33">
      <c r="A33" s="7" t="n"/>
      <c r="B33" s="7">
        <f>IFERROR(VLOOKUP(A33,Cadastro_Produtos!A:B,2,FALSE),"")</f>
        <v/>
      </c>
      <c r="C33" s="7" t="n"/>
      <c r="D33" s="10" t="n"/>
      <c r="E33" s="11">
        <f>IF(D33="","",D33-TODAY())</f>
        <v/>
      </c>
      <c r="F33" s="8">
        <f>IF(D33="","",IF(E33&lt;0,"VENCIDO",IF(E33&lt;=30,"VENCE EM &lt;= 30 DIAS",IF(E33&lt;=60,"ATENCAO (31-60 DIAS)","OK"))))</f>
        <v/>
      </c>
      <c r="G33" s="11">
        <f>SUMIFS(Movimentacoes!$G:$G,Movimentacoes!$C:$C,$A33,Movimentacoes!$E:$E,$C33,Movimentacoes!$B:$B,"ENTRADA")</f>
        <v/>
      </c>
      <c r="H33" s="11">
        <f>SUMIFS(Movimentacoes!$G:$G,Movimentacoes!$C:$C,$A33,Movimentacoes!$E:$E,$C33,Movimentacoes!$B:$B,"SAIDA_USO")</f>
        <v/>
      </c>
      <c r="I33" s="11">
        <f>SUMIFS(Movimentacoes!$G:$G,Movimentacoes!$C:$C,$A33,Movimentacoes!$E:$E,$C33,Movimentacoes!$B:$B,"SAIDA_DESCARTE")</f>
        <v/>
      </c>
      <c r="J33" s="11">
        <f>G33-H33-I33</f>
        <v/>
      </c>
      <c r="K33" s="8">
        <f>IF(A33="","",IF(J33&lt;=IFERROR(VLOOKUP(A33,Cadastro_Produtos!$A:$E,5,FALSE),0),"ABAIXO DO MINIMO","OK"))</f>
        <v/>
      </c>
    </row>
    <row r="34">
      <c r="A34" s="7" t="n"/>
      <c r="B34" s="7">
        <f>IFERROR(VLOOKUP(A34,Cadastro_Produtos!A:B,2,FALSE),"")</f>
        <v/>
      </c>
      <c r="C34" s="7" t="n"/>
      <c r="D34" s="10" t="n"/>
      <c r="E34" s="11">
        <f>IF(D34="","",D34-TODAY())</f>
        <v/>
      </c>
      <c r="F34" s="8">
        <f>IF(D34="","",IF(E34&lt;0,"VENCIDO",IF(E34&lt;=30,"VENCE EM &lt;= 30 DIAS",IF(E34&lt;=60,"ATENCAO (31-60 DIAS)","OK"))))</f>
        <v/>
      </c>
      <c r="G34" s="11">
        <f>SUMIFS(Movimentacoes!$G:$G,Movimentacoes!$C:$C,$A34,Movimentacoes!$E:$E,$C34,Movimentacoes!$B:$B,"ENTRADA")</f>
        <v/>
      </c>
      <c r="H34" s="11">
        <f>SUMIFS(Movimentacoes!$G:$G,Movimentacoes!$C:$C,$A34,Movimentacoes!$E:$E,$C34,Movimentacoes!$B:$B,"SAIDA_USO")</f>
        <v/>
      </c>
      <c r="I34" s="11">
        <f>SUMIFS(Movimentacoes!$G:$G,Movimentacoes!$C:$C,$A34,Movimentacoes!$E:$E,$C34,Movimentacoes!$B:$B,"SAIDA_DESCARTE")</f>
        <v/>
      </c>
      <c r="J34" s="11">
        <f>G34-H34-I34</f>
        <v/>
      </c>
      <c r="K34" s="8">
        <f>IF(A34="","",IF(J34&lt;=IFERROR(VLOOKUP(A34,Cadastro_Produtos!$A:$E,5,FALSE),0),"ABAIXO DO MINIMO","OK"))</f>
        <v/>
      </c>
    </row>
    <row r="35">
      <c r="A35" s="7" t="n"/>
      <c r="B35" s="7">
        <f>IFERROR(VLOOKUP(A35,Cadastro_Produtos!A:B,2,FALSE),"")</f>
        <v/>
      </c>
      <c r="C35" s="7" t="n"/>
      <c r="D35" s="10" t="n"/>
      <c r="E35" s="11">
        <f>IF(D35="","",D35-TODAY())</f>
        <v/>
      </c>
      <c r="F35" s="8">
        <f>IF(D35="","",IF(E35&lt;0,"VENCIDO",IF(E35&lt;=30,"VENCE EM &lt;= 30 DIAS",IF(E35&lt;=60,"ATENCAO (31-60 DIAS)","OK"))))</f>
        <v/>
      </c>
      <c r="G35" s="11">
        <f>SUMIFS(Movimentacoes!$G:$G,Movimentacoes!$C:$C,$A35,Movimentacoes!$E:$E,$C35,Movimentacoes!$B:$B,"ENTRADA")</f>
        <v/>
      </c>
      <c r="H35" s="11">
        <f>SUMIFS(Movimentacoes!$G:$G,Movimentacoes!$C:$C,$A35,Movimentacoes!$E:$E,$C35,Movimentacoes!$B:$B,"SAIDA_USO")</f>
        <v/>
      </c>
      <c r="I35" s="11">
        <f>SUMIFS(Movimentacoes!$G:$G,Movimentacoes!$C:$C,$A35,Movimentacoes!$E:$E,$C35,Movimentacoes!$B:$B,"SAIDA_DESCARTE")</f>
        <v/>
      </c>
      <c r="J35" s="11">
        <f>G35-H35-I35</f>
        <v/>
      </c>
      <c r="K35" s="8">
        <f>IF(A35="","",IF(J35&lt;=IFERROR(VLOOKUP(A35,Cadastro_Produtos!$A:$E,5,FALSE),0),"ABAIXO DO MINIMO","OK"))</f>
        <v/>
      </c>
    </row>
    <row r="36">
      <c r="A36" s="7" t="n"/>
      <c r="B36" s="7">
        <f>IFERROR(VLOOKUP(A36,Cadastro_Produtos!A:B,2,FALSE),"")</f>
        <v/>
      </c>
      <c r="C36" s="7" t="n"/>
      <c r="D36" s="10" t="n"/>
      <c r="E36" s="11">
        <f>IF(D36="","",D36-TODAY())</f>
        <v/>
      </c>
      <c r="F36" s="8">
        <f>IF(D36="","",IF(E36&lt;0,"VENCIDO",IF(E36&lt;=30,"VENCE EM &lt;= 30 DIAS",IF(E36&lt;=60,"ATENCAO (31-60 DIAS)","OK"))))</f>
        <v/>
      </c>
      <c r="G36" s="11">
        <f>SUMIFS(Movimentacoes!$G:$G,Movimentacoes!$C:$C,$A36,Movimentacoes!$E:$E,$C36,Movimentacoes!$B:$B,"ENTRADA")</f>
        <v/>
      </c>
      <c r="H36" s="11">
        <f>SUMIFS(Movimentacoes!$G:$G,Movimentacoes!$C:$C,$A36,Movimentacoes!$E:$E,$C36,Movimentacoes!$B:$B,"SAIDA_USO")</f>
        <v/>
      </c>
      <c r="I36" s="11">
        <f>SUMIFS(Movimentacoes!$G:$G,Movimentacoes!$C:$C,$A36,Movimentacoes!$E:$E,$C36,Movimentacoes!$B:$B,"SAIDA_DESCARTE")</f>
        <v/>
      </c>
      <c r="J36" s="11">
        <f>G36-H36-I36</f>
        <v/>
      </c>
      <c r="K36" s="8">
        <f>IF(A36="","",IF(J36&lt;=IFERROR(VLOOKUP(A36,Cadastro_Produtos!$A:$E,5,FALSE),0),"ABAIXO DO MINIMO","OK"))</f>
        <v/>
      </c>
    </row>
    <row r="37">
      <c r="A37" s="7" t="n"/>
      <c r="B37" s="7">
        <f>IFERROR(VLOOKUP(A37,Cadastro_Produtos!A:B,2,FALSE),"")</f>
        <v/>
      </c>
      <c r="C37" s="7" t="n"/>
      <c r="D37" s="10" t="n"/>
      <c r="E37" s="11">
        <f>IF(D37="","",D37-TODAY())</f>
        <v/>
      </c>
      <c r="F37" s="8">
        <f>IF(D37="","",IF(E37&lt;0,"VENCIDO",IF(E37&lt;=30,"VENCE EM &lt;= 30 DIAS",IF(E37&lt;=60,"ATENCAO (31-60 DIAS)","OK"))))</f>
        <v/>
      </c>
      <c r="G37" s="11">
        <f>SUMIFS(Movimentacoes!$G:$G,Movimentacoes!$C:$C,$A37,Movimentacoes!$E:$E,$C37,Movimentacoes!$B:$B,"ENTRADA")</f>
        <v/>
      </c>
      <c r="H37" s="11">
        <f>SUMIFS(Movimentacoes!$G:$G,Movimentacoes!$C:$C,$A37,Movimentacoes!$E:$E,$C37,Movimentacoes!$B:$B,"SAIDA_USO")</f>
        <v/>
      </c>
      <c r="I37" s="11">
        <f>SUMIFS(Movimentacoes!$G:$G,Movimentacoes!$C:$C,$A37,Movimentacoes!$E:$E,$C37,Movimentacoes!$B:$B,"SAIDA_DESCARTE")</f>
        <v/>
      </c>
      <c r="J37" s="11">
        <f>G37-H37-I37</f>
        <v/>
      </c>
      <c r="K37" s="8">
        <f>IF(A37="","",IF(J37&lt;=IFERROR(VLOOKUP(A37,Cadastro_Produtos!$A:$E,5,FALSE),0),"ABAIXO DO MINIMO","OK"))</f>
        <v/>
      </c>
    </row>
    <row r="38">
      <c r="A38" s="7" t="n"/>
      <c r="B38" s="7">
        <f>IFERROR(VLOOKUP(A38,Cadastro_Produtos!A:B,2,FALSE),"")</f>
        <v/>
      </c>
      <c r="C38" s="7" t="n"/>
      <c r="D38" s="10" t="n"/>
      <c r="E38" s="11">
        <f>IF(D38="","",D38-TODAY())</f>
        <v/>
      </c>
      <c r="F38" s="8">
        <f>IF(D38="","",IF(E38&lt;0,"VENCIDO",IF(E38&lt;=30,"VENCE EM &lt;= 30 DIAS",IF(E38&lt;=60,"ATENCAO (31-60 DIAS)","OK"))))</f>
        <v/>
      </c>
      <c r="G38" s="11">
        <f>SUMIFS(Movimentacoes!$G:$G,Movimentacoes!$C:$C,$A38,Movimentacoes!$E:$E,$C38,Movimentacoes!$B:$B,"ENTRADA")</f>
        <v/>
      </c>
      <c r="H38" s="11">
        <f>SUMIFS(Movimentacoes!$G:$G,Movimentacoes!$C:$C,$A38,Movimentacoes!$E:$E,$C38,Movimentacoes!$B:$B,"SAIDA_USO")</f>
        <v/>
      </c>
      <c r="I38" s="11">
        <f>SUMIFS(Movimentacoes!$G:$G,Movimentacoes!$C:$C,$A38,Movimentacoes!$E:$E,$C38,Movimentacoes!$B:$B,"SAIDA_DESCARTE")</f>
        <v/>
      </c>
      <c r="J38" s="11">
        <f>G38-H38-I38</f>
        <v/>
      </c>
      <c r="K38" s="8">
        <f>IF(A38="","",IF(J38&lt;=IFERROR(VLOOKUP(A38,Cadastro_Produtos!$A:$E,5,FALSE),0),"ABAIXO DO MINIMO","OK"))</f>
        <v/>
      </c>
    </row>
    <row r="39">
      <c r="A39" s="7" t="n"/>
      <c r="B39" s="7">
        <f>IFERROR(VLOOKUP(A39,Cadastro_Produtos!A:B,2,FALSE),"")</f>
        <v/>
      </c>
      <c r="C39" s="7" t="n"/>
      <c r="D39" s="10" t="n"/>
      <c r="E39" s="11">
        <f>IF(D39="","",D39-TODAY())</f>
        <v/>
      </c>
      <c r="F39" s="8">
        <f>IF(D39="","",IF(E39&lt;0,"VENCIDO",IF(E39&lt;=30,"VENCE EM &lt;= 30 DIAS",IF(E39&lt;=60,"ATENCAO (31-60 DIAS)","OK"))))</f>
        <v/>
      </c>
      <c r="G39" s="11">
        <f>SUMIFS(Movimentacoes!$G:$G,Movimentacoes!$C:$C,$A39,Movimentacoes!$E:$E,$C39,Movimentacoes!$B:$B,"ENTRADA")</f>
        <v/>
      </c>
      <c r="H39" s="11">
        <f>SUMIFS(Movimentacoes!$G:$G,Movimentacoes!$C:$C,$A39,Movimentacoes!$E:$E,$C39,Movimentacoes!$B:$B,"SAIDA_USO")</f>
        <v/>
      </c>
      <c r="I39" s="11">
        <f>SUMIFS(Movimentacoes!$G:$G,Movimentacoes!$C:$C,$A39,Movimentacoes!$E:$E,$C39,Movimentacoes!$B:$B,"SAIDA_DESCARTE")</f>
        <v/>
      </c>
      <c r="J39" s="11">
        <f>G39-H39-I39</f>
        <v/>
      </c>
      <c r="K39" s="8">
        <f>IF(A39="","",IF(J39&lt;=IFERROR(VLOOKUP(A39,Cadastro_Produtos!$A:$E,5,FALSE),0),"ABAIXO DO MINIMO","OK"))</f>
        <v/>
      </c>
    </row>
    <row r="40">
      <c r="A40" s="7" t="n"/>
      <c r="B40" s="7">
        <f>IFERROR(VLOOKUP(A40,Cadastro_Produtos!A:B,2,FALSE),"")</f>
        <v/>
      </c>
      <c r="C40" s="7" t="n"/>
      <c r="D40" s="10" t="n"/>
      <c r="E40" s="11">
        <f>IF(D40="","",D40-TODAY())</f>
        <v/>
      </c>
      <c r="F40" s="8">
        <f>IF(D40="","",IF(E40&lt;0,"VENCIDO",IF(E40&lt;=30,"VENCE EM &lt;= 30 DIAS",IF(E40&lt;=60,"ATENCAO (31-60 DIAS)","OK"))))</f>
        <v/>
      </c>
      <c r="G40" s="11">
        <f>SUMIFS(Movimentacoes!$G:$G,Movimentacoes!$C:$C,$A40,Movimentacoes!$E:$E,$C40,Movimentacoes!$B:$B,"ENTRADA")</f>
        <v/>
      </c>
      <c r="H40" s="11">
        <f>SUMIFS(Movimentacoes!$G:$G,Movimentacoes!$C:$C,$A40,Movimentacoes!$E:$E,$C40,Movimentacoes!$B:$B,"SAIDA_USO")</f>
        <v/>
      </c>
      <c r="I40" s="11">
        <f>SUMIFS(Movimentacoes!$G:$G,Movimentacoes!$C:$C,$A40,Movimentacoes!$E:$E,$C40,Movimentacoes!$B:$B,"SAIDA_DESCARTE")</f>
        <v/>
      </c>
      <c r="J40" s="11">
        <f>G40-H40-I40</f>
        <v/>
      </c>
      <c r="K40" s="8">
        <f>IF(A40="","",IF(J40&lt;=IFERROR(VLOOKUP(A40,Cadastro_Produtos!$A:$E,5,FALSE),0),"ABAIXO DO MINIMO","OK"))</f>
        <v/>
      </c>
    </row>
    <row r="41">
      <c r="A41" s="7" t="n"/>
      <c r="B41" s="7">
        <f>IFERROR(VLOOKUP(A41,Cadastro_Produtos!A:B,2,FALSE),"")</f>
        <v/>
      </c>
      <c r="C41" s="7" t="n"/>
      <c r="D41" s="10" t="n"/>
      <c r="E41" s="11">
        <f>IF(D41="","",D41-TODAY())</f>
        <v/>
      </c>
      <c r="F41" s="8">
        <f>IF(D41="","",IF(E41&lt;0,"VENCIDO",IF(E41&lt;=30,"VENCE EM &lt;= 30 DIAS",IF(E41&lt;=60,"ATENCAO (31-60 DIAS)","OK"))))</f>
        <v/>
      </c>
      <c r="G41" s="11">
        <f>SUMIFS(Movimentacoes!$G:$G,Movimentacoes!$C:$C,$A41,Movimentacoes!$E:$E,$C41,Movimentacoes!$B:$B,"ENTRADA")</f>
        <v/>
      </c>
      <c r="H41" s="11">
        <f>SUMIFS(Movimentacoes!$G:$G,Movimentacoes!$C:$C,$A41,Movimentacoes!$E:$E,$C41,Movimentacoes!$B:$B,"SAIDA_USO")</f>
        <v/>
      </c>
      <c r="I41" s="11">
        <f>SUMIFS(Movimentacoes!$G:$G,Movimentacoes!$C:$C,$A41,Movimentacoes!$E:$E,$C41,Movimentacoes!$B:$B,"SAIDA_DESCARTE")</f>
        <v/>
      </c>
      <c r="J41" s="11">
        <f>G41-H41-I41</f>
        <v/>
      </c>
      <c r="K41" s="8">
        <f>IF(A41="","",IF(J41&lt;=IFERROR(VLOOKUP(A41,Cadastro_Produtos!$A:$E,5,FALSE),0),"ABAIXO DO MINIMO","OK"))</f>
        <v/>
      </c>
    </row>
    <row r="42">
      <c r="A42" s="7" t="n"/>
      <c r="B42" s="7">
        <f>IFERROR(VLOOKUP(A42,Cadastro_Produtos!A:B,2,FALSE),"")</f>
        <v/>
      </c>
      <c r="C42" s="7" t="n"/>
      <c r="D42" s="10" t="n"/>
      <c r="E42" s="11">
        <f>IF(D42="","",D42-TODAY())</f>
        <v/>
      </c>
      <c r="F42" s="8">
        <f>IF(D42="","",IF(E42&lt;0,"VENCIDO",IF(E42&lt;=30,"VENCE EM &lt;= 30 DIAS",IF(E42&lt;=60,"ATENCAO (31-60 DIAS)","OK"))))</f>
        <v/>
      </c>
      <c r="G42" s="11">
        <f>SUMIFS(Movimentacoes!$G:$G,Movimentacoes!$C:$C,$A42,Movimentacoes!$E:$E,$C42,Movimentacoes!$B:$B,"ENTRADA")</f>
        <v/>
      </c>
      <c r="H42" s="11">
        <f>SUMIFS(Movimentacoes!$G:$G,Movimentacoes!$C:$C,$A42,Movimentacoes!$E:$E,$C42,Movimentacoes!$B:$B,"SAIDA_USO")</f>
        <v/>
      </c>
      <c r="I42" s="11">
        <f>SUMIFS(Movimentacoes!$G:$G,Movimentacoes!$C:$C,$A42,Movimentacoes!$E:$E,$C42,Movimentacoes!$B:$B,"SAIDA_DESCARTE")</f>
        <v/>
      </c>
      <c r="J42" s="11">
        <f>G42-H42-I42</f>
        <v/>
      </c>
      <c r="K42" s="8">
        <f>IF(A42="","",IF(J42&lt;=IFERROR(VLOOKUP(A42,Cadastro_Produtos!$A:$E,5,FALSE),0),"ABAIXO DO MINIMO","OK"))</f>
        <v/>
      </c>
    </row>
    <row r="43">
      <c r="A43" s="7" t="n"/>
      <c r="B43" s="7">
        <f>IFERROR(VLOOKUP(A43,Cadastro_Produtos!A:B,2,FALSE),"")</f>
        <v/>
      </c>
      <c r="C43" s="7" t="n"/>
      <c r="D43" s="10" t="n"/>
      <c r="E43" s="11">
        <f>IF(D43="","",D43-TODAY())</f>
        <v/>
      </c>
      <c r="F43" s="8">
        <f>IF(D43="","",IF(E43&lt;0,"VENCIDO",IF(E43&lt;=30,"VENCE EM &lt;= 30 DIAS",IF(E43&lt;=60,"ATENCAO (31-60 DIAS)","OK"))))</f>
        <v/>
      </c>
      <c r="G43" s="11">
        <f>SUMIFS(Movimentacoes!$G:$G,Movimentacoes!$C:$C,$A43,Movimentacoes!$E:$E,$C43,Movimentacoes!$B:$B,"ENTRADA")</f>
        <v/>
      </c>
      <c r="H43" s="11">
        <f>SUMIFS(Movimentacoes!$G:$G,Movimentacoes!$C:$C,$A43,Movimentacoes!$E:$E,$C43,Movimentacoes!$B:$B,"SAIDA_USO")</f>
        <v/>
      </c>
      <c r="I43" s="11">
        <f>SUMIFS(Movimentacoes!$G:$G,Movimentacoes!$C:$C,$A43,Movimentacoes!$E:$E,$C43,Movimentacoes!$B:$B,"SAIDA_DESCARTE")</f>
        <v/>
      </c>
      <c r="J43" s="11">
        <f>G43-H43-I43</f>
        <v/>
      </c>
      <c r="K43" s="8">
        <f>IF(A43="","",IF(J43&lt;=IFERROR(VLOOKUP(A43,Cadastro_Produtos!$A:$E,5,FALSE),0),"ABAIXO DO MINIMO","OK"))</f>
        <v/>
      </c>
    </row>
    <row r="44">
      <c r="A44" s="7" t="n"/>
      <c r="B44" s="7">
        <f>IFERROR(VLOOKUP(A44,Cadastro_Produtos!A:B,2,FALSE),"")</f>
        <v/>
      </c>
      <c r="C44" s="7" t="n"/>
      <c r="D44" s="10" t="n"/>
      <c r="E44" s="11">
        <f>IF(D44="","",D44-TODAY())</f>
        <v/>
      </c>
      <c r="F44" s="8">
        <f>IF(D44="","",IF(E44&lt;0,"VENCIDO",IF(E44&lt;=30,"VENCE EM &lt;= 30 DIAS",IF(E44&lt;=60,"ATENCAO (31-60 DIAS)","OK"))))</f>
        <v/>
      </c>
      <c r="G44" s="11">
        <f>SUMIFS(Movimentacoes!$G:$G,Movimentacoes!$C:$C,$A44,Movimentacoes!$E:$E,$C44,Movimentacoes!$B:$B,"ENTRADA")</f>
        <v/>
      </c>
      <c r="H44" s="11">
        <f>SUMIFS(Movimentacoes!$G:$G,Movimentacoes!$C:$C,$A44,Movimentacoes!$E:$E,$C44,Movimentacoes!$B:$B,"SAIDA_USO")</f>
        <v/>
      </c>
      <c r="I44" s="11">
        <f>SUMIFS(Movimentacoes!$G:$G,Movimentacoes!$C:$C,$A44,Movimentacoes!$E:$E,$C44,Movimentacoes!$B:$B,"SAIDA_DESCARTE")</f>
        <v/>
      </c>
      <c r="J44" s="11">
        <f>G44-H44-I44</f>
        <v/>
      </c>
      <c r="K44" s="8">
        <f>IF(A44="","",IF(J44&lt;=IFERROR(VLOOKUP(A44,Cadastro_Produtos!$A:$E,5,FALSE),0),"ABAIXO DO MINIMO","OK"))</f>
        <v/>
      </c>
    </row>
    <row r="45">
      <c r="A45" s="7" t="n"/>
      <c r="B45" s="7">
        <f>IFERROR(VLOOKUP(A45,Cadastro_Produtos!A:B,2,FALSE),"")</f>
        <v/>
      </c>
      <c r="C45" s="7" t="n"/>
      <c r="D45" s="10" t="n"/>
      <c r="E45" s="11">
        <f>IF(D45="","",D45-TODAY())</f>
        <v/>
      </c>
      <c r="F45" s="8">
        <f>IF(D45="","",IF(E45&lt;0,"VENCIDO",IF(E45&lt;=30,"VENCE EM &lt;= 30 DIAS",IF(E45&lt;=60,"ATENCAO (31-60 DIAS)","OK"))))</f>
        <v/>
      </c>
      <c r="G45" s="11">
        <f>SUMIFS(Movimentacoes!$G:$G,Movimentacoes!$C:$C,$A45,Movimentacoes!$E:$E,$C45,Movimentacoes!$B:$B,"ENTRADA")</f>
        <v/>
      </c>
      <c r="H45" s="11">
        <f>SUMIFS(Movimentacoes!$G:$G,Movimentacoes!$C:$C,$A45,Movimentacoes!$E:$E,$C45,Movimentacoes!$B:$B,"SAIDA_USO")</f>
        <v/>
      </c>
      <c r="I45" s="11">
        <f>SUMIFS(Movimentacoes!$G:$G,Movimentacoes!$C:$C,$A45,Movimentacoes!$E:$E,$C45,Movimentacoes!$B:$B,"SAIDA_DESCARTE")</f>
        <v/>
      </c>
      <c r="J45" s="11">
        <f>G45-H45-I45</f>
        <v/>
      </c>
      <c r="K45" s="8">
        <f>IF(A45="","",IF(J45&lt;=IFERROR(VLOOKUP(A45,Cadastro_Produtos!$A:$E,5,FALSE),0),"ABAIXO DO MINIMO","OK"))</f>
        <v/>
      </c>
    </row>
    <row r="46">
      <c r="A46" s="7" t="n"/>
      <c r="B46" s="7">
        <f>IFERROR(VLOOKUP(A46,Cadastro_Produtos!A:B,2,FALSE),"")</f>
        <v/>
      </c>
      <c r="C46" s="7" t="n"/>
      <c r="D46" s="10" t="n"/>
      <c r="E46" s="11">
        <f>IF(D46="","",D46-TODAY())</f>
        <v/>
      </c>
      <c r="F46" s="8">
        <f>IF(D46="","",IF(E46&lt;0,"VENCIDO",IF(E46&lt;=30,"VENCE EM &lt;= 30 DIAS",IF(E46&lt;=60,"ATENCAO (31-60 DIAS)","OK"))))</f>
        <v/>
      </c>
      <c r="G46" s="11">
        <f>SUMIFS(Movimentacoes!$G:$G,Movimentacoes!$C:$C,$A46,Movimentacoes!$E:$E,$C46,Movimentacoes!$B:$B,"ENTRADA")</f>
        <v/>
      </c>
      <c r="H46" s="11">
        <f>SUMIFS(Movimentacoes!$G:$G,Movimentacoes!$C:$C,$A46,Movimentacoes!$E:$E,$C46,Movimentacoes!$B:$B,"SAIDA_USO")</f>
        <v/>
      </c>
      <c r="I46" s="11">
        <f>SUMIFS(Movimentacoes!$G:$G,Movimentacoes!$C:$C,$A46,Movimentacoes!$E:$E,$C46,Movimentacoes!$B:$B,"SAIDA_DESCARTE")</f>
        <v/>
      </c>
      <c r="J46" s="11">
        <f>G46-H46-I46</f>
        <v/>
      </c>
      <c r="K46" s="8">
        <f>IF(A46="","",IF(J46&lt;=IFERROR(VLOOKUP(A46,Cadastro_Produtos!$A:$E,5,FALSE),0),"ABAIXO DO MINIMO","OK"))</f>
        <v/>
      </c>
    </row>
    <row r="47">
      <c r="A47" s="7" t="n"/>
      <c r="B47" s="7">
        <f>IFERROR(VLOOKUP(A47,Cadastro_Produtos!A:B,2,FALSE),"")</f>
        <v/>
      </c>
      <c r="C47" s="7" t="n"/>
      <c r="D47" s="10" t="n"/>
      <c r="E47" s="11">
        <f>IF(D47="","",D47-TODAY())</f>
        <v/>
      </c>
      <c r="F47" s="8">
        <f>IF(D47="","",IF(E47&lt;0,"VENCIDO",IF(E47&lt;=30,"VENCE EM &lt;= 30 DIAS",IF(E47&lt;=60,"ATENCAO (31-60 DIAS)","OK"))))</f>
        <v/>
      </c>
      <c r="G47" s="11">
        <f>SUMIFS(Movimentacoes!$G:$G,Movimentacoes!$C:$C,$A47,Movimentacoes!$E:$E,$C47,Movimentacoes!$B:$B,"ENTRADA")</f>
        <v/>
      </c>
      <c r="H47" s="11">
        <f>SUMIFS(Movimentacoes!$G:$G,Movimentacoes!$C:$C,$A47,Movimentacoes!$E:$E,$C47,Movimentacoes!$B:$B,"SAIDA_USO")</f>
        <v/>
      </c>
      <c r="I47" s="11">
        <f>SUMIFS(Movimentacoes!$G:$G,Movimentacoes!$C:$C,$A47,Movimentacoes!$E:$E,$C47,Movimentacoes!$B:$B,"SAIDA_DESCARTE")</f>
        <v/>
      </c>
      <c r="J47" s="11">
        <f>G47-H47-I47</f>
        <v/>
      </c>
      <c r="K47" s="8">
        <f>IF(A47="","",IF(J47&lt;=IFERROR(VLOOKUP(A47,Cadastro_Produtos!$A:$E,5,FALSE),0),"ABAIXO DO MINIMO","OK"))</f>
        <v/>
      </c>
    </row>
    <row r="48">
      <c r="A48" s="7" t="n"/>
      <c r="B48" s="7">
        <f>IFERROR(VLOOKUP(A48,Cadastro_Produtos!A:B,2,FALSE),"")</f>
        <v/>
      </c>
      <c r="C48" s="7" t="n"/>
      <c r="D48" s="10" t="n"/>
      <c r="E48" s="11">
        <f>IF(D48="","",D48-TODAY())</f>
        <v/>
      </c>
      <c r="F48" s="8">
        <f>IF(D48="","",IF(E48&lt;0,"VENCIDO",IF(E48&lt;=30,"VENCE EM &lt;= 30 DIAS",IF(E48&lt;=60,"ATENCAO (31-60 DIAS)","OK"))))</f>
        <v/>
      </c>
      <c r="G48" s="11">
        <f>SUMIFS(Movimentacoes!$G:$G,Movimentacoes!$C:$C,$A48,Movimentacoes!$E:$E,$C48,Movimentacoes!$B:$B,"ENTRADA")</f>
        <v/>
      </c>
      <c r="H48" s="11">
        <f>SUMIFS(Movimentacoes!$G:$G,Movimentacoes!$C:$C,$A48,Movimentacoes!$E:$E,$C48,Movimentacoes!$B:$B,"SAIDA_USO")</f>
        <v/>
      </c>
      <c r="I48" s="11">
        <f>SUMIFS(Movimentacoes!$G:$G,Movimentacoes!$C:$C,$A48,Movimentacoes!$E:$E,$C48,Movimentacoes!$B:$B,"SAIDA_DESCARTE")</f>
        <v/>
      </c>
      <c r="J48" s="11">
        <f>G48-H48-I48</f>
        <v/>
      </c>
      <c r="K48" s="8">
        <f>IF(A48="","",IF(J48&lt;=IFERROR(VLOOKUP(A48,Cadastro_Produtos!$A:$E,5,FALSE),0),"ABAIXO DO MINIMO","OK"))</f>
        <v/>
      </c>
    </row>
    <row r="49">
      <c r="A49" s="7" t="n"/>
      <c r="B49" s="7">
        <f>IFERROR(VLOOKUP(A49,Cadastro_Produtos!A:B,2,FALSE),"")</f>
        <v/>
      </c>
      <c r="C49" s="7" t="n"/>
      <c r="D49" s="10" t="n"/>
      <c r="E49" s="11">
        <f>IF(D49="","",D49-TODAY())</f>
        <v/>
      </c>
      <c r="F49" s="8">
        <f>IF(D49="","",IF(E49&lt;0,"VENCIDO",IF(E49&lt;=30,"VENCE EM &lt;= 30 DIAS",IF(E49&lt;=60,"ATENCAO (31-60 DIAS)","OK"))))</f>
        <v/>
      </c>
      <c r="G49" s="11">
        <f>SUMIFS(Movimentacoes!$G:$G,Movimentacoes!$C:$C,$A49,Movimentacoes!$E:$E,$C49,Movimentacoes!$B:$B,"ENTRADA")</f>
        <v/>
      </c>
      <c r="H49" s="11">
        <f>SUMIFS(Movimentacoes!$G:$G,Movimentacoes!$C:$C,$A49,Movimentacoes!$E:$E,$C49,Movimentacoes!$B:$B,"SAIDA_USO")</f>
        <v/>
      </c>
      <c r="I49" s="11">
        <f>SUMIFS(Movimentacoes!$G:$G,Movimentacoes!$C:$C,$A49,Movimentacoes!$E:$E,$C49,Movimentacoes!$B:$B,"SAIDA_DESCARTE")</f>
        <v/>
      </c>
      <c r="J49" s="11">
        <f>G49-H49-I49</f>
        <v/>
      </c>
      <c r="K49" s="8">
        <f>IF(A49="","",IF(J49&lt;=IFERROR(VLOOKUP(A49,Cadastro_Produtos!$A:$E,5,FALSE),0),"ABAIXO DO MINIMO","OK"))</f>
        <v/>
      </c>
    </row>
    <row r="50">
      <c r="A50" s="7" t="n"/>
      <c r="B50" s="7">
        <f>IFERROR(VLOOKUP(A50,Cadastro_Produtos!A:B,2,FALSE),"")</f>
        <v/>
      </c>
      <c r="C50" s="7" t="n"/>
      <c r="D50" s="10" t="n"/>
      <c r="E50" s="11">
        <f>IF(D50="","",D50-TODAY())</f>
        <v/>
      </c>
      <c r="F50" s="8">
        <f>IF(D50="","",IF(E50&lt;0,"VENCIDO",IF(E50&lt;=30,"VENCE EM &lt;= 30 DIAS",IF(E50&lt;=60,"ATENCAO (31-60 DIAS)","OK"))))</f>
        <v/>
      </c>
      <c r="G50" s="11">
        <f>SUMIFS(Movimentacoes!$G:$G,Movimentacoes!$C:$C,$A50,Movimentacoes!$E:$E,$C50,Movimentacoes!$B:$B,"ENTRADA")</f>
        <v/>
      </c>
      <c r="H50" s="11">
        <f>SUMIFS(Movimentacoes!$G:$G,Movimentacoes!$C:$C,$A50,Movimentacoes!$E:$E,$C50,Movimentacoes!$B:$B,"SAIDA_USO")</f>
        <v/>
      </c>
      <c r="I50" s="11">
        <f>SUMIFS(Movimentacoes!$G:$G,Movimentacoes!$C:$C,$A50,Movimentacoes!$E:$E,$C50,Movimentacoes!$B:$B,"SAIDA_DESCARTE")</f>
        <v/>
      </c>
      <c r="J50" s="11">
        <f>G50-H50-I50</f>
        <v/>
      </c>
      <c r="K50" s="8">
        <f>IF(A50="","",IF(J50&lt;=IFERROR(VLOOKUP(A50,Cadastro_Produtos!$A:$E,5,FALSE),0),"ABAIXO DO MINIMO","OK"))</f>
        <v/>
      </c>
    </row>
    <row r="51">
      <c r="A51" s="7" t="n"/>
      <c r="B51" s="7">
        <f>IFERROR(VLOOKUP(A51,Cadastro_Produtos!A:B,2,FALSE),"")</f>
        <v/>
      </c>
      <c r="C51" s="7" t="n"/>
      <c r="D51" s="10" t="n"/>
      <c r="E51" s="11">
        <f>IF(D51="","",D51-TODAY())</f>
        <v/>
      </c>
      <c r="F51" s="8">
        <f>IF(D51="","",IF(E51&lt;0,"VENCIDO",IF(E51&lt;=30,"VENCE EM &lt;= 30 DIAS",IF(E51&lt;=60,"ATENCAO (31-60 DIAS)","OK"))))</f>
        <v/>
      </c>
      <c r="G51" s="11">
        <f>SUMIFS(Movimentacoes!$G:$G,Movimentacoes!$C:$C,$A51,Movimentacoes!$E:$E,$C51,Movimentacoes!$B:$B,"ENTRADA")</f>
        <v/>
      </c>
      <c r="H51" s="11">
        <f>SUMIFS(Movimentacoes!$G:$G,Movimentacoes!$C:$C,$A51,Movimentacoes!$E:$E,$C51,Movimentacoes!$B:$B,"SAIDA_USO")</f>
        <v/>
      </c>
      <c r="I51" s="11">
        <f>SUMIFS(Movimentacoes!$G:$G,Movimentacoes!$C:$C,$A51,Movimentacoes!$E:$E,$C51,Movimentacoes!$B:$B,"SAIDA_DESCARTE")</f>
        <v/>
      </c>
      <c r="J51" s="11">
        <f>G51-H51-I51</f>
        <v/>
      </c>
      <c r="K51" s="8">
        <f>IF(A51="","",IF(J51&lt;=IFERROR(VLOOKUP(A51,Cadastro_Produtos!$A:$E,5,FALSE),0),"ABAIXO DO MINIMO","OK"))</f>
        <v/>
      </c>
    </row>
    <row r="52">
      <c r="A52" s="7" t="n"/>
      <c r="B52" s="7">
        <f>IFERROR(VLOOKUP(A52,Cadastro_Produtos!A:B,2,FALSE),"")</f>
        <v/>
      </c>
      <c r="C52" s="7" t="n"/>
      <c r="D52" s="10" t="n"/>
      <c r="E52" s="11">
        <f>IF(D52="","",D52-TODAY())</f>
        <v/>
      </c>
      <c r="F52" s="8">
        <f>IF(D52="","",IF(E52&lt;0,"VENCIDO",IF(E52&lt;=30,"VENCE EM &lt;= 30 DIAS",IF(E52&lt;=60,"ATENCAO (31-60 DIAS)","OK"))))</f>
        <v/>
      </c>
      <c r="G52" s="11">
        <f>SUMIFS(Movimentacoes!$G:$G,Movimentacoes!$C:$C,$A52,Movimentacoes!$E:$E,$C52,Movimentacoes!$B:$B,"ENTRADA")</f>
        <v/>
      </c>
      <c r="H52" s="11">
        <f>SUMIFS(Movimentacoes!$G:$G,Movimentacoes!$C:$C,$A52,Movimentacoes!$E:$E,$C52,Movimentacoes!$B:$B,"SAIDA_USO")</f>
        <v/>
      </c>
      <c r="I52" s="11">
        <f>SUMIFS(Movimentacoes!$G:$G,Movimentacoes!$C:$C,$A52,Movimentacoes!$E:$E,$C52,Movimentacoes!$B:$B,"SAIDA_DESCARTE")</f>
        <v/>
      </c>
      <c r="J52" s="11">
        <f>G52-H52-I52</f>
        <v/>
      </c>
      <c r="K52" s="8">
        <f>IF(A52="","",IF(J52&lt;=IFERROR(VLOOKUP(A52,Cadastro_Produtos!$A:$E,5,FALSE),0),"ABAIXO DO MINIMO","OK"))</f>
        <v/>
      </c>
    </row>
    <row r="53">
      <c r="A53" s="7" t="n"/>
      <c r="B53" s="7">
        <f>IFERROR(VLOOKUP(A53,Cadastro_Produtos!A:B,2,FALSE),"")</f>
        <v/>
      </c>
      <c r="C53" s="7" t="n"/>
      <c r="D53" s="10" t="n"/>
      <c r="E53" s="11">
        <f>IF(D53="","",D53-TODAY())</f>
        <v/>
      </c>
      <c r="F53" s="8">
        <f>IF(D53="","",IF(E53&lt;0,"VENCIDO",IF(E53&lt;=30,"VENCE EM &lt;= 30 DIAS",IF(E53&lt;=60,"ATENCAO (31-60 DIAS)","OK"))))</f>
        <v/>
      </c>
      <c r="G53" s="11">
        <f>SUMIFS(Movimentacoes!$G:$G,Movimentacoes!$C:$C,$A53,Movimentacoes!$E:$E,$C53,Movimentacoes!$B:$B,"ENTRADA")</f>
        <v/>
      </c>
      <c r="H53" s="11">
        <f>SUMIFS(Movimentacoes!$G:$G,Movimentacoes!$C:$C,$A53,Movimentacoes!$E:$E,$C53,Movimentacoes!$B:$B,"SAIDA_USO")</f>
        <v/>
      </c>
      <c r="I53" s="11">
        <f>SUMIFS(Movimentacoes!$G:$G,Movimentacoes!$C:$C,$A53,Movimentacoes!$E:$E,$C53,Movimentacoes!$B:$B,"SAIDA_DESCARTE")</f>
        <v/>
      </c>
      <c r="J53" s="11">
        <f>G53-H53-I53</f>
        <v/>
      </c>
      <c r="K53" s="8">
        <f>IF(A53="","",IF(J53&lt;=IFERROR(VLOOKUP(A53,Cadastro_Produtos!$A:$E,5,FALSE),0),"ABAIXO DO MINIMO","OK"))</f>
        <v/>
      </c>
    </row>
    <row r="54">
      <c r="A54" s="7" t="n"/>
      <c r="B54" s="7">
        <f>IFERROR(VLOOKUP(A54,Cadastro_Produtos!A:B,2,FALSE),"")</f>
        <v/>
      </c>
      <c r="C54" s="7" t="n"/>
      <c r="D54" s="10" t="n"/>
      <c r="E54" s="11">
        <f>IF(D54="","",D54-TODAY())</f>
        <v/>
      </c>
      <c r="F54" s="8">
        <f>IF(D54="","",IF(E54&lt;0,"VENCIDO",IF(E54&lt;=30,"VENCE EM &lt;= 30 DIAS",IF(E54&lt;=60,"ATENCAO (31-60 DIAS)","OK"))))</f>
        <v/>
      </c>
      <c r="G54" s="11">
        <f>SUMIFS(Movimentacoes!$G:$G,Movimentacoes!$C:$C,$A54,Movimentacoes!$E:$E,$C54,Movimentacoes!$B:$B,"ENTRADA")</f>
        <v/>
      </c>
      <c r="H54" s="11">
        <f>SUMIFS(Movimentacoes!$G:$G,Movimentacoes!$C:$C,$A54,Movimentacoes!$E:$E,$C54,Movimentacoes!$B:$B,"SAIDA_USO")</f>
        <v/>
      </c>
      <c r="I54" s="11">
        <f>SUMIFS(Movimentacoes!$G:$G,Movimentacoes!$C:$C,$A54,Movimentacoes!$E:$E,$C54,Movimentacoes!$B:$B,"SAIDA_DESCARTE")</f>
        <v/>
      </c>
      <c r="J54" s="11">
        <f>G54-H54-I54</f>
        <v/>
      </c>
      <c r="K54" s="8">
        <f>IF(A54="","",IF(J54&lt;=IFERROR(VLOOKUP(A54,Cadastro_Produtos!$A:$E,5,FALSE),0),"ABAIXO DO MINIMO","OK"))</f>
        <v/>
      </c>
    </row>
    <row r="55">
      <c r="A55" s="7" t="n"/>
      <c r="B55" s="7">
        <f>IFERROR(VLOOKUP(A55,Cadastro_Produtos!A:B,2,FALSE),"")</f>
        <v/>
      </c>
      <c r="C55" s="7" t="n"/>
      <c r="D55" s="10" t="n"/>
      <c r="E55" s="11">
        <f>IF(D55="","",D55-TODAY())</f>
        <v/>
      </c>
      <c r="F55" s="8">
        <f>IF(D55="","",IF(E55&lt;0,"VENCIDO",IF(E55&lt;=30,"VENCE EM &lt;= 30 DIAS",IF(E55&lt;=60,"ATENCAO (31-60 DIAS)","OK"))))</f>
        <v/>
      </c>
      <c r="G55" s="11">
        <f>SUMIFS(Movimentacoes!$G:$G,Movimentacoes!$C:$C,$A55,Movimentacoes!$E:$E,$C55,Movimentacoes!$B:$B,"ENTRADA")</f>
        <v/>
      </c>
      <c r="H55" s="11">
        <f>SUMIFS(Movimentacoes!$G:$G,Movimentacoes!$C:$C,$A55,Movimentacoes!$E:$E,$C55,Movimentacoes!$B:$B,"SAIDA_USO")</f>
        <v/>
      </c>
      <c r="I55" s="11">
        <f>SUMIFS(Movimentacoes!$G:$G,Movimentacoes!$C:$C,$A55,Movimentacoes!$E:$E,$C55,Movimentacoes!$B:$B,"SAIDA_DESCARTE")</f>
        <v/>
      </c>
      <c r="J55" s="11">
        <f>G55-H55-I55</f>
        <v/>
      </c>
      <c r="K55" s="8">
        <f>IF(A55="","",IF(J55&lt;=IFERROR(VLOOKUP(A55,Cadastro_Produtos!$A:$E,5,FALSE),0),"ABAIXO DO MINIMO","OK"))</f>
        <v/>
      </c>
    </row>
    <row r="56">
      <c r="A56" s="7" t="n"/>
      <c r="B56" s="7">
        <f>IFERROR(VLOOKUP(A56,Cadastro_Produtos!A:B,2,FALSE),"")</f>
        <v/>
      </c>
      <c r="C56" s="7" t="n"/>
      <c r="D56" s="10" t="n"/>
      <c r="E56" s="11">
        <f>IF(D56="","",D56-TODAY())</f>
        <v/>
      </c>
      <c r="F56" s="8">
        <f>IF(D56="","",IF(E56&lt;0,"VENCIDO",IF(E56&lt;=30,"VENCE EM &lt;= 30 DIAS",IF(E56&lt;=60,"ATENCAO (31-60 DIAS)","OK"))))</f>
        <v/>
      </c>
      <c r="G56" s="11">
        <f>SUMIFS(Movimentacoes!$G:$G,Movimentacoes!$C:$C,$A56,Movimentacoes!$E:$E,$C56,Movimentacoes!$B:$B,"ENTRADA")</f>
        <v/>
      </c>
      <c r="H56" s="11">
        <f>SUMIFS(Movimentacoes!$G:$G,Movimentacoes!$C:$C,$A56,Movimentacoes!$E:$E,$C56,Movimentacoes!$B:$B,"SAIDA_USO")</f>
        <v/>
      </c>
      <c r="I56" s="11">
        <f>SUMIFS(Movimentacoes!$G:$G,Movimentacoes!$C:$C,$A56,Movimentacoes!$E:$E,$C56,Movimentacoes!$B:$B,"SAIDA_DESCARTE")</f>
        <v/>
      </c>
      <c r="J56" s="11">
        <f>G56-H56-I56</f>
        <v/>
      </c>
      <c r="K56" s="8">
        <f>IF(A56="","",IF(J56&lt;=IFERROR(VLOOKUP(A56,Cadastro_Produtos!$A:$E,5,FALSE),0),"ABAIXO DO MINIMO","OK"))</f>
        <v/>
      </c>
    </row>
    <row r="57">
      <c r="A57" s="7" t="n"/>
      <c r="B57" s="7">
        <f>IFERROR(VLOOKUP(A57,Cadastro_Produtos!A:B,2,FALSE),"")</f>
        <v/>
      </c>
      <c r="C57" s="7" t="n"/>
      <c r="D57" s="10" t="n"/>
      <c r="E57" s="11">
        <f>IF(D57="","",D57-TODAY())</f>
        <v/>
      </c>
      <c r="F57" s="8">
        <f>IF(D57="","",IF(E57&lt;0,"VENCIDO",IF(E57&lt;=30,"VENCE EM &lt;= 30 DIAS",IF(E57&lt;=60,"ATENCAO (31-60 DIAS)","OK"))))</f>
        <v/>
      </c>
      <c r="G57" s="11">
        <f>SUMIFS(Movimentacoes!$G:$G,Movimentacoes!$C:$C,$A57,Movimentacoes!$E:$E,$C57,Movimentacoes!$B:$B,"ENTRADA")</f>
        <v/>
      </c>
      <c r="H57" s="11">
        <f>SUMIFS(Movimentacoes!$G:$G,Movimentacoes!$C:$C,$A57,Movimentacoes!$E:$E,$C57,Movimentacoes!$B:$B,"SAIDA_USO")</f>
        <v/>
      </c>
      <c r="I57" s="11">
        <f>SUMIFS(Movimentacoes!$G:$G,Movimentacoes!$C:$C,$A57,Movimentacoes!$E:$E,$C57,Movimentacoes!$B:$B,"SAIDA_DESCARTE")</f>
        <v/>
      </c>
      <c r="J57" s="11">
        <f>G57-H57-I57</f>
        <v/>
      </c>
      <c r="K57" s="8">
        <f>IF(A57="","",IF(J57&lt;=IFERROR(VLOOKUP(A57,Cadastro_Produtos!$A:$E,5,FALSE),0),"ABAIXO DO MINIMO","OK"))</f>
        <v/>
      </c>
    </row>
    <row r="58">
      <c r="A58" s="7" t="n"/>
      <c r="B58" s="7">
        <f>IFERROR(VLOOKUP(A58,Cadastro_Produtos!A:B,2,FALSE),"")</f>
        <v/>
      </c>
      <c r="C58" s="7" t="n"/>
      <c r="D58" s="10" t="n"/>
      <c r="E58" s="11">
        <f>IF(D58="","",D58-TODAY())</f>
        <v/>
      </c>
      <c r="F58" s="8">
        <f>IF(D58="","",IF(E58&lt;0,"VENCIDO",IF(E58&lt;=30,"VENCE EM &lt;= 30 DIAS",IF(E58&lt;=60,"ATENCAO (31-60 DIAS)","OK"))))</f>
        <v/>
      </c>
      <c r="G58" s="11">
        <f>SUMIFS(Movimentacoes!$G:$G,Movimentacoes!$C:$C,$A58,Movimentacoes!$E:$E,$C58,Movimentacoes!$B:$B,"ENTRADA")</f>
        <v/>
      </c>
      <c r="H58" s="11">
        <f>SUMIFS(Movimentacoes!$G:$G,Movimentacoes!$C:$C,$A58,Movimentacoes!$E:$E,$C58,Movimentacoes!$B:$B,"SAIDA_USO")</f>
        <v/>
      </c>
      <c r="I58" s="11">
        <f>SUMIFS(Movimentacoes!$G:$G,Movimentacoes!$C:$C,$A58,Movimentacoes!$E:$E,$C58,Movimentacoes!$B:$B,"SAIDA_DESCARTE")</f>
        <v/>
      </c>
      <c r="J58" s="11">
        <f>G58-H58-I58</f>
        <v/>
      </c>
      <c r="K58" s="8">
        <f>IF(A58="","",IF(J58&lt;=IFERROR(VLOOKUP(A58,Cadastro_Produtos!$A:$E,5,FALSE),0),"ABAIXO DO MINIMO","OK"))</f>
        <v/>
      </c>
    </row>
    <row r="59">
      <c r="A59" s="7" t="n"/>
      <c r="B59" s="7">
        <f>IFERROR(VLOOKUP(A59,Cadastro_Produtos!A:B,2,FALSE),"")</f>
        <v/>
      </c>
      <c r="C59" s="7" t="n"/>
      <c r="D59" s="10" t="n"/>
      <c r="E59" s="11">
        <f>IF(D59="","",D59-TODAY())</f>
        <v/>
      </c>
      <c r="F59" s="8">
        <f>IF(D59="","",IF(E59&lt;0,"VENCIDO",IF(E59&lt;=30,"VENCE EM &lt;= 30 DIAS",IF(E59&lt;=60,"ATENCAO (31-60 DIAS)","OK"))))</f>
        <v/>
      </c>
      <c r="G59" s="11">
        <f>SUMIFS(Movimentacoes!$G:$G,Movimentacoes!$C:$C,$A59,Movimentacoes!$E:$E,$C59,Movimentacoes!$B:$B,"ENTRADA")</f>
        <v/>
      </c>
      <c r="H59" s="11">
        <f>SUMIFS(Movimentacoes!$G:$G,Movimentacoes!$C:$C,$A59,Movimentacoes!$E:$E,$C59,Movimentacoes!$B:$B,"SAIDA_USO")</f>
        <v/>
      </c>
      <c r="I59" s="11">
        <f>SUMIFS(Movimentacoes!$G:$G,Movimentacoes!$C:$C,$A59,Movimentacoes!$E:$E,$C59,Movimentacoes!$B:$B,"SAIDA_DESCARTE")</f>
        <v/>
      </c>
      <c r="J59" s="11">
        <f>G59-H59-I59</f>
        <v/>
      </c>
      <c r="K59" s="8">
        <f>IF(A59="","",IF(J59&lt;=IFERROR(VLOOKUP(A59,Cadastro_Produtos!$A:$E,5,FALSE),0),"ABAIXO DO MINIMO","OK"))</f>
        <v/>
      </c>
    </row>
    <row r="60">
      <c r="A60" s="7" t="n"/>
      <c r="B60" s="7">
        <f>IFERROR(VLOOKUP(A60,Cadastro_Produtos!A:B,2,FALSE),"")</f>
        <v/>
      </c>
      <c r="C60" s="7" t="n"/>
      <c r="D60" s="10" t="n"/>
      <c r="E60" s="11">
        <f>IF(D60="","",D60-TODAY())</f>
        <v/>
      </c>
      <c r="F60" s="8">
        <f>IF(D60="","",IF(E60&lt;0,"VENCIDO",IF(E60&lt;=30,"VENCE EM &lt;= 30 DIAS",IF(E60&lt;=60,"ATENCAO (31-60 DIAS)","OK"))))</f>
        <v/>
      </c>
      <c r="G60" s="11">
        <f>SUMIFS(Movimentacoes!$G:$G,Movimentacoes!$C:$C,$A60,Movimentacoes!$E:$E,$C60,Movimentacoes!$B:$B,"ENTRADA")</f>
        <v/>
      </c>
      <c r="H60" s="11">
        <f>SUMIFS(Movimentacoes!$G:$G,Movimentacoes!$C:$C,$A60,Movimentacoes!$E:$E,$C60,Movimentacoes!$B:$B,"SAIDA_USO")</f>
        <v/>
      </c>
      <c r="I60" s="11">
        <f>SUMIFS(Movimentacoes!$G:$G,Movimentacoes!$C:$C,$A60,Movimentacoes!$E:$E,$C60,Movimentacoes!$B:$B,"SAIDA_DESCARTE")</f>
        <v/>
      </c>
      <c r="J60" s="11">
        <f>G60-H60-I60</f>
        <v/>
      </c>
      <c r="K60" s="8">
        <f>IF(A60="","",IF(J60&lt;=IFERROR(VLOOKUP(A60,Cadastro_Produtos!$A:$E,5,FALSE),0),"ABAIXO DO MINIMO","OK"))</f>
        <v/>
      </c>
    </row>
    <row r="61">
      <c r="A61" s="7" t="n"/>
      <c r="B61" s="7">
        <f>IFERROR(VLOOKUP(A61,Cadastro_Produtos!A:B,2,FALSE),"")</f>
        <v/>
      </c>
      <c r="C61" s="7" t="n"/>
      <c r="D61" s="10" t="n"/>
      <c r="E61" s="11">
        <f>IF(D61="","",D61-TODAY())</f>
        <v/>
      </c>
      <c r="F61" s="8">
        <f>IF(D61="","",IF(E61&lt;0,"VENCIDO",IF(E61&lt;=30,"VENCE EM &lt;= 30 DIAS",IF(E61&lt;=60,"ATENCAO (31-60 DIAS)","OK"))))</f>
        <v/>
      </c>
      <c r="G61" s="11">
        <f>SUMIFS(Movimentacoes!$G:$G,Movimentacoes!$C:$C,$A61,Movimentacoes!$E:$E,$C61,Movimentacoes!$B:$B,"ENTRADA")</f>
        <v/>
      </c>
      <c r="H61" s="11">
        <f>SUMIFS(Movimentacoes!$G:$G,Movimentacoes!$C:$C,$A61,Movimentacoes!$E:$E,$C61,Movimentacoes!$B:$B,"SAIDA_USO")</f>
        <v/>
      </c>
      <c r="I61" s="11">
        <f>SUMIFS(Movimentacoes!$G:$G,Movimentacoes!$C:$C,$A61,Movimentacoes!$E:$E,$C61,Movimentacoes!$B:$B,"SAIDA_DESCARTE")</f>
        <v/>
      </c>
      <c r="J61" s="11">
        <f>G61-H61-I61</f>
        <v/>
      </c>
      <c r="K61" s="8">
        <f>IF(A61="","",IF(J61&lt;=IFERROR(VLOOKUP(A61,Cadastro_Produtos!$A:$E,5,FALSE),0),"ABAIXO DO MINIMO","OK"))</f>
        <v/>
      </c>
    </row>
    <row r="62">
      <c r="A62" s="7" t="n"/>
      <c r="B62" s="7">
        <f>IFERROR(VLOOKUP(A62,Cadastro_Produtos!A:B,2,FALSE),"")</f>
        <v/>
      </c>
      <c r="C62" s="7" t="n"/>
      <c r="D62" s="10" t="n"/>
      <c r="E62" s="11">
        <f>IF(D62="","",D62-TODAY())</f>
        <v/>
      </c>
      <c r="F62" s="8">
        <f>IF(D62="","",IF(E62&lt;0,"VENCIDO",IF(E62&lt;=30,"VENCE EM &lt;= 30 DIAS",IF(E62&lt;=60,"ATENCAO (31-60 DIAS)","OK"))))</f>
        <v/>
      </c>
      <c r="G62" s="11">
        <f>SUMIFS(Movimentacoes!$G:$G,Movimentacoes!$C:$C,$A62,Movimentacoes!$E:$E,$C62,Movimentacoes!$B:$B,"ENTRADA")</f>
        <v/>
      </c>
      <c r="H62" s="11">
        <f>SUMIFS(Movimentacoes!$G:$G,Movimentacoes!$C:$C,$A62,Movimentacoes!$E:$E,$C62,Movimentacoes!$B:$B,"SAIDA_USO")</f>
        <v/>
      </c>
      <c r="I62" s="11">
        <f>SUMIFS(Movimentacoes!$G:$G,Movimentacoes!$C:$C,$A62,Movimentacoes!$E:$E,$C62,Movimentacoes!$B:$B,"SAIDA_DESCARTE")</f>
        <v/>
      </c>
      <c r="J62" s="11">
        <f>G62-H62-I62</f>
        <v/>
      </c>
      <c r="K62" s="8">
        <f>IF(A62="","",IF(J62&lt;=IFERROR(VLOOKUP(A62,Cadastro_Produtos!$A:$E,5,FALSE),0),"ABAIXO DO MINIMO","OK"))</f>
        <v/>
      </c>
    </row>
    <row r="63">
      <c r="A63" s="7" t="n"/>
      <c r="B63" s="7">
        <f>IFERROR(VLOOKUP(A63,Cadastro_Produtos!A:B,2,FALSE),"")</f>
        <v/>
      </c>
      <c r="C63" s="7" t="n"/>
      <c r="D63" s="10" t="n"/>
      <c r="E63" s="11">
        <f>IF(D63="","",D63-TODAY())</f>
        <v/>
      </c>
      <c r="F63" s="8">
        <f>IF(D63="","",IF(E63&lt;0,"VENCIDO",IF(E63&lt;=30,"VENCE EM &lt;= 30 DIAS",IF(E63&lt;=60,"ATENCAO (31-60 DIAS)","OK"))))</f>
        <v/>
      </c>
      <c r="G63" s="11">
        <f>SUMIFS(Movimentacoes!$G:$G,Movimentacoes!$C:$C,$A63,Movimentacoes!$E:$E,$C63,Movimentacoes!$B:$B,"ENTRADA")</f>
        <v/>
      </c>
      <c r="H63" s="11">
        <f>SUMIFS(Movimentacoes!$G:$G,Movimentacoes!$C:$C,$A63,Movimentacoes!$E:$E,$C63,Movimentacoes!$B:$B,"SAIDA_USO")</f>
        <v/>
      </c>
      <c r="I63" s="11">
        <f>SUMIFS(Movimentacoes!$G:$G,Movimentacoes!$C:$C,$A63,Movimentacoes!$E:$E,$C63,Movimentacoes!$B:$B,"SAIDA_DESCARTE")</f>
        <v/>
      </c>
      <c r="J63" s="11">
        <f>G63-H63-I63</f>
        <v/>
      </c>
      <c r="K63" s="8">
        <f>IF(A63="","",IF(J63&lt;=IFERROR(VLOOKUP(A63,Cadastro_Produtos!$A:$E,5,FALSE),0),"ABAIXO DO MINIMO","OK"))</f>
        <v/>
      </c>
    </row>
    <row r="64">
      <c r="A64" s="7" t="n"/>
      <c r="B64" s="7">
        <f>IFERROR(VLOOKUP(A64,Cadastro_Produtos!A:B,2,FALSE),"")</f>
        <v/>
      </c>
      <c r="C64" s="7" t="n"/>
      <c r="D64" s="10" t="n"/>
      <c r="E64" s="11">
        <f>IF(D64="","",D64-TODAY())</f>
        <v/>
      </c>
      <c r="F64" s="8">
        <f>IF(D64="","",IF(E64&lt;0,"VENCIDO",IF(E64&lt;=30,"VENCE EM &lt;= 30 DIAS",IF(E64&lt;=60,"ATENCAO (31-60 DIAS)","OK"))))</f>
        <v/>
      </c>
      <c r="G64" s="11">
        <f>SUMIFS(Movimentacoes!$G:$G,Movimentacoes!$C:$C,$A64,Movimentacoes!$E:$E,$C64,Movimentacoes!$B:$B,"ENTRADA")</f>
        <v/>
      </c>
      <c r="H64" s="11">
        <f>SUMIFS(Movimentacoes!$G:$G,Movimentacoes!$C:$C,$A64,Movimentacoes!$E:$E,$C64,Movimentacoes!$B:$B,"SAIDA_USO")</f>
        <v/>
      </c>
      <c r="I64" s="11">
        <f>SUMIFS(Movimentacoes!$G:$G,Movimentacoes!$C:$C,$A64,Movimentacoes!$E:$E,$C64,Movimentacoes!$B:$B,"SAIDA_DESCARTE")</f>
        <v/>
      </c>
      <c r="J64" s="11">
        <f>G64-H64-I64</f>
        <v/>
      </c>
      <c r="K64" s="8">
        <f>IF(A64="","",IF(J64&lt;=IFERROR(VLOOKUP(A64,Cadastro_Produtos!$A:$E,5,FALSE),0),"ABAIXO DO MINIMO","OK"))</f>
        <v/>
      </c>
    </row>
    <row r="65">
      <c r="A65" s="7" t="n"/>
      <c r="B65" s="7">
        <f>IFERROR(VLOOKUP(A65,Cadastro_Produtos!A:B,2,FALSE),"")</f>
        <v/>
      </c>
      <c r="C65" s="7" t="n"/>
      <c r="D65" s="10" t="n"/>
      <c r="E65" s="11">
        <f>IF(D65="","",D65-TODAY())</f>
        <v/>
      </c>
      <c r="F65" s="8">
        <f>IF(D65="","",IF(E65&lt;0,"VENCIDO",IF(E65&lt;=30,"VENCE EM &lt;= 30 DIAS",IF(E65&lt;=60,"ATENCAO (31-60 DIAS)","OK"))))</f>
        <v/>
      </c>
      <c r="G65" s="11">
        <f>SUMIFS(Movimentacoes!$G:$G,Movimentacoes!$C:$C,$A65,Movimentacoes!$E:$E,$C65,Movimentacoes!$B:$B,"ENTRADA")</f>
        <v/>
      </c>
      <c r="H65" s="11">
        <f>SUMIFS(Movimentacoes!$G:$G,Movimentacoes!$C:$C,$A65,Movimentacoes!$E:$E,$C65,Movimentacoes!$B:$B,"SAIDA_USO")</f>
        <v/>
      </c>
      <c r="I65" s="11">
        <f>SUMIFS(Movimentacoes!$G:$G,Movimentacoes!$C:$C,$A65,Movimentacoes!$E:$E,$C65,Movimentacoes!$B:$B,"SAIDA_DESCARTE")</f>
        <v/>
      </c>
      <c r="J65" s="11">
        <f>G65-H65-I65</f>
        <v/>
      </c>
      <c r="K65" s="8">
        <f>IF(A65="","",IF(J65&lt;=IFERROR(VLOOKUP(A65,Cadastro_Produtos!$A:$E,5,FALSE),0),"ABAIXO DO MINIMO","OK"))</f>
        <v/>
      </c>
    </row>
    <row r="66">
      <c r="A66" s="7" t="n"/>
      <c r="B66" s="7">
        <f>IFERROR(VLOOKUP(A66,Cadastro_Produtos!A:B,2,FALSE),"")</f>
        <v/>
      </c>
      <c r="C66" s="7" t="n"/>
      <c r="D66" s="10" t="n"/>
      <c r="E66" s="11">
        <f>IF(D66="","",D66-TODAY())</f>
        <v/>
      </c>
      <c r="F66" s="8">
        <f>IF(D66="","",IF(E66&lt;0,"VENCIDO",IF(E66&lt;=30,"VENCE EM &lt;= 30 DIAS",IF(E66&lt;=60,"ATENCAO (31-60 DIAS)","OK"))))</f>
        <v/>
      </c>
      <c r="G66" s="11">
        <f>SUMIFS(Movimentacoes!$G:$G,Movimentacoes!$C:$C,$A66,Movimentacoes!$E:$E,$C66,Movimentacoes!$B:$B,"ENTRADA")</f>
        <v/>
      </c>
      <c r="H66" s="11">
        <f>SUMIFS(Movimentacoes!$G:$G,Movimentacoes!$C:$C,$A66,Movimentacoes!$E:$E,$C66,Movimentacoes!$B:$B,"SAIDA_USO")</f>
        <v/>
      </c>
      <c r="I66" s="11">
        <f>SUMIFS(Movimentacoes!$G:$G,Movimentacoes!$C:$C,$A66,Movimentacoes!$E:$E,$C66,Movimentacoes!$B:$B,"SAIDA_DESCARTE")</f>
        <v/>
      </c>
      <c r="J66" s="11">
        <f>G66-H66-I66</f>
        <v/>
      </c>
      <c r="K66" s="8">
        <f>IF(A66="","",IF(J66&lt;=IFERROR(VLOOKUP(A66,Cadastro_Produtos!$A:$E,5,FALSE),0),"ABAIXO DO MINIMO","OK"))</f>
        <v/>
      </c>
    </row>
    <row r="67">
      <c r="A67" s="7" t="n"/>
      <c r="B67" s="7">
        <f>IFERROR(VLOOKUP(A67,Cadastro_Produtos!A:B,2,FALSE),"")</f>
        <v/>
      </c>
      <c r="C67" s="7" t="n"/>
      <c r="D67" s="10" t="n"/>
      <c r="E67" s="11">
        <f>IF(D67="","",D67-TODAY())</f>
        <v/>
      </c>
      <c r="F67" s="8">
        <f>IF(D67="","",IF(E67&lt;0,"VENCIDO",IF(E67&lt;=30,"VENCE EM &lt;= 30 DIAS",IF(E67&lt;=60,"ATENCAO (31-60 DIAS)","OK"))))</f>
        <v/>
      </c>
      <c r="G67" s="11">
        <f>SUMIFS(Movimentacoes!$G:$G,Movimentacoes!$C:$C,$A67,Movimentacoes!$E:$E,$C67,Movimentacoes!$B:$B,"ENTRADA")</f>
        <v/>
      </c>
      <c r="H67" s="11">
        <f>SUMIFS(Movimentacoes!$G:$G,Movimentacoes!$C:$C,$A67,Movimentacoes!$E:$E,$C67,Movimentacoes!$B:$B,"SAIDA_USO")</f>
        <v/>
      </c>
      <c r="I67" s="11">
        <f>SUMIFS(Movimentacoes!$G:$G,Movimentacoes!$C:$C,$A67,Movimentacoes!$E:$E,$C67,Movimentacoes!$B:$B,"SAIDA_DESCARTE")</f>
        <v/>
      </c>
      <c r="J67" s="11">
        <f>G67-H67-I67</f>
        <v/>
      </c>
      <c r="K67" s="8">
        <f>IF(A67="","",IF(J67&lt;=IFERROR(VLOOKUP(A67,Cadastro_Produtos!$A:$E,5,FALSE),0),"ABAIXO DO MINIMO","OK"))</f>
        <v/>
      </c>
    </row>
    <row r="68">
      <c r="A68" s="7" t="n"/>
      <c r="B68" s="7">
        <f>IFERROR(VLOOKUP(A68,Cadastro_Produtos!A:B,2,FALSE),"")</f>
        <v/>
      </c>
      <c r="C68" s="7" t="n"/>
      <c r="D68" s="10" t="n"/>
      <c r="E68" s="11">
        <f>IF(D68="","",D68-TODAY())</f>
        <v/>
      </c>
      <c r="F68" s="8">
        <f>IF(D68="","",IF(E68&lt;0,"VENCIDO",IF(E68&lt;=30,"VENCE EM &lt;= 30 DIAS",IF(E68&lt;=60,"ATENCAO (31-60 DIAS)","OK"))))</f>
        <v/>
      </c>
      <c r="G68" s="11">
        <f>SUMIFS(Movimentacoes!$G:$G,Movimentacoes!$C:$C,$A68,Movimentacoes!$E:$E,$C68,Movimentacoes!$B:$B,"ENTRADA")</f>
        <v/>
      </c>
      <c r="H68" s="11">
        <f>SUMIFS(Movimentacoes!$G:$G,Movimentacoes!$C:$C,$A68,Movimentacoes!$E:$E,$C68,Movimentacoes!$B:$B,"SAIDA_USO")</f>
        <v/>
      </c>
      <c r="I68" s="11">
        <f>SUMIFS(Movimentacoes!$G:$G,Movimentacoes!$C:$C,$A68,Movimentacoes!$E:$E,$C68,Movimentacoes!$B:$B,"SAIDA_DESCARTE")</f>
        <v/>
      </c>
      <c r="J68" s="11">
        <f>G68-H68-I68</f>
        <v/>
      </c>
      <c r="K68" s="8">
        <f>IF(A68="","",IF(J68&lt;=IFERROR(VLOOKUP(A68,Cadastro_Produtos!$A:$E,5,FALSE),0),"ABAIXO DO MINIMO","OK"))</f>
        <v/>
      </c>
    </row>
    <row r="69">
      <c r="A69" s="7" t="n"/>
      <c r="B69" s="7">
        <f>IFERROR(VLOOKUP(A69,Cadastro_Produtos!A:B,2,FALSE),"")</f>
        <v/>
      </c>
      <c r="C69" s="7" t="n"/>
      <c r="D69" s="10" t="n"/>
      <c r="E69" s="11">
        <f>IF(D69="","",D69-TODAY())</f>
        <v/>
      </c>
      <c r="F69" s="8">
        <f>IF(D69="","",IF(E69&lt;0,"VENCIDO",IF(E69&lt;=30,"VENCE EM &lt;= 30 DIAS",IF(E69&lt;=60,"ATENCAO (31-60 DIAS)","OK"))))</f>
        <v/>
      </c>
      <c r="G69" s="11">
        <f>SUMIFS(Movimentacoes!$G:$G,Movimentacoes!$C:$C,$A69,Movimentacoes!$E:$E,$C69,Movimentacoes!$B:$B,"ENTRADA")</f>
        <v/>
      </c>
      <c r="H69" s="11">
        <f>SUMIFS(Movimentacoes!$G:$G,Movimentacoes!$C:$C,$A69,Movimentacoes!$E:$E,$C69,Movimentacoes!$B:$B,"SAIDA_USO")</f>
        <v/>
      </c>
      <c r="I69" s="11">
        <f>SUMIFS(Movimentacoes!$G:$G,Movimentacoes!$C:$C,$A69,Movimentacoes!$E:$E,$C69,Movimentacoes!$B:$B,"SAIDA_DESCARTE")</f>
        <v/>
      </c>
      <c r="J69" s="11">
        <f>G69-H69-I69</f>
        <v/>
      </c>
      <c r="K69" s="8">
        <f>IF(A69="","",IF(J69&lt;=IFERROR(VLOOKUP(A69,Cadastro_Produtos!$A:$E,5,FALSE),0),"ABAIXO DO MINIMO","OK"))</f>
        <v/>
      </c>
    </row>
    <row r="70">
      <c r="A70" s="7" t="n"/>
      <c r="B70" s="7">
        <f>IFERROR(VLOOKUP(A70,Cadastro_Produtos!A:B,2,FALSE),"")</f>
        <v/>
      </c>
      <c r="C70" s="7" t="n"/>
      <c r="D70" s="10" t="n"/>
      <c r="E70" s="11">
        <f>IF(D70="","",D70-TODAY())</f>
        <v/>
      </c>
      <c r="F70" s="8">
        <f>IF(D70="","",IF(E70&lt;0,"VENCIDO",IF(E70&lt;=30,"VENCE EM &lt;= 30 DIAS",IF(E70&lt;=60,"ATENCAO (31-60 DIAS)","OK"))))</f>
        <v/>
      </c>
      <c r="G70" s="11">
        <f>SUMIFS(Movimentacoes!$G:$G,Movimentacoes!$C:$C,$A70,Movimentacoes!$E:$E,$C70,Movimentacoes!$B:$B,"ENTRADA")</f>
        <v/>
      </c>
      <c r="H70" s="11">
        <f>SUMIFS(Movimentacoes!$G:$G,Movimentacoes!$C:$C,$A70,Movimentacoes!$E:$E,$C70,Movimentacoes!$B:$B,"SAIDA_USO")</f>
        <v/>
      </c>
      <c r="I70" s="11">
        <f>SUMIFS(Movimentacoes!$G:$G,Movimentacoes!$C:$C,$A70,Movimentacoes!$E:$E,$C70,Movimentacoes!$B:$B,"SAIDA_DESCARTE")</f>
        <v/>
      </c>
      <c r="J70" s="11">
        <f>G70-H70-I70</f>
        <v/>
      </c>
      <c r="K70" s="8">
        <f>IF(A70="","",IF(J70&lt;=IFERROR(VLOOKUP(A70,Cadastro_Produtos!$A:$E,5,FALSE),0),"ABAIXO DO MINIMO","OK"))</f>
        <v/>
      </c>
    </row>
    <row r="71">
      <c r="A71" s="7" t="n"/>
      <c r="B71" s="7">
        <f>IFERROR(VLOOKUP(A71,Cadastro_Produtos!A:B,2,FALSE),"")</f>
        <v/>
      </c>
      <c r="C71" s="7" t="n"/>
      <c r="D71" s="10" t="n"/>
      <c r="E71" s="11">
        <f>IF(D71="","",D71-TODAY())</f>
        <v/>
      </c>
      <c r="F71" s="8">
        <f>IF(D71="","",IF(E71&lt;0,"VENCIDO",IF(E71&lt;=30,"VENCE EM &lt;= 30 DIAS",IF(E71&lt;=60,"ATENCAO (31-60 DIAS)","OK"))))</f>
        <v/>
      </c>
      <c r="G71" s="11">
        <f>SUMIFS(Movimentacoes!$G:$G,Movimentacoes!$C:$C,$A71,Movimentacoes!$E:$E,$C71,Movimentacoes!$B:$B,"ENTRADA")</f>
        <v/>
      </c>
      <c r="H71" s="11">
        <f>SUMIFS(Movimentacoes!$G:$G,Movimentacoes!$C:$C,$A71,Movimentacoes!$E:$E,$C71,Movimentacoes!$B:$B,"SAIDA_USO")</f>
        <v/>
      </c>
      <c r="I71" s="11">
        <f>SUMIFS(Movimentacoes!$G:$G,Movimentacoes!$C:$C,$A71,Movimentacoes!$E:$E,$C71,Movimentacoes!$B:$B,"SAIDA_DESCARTE")</f>
        <v/>
      </c>
      <c r="J71" s="11">
        <f>G71-H71-I71</f>
        <v/>
      </c>
      <c r="K71" s="8">
        <f>IF(A71="","",IF(J71&lt;=IFERROR(VLOOKUP(A71,Cadastro_Produtos!$A:$E,5,FALSE),0),"ABAIXO DO MINIMO","OK"))</f>
        <v/>
      </c>
    </row>
    <row r="72">
      <c r="A72" s="7" t="n"/>
      <c r="B72" s="7">
        <f>IFERROR(VLOOKUP(A72,Cadastro_Produtos!A:B,2,FALSE),"")</f>
        <v/>
      </c>
      <c r="C72" s="7" t="n"/>
      <c r="D72" s="10" t="n"/>
      <c r="E72" s="11">
        <f>IF(D72="","",D72-TODAY())</f>
        <v/>
      </c>
      <c r="F72" s="8">
        <f>IF(D72="","",IF(E72&lt;0,"VENCIDO",IF(E72&lt;=30,"VENCE EM &lt;= 30 DIAS",IF(E72&lt;=60,"ATENCAO (31-60 DIAS)","OK"))))</f>
        <v/>
      </c>
      <c r="G72" s="11">
        <f>SUMIFS(Movimentacoes!$G:$G,Movimentacoes!$C:$C,$A72,Movimentacoes!$E:$E,$C72,Movimentacoes!$B:$B,"ENTRADA")</f>
        <v/>
      </c>
      <c r="H72" s="11">
        <f>SUMIFS(Movimentacoes!$G:$G,Movimentacoes!$C:$C,$A72,Movimentacoes!$E:$E,$C72,Movimentacoes!$B:$B,"SAIDA_USO")</f>
        <v/>
      </c>
      <c r="I72" s="11">
        <f>SUMIFS(Movimentacoes!$G:$G,Movimentacoes!$C:$C,$A72,Movimentacoes!$E:$E,$C72,Movimentacoes!$B:$B,"SAIDA_DESCARTE")</f>
        <v/>
      </c>
      <c r="J72" s="11">
        <f>G72-H72-I72</f>
        <v/>
      </c>
      <c r="K72" s="8">
        <f>IF(A72="","",IF(J72&lt;=IFERROR(VLOOKUP(A72,Cadastro_Produtos!$A:$E,5,FALSE),0),"ABAIXO DO MINIMO","OK"))</f>
        <v/>
      </c>
    </row>
    <row r="73">
      <c r="A73" s="7" t="n"/>
      <c r="B73" s="7">
        <f>IFERROR(VLOOKUP(A73,Cadastro_Produtos!A:B,2,FALSE),"")</f>
        <v/>
      </c>
      <c r="C73" s="7" t="n"/>
      <c r="D73" s="10" t="n"/>
      <c r="E73" s="11">
        <f>IF(D73="","",D73-TODAY())</f>
        <v/>
      </c>
      <c r="F73" s="8">
        <f>IF(D73="","",IF(E73&lt;0,"VENCIDO",IF(E73&lt;=30,"VENCE EM &lt;= 30 DIAS",IF(E73&lt;=60,"ATENCAO (31-60 DIAS)","OK"))))</f>
        <v/>
      </c>
      <c r="G73" s="11">
        <f>SUMIFS(Movimentacoes!$G:$G,Movimentacoes!$C:$C,$A73,Movimentacoes!$E:$E,$C73,Movimentacoes!$B:$B,"ENTRADA")</f>
        <v/>
      </c>
      <c r="H73" s="11">
        <f>SUMIFS(Movimentacoes!$G:$G,Movimentacoes!$C:$C,$A73,Movimentacoes!$E:$E,$C73,Movimentacoes!$B:$B,"SAIDA_USO")</f>
        <v/>
      </c>
      <c r="I73" s="11">
        <f>SUMIFS(Movimentacoes!$G:$G,Movimentacoes!$C:$C,$A73,Movimentacoes!$E:$E,$C73,Movimentacoes!$B:$B,"SAIDA_DESCARTE")</f>
        <v/>
      </c>
      <c r="J73" s="11">
        <f>G73-H73-I73</f>
        <v/>
      </c>
      <c r="K73" s="8">
        <f>IF(A73="","",IF(J73&lt;=IFERROR(VLOOKUP(A73,Cadastro_Produtos!$A:$E,5,FALSE),0),"ABAIXO DO MINIMO","OK"))</f>
        <v/>
      </c>
    </row>
    <row r="74">
      <c r="A74" s="7" t="n"/>
      <c r="B74" s="7">
        <f>IFERROR(VLOOKUP(A74,Cadastro_Produtos!A:B,2,FALSE),"")</f>
        <v/>
      </c>
      <c r="C74" s="7" t="n"/>
      <c r="D74" s="10" t="n"/>
      <c r="E74" s="11">
        <f>IF(D74="","",D74-TODAY())</f>
        <v/>
      </c>
      <c r="F74" s="8">
        <f>IF(D74="","",IF(E74&lt;0,"VENCIDO",IF(E74&lt;=30,"VENCE EM &lt;= 30 DIAS",IF(E74&lt;=60,"ATENCAO (31-60 DIAS)","OK"))))</f>
        <v/>
      </c>
      <c r="G74" s="11">
        <f>SUMIFS(Movimentacoes!$G:$G,Movimentacoes!$C:$C,$A74,Movimentacoes!$E:$E,$C74,Movimentacoes!$B:$B,"ENTRADA")</f>
        <v/>
      </c>
      <c r="H74" s="11">
        <f>SUMIFS(Movimentacoes!$G:$G,Movimentacoes!$C:$C,$A74,Movimentacoes!$E:$E,$C74,Movimentacoes!$B:$B,"SAIDA_USO")</f>
        <v/>
      </c>
      <c r="I74" s="11">
        <f>SUMIFS(Movimentacoes!$G:$G,Movimentacoes!$C:$C,$A74,Movimentacoes!$E:$E,$C74,Movimentacoes!$B:$B,"SAIDA_DESCARTE")</f>
        <v/>
      </c>
      <c r="J74" s="11">
        <f>G74-H74-I74</f>
        <v/>
      </c>
      <c r="K74" s="8">
        <f>IF(A74="","",IF(J74&lt;=IFERROR(VLOOKUP(A74,Cadastro_Produtos!$A:$E,5,FALSE),0),"ABAIXO DO MINIMO","OK"))</f>
        <v/>
      </c>
    </row>
    <row r="75">
      <c r="A75" s="7" t="n"/>
      <c r="B75" s="7">
        <f>IFERROR(VLOOKUP(A75,Cadastro_Produtos!A:B,2,FALSE),"")</f>
        <v/>
      </c>
      <c r="C75" s="7" t="n"/>
      <c r="D75" s="10" t="n"/>
      <c r="E75" s="11">
        <f>IF(D75="","",D75-TODAY())</f>
        <v/>
      </c>
      <c r="F75" s="8">
        <f>IF(D75="","",IF(E75&lt;0,"VENCIDO",IF(E75&lt;=30,"VENCE EM &lt;= 30 DIAS",IF(E75&lt;=60,"ATENCAO (31-60 DIAS)","OK"))))</f>
        <v/>
      </c>
      <c r="G75" s="11">
        <f>SUMIFS(Movimentacoes!$G:$G,Movimentacoes!$C:$C,$A75,Movimentacoes!$E:$E,$C75,Movimentacoes!$B:$B,"ENTRADA")</f>
        <v/>
      </c>
      <c r="H75" s="11">
        <f>SUMIFS(Movimentacoes!$G:$G,Movimentacoes!$C:$C,$A75,Movimentacoes!$E:$E,$C75,Movimentacoes!$B:$B,"SAIDA_USO")</f>
        <v/>
      </c>
      <c r="I75" s="11">
        <f>SUMIFS(Movimentacoes!$G:$G,Movimentacoes!$C:$C,$A75,Movimentacoes!$E:$E,$C75,Movimentacoes!$B:$B,"SAIDA_DESCARTE")</f>
        <v/>
      </c>
      <c r="J75" s="11">
        <f>G75-H75-I75</f>
        <v/>
      </c>
      <c r="K75" s="8">
        <f>IF(A75="","",IF(J75&lt;=IFERROR(VLOOKUP(A75,Cadastro_Produtos!$A:$E,5,FALSE),0),"ABAIXO DO MINIMO","OK"))</f>
        <v/>
      </c>
    </row>
    <row r="76">
      <c r="A76" s="7" t="n"/>
      <c r="B76" s="7">
        <f>IFERROR(VLOOKUP(A76,Cadastro_Produtos!A:B,2,FALSE),"")</f>
        <v/>
      </c>
      <c r="C76" s="7" t="n"/>
      <c r="D76" s="10" t="n"/>
      <c r="E76" s="11">
        <f>IF(D76="","",D76-TODAY())</f>
        <v/>
      </c>
      <c r="F76" s="8">
        <f>IF(D76="","",IF(E76&lt;0,"VENCIDO",IF(E76&lt;=30,"VENCE EM &lt;= 30 DIAS",IF(E76&lt;=60,"ATENCAO (31-60 DIAS)","OK"))))</f>
        <v/>
      </c>
      <c r="G76" s="11">
        <f>SUMIFS(Movimentacoes!$G:$G,Movimentacoes!$C:$C,$A76,Movimentacoes!$E:$E,$C76,Movimentacoes!$B:$B,"ENTRADA")</f>
        <v/>
      </c>
      <c r="H76" s="11">
        <f>SUMIFS(Movimentacoes!$G:$G,Movimentacoes!$C:$C,$A76,Movimentacoes!$E:$E,$C76,Movimentacoes!$B:$B,"SAIDA_USO")</f>
        <v/>
      </c>
      <c r="I76" s="11">
        <f>SUMIFS(Movimentacoes!$G:$G,Movimentacoes!$C:$C,$A76,Movimentacoes!$E:$E,$C76,Movimentacoes!$B:$B,"SAIDA_DESCARTE")</f>
        <v/>
      </c>
      <c r="J76" s="11">
        <f>G76-H76-I76</f>
        <v/>
      </c>
      <c r="K76" s="8">
        <f>IF(A76="","",IF(J76&lt;=IFERROR(VLOOKUP(A76,Cadastro_Produtos!$A:$E,5,FALSE),0),"ABAIXO DO MINIMO","OK"))</f>
        <v/>
      </c>
    </row>
    <row r="77">
      <c r="A77" s="7" t="n"/>
      <c r="B77" s="7">
        <f>IFERROR(VLOOKUP(A77,Cadastro_Produtos!A:B,2,FALSE),"")</f>
        <v/>
      </c>
      <c r="C77" s="7" t="n"/>
      <c r="D77" s="10" t="n"/>
      <c r="E77" s="11">
        <f>IF(D77="","",D77-TODAY())</f>
        <v/>
      </c>
      <c r="F77" s="8">
        <f>IF(D77="","",IF(E77&lt;0,"VENCIDO",IF(E77&lt;=30,"VENCE EM &lt;= 30 DIAS",IF(E77&lt;=60,"ATENCAO (31-60 DIAS)","OK"))))</f>
        <v/>
      </c>
      <c r="G77" s="11">
        <f>SUMIFS(Movimentacoes!$G:$G,Movimentacoes!$C:$C,$A77,Movimentacoes!$E:$E,$C77,Movimentacoes!$B:$B,"ENTRADA")</f>
        <v/>
      </c>
      <c r="H77" s="11">
        <f>SUMIFS(Movimentacoes!$G:$G,Movimentacoes!$C:$C,$A77,Movimentacoes!$E:$E,$C77,Movimentacoes!$B:$B,"SAIDA_USO")</f>
        <v/>
      </c>
      <c r="I77" s="11">
        <f>SUMIFS(Movimentacoes!$G:$G,Movimentacoes!$C:$C,$A77,Movimentacoes!$E:$E,$C77,Movimentacoes!$B:$B,"SAIDA_DESCARTE")</f>
        <v/>
      </c>
      <c r="J77" s="11">
        <f>G77-H77-I77</f>
        <v/>
      </c>
      <c r="K77" s="8">
        <f>IF(A77="","",IF(J77&lt;=IFERROR(VLOOKUP(A77,Cadastro_Produtos!$A:$E,5,FALSE),0),"ABAIXO DO MINIMO","OK"))</f>
        <v/>
      </c>
    </row>
    <row r="78">
      <c r="A78" s="7" t="n"/>
      <c r="B78" s="7">
        <f>IFERROR(VLOOKUP(A78,Cadastro_Produtos!A:B,2,FALSE),"")</f>
        <v/>
      </c>
      <c r="C78" s="7" t="n"/>
      <c r="D78" s="10" t="n"/>
      <c r="E78" s="11">
        <f>IF(D78="","",D78-TODAY())</f>
        <v/>
      </c>
      <c r="F78" s="8">
        <f>IF(D78="","",IF(E78&lt;0,"VENCIDO",IF(E78&lt;=30,"VENCE EM &lt;= 30 DIAS",IF(E78&lt;=60,"ATENCAO (31-60 DIAS)","OK"))))</f>
        <v/>
      </c>
      <c r="G78" s="11">
        <f>SUMIFS(Movimentacoes!$G:$G,Movimentacoes!$C:$C,$A78,Movimentacoes!$E:$E,$C78,Movimentacoes!$B:$B,"ENTRADA")</f>
        <v/>
      </c>
      <c r="H78" s="11">
        <f>SUMIFS(Movimentacoes!$G:$G,Movimentacoes!$C:$C,$A78,Movimentacoes!$E:$E,$C78,Movimentacoes!$B:$B,"SAIDA_USO")</f>
        <v/>
      </c>
      <c r="I78" s="11">
        <f>SUMIFS(Movimentacoes!$G:$G,Movimentacoes!$C:$C,$A78,Movimentacoes!$E:$E,$C78,Movimentacoes!$B:$B,"SAIDA_DESCARTE")</f>
        <v/>
      </c>
      <c r="J78" s="11">
        <f>G78-H78-I78</f>
        <v/>
      </c>
      <c r="K78" s="8">
        <f>IF(A78="","",IF(J78&lt;=IFERROR(VLOOKUP(A78,Cadastro_Produtos!$A:$E,5,FALSE),0),"ABAIXO DO MINIMO","OK"))</f>
        <v/>
      </c>
    </row>
    <row r="79">
      <c r="A79" s="7" t="n"/>
      <c r="B79" s="7">
        <f>IFERROR(VLOOKUP(A79,Cadastro_Produtos!A:B,2,FALSE),"")</f>
        <v/>
      </c>
      <c r="C79" s="7" t="n"/>
      <c r="D79" s="10" t="n"/>
      <c r="E79" s="11">
        <f>IF(D79="","",D79-TODAY())</f>
        <v/>
      </c>
      <c r="F79" s="8">
        <f>IF(D79="","",IF(E79&lt;0,"VENCIDO",IF(E79&lt;=30,"VENCE EM &lt;= 30 DIAS",IF(E79&lt;=60,"ATENCAO (31-60 DIAS)","OK"))))</f>
        <v/>
      </c>
      <c r="G79" s="11">
        <f>SUMIFS(Movimentacoes!$G:$G,Movimentacoes!$C:$C,$A79,Movimentacoes!$E:$E,$C79,Movimentacoes!$B:$B,"ENTRADA")</f>
        <v/>
      </c>
      <c r="H79" s="11">
        <f>SUMIFS(Movimentacoes!$G:$G,Movimentacoes!$C:$C,$A79,Movimentacoes!$E:$E,$C79,Movimentacoes!$B:$B,"SAIDA_USO")</f>
        <v/>
      </c>
      <c r="I79" s="11">
        <f>SUMIFS(Movimentacoes!$G:$G,Movimentacoes!$C:$C,$A79,Movimentacoes!$E:$E,$C79,Movimentacoes!$B:$B,"SAIDA_DESCARTE")</f>
        <v/>
      </c>
      <c r="J79" s="11">
        <f>G79-H79-I79</f>
        <v/>
      </c>
      <c r="K79" s="8">
        <f>IF(A79="","",IF(J79&lt;=IFERROR(VLOOKUP(A79,Cadastro_Produtos!$A:$E,5,FALSE),0),"ABAIXO DO MINIMO","OK"))</f>
        <v/>
      </c>
    </row>
    <row r="80">
      <c r="A80" s="7" t="n"/>
      <c r="B80" s="7">
        <f>IFERROR(VLOOKUP(A80,Cadastro_Produtos!A:B,2,FALSE),"")</f>
        <v/>
      </c>
      <c r="C80" s="7" t="n"/>
      <c r="D80" s="10" t="n"/>
      <c r="E80" s="11">
        <f>IF(D80="","",D80-TODAY())</f>
        <v/>
      </c>
      <c r="F80" s="8">
        <f>IF(D80="","",IF(E80&lt;0,"VENCIDO",IF(E80&lt;=30,"VENCE EM &lt;= 30 DIAS",IF(E80&lt;=60,"ATENCAO (31-60 DIAS)","OK"))))</f>
        <v/>
      </c>
      <c r="G80" s="11">
        <f>SUMIFS(Movimentacoes!$G:$G,Movimentacoes!$C:$C,$A80,Movimentacoes!$E:$E,$C80,Movimentacoes!$B:$B,"ENTRADA")</f>
        <v/>
      </c>
      <c r="H80" s="11">
        <f>SUMIFS(Movimentacoes!$G:$G,Movimentacoes!$C:$C,$A80,Movimentacoes!$E:$E,$C80,Movimentacoes!$B:$B,"SAIDA_USO")</f>
        <v/>
      </c>
      <c r="I80" s="11">
        <f>SUMIFS(Movimentacoes!$G:$G,Movimentacoes!$C:$C,$A80,Movimentacoes!$E:$E,$C80,Movimentacoes!$B:$B,"SAIDA_DESCARTE")</f>
        <v/>
      </c>
      <c r="J80" s="11">
        <f>G80-H80-I80</f>
        <v/>
      </c>
      <c r="K80" s="8">
        <f>IF(A80="","",IF(J80&lt;=IFERROR(VLOOKUP(A80,Cadastro_Produtos!$A:$E,5,FALSE),0),"ABAIXO DO MINIMO","OK"))</f>
        <v/>
      </c>
    </row>
    <row r="81">
      <c r="A81" s="7" t="n"/>
      <c r="B81" s="7">
        <f>IFERROR(VLOOKUP(A81,Cadastro_Produtos!A:B,2,FALSE),"")</f>
        <v/>
      </c>
      <c r="C81" s="7" t="n"/>
      <c r="D81" s="10" t="n"/>
      <c r="E81" s="11">
        <f>IF(D81="","",D81-TODAY())</f>
        <v/>
      </c>
      <c r="F81" s="8">
        <f>IF(D81="","",IF(E81&lt;0,"VENCIDO",IF(E81&lt;=30,"VENCE EM &lt;= 30 DIAS",IF(E81&lt;=60,"ATENCAO (31-60 DIAS)","OK"))))</f>
        <v/>
      </c>
      <c r="G81" s="11">
        <f>SUMIFS(Movimentacoes!$G:$G,Movimentacoes!$C:$C,$A81,Movimentacoes!$E:$E,$C81,Movimentacoes!$B:$B,"ENTRADA")</f>
        <v/>
      </c>
      <c r="H81" s="11">
        <f>SUMIFS(Movimentacoes!$G:$G,Movimentacoes!$C:$C,$A81,Movimentacoes!$E:$E,$C81,Movimentacoes!$B:$B,"SAIDA_USO")</f>
        <v/>
      </c>
      <c r="I81" s="11">
        <f>SUMIFS(Movimentacoes!$G:$G,Movimentacoes!$C:$C,$A81,Movimentacoes!$E:$E,$C81,Movimentacoes!$B:$B,"SAIDA_DESCARTE")</f>
        <v/>
      </c>
      <c r="J81" s="11">
        <f>G81-H81-I81</f>
        <v/>
      </c>
      <c r="K81" s="8">
        <f>IF(A81="","",IF(J81&lt;=IFERROR(VLOOKUP(A81,Cadastro_Produtos!$A:$E,5,FALSE),0),"ABAIXO DO MINIMO","OK"))</f>
        <v/>
      </c>
    </row>
    <row r="82">
      <c r="A82" s="7" t="n"/>
      <c r="B82" s="7">
        <f>IFERROR(VLOOKUP(A82,Cadastro_Produtos!A:B,2,FALSE),"")</f>
        <v/>
      </c>
      <c r="C82" s="7" t="n"/>
      <c r="D82" s="10" t="n"/>
      <c r="E82" s="11">
        <f>IF(D82="","",D82-TODAY())</f>
        <v/>
      </c>
      <c r="F82" s="8">
        <f>IF(D82="","",IF(E82&lt;0,"VENCIDO",IF(E82&lt;=30,"VENCE EM &lt;= 30 DIAS",IF(E82&lt;=60,"ATENCAO (31-60 DIAS)","OK"))))</f>
        <v/>
      </c>
      <c r="G82" s="11">
        <f>SUMIFS(Movimentacoes!$G:$G,Movimentacoes!$C:$C,$A82,Movimentacoes!$E:$E,$C82,Movimentacoes!$B:$B,"ENTRADA")</f>
        <v/>
      </c>
      <c r="H82" s="11">
        <f>SUMIFS(Movimentacoes!$G:$G,Movimentacoes!$C:$C,$A82,Movimentacoes!$E:$E,$C82,Movimentacoes!$B:$B,"SAIDA_USO")</f>
        <v/>
      </c>
      <c r="I82" s="11">
        <f>SUMIFS(Movimentacoes!$G:$G,Movimentacoes!$C:$C,$A82,Movimentacoes!$E:$E,$C82,Movimentacoes!$B:$B,"SAIDA_DESCARTE")</f>
        <v/>
      </c>
      <c r="J82" s="11">
        <f>G82-H82-I82</f>
        <v/>
      </c>
      <c r="K82" s="8">
        <f>IF(A82="","",IF(J82&lt;=IFERROR(VLOOKUP(A82,Cadastro_Produtos!$A:$E,5,FALSE),0),"ABAIXO DO MINIMO","OK"))</f>
        <v/>
      </c>
    </row>
    <row r="83">
      <c r="A83" s="7" t="n"/>
      <c r="B83" s="7">
        <f>IFERROR(VLOOKUP(A83,Cadastro_Produtos!A:B,2,FALSE),"")</f>
        <v/>
      </c>
      <c r="C83" s="7" t="n"/>
      <c r="D83" s="10" t="n"/>
      <c r="E83" s="11">
        <f>IF(D83="","",D83-TODAY())</f>
        <v/>
      </c>
      <c r="F83" s="8">
        <f>IF(D83="","",IF(E83&lt;0,"VENCIDO",IF(E83&lt;=30,"VENCE EM &lt;= 30 DIAS",IF(E83&lt;=60,"ATENCAO (31-60 DIAS)","OK"))))</f>
        <v/>
      </c>
      <c r="G83" s="11">
        <f>SUMIFS(Movimentacoes!$G:$G,Movimentacoes!$C:$C,$A83,Movimentacoes!$E:$E,$C83,Movimentacoes!$B:$B,"ENTRADA")</f>
        <v/>
      </c>
      <c r="H83" s="11">
        <f>SUMIFS(Movimentacoes!$G:$G,Movimentacoes!$C:$C,$A83,Movimentacoes!$E:$E,$C83,Movimentacoes!$B:$B,"SAIDA_USO")</f>
        <v/>
      </c>
      <c r="I83" s="11">
        <f>SUMIFS(Movimentacoes!$G:$G,Movimentacoes!$C:$C,$A83,Movimentacoes!$E:$E,$C83,Movimentacoes!$B:$B,"SAIDA_DESCARTE")</f>
        <v/>
      </c>
      <c r="J83" s="11">
        <f>G83-H83-I83</f>
        <v/>
      </c>
      <c r="K83" s="8">
        <f>IF(A83="","",IF(J83&lt;=IFERROR(VLOOKUP(A83,Cadastro_Produtos!$A:$E,5,FALSE),0),"ABAIXO DO MINIMO","OK"))</f>
        <v/>
      </c>
    </row>
    <row r="84">
      <c r="A84" s="7" t="n"/>
      <c r="B84" s="7">
        <f>IFERROR(VLOOKUP(A84,Cadastro_Produtos!A:B,2,FALSE),"")</f>
        <v/>
      </c>
      <c r="C84" s="7" t="n"/>
      <c r="D84" s="10" t="n"/>
      <c r="E84" s="11">
        <f>IF(D84="","",D84-TODAY())</f>
        <v/>
      </c>
      <c r="F84" s="8">
        <f>IF(D84="","",IF(E84&lt;0,"VENCIDO",IF(E84&lt;=30,"VENCE EM &lt;= 30 DIAS",IF(E84&lt;=60,"ATENCAO (31-60 DIAS)","OK"))))</f>
        <v/>
      </c>
      <c r="G84" s="11">
        <f>SUMIFS(Movimentacoes!$G:$G,Movimentacoes!$C:$C,$A84,Movimentacoes!$E:$E,$C84,Movimentacoes!$B:$B,"ENTRADA")</f>
        <v/>
      </c>
      <c r="H84" s="11">
        <f>SUMIFS(Movimentacoes!$G:$G,Movimentacoes!$C:$C,$A84,Movimentacoes!$E:$E,$C84,Movimentacoes!$B:$B,"SAIDA_USO")</f>
        <v/>
      </c>
      <c r="I84" s="11">
        <f>SUMIFS(Movimentacoes!$G:$G,Movimentacoes!$C:$C,$A84,Movimentacoes!$E:$E,$C84,Movimentacoes!$B:$B,"SAIDA_DESCARTE")</f>
        <v/>
      </c>
      <c r="J84" s="11">
        <f>G84-H84-I84</f>
        <v/>
      </c>
      <c r="K84" s="8">
        <f>IF(A84="","",IF(J84&lt;=IFERROR(VLOOKUP(A84,Cadastro_Produtos!$A:$E,5,FALSE),0),"ABAIXO DO MINIMO","OK"))</f>
        <v/>
      </c>
    </row>
    <row r="85">
      <c r="A85" s="7" t="n"/>
      <c r="B85" s="7">
        <f>IFERROR(VLOOKUP(A85,Cadastro_Produtos!A:B,2,FALSE),"")</f>
        <v/>
      </c>
      <c r="C85" s="7" t="n"/>
      <c r="D85" s="10" t="n"/>
      <c r="E85" s="11">
        <f>IF(D85="","",D85-TODAY())</f>
        <v/>
      </c>
      <c r="F85" s="8">
        <f>IF(D85="","",IF(E85&lt;0,"VENCIDO",IF(E85&lt;=30,"VENCE EM &lt;= 30 DIAS",IF(E85&lt;=60,"ATENCAO (31-60 DIAS)","OK"))))</f>
        <v/>
      </c>
      <c r="G85" s="11">
        <f>SUMIFS(Movimentacoes!$G:$G,Movimentacoes!$C:$C,$A85,Movimentacoes!$E:$E,$C85,Movimentacoes!$B:$B,"ENTRADA")</f>
        <v/>
      </c>
      <c r="H85" s="11">
        <f>SUMIFS(Movimentacoes!$G:$G,Movimentacoes!$C:$C,$A85,Movimentacoes!$E:$E,$C85,Movimentacoes!$B:$B,"SAIDA_USO")</f>
        <v/>
      </c>
      <c r="I85" s="11">
        <f>SUMIFS(Movimentacoes!$G:$G,Movimentacoes!$C:$C,$A85,Movimentacoes!$E:$E,$C85,Movimentacoes!$B:$B,"SAIDA_DESCARTE")</f>
        <v/>
      </c>
      <c r="J85" s="11">
        <f>G85-H85-I85</f>
        <v/>
      </c>
      <c r="K85" s="8">
        <f>IF(A85="","",IF(J85&lt;=IFERROR(VLOOKUP(A85,Cadastro_Produtos!$A:$E,5,FALSE),0),"ABAIXO DO MINIMO","OK"))</f>
        <v/>
      </c>
    </row>
    <row r="86">
      <c r="A86" s="7" t="n"/>
      <c r="B86" s="7">
        <f>IFERROR(VLOOKUP(A86,Cadastro_Produtos!A:B,2,FALSE),"")</f>
        <v/>
      </c>
      <c r="C86" s="7" t="n"/>
      <c r="D86" s="10" t="n"/>
      <c r="E86" s="11">
        <f>IF(D86="","",D86-TODAY())</f>
        <v/>
      </c>
      <c r="F86" s="8">
        <f>IF(D86="","",IF(E86&lt;0,"VENCIDO",IF(E86&lt;=30,"VENCE EM &lt;= 30 DIAS",IF(E86&lt;=60,"ATENCAO (31-60 DIAS)","OK"))))</f>
        <v/>
      </c>
      <c r="G86" s="11">
        <f>SUMIFS(Movimentacoes!$G:$G,Movimentacoes!$C:$C,$A86,Movimentacoes!$E:$E,$C86,Movimentacoes!$B:$B,"ENTRADA")</f>
        <v/>
      </c>
      <c r="H86" s="11">
        <f>SUMIFS(Movimentacoes!$G:$G,Movimentacoes!$C:$C,$A86,Movimentacoes!$E:$E,$C86,Movimentacoes!$B:$B,"SAIDA_USO")</f>
        <v/>
      </c>
      <c r="I86" s="11">
        <f>SUMIFS(Movimentacoes!$G:$G,Movimentacoes!$C:$C,$A86,Movimentacoes!$E:$E,$C86,Movimentacoes!$B:$B,"SAIDA_DESCARTE")</f>
        <v/>
      </c>
      <c r="J86" s="11">
        <f>G86-H86-I86</f>
        <v/>
      </c>
      <c r="K86" s="8">
        <f>IF(A86="","",IF(J86&lt;=IFERROR(VLOOKUP(A86,Cadastro_Produtos!$A:$E,5,FALSE),0),"ABAIXO DO MINIMO","OK"))</f>
        <v/>
      </c>
    </row>
    <row r="87">
      <c r="A87" s="7" t="n"/>
      <c r="B87" s="7">
        <f>IFERROR(VLOOKUP(A87,Cadastro_Produtos!A:B,2,FALSE),"")</f>
        <v/>
      </c>
      <c r="C87" s="7" t="n"/>
      <c r="D87" s="10" t="n"/>
      <c r="E87" s="11">
        <f>IF(D87="","",D87-TODAY())</f>
        <v/>
      </c>
      <c r="F87" s="8">
        <f>IF(D87="","",IF(E87&lt;0,"VENCIDO",IF(E87&lt;=30,"VENCE EM &lt;= 30 DIAS",IF(E87&lt;=60,"ATENCAO (31-60 DIAS)","OK"))))</f>
        <v/>
      </c>
      <c r="G87" s="11">
        <f>SUMIFS(Movimentacoes!$G:$G,Movimentacoes!$C:$C,$A87,Movimentacoes!$E:$E,$C87,Movimentacoes!$B:$B,"ENTRADA")</f>
        <v/>
      </c>
      <c r="H87" s="11">
        <f>SUMIFS(Movimentacoes!$G:$G,Movimentacoes!$C:$C,$A87,Movimentacoes!$E:$E,$C87,Movimentacoes!$B:$B,"SAIDA_USO")</f>
        <v/>
      </c>
      <c r="I87" s="11">
        <f>SUMIFS(Movimentacoes!$G:$G,Movimentacoes!$C:$C,$A87,Movimentacoes!$E:$E,$C87,Movimentacoes!$B:$B,"SAIDA_DESCARTE")</f>
        <v/>
      </c>
      <c r="J87" s="11">
        <f>G87-H87-I87</f>
        <v/>
      </c>
      <c r="K87" s="8">
        <f>IF(A87="","",IF(J87&lt;=IFERROR(VLOOKUP(A87,Cadastro_Produtos!$A:$E,5,FALSE),0),"ABAIXO DO MINIMO","OK"))</f>
        <v/>
      </c>
    </row>
    <row r="88">
      <c r="A88" s="7" t="n"/>
      <c r="B88" s="7">
        <f>IFERROR(VLOOKUP(A88,Cadastro_Produtos!A:B,2,FALSE),"")</f>
        <v/>
      </c>
      <c r="C88" s="7" t="n"/>
      <c r="D88" s="10" t="n"/>
      <c r="E88" s="11">
        <f>IF(D88="","",D88-TODAY())</f>
        <v/>
      </c>
      <c r="F88" s="8">
        <f>IF(D88="","",IF(E88&lt;0,"VENCIDO",IF(E88&lt;=30,"VENCE EM &lt;= 30 DIAS",IF(E88&lt;=60,"ATENCAO (31-60 DIAS)","OK"))))</f>
        <v/>
      </c>
      <c r="G88" s="11">
        <f>SUMIFS(Movimentacoes!$G:$G,Movimentacoes!$C:$C,$A88,Movimentacoes!$E:$E,$C88,Movimentacoes!$B:$B,"ENTRADA")</f>
        <v/>
      </c>
      <c r="H88" s="11">
        <f>SUMIFS(Movimentacoes!$G:$G,Movimentacoes!$C:$C,$A88,Movimentacoes!$E:$E,$C88,Movimentacoes!$B:$B,"SAIDA_USO")</f>
        <v/>
      </c>
      <c r="I88" s="11">
        <f>SUMIFS(Movimentacoes!$G:$G,Movimentacoes!$C:$C,$A88,Movimentacoes!$E:$E,$C88,Movimentacoes!$B:$B,"SAIDA_DESCARTE")</f>
        <v/>
      </c>
      <c r="J88" s="11">
        <f>G88-H88-I88</f>
        <v/>
      </c>
      <c r="K88" s="8">
        <f>IF(A88="","",IF(J88&lt;=IFERROR(VLOOKUP(A88,Cadastro_Produtos!$A:$E,5,FALSE),0),"ABAIXO DO MINIMO","OK"))</f>
        <v/>
      </c>
    </row>
    <row r="89">
      <c r="A89" s="7" t="n"/>
      <c r="B89" s="7">
        <f>IFERROR(VLOOKUP(A89,Cadastro_Produtos!A:B,2,FALSE),"")</f>
        <v/>
      </c>
      <c r="C89" s="7" t="n"/>
      <c r="D89" s="10" t="n"/>
      <c r="E89" s="11">
        <f>IF(D89="","",D89-TODAY())</f>
        <v/>
      </c>
      <c r="F89" s="8">
        <f>IF(D89="","",IF(E89&lt;0,"VENCIDO",IF(E89&lt;=30,"VENCE EM &lt;= 30 DIAS",IF(E89&lt;=60,"ATENCAO (31-60 DIAS)","OK"))))</f>
        <v/>
      </c>
      <c r="G89" s="11">
        <f>SUMIFS(Movimentacoes!$G:$G,Movimentacoes!$C:$C,$A89,Movimentacoes!$E:$E,$C89,Movimentacoes!$B:$B,"ENTRADA")</f>
        <v/>
      </c>
      <c r="H89" s="11">
        <f>SUMIFS(Movimentacoes!$G:$G,Movimentacoes!$C:$C,$A89,Movimentacoes!$E:$E,$C89,Movimentacoes!$B:$B,"SAIDA_USO")</f>
        <v/>
      </c>
      <c r="I89" s="11">
        <f>SUMIFS(Movimentacoes!$G:$G,Movimentacoes!$C:$C,$A89,Movimentacoes!$E:$E,$C89,Movimentacoes!$B:$B,"SAIDA_DESCARTE")</f>
        <v/>
      </c>
      <c r="J89" s="11">
        <f>G89-H89-I89</f>
        <v/>
      </c>
      <c r="K89" s="8">
        <f>IF(A89="","",IF(J89&lt;=IFERROR(VLOOKUP(A89,Cadastro_Produtos!$A:$E,5,FALSE),0),"ABAIXO DO MINIMO","OK"))</f>
        <v/>
      </c>
    </row>
    <row r="90">
      <c r="A90" s="7" t="n"/>
      <c r="B90" s="7">
        <f>IFERROR(VLOOKUP(A90,Cadastro_Produtos!A:B,2,FALSE),"")</f>
        <v/>
      </c>
      <c r="C90" s="7" t="n"/>
      <c r="D90" s="10" t="n"/>
      <c r="E90" s="11">
        <f>IF(D90="","",D90-TODAY())</f>
        <v/>
      </c>
      <c r="F90" s="8">
        <f>IF(D90="","",IF(E90&lt;0,"VENCIDO",IF(E90&lt;=30,"VENCE EM &lt;= 30 DIAS",IF(E90&lt;=60,"ATENCAO (31-60 DIAS)","OK"))))</f>
        <v/>
      </c>
      <c r="G90" s="11">
        <f>SUMIFS(Movimentacoes!$G:$G,Movimentacoes!$C:$C,$A90,Movimentacoes!$E:$E,$C90,Movimentacoes!$B:$B,"ENTRADA")</f>
        <v/>
      </c>
      <c r="H90" s="11">
        <f>SUMIFS(Movimentacoes!$G:$G,Movimentacoes!$C:$C,$A90,Movimentacoes!$E:$E,$C90,Movimentacoes!$B:$B,"SAIDA_USO")</f>
        <v/>
      </c>
      <c r="I90" s="11">
        <f>SUMIFS(Movimentacoes!$G:$G,Movimentacoes!$C:$C,$A90,Movimentacoes!$E:$E,$C90,Movimentacoes!$B:$B,"SAIDA_DESCARTE")</f>
        <v/>
      </c>
      <c r="J90" s="11">
        <f>G90-H90-I90</f>
        <v/>
      </c>
      <c r="K90" s="8">
        <f>IF(A90="","",IF(J90&lt;=IFERROR(VLOOKUP(A90,Cadastro_Produtos!$A:$E,5,FALSE),0),"ABAIXO DO MINIMO","OK"))</f>
        <v/>
      </c>
    </row>
    <row r="91">
      <c r="A91" s="7" t="n"/>
      <c r="B91" s="7">
        <f>IFERROR(VLOOKUP(A91,Cadastro_Produtos!A:B,2,FALSE),"")</f>
        <v/>
      </c>
      <c r="C91" s="7" t="n"/>
      <c r="D91" s="10" t="n"/>
      <c r="E91" s="11">
        <f>IF(D91="","",D91-TODAY())</f>
        <v/>
      </c>
      <c r="F91" s="8">
        <f>IF(D91="","",IF(E91&lt;0,"VENCIDO",IF(E91&lt;=30,"VENCE EM &lt;= 30 DIAS",IF(E91&lt;=60,"ATENCAO (31-60 DIAS)","OK"))))</f>
        <v/>
      </c>
      <c r="G91" s="11">
        <f>SUMIFS(Movimentacoes!$G:$G,Movimentacoes!$C:$C,$A91,Movimentacoes!$E:$E,$C91,Movimentacoes!$B:$B,"ENTRADA")</f>
        <v/>
      </c>
      <c r="H91" s="11">
        <f>SUMIFS(Movimentacoes!$G:$G,Movimentacoes!$C:$C,$A91,Movimentacoes!$E:$E,$C91,Movimentacoes!$B:$B,"SAIDA_USO")</f>
        <v/>
      </c>
      <c r="I91" s="11">
        <f>SUMIFS(Movimentacoes!$G:$G,Movimentacoes!$C:$C,$A91,Movimentacoes!$E:$E,$C91,Movimentacoes!$B:$B,"SAIDA_DESCARTE")</f>
        <v/>
      </c>
      <c r="J91" s="11">
        <f>G91-H91-I91</f>
        <v/>
      </c>
      <c r="K91" s="8">
        <f>IF(A91="","",IF(J91&lt;=IFERROR(VLOOKUP(A91,Cadastro_Produtos!$A:$E,5,FALSE),0),"ABAIXO DO MINIMO","OK"))</f>
        <v/>
      </c>
    </row>
    <row r="92">
      <c r="A92" s="7" t="n"/>
      <c r="B92" s="7">
        <f>IFERROR(VLOOKUP(A92,Cadastro_Produtos!A:B,2,FALSE),"")</f>
        <v/>
      </c>
      <c r="C92" s="7" t="n"/>
      <c r="D92" s="10" t="n"/>
      <c r="E92" s="11">
        <f>IF(D92="","",D92-TODAY())</f>
        <v/>
      </c>
      <c r="F92" s="8">
        <f>IF(D92="","",IF(E92&lt;0,"VENCIDO",IF(E92&lt;=30,"VENCE EM &lt;= 30 DIAS",IF(E92&lt;=60,"ATENCAO (31-60 DIAS)","OK"))))</f>
        <v/>
      </c>
      <c r="G92" s="11">
        <f>SUMIFS(Movimentacoes!$G:$G,Movimentacoes!$C:$C,$A92,Movimentacoes!$E:$E,$C92,Movimentacoes!$B:$B,"ENTRADA")</f>
        <v/>
      </c>
      <c r="H92" s="11">
        <f>SUMIFS(Movimentacoes!$G:$G,Movimentacoes!$C:$C,$A92,Movimentacoes!$E:$E,$C92,Movimentacoes!$B:$B,"SAIDA_USO")</f>
        <v/>
      </c>
      <c r="I92" s="11">
        <f>SUMIFS(Movimentacoes!$G:$G,Movimentacoes!$C:$C,$A92,Movimentacoes!$E:$E,$C92,Movimentacoes!$B:$B,"SAIDA_DESCARTE")</f>
        <v/>
      </c>
      <c r="J92" s="11">
        <f>G92-H92-I92</f>
        <v/>
      </c>
      <c r="K92" s="8">
        <f>IF(A92="","",IF(J92&lt;=IFERROR(VLOOKUP(A92,Cadastro_Produtos!$A:$E,5,FALSE),0),"ABAIXO DO MINIMO","OK"))</f>
        <v/>
      </c>
    </row>
    <row r="93">
      <c r="A93" s="7" t="n"/>
      <c r="B93" s="7">
        <f>IFERROR(VLOOKUP(A93,Cadastro_Produtos!A:B,2,FALSE),"")</f>
        <v/>
      </c>
      <c r="C93" s="7" t="n"/>
      <c r="D93" s="10" t="n"/>
      <c r="E93" s="11">
        <f>IF(D93="","",D93-TODAY())</f>
        <v/>
      </c>
      <c r="F93" s="8">
        <f>IF(D93="","",IF(E93&lt;0,"VENCIDO",IF(E93&lt;=30,"VENCE EM &lt;= 30 DIAS",IF(E93&lt;=60,"ATENCAO (31-60 DIAS)","OK"))))</f>
        <v/>
      </c>
      <c r="G93" s="11">
        <f>SUMIFS(Movimentacoes!$G:$G,Movimentacoes!$C:$C,$A93,Movimentacoes!$E:$E,$C93,Movimentacoes!$B:$B,"ENTRADA")</f>
        <v/>
      </c>
      <c r="H93" s="11">
        <f>SUMIFS(Movimentacoes!$G:$G,Movimentacoes!$C:$C,$A93,Movimentacoes!$E:$E,$C93,Movimentacoes!$B:$B,"SAIDA_USO")</f>
        <v/>
      </c>
      <c r="I93" s="11">
        <f>SUMIFS(Movimentacoes!$G:$G,Movimentacoes!$C:$C,$A93,Movimentacoes!$E:$E,$C93,Movimentacoes!$B:$B,"SAIDA_DESCARTE")</f>
        <v/>
      </c>
      <c r="J93" s="11">
        <f>G93-H93-I93</f>
        <v/>
      </c>
      <c r="K93" s="8">
        <f>IF(A93="","",IF(J93&lt;=IFERROR(VLOOKUP(A93,Cadastro_Produtos!$A:$E,5,FALSE),0),"ABAIXO DO MINIMO","OK"))</f>
        <v/>
      </c>
    </row>
    <row r="94">
      <c r="A94" s="7" t="n"/>
      <c r="B94" s="7">
        <f>IFERROR(VLOOKUP(A94,Cadastro_Produtos!A:B,2,FALSE),"")</f>
        <v/>
      </c>
      <c r="C94" s="7" t="n"/>
      <c r="D94" s="10" t="n"/>
      <c r="E94" s="11">
        <f>IF(D94="","",D94-TODAY())</f>
        <v/>
      </c>
      <c r="F94" s="8">
        <f>IF(D94="","",IF(E94&lt;0,"VENCIDO",IF(E94&lt;=30,"VENCE EM &lt;= 30 DIAS",IF(E94&lt;=60,"ATENCAO (31-60 DIAS)","OK"))))</f>
        <v/>
      </c>
      <c r="G94" s="11">
        <f>SUMIFS(Movimentacoes!$G:$G,Movimentacoes!$C:$C,$A94,Movimentacoes!$E:$E,$C94,Movimentacoes!$B:$B,"ENTRADA")</f>
        <v/>
      </c>
      <c r="H94" s="11">
        <f>SUMIFS(Movimentacoes!$G:$G,Movimentacoes!$C:$C,$A94,Movimentacoes!$E:$E,$C94,Movimentacoes!$B:$B,"SAIDA_USO")</f>
        <v/>
      </c>
      <c r="I94" s="11">
        <f>SUMIFS(Movimentacoes!$G:$G,Movimentacoes!$C:$C,$A94,Movimentacoes!$E:$E,$C94,Movimentacoes!$B:$B,"SAIDA_DESCARTE")</f>
        <v/>
      </c>
      <c r="J94" s="11">
        <f>G94-H94-I94</f>
        <v/>
      </c>
      <c r="K94" s="8">
        <f>IF(A94="","",IF(J94&lt;=IFERROR(VLOOKUP(A94,Cadastro_Produtos!$A:$E,5,FALSE),0),"ABAIXO DO MINIMO","OK"))</f>
        <v/>
      </c>
    </row>
    <row r="95">
      <c r="A95" s="7" t="n"/>
      <c r="B95" s="7">
        <f>IFERROR(VLOOKUP(A95,Cadastro_Produtos!A:B,2,FALSE),"")</f>
        <v/>
      </c>
      <c r="C95" s="7" t="n"/>
      <c r="D95" s="10" t="n"/>
      <c r="E95" s="11">
        <f>IF(D95="","",D95-TODAY())</f>
        <v/>
      </c>
      <c r="F95" s="8">
        <f>IF(D95="","",IF(E95&lt;0,"VENCIDO",IF(E95&lt;=30,"VENCE EM &lt;= 30 DIAS",IF(E95&lt;=60,"ATENCAO (31-60 DIAS)","OK"))))</f>
        <v/>
      </c>
      <c r="G95" s="11">
        <f>SUMIFS(Movimentacoes!$G:$G,Movimentacoes!$C:$C,$A95,Movimentacoes!$E:$E,$C95,Movimentacoes!$B:$B,"ENTRADA")</f>
        <v/>
      </c>
      <c r="H95" s="11">
        <f>SUMIFS(Movimentacoes!$G:$G,Movimentacoes!$C:$C,$A95,Movimentacoes!$E:$E,$C95,Movimentacoes!$B:$B,"SAIDA_USO")</f>
        <v/>
      </c>
      <c r="I95" s="11">
        <f>SUMIFS(Movimentacoes!$G:$G,Movimentacoes!$C:$C,$A95,Movimentacoes!$E:$E,$C95,Movimentacoes!$B:$B,"SAIDA_DESCARTE")</f>
        <v/>
      </c>
      <c r="J95" s="11">
        <f>G95-H95-I95</f>
        <v/>
      </c>
      <c r="K95" s="8">
        <f>IF(A95="","",IF(J95&lt;=IFERROR(VLOOKUP(A95,Cadastro_Produtos!$A:$E,5,FALSE),0),"ABAIXO DO MINIMO","OK"))</f>
        <v/>
      </c>
    </row>
    <row r="96">
      <c r="A96" s="7" t="n"/>
      <c r="B96" s="7">
        <f>IFERROR(VLOOKUP(A96,Cadastro_Produtos!A:B,2,FALSE),"")</f>
        <v/>
      </c>
      <c r="C96" s="7" t="n"/>
      <c r="D96" s="10" t="n"/>
      <c r="E96" s="11">
        <f>IF(D96="","",D96-TODAY())</f>
        <v/>
      </c>
      <c r="F96" s="8">
        <f>IF(D96="","",IF(E96&lt;0,"VENCIDO",IF(E96&lt;=30,"VENCE EM &lt;= 30 DIAS",IF(E96&lt;=60,"ATENCAO (31-60 DIAS)","OK"))))</f>
        <v/>
      </c>
      <c r="G96" s="11">
        <f>SUMIFS(Movimentacoes!$G:$G,Movimentacoes!$C:$C,$A96,Movimentacoes!$E:$E,$C96,Movimentacoes!$B:$B,"ENTRADA")</f>
        <v/>
      </c>
      <c r="H96" s="11">
        <f>SUMIFS(Movimentacoes!$G:$G,Movimentacoes!$C:$C,$A96,Movimentacoes!$E:$E,$C96,Movimentacoes!$B:$B,"SAIDA_USO")</f>
        <v/>
      </c>
      <c r="I96" s="11">
        <f>SUMIFS(Movimentacoes!$G:$G,Movimentacoes!$C:$C,$A96,Movimentacoes!$E:$E,$C96,Movimentacoes!$B:$B,"SAIDA_DESCARTE")</f>
        <v/>
      </c>
      <c r="J96" s="11">
        <f>G96-H96-I96</f>
        <v/>
      </c>
      <c r="K96" s="8">
        <f>IF(A96="","",IF(J96&lt;=IFERROR(VLOOKUP(A96,Cadastro_Produtos!$A:$E,5,FALSE),0),"ABAIXO DO MINIMO","OK"))</f>
        <v/>
      </c>
    </row>
    <row r="97">
      <c r="A97" s="7" t="n"/>
      <c r="B97" s="7">
        <f>IFERROR(VLOOKUP(A97,Cadastro_Produtos!A:B,2,FALSE),"")</f>
        <v/>
      </c>
      <c r="C97" s="7" t="n"/>
      <c r="D97" s="10" t="n"/>
      <c r="E97" s="11">
        <f>IF(D97="","",D97-TODAY())</f>
        <v/>
      </c>
      <c r="F97" s="8">
        <f>IF(D97="","",IF(E97&lt;0,"VENCIDO",IF(E97&lt;=30,"VENCE EM &lt;= 30 DIAS",IF(E97&lt;=60,"ATENCAO (31-60 DIAS)","OK"))))</f>
        <v/>
      </c>
      <c r="G97" s="11">
        <f>SUMIFS(Movimentacoes!$G:$G,Movimentacoes!$C:$C,$A97,Movimentacoes!$E:$E,$C97,Movimentacoes!$B:$B,"ENTRADA")</f>
        <v/>
      </c>
      <c r="H97" s="11">
        <f>SUMIFS(Movimentacoes!$G:$G,Movimentacoes!$C:$C,$A97,Movimentacoes!$E:$E,$C97,Movimentacoes!$B:$B,"SAIDA_USO")</f>
        <v/>
      </c>
      <c r="I97" s="11">
        <f>SUMIFS(Movimentacoes!$G:$G,Movimentacoes!$C:$C,$A97,Movimentacoes!$E:$E,$C97,Movimentacoes!$B:$B,"SAIDA_DESCARTE")</f>
        <v/>
      </c>
      <c r="J97" s="11">
        <f>G97-H97-I97</f>
        <v/>
      </c>
      <c r="K97" s="8">
        <f>IF(A97="","",IF(J97&lt;=IFERROR(VLOOKUP(A97,Cadastro_Produtos!$A:$E,5,FALSE),0),"ABAIXO DO MINIMO","OK"))</f>
        <v/>
      </c>
    </row>
    <row r="98">
      <c r="A98" s="7" t="n"/>
      <c r="B98" s="7">
        <f>IFERROR(VLOOKUP(A98,Cadastro_Produtos!A:B,2,FALSE),"")</f>
        <v/>
      </c>
      <c r="C98" s="7" t="n"/>
      <c r="D98" s="10" t="n"/>
      <c r="E98" s="11">
        <f>IF(D98="","",D98-TODAY())</f>
        <v/>
      </c>
      <c r="F98" s="8">
        <f>IF(D98="","",IF(E98&lt;0,"VENCIDO",IF(E98&lt;=30,"VENCE EM &lt;= 30 DIAS",IF(E98&lt;=60,"ATENCAO (31-60 DIAS)","OK"))))</f>
        <v/>
      </c>
      <c r="G98" s="11">
        <f>SUMIFS(Movimentacoes!$G:$G,Movimentacoes!$C:$C,$A98,Movimentacoes!$E:$E,$C98,Movimentacoes!$B:$B,"ENTRADA")</f>
        <v/>
      </c>
      <c r="H98" s="11">
        <f>SUMIFS(Movimentacoes!$G:$G,Movimentacoes!$C:$C,$A98,Movimentacoes!$E:$E,$C98,Movimentacoes!$B:$B,"SAIDA_USO")</f>
        <v/>
      </c>
      <c r="I98" s="11">
        <f>SUMIFS(Movimentacoes!$G:$G,Movimentacoes!$C:$C,$A98,Movimentacoes!$E:$E,$C98,Movimentacoes!$B:$B,"SAIDA_DESCARTE")</f>
        <v/>
      </c>
      <c r="J98" s="11">
        <f>G98-H98-I98</f>
        <v/>
      </c>
      <c r="K98" s="8">
        <f>IF(A98="","",IF(J98&lt;=IFERROR(VLOOKUP(A98,Cadastro_Produtos!$A:$E,5,FALSE),0),"ABAIXO DO MINIMO","OK"))</f>
        <v/>
      </c>
    </row>
    <row r="99">
      <c r="A99" s="7" t="n"/>
      <c r="B99" s="7">
        <f>IFERROR(VLOOKUP(A99,Cadastro_Produtos!A:B,2,FALSE),"")</f>
        <v/>
      </c>
      <c r="C99" s="7" t="n"/>
      <c r="D99" s="10" t="n"/>
      <c r="E99" s="11">
        <f>IF(D99="","",D99-TODAY())</f>
        <v/>
      </c>
      <c r="F99" s="8">
        <f>IF(D99="","",IF(E99&lt;0,"VENCIDO",IF(E99&lt;=30,"VENCE EM &lt;= 30 DIAS",IF(E99&lt;=60,"ATENCAO (31-60 DIAS)","OK"))))</f>
        <v/>
      </c>
      <c r="G99" s="11">
        <f>SUMIFS(Movimentacoes!$G:$G,Movimentacoes!$C:$C,$A99,Movimentacoes!$E:$E,$C99,Movimentacoes!$B:$B,"ENTRADA")</f>
        <v/>
      </c>
      <c r="H99" s="11">
        <f>SUMIFS(Movimentacoes!$G:$G,Movimentacoes!$C:$C,$A99,Movimentacoes!$E:$E,$C99,Movimentacoes!$B:$B,"SAIDA_USO")</f>
        <v/>
      </c>
      <c r="I99" s="11">
        <f>SUMIFS(Movimentacoes!$G:$G,Movimentacoes!$C:$C,$A99,Movimentacoes!$E:$E,$C99,Movimentacoes!$B:$B,"SAIDA_DESCARTE")</f>
        <v/>
      </c>
      <c r="J99" s="11">
        <f>G99-H99-I99</f>
        <v/>
      </c>
      <c r="K99" s="8">
        <f>IF(A99="","",IF(J99&lt;=IFERROR(VLOOKUP(A99,Cadastro_Produtos!$A:$E,5,FALSE),0),"ABAIXO DO MINIMO","OK"))</f>
        <v/>
      </c>
    </row>
    <row r="100">
      <c r="A100" s="7" t="n"/>
      <c r="B100" s="7">
        <f>IFERROR(VLOOKUP(A100,Cadastro_Produtos!A:B,2,FALSE),"")</f>
        <v/>
      </c>
      <c r="C100" s="7" t="n"/>
      <c r="D100" s="10" t="n"/>
      <c r="E100" s="11">
        <f>IF(D100="","",D100-TODAY())</f>
        <v/>
      </c>
      <c r="F100" s="8">
        <f>IF(D100="","",IF(E100&lt;0,"VENCIDO",IF(E100&lt;=30,"VENCE EM &lt;= 30 DIAS",IF(E100&lt;=60,"ATENCAO (31-60 DIAS)","OK"))))</f>
        <v/>
      </c>
      <c r="G100" s="11">
        <f>SUMIFS(Movimentacoes!$G:$G,Movimentacoes!$C:$C,$A100,Movimentacoes!$E:$E,$C100,Movimentacoes!$B:$B,"ENTRADA")</f>
        <v/>
      </c>
      <c r="H100" s="11">
        <f>SUMIFS(Movimentacoes!$G:$G,Movimentacoes!$C:$C,$A100,Movimentacoes!$E:$E,$C100,Movimentacoes!$B:$B,"SAIDA_USO")</f>
        <v/>
      </c>
      <c r="I100" s="11">
        <f>SUMIFS(Movimentacoes!$G:$G,Movimentacoes!$C:$C,$A100,Movimentacoes!$E:$E,$C100,Movimentacoes!$B:$B,"SAIDA_DESCARTE")</f>
        <v/>
      </c>
      <c r="J100" s="11">
        <f>G100-H100-I100</f>
        <v/>
      </c>
      <c r="K100" s="8">
        <f>IF(A100="","",IF(J100&lt;=IFERROR(VLOOKUP(A100,Cadastro_Produtos!$A:$E,5,FALSE),0),"ABAIXO DO MINIMO","OK"))</f>
        <v/>
      </c>
    </row>
    <row r="101">
      <c r="A101" s="7" t="n"/>
      <c r="B101" s="7">
        <f>IFERROR(VLOOKUP(A101,Cadastro_Produtos!A:B,2,FALSE),"")</f>
        <v/>
      </c>
      <c r="C101" s="7" t="n"/>
      <c r="D101" s="10" t="n"/>
      <c r="E101" s="11">
        <f>IF(D101="","",D101-TODAY())</f>
        <v/>
      </c>
      <c r="F101" s="8">
        <f>IF(D101="","",IF(E101&lt;0,"VENCIDO",IF(E101&lt;=30,"VENCE EM &lt;= 30 DIAS",IF(E101&lt;=60,"ATENCAO (31-60 DIAS)","OK"))))</f>
        <v/>
      </c>
      <c r="G101" s="11">
        <f>SUMIFS(Movimentacoes!$G:$G,Movimentacoes!$C:$C,$A101,Movimentacoes!$E:$E,$C101,Movimentacoes!$B:$B,"ENTRADA")</f>
        <v/>
      </c>
      <c r="H101" s="11">
        <f>SUMIFS(Movimentacoes!$G:$G,Movimentacoes!$C:$C,$A101,Movimentacoes!$E:$E,$C101,Movimentacoes!$B:$B,"SAIDA_USO")</f>
        <v/>
      </c>
      <c r="I101" s="11">
        <f>SUMIFS(Movimentacoes!$G:$G,Movimentacoes!$C:$C,$A101,Movimentacoes!$E:$E,$C101,Movimentacoes!$B:$B,"SAIDA_DESCARTE")</f>
        <v/>
      </c>
      <c r="J101" s="11">
        <f>G101-H101-I101</f>
        <v/>
      </c>
      <c r="K101" s="8">
        <f>IF(A101="","",IF(J101&lt;=IFERROR(VLOOKUP(A101,Cadastro_Produtos!$A:$E,5,FALSE),0),"ABAIXO DO MINIMO","OK"))</f>
        <v/>
      </c>
    </row>
    <row r="102">
      <c r="A102" s="7" t="n"/>
      <c r="B102" s="7">
        <f>IFERROR(VLOOKUP(A102,Cadastro_Produtos!A:B,2,FALSE),"")</f>
        <v/>
      </c>
      <c r="C102" s="7" t="n"/>
      <c r="D102" s="10" t="n"/>
      <c r="E102" s="11">
        <f>IF(D102="","",D102-TODAY())</f>
        <v/>
      </c>
      <c r="F102" s="8">
        <f>IF(D102="","",IF(E102&lt;0,"VENCIDO",IF(E102&lt;=30,"VENCE EM &lt;= 30 DIAS",IF(E102&lt;=60,"ATENCAO (31-60 DIAS)","OK"))))</f>
        <v/>
      </c>
      <c r="G102" s="11">
        <f>SUMIFS(Movimentacoes!$G:$G,Movimentacoes!$C:$C,$A102,Movimentacoes!$E:$E,$C102,Movimentacoes!$B:$B,"ENTRADA")</f>
        <v/>
      </c>
      <c r="H102" s="11">
        <f>SUMIFS(Movimentacoes!$G:$G,Movimentacoes!$C:$C,$A102,Movimentacoes!$E:$E,$C102,Movimentacoes!$B:$B,"SAIDA_USO")</f>
        <v/>
      </c>
      <c r="I102" s="11">
        <f>SUMIFS(Movimentacoes!$G:$G,Movimentacoes!$C:$C,$A102,Movimentacoes!$E:$E,$C102,Movimentacoes!$B:$B,"SAIDA_DESCARTE")</f>
        <v/>
      </c>
      <c r="J102" s="11">
        <f>G102-H102-I102</f>
        <v/>
      </c>
      <c r="K102" s="8">
        <f>IF(A102="","",IF(J102&lt;=IFERROR(VLOOKUP(A102,Cadastro_Produtos!$A:$E,5,FALSE),0),"ABAIXO DO MINIMO","OK"))</f>
        <v/>
      </c>
    </row>
    <row r="103">
      <c r="A103" s="7" t="n"/>
      <c r="B103" s="7">
        <f>IFERROR(VLOOKUP(A103,Cadastro_Produtos!A:B,2,FALSE),"")</f>
        <v/>
      </c>
      <c r="C103" s="7" t="n"/>
      <c r="D103" s="10" t="n"/>
      <c r="E103" s="11">
        <f>IF(D103="","",D103-TODAY())</f>
        <v/>
      </c>
      <c r="F103" s="8">
        <f>IF(D103="","",IF(E103&lt;0,"VENCIDO",IF(E103&lt;=30,"VENCE EM &lt;= 30 DIAS",IF(E103&lt;=60,"ATENCAO (31-60 DIAS)","OK"))))</f>
        <v/>
      </c>
      <c r="G103" s="11">
        <f>SUMIFS(Movimentacoes!$G:$G,Movimentacoes!$C:$C,$A103,Movimentacoes!$E:$E,$C103,Movimentacoes!$B:$B,"ENTRADA")</f>
        <v/>
      </c>
      <c r="H103" s="11">
        <f>SUMIFS(Movimentacoes!$G:$G,Movimentacoes!$C:$C,$A103,Movimentacoes!$E:$E,$C103,Movimentacoes!$B:$B,"SAIDA_USO")</f>
        <v/>
      </c>
      <c r="I103" s="11">
        <f>SUMIFS(Movimentacoes!$G:$G,Movimentacoes!$C:$C,$A103,Movimentacoes!$E:$E,$C103,Movimentacoes!$B:$B,"SAIDA_DESCARTE")</f>
        <v/>
      </c>
      <c r="J103" s="11">
        <f>G103-H103-I103</f>
        <v/>
      </c>
      <c r="K103" s="8">
        <f>IF(A103="","",IF(J103&lt;=IFERROR(VLOOKUP(A103,Cadastro_Produtos!$A:$E,5,FALSE),0),"ABAIXO DO MINIMO","OK"))</f>
        <v/>
      </c>
    </row>
    <row r="104">
      <c r="A104" s="7" t="n"/>
      <c r="B104" s="7">
        <f>IFERROR(VLOOKUP(A104,Cadastro_Produtos!A:B,2,FALSE),"")</f>
        <v/>
      </c>
      <c r="C104" s="7" t="n"/>
      <c r="D104" s="10" t="n"/>
      <c r="E104" s="11">
        <f>IF(D104="","",D104-TODAY())</f>
        <v/>
      </c>
      <c r="F104" s="8">
        <f>IF(D104="","",IF(E104&lt;0,"VENCIDO",IF(E104&lt;=30,"VENCE EM &lt;= 30 DIAS",IF(E104&lt;=60,"ATENCAO (31-60 DIAS)","OK"))))</f>
        <v/>
      </c>
      <c r="G104" s="11">
        <f>SUMIFS(Movimentacoes!$G:$G,Movimentacoes!$C:$C,$A104,Movimentacoes!$E:$E,$C104,Movimentacoes!$B:$B,"ENTRADA")</f>
        <v/>
      </c>
      <c r="H104" s="11">
        <f>SUMIFS(Movimentacoes!$G:$G,Movimentacoes!$C:$C,$A104,Movimentacoes!$E:$E,$C104,Movimentacoes!$B:$B,"SAIDA_USO")</f>
        <v/>
      </c>
      <c r="I104" s="11">
        <f>SUMIFS(Movimentacoes!$G:$G,Movimentacoes!$C:$C,$A104,Movimentacoes!$E:$E,$C104,Movimentacoes!$B:$B,"SAIDA_DESCARTE")</f>
        <v/>
      </c>
      <c r="J104" s="11">
        <f>G104-H104-I104</f>
        <v/>
      </c>
      <c r="K104" s="8">
        <f>IF(A104="","",IF(J104&lt;=IFERROR(VLOOKUP(A104,Cadastro_Produtos!$A:$E,5,FALSE),0),"ABAIXO DO MINIMO","OK"))</f>
        <v/>
      </c>
    </row>
    <row r="105">
      <c r="A105" s="7" t="n"/>
      <c r="B105" s="7">
        <f>IFERROR(VLOOKUP(A105,Cadastro_Produtos!A:B,2,FALSE),"")</f>
        <v/>
      </c>
      <c r="C105" s="7" t="n"/>
      <c r="D105" s="10" t="n"/>
      <c r="E105" s="11">
        <f>IF(D105="","",D105-TODAY())</f>
        <v/>
      </c>
      <c r="F105" s="8">
        <f>IF(D105="","",IF(E105&lt;0,"VENCIDO",IF(E105&lt;=30,"VENCE EM &lt;= 30 DIAS",IF(E105&lt;=60,"ATENCAO (31-60 DIAS)","OK"))))</f>
        <v/>
      </c>
      <c r="G105" s="11">
        <f>SUMIFS(Movimentacoes!$G:$G,Movimentacoes!$C:$C,$A105,Movimentacoes!$E:$E,$C105,Movimentacoes!$B:$B,"ENTRADA")</f>
        <v/>
      </c>
      <c r="H105" s="11">
        <f>SUMIFS(Movimentacoes!$G:$G,Movimentacoes!$C:$C,$A105,Movimentacoes!$E:$E,$C105,Movimentacoes!$B:$B,"SAIDA_USO")</f>
        <v/>
      </c>
      <c r="I105" s="11">
        <f>SUMIFS(Movimentacoes!$G:$G,Movimentacoes!$C:$C,$A105,Movimentacoes!$E:$E,$C105,Movimentacoes!$B:$B,"SAIDA_DESCARTE")</f>
        <v/>
      </c>
      <c r="J105" s="11">
        <f>G105-H105-I105</f>
        <v/>
      </c>
      <c r="K105" s="8">
        <f>IF(A105="","",IF(J105&lt;=IFERROR(VLOOKUP(A105,Cadastro_Produtos!$A:$E,5,FALSE),0),"ABAIXO DO MINIMO","OK"))</f>
        <v/>
      </c>
    </row>
    <row r="106">
      <c r="A106" s="7" t="n"/>
      <c r="B106" s="7">
        <f>IFERROR(VLOOKUP(A106,Cadastro_Produtos!A:B,2,FALSE),"")</f>
        <v/>
      </c>
      <c r="C106" s="7" t="n"/>
      <c r="D106" s="10" t="n"/>
      <c r="E106" s="11">
        <f>IF(D106="","",D106-TODAY())</f>
        <v/>
      </c>
      <c r="F106" s="8">
        <f>IF(D106="","",IF(E106&lt;0,"VENCIDO",IF(E106&lt;=30,"VENCE EM &lt;= 30 DIAS",IF(E106&lt;=60,"ATENCAO (31-60 DIAS)","OK"))))</f>
        <v/>
      </c>
      <c r="G106" s="11">
        <f>SUMIFS(Movimentacoes!$G:$G,Movimentacoes!$C:$C,$A106,Movimentacoes!$E:$E,$C106,Movimentacoes!$B:$B,"ENTRADA")</f>
        <v/>
      </c>
      <c r="H106" s="11">
        <f>SUMIFS(Movimentacoes!$G:$G,Movimentacoes!$C:$C,$A106,Movimentacoes!$E:$E,$C106,Movimentacoes!$B:$B,"SAIDA_USO")</f>
        <v/>
      </c>
      <c r="I106" s="11">
        <f>SUMIFS(Movimentacoes!$G:$G,Movimentacoes!$C:$C,$A106,Movimentacoes!$E:$E,$C106,Movimentacoes!$B:$B,"SAIDA_DESCARTE")</f>
        <v/>
      </c>
      <c r="J106" s="11">
        <f>G106-H106-I106</f>
        <v/>
      </c>
      <c r="K106" s="8">
        <f>IF(A106="","",IF(J106&lt;=IFERROR(VLOOKUP(A106,Cadastro_Produtos!$A:$E,5,FALSE),0),"ABAIXO DO MINIMO","OK"))</f>
        <v/>
      </c>
    </row>
    <row r="107">
      <c r="A107" s="7" t="n"/>
      <c r="B107" s="7">
        <f>IFERROR(VLOOKUP(A107,Cadastro_Produtos!A:B,2,FALSE),"")</f>
        <v/>
      </c>
      <c r="C107" s="7" t="n"/>
      <c r="D107" s="10" t="n"/>
      <c r="E107" s="11">
        <f>IF(D107="","",D107-TODAY())</f>
        <v/>
      </c>
      <c r="F107" s="8">
        <f>IF(D107="","",IF(E107&lt;0,"VENCIDO",IF(E107&lt;=30,"VENCE EM &lt;= 30 DIAS",IF(E107&lt;=60,"ATENCAO (31-60 DIAS)","OK"))))</f>
        <v/>
      </c>
      <c r="G107" s="11">
        <f>SUMIFS(Movimentacoes!$G:$G,Movimentacoes!$C:$C,$A107,Movimentacoes!$E:$E,$C107,Movimentacoes!$B:$B,"ENTRADA")</f>
        <v/>
      </c>
      <c r="H107" s="11">
        <f>SUMIFS(Movimentacoes!$G:$G,Movimentacoes!$C:$C,$A107,Movimentacoes!$E:$E,$C107,Movimentacoes!$B:$B,"SAIDA_USO")</f>
        <v/>
      </c>
      <c r="I107" s="11">
        <f>SUMIFS(Movimentacoes!$G:$G,Movimentacoes!$C:$C,$A107,Movimentacoes!$E:$E,$C107,Movimentacoes!$B:$B,"SAIDA_DESCARTE")</f>
        <v/>
      </c>
      <c r="J107" s="11">
        <f>G107-H107-I107</f>
        <v/>
      </c>
      <c r="K107" s="8">
        <f>IF(A107="","",IF(J107&lt;=IFERROR(VLOOKUP(A107,Cadastro_Produtos!$A:$E,5,FALSE),0),"ABAIXO DO MINIMO","OK"))</f>
        <v/>
      </c>
    </row>
    <row r="108">
      <c r="A108" s="7" t="n"/>
      <c r="B108" s="7">
        <f>IFERROR(VLOOKUP(A108,Cadastro_Produtos!A:B,2,FALSE),"")</f>
        <v/>
      </c>
      <c r="C108" s="7" t="n"/>
      <c r="D108" s="10" t="n"/>
      <c r="E108" s="11">
        <f>IF(D108="","",D108-TODAY())</f>
        <v/>
      </c>
      <c r="F108" s="8">
        <f>IF(D108="","",IF(E108&lt;0,"VENCIDO",IF(E108&lt;=30,"VENCE EM &lt;= 30 DIAS",IF(E108&lt;=60,"ATENCAO (31-60 DIAS)","OK"))))</f>
        <v/>
      </c>
      <c r="G108" s="11">
        <f>SUMIFS(Movimentacoes!$G:$G,Movimentacoes!$C:$C,$A108,Movimentacoes!$E:$E,$C108,Movimentacoes!$B:$B,"ENTRADA")</f>
        <v/>
      </c>
      <c r="H108" s="11">
        <f>SUMIFS(Movimentacoes!$G:$G,Movimentacoes!$C:$C,$A108,Movimentacoes!$E:$E,$C108,Movimentacoes!$B:$B,"SAIDA_USO")</f>
        <v/>
      </c>
      <c r="I108" s="11">
        <f>SUMIFS(Movimentacoes!$G:$G,Movimentacoes!$C:$C,$A108,Movimentacoes!$E:$E,$C108,Movimentacoes!$B:$B,"SAIDA_DESCARTE")</f>
        <v/>
      </c>
      <c r="J108" s="11">
        <f>G108-H108-I108</f>
        <v/>
      </c>
      <c r="K108" s="8">
        <f>IF(A108="","",IF(J108&lt;=IFERROR(VLOOKUP(A108,Cadastro_Produtos!$A:$E,5,FALSE),0),"ABAIXO DO MINIMO","OK"))</f>
        <v/>
      </c>
    </row>
    <row r="109">
      <c r="A109" s="7" t="n"/>
      <c r="B109" s="7">
        <f>IFERROR(VLOOKUP(A109,Cadastro_Produtos!A:B,2,FALSE),"")</f>
        <v/>
      </c>
      <c r="C109" s="7" t="n"/>
      <c r="D109" s="10" t="n"/>
      <c r="E109" s="11">
        <f>IF(D109="","",D109-TODAY())</f>
        <v/>
      </c>
      <c r="F109" s="8">
        <f>IF(D109="","",IF(E109&lt;0,"VENCIDO",IF(E109&lt;=30,"VENCE EM &lt;= 30 DIAS",IF(E109&lt;=60,"ATENCAO (31-60 DIAS)","OK"))))</f>
        <v/>
      </c>
      <c r="G109" s="11">
        <f>SUMIFS(Movimentacoes!$G:$G,Movimentacoes!$C:$C,$A109,Movimentacoes!$E:$E,$C109,Movimentacoes!$B:$B,"ENTRADA")</f>
        <v/>
      </c>
      <c r="H109" s="11">
        <f>SUMIFS(Movimentacoes!$G:$G,Movimentacoes!$C:$C,$A109,Movimentacoes!$E:$E,$C109,Movimentacoes!$B:$B,"SAIDA_USO")</f>
        <v/>
      </c>
      <c r="I109" s="11">
        <f>SUMIFS(Movimentacoes!$G:$G,Movimentacoes!$C:$C,$A109,Movimentacoes!$E:$E,$C109,Movimentacoes!$B:$B,"SAIDA_DESCARTE")</f>
        <v/>
      </c>
      <c r="J109" s="11">
        <f>G109-H109-I109</f>
        <v/>
      </c>
      <c r="K109" s="8">
        <f>IF(A109="","",IF(J109&lt;=IFERROR(VLOOKUP(A109,Cadastro_Produtos!$A:$E,5,FALSE),0),"ABAIXO DO MINIMO","OK"))</f>
        <v/>
      </c>
    </row>
    <row r="110">
      <c r="A110" s="7" t="n"/>
      <c r="B110" s="7">
        <f>IFERROR(VLOOKUP(A110,Cadastro_Produtos!A:B,2,FALSE),"")</f>
        <v/>
      </c>
      <c r="C110" s="7" t="n"/>
      <c r="D110" s="10" t="n"/>
      <c r="E110" s="11">
        <f>IF(D110="","",D110-TODAY())</f>
        <v/>
      </c>
      <c r="F110" s="8">
        <f>IF(D110="","",IF(E110&lt;0,"VENCIDO",IF(E110&lt;=30,"VENCE EM &lt;= 30 DIAS",IF(E110&lt;=60,"ATENCAO (31-60 DIAS)","OK"))))</f>
        <v/>
      </c>
      <c r="G110" s="11">
        <f>SUMIFS(Movimentacoes!$G:$G,Movimentacoes!$C:$C,$A110,Movimentacoes!$E:$E,$C110,Movimentacoes!$B:$B,"ENTRADA")</f>
        <v/>
      </c>
      <c r="H110" s="11">
        <f>SUMIFS(Movimentacoes!$G:$G,Movimentacoes!$C:$C,$A110,Movimentacoes!$E:$E,$C110,Movimentacoes!$B:$B,"SAIDA_USO")</f>
        <v/>
      </c>
      <c r="I110" s="11">
        <f>SUMIFS(Movimentacoes!$G:$G,Movimentacoes!$C:$C,$A110,Movimentacoes!$E:$E,$C110,Movimentacoes!$B:$B,"SAIDA_DESCARTE")</f>
        <v/>
      </c>
      <c r="J110" s="11">
        <f>G110-H110-I110</f>
        <v/>
      </c>
      <c r="K110" s="8">
        <f>IF(A110="","",IF(J110&lt;=IFERROR(VLOOKUP(A110,Cadastro_Produtos!$A:$E,5,FALSE),0),"ABAIXO DO MINIMO","OK"))</f>
        <v/>
      </c>
    </row>
    <row r="111">
      <c r="A111" s="7" t="n"/>
      <c r="B111" s="7">
        <f>IFERROR(VLOOKUP(A111,Cadastro_Produtos!A:B,2,FALSE),"")</f>
        <v/>
      </c>
      <c r="C111" s="7" t="n"/>
      <c r="D111" s="10" t="n"/>
      <c r="E111" s="11">
        <f>IF(D111="","",D111-TODAY())</f>
        <v/>
      </c>
      <c r="F111" s="8">
        <f>IF(D111="","",IF(E111&lt;0,"VENCIDO",IF(E111&lt;=30,"VENCE EM &lt;= 30 DIAS",IF(E111&lt;=60,"ATENCAO (31-60 DIAS)","OK"))))</f>
        <v/>
      </c>
      <c r="G111" s="11">
        <f>SUMIFS(Movimentacoes!$G:$G,Movimentacoes!$C:$C,$A111,Movimentacoes!$E:$E,$C111,Movimentacoes!$B:$B,"ENTRADA")</f>
        <v/>
      </c>
      <c r="H111" s="11">
        <f>SUMIFS(Movimentacoes!$G:$G,Movimentacoes!$C:$C,$A111,Movimentacoes!$E:$E,$C111,Movimentacoes!$B:$B,"SAIDA_USO")</f>
        <v/>
      </c>
      <c r="I111" s="11">
        <f>SUMIFS(Movimentacoes!$G:$G,Movimentacoes!$C:$C,$A111,Movimentacoes!$E:$E,$C111,Movimentacoes!$B:$B,"SAIDA_DESCARTE")</f>
        <v/>
      </c>
      <c r="J111" s="11">
        <f>G111-H111-I111</f>
        <v/>
      </c>
      <c r="K111" s="8">
        <f>IF(A111="","",IF(J111&lt;=IFERROR(VLOOKUP(A111,Cadastro_Produtos!$A:$E,5,FALSE),0),"ABAIXO DO MINIMO","OK"))</f>
        <v/>
      </c>
    </row>
    <row r="112">
      <c r="A112" s="7" t="n"/>
      <c r="B112" s="7">
        <f>IFERROR(VLOOKUP(A112,Cadastro_Produtos!A:B,2,FALSE),"")</f>
        <v/>
      </c>
      <c r="C112" s="7" t="n"/>
      <c r="D112" s="10" t="n"/>
      <c r="E112" s="11">
        <f>IF(D112="","",D112-TODAY())</f>
        <v/>
      </c>
      <c r="F112" s="8">
        <f>IF(D112="","",IF(E112&lt;0,"VENCIDO",IF(E112&lt;=30,"VENCE EM &lt;= 30 DIAS",IF(E112&lt;=60,"ATENCAO (31-60 DIAS)","OK"))))</f>
        <v/>
      </c>
      <c r="G112" s="11">
        <f>SUMIFS(Movimentacoes!$G:$G,Movimentacoes!$C:$C,$A112,Movimentacoes!$E:$E,$C112,Movimentacoes!$B:$B,"ENTRADA")</f>
        <v/>
      </c>
      <c r="H112" s="11">
        <f>SUMIFS(Movimentacoes!$G:$G,Movimentacoes!$C:$C,$A112,Movimentacoes!$E:$E,$C112,Movimentacoes!$B:$B,"SAIDA_USO")</f>
        <v/>
      </c>
      <c r="I112" s="11">
        <f>SUMIFS(Movimentacoes!$G:$G,Movimentacoes!$C:$C,$A112,Movimentacoes!$E:$E,$C112,Movimentacoes!$B:$B,"SAIDA_DESCARTE")</f>
        <v/>
      </c>
      <c r="J112" s="11">
        <f>G112-H112-I112</f>
        <v/>
      </c>
      <c r="K112" s="8">
        <f>IF(A112="","",IF(J112&lt;=IFERROR(VLOOKUP(A112,Cadastro_Produtos!$A:$E,5,FALSE),0),"ABAIXO DO MINIMO","OK"))</f>
        <v/>
      </c>
    </row>
    <row r="113">
      <c r="A113" s="7" t="n"/>
      <c r="B113" s="7">
        <f>IFERROR(VLOOKUP(A113,Cadastro_Produtos!A:B,2,FALSE),"")</f>
        <v/>
      </c>
      <c r="C113" s="7" t="n"/>
      <c r="D113" s="10" t="n"/>
      <c r="E113" s="11">
        <f>IF(D113="","",D113-TODAY())</f>
        <v/>
      </c>
      <c r="F113" s="8">
        <f>IF(D113="","",IF(E113&lt;0,"VENCIDO",IF(E113&lt;=30,"VENCE EM &lt;= 30 DIAS",IF(E113&lt;=60,"ATENCAO (31-60 DIAS)","OK"))))</f>
        <v/>
      </c>
      <c r="G113" s="11">
        <f>SUMIFS(Movimentacoes!$G:$G,Movimentacoes!$C:$C,$A113,Movimentacoes!$E:$E,$C113,Movimentacoes!$B:$B,"ENTRADA")</f>
        <v/>
      </c>
      <c r="H113" s="11">
        <f>SUMIFS(Movimentacoes!$G:$G,Movimentacoes!$C:$C,$A113,Movimentacoes!$E:$E,$C113,Movimentacoes!$B:$B,"SAIDA_USO")</f>
        <v/>
      </c>
      <c r="I113" s="11">
        <f>SUMIFS(Movimentacoes!$G:$G,Movimentacoes!$C:$C,$A113,Movimentacoes!$E:$E,$C113,Movimentacoes!$B:$B,"SAIDA_DESCARTE")</f>
        <v/>
      </c>
      <c r="J113" s="11">
        <f>G113-H113-I113</f>
        <v/>
      </c>
      <c r="K113" s="8">
        <f>IF(A113="","",IF(J113&lt;=IFERROR(VLOOKUP(A113,Cadastro_Produtos!$A:$E,5,FALSE),0),"ABAIXO DO MINIMO","OK"))</f>
        <v/>
      </c>
    </row>
    <row r="114">
      <c r="A114" s="7" t="n"/>
      <c r="B114" s="7">
        <f>IFERROR(VLOOKUP(A114,Cadastro_Produtos!A:B,2,FALSE),"")</f>
        <v/>
      </c>
      <c r="C114" s="7" t="n"/>
      <c r="D114" s="10" t="n"/>
      <c r="E114" s="11">
        <f>IF(D114="","",D114-TODAY())</f>
        <v/>
      </c>
      <c r="F114" s="8">
        <f>IF(D114="","",IF(E114&lt;0,"VENCIDO",IF(E114&lt;=30,"VENCE EM &lt;= 30 DIAS",IF(E114&lt;=60,"ATENCAO (31-60 DIAS)","OK"))))</f>
        <v/>
      </c>
      <c r="G114" s="11">
        <f>SUMIFS(Movimentacoes!$G:$G,Movimentacoes!$C:$C,$A114,Movimentacoes!$E:$E,$C114,Movimentacoes!$B:$B,"ENTRADA")</f>
        <v/>
      </c>
      <c r="H114" s="11">
        <f>SUMIFS(Movimentacoes!$G:$G,Movimentacoes!$C:$C,$A114,Movimentacoes!$E:$E,$C114,Movimentacoes!$B:$B,"SAIDA_USO")</f>
        <v/>
      </c>
      <c r="I114" s="11">
        <f>SUMIFS(Movimentacoes!$G:$G,Movimentacoes!$C:$C,$A114,Movimentacoes!$E:$E,$C114,Movimentacoes!$B:$B,"SAIDA_DESCARTE")</f>
        <v/>
      </c>
      <c r="J114" s="11">
        <f>G114-H114-I114</f>
        <v/>
      </c>
      <c r="K114" s="8">
        <f>IF(A114="","",IF(J114&lt;=IFERROR(VLOOKUP(A114,Cadastro_Produtos!$A:$E,5,FALSE),0),"ABAIXO DO MINIMO","OK"))</f>
        <v/>
      </c>
    </row>
    <row r="115">
      <c r="A115" s="7" t="n"/>
      <c r="B115" s="7">
        <f>IFERROR(VLOOKUP(A115,Cadastro_Produtos!A:B,2,FALSE),"")</f>
        <v/>
      </c>
      <c r="C115" s="7" t="n"/>
      <c r="D115" s="10" t="n"/>
      <c r="E115" s="11">
        <f>IF(D115="","",D115-TODAY())</f>
        <v/>
      </c>
      <c r="F115" s="8">
        <f>IF(D115="","",IF(E115&lt;0,"VENCIDO",IF(E115&lt;=30,"VENCE EM &lt;= 30 DIAS",IF(E115&lt;=60,"ATENCAO (31-60 DIAS)","OK"))))</f>
        <v/>
      </c>
      <c r="G115" s="11">
        <f>SUMIFS(Movimentacoes!$G:$G,Movimentacoes!$C:$C,$A115,Movimentacoes!$E:$E,$C115,Movimentacoes!$B:$B,"ENTRADA")</f>
        <v/>
      </c>
      <c r="H115" s="11">
        <f>SUMIFS(Movimentacoes!$G:$G,Movimentacoes!$C:$C,$A115,Movimentacoes!$E:$E,$C115,Movimentacoes!$B:$B,"SAIDA_USO")</f>
        <v/>
      </c>
      <c r="I115" s="11">
        <f>SUMIFS(Movimentacoes!$G:$G,Movimentacoes!$C:$C,$A115,Movimentacoes!$E:$E,$C115,Movimentacoes!$B:$B,"SAIDA_DESCARTE")</f>
        <v/>
      </c>
      <c r="J115" s="11">
        <f>G115-H115-I115</f>
        <v/>
      </c>
      <c r="K115" s="8">
        <f>IF(A115="","",IF(J115&lt;=IFERROR(VLOOKUP(A115,Cadastro_Produtos!$A:$E,5,FALSE),0),"ABAIXO DO MINIMO","OK"))</f>
        <v/>
      </c>
    </row>
    <row r="116">
      <c r="A116" s="7" t="n"/>
      <c r="B116" s="7">
        <f>IFERROR(VLOOKUP(A116,Cadastro_Produtos!A:B,2,FALSE),"")</f>
        <v/>
      </c>
      <c r="C116" s="7" t="n"/>
      <c r="D116" s="10" t="n"/>
      <c r="E116" s="11">
        <f>IF(D116="","",D116-TODAY())</f>
        <v/>
      </c>
      <c r="F116" s="8">
        <f>IF(D116="","",IF(E116&lt;0,"VENCIDO",IF(E116&lt;=30,"VENCE EM &lt;= 30 DIAS",IF(E116&lt;=60,"ATENCAO (31-60 DIAS)","OK"))))</f>
        <v/>
      </c>
      <c r="G116" s="11">
        <f>SUMIFS(Movimentacoes!$G:$G,Movimentacoes!$C:$C,$A116,Movimentacoes!$E:$E,$C116,Movimentacoes!$B:$B,"ENTRADA")</f>
        <v/>
      </c>
      <c r="H116" s="11">
        <f>SUMIFS(Movimentacoes!$G:$G,Movimentacoes!$C:$C,$A116,Movimentacoes!$E:$E,$C116,Movimentacoes!$B:$B,"SAIDA_USO")</f>
        <v/>
      </c>
      <c r="I116" s="11">
        <f>SUMIFS(Movimentacoes!$G:$G,Movimentacoes!$C:$C,$A116,Movimentacoes!$E:$E,$C116,Movimentacoes!$B:$B,"SAIDA_DESCARTE")</f>
        <v/>
      </c>
      <c r="J116" s="11">
        <f>G116-H116-I116</f>
        <v/>
      </c>
      <c r="K116" s="8">
        <f>IF(A116="","",IF(J116&lt;=IFERROR(VLOOKUP(A116,Cadastro_Produtos!$A:$E,5,FALSE),0),"ABAIXO DO MINIMO","OK"))</f>
        <v/>
      </c>
    </row>
    <row r="117">
      <c r="A117" s="7" t="n"/>
      <c r="B117" s="7">
        <f>IFERROR(VLOOKUP(A117,Cadastro_Produtos!A:B,2,FALSE),"")</f>
        <v/>
      </c>
      <c r="C117" s="7" t="n"/>
      <c r="D117" s="10" t="n"/>
      <c r="E117" s="11">
        <f>IF(D117="","",D117-TODAY())</f>
        <v/>
      </c>
      <c r="F117" s="8">
        <f>IF(D117="","",IF(E117&lt;0,"VENCIDO",IF(E117&lt;=30,"VENCE EM &lt;= 30 DIAS",IF(E117&lt;=60,"ATENCAO (31-60 DIAS)","OK"))))</f>
        <v/>
      </c>
      <c r="G117" s="11">
        <f>SUMIFS(Movimentacoes!$G:$G,Movimentacoes!$C:$C,$A117,Movimentacoes!$E:$E,$C117,Movimentacoes!$B:$B,"ENTRADA")</f>
        <v/>
      </c>
      <c r="H117" s="11">
        <f>SUMIFS(Movimentacoes!$G:$G,Movimentacoes!$C:$C,$A117,Movimentacoes!$E:$E,$C117,Movimentacoes!$B:$B,"SAIDA_USO")</f>
        <v/>
      </c>
      <c r="I117" s="11">
        <f>SUMIFS(Movimentacoes!$G:$G,Movimentacoes!$C:$C,$A117,Movimentacoes!$E:$E,$C117,Movimentacoes!$B:$B,"SAIDA_DESCARTE")</f>
        <v/>
      </c>
      <c r="J117" s="11">
        <f>G117-H117-I117</f>
        <v/>
      </c>
      <c r="K117" s="8">
        <f>IF(A117="","",IF(J117&lt;=IFERROR(VLOOKUP(A117,Cadastro_Produtos!$A:$E,5,FALSE),0),"ABAIXO DO MINIMO","OK"))</f>
        <v/>
      </c>
    </row>
    <row r="118">
      <c r="A118" s="7" t="n"/>
      <c r="B118" s="7">
        <f>IFERROR(VLOOKUP(A118,Cadastro_Produtos!A:B,2,FALSE),"")</f>
        <v/>
      </c>
      <c r="C118" s="7" t="n"/>
      <c r="D118" s="10" t="n"/>
      <c r="E118" s="11">
        <f>IF(D118="","",D118-TODAY())</f>
        <v/>
      </c>
      <c r="F118" s="8">
        <f>IF(D118="","",IF(E118&lt;0,"VENCIDO",IF(E118&lt;=30,"VENCE EM &lt;= 30 DIAS",IF(E118&lt;=60,"ATENCAO (31-60 DIAS)","OK"))))</f>
        <v/>
      </c>
      <c r="G118" s="11">
        <f>SUMIFS(Movimentacoes!$G:$G,Movimentacoes!$C:$C,$A118,Movimentacoes!$E:$E,$C118,Movimentacoes!$B:$B,"ENTRADA")</f>
        <v/>
      </c>
      <c r="H118" s="11">
        <f>SUMIFS(Movimentacoes!$G:$G,Movimentacoes!$C:$C,$A118,Movimentacoes!$E:$E,$C118,Movimentacoes!$B:$B,"SAIDA_USO")</f>
        <v/>
      </c>
      <c r="I118" s="11">
        <f>SUMIFS(Movimentacoes!$G:$G,Movimentacoes!$C:$C,$A118,Movimentacoes!$E:$E,$C118,Movimentacoes!$B:$B,"SAIDA_DESCARTE")</f>
        <v/>
      </c>
      <c r="J118" s="11">
        <f>G118-H118-I118</f>
        <v/>
      </c>
      <c r="K118" s="8">
        <f>IF(A118="","",IF(J118&lt;=IFERROR(VLOOKUP(A118,Cadastro_Produtos!$A:$E,5,FALSE),0),"ABAIXO DO MINIMO","OK"))</f>
        <v/>
      </c>
    </row>
    <row r="119">
      <c r="A119" s="7" t="n"/>
      <c r="B119" s="7">
        <f>IFERROR(VLOOKUP(A119,Cadastro_Produtos!A:B,2,FALSE),"")</f>
        <v/>
      </c>
      <c r="C119" s="7" t="n"/>
      <c r="D119" s="10" t="n"/>
      <c r="E119" s="11">
        <f>IF(D119="","",D119-TODAY())</f>
        <v/>
      </c>
      <c r="F119" s="8">
        <f>IF(D119="","",IF(E119&lt;0,"VENCIDO",IF(E119&lt;=30,"VENCE EM &lt;= 30 DIAS",IF(E119&lt;=60,"ATENCAO (31-60 DIAS)","OK"))))</f>
        <v/>
      </c>
      <c r="G119" s="11">
        <f>SUMIFS(Movimentacoes!$G:$G,Movimentacoes!$C:$C,$A119,Movimentacoes!$E:$E,$C119,Movimentacoes!$B:$B,"ENTRADA")</f>
        <v/>
      </c>
      <c r="H119" s="11">
        <f>SUMIFS(Movimentacoes!$G:$G,Movimentacoes!$C:$C,$A119,Movimentacoes!$E:$E,$C119,Movimentacoes!$B:$B,"SAIDA_USO")</f>
        <v/>
      </c>
      <c r="I119" s="11">
        <f>SUMIFS(Movimentacoes!$G:$G,Movimentacoes!$C:$C,$A119,Movimentacoes!$E:$E,$C119,Movimentacoes!$B:$B,"SAIDA_DESCARTE")</f>
        <v/>
      </c>
      <c r="J119" s="11">
        <f>G119-H119-I119</f>
        <v/>
      </c>
      <c r="K119" s="8">
        <f>IF(A119="","",IF(J119&lt;=IFERROR(VLOOKUP(A119,Cadastro_Produtos!$A:$E,5,FALSE),0),"ABAIXO DO MINIMO","OK"))</f>
        <v/>
      </c>
    </row>
    <row r="120">
      <c r="A120" s="7" t="n"/>
      <c r="B120" s="7">
        <f>IFERROR(VLOOKUP(A120,Cadastro_Produtos!A:B,2,FALSE),"")</f>
        <v/>
      </c>
      <c r="C120" s="7" t="n"/>
      <c r="D120" s="10" t="n"/>
      <c r="E120" s="11">
        <f>IF(D120="","",D120-TODAY())</f>
        <v/>
      </c>
      <c r="F120" s="8">
        <f>IF(D120="","",IF(E120&lt;0,"VENCIDO",IF(E120&lt;=30,"VENCE EM &lt;= 30 DIAS",IF(E120&lt;=60,"ATENCAO (31-60 DIAS)","OK"))))</f>
        <v/>
      </c>
      <c r="G120" s="11">
        <f>SUMIFS(Movimentacoes!$G:$G,Movimentacoes!$C:$C,$A120,Movimentacoes!$E:$E,$C120,Movimentacoes!$B:$B,"ENTRADA")</f>
        <v/>
      </c>
      <c r="H120" s="11">
        <f>SUMIFS(Movimentacoes!$G:$G,Movimentacoes!$C:$C,$A120,Movimentacoes!$E:$E,$C120,Movimentacoes!$B:$B,"SAIDA_USO")</f>
        <v/>
      </c>
      <c r="I120" s="11">
        <f>SUMIFS(Movimentacoes!$G:$G,Movimentacoes!$C:$C,$A120,Movimentacoes!$E:$E,$C120,Movimentacoes!$B:$B,"SAIDA_DESCARTE")</f>
        <v/>
      </c>
      <c r="J120" s="11">
        <f>G120-H120-I120</f>
        <v/>
      </c>
      <c r="K120" s="8">
        <f>IF(A120="","",IF(J120&lt;=IFERROR(VLOOKUP(A120,Cadastro_Produtos!$A:$E,5,FALSE),0),"ABAIXO DO MINIMO","OK"))</f>
        <v/>
      </c>
    </row>
    <row r="121">
      <c r="A121" s="7" t="n"/>
      <c r="B121" s="7">
        <f>IFERROR(VLOOKUP(A121,Cadastro_Produtos!A:B,2,FALSE),"")</f>
        <v/>
      </c>
      <c r="C121" s="7" t="n"/>
      <c r="D121" s="10" t="n"/>
      <c r="E121" s="11">
        <f>IF(D121="","",D121-TODAY())</f>
        <v/>
      </c>
      <c r="F121" s="8">
        <f>IF(D121="","",IF(E121&lt;0,"VENCIDO",IF(E121&lt;=30,"VENCE EM &lt;= 30 DIAS",IF(E121&lt;=60,"ATENCAO (31-60 DIAS)","OK"))))</f>
        <v/>
      </c>
      <c r="G121" s="11">
        <f>SUMIFS(Movimentacoes!$G:$G,Movimentacoes!$C:$C,$A121,Movimentacoes!$E:$E,$C121,Movimentacoes!$B:$B,"ENTRADA")</f>
        <v/>
      </c>
      <c r="H121" s="11">
        <f>SUMIFS(Movimentacoes!$G:$G,Movimentacoes!$C:$C,$A121,Movimentacoes!$E:$E,$C121,Movimentacoes!$B:$B,"SAIDA_USO")</f>
        <v/>
      </c>
      <c r="I121" s="11">
        <f>SUMIFS(Movimentacoes!$G:$G,Movimentacoes!$C:$C,$A121,Movimentacoes!$E:$E,$C121,Movimentacoes!$B:$B,"SAIDA_DESCARTE")</f>
        <v/>
      </c>
      <c r="J121" s="11">
        <f>G121-H121-I121</f>
        <v/>
      </c>
      <c r="K121" s="8">
        <f>IF(A121="","",IF(J121&lt;=IFERROR(VLOOKUP(A121,Cadastro_Produtos!$A:$E,5,FALSE),0),"ABAIXO DO MINIMO","OK"))</f>
        <v/>
      </c>
    </row>
    <row r="122">
      <c r="A122" s="7" t="n"/>
      <c r="B122" s="7">
        <f>IFERROR(VLOOKUP(A122,Cadastro_Produtos!A:B,2,FALSE),"")</f>
        <v/>
      </c>
      <c r="C122" s="7" t="n"/>
      <c r="D122" s="10" t="n"/>
      <c r="E122" s="11">
        <f>IF(D122="","",D122-TODAY())</f>
        <v/>
      </c>
      <c r="F122" s="8">
        <f>IF(D122="","",IF(E122&lt;0,"VENCIDO",IF(E122&lt;=30,"VENCE EM &lt;= 30 DIAS",IF(E122&lt;=60,"ATENCAO (31-60 DIAS)","OK"))))</f>
        <v/>
      </c>
      <c r="G122" s="11">
        <f>SUMIFS(Movimentacoes!$G:$G,Movimentacoes!$C:$C,$A122,Movimentacoes!$E:$E,$C122,Movimentacoes!$B:$B,"ENTRADA")</f>
        <v/>
      </c>
      <c r="H122" s="11">
        <f>SUMIFS(Movimentacoes!$G:$G,Movimentacoes!$C:$C,$A122,Movimentacoes!$E:$E,$C122,Movimentacoes!$B:$B,"SAIDA_USO")</f>
        <v/>
      </c>
      <c r="I122" s="11">
        <f>SUMIFS(Movimentacoes!$G:$G,Movimentacoes!$C:$C,$A122,Movimentacoes!$E:$E,$C122,Movimentacoes!$B:$B,"SAIDA_DESCARTE")</f>
        <v/>
      </c>
      <c r="J122" s="11">
        <f>G122-H122-I122</f>
        <v/>
      </c>
      <c r="K122" s="8">
        <f>IF(A122="","",IF(J122&lt;=IFERROR(VLOOKUP(A122,Cadastro_Produtos!$A:$E,5,FALSE),0),"ABAIXO DO MINIMO","OK"))</f>
        <v/>
      </c>
    </row>
    <row r="123">
      <c r="A123" s="7" t="n"/>
      <c r="B123" s="7">
        <f>IFERROR(VLOOKUP(A123,Cadastro_Produtos!A:B,2,FALSE),"")</f>
        <v/>
      </c>
      <c r="C123" s="7" t="n"/>
      <c r="D123" s="10" t="n"/>
      <c r="E123" s="11">
        <f>IF(D123="","",D123-TODAY())</f>
        <v/>
      </c>
      <c r="F123" s="8">
        <f>IF(D123="","",IF(E123&lt;0,"VENCIDO",IF(E123&lt;=30,"VENCE EM &lt;= 30 DIAS",IF(E123&lt;=60,"ATENCAO (31-60 DIAS)","OK"))))</f>
        <v/>
      </c>
      <c r="G123" s="11">
        <f>SUMIFS(Movimentacoes!$G:$G,Movimentacoes!$C:$C,$A123,Movimentacoes!$E:$E,$C123,Movimentacoes!$B:$B,"ENTRADA")</f>
        <v/>
      </c>
      <c r="H123" s="11">
        <f>SUMIFS(Movimentacoes!$G:$G,Movimentacoes!$C:$C,$A123,Movimentacoes!$E:$E,$C123,Movimentacoes!$B:$B,"SAIDA_USO")</f>
        <v/>
      </c>
      <c r="I123" s="11">
        <f>SUMIFS(Movimentacoes!$G:$G,Movimentacoes!$C:$C,$A123,Movimentacoes!$E:$E,$C123,Movimentacoes!$B:$B,"SAIDA_DESCARTE")</f>
        <v/>
      </c>
      <c r="J123" s="11">
        <f>G123-H123-I123</f>
        <v/>
      </c>
      <c r="K123" s="8">
        <f>IF(A123="","",IF(J123&lt;=IFERROR(VLOOKUP(A123,Cadastro_Produtos!$A:$E,5,FALSE),0),"ABAIXO DO MINIMO","OK"))</f>
        <v/>
      </c>
    </row>
    <row r="124">
      <c r="A124" s="7" t="n"/>
      <c r="B124" s="7">
        <f>IFERROR(VLOOKUP(A124,Cadastro_Produtos!A:B,2,FALSE),"")</f>
        <v/>
      </c>
      <c r="C124" s="7" t="n"/>
      <c r="D124" s="10" t="n"/>
      <c r="E124" s="11">
        <f>IF(D124="","",D124-TODAY())</f>
        <v/>
      </c>
      <c r="F124" s="8">
        <f>IF(D124="","",IF(E124&lt;0,"VENCIDO",IF(E124&lt;=30,"VENCE EM &lt;= 30 DIAS",IF(E124&lt;=60,"ATENCAO (31-60 DIAS)","OK"))))</f>
        <v/>
      </c>
      <c r="G124" s="11">
        <f>SUMIFS(Movimentacoes!$G:$G,Movimentacoes!$C:$C,$A124,Movimentacoes!$E:$E,$C124,Movimentacoes!$B:$B,"ENTRADA")</f>
        <v/>
      </c>
      <c r="H124" s="11">
        <f>SUMIFS(Movimentacoes!$G:$G,Movimentacoes!$C:$C,$A124,Movimentacoes!$E:$E,$C124,Movimentacoes!$B:$B,"SAIDA_USO")</f>
        <v/>
      </c>
      <c r="I124" s="11">
        <f>SUMIFS(Movimentacoes!$G:$G,Movimentacoes!$C:$C,$A124,Movimentacoes!$E:$E,$C124,Movimentacoes!$B:$B,"SAIDA_DESCARTE")</f>
        <v/>
      </c>
      <c r="J124" s="11">
        <f>G124-H124-I124</f>
        <v/>
      </c>
      <c r="K124" s="8">
        <f>IF(A124="","",IF(J124&lt;=IFERROR(VLOOKUP(A124,Cadastro_Produtos!$A:$E,5,FALSE),0),"ABAIXO DO MINIMO","OK"))</f>
        <v/>
      </c>
    </row>
    <row r="125">
      <c r="A125" s="7" t="n"/>
      <c r="B125" s="7">
        <f>IFERROR(VLOOKUP(A125,Cadastro_Produtos!A:B,2,FALSE),"")</f>
        <v/>
      </c>
      <c r="C125" s="7" t="n"/>
      <c r="D125" s="10" t="n"/>
      <c r="E125" s="11">
        <f>IF(D125="","",D125-TODAY())</f>
        <v/>
      </c>
      <c r="F125" s="8">
        <f>IF(D125="","",IF(E125&lt;0,"VENCIDO",IF(E125&lt;=30,"VENCE EM &lt;= 30 DIAS",IF(E125&lt;=60,"ATENCAO (31-60 DIAS)","OK"))))</f>
        <v/>
      </c>
      <c r="G125" s="11">
        <f>SUMIFS(Movimentacoes!$G:$G,Movimentacoes!$C:$C,$A125,Movimentacoes!$E:$E,$C125,Movimentacoes!$B:$B,"ENTRADA")</f>
        <v/>
      </c>
      <c r="H125" s="11">
        <f>SUMIFS(Movimentacoes!$G:$G,Movimentacoes!$C:$C,$A125,Movimentacoes!$E:$E,$C125,Movimentacoes!$B:$B,"SAIDA_USO")</f>
        <v/>
      </c>
      <c r="I125" s="11">
        <f>SUMIFS(Movimentacoes!$G:$G,Movimentacoes!$C:$C,$A125,Movimentacoes!$E:$E,$C125,Movimentacoes!$B:$B,"SAIDA_DESCARTE")</f>
        <v/>
      </c>
      <c r="J125" s="11">
        <f>G125-H125-I125</f>
        <v/>
      </c>
      <c r="K125" s="8">
        <f>IF(A125="","",IF(J125&lt;=IFERROR(VLOOKUP(A125,Cadastro_Produtos!$A:$E,5,FALSE),0),"ABAIXO DO MINIMO","OK"))</f>
        <v/>
      </c>
    </row>
    <row r="126">
      <c r="A126" s="7" t="n"/>
      <c r="B126" s="7">
        <f>IFERROR(VLOOKUP(A126,Cadastro_Produtos!A:B,2,FALSE),"")</f>
        <v/>
      </c>
      <c r="C126" s="7" t="n"/>
      <c r="D126" s="10" t="n"/>
      <c r="E126" s="11">
        <f>IF(D126="","",D126-TODAY())</f>
        <v/>
      </c>
      <c r="F126" s="8">
        <f>IF(D126="","",IF(E126&lt;0,"VENCIDO",IF(E126&lt;=30,"VENCE EM &lt;= 30 DIAS",IF(E126&lt;=60,"ATENCAO (31-60 DIAS)","OK"))))</f>
        <v/>
      </c>
      <c r="G126" s="11">
        <f>SUMIFS(Movimentacoes!$G:$G,Movimentacoes!$C:$C,$A126,Movimentacoes!$E:$E,$C126,Movimentacoes!$B:$B,"ENTRADA")</f>
        <v/>
      </c>
      <c r="H126" s="11">
        <f>SUMIFS(Movimentacoes!$G:$G,Movimentacoes!$C:$C,$A126,Movimentacoes!$E:$E,$C126,Movimentacoes!$B:$B,"SAIDA_USO")</f>
        <v/>
      </c>
      <c r="I126" s="11">
        <f>SUMIFS(Movimentacoes!$G:$G,Movimentacoes!$C:$C,$A126,Movimentacoes!$E:$E,$C126,Movimentacoes!$B:$B,"SAIDA_DESCARTE")</f>
        <v/>
      </c>
      <c r="J126" s="11">
        <f>G126-H126-I126</f>
        <v/>
      </c>
      <c r="K126" s="8">
        <f>IF(A126="","",IF(J126&lt;=IFERROR(VLOOKUP(A126,Cadastro_Produtos!$A:$E,5,FALSE),0),"ABAIXO DO MINIMO","OK"))</f>
        <v/>
      </c>
    </row>
    <row r="127">
      <c r="A127" s="7" t="n"/>
      <c r="B127" s="7">
        <f>IFERROR(VLOOKUP(A127,Cadastro_Produtos!A:B,2,FALSE),"")</f>
        <v/>
      </c>
      <c r="C127" s="7" t="n"/>
      <c r="D127" s="10" t="n"/>
      <c r="E127" s="11">
        <f>IF(D127="","",D127-TODAY())</f>
        <v/>
      </c>
      <c r="F127" s="8">
        <f>IF(D127="","",IF(E127&lt;0,"VENCIDO",IF(E127&lt;=30,"VENCE EM &lt;= 30 DIAS",IF(E127&lt;=60,"ATENCAO (31-60 DIAS)","OK"))))</f>
        <v/>
      </c>
      <c r="G127" s="11">
        <f>SUMIFS(Movimentacoes!$G:$G,Movimentacoes!$C:$C,$A127,Movimentacoes!$E:$E,$C127,Movimentacoes!$B:$B,"ENTRADA")</f>
        <v/>
      </c>
      <c r="H127" s="11">
        <f>SUMIFS(Movimentacoes!$G:$G,Movimentacoes!$C:$C,$A127,Movimentacoes!$E:$E,$C127,Movimentacoes!$B:$B,"SAIDA_USO")</f>
        <v/>
      </c>
      <c r="I127" s="11">
        <f>SUMIFS(Movimentacoes!$G:$G,Movimentacoes!$C:$C,$A127,Movimentacoes!$E:$E,$C127,Movimentacoes!$B:$B,"SAIDA_DESCARTE")</f>
        <v/>
      </c>
      <c r="J127" s="11">
        <f>G127-H127-I127</f>
        <v/>
      </c>
      <c r="K127" s="8">
        <f>IF(A127="","",IF(J127&lt;=IFERROR(VLOOKUP(A127,Cadastro_Produtos!$A:$E,5,FALSE),0),"ABAIXO DO MINIMO","OK"))</f>
        <v/>
      </c>
    </row>
    <row r="128">
      <c r="A128" s="7" t="n"/>
      <c r="B128" s="7">
        <f>IFERROR(VLOOKUP(A128,Cadastro_Produtos!A:B,2,FALSE),"")</f>
        <v/>
      </c>
      <c r="C128" s="7" t="n"/>
      <c r="D128" s="10" t="n"/>
      <c r="E128" s="11">
        <f>IF(D128="","",D128-TODAY())</f>
        <v/>
      </c>
      <c r="F128" s="8">
        <f>IF(D128="","",IF(E128&lt;0,"VENCIDO",IF(E128&lt;=30,"VENCE EM &lt;= 30 DIAS",IF(E128&lt;=60,"ATENCAO (31-60 DIAS)","OK"))))</f>
        <v/>
      </c>
      <c r="G128" s="11">
        <f>SUMIFS(Movimentacoes!$G:$G,Movimentacoes!$C:$C,$A128,Movimentacoes!$E:$E,$C128,Movimentacoes!$B:$B,"ENTRADA")</f>
        <v/>
      </c>
      <c r="H128" s="11">
        <f>SUMIFS(Movimentacoes!$G:$G,Movimentacoes!$C:$C,$A128,Movimentacoes!$E:$E,$C128,Movimentacoes!$B:$B,"SAIDA_USO")</f>
        <v/>
      </c>
      <c r="I128" s="11">
        <f>SUMIFS(Movimentacoes!$G:$G,Movimentacoes!$C:$C,$A128,Movimentacoes!$E:$E,$C128,Movimentacoes!$B:$B,"SAIDA_DESCARTE")</f>
        <v/>
      </c>
      <c r="J128" s="11">
        <f>G128-H128-I128</f>
        <v/>
      </c>
      <c r="K128" s="8">
        <f>IF(A128="","",IF(J128&lt;=IFERROR(VLOOKUP(A128,Cadastro_Produtos!$A:$E,5,FALSE),0),"ABAIXO DO MINIMO","OK"))</f>
        <v/>
      </c>
    </row>
    <row r="129">
      <c r="A129" s="7" t="n"/>
      <c r="B129" s="7">
        <f>IFERROR(VLOOKUP(A129,Cadastro_Produtos!A:B,2,FALSE),"")</f>
        <v/>
      </c>
      <c r="C129" s="7" t="n"/>
      <c r="D129" s="10" t="n"/>
      <c r="E129" s="11">
        <f>IF(D129="","",D129-TODAY())</f>
        <v/>
      </c>
      <c r="F129" s="8">
        <f>IF(D129="","",IF(E129&lt;0,"VENCIDO",IF(E129&lt;=30,"VENCE EM &lt;= 30 DIAS",IF(E129&lt;=60,"ATENCAO (31-60 DIAS)","OK"))))</f>
        <v/>
      </c>
      <c r="G129" s="11">
        <f>SUMIFS(Movimentacoes!$G:$G,Movimentacoes!$C:$C,$A129,Movimentacoes!$E:$E,$C129,Movimentacoes!$B:$B,"ENTRADA")</f>
        <v/>
      </c>
      <c r="H129" s="11">
        <f>SUMIFS(Movimentacoes!$G:$G,Movimentacoes!$C:$C,$A129,Movimentacoes!$E:$E,$C129,Movimentacoes!$B:$B,"SAIDA_USO")</f>
        <v/>
      </c>
      <c r="I129" s="11">
        <f>SUMIFS(Movimentacoes!$G:$G,Movimentacoes!$C:$C,$A129,Movimentacoes!$E:$E,$C129,Movimentacoes!$B:$B,"SAIDA_DESCARTE")</f>
        <v/>
      </c>
      <c r="J129" s="11">
        <f>G129-H129-I129</f>
        <v/>
      </c>
      <c r="K129" s="8">
        <f>IF(A129="","",IF(J129&lt;=IFERROR(VLOOKUP(A129,Cadastro_Produtos!$A:$E,5,FALSE),0),"ABAIXO DO MINIMO","OK"))</f>
        <v/>
      </c>
    </row>
    <row r="130">
      <c r="A130" s="7" t="n"/>
      <c r="B130" s="7">
        <f>IFERROR(VLOOKUP(A130,Cadastro_Produtos!A:B,2,FALSE),"")</f>
        <v/>
      </c>
      <c r="C130" s="7" t="n"/>
      <c r="D130" s="10" t="n"/>
      <c r="E130" s="11">
        <f>IF(D130="","",D130-TODAY())</f>
        <v/>
      </c>
      <c r="F130" s="8">
        <f>IF(D130="","",IF(E130&lt;0,"VENCIDO",IF(E130&lt;=30,"VENCE EM &lt;= 30 DIAS",IF(E130&lt;=60,"ATENCAO (31-60 DIAS)","OK"))))</f>
        <v/>
      </c>
      <c r="G130" s="11">
        <f>SUMIFS(Movimentacoes!$G:$G,Movimentacoes!$C:$C,$A130,Movimentacoes!$E:$E,$C130,Movimentacoes!$B:$B,"ENTRADA")</f>
        <v/>
      </c>
      <c r="H130" s="11">
        <f>SUMIFS(Movimentacoes!$G:$G,Movimentacoes!$C:$C,$A130,Movimentacoes!$E:$E,$C130,Movimentacoes!$B:$B,"SAIDA_USO")</f>
        <v/>
      </c>
      <c r="I130" s="11">
        <f>SUMIFS(Movimentacoes!$G:$G,Movimentacoes!$C:$C,$A130,Movimentacoes!$E:$E,$C130,Movimentacoes!$B:$B,"SAIDA_DESCARTE")</f>
        <v/>
      </c>
      <c r="J130" s="11">
        <f>G130-H130-I130</f>
        <v/>
      </c>
      <c r="K130" s="8">
        <f>IF(A130="","",IF(J130&lt;=IFERROR(VLOOKUP(A130,Cadastro_Produtos!$A:$E,5,FALSE),0),"ABAIXO DO MINIMO","OK"))</f>
        <v/>
      </c>
    </row>
    <row r="131">
      <c r="A131" s="7" t="n"/>
      <c r="B131" s="7">
        <f>IFERROR(VLOOKUP(A131,Cadastro_Produtos!A:B,2,FALSE),"")</f>
        <v/>
      </c>
      <c r="C131" s="7" t="n"/>
      <c r="D131" s="10" t="n"/>
      <c r="E131" s="11">
        <f>IF(D131="","",D131-TODAY())</f>
        <v/>
      </c>
      <c r="F131" s="8">
        <f>IF(D131="","",IF(E131&lt;0,"VENCIDO",IF(E131&lt;=30,"VENCE EM &lt;= 30 DIAS",IF(E131&lt;=60,"ATENCAO (31-60 DIAS)","OK"))))</f>
        <v/>
      </c>
      <c r="G131" s="11">
        <f>SUMIFS(Movimentacoes!$G:$G,Movimentacoes!$C:$C,$A131,Movimentacoes!$E:$E,$C131,Movimentacoes!$B:$B,"ENTRADA")</f>
        <v/>
      </c>
      <c r="H131" s="11">
        <f>SUMIFS(Movimentacoes!$G:$G,Movimentacoes!$C:$C,$A131,Movimentacoes!$E:$E,$C131,Movimentacoes!$B:$B,"SAIDA_USO")</f>
        <v/>
      </c>
      <c r="I131" s="11">
        <f>SUMIFS(Movimentacoes!$G:$G,Movimentacoes!$C:$C,$A131,Movimentacoes!$E:$E,$C131,Movimentacoes!$B:$B,"SAIDA_DESCARTE")</f>
        <v/>
      </c>
      <c r="J131" s="11">
        <f>G131-H131-I131</f>
        <v/>
      </c>
      <c r="K131" s="8">
        <f>IF(A131="","",IF(J131&lt;=IFERROR(VLOOKUP(A131,Cadastro_Produtos!$A:$E,5,FALSE),0),"ABAIXO DO MINIMO","OK"))</f>
        <v/>
      </c>
    </row>
    <row r="132">
      <c r="A132" s="7" t="n"/>
      <c r="B132" s="7">
        <f>IFERROR(VLOOKUP(A132,Cadastro_Produtos!A:B,2,FALSE),"")</f>
        <v/>
      </c>
      <c r="C132" s="7" t="n"/>
      <c r="D132" s="10" t="n"/>
      <c r="E132" s="11">
        <f>IF(D132="","",D132-TODAY())</f>
        <v/>
      </c>
      <c r="F132" s="8">
        <f>IF(D132="","",IF(E132&lt;0,"VENCIDO",IF(E132&lt;=30,"VENCE EM &lt;= 30 DIAS",IF(E132&lt;=60,"ATENCAO (31-60 DIAS)","OK"))))</f>
        <v/>
      </c>
      <c r="G132" s="11">
        <f>SUMIFS(Movimentacoes!$G:$G,Movimentacoes!$C:$C,$A132,Movimentacoes!$E:$E,$C132,Movimentacoes!$B:$B,"ENTRADA")</f>
        <v/>
      </c>
      <c r="H132" s="11">
        <f>SUMIFS(Movimentacoes!$G:$G,Movimentacoes!$C:$C,$A132,Movimentacoes!$E:$E,$C132,Movimentacoes!$B:$B,"SAIDA_USO")</f>
        <v/>
      </c>
      <c r="I132" s="11">
        <f>SUMIFS(Movimentacoes!$G:$G,Movimentacoes!$C:$C,$A132,Movimentacoes!$E:$E,$C132,Movimentacoes!$B:$B,"SAIDA_DESCARTE")</f>
        <v/>
      </c>
      <c r="J132" s="11">
        <f>G132-H132-I132</f>
        <v/>
      </c>
      <c r="K132" s="8">
        <f>IF(A132="","",IF(J132&lt;=IFERROR(VLOOKUP(A132,Cadastro_Produtos!$A:$E,5,FALSE),0),"ABAIXO DO MINIMO","OK"))</f>
        <v/>
      </c>
    </row>
    <row r="133">
      <c r="A133" s="7" t="n"/>
      <c r="B133" s="7">
        <f>IFERROR(VLOOKUP(A133,Cadastro_Produtos!A:B,2,FALSE),"")</f>
        <v/>
      </c>
      <c r="C133" s="7" t="n"/>
      <c r="D133" s="10" t="n"/>
      <c r="E133" s="11">
        <f>IF(D133="","",D133-TODAY())</f>
        <v/>
      </c>
      <c r="F133" s="8">
        <f>IF(D133="","",IF(E133&lt;0,"VENCIDO",IF(E133&lt;=30,"VENCE EM &lt;= 30 DIAS",IF(E133&lt;=60,"ATENCAO (31-60 DIAS)","OK"))))</f>
        <v/>
      </c>
      <c r="G133" s="11">
        <f>SUMIFS(Movimentacoes!$G:$G,Movimentacoes!$C:$C,$A133,Movimentacoes!$E:$E,$C133,Movimentacoes!$B:$B,"ENTRADA")</f>
        <v/>
      </c>
      <c r="H133" s="11">
        <f>SUMIFS(Movimentacoes!$G:$G,Movimentacoes!$C:$C,$A133,Movimentacoes!$E:$E,$C133,Movimentacoes!$B:$B,"SAIDA_USO")</f>
        <v/>
      </c>
      <c r="I133" s="11">
        <f>SUMIFS(Movimentacoes!$G:$G,Movimentacoes!$C:$C,$A133,Movimentacoes!$E:$E,$C133,Movimentacoes!$B:$B,"SAIDA_DESCARTE")</f>
        <v/>
      </c>
      <c r="J133" s="11">
        <f>G133-H133-I133</f>
        <v/>
      </c>
      <c r="K133" s="8">
        <f>IF(A133="","",IF(J133&lt;=IFERROR(VLOOKUP(A133,Cadastro_Produtos!$A:$E,5,FALSE),0),"ABAIXO DO MINIMO","OK"))</f>
        <v/>
      </c>
    </row>
    <row r="134">
      <c r="A134" s="7" t="n"/>
      <c r="B134" s="7">
        <f>IFERROR(VLOOKUP(A134,Cadastro_Produtos!A:B,2,FALSE),"")</f>
        <v/>
      </c>
      <c r="C134" s="7" t="n"/>
      <c r="D134" s="10" t="n"/>
      <c r="E134" s="11">
        <f>IF(D134="","",D134-TODAY())</f>
        <v/>
      </c>
      <c r="F134" s="8">
        <f>IF(D134="","",IF(E134&lt;0,"VENCIDO",IF(E134&lt;=30,"VENCE EM &lt;= 30 DIAS",IF(E134&lt;=60,"ATENCAO (31-60 DIAS)","OK"))))</f>
        <v/>
      </c>
      <c r="G134" s="11">
        <f>SUMIFS(Movimentacoes!$G:$G,Movimentacoes!$C:$C,$A134,Movimentacoes!$E:$E,$C134,Movimentacoes!$B:$B,"ENTRADA")</f>
        <v/>
      </c>
      <c r="H134" s="11">
        <f>SUMIFS(Movimentacoes!$G:$G,Movimentacoes!$C:$C,$A134,Movimentacoes!$E:$E,$C134,Movimentacoes!$B:$B,"SAIDA_USO")</f>
        <v/>
      </c>
      <c r="I134" s="11">
        <f>SUMIFS(Movimentacoes!$G:$G,Movimentacoes!$C:$C,$A134,Movimentacoes!$E:$E,$C134,Movimentacoes!$B:$B,"SAIDA_DESCARTE")</f>
        <v/>
      </c>
      <c r="J134" s="11">
        <f>G134-H134-I134</f>
        <v/>
      </c>
      <c r="K134" s="8">
        <f>IF(A134="","",IF(J134&lt;=IFERROR(VLOOKUP(A134,Cadastro_Produtos!$A:$E,5,FALSE),0),"ABAIXO DO MINIMO","OK"))</f>
        <v/>
      </c>
    </row>
    <row r="135">
      <c r="A135" s="7" t="n"/>
      <c r="B135" s="7">
        <f>IFERROR(VLOOKUP(A135,Cadastro_Produtos!A:B,2,FALSE),"")</f>
        <v/>
      </c>
      <c r="C135" s="7" t="n"/>
      <c r="D135" s="10" t="n"/>
      <c r="E135" s="11">
        <f>IF(D135="","",D135-TODAY())</f>
        <v/>
      </c>
      <c r="F135" s="8">
        <f>IF(D135="","",IF(E135&lt;0,"VENCIDO",IF(E135&lt;=30,"VENCE EM &lt;= 30 DIAS",IF(E135&lt;=60,"ATENCAO (31-60 DIAS)","OK"))))</f>
        <v/>
      </c>
      <c r="G135" s="11">
        <f>SUMIFS(Movimentacoes!$G:$G,Movimentacoes!$C:$C,$A135,Movimentacoes!$E:$E,$C135,Movimentacoes!$B:$B,"ENTRADA")</f>
        <v/>
      </c>
      <c r="H135" s="11">
        <f>SUMIFS(Movimentacoes!$G:$G,Movimentacoes!$C:$C,$A135,Movimentacoes!$E:$E,$C135,Movimentacoes!$B:$B,"SAIDA_USO")</f>
        <v/>
      </c>
      <c r="I135" s="11">
        <f>SUMIFS(Movimentacoes!$G:$G,Movimentacoes!$C:$C,$A135,Movimentacoes!$E:$E,$C135,Movimentacoes!$B:$B,"SAIDA_DESCARTE")</f>
        <v/>
      </c>
      <c r="J135" s="11">
        <f>G135-H135-I135</f>
        <v/>
      </c>
      <c r="K135" s="8">
        <f>IF(A135="","",IF(J135&lt;=IFERROR(VLOOKUP(A135,Cadastro_Produtos!$A:$E,5,FALSE),0),"ABAIXO DO MINIMO","OK"))</f>
        <v/>
      </c>
    </row>
    <row r="136">
      <c r="A136" s="7" t="n"/>
      <c r="B136" s="7">
        <f>IFERROR(VLOOKUP(A136,Cadastro_Produtos!A:B,2,FALSE),"")</f>
        <v/>
      </c>
      <c r="C136" s="7" t="n"/>
      <c r="D136" s="10" t="n"/>
      <c r="E136" s="11">
        <f>IF(D136="","",D136-TODAY())</f>
        <v/>
      </c>
      <c r="F136" s="8">
        <f>IF(D136="","",IF(E136&lt;0,"VENCIDO",IF(E136&lt;=30,"VENCE EM &lt;= 30 DIAS",IF(E136&lt;=60,"ATENCAO (31-60 DIAS)","OK"))))</f>
        <v/>
      </c>
      <c r="G136" s="11">
        <f>SUMIFS(Movimentacoes!$G:$G,Movimentacoes!$C:$C,$A136,Movimentacoes!$E:$E,$C136,Movimentacoes!$B:$B,"ENTRADA")</f>
        <v/>
      </c>
      <c r="H136" s="11">
        <f>SUMIFS(Movimentacoes!$G:$G,Movimentacoes!$C:$C,$A136,Movimentacoes!$E:$E,$C136,Movimentacoes!$B:$B,"SAIDA_USO")</f>
        <v/>
      </c>
      <c r="I136" s="11">
        <f>SUMIFS(Movimentacoes!$G:$G,Movimentacoes!$C:$C,$A136,Movimentacoes!$E:$E,$C136,Movimentacoes!$B:$B,"SAIDA_DESCARTE")</f>
        <v/>
      </c>
      <c r="J136" s="11">
        <f>G136-H136-I136</f>
        <v/>
      </c>
      <c r="K136" s="8">
        <f>IF(A136="","",IF(J136&lt;=IFERROR(VLOOKUP(A136,Cadastro_Produtos!$A:$E,5,FALSE),0),"ABAIXO DO MINIMO","OK"))</f>
        <v/>
      </c>
    </row>
    <row r="137">
      <c r="A137" s="7" t="n"/>
      <c r="B137" s="7">
        <f>IFERROR(VLOOKUP(A137,Cadastro_Produtos!A:B,2,FALSE),"")</f>
        <v/>
      </c>
      <c r="C137" s="7" t="n"/>
      <c r="D137" s="10" t="n"/>
      <c r="E137" s="11">
        <f>IF(D137="","",D137-TODAY())</f>
        <v/>
      </c>
      <c r="F137" s="8">
        <f>IF(D137="","",IF(E137&lt;0,"VENCIDO",IF(E137&lt;=30,"VENCE EM &lt;= 30 DIAS",IF(E137&lt;=60,"ATENCAO (31-60 DIAS)","OK"))))</f>
        <v/>
      </c>
      <c r="G137" s="11">
        <f>SUMIFS(Movimentacoes!$G:$G,Movimentacoes!$C:$C,$A137,Movimentacoes!$E:$E,$C137,Movimentacoes!$B:$B,"ENTRADA")</f>
        <v/>
      </c>
      <c r="H137" s="11">
        <f>SUMIFS(Movimentacoes!$G:$G,Movimentacoes!$C:$C,$A137,Movimentacoes!$E:$E,$C137,Movimentacoes!$B:$B,"SAIDA_USO")</f>
        <v/>
      </c>
      <c r="I137" s="11">
        <f>SUMIFS(Movimentacoes!$G:$G,Movimentacoes!$C:$C,$A137,Movimentacoes!$E:$E,$C137,Movimentacoes!$B:$B,"SAIDA_DESCARTE")</f>
        <v/>
      </c>
      <c r="J137" s="11">
        <f>G137-H137-I137</f>
        <v/>
      </c>
      <c r="K137" s="8">
        <f>IF(A137="","",IF(J137&lt;=IFERROR(VLOOKUP(A137,Cadastro_Produtos!$A:$E,5,FALSE),0),"ABAIXO DO MINIMO","OK"))</f>
        <v/>
      </c>
    </row>
    <row r="138">
      <c r="A138" s="7" t="n"/>
      <c r="B138" s="7">
        <f>IFERROR(VLOOKUP(A138,Cadastro_Produtos!A:B,2,FALSE),"")</f>
        <v/>
      </c>
      <c r="C138" s="7" t="n"/>
      <c r="D138" s="10" t="n"/>
      <c r="E138" s="11">
        <f>IF(D138="","",D138-TODAY())</f>
        <v/>
      </c>
      <c r="F138" s="8">
        <f>IF(D138="","",IF(E138&lt;0,"VENCIDO",IF(E138&lt;=30,"VENCE EM &lt;= 30 DIAS",IF(E138&lt;=60,"ATENCAO (31-60 DIAS)","OK"))))</f>
        <v/>
      </c>
      <c r="G138" s="11">
        <f>SUMIFS(Movimentacoes!$G:$G,Movimentacoes!$C:$C,$A138,Movimentacoes!$E:$E,$C138,Movimentacoes!$B:$B,"ENTRADA")</f>
        <v/>
      </c>
      <c r="H138" s="11">
        <f>SUMIFS(Movimentacoes!$G:$G,Movimentacoes!$C:$C,$A138,Movimentacoes!$E:$E,$C138,Movimentacoes!$B:$B,"SAIDA_USO")</f>
        <v/>
      </c>
      <c r="I138" s="11">
        <f>SUMIFS(Movimentacoes!$G:$G,Movimentacoes!$C:$C,$A138,Movimentacoes!$E:$E,$C138,Movimentacoes!$B:$B,"SAIDA_DESCARTE")</f>
        <v/>
      </c>
      <c r="J138" s="11">
        <f>G138-H138-I138</f>
        <v/>
      </c>
      <c r="K138" s="8">
        <f>IF(A138="","",IF(J138&lt;=IFERROR(VLOOKUP(A138,Cadastro_Produtos!$A:$E,5,FALSE),0),"ABAIXO DO MINIMO","OK"))</f>
        <v/>
      </c>
    </row>
    <row r="139">
      <c r="A139" s="7" t="n"/>
      <c r="B139" s="7">
        <f>IFERROR(VLOOKUP(A139,Cadastro_Produtos!A:B,2,FALSE),"")</f>
        <v/>
      </c>
      <c r="C139" s="7" t="n"/>
      <c r="D139" s="10" t="n"/>
      <c r="E139" s="11">
        <f>IF(D139="","",D139-TODAY())</f>
        <v/>
      </c>
      <c r="F139" s="8">
        <f>IF(D139="","",IF(E139&lt;0,"VENCIDO",IF(E139&lt;=30,"VENCE EM &lt;= 30 DIAS",IF(E139&lt;=60,"ATENCAO (31-60 DIAS)","OK"))))</f>
        <v/>
      </c>
      <c r="G139" s="11">
        <f>SUMIFS(Movimentacoes!$G:$G,Movimentacoes!$C:$C,$A139,Movimentacoes!$E:$E,$C139,Movimentacoes!$B:$B,"ENTRADA")</f>
        <v/>
      </c>
      <c r="H139" s="11">
        <f>SUMIFS(Movimentacoes!$G:$G,Movimentacoes!$C:$C,$A139,Movimentacoes!$E:$E,$C139,Movimentacoes!$B:$B,"SAIDA_USO")</f>
        <v/>
      </c>
      <c r="I139" s="11">
        <f>SUMIFS(Movimentacoes!$G:$G,Movimentacoes!$C:$C,$A139,Movimentacoes!$E:$E,$C139,Movimentacoes!$B:$B,"SAIDA_DESCARTE")</f>
        <v/>
      </c>
      <c r="J139" s="11">
        <f>G139-H139-I139</f>
        <v/>
      </c>
      <c r="K139" s="8">
        <f>IF(A139="","",IF(J139&lt;=IFERROR(VLOOKUP(A139,Cadastro_Produtos!$A:$E,5,FALSE),0),"ABAIXO DO MINIMO","OK"))</f>
        <v/>
      </c>
    </row>
    <row r="140">
      <c r="A140" s="7" t="n"/>
      <c r="B140" s="7">
        <f>IFERROR(VLOOKUP(A140,Cadastro_Produtos!A:B,2,FALSE),"")</f>
        <v/>
      </c>
      <c r="C140" s="7" t="n"/>
      <c r="D140" s="10" t="n"/>
      <c r="E140" s="11">
        <f>IF(D140="","",D140-TODAY())</f>
        <v/>
      </c>
      <c r="F140" s="8">
        <f>IF(D140="","",IF(E140&lt;0,"VENCIDO",IF(E140&lt;=30,"VENCE EM &lt;= 30 DIAS",IF(E140&lt;=60,"ATENCAO (31-60 DIAS)","OK"))))</f>
        <v/>
      </c>
      <c r="G140" s="11">
        <f>SUMIFS(Movimentacoes!$G:$G,Movimentacoes!$C:$C,$A140,Movimentacoes!$E:$E,$C140,Movimentacoes!$B:$B,"ENTRADA")</f>
        <v/>
      </c>
      <c r="H140" s="11">
        <f>SUMIFS(Movimentacoes!$G:$G,Movimentacoes!$C:$C,$A140,Movimentacoes!$E:$E,$C140,Movimentacoes!$B:$B,"SAIDA_USO")</f>
        <v/>
      </c>
      <c r="I140" s="11">
        <f>SUMIFS(Movimentacoes!$G:$G,Movimentacoes!$C:$C,$A140,Movimentacoes!$E:$E,$C140,Movimentacoes!$B:$B,"SAIDA_DESCARTE")</f>
        <v/>
      </c>
      <c r="J140" s="11">
        <f>G140-H140-I140</f>
        <v/>
      </c>
      <c r="K140" s="8">
        <f>IF(A140="","",IF(J140&lt;=IFERROR(VLOOKUP(A140,Cadastro_Produtos!$A:$E,5,FALSE),0),"ABAIXO DO MINIMO","OK"))</f>
        <v/>
      </c>
    </row>
    <row r="141">
      <c r="A141" s="7" t="n"/>
      <c r="B141" s="7">
        <f>IFERROR(VLOOKUP(A141,Cadastro_Produtos!A:B,2,FALSE),"")</f>
        <v/>
      </c>
      <c r="C141" s="7" t="n"/>
      <c r="D141" s="10" t="n"/>
      <c r="E141" s="11">
        <f>IF(D141="","",D141-TODAY())</f>
        <v/>
      </c>
      <c r="F141" s="8">
        <f>IF(D141="","",IF(E141&lt;0,"VENCIDO",IF(E141&lt;=30,"VENCE EM &lt;= 30 DIAS",IF(E141&lt;=60,"ATENCAO (31-60 DIAS)","OK"))))</f>
        <v/>
      </c>
      <c r="G141" s="11">
        <f>SUMIFS(Movimentacoes!$G:$G,Movimentacoes!$C:$C,$A141,Movimentacoes!$E:$E,$C141,Movimentacoes!$B:$B,"ENTRADA")</f>
        <v/>
      </c>
      <c r="H141" s="11">
        <f>SUMIFS(Movimentacoes!$G:$G,Movimentacoes!$C:$C,$A141,Movimentacoes!$E:$E,$C141,Movimentacoes!$B:$B,"SAIDA_USO")</f>
        <v/>
      </c>
      <c r="I141" s="11">
        <f>SUMIFS(Movimentacoes!$G:$G,Movimentacoes!$C:$C,$A141,Movimentacoes!$E:$E,$C141,Movimentacoes!$B:$B,"SAIDA_DESCARTE")</f>
        <v/>
      </c>
      <c r="J141" s="11">
        <f>G141-H141-I141</f>
        <v/>
      </c>
      <c r="K141" s="8">
        <f>IF(A141="","",IF(J141&lt;=IFERROR(VLOOKUP(A141,Cadastro_Produtos!$A:$E,5,FALSE),0),"ABAIXO DO MINIMO","OK"))</f>
        <v/>
      </c>
    </row>
    <row r="142">
      <c r="A142" s="7" t="n"/>
      <c r="B142" s="7">
        <f>IFERROR(VLOOKUP(A142,Cadastro_Produtos!A:B,2,FALSE),"")</f>
        <v/>
      </c>
      <c r="C142" s="7" t="n"/>
      <c r="D142" s="10" t="n"/>
      <c r="E142" s="11">
        <f>IF(D142="","",D142-TODAY())</f>
        <v/>
      </c>
      <c r="F142" s="8">
        <f>IF(D142="","",IF(E142&lt;0,"VENCIDO",IF(E142&lt;=30,"VENCE EM &lt;= 30 DIAS",IF(E142&lt;=60,"ATENCAO (31-60 DIAS)","OK"))))</f>
        <v/>
      </c>
      <c r="G142" s="11">
        <f>SUMIFS(Movimentacoes!$G:$G,Movimentacoes!$C:$C,$A142,Movimentacoes!$E:$E,$C142,Movimentacoes!$B:$B,"ENTRADA")</f>
        <v/>
      </c>
      <c r="H142" s="11">
        <f>SUMIFS(Movimentacoes!$G:$G,Movimentacoes!$C:$C,$A142,Movimentacoes!$E:$E,$C142,Movimentacoes!$B:$B,"SAIDA_USO")</f>
        <v/>
      </c>
      <c r="I142" s="11">
        <f>SUMIFS(Movimentacoes!$G:$G,Movimentacoes!$C:$C,$A142,Movimentacoes!$E:$E,$C142,Movimentacoes!$B:$B,"SAIDA_DESCARTE")</f>
        <v/>
      </c>
      <c r="J142" s="11">
        <f>G142-H142-I142</f>
        <v/>
      </c>
      <c r="K142" s="8">
        <f>IF(A142="","",IF(J142&lt;=IFERROR(VLOOKUP(A142,Cadastro_Produtos!$A:$E,5,FALSE),0),"ABAIXO DO MINIMO","OK"))</f>
        <v/>
      </c>
    </row>
    <row r="143">
      <c r="A143" s="7" t="n"/>
      <c r="B143" s="7">
        <f>IFERROR(VLOOKUP(A143,Cadastro_Produtos!A:B,2,FALSE),"")</f>
        <v/>
      </c>
      <c r="C143" s="7" t="n"/>
      <c r="D143" s="10" t="n"/>
      <c r="E143" s="11">
        <f>IF(D143="","",D143-TODAY())</f>
        <v/>
      </c>
      <c r="F143" s="8">
        <f>IF(D143="","",IF(E143&lt;0,"VENCIDO",IF(E143&lt;=30,"VENCE EM &lt;= 30 DIAS",IF(E143&lt;=60,"ATENCAO (31-60 DIAS)","OK"))))</f>
        <v/>
      </c>
      <c r="G143" s="11">
        <f>SUMIFS(Movimentacoes!$G:$G,Movimentacoes!$C:$C,$A143,Movimentacoes!$E:$E,$C143,Movimentacoes!$B:$B,"ENTRADA")</f>
        <v/>
      </c>
      <c r="H143" s="11">
        <f>SUMIFS(Movimentacoes!$G:$G,Movimentacoes!$C:$C,$A143,Movimentacoes!$E:$E,$C143,Movimentacoes!$B:$B,"SAIDA_USO")</f>
        <v/>
      </c>
      <c r="I143" s="11">
        <f>SUMIFS(Movimentacoes!$G:$G,Movimentacoes!$C:$C,$A143,Movimentacoes!$E:$E,$C143,Movimentacoes!$B:$B,"SAIDA_DESCARTE")</f>
        <v/>
      </c>
      <c r="J143" s="11">
        <f>G143-H143-I143</f>
        <v/>
      </c>
      <c r="K143" s="8">
        <f>IF(A143="","",IF(J143&lt;=IFERROR(VLOOKUP(A143,Cadastro_Produtos!$A:$E,5,FALSE),0),"ABAIXO DO MINIMO","OK"))</f>
        <v/>
      </c>
    </row>
    <row r="144">
      <c r="A144" s="7" t="n"/>
      <c r="B144" s="7">
        <f>IFERROR(VLOOKUP(A144,Cadastro_Produtos!A:B,2,FALSE),"")</f>
        <v/>
      </c>
      <c r="C144" s="7" t="n"/>
      <c r="D144" s="10" t="n"/>
      <c r="E144" s="11">
        <f>IF(D144="","",D144-TODAY())</f>
        <v/>
      </c>
      <c r="F144" s="8">
        <f>IF(D144="","",IF(E144&lt;0,"VENCIDO",IF(E144&lt;=30,"VENCE EM &lt;= 30 DIAS",IF(E144&lt;=60,"ATENCAO (31-60 DIAS)","OK"))))</f>
        <v/>
      </c>
      <c r="G144" s="11">
        <f>SUMIFS(Movimentacoes!$G:$G,Movimentacoes!$C:$C,$A144,Movimentacoes!$E:$E,$C144,Movimentacoes!$B:$B,"ENTRADA")</f>
        <v/>
      </c>
      <c r="H144" s="11">
        <f>SUMIFS(Movimentacoes!$G:$G,Movimentacoes!$C:$C,$A144,Movimentacoes!$E:$E,$C144,Movimentacoes!$B:$B,"SAIDA_USO")</f>
        <v/>
      </c>
      <c r="I144" s="11">
        <f>SUMIFS(Movimentacoes!$G:$G,Movimentacoes!$C:$C,$A144,Movimentacoes!$E:$E,$C144,Movimentacoes!$B:$B,"SAIDA_DESCARTE")</f>
        <v/>
      </c>
      <c r="J144" s="11">
        <f>G144-H144-I144</f>
        <v/>
      </c>
      <c r="K144" s="8">
        <f>IF(A144="","",IF(J144&lt;=IFERROR(VLOOKUP(A144,Cadastro_Produtos!$A:$E,5,FALSE),0),"ABAIXO DO MINIMO","OK"))</f>
        <v/>
      </c>
    </row>
    <row r="145">
      <c r="A145" s="7" t="n"/>
      <c r="B145" s="7">
        <f>IFERROR(VLOOKUP(A145,Cadastro_Produtos!A:B,2,FALSE),"")</f>
        <v/>
      </c>
      <c r="C145" s="7" t="n"/>
      <c r="D145" s="10" t="n"/>
      <c r="E145" s="11">
        <f>IF(D145="","",D145-TODAY())</f>
        <v/>
      </c>
      <c r="F145" s="8">
        <f>IF(D145="","",IF(E145&lt;0,"VENCIDO",IF(E145&lt;=30,"VENCE EM &lt;= 30 DIAS",IF(E145&lt;=60,"ATENCAO (31-60 DIAS)","OK"))))</f>
        <v/>
      </c>
      <c r="G145" s="11">
        <f>SUMIFS(Movimentacoes!$G:$G,Movimentacoes!$C:$C,$A145,Movimentacoes!$E:$E,$C145,Movimentacoes!$B:$B,"ENTRADA")</f>
        <v/>
      </c>
      <c r="H145" s="11">
        <f>SUMIFS(Movimentacoes!$G:$G,Movimentacoes!$C:$C,$A145,Movimentacoes!$E:$E,$C145,Movimentacoes!$B:$B,"SAIDA_USO")</f>
        <v/>
      </c>
      <c r="I145" s="11">
        <f>SUMIFS(Movimentacoes!$G:$G,Movimentacoes!$C:$C,$A145,Movimentacoes!$E:$E,$C145,Movimentacoes!$B:$B,"SAIDA_DESCARTE")</f>
        <v/>
      </c>
      <c r="J145" s="11">
        <f>G145-H145-I145</f>
        <v/>
      </c>
      <c r="K145" s="8">
        <f>IF(A145="","",IF(J145&lt;=IFERROR(VLOOKUP(A145,Cadastro_Produtos!$A:$E,5,FALSE),0),"ABAIXO DO MINIMO","OK"))</f>
        <v/>
      </c>
    </row>
    <row r="146">
      <c r="A146" s="7" t="n"/>
      <c r="B146" s="7">
        <f>IFERROR(VLOOKUP(A146,Cadastro_Produtos!A:B,2,FALSE),"")</f>
        <v/>
      </c>
      <c r="C146" s="7" t="n"/>
      <c r="D146" s="10" t="n"/>
      <c r="E146" s="11">
        <f>IF(D146="","",D146-TODAY())</f>
        <v/>
      </c>
      <c r="F146" s="8">
        <f>IF(D146="","",IF(E146&lt;0,"VENCIDO",IF(E146&lt;=30,"VENCE EM &lt;= 30 DIAS",IF(E146&lt;=60,"ATENCAO (31-60 DIAS)","OK"))))</f>
        <v/>
      </c>
      <c r="G146" s="11">
        <f>SUMIFS(Movimentacoes!$G:$G,Movimentacoes!$C:$C,$A146,Movimentacoes!$E:$E,$C146,Movimentacoes!$B:$B,"ENTRADA")</f>
        <v/>
      </c>
      <c r="H146" s="11">
        <f>SUMIFS(Movimentacoes!$G:$G,Movimentacoes!$C:$C,$A146,Movimentacoes!$E:$E,$C146,Movimentacoes!$B:$B,"SAIDA_USO")</f>
        <v/>
      </c>
      <c r="I146" s="11">
        <f>SUMIFS(Movimentacoes!$G:$G,Movimentacoes!$C:$C,$A146,Movimentacoes!$E:$E,$C146,Movimentacoes!$B:$B,"SAIDA_DESCARTE")</f>
        <v/>
      </c>
      <c r="J146" s="11">
        <f>G146-H146-I146</f>
        <v/>
      </c>
      <c r="K146" s="8">
        <f>IF(A146="","",IF(J146&lt;=IFERROR(VLOOKUP(A146,Cadastro_Produtos!$A:$E,5,FALSE),0),"ABAIXO DO MINIMO","OK"))</f>
        <v/>
      </c>
    </row>
    <row r="147">
      <c r="A147" s="7" t="n"/>
      <c r="B147" s="7">
        <f>IFERROR(VLOOKUP(A147,Cadastro_Produtos!A:B,2,FALSE),"")</f>
        <v/>
      </c>
      <c r="C147" s="7" t="n"/>
      <c r="D147" s="10" t="n"/>
      <c r="E147" s="11">
        <f>IF(D147="","",D147-TODAY())</f>
        <v/>
      </c>
      <c r="F147" s="8">
        <f>IF(D147="","",IF(E147&lt;0,"VENCIDO",IF(E147&lt;=30,"VENCE EM &lt;= 30 DIAS",IF(E147&lt;=60,"ATENCAO (31-60 DIAS)","OK"))))</f>
        <v/>
      </c>
      <c r="G147" s="11">
        <f>SUMIFS(Movimentacoes!$G:$G,Movimentacoes!$C:$C,$A147,Movimentacoes!$E:$E,$C147,Movimentacoes!$B:$B,"ENTRADA")</f>
        <v/>
      </c>
      <c r="H147" s="11">
        <f>SUMIFS(Movimentacoes!$G:$G,Movimentacoes!$C:$C,$A147,Movimentacoes!$E:$E,$C147,Movimentacoes!$B:$B,"SAIDA_USO")</f>
        <v/>
      </c>
      <c r="I147" s="11">
        <f>SUMIFS(Movimentacoes!$G:$G,Movimentacoes!$C:$C,$A147,Movimentacoes!$E:$E,$C147,Movimentacoes!$B:$B,"SAIDA_DESCARTE")</f>
        <v/>
      </c>
      <c r="J147" s="11">
        <f>G147-H147-I147</f>
        <v/>
      </c>
      <c r="K147" s="8">
        <f>IF(A147="","",IF(J147&lt;=IFERROR(VLOOKUP(A147,Cadastro_Produtos!$A:$E,5,FALSE),0),"ABAIXO DO MINIMO","OK"))</f>
        <v/>
      </c>
    </row>
    <row r="148">
      <c r="A148" s="7" t="n"/>
      <c r="B148" s="7">
        <f>IFERROR(VLOOKUP(A148,Cadastro_Produtos!A:B,2,FALSE),"")</f>
        <v/>
      </c>
      <c r="C148" s="7" t="n"/>
      <c r="D148" s="10" t="n"/>
      <c r="E148" s="11">
        <f>IF(D148="","",D148-TODAY())</f>
        <v/>
      </c>
      <c r="F148" s="8">
        <f>IF(D148="","",IF(E148&lt;0,"VENCIDO",IF(E148&lt;=30,"VENCE EM &lt;= 30 DIAS",IF(E148&lt;=60,"ATENCAO (31-60 DIAS)","OK"))))</f>
        <v/>
      </c>
      <c r="G148" s="11">
        <f>SUMIFS(Movimentacoes!$G:$G,Movimentacoes!$C:$C,$A148,Movimentacoes!$E:$E,$C148,Movimentacoes!$B:$B,"ENTRADA")</f>
        <v/>
      </c>
      <c r="H148" s="11">
        <f>SUMIFS(Movimentacoes!$G:$G,Movimentacoes!$C:$C,$A148,Movimentacoes!$E:$E,$C148,Movimentacoes!$B:$B,"SAIDA_USO")</f>
        <v/>
      </c>
      <c r="I148" s="11">
        <f>SUMIFS(Movimentacoes!$G:$G,Movimentacoes!$C:$C,$A148,Movimentacoes!$E:$E,$C148,Movimentacoes!$B:$B,"SAIDA_DESCARTE")</f>
        <v/>
      </c>
      <c r="J148" s="11">
        <f>G148-H148-I148</f>
        <v/>
      </c>
      <c r="K148" s="8">
        <f>IF(A148="","",IF(J148&lt;=IFERROR(VLOOKUP(A148,Cadastro_Produtos!$A:$E,5,FALSE),0),"ABAIXO DO MINIMO","OK"))</f>
        <v/>
      </c>
    </row>
    <row r="149">
      <c r="A149" s="7" t="n"/>
      <c r="B149" s="7">
        <f>IFERROR(VLOOKUP(A149,Cadastro_Produtos!A:B,2,FALSE),"")</f>
        <v/>
      </c>
      <c r="C149" s="7" t="n"/>
      <c r="D149" s="10" t="n"/>
      <c r="E149" s="11">
        <f>IF(D149="","",D149-TODAY())</f>
        <v/>
      </c>
      <c r="F149" s="8">
        <f>IF(D149="","",IF(E149&lt;0,"VENCIDO",IF(E149&lt;=30,"VENCE EM &lt;= 30 DIAS",IF(E149&lt;=60,"ATENCAO (31-60 DIAS)","OK"))))</f>
        <v/>
      </c>
      <c r="G149" s="11">
        <f>SUMIFS(Movimentacoes!$G:$G,Movimentacoes!$C:$C,$A149,Movimentacoes!$E:$E,$C149,Movimentacoes!$B:$B,"ENTRADA")</f>
        <v/>
      </c>
      <c r="H149" s="11">
        <f>SUMIFS(Movimentacoes!$G:$G,Movimentacoes!$C:$C,$A149,Movimentacoes!$E:$E,$C149,Movimentacoes!$B:$B,"SAIDA_USO")</f>
        <v/>
      </c>
      <c r="I149" s="11">
        <f>SUMIFS(Movimentacoes!$G:$G,Movimentacoes!$C:$C,$A149,Movimentacoes!$E:$E,$C149,Movimentacoes!$B:$B,"SAIDA_DESCARTE")</f>
        <v/>
      </c>
      <c r="J149" s="11">
        <f>G149-H149-I149</f>
        <v/>
      </c>
      <c r="K149" s="8">
        <f>IF(A149="","",IF(J149&lt;=IFERROR(VLOOKUP(A149,Cadastro_Produtos!$A:$E,5,FALSE),0),"ABAIXO DO MINIMO","OK"))</f>
        <v/>
      </c>
    </row>
    <row r="150">
      <c r="A150" s="7" t="n"/>
      <c r="B150" s="7">
        <f>IFERROR(VLOOKUP(A150,Cadastro_Produtos!A:B,2,FALSE),"")</f>
        <v/>
      </c>
      <c r="C150" s="7" t="n"/>
      <c r="D150" s="10" t="n"/>
      <c r="E150" s="11">
        <f>IF(D150="","",D150-TODAY())</f>
        <v/>
      </c>
      <c r="F150" s="8">
        <f>IF(D150="","",IF(E150&lt;0,"VENCIDO",IF(E150&lt;=30,"VENCE EM &lt;= 30 DIAS",IF(E150&lt;=60,"ATENCAO (31-60 DIAS)","OK"))))</f>
        <v/>
      </c>
      <c r="G150" s="11">
        <f>SUMIFS(Movimentacoes!$G:$G,Movimentacoes!$C:$C,$A150,Movimentacoes!$E:$E,$C150,Movimentacoes!$B:$B,"ENTRADA")</f>
        <v/>
      </c>
      <c r="H150" s="11">
        <f>SUMIFS(Movimentacoes!$G:$G,Movimentacoes!$C:$C,$A150,Movimentacoes!$E:$E,$C150,Movimentacoes!$B:$B,"SAIDA_USO")</f>
        <v/>
      </c>
      <c r="I150" s="11">
        <f>SUMIFS(Movimentacoes!$G:$G,Movimentacoes!$C:$C,$A150,Movimentacoes!$E:$E,$C150,Movimentacoes!$B:$B,"SAIDA_DESCARTE")</f>
        <v/>
      </c>
      <c r="J150" s="11">
        <f>G150-H150-I150</f>
        <v/>
      </c>
      <c r="K150" s="8">
        <f>IF(A150="","",IF(J150&lt;=IFERROR(VLOOKUP(A150,Cadastro_Produtos!$A:$E,5,FALSE),0),"ABAIXO DO MINIMO","OK"))</f>
        <v/>
      </c>
    </row>
    <row r="151">
      <c r="A151" s="7" t="n"/>
      <c r="B151" s="7">
        <f>IFERROR(VLOOKUP(A151,Cadastro_Produtos!A:B,2,FALSE),"")</f>
        <v/>
      </c>
      <c r="C151" s="7" t="n"/>
      <c r="D151" s="10" t="n"/>
      <c r="E151" s="11">
        <f>IF(D151="","",D151-TODAY())</f>
        <v/>
      </c>
      <c r="F151" s="8">
        <f>IF(D151="","",IF(E151&lt;0,"VENCIDO",IF(E151&lt;=30,"VENCE EM &lt;= 30 DIAS",IF(E151&lt;=60,"ATENCAO (31-60 DIAS)","OK"))))</f>
        <v/>
      </c>
      <c r="G151" s="11">
        <f>SUMIFS(Movimentacoes!$G:$G,Movimentacoes!$C:$C,$A151,Movimentacoes!$E:$E,$C151,Movimentacoes!$B:$B,"ENTRADA")</f>
        <v/>
      </c>
      <c r="H151" s="11">
        <f>SUMIFS(Movimentacoes!$G:$G,Movimentacoes!$C:$C,$A151,Movimentacoes!$E:$E,$C151,Movimentacoes!$B:$B,"SAIDA_USO")</f>
        <v/>
      </c>
      <c r="I151" s="11">
        <f>SUMIFS(Movimentacoes!$G:$G,Movimentacoes!$C:$C,$A151,Movimentacoes!$E:$E,$C151,Movimentacoes!$B:$B,"SAIDA_DESCARTE")</f>
        <v/>
      </c>
      <c r="J151" s="11">
        <f>G151-H151-I151</f>
        <v/>
      </c>
      <c r="K151" s="8">
        <f>IF(A151="","",IF(J151&lt;=IFERROR(VLOOKUP(A151,Cadastro_Produtos!$A:$E,5,FALSE),0),"ABAIXO DO MINIMO","OK"))</f>
        <v/>
      </c>
    </row>
    <row r="152">
      <c r="A152" s="7" t="n"/>
      <c r="B152" s="7">
        <f>IFERROR(VLOOKUP(A152,Cadastro_Produtos!A:B,2,FALSE),"")</f>
        <v/>
      </c>
      <c r="C152" s="7" t="n"/>
      <c r="D152" s="10" t="n"/>
      <c r="E152" s="11">
        <f>IF(D152="","",D152-TODAY())</f>
        <v/>
      </c>
      <c r="F152" s="8">
        <f>IF(D152="","",IF(E152&lt;0,"VENCIDO",IF(E152&lt;=30,"VENCE EM &lt;= 30 DIAS",IF(E152&lt;=60,"ATENCAO (31-60 DIAS)","OK"))))</f>
        <v/>
      </c>
      <c r="G152" s="11">
        <f>SUMIFS(Movimentacoes!$G:$G,Movimentacoes!$C:$C,$A152,Movimentacoes!$E:$E,$C152,Movimentacoes!$B:$B,"ENTRADA")</f>
        <v/>
      </c>
      <c r="H152" s="11">
        <f>SUMIFS(Movimentacoes!$G:$G,Movimentacoes!$C:$C,$A152,Movimentacoes!$E:$E,$C152,Movimentacoes!$B:$B,"SAIDA_USO")</f>
        <v/>
      </c>
      <c r="I152" s="11">
        <f>SUMIFS(Movimentacoes!$G:$G,Movimentacoes!$C:$C,$A152,Movimentacoes!$E:$E,$C152,Movimentacoes!$B:$B,"SAIDA_DESCARTE")</f>
        <v/>
      </c>
      <c r="J152" s="11">
        <f>G152-H152-I152</f>
        <v/>
      </c>
      <c r="K152" s="8">
        <f>IF(A152="","",IF(J152&lt;=IFERROR(VLOOKUP(A152,Cadastro_Produtos!$A:$E,5,FALSE),0),"ABAIXO DO MINIMO","OK"))</f>
        <v/>
      </c>
    </row>
    <row r="153">
      <c r="A153" s="7" t="n"/>
      <c r="B153" s="7">
        <f>IFERROR(VLOOKUP(A153,Cadastro_Produtos!A:B,2,FALSE),"")</f>
        <v/>
      </c>
      <c r="C153" s="7" t="n"/>
      <c r="D153" s="10" t="n"/>
      <c r="E153" s="11">
        <f>IF(D153="","",D153-TODAY())</f>
        <v/>
      </c>
      <c r="F153" s="8">
        <f>IF(D153="","",IF(E153&lt;0,"VENCIDO",IF(E153&lt;=30,"VENCE EM &lt;= 30 DIAS",IF(E153&lt;=60,"ATENCAO (31-60 DIAS)","OK"))))</f>
        <v/>
      </c>
      <c r="G153" s="11">
        <f>SUMIFS(Movimentacoes!$G:$G,Movimentacoes!$C:$C,$A153,Movimentacoes!$E:$E,$C153,Movimentacoes!$B:$B,"ENTRADA")</f>
        <v/>
      </c>
      <c r="H153" s="11">
        <f>SUMIFS(Movimentacoes!$G:$G,Movimentacoes!$C:$C,$A153,Movimentacoes!$E:$E,$C153,Movimentacoes!$B:$B,"SAIDA_USO")</f>
        <v/>
      </c>
      <c r="I153" s="11">
        <f>SUMIFS(Movimentacoes!$G:$G,Movimentacoes!$C:$C,$A153,Movimentacoes!$E:$E,$C153,Movimentacoes!$B:$B,"SAIDA_DESCARTE")</f>
        <v/>
      </c>
      <c r="J153" s="11">
        <f>G153-H153-I153</f>
        <v/>
      </c>
      <c r="K153" s="8">
        <f>IF(A153="","",IF(J153&lt;=IFERROR(VLOOKUP(A153,Cadastro_Produtos!$A:$E,5,FALSE),0),"ABAIXO DO MINIMO","OK"))</f>
        <v/>
      </c>
    </row>
    <row r="154">
      <c r="A154" s="7" t="n"/>
      <c r="B154" s="7">
        <f>IFERROR(VLOOKUP(A154,Cadastro_Produtos!A:B,2,FALSE),"")</f>
        <v/>
      </c>
      <c r="C154" s="7" t="n"/>
      <c r="D154" s="10" t="n"/>
      <c r="E154" s="11">
        <f>IF(D154="","",D154-TODAY())</f>
        <v/>
      </c>
      <c r="F154" s="8">
        <f>IF(D154="","",IF(E154&lt;0,"VENCIDO",IF(E154&lt;=30,"VENCE EM &lt;= 30 DIAS",IF(E154&lt;=60,"ATENCAO (31-60 DIAS)","OK"))))</f>
        <v/>
      </c>
      <c r="G154" s="11">
        <f>SUMIFS(Movimentacoes!$G:$G,Movimentacoes!$C:$C,$A154,Movimentacoes!$E:$E,$C154,Movimentacoes!$B:$B,"ENTRADA")</f>
        <v/>
      </c>
      <c r="H154" s="11">
        <f>SUMIFS(Movimentacoes!$G:$G,Movimentacoes!$C:$C,$A154,Movimentacoes!$E:$E,$C154,Movimentacoes!$B:$B,"SAIDA_USO")</f>
        <v/>
      </c>
      <c r="I154" s="11">
        <f>SUMIFS(Movimentacoes!$G:$G,Movimentacoes!$C:$C,$A154,Movimentacoes!$E:$E,$C154,Movimentacoes!$B:$B,"SAIDA_DESCARTE")</f>
        <v/>
      </c>
      <c r="J154" s="11">
        <f>G154-H154-I154</f>
        <v/>
      </c>
      <c r="K154" s="8">
        <f>IF(A154="","",IF(J154&lt;=IFERROR(VLOOKUP(A154,Cadastro_Produtos!$A:$E,5,FALSE),0),"ABAIXO DO MINIMO","OK"))</f>
        <v/>
      </c>
    </row>
    <row r="155">
      <c r="A155" s="7" t="n"/>
      <c r="B155" s="7">
        <f>IFERROR(VLOOKUP(A155,Cadastro_Produtos!A:B,2,FALSE),"")</f>
        <v/>
      </c>
      <c r="C155" s="7" t="n"/>
      <c r="D155" s="10" t="n"/>
      <c r="E155" s="11">
        <f>IF(D155="","",D155-TODAY())</f>
        <v/>
      </c>
      <c r="F155" s="8">
        <f>IF(D155="","",IF(E155&lt;0,"VENCIDO",IF(E155&lt;=30,"VENCE EM &lt;= 30 DIAS",IF(E155&lt;=60,"ATENCAO (31-60 DIAS)","OK"))))</f>
        <v/>
      </c>
      <c r="G155" s="11">
        <f>SUMIFS(Movimentacoes!$G:$G,Movimentacoes!$C:$C,$A155,Movimentacoes!$E:$E,$C155,Movimentacoes!$B:$B,"ENTRADA")</f>
        <v/>
      </c>
      <c r="H155" s="11">
        <f>SUMIFS(Movimentacoes!$G:$G,Movimentacoes!$C:$C,$A155,Movimentacoes!$E:$E,$C155,Movimentacoes!$B:$B,"SAIDA_USO")</f>
        <v/>
      </c>
      <c r="I155" s="11">
        <f>SUMIFS(Movimentacoes!$G:$G,Movimentacoes!$C:$C,$A155,Movimentacoes!$E:$E,$C155,Movimentacoes!$B:$B,"SAIDA_DESCARTE")</f>
        <v/>
      </c>
      <c r="J155" s="11">
        <f>G155-H155-I155</f>
        <v/>
      </c>
      <c r="K155" s="8">
        <f>IF(A155="","",IF(J155&lt;=IFERROR(VLOOKUP(A155,Cadastro_Produtos!$A:$E,5,FALSE),0),"ABAIXO DO MINIMO","OK"))</f>
        <v/>
      </c>
    </row>
    <row r="156">
      <c r="A156" s="7" t="n"/>
      <c r="B156" s="7">
        <f>IFERROR(VLOOKUP(A156,Cadastro_Produtos!A:B,2,FALSE),"")</f>
        <v/>
      </c>
      <c r="C156" s="7" t="n"/>
      <c r="D156" s="10" t="n"/>
      <c r="E156" s="11">
        <f>IF(D156="","",D156-TODAY())</f>
        <v/>
      </c>
      <c r="F156" s="8">
        <f>IF(D156="","",IF(E156&lt;0,"VENCIDO",IF(E156&lt;=30,"VENCE EM &lt;= 30 DIAS",IF(E156&lt;=60,"ATENCAO (31-60 DIAS)","OK"))))</f>
        <v/>
      </c>
      <c r="G156" s="11">
        <f>SUMIFS(Movimentacoes!$G:$G,Movimentacoes!$C:$C,$A156,Movimentacoes!$E:$E,$C156,Movimentacoes!$B:$B,"ENTRADA")</f>
        <v/>
      </c>
      <c r="H156" s="11">
        <f>SUMIFS(Movimentacoes!$G:$G,Movimentacoes!$C:$C,$A156,Movimentacoes!$E:$E,$C156,Movimentacoes!$B:$B,"SAIDA_USO")</f>
        <v/>
      </c>
      <c r="I156" s="11">
        <f>SUMIFS(Movimentacoes!$G:$G,Movimentacoes!$C:$C,$A156,Movimentacoes!$E:$E,$C156,Movimentacoes!$B:$B,"SAIDA_DESCARTE")</f>
        <v/>
      </c>
      <c r="J156" s="11">
        <f>G156-H156-I156</f>
        <v/>
      </c>
      <c r="K156" s="8">
        <f>IF(A156="","",IF(J156&lt;=IFERROR(VLOOKUP(A156,Cadastro_Produtos!$A:$E,5,FALSE),0),"ABAIXO DO MINIMO","OK"))</f>
        <v/>
      </c>
    </row>
    <row r="157">
      <c r="A157" s="7" t="n"/>
      <c r="B157" s="7">
        <f>IFERROR(VLOOKUP(A157,Cadastro_Produtos!A:B,2,FALSE),"")</f>
        <v/>
      </c>
      <c r="C157" s="7" t="n"/>
      <c r="D157" s="10" t="n"/>
      <c r="E157" s="11">
        <f>IF(D157="","",D157-TODAY())</f>
        <v/>
      </c>
      <c r="F157" s="8">
        <f>IF(D157="","",IF(E157&lt;0,"VENCIDO",IF(E157&lt;=30,"VENCE EM &lt;= 30 DIAS",IF(E157&lt;=60,"ATENCAO (31-60 DIAS)","OK"))))</f>
        <v/>
      </c>
      <c r="G157" s="11">
        <f>SUMIFS(Movimentacoes!$G:$G,Movimentacoes!$C:$C,$A157,Movimentacoes!$E:$E,$C157,Movimentacoes!$B:$B,"ENTRADA")</f>
        <v/>
      </c>
      <c r="H157" s="11">
        <f>SUMIFS(Movimentacoes!$G:$G,Movimentacoes!$C:$C,$A157,Movimentacoes!$E:$E,$C157,Movimentacoes!$B:$B,"SAIDA_USO")</f>
        <v/>
      </c>
      <c r="I157" s="11">
        <f>SUMIFS(Movimentacoes!$G:$G,Movimentacoes!$C:$C,$A157,Movimentacoes!$E:$E,$C157,Movimentacoes!$B:$B,"SAIDA_DESCARTE")</f>
        <v/>
      </c>
      <c r="J157" s="11">
        <f>G157-H157-I157</f>
        <v/>
      </c>
      <c r="K157" s="8">
        <f>IF(A157="","",IF(J157&lt;=IFERROR(VLOOKUP(A157,Cadastro_Produtos!$A:$E,5,FALSE),0),"ABAIXO DO MINIMO","OK"))</f>
        <v/>
      </c>
    </row>
    <row r="158">
      <c r="A158" s="7" t="n"/>
      <c r="B158" s="7">
        <f>IFERROR(VLOOKUP(A158,Cadastro_Produtos!A:B,2,FALSE),"")</f>
        <v/>
      </c>
      <c r="C158" s="7" t="n"/>
      <c r="D158" s="10" t="n"/>
      <c r="E158" s="11">
        <f>IF(D158="","",D158-TODAY())</f>
        <v/>
      </c>
      <c r="F158" s="8">
        <f>IF(D158="","",IF(E158&lt;0,"VENCIDO",IF(E158&lt;=30,"VENCE EM &lt;= 30 DIAS",IF(E158&lt;=60,"ATENCAO (31-60 DIAS)","OK"))))</f>
        <v/>
      </c>
      <c r="G158" s="11">
        <f>SUMIFS(Movimentacoes!$G:$G,Movimentacoes!$C:$C,$A158,Movimentacoes!$E:$E,$C158,Movimentacoes!$B:$B,"ENTRADA")</f>
        <v/>
      </c>
      <c r="H158" s="11">
        <f>SUMIFS(Movimentacoes!$G:$G,Movimentacoes!$C:$C,$A158,Movimentacoes!$E:$E,$C158,Movimentacoes!$B:$B,"SAIDA_USO")</f>
        <v/>
      </c>
      <c r="I158" s="11">
        <f>SUMIFS(Movimentacoes!$G:$G,Movimentacoes!$C:$C,$A158,Movimentacoes!$E:$E,$C158,Movimentacoes!$B:$B,"SAIDA_DESCARTE")</f>
        <v/>
      </c>
      <c r="J158" s="11">
        <f>G158-H158-I158</f>
        <v/>
      </c>
      <c r="K158" s="8">
        <f>IF(A158="","",IF(J158&lt;=IFERROR(VLOOKUP(A158,Cadastro_Produtos!$A:$E,5,FALSE),0),"ABAIXO DO MINIMO","OK"))</f>
        <v/>
      </c>
    </row>
    <row r="159">
      <c r="A159" s="7" t="n"/>
      <c r="B159" s="7">
        <f>IFERROR(VLOOKUP(A159,Cadastro_Produtos!A:B,2,FALSE),"")</f>
        <v/>
      </c>
      <c r="C159" s="7" t="n"/>
      <c r="D159" s="10" t="n"/>
      <c r="E159" s="11">
        <f>IF(D159="","",D159-TODAY())</f>
        <v/>
      </c>
      <c r="F159" s="8">
        <f>IF(D159="","",IF(E159&lt;0,"VENCIDO",IF(E159&lt;=30,"VENCE EM &lt;= 30 DIAS",IF(E159&lt;=60,"ATENCAO (31-60 DIAS)","OK"))))</f>
        <v/>
      </c>
      <c r="G159" s="11">
        <f>SUMIFS(Movimentacoes!$G:$G,Movimentacoes!$C:$C,$A159,Movimentacoes!$E:$E,$C159,Movimentacoes!$B:$B,"ENTRADA")</f>
        <v/>
      </c>
      <c r="H159" s="11">
        <f>SUMIFS(Movimentacoes!$G:$G,Movimentacoes!$C:$C,$A159,Movimentacoes!$E:$E,$C159,Movimentacoes!$B:$B,"SAIDA_USO")</f>
        <v/>
      </c>
      <c r="I159" s="11">
        <f>SUMIFS(Movimentacoes!$G:$G,Movimentacoes!$C:$C,$A159,Movimentacoes!$E:$E,$C159,Movimentacoes!$B:$B,"SAIDA_DESCARTE")</f>
        <v/>
      </c>
      <c r="J159" s="11">
        <f>G159-H159-I159</f>
        <v/>
      </c>
      <c r="K159" s="8">
        <f>IF(A159="","",IF(J159&lt;=IFERROR(VLOOKUP(A159,Cadastro_Produtos!$A:$E,5,FALSE),0),"ABAIXO DO MINIMO","OK"))</f>
        <v/>
      </c>
    </row>
    <row r="160">
      <c r="A160" s="7" t="n"/>
      <c r="B160" s="7">
        <f>IFERROR(VLOOKUP(A160,Cadastro_Produtos!A:B,2,FALSE),"")</f>
        <v/>
      </c>
      <c r="C160" s="7" t="n"/>
      <c r="D160" s="10" t="n"/>
      <c r="E160" s="11">
        <f>IF(D160="","",D160-TODAY())</f>
        <v/>
      </c>
      <c r="F160" s="8">
        <f>IF(D160="","",IF(E160&lt;0,"VENCIDO",IF(E160&lt;=30,"VENCE EM &lt;= 30 DIAS",IF(E160&lt;=60,"ATENCAO (31-60 DIAS)","OK"))))</f>
        <v/>
      </c>
      <c r="G160" s="11">
        <f>SUMIFS(Movimentacoes!$G:$G,Movimentacoes!$C:$C,$A160,Movimentacoes!$E:$E,$C160,Movimentacoes!$B:$B,"ENTRADA")</f>
        <v/>
      </c>
      <c r="H160" s="11">
        <f>SUMIFS(Movimentacoes!$G:$G,Movimentacoes!$C:$C,$A160,Movimentacoes!$E:$E,$C160,Movimentacoes!$B:$B,"SAIDA_USO")</f>
        <v/>
      </c>
      <c r="I160" s="11">
        <f>SUMIFS(Movimentacoes!$G:$G,Movimentacoes!$C:$C,$A160,Movimentacoes!$E:$E,$C160,Movimentacoes!$B:$B,"SAIDA_DESCARTE")</f>
        <v/>
      </c>
      <c r="J160" s="11">
        <f>G160-H160-I160</f>
        <v/>
      </c>
      <c r="K160" s="8">
        <f>IF(A160="","",IF(J160&lt;=IFERROR(VLOOKUP(A160,Cadastro_Produtos!$A:$E,5,FALSE),0),"ABAIXO DO MINIMO","OK"))</f>
        <v/>
      </c>
    </row>
    <row r="161">
      <c r="A161" s="7" t="n"/>
      <c r="B161" s="7">
        <f>IFERROR(VLOOKUP(A161,Cadastro_Produtos!A:B,2,FALSE),"")</f>
        <v/>
      </c>
      <c r="C161" s="7" t="n"/>
      <c r="D161" s="10" t="n"/>
      <c r="E161" s="11">
        <f>IF(D161="","",D161-TODAY())</f>
        <v/>
      </c>
      <c r="F161" s="8">
        <f>IF(D161="","",IF(E161&lt;0,"VENCIDO",IF(E161&lt;=30,"VENCE EM &lt;= 30 DIAS",IF(E161&lt;=60,"ATENCAO (31-60 DIAS)","OK"))))</f>
        <v/>
      </c>
      <c r="G161" s="11">
        <f>SUMIFS(Movimentacoes!$G:$G,Movimentacoes!$C:$C,$A161,Movimentacoes!$E:$E,$C161,Movimentacoes!$B:$B,"ENTRADA")</f>
        <v/>
      </c>
      <c r="H161" s="11">
        <f>SUMIFS(Movimentacoes!$G:$G,Movimentacoes!$C:$C,$A161,Movimentacoes!$E:$E,$C161,Movimentacoes!$B:$B,"SAIDA_USO")</f>
        <v/>
      </c>
      <c r="I161" s="11">
        <f>SUMIFS(Movimentacoes!$G:$G,Movimentacoes!$C:$C,$A161,Movimentacoes!$E:$E,$C161,Movimentacoes!$B:$B,"SAIDA_DESCARTE")</f>
        <v/>
      </c>
      <c r="J161" s="11">
        <f>G161-H161-I161</f>
        <v/>
      </c>
      <c r="K161" s="8">
        <f>IF(A161="","",IF(J161&lt;=IFERROR(VLOOKUP(A161,Cadastro_Produtos!$A:$E,5,FALSE),0),"ABAIXO DO MINIMO","OK"))</f>
        <v/>
      </c>
    </row>
    <row r="162">
      <c r="A162" s="7" t="n"/>
      <c r="B162" s="7">
        <f>IFERROR(VLOOKUP(A162,Cadastro_Produtos!A:B,2,FALSE),"")</f>
        <v/>
      </c>
      <c r="C162" s="7" t="n"/>
      <c r="D162" s="10" t="n"/>
      <c r="E162" s="11">
        <f>IF(D162="","",D162-TODAY())</f>
        <v/>
      </c>
      <c r="F162" s="8">
        <f>IF(D162="","",IF(E162&lt;0,"VENCIDO",IF(E162&lt;=30,"VENCE EM &lt;= 30 DIAS",IF(E162&lt;=60,"ATENCAO (31-60 DIAS)","OK"))))</f>
        <v/>
      </c>
      <c r="G162" s="11">
        <f>SUMIFS(Movimentacoes!$G:$G,Movimentacoes!$C:$C,$A162,Movimentacoes!$E:$E,$C162,Movimentacoes!$B:$B,"ENTRADA")</f>
        <v/>
      </c>
      <c r="H162" s="11">
        <f>SUMIFS(Movimentacoes!$G:$G,Movimentacoes!$C:$C,$A162,Movimentacoes!$E:$E,$C162,Movimentacoes!$B:$B,"SAIDA_USO")</f>
        <v/>
      </c>
      <c r="I162" s="11">
        <f>SUMIFS(Movimentacoes!$G:$G,Movimentacoes!$C:$C,$A162,Movimentacoes!$E:$E,$C162,Movimentacoes!$B:$B,"SAIDA_DESCARTE")</f>
        <v/>
      </c>
      <c r="J162" s="11">
        <f>G162-H162-I162</f>
        <v/>
      </c>
      <c r="K162" s="8">
        <f>IF(A162="","",IF(J162&lt;=IFERROR(VLOOKUP(A162,Cadastro_Produtos!$A:$E,5,FALSE),0),"ABAIXO DO MINIMO","OK"))</f>
        <v/>
      </c>
    </row>
    <row r="163">
      <c r="A163" s="7" t="n"/>
      <c r="B163" s="7">
        <f>IFERROR(VLOOKUP(A163,Cadastro_Produtos!A:B,2,FALSE),"")</f>
        <v/>
      </c>
      <c r="C163" s="7" t="n"/>
      <c r="D163" s="10" t="n"/>
      <c r="E163" s="11">
        <f>IF(D163="","",D163-TODAY())</f>
        <v/>
      </c>
      <c r="F163" s="8">
        <f>IF(D163="","",IF(E163&lt;0,"VENCIDO",IF(E163&lt;=30,"VENCE EM &lt;= 30 DIAS",IF(E163&lt;=60,"ATENCAO (31-60 DIAS)","OK"))))</f>
        <v/>
      </c>
      <c r="G163" s="11">
        <f>SUMIFS(Movimentacoes!$G:$G,Movimentacoes!$C:$C,$A163,Movimentacoes!$E:$E,$C163,Movimentacoes!$B:$B,"ENTRADA")</f>
        <v/>
      </c>
      <c r="H163" s="11">
        <f>SUMIFS(Movimentacoes!$G:$G,Movimentacoes!$C:$C,$A163,Movimentacoes!$E:$E,$C163,Movimentacoes!$B:$B,"SAIDA_USO")</f>
        <v/>
      </c>
      <c r="I163" s="11">
        <f>SUMIFS(Movimentacoes!$G:$G,Movimentacoes!$C:$C,$A163,Movimentacoes!$E:$E,$C163,Movimentacoes!$B:$B,"SAIDA_DESCARTE")</f>
        <v/>
      </c>
      <c r="J163" s="11">
        <f>G163-H163-I163</f>
        <v/>
      </c>
      <c r="K163" s="8">
        <f>IF(A163="","",IF(J163&lt;=IFERROR(VLOOKUP(A163,Cadastro_Produtos!$A:$E,5,FALSE),0),"ABAIXO DO MINIMO","OK"))</f>
        <v/>
      </c>
    </row>
    <row r="164">
      <c r="A164" s="7" t="n"/>
      <c r="B164" s="7">
        <f>IFERROR(VLOOKUP(A164,Cadastro_Produtos!A:B,2,FALSE),"")</f>
        <v/>
      </c>
      <c r="C164" s="7" t="n"/>
      <c r="D164" s="10" t="n"/>
      <c r="E164" s="11">
        <f>IF(D164="","",D164-TODAY())</f>
        <v/>
      </c>
      <c r="F164" s="8">
        <f>IF(D164="","",IF(E164&lt;0,"VENCIDO",IF(E164&lt;=30,"VENCE EM &lt;= 30 DIAS",IF(E164&lt;=60,"ATENCAO (31-60 DIAS)","OK"))))</f>
        <v/>
      </c>
      <c r="G164" s="11">
        <f>SUMIFS(Movimentacoes!$G:$G,Movimentacoes!$C:$C,$A164,Movimentacoes!$E:$E,$C164,Movimentacoes!$B:$B,"ENTRADA")</f>
        <v/>
      </c>
      <c r="H164" s="11">
        <f>SUMIFS(Movimentacoes!$G:$G,Movimentacoes!$C:$C,$A164,Movimentacoes!$E:$E,$C164,Movimentacoes!$B:$B,"SAIDA_USO")</f>
        <v/>
      </c>
      <c r="I164" s="11">
        <f>SUMIFS(Movimentacoes!$G:$G,Movimentacoes!$C:$C,$A164,Movimentacoes!$E:$E,$C164,Movimentacoes!$B:$B,"SAIDA_DESCARTE")</f>
        <v/>
      </c>
      <c r="J164" s="11">
        <f>G164-H164-I164</f>
        <v/>
      </c>
      <c r="K164" s="8">
        <f>IF(A164="","",IF(J164&lt;=IFERROR(VLOOKUP(A164,Cadastro_Produtos!$A:$E,5,FALSE),0),"ABAIXO DO MINIMO","OK"))</f>
        <v/>
      </c>
    </row>
    <row r="165">
      <c r="A165" s="7" t="n"/>
      <c r="B165" s="7">
        <f>IFERROR(VLOOKUP(A165,Cadastro_Produtos!A:B,2,FALSE),"")</f>
        <v/>
      </c>
      <c r="C165" s="7" t="n"/>
      <c r="D165" s="10" t="n"/>
      <c r="E165" s="11">
        <f>IF(D165="","",D165-TODAY())</f>
        <v/>
      </c>
      <c r="F165" s="8">
        <f>IF(D165="","",IF(E165&lt;0,"VENCIDO",IF(E165&lt;=30,"VENCE EM &lt;= 30 DIAS",IF(E165&lt;=60,"ATENCAO (31-60 DIAS)","OK"))))</f>
        <v/>
      </c>
      <c r="G165" s="11">
        <f>SUMIFS(Movimentacoes!$G:$G,Movimentacoes!$C:$C,$A165,Movimentacoes!$E:$E,$C165,Movimentacoes!$B:$B,"ENTRADA")</f>
        <v/>
      </c>
      <c r="H165" s="11">
        <f>SUMIFS(Movimentacoes!$G:$G,Movimentacoes!$C:$C,$A165,Movimentacoes!$E:$E,$C165,Movimentacoes!$B:$B,"SAIDA_USO")</f>
        <v/>
      </c>
      <c r="I165" s="11">
        <f>SUMIFS(Movimentacoes!$G:$G,Movimentacoes!$C:$C,$A165,Movimentacoes!$E:$E,$C165,Movimentacoes!$B:$B,"SAIDA_DESCARTE")</f>
        <v/>
      </c>
      <c r="J165" s="11">
        <f>G165-H165-I165</f>
        <v/>
      </c>
      <c r="K165" s="8">
        <f>IF(A165="","",IF(J165&lt;=IFERROR(VLOOKUP(A165,Cadastro_Produtos!$A:$E,5,FALSE),0),"ABAIXO DO MINIMO","OK"))</f>
        <v/>
      </c>
    </row>
    <row r="166">
      <c r="A166" s="7" t="n"/>
      <c r="B166" s="7">
        <f>IFERROR(VLOOKUP(A166,Cadastro_Produtos!A:B,2,FALSE),"")</f>
        <v/>
      </c>
      <c r="C166" s="7" t="n"/>
      <c r="D166" s="10" t="n"/>
      <c r="E166" s="11">
        <f>IF(D166="","",D166-TODAY())</f>
        <v/>
      </c>
      <c r="F166" s="8">
        <f>IF(D166="","",IF(E166&lt;0,"VENCIDO",IF(E166&lt;=30,"VENCE EM &lt;= 30 DIAS",IF(E166&lt;=60,"ATENCAO (31-60 DIAS)","OK"))))</f>
        <v/>
      </c>
      <c r="G166" s="11">
        <f>SUMIFS(Movimentacoes!$G:$G,Movimentacoes!$C:$C,$A166,Movimentacoes!$E:$E,$C166,Movimentacoes!$B:$B,"ENTRADA")</f>
        <v/>
      </c>
      <c r="H166" s="11">
        <f>SUMIFS(Movimentacoes!$G:$G,Movimentacoes!$C:$C,$A166,Movimentacoes!$E:$E,$C166,Movimentacoes!$B:$B,"SAIDA_USO")</f>
        <v/>
      </c>
      <c r="I166" s="11">
        <f>SUMIFS(Movimentacoes!$G:$G,Movimentacoes!$C:$C,$A166,Movimentacoes!$E:$E,$C166,Movimentacoes!$B:$B,"SAIDA_DESCARTE")</f>
        <v/>
      </c>
      <c r="J166" s="11">
        <f>G166-H166-I166</f>
        <v/>
      </c>
      <c r="K166" s="8">
        <f>IF(A166="","",IF(J166&lt;=IFERROR(VLOOKUP(A166,Cadastro_Produtos!$A:$E,5,FALSE),0),"ABAIXO DO MINIMO","OK"))</f>
        <v/>
      </c>
    </row>
    <row r="167">
      <c r="A167" s="7" t="n"/>
      <c r="B167" s="7">
        <f>IFERROR(VLOOKUP(A167,Cadastro_Produtos!A:B,2,FALSE),"")</f>
        <v/>
      </c>
      <c r="C167" s="7" t="n"/>
      <c r="D167" s="10" t="n"/>
      <c r="E167" s="11">
        <f>IF(D167="","",D167-TODAY())</f>
        <v/>
      </c>
      <c r="F167" s="8">
        <f>IF(D167="","",IF(E167&lt;0,"VENCIDO",IF(E167&lt;=30,"VENCE EM &lt;= 30 DIAS",IF(E167&lt;=60,"ATENCAO (31-60 DIAS)","OK"))))</f>
        <v/>
      </c>
      <c r="G167" s="11">
        <f>SUMIFS(Movimentacoes!$G:$G,Movimentacoes!$C:$C,$A167,Movimentacoes!$E:$E,$C167,Movimentacoes!$B:$B,"ENTRADA")</f>
        <v/>
      </c>
      <c r="H167" s="11">
        <f>SUMIFS(Movimentacoes!$G:$G,Movimentacoes!$C:$C,$A167,Movimentacoes!$E:$E,$C167,Movimentacoes!$B:$B,"SAIDA_USO")</f>
        <v/>
      </c>
      <c r="I167" s="11">
        <f>SUMIFS(Movimentacoes!$G:$G,Movimentacoes!$C:$C,$A167,Movimentacoes!$E:$E,$C167,Movimentacoes!$B:$B,"SAIDA_DESCARTE")</f>
        <v/>
      </c>
      <c r="J167" s="11">
        <f>G167-H167-I167</f>
        <v/>
      </c>
      <c r="K167" s="8">
        <f>IF(A167="","",IF(J167&lt;=IFERROR(VLOOKUP(A167,Cadastro_Produtos!$A:$E,5,FALSE),0),"ABAIXO DO MINIMO","OK"))</f>
        <v/>
      </c>
    </row>
    <row r="168">
      <c r="A168" s="7" t="n"/>
      <c r="B168" s="7">
        <f>IFERROR(VLOOKUP(A168,Cadastro_Produtos!A:B,2,FALSE),"")</f>
        <v/>
      </c>
      <c r="C168" s="7" t="n"/>
      <c r="D168" s="10" t="n"/>
      <c r="E168" s="11">
        <f>IF(D168="","",D168-TODAY())</f>
        <v/>
      </c>
      <c r="F168" s="8">
        <f>IF(D168="","",IF(E168&lt;0,"VENCIDO",IF(E168&lt;=30,"VENCE EM &lt;= 30 DIAS",IF(E168&lt;=60,"ATENCAO (31-60 DIAS)","OK"))))</f>
        <v/>
      </c>
      <c r="G168" s="11">
        <f>SUMIFS(Movimentacoes!$G:$G,Movimentacoes!$C:$C,$A168,Movimentacoes!$E:$E,$C168,Movimentacoes!$B:$B,"ENTRADA")</f>
        <v/>
      </c>
      <c r="H168" s="11">
        <f>SUMIFS(Movimentacoes!$G:$G,Movimentacoes!$C:$C,$A168,Movimentacoes!$E:$E,$C168,Movimentacoes!$B:$B,"SAIDA_USO")</f>
        <v/>
      </c>
      <c r="I168" s="11">
        <f>SUMIFS(Movimentacoes!$G:$G,Movimentacoes!$C:$C,$A168,Movimentacoes!$E:$E,$C168,Movimentacoes!$B:$B,"SAIDA_DESCARTE")</f>
        <v/>
      </c>
      <c r="J168" s="11">
        <f>G168-H168-I168</f>
        <v/>
      </c>
      <c r="K168" s="8">
        <f>IF(A168="","",IF(J168&lt;=IFERROR(VLOOKUP(A168,Cadastro_Produtos!$A:$E,5,FALSE),0),"ABAIXO DO MINIMO","OK"))</f>
        <v/>
      </c>
    </row>
    <row r="169">
      <c r="A169" s="7" t="n"/>
      <c r="B169" s="7">
        <f>IFERROR(VLOOKUP(A169,Cadastro_Produtos!A:B,2,FALSE),"")</f>
        <v/>
      </c>
      <c r="C169" s="7" t="n"/>
      <c r="D169" s="10" t="n"/>
      <c r="E169" s="11">
        <f>IF(D169="","",D169-TODAY())</f>
        <v/>
      </c>
      <c r="F169" s="8">
        <f>IF(D169="","",IF(E169&lt;0,"VENCIDO",IF(E169&lt;=30,"VENCE EM &lt;= 30 DIAS",IF(E169&lt;=60,"ATENCAO (31-60 DIAS)","OK"))))</f>
        <v/>
      </c>
      <c r="G169" s="11">
        <f>SUMIFS(Movimentacoes!$G:$G,Movimentacoes!$C:$C,$A169,Movimentacoes!$E:$E,$C169,Movimentacoes!$B:$B,"ENTRADA")</f>
        <v/>
      </c>
      <c r="H169" s="11">
        <f>SUMIFS(Movimentacoes!$G:$G,Movimentacoes!$C:$C,$A169,Movimentacoes!$E:$E,$C169,Movimentacoes!$B:$B,"SAIDA_USO")</f>
        <v/>
      </c>
      <c r="I169" s="11">
        <f>SUMIFS(Movimentacoes!$G:$G,Movimentacoes!$C:$C,$A169,Movimentacoes!$E:$E,$C169,Movimentacoes!$B:$B,"SAIDA_DESCARTE")</f>
        <v/>
      </c>
      <c r="J169" s="11">
        <f>G169-H169-I169</f>
        <v/>
      </c>
      <c r="K169" s="8">
        <f>IF(A169="","",IF(J169&lt;=IFERROR(VLOOKUP(A169,Cadastro_Produtos!$A:$E,5,FALSE),0),"ABAIXO DO MINIMO","OK"))</f>
        <v/>
      </c>
    </row>
    <row r="170">
      <c r="A170" s="7" t="n"/>
      <c r="B170" s="7">
        <f>IFERROR(VLOOKUP(A170,Cadastro_Produtos!A:B,2,FALSE),"")</f>
        <v/>
      </c>
      <c r="C170" s="7" t="n"/>
      <c r="D170" s="10" t="n"/>
      <c r="E170" s="11">
        <f>IF(D170="","",D170-TODAY())</f>
        <v/>
      </c>
      <c r="F170" s="8">
        <f>IF(D170="","",IF(E170&lt;0,"VENCIDO",IF(E170&lt;=30,"VENCE EM &lt;= 30 DIAS",IF(E170&lt;=60,"ATENCAO (31-60 DIAS)","OK"))))</f>
        <v/>
      </c>
      <c r="G170" s="11">
        <f>SUMIFS(Movimentacoes!$G:$G,Movimentacoes!$C:$C,$A170,Movimentacoes!$E:$E,$C170,Movimentacoes!$B:$B,"ENTRADA")</f>
        <v/>
      </c>
      <c r="H170" s="11">
        <f>SUMIFS(Movimentacoes!$G:$G,Movimentacoes!$C:$C,$A170,Movimentacoes!$E:$E,$C170,Movimentacoes!$B:$B,"SAIDA_USO")</f>
        <v/>
      </c>
      <c r="I170" s="11">
        <f>SUMIFS(Movimentacoes!$G:$G,Movimentacoes!$C:$C,$A170,Movimentacoes!$E:$E,$C170,Movimentacoes!$B:$B,"SAIDA_DESCARTE")</f>
        <v/>
      </c>
      <c r="J170" s="11">
        <f>G170-H170-I170</f>
        <v/>
      </c>
      <c r="K170" s="8">
        <f>IF(A170="","",IF(J170&lt;=IFERROR(VLOOKUP(A170,Cadastro_Produtos!$A:$E,5,FALSE),0),"ABAIXO DO MINIMO","OK"))</f>
        <v/>
      </c>
    </row>
    <row r="171">
      <c r="A171" s="7" t="n"/>
      <c r="B171" s="7">
        <f>IFERROR(VLOOKUP(A171,Cadastro_Produtos!A:B,2,FALSE),"")</f>
        <v/>
      </c>
      <c r="C171" s="7" t="n"/>
      <c r="D171" s="10" t="n"/>
      <c r="E171" s="11">
        <f>IF(D171="","",D171-TODAY())</f>
        <v/>
      </c>
      <c r="F171" s="8">
        <f>IF(D171="","",IF(E171&lt;0,"VENCIDO",IF(E171&lt;=30,"VENCE EM &lt;= 30 DIAS",IF(E171&lt;=60,"ATENCAO (31-60 DIAS)","OK"))))</f>
        <v/>
      </c>
      <c r="G171" s="11">
        <f>SUMIFS(Movimentacoes!$G:$G,Movimentacoes!$C:$C,$A171,Movimentacoes!$E:$E,$C171,Movimentacoes!$B:$B,"ENTRADA")</f>
        <v/>
      </c>
      <c r="H171" s="11">
        <f>SUMIFS(Movimentacoes!$G:$G,Movimentacoes!$C:$C,$A171,Movimentacoes!$E:$E,$C171,Movimentacoes!$B:$B,"SAIDA_USO")</f>
        <v/>
      </c>
      <c r="I171" s="11">
        <f>SUMIFS(Movimentacoes!$G:$G,Movimentacoes!$C:$C,$A171,Movimentacoes!$E:$E,$C171,Movimentacoes!$B:$B,"SAIDA_DESCARTE")</f>
        <v/>
      </c>
      <c r="J171" s="11">
        <f>G171-H171-I171</f>
        <v/>
      </c>
      <c r="K171" s="8">
        <f>IF(A171="","",IF(J171&lt;=IFERROR(VLOOKUP(A171,Cadastro_Produtos!$A:$E,5,FALSE),0),"ABAIXO DO MINIMO","OK"))</f>
        <v/>
      </c>
    </row>
    <row r="172">
      <c r="A172" s="7" t="n"/>
      <c r="B172" s="7">
        <f>IFERROR(VLOOKUP(A172,Cadastro_Produtos!A:B,2,FALSE),"")</f>
        <v/>
      </c>
      <c r="C172" s="7" t="n"/>
      <c r="D172" s="10" t="n"/>
      <c r="E172" s="11">
        <f>IF(D172="","",D172-TODAY())</f>
        <v/>
      </c>
      <c r="F172" s="8">
        <f>IF(D172="","",IF(E172&lt;0,"VENCIDO",IF(E172&lt;=30,"VENCE EM &lt;= 30 DIAS",IF(E172&lt;=60,"ATENCAO (31-60 DIAS)","OK"))))</f>
        <v/>
      </c>
      <c r="G172" s="11">
        <f>SUMIFS(Movimentacoes!$G:$G,Movimentacoes!$C:$C,$A172,Movimentacoes!$E:$E,$C172,Movimentacoes!$B:$B,"ENTRADA")</f>
        <v/>
      </c>
      <c r="H172" s="11">
        <f>SUMIFS(Movimentacoes!$G:$G,Movimentacoes!$C:$C,$A172,Movimentacoes!$E:$E,$C172,Movimentacoes!$B:$B,"SAIDA_USO")</f>
        <v/>
      </c>
      <c r="I172" s="11">
        <f>SUMIFS(Movimentacoes!$G:$G,Movimentacoes!$C:$C,$A172,Movimentacoes!$E:$E,$C172,Movimentacoes!$B:$B,"SAIDA_DESCARTE")</f>
        <v/>
      </c>
      <c r="J172" s="11">
        <f>G172-H172-I172</f>
        <v/>
      </c>
      <c r="K172" s="8">
        <f>IF(A172="","",IF(J172&lt;=IFERROR(VLOOKUP(A172,Cadastro_Produtos!$A:$E,5,FALSE),0),"ABAIXO DO MINIMO","OK"))</f>
        <v/>
      </c>
    </row>
    <row r="173">
      <c r="A173" s="7" t="n"/>
      <c r="B173" s="7">
        <f>IFERROR(VLOOKUP(A173,Cadastro_Produtos!A:B,2,FALSE),"")</f>
        <v/>
      </c>
      <c r="C173" s="7" t="n"/>
      <c r="D173" s="10" t="n"/>
      <c r="E173" s="11">
        <f>IF(D173="","",D173-TODAY())</f>
        <v/>
      </c>
      <c r="F173" s="8">
        <f>IF(D173="","",IF(E173&lt;0,"VENCIDO",IF(E173&lt;=30,"VENCE EM &lt;= 30 DIAS",IF(E173&lt;=60,"ATENCAO (31-60 DIAS)","OK"))))</f>
        <v/>
      </c>
      <c r="G173" s="11">
        <f>SUMIFS(Movimentacoes!$G:$G,Movimentacoes!$C:$C,$A173,Movimentacoes!$E:$E,$C173,Movimentacoes!$B:$B,"ENTRADA")</f>
        <v/>
      </c>
      <c r="H173" s="11">
        <f>SUMIFS(Movimentacoes!$G:$G,Movimentacoes!$C:$C,$A173,Movimentacoes!$E:$E,$C173,Movimentacoes!$B:$B,"SAIDA_USO")</f>
        <v/>
      </c>
      <c r="I173" s="11">
        <f>SUMIFS(Movimentacoes!$G:$G,Movimentacoes!$C:$C,$A173,Movimentacoes!$E:$E,$C173,Movimentacoes!$B:$B,"SAIDA_DESCARTE")</f>
        <v/>
      </c>
      <c r="J173" s="11">
        <f>G173-H173-I173</f>
        <v/>
      </c>
      <c r="K173" s="8">
        <f>IF(A173="","",IF(J173&lt;=IFERROR(VLOOKUP(A173,Cadastro_Produtos!$A:$E,5,FALSE),0),"ABAIXO DO MINIMO","OK"))</f>
        <v/>
      </c>
    </row>
    <row r="174">
      <c r="A174" s="7" t="n"/>
      <c r="B174" s="7">
        <f>IFERROR(VLOOKUP(A174,Cadastro_Produtos!A:B,2,FALSE),"")</f>
        <v/>
      </c>
      <c r="C174" s="7" t="n"/>
      <c r="D174" s="10" t="n"/>
      <c r="E174" s="11">
        <f>IF(D174="","",D174-TODAY())</f>
        <v/>
      </c>
      <c r="F174" s="8">
        <f>IF(D174="","",IF(E174&lt;0,"VENCIDO",IF(E174&lt;=30,"VENCE EM &lt;= 30 DIAS",IF(E174&lt;=60,"ATENCAO (31-60 DIAS)","OK"))))</f>
        <v/>
      </c>
      <c r="G174" s="11">
        <f>SUMIFS(Movimentacoes!$G:$G,Movimentacoes!$C:$C,$A174,Movimentacoes!$E:$E,$C174,Movimentacoes!$B:$B,"ENTRADA")</f>
        <v/>
      </c>
      <c r="H174" s="11">
        <f>SUMIFS(Movimentacoes!$G:$G,Movimentacoes!$C:$C,$A174,Movimentacoes!$E:$E,$C174,Movimentacoes!$B:$B,"SAIDA_USO")</f>
        <v/>
      </c>
      <c r="I174" s="11">
        <f>SUMIFS(Movimentacoes!$G:$G,Movimentacoes!$C:$C,$A174,Movimentacoes!$E:$E,$C174,Movimentacoes!$B:$B,"SAIDA_DESCARTE")</f>
        <v/>
      </c>
      <c r="J174" s="11">
        <f>G174-H174-I174</f>
        <v/>
      </c>
      <c r="K174" s="8">
        <f>IF(A174="","",IF(J174&lt;=IFERROR(VLOOKUP(A174,Cadastro_Produtos!$A:$E,5,FALSE),0),"ABAIXO DO MINIMO","OK"))</f>
        <v/>
      </c>
    </row>
    <row r="175">
      <c r="A175" s="7" t="n"/>
      <c r="B175" s="7">
        <f>IFERROR(VLOOKUP(A175,Cadastro_Produtos!A:B,2,FALSE),"")</f>
        <v/>
      </c>
      <c r="C175" s="7" t="n"/>
      <c r="D175" s="10" t="n"/>
      <c r="E175" s="11">
        <f>IF(D175="","",D175-TODAY())</f>
        <v/>
      </c>
      <c r="F175" s="8">
        <f>IF(D175="","",IF(E175&lt;0,"VENCIDO",IF(E175&lt;=30,"VENCE EM &lt;= 30 DIAS",IF(E175&lt;=60,"ATENCAO (31-60 DIAS)","OK"))))</f>
        <v/>
      </c>
      <c r="G175" s="11">
        <f>SUMIFS(Movimentacoes!$G:$G,Movimentacoes!$C:$C,$A175,Movimentacoes!$E:$E,$C175,Movimentacoes!$B:$B,"ENTRADA")</f>
        <v/>
      </c>
      <c r="H175" s="11">
        <f>SUMIFS(Movimentacoes!$G:$G,Movimentacoes!$C:$C,$A175,Movimentacoes!$E:$E,$C175,Movimentacoes!$B:$B,"SAIDA_USO")</f>
        <v/>
      </c>
      <c r="I175" s="11">
        <f>SUMIFS(Movimentacoes!$G:$G,Movimentacoes!$C:$C,$A175,Movimentacoes!$E:$E,$C175,Movimentacoes!$B:$B,"SAIDA_DESCARTE")</f>
        <v/>
      </c>
      <c r="J175" s="11">
        <f>G175-H175-I175</f>
        <v/>
      </c>
      <c r="K175" s="8">
        <f>IF(A175="","",IF(J175&lt;=IFERROR(VLOOKUP(A175,Cadastro_Produtos!$A:$E,5,FALSE),0),"ABAIXO DO MINIMO","OK"))</f>
        <v/>
      </c>
    </row>
    <row r="176">
      <c r="A176" s="7" t="n"/>
      <c r="B176" s="7">
        <f>IFERROR(VLOOKUP(A176,Cadastro_Produtos!A:B,2,FALSE),"")</f>
        <v/>
      </c>
      <c r="C176" s="7" t="n"/>
      <c r="D176" s="10" t="n"/>
      <c r="E176" s="11">
        <f>IF(D176="","",D176-TODAY())</f>
        <v/>
      </c>
      <c r="F176" s="8">
        <f>IF(D176="","",IF(E176&lt;0,"VENCIDO",IF(E176&lt;=30,"VENCE EM &lt;= 30 DIAS",IF(E176&lt;=60,"ATENCAO (31-60 DIAS)","OK"))))</f>
        <v/>
      </c>
      <c r="G176" s="11">
        <f>SUMIFS(Movimentacoes!$G:$G,Movimentacoes!$C:$C,$A176,Movimentacoes!$E:$E,$C176,Movimentacoes!$B:$B,"ENTRADA")</f>
        <v/>
      </c>
      <c r="H176" s="11">
        <f>SUMIFS(Movimentacoes!$G:$G,Movimentacoes!$C:$C,$A176,Movimentacoes!$E:$E,$C176,Movimentacoes!$B:$B,"SAIDA_USO")</f>
        <v/>
      </c>
      <c r="I176" s="11">
        <f>SUMIFS(Movimentacoes!$G:$G,Movimentacoes!$C:$C,$A176,Movimentacoes!$E:$E,$C176,Movimentacoes!$B:$B,"SAIDA_DESCARTE")</f>
        <v/>
      </c>
      <c r="J176" s="11">
        <f>G176-H176-I176</f>
        <v/>
      </c>
      <c r="K176" s="8">
        <f>IF(A176="","",IF(J176&lt;=IFERROR(VLOOKUP(A176,Cadastro_Produtos!$A:$E,5,FALSE),0),"ABAIXO DO MINIMO","OK"))</f>
        <v/>
      </c>
    </row>
    <row r="177">
      <c r="A177" s="7" t="n"/>
      <c r="B177" s="7">
        <f>IFERROR(VLOOKUP(A177,Cadastro_Produtos!A:B,2,FALSE),"")</f>
        <v/>
      </c>
      <c r="C177" s="7" t="n"/>
      <c r="D177" s="10" t="n"/>
      <c r="E177" s="11">
        <f>IF(D177="","",D177-TODAY())</f>
        <v/>
      </c>
      <c r="F177" s="8">
        <f>IF(D177="","",IF(E177&lt;0,"VENCIDO",IF(E177&lt;=30,"VENCE EM &lt;= 30 DIAS",IF(E177&lt;=60,"ATENCAO (31-60 DIAS)","OK"))))</f>
        <v/>
      </c>
      <c r="G177" s="11">
        <f>SUMIFS(Movimentacoes!$G:$G,Movimentacoes!$C:$C,$A177,Movimentacoes!$E:$E,$C177,Movimentacoes!$B:$B,"ENTRADA")</f>
        <v/>
      </c>
      <c r="H177" s="11">
        <f>SUMIFS(Movimentacoes!$G:$G,Movimentacoes!$C:$C,$A177,Movimentacoes!$E:$E,$C177,Movimentacoes!$B:$B,"SAIDA_USO")</f>
        <v/>
      </c>
      <c r="I177" s="11">
        <f>SUMIFS(Movimentacoes!$G:$G,Movimentacoes!$C:$C,$A177,Movimentacoes!$E:$E,$C177,Movimentacoes!$B:$B,"SAIDA_DESCARTE")</f>
        <v/>
      </c>
      <c r="J177" s="11">
        <f>G177-H177-I177</f>
        <v/>
      </c>
      <c r="K177" s="8">
        <f>IF(A177="","",IF(J177&lt;=IFERROR(VLOOKUP(A177,Cadastro_Produtos!$A:$E,5,FALSE),0),"ABAIXO DO MINIMO","OK"))</f>
        <v/>
      </c>
    </row>
    <row r="178">
      <c r="A178" s="7" t="n"/>
      <c r="B178" s="7">
        <f>IFERROR(VLOOKUP(A178,Cadastro_Produtos!A:B,2,FALSE),"")</f>
        <v/>
      </c>
      <c r="C178" s="7" t="n"/>
      <c r="D178" s="10" t="n"/>
      <c r="E178" s="11">
        <f>IF(D178="","",D178-TODAY())</f>
        <v/>
      </c>
      <c r="F178" s="8">
        <f>IF(D178="","",IF(E178&lt;0,"VENCIDO",IF(E178&lt;=30,"VENCE EM &lt;= 30 DIAS",IF(E178&lt;=60,"ATENCAO (31-60 DIAS)","OK"))))</f>
        <v/>
      </c>
      <c r="G178" s="11">
        <f>SUMIFS(Movimentacoes!$G:$G,Movimentacoes!$C:$C,$A178,Movimentacoes!$E:$E,$C178,Movimentacoes!$B:$B,"ENTRADA")</f>
        <v/>
      </c>
      <c r="H178" s="11">
        <f>SUMIFS(Movimentacoes!$G:$G,Movimentacoes!$C:$C,$A178,Movimentacoes!$E:$E,$C178,Movimentacoes!$B:$B,"SAIDA_USO")</f>
        <v/>
      </c>
      <c r="I178" s="11">
        <f>SUMIFS(Movimentacoes!$G:$G,Movimentacoes!$C:$C,$A178,Movimentacoes!$E:$E,$C178,Movimentacoes!$B:$B,"SAIDA_DESCARTE")</f>
        <v/>
      </c>
      <c r="J178" s="11">
        <f>G178-H178-I178</f>
        <v/>
      </c>
      <c r="K178" s="8">
        <f>IF(A178="","",IF(J178&lt;=IFERROR(VLOOKUP(A178,Cadastro_Produtos!$A:$E,5,FALSE),0),"ABAIXO DO MINIMO","OK"))</f>
        <v/>
      </c>
    </row>
    <row r="179">
      <c r="A179" s="7" t="n"/>
      <c r="B179" s="7">
        <f>IFERROR(VLOOKUP(A179,Cadastro_Produtos!A:B,2,FALSE),"")</f>
        <v/>
      </c>
      <c r="C179" s="7" t="n"/>
      <c r="D179" s="10" t="n"/>
      <c r="E179" s="11">
        <f>IF(D179="","",D179-TODAY())</f>
        <v/>
      </c>
      <c r="F179" s="8">
        <f>IF(D179="","",IF(E179&lt;0,"VENCIDO",IF(E179&lt;=30,"VENCE EM &lt;= 30 DIAS",IF(E179&lt;=60,"ATENCAO (31-60 DIAS)","OK"))))</f>
        <v/>
      </c>
      <c r="G179" s="11">
        <f>SUMIFS(Movimentacoes!$G:$G,Movimentacoes!$C:$C,$A179,Movimentacoes!$E:$E,$C179,Movimentacoes!$B:$B,"ENTRADA")</f>
        <v/>
      </c>
      <c r="H179" s="11">
        <f>SUMIFS(Movimentacoes!$G:$G,Movimentacoes!$C:$C,$A179,Movimentacoes!$E:$E,$C179,Movimentacoes!$B:$B,"SAIDA_USO")</f>
        <v/>
      </c>
      <c r="I179" s="11">
        <f>SUMIFS(Movimentacoes!$G:$G,Movimentacoes!$C:$C,$A179,Movimentacoes!$E:$E,$C179,Movimentacoes!$B:$B,"SAIDA_DESCARTE")</f>
        <v/>
      </c>
      <c r="J179" s="11">
        <f>G179-H179-I179</f>
        <v/>
      </c>
      <c r="K179" s="8">
        <f>IF(A179="","",IF(J179&lt;=IFERROR(VLOOKUP(A179,Cadastro_Produtos!$A:$E,5,FALSE),0),"ABAIXO DO MINIMO","OK"))</f>
        <v/>
      </c>
    </row>
    <row r="180">
      <c r="A180" s="7" t="n"/>
      <c r="B180" s="7">
        <f>IFERROR(VLOOKUP(A180,Cadastro_Produtos!A:B,2,FALSE),"")</f>
        <v/>
      </c>
      <c r="C180" s="7" t="n"/>
      <c r="D180" s="10" t="n"/>
      <c r="E180" s="11">
        <f>IF(D180="","",D180-TODAY())</f>
        <v/>
      </c>
      <c r="F180" s="8">
        <f>IF(D180="","",IF(E180&lt;0,"VENCIDO",IF(E180&lt;=30,"VENCE EM &lt;= 30 DIAS",IF(E180&lt;=60,"ATENCAO (31-60 DIAS)","OK"))))</f>
        <v/>
      </c>
      <c r="G180" s="11">
        <f>SUMIFS(Movimentacoes!$G:$G,Movimentacoes!$C:$C,$A180,Movimentacoes!$E:$E,$C180,Movimentacoes!$B:$B,"ENTRADA")</f>
        <v/>
      </c>
      <c r="H180" s="11">
        <f>SUMIFS(Movimentacoes!$G:$G,Movimentacoes!$C:$C,$A180,Movimentacoes!$E:$E,$C180,Movimentacoes!$B:$B,"SAIDA_USO")</f>
        <v/>
      </c>
      <c r="I180" s="11">
        <f>SUMIFS(Movimentacoes!$G:$G,Movimentacoes!$C:$C,$A180,Movimentacoes!$E:$E,$C180,Movimentacoes!$B:$B,"SAIDA_DESCARTE")</f>
        <v/>
      </c>
      <c r="J180" s="11">
        <f>G180-H180-I180</f>
        <v/>
      </c>
      <c r="K180" s="8">
        <f>IF(A180="","",IF(J180&lt;=IFERROR(VLOOKUP(A180,Cadastro_Produtos!$A:$E,5,FALSE),0),"ABAIXO DO MINIMO","OK"))</f>
        <v/>
      </c>
    </row>
    <row r="181">
      <c r="A181" s="7" t="n"/>
      <c r="B181" s="7">
        <f>IFERROR(VLOOKUP(A181,Cadastro_Produtos!A:B,2,FALSE),"")</f>
        <v/>
      </c>
      <c r="C181" s="7" t="n"/>
      <c r="D181" s="10" t="n"/>
      <c r="E181" s="11">
        <f>IF(D181="","",D181-TODAY())</f>
        <v/>
      </c>
      <c r="F181" s="8">
        <f>IF(D181="","",IF(E181&lt;0,"VENCIDO",IF(E181&lt;=30,"VENCE EM &lt;= 30 DIAS",IF(E181&lt;=60,"ATENCAO (31-60 DIAS)","OK"))))</f>
        <v/>
      </c>
      <c r="G181" s="11">
        <f>SUMIFS(Movimentacoes!$G:$G,Movimentacoes!$C:$C,$A181,Movimentacoes!$E:$E,$C181,Movimentacoes!$B:$B,"ENTRADA")</f>
        <v/>
      </c>
      <c r="H181" s="11">
        <f>SUMIFS(Movimentacoes!$G:$G,Movimentacoes!$C:$C,$A181,Movimentacoes!$E:$E,$C181,Movimentacoes!$B:$B,"SAIDA_USO")</f>
        <v/>
      </c>
      <c r="I181" s="11">
        <f>SUMIFS(Movimentacoes!$G:$G,Movimentacoes!$C:$C,$A181,Movimentacoes!$E:$E,$C181,Movimentacoes!$B:$B,"SAIDA_DESCARTE")</f>
        <v/>
      </c>
      <c r="J181" s="11">
        <f>G181-H181-I181</f>
        <v/>
      </c>
      <c r="K181" s="8">
        <f>IF(A181="","",IF(J181&lt;=IFERROR(VLOOKUP(A181,Cadastro_Produtos!$A:$E,5,FALSE),0),"ABAIXO DO MINIMO","OK"))</f>
        <v/>
      </c>
    </row>
    <row r="182">
      <c r="A182" s="7" t="n"/>
      <c r="B182" s="7">
        <f>IFERROR(VLOOKUP(A182,Cadastro_Produtos!A:B,2,FALSE),"")</f>
        <v/>
      </c>
      <c r="C182" s="7" t="n"/>
      <c r="D182" s="10" t="n"/>
      <c r="E182" s="11">
        <f>IF(D182="","",D182-TODAY())</f>
        <v/>
      </c>
      <c r="F182" s="8">
        <f>IF(D182="","",IF(E182&lt;0,"VENCIDO",IF(E182&lt;=30,"VENCE EM &lt;= 30 DIAS",IF(E182&lt;=60,"ATENCAO (31-60 DIAS)","OK"))))</f>
        <v/>
      </c>
      <c r="G182" s="11">
        <f>SUMIFS(Movimentacoes!$G:$G,Movimentacoes!$C:$C,$A182,Movimentacoes!$E:$E,$C182,Movimentacoes!$B:$B,"ENTRADA")</f>
        <v/>
      </c>
      <c r="H182" s="11">
        <f>SUMIFS(Movimentacoes!$G:$G,Movimentacoes!$C:$C,$A182,Movimentacoes!$E:$E,$C182,Movimentacoes!$B:$B,"SAIDA_USO")</f>
        <v/>
      </c>
      <c r="I182" s="11">
        <f>SUMIFS(Movimentacoes!$G:$G,Movimentacoes!$C:$C,$A182,Movimentacoes!$E:$E,$C182,Movimentacoes!$B:$B,"SAIDA_DESCARTE")</f>
        <v/>
      </c>
      <c r="J182" s="11">
        <f>G182-H182-I182</f>
        <v/>
      </c>
      <c r="K182" s="8">
        <f>IF(A182="","",IF(J182&lt;=IFERROR(VLOOKUP(A182,Cadastro_Produtos!$A:$E,5,FALSE),0),"ABAIXO DO MINIMO","OK"))</f>
        <v/>
      </c>
    </row>
    <row r="183">
      <c r="A183" s="7" t="n"/>
      <c r="B183" s="7">
        <f>IFERROR(VLOOKUP(A183,Cadastro_Produtos!A:B,2,FALSE),"")</f>
        <v/>
      </c>
      <c r="C183" s="7" t="n"/>
      <c r="D183" s="10" t="n"/>
      <c r="E183" s="11">
        <f>IF(D183="","",D183-TODAY())</f>
        <v/>
      </c>
      <c r="F183" s="8">
        <f>IF(D183="","",IF(E183&lt;0,"VENCIDO",IF(E183&lt;=30,"VENCE EM &lt;= 30 DIAS",IF(E183&lt;=60,"ATENCAO (31-60 DIAS)","OK"))))</f>
        <v/>
      </c>
      <c r="G183" s="11">
        <f>SUMIFS(Movimentacoes!$G:$G,Movimentacoes!$C:$C,$A183,Movimentacoes!$E:$E,$C183,Movimentacoes!$B:$B,"ENTRADA")</f>
        <v/>
      </c>
      <c r="H183" s="11">
        <f>SUMIFS(Movimentacoes!$G:$G,Movimentacoes!$C:$C,$A183,Movimentacoes!$E:$E,$C183,Movimentacoes!$B:$B,"SAIDA_USO")</f>
        <v/>
      </c>
      <c r="I183" s="11">
        <f>SUMIFS(Movimentacoes!$G:$G,Movimentacoes!$C:$C,$A183,Movimentacoes!$E:$E,$C183,Movimentacoes!$B:$B,"SAIDA_DESCARTE")</f>
        <v/>
      </c>
      <c r="J183" s="11">
        <f>G183-H183-I183</f>
        <v/>
      </c>
      <c r="K183" s="8">
        <f>IF(A183="","",IF(J183&lt;=IFERROR(VLOOKUP(A183,Cadastro_Produtos!$A:$E,5,FALSE),0),"ABAIXO DO MINIMO","OK"))</f>
        <v/>
      </c>
    </row>
    <row r="184">
      <c r="A184" s="7" t="n"/>
      <c r="B184" s="7">
        <f>IFERROR(VLOOKUP(A184,Cadastro_Produtos!A:B,2,FALSE),"")</f>
        <v/>
      </c>
      <c r="C184" s="7" t="n"/>
      <c r="D184" s="10" t="n"/>
      <c r="E184" s="11">
        <f>IF(D184="","",D184-TODAY())</f>
        <v/>
      </c>
      <c r="F184" s="8">
        <f>IF(D184="","",IF(E184&lt;0,"VENCIDO",IF(E184&lt;=30,"VENCE EM &lt;= 30 DIAS",IF(E184&lt;=60,"ATENCAO (31-60 DIAS)","OK"))))</f>
        <v/>
      </c>
      <c r="G184" s="11">
        <f>SUMIFS(Movimentacoes!$G:$G,Movimentacoes!$C:$C,$A184,Movimentacoes!$E:$E,$C184,Movimentacoes!$B:$B,"ENTRADA")</f>
        <v/>
      </c>
      <c r="H184" s="11">
        <f>SUMIFS(Movimentacoes!$G:$G,Movimentacoes!$C:$C,$A184,Movimentacoes!$E:$E,$C184,Movimentacoes!$B:$B,"SAIDA_USO")</f>
        <v/>
      </c>
      <c r="I184" s="11">
        <f>SUMIFS(Movimentacoes!$G:$G,Movimentacoes!$C:$C,$A184,Movimentacoes!$E:$E,$C184,Movimentacoes!$B:$B,"SAIDA_DESCARTE")</f>
        <v/>
      </c>
      <c r="J184" s="11">
        <f>G184-H184-I184</f>
        <v/>
      </c>
      <c r="K184" s="8">
        <f>IF(A184="","",IF(J184&lt;=IFERROR(VLOOKUP(A184,Cadastro_Produtos!$A:$E,5,FALSE),0),"ABAIXO DO MINIMO","OK"))</f>
        <v/>
      </c>
    </row>
    <row r="185">
      <c r="A185" s="7" t="n"/>
      <c r="B185" s="7">
        <f>IFERROR(VLOOKUP(A185,Cadastro_Produtos!A:B,2,FALSE),"")</f>
        <v/>
      </c>
      <c r="C185" s="7" t="n"/>
      <c r="D185" s="10" t="n"/>
      <c r="E185" s="11">
        <f>IF(D185="","",D185-TODAY())</f>
        <v/>
      </c>
      <c r="F185" s="8">
        <f>IF(D185="","",IF(E185&lt;0,"VENCIDO",IF(E185&lt;=30,"VENCE EM &lt;= 30 DIAS",IF(E185&lt;=60,"ATENCAO (31-60 DIAS)","OK"))))</f>
        <v/>
      </c>
      <c r="G185" s="11">
        <f>SUMIFS(Movimentacoes!$G:$G,Movimentacoes!$C:$C,$A185,Movimentacoes!$E:$E,$C185,Movimentacoes!$B:$B,"ENTRADA")</f>
        <v/>
      </c>
      <c r="H185" s="11">
        <f>SUMIFS(Movimentacoes!$G:$G,Movimentacoes!$C:$C,$A185,Movimentacoes!$E:$E,$C185,Movimentacoes!$B:$B,"SAIDA_USO")</f>
        <v/>
      </c>
      <c r="I185" s="11">
        <f>SUMIFS(Movimentacoes!$G:$G,Movimentacoes!$C:$C,$A185,Movimentacoes!$E:$E,$C185,Movimentacoes!$B:$B,"SAIDA_DESCARTE")</f>
        <v/>
      </c>
      <c r="J185" s="11">
        <f>G185-H185-I185</f>
        <v/>
      </c>
      <c r="K185" s="8">
        <f>IF(A185="","",IF(J185&lt;=IFERROR(VLOOKUP(A185,Cadastro_Produtos!$A:$E,5,FALSE),0),"ABAIXO DO MINIMO","OK"))</f>
        <v/>
      </c>
    </row>
    <row r="186">
      <c r="A186" s="7" t="n"/>
      <c r="B186" s="7">
        <f>IFERROR(VLOOKUP(A186,Cadastro_Produtos!A:B,2,FALSE),"")</f>
        <v/>
      </c>
      <c r="C186" s="7" t="n"/>
      <c r="D186" s="10" t="n"/>
      <c r="E186" s="11">
        <f>IF(D186="","",D186-TODAY())</f>
        <v/>
      </c>
      <c r="F186" s="8">
        <f>IF(D186="","",IF(E186&lt;0,"VENCIDO",IF(E186&lt;=30,"VENCE EM &lt;= 30 DIAS",IF(E186&lt;=60,"ATENCAO (31-60 DIAS)","OK"))))</f>
        <v/>
      </c>
      <c r="G186" s="11">
        <f>SUMIFS(Movimentacoes!$G:$G,Movimentacoes!$C:$C,$A186,Movimentacoes!$E:$E,$C186,Movimentacoes!$B:$B,"ENTRADA")</f>
        <v/>
      </c>
      <c r="H186" s="11">
        <f>SUMIFS(Movimentacoes!$G:$G,Movimentacoes!$C:$C,$A186,Movimentacoes!$E:$E,$C186,Movimentacoes!$B:$B,"SAIDA_USO")</f>
        <v/>
      </c>
      <c r="I186" s="11">
        <f>SUMIFS(Movimentacoes!$G:$G,Movimentacoes!$C:$C,$A186,Movimentacoes!$E:$E,$C186,Movimentacoes!$B:$B,"SAIDA_DESCARTE")</f>
        <v/>
      </c>
      <c r="J186" s="11">
        <f>G186-H186-I186</f>
        <v/>
      </c>
      <c r="K186" s="8">
        <f>IF(A186="","",IF(J186&lt;=IFERROR(VLOOKUP(A186,Cadastro_Produtos!$A:$E,5,FALSE),0),"ABAIXO DO MINIMO","OK"))</f>
        <v/>
      </c>
    </row>
    <row r="187">
      <c r="A187" s="7" t="n"/>
      <c r="B187" s="7">
        <f>IFERROR(VLOOKUP(A187,Cadastro_Produtos!A:B,2,FALSE),"")</f>
        <v/>
      </c>
      <c r="C187" s="7" t="n"/>
      <c r="D187" s="10" t="n"/>
      <c r="E187" s="11">
        <f>IF(D187="","",D187-TODAY())</f>
        <v/>
      </c>
      <c r="F187" s="8">
        <f>IF(D187="","",IF(E187&lt;0,"VENCIDO",IF(E187&lt;=30,"VENCE EM &lt;= 30 DIAS",IF(E187&lt;=60,"ATENCAO (31-60 DIAS)","OK"))))</f>
        <v/>
      </c>
      <c r="G187" s="11">
        <f>SUMIFS(Movimentacoes!$G:$G,Movimentacoes!$C:$C,$A187,Movimentacoes!$E:$E,$C187,Movimentacoes!$B:$B,"ENTRADA")</f>
        <v/>
      </c>
      <c r="H187" s="11">
        <f>SUMIFS(Movimentacoes!$G:$G,Movimentacoes!$C:$C,$A187,Movimentacoes!$E:$E,$C187,Movimentacoes!$B:$B,"SAIDA_USO")</f>
        <v/>
      </c>
      <c r="I187" s="11">
        <f>SUMIFS(Movimentacoes!$G:$G,Movimentacoes!$C:$C,$A187,Movimentacoes!$E:$E,$C187,Movimentacoes!$B:$B,"SAIDA_DESCARTE")</f>
        <v/>
      </c>
      <c r="J187" s="11">
        <f>G187-H187-I187</f>
        <v/>
      </c>
      <c r="K187" s="8">
        <f>IF(A187="","",IF(J187&lt;=IFERROR(VLOOKUP(A187,Cadastro_Produtos!$A:$E,5,FALSE),0),"ABAIXO DO MINIMO","OK"))</f>
        <v/>
      </c>
    </row>
    <row r="188">
      <c r="A188" s="7" t="n"/>
      <c r="B188" s="7">
        <f>IFERROR(VLOOKUP(A188,Cadastro_Produtos!A:B,2,FALSE),"")</f>
        <v/>
      </c>
      <c r="C188" s="7" t="n"/>
      <c r="D188" s="10" t="n"/>
      <c r="E188" s="11">
        <f>IF(D188="","",D188-TODAY())</f>
        <v/>
      </c>
      <c r="F188" s="8">
        <f>IF(D188="","",IF(E188&lt;0,"VENCIDO",IF(E188&lt;=30,"VENCE EM &lt;= 30 DIAS",IF(E188&lt;=60,"ATENCAO (31-60 DIAS)","OK"))))</f>
        <v/>
      </c>
      <c r="G188" s="11">
        <f>SUMIFS(Movimentacoes!$G:$G,Movimentacoes!$C:$C,$A188,Movimentacoes!$E:$E,$C188,Movimentacoes!$B:$B,"ENTRADA")</f>
        <v/>
      </c>
      <c r="H188" s="11">
        <f>SUMIFS(Movimentacoes!$G:$G,Movimentacoes!$C:$C,$A188,Movimentacoes!$E:$E,$C188,Movimentacoes!$B:$B,"SAIDA_USO")</f>
        <v/>
      </c>
      <c r="I188" s="11">
        <f>SUMIFS(Movimentacoes!$G:$G,Movimentacoes!$C:$C,$A188,Movimentacoes!$E:$E,$C188,Movimentacoes!$B:$B,"SAIDA_DESCARTE")</f>
        <v/>
      </c>
      <c r="J188" s="11">
        <f>G188-H188-I188</f>
        <v/>
      </c>
      <c r="K188" s="8">
        <f>IF(A188="","",IF(J188&lt;=IFERROR(VLOOKUP(A188,Cadastro_Produtos!$A:$E,5,FALSE),0),"ABAIXO DO MINIMO","OK"))</f>
        <v/>
      </c>
    </row>
    <row r="189">
      <c r="A189" s="7" t="n"/>
      <c r="B189" s="7">
        <f>IFERROR(VLOOKUP(A189,Cadastro_Produtos!A:B,2,FALSE),"")</f>
        <v/>
      </c>
      <c r="C189" s="7" t="n"/>
      <c r="D189" s="10" t="n"/>
      <c r="E189" s="11">
        <f>IF(D189="","",D189-TODAY())</f>
        <v/>
      </c>
      <c r="F189" s="8">
        <f>IF(D189="","",IF(E189&lt;0,"VENCIDO",IF(E189&lt;=30,"VENCE EM &lt;= 30 DIAS",IF(E189&lt;=60,"ATENCAO (31-60 DIAS)","OK"))))</f>
        <v/>
      </c>
      <c r="G189" s="11">
        <f>SUMIFS(Movimentacoes!$G:$G,Movimentacoes!$C:$C,$A189,Movimentacoes!$E:$E,$C189,Movimentacoes!$B:$B,"ENTRADA")</f>
        <v/>
      </c>
      <c r="H189" s="11">
        <f>SUMIFS(Movimentacoes!$G:$G,Movimentacoes!$C:$C,$A189,Movimentacoes!$E:$E,$C189,Movimentacoes!$B:$B,"SAIDA_USO")</f>
        <v/>
      </c>
      <c r="I189" s="11">
        <f>SUMIFS(Movimentacoes!$G:$G,Movimentacoes!$C:$C,$A189,Movimentacoes!$E:$E,$C189,Movimentacoes!$B:$B,"SAIDA_DESCARTE")</f>
        <v/>
      </c>
      <c r="J189" s="11">
        <f>G189-H189-I189</f>
        <v/>
      </c>
      <c r="K189" s="8">
        <f>IF(A189="","",IF(J189&lt;=IFERROR(VLOOKUP(A189,Cadastro_Produtos!$A:$E,5,FALSE),0),"ABAIXO DO MINIMO","OK"))</f>
        <v/>
      </c>
    </row>
    <row r="190">
      <c r="A190" s="7" t="n"/>
      <c r="B190" s="7">
        <f>IFERROR(VLOOKUP(A190,Cadastro_Produtos!A:B,2,FALSE),"")</f>
        <v/>
      </c>
      <c r="C190" s="7" t="n"/>
      <c r="D190" s="10" t="n"/>
      <c r="E190" s="11">
        <f>IF(D190="","",D190-TODAY())</f>
        <v/>
      </c>
      <c r="F190" s="8">
        <f>IF(D190="","",IF(E190&lt;0,"VENCIDO",IF(E190&lt;=30,"VENCE EM &lt;= 30 DIAS",IF(E190&lt;=60,"ATENCAO (31-60 DIAS)","OK"))))</f>
        <v/>
      </c>
      <c r="G190" s="11">
        <f>SUMIFS(Movimentacoes!$G:$G,Movimentacoes!$C:$C,$A190,Movimentacoes!$E:$E,$C190,Movimentacoes!$B:$B,"ENTRADA")</f>
        <v/>
      </c>
      <c r="H190" s="11">
        <f>SUMIFS(Movimentacoes!$G:$G,Movimentacoes!$C:$C,$A190,Movimentacoes!$E:$E,$C190,Movimentacoes!$B:$B,"SAIDA_USO")</f>
        <v/>
      </c>
      <c r="I190" s="11">
        <f>SUMIFS(Movimentacoes!$G:$G,Movimentacoes!$C:$C,$A190,Movimentacoes!$E:$E,$C190,Movimentacoes!$B:$B,"SAIDA_DESCARTE")</f>
        <v/>
      </c>
      <c r="J190" s="11">
        <f>G190-H190-I190</f>
        <v/>
      </c>
      <c r="K190" s="8">
        <f>IF(A190="","",IF(J190&lt;=IFERROR(VLOOKUP(A190,Cadastro_Produtos!$A:$E,5,FALSE),0),"ABAIXO DO MINIMO","OK"))</f>
        <v/>
      </c>
    </row>
    <row r="191">
      <c r="A191" s="7" t="n"/>
      <c r="B191" s="7">
        <f>IFERROR(VLOOKUP(A191,Cadastro_Produtos!A:B,2,FALSE),"")</f>
        <v/>
      </c>
      <c r="C191" s="7" t="n"/>
      <c r="D191" s="10" t="n"/>
      <c r="E191" s="11">
        <f>IF(D191="","",D191-TODAY())</f>
        <v/>
      </c>
      <c r="F191" s="8">
        <f>IF(D191="","",IF(E191&lt;0,"VENCIDO",IF(E191&lt;=30,"VENCE EM &lt;= 30 DIAS",IF(E191&lt;=60,"ATENCAO (31-60 DIAS)","OK"))))</f>
        <v/>
      </c>
      <c r="G191" s="11">
        <f>SUMIFS(Movimentacoes!$G:$G,Movimentacoes!$C:$C,$A191,Movimentacoes!$E:$E,$C191,Movimentacoes!$B:$B,"ENTRADA")</f>
        <v/>
      </c>
      <c r="H191" s="11">
        <f>SUMIFS(Movimentacoes!$G:$G,Movimentacoes!$C:$C,$A191,Movimentacoes!$E:$E,$C191,Movimentacoes!$B:$B,"SAIDA_USO")</f>
        <v/>
      </c>
      <c r="I191" s="11">
        <f>SUMIFS(Movimentacoes!$G:$G,Movimentacoes!$C:$C,$A191,Movimentacoes!$E:$E,$C191,Movimentacoes!$B:$B,"SAIDA_DESCARTE")</f>
        <v/>
      </c>
      <c r="J191" s="11">
        <f>G191-H191-I191</f>
        <v/>
      </c>
      <c r="K191" s="8">
        <f>IF(A191="","",IF(J191&lt;=IFERROR(VLOOKUP(A191,Cadastro_Produtos!$A:$E,5,FALSE),0),"ABAIXO DO MINIMO","OK"))</f>
        <v/>
      </c>
    </row>
    <row r="192">
      <c r="A192" s="7" t="n"/>
      <c r="B192" s="7">
        <f>IFERROR(VLOOKUP(A192,Cadastro_Produtos!A:B,2,FALSE),"")</f>
        <v/>
      </c>
      <c r="C192" s="7" t="n"/>
      <c r="D192" s="10" t="n"/>
      <c r="E192" s="11">
        <f>IF(D192="","",D192-TODAY())</f>
        <v/>
      </c>
      <c r="F192" s="8">
        <f>IF(D192="","",IF(E192&lt;0,"VENCIDO",IF(E192&lt;=30,"VENCE EM &lt;= 30 DIAS",IF(E192&lt;=60,"ATENCAO (31-60 DIAS)","OK"))))</f>
        <v/>
      </c>
      <c r="G192" s="11">
        <f>SUMIFS(Movimentacoes!$G:$G,Movimentacoes!$C:$C,$A192,Movimentacoes!$E:$E,$C192,Movimentacoes!$B:$B,"ENTRADA")</f>
        <v/>
      </c>
      <c r="H192" s="11">
        <f>SUMIFS(Movimentacoes!$G:$G,Movimentacoes!$C:$C,$A192,Movimentacoes!$E:$E,$C192,Movimentacoes!$B:$B,"SAIDA_USO")</f>
        <v/>
      </c>
      <c r="I192" s="11">
        <f>SUMIFS(Movimentacoes!$G:$G,Movimentacoes!$C:$C,$A192,Movimentacoes!$E:$E,$C192,Movimentacoes!$B:$B,"SAIDA_DESCARTE")</f>
        <v/>
      </c>
      <c r="J192" s="11">
        <f>G192-H192-I192</f>
        <v/>
      </c>
      <c r="K192" s="8">
        <f>IF(A192="","",IF(J192&lt;=IFERROR(VLOOKUP(A192,Cadastro_Produtos!$A:$E,5,FALSE),0),"ABAIXO DO MINIMO","OK"))</f>
        <v/>
      </c>
    </row>
    <row r="193">
      <c r="A193" s="7" t="n"/>
      <c r="B193" s="7">
        <f>IFERROR(VLOOKUP(A193,Cadastro_Produtos!A:B,2,FALSE),"")</f>
        <v/>
      </c>
      <c r="C193" s="7" t="n"/>
      <c r="D193" s="10" t="n"/>
      <c r="E193" s="11">
        <f>IF(D193="","",D193-TODAY())</f>
        <v/>
      </c>
      <c r="F193" s="8">
        <f>IF(D193="","",IF(E193&lt;0,"VENCIDO",IF(E193&lt;=30,"VENCE EM &lt;= 30 DIAS",IF(E193&lt;=60,"ATENCAO (31-60 DIAS)","OK"))))</f>
        <v/>
      </c>
      <c r="G193" s="11">
        <f>SUMIFS(Movimentacoes!$G:$G,Movimentacoes!$C:$C,$A193,Movimentacoes!$E:$E,$C193,Movimentacoes!$B:$B,"ENTRADA")</f>
        <v/>
      </c>
      <c r="H193" s="11">
        <f>SUMIFS(Movimentacoes!$G:$G,Movimentacoes!$C:$C,$A193,Movimentacoes!$E:$E,$C193,Movimentacoes!$B:$B,"SAIDA_USO")</f>
        <v/>
      </c>
      <c r="I193" s="11">
        <f>SUMIFS(Movimentacoes!$G:$G,Movimentacoes!$C:$C,$A193,Movimentacoes!$E:$E,$C193,Movimentacoes!$B:$B,"SAIDA_DESCARTE")</f>
        <v/>
      </c>
      <c r="J193" s="11">
        <f>G193-H193-I193</f>
        <v/>
      </c>
      <c r="K193" s="8">
        <f>IF(A193="","",IF(J193&lt;=IFERROR(VLOOKUP(A193,Cadastro_Produtos!$A:$E,5,FALSE),0),"ABAIXO DO MINIMO","OK"))</f>
        <v/>
      </c>
    </row>
    <row r="194">
      <c r="A194" s="7" t="n"/>
      <c r="B194" s="7">
        <f>IFERROR(VLOOKUP(A194,Cadastro_Produtos!A:B,2,FALSE),"")</f>
        <v/>
      </c>
      <c r="C194" s="7" t="n"/>
      <c r="D194" s="10" t="n"/>
      <c r="E194" s="11">
        <f>IF(D194="","",D194-TODAY())</f>
        <v/>
      </c>
      <c r="F194" s="8">
        <f>IF(D194="","",IF(E194&lt;0,"VENCIDO",IF(E194&lt;=30,"VENCE EM &lt;= 30 DIAS",IF(E194&lt;=60,"ATENCAO (31-60 DIAS)","OK"))))</f>
        <v/>
      </c>
      <c r="G194" s="11">
        <f>SUMIFS(Movimentacoes!$G:$G,Movimentacoes!$C:$C,$A194,Movimentacoes!$E:$E,$C194,Movimentacoes!$B:$B,"ENTRADA")</f>
        <v/>
      </c>
      <c r="H194" s="11">
        <f>SUMIFS(Movimentacoes!$G:$G,Movimentacoes!$C:$C,$A194,Movimentacoes!$E:$E,$C194,Movimentacoes!$B:$B,"SAIDA_USO")</f>
        <v/>
      </c>
      <c r="I194" s="11">
        <f>SUMIFS(Movimentacoes!$G:$G,Movimentacoes!$C:$C,$A194,Movimentacoes!$E:$E,$C194,Movimentacoes!$B:$B,"SAIDA_DESCARTE")</f>
        <v/>
      </c>
      <c r="J194" s="11">
        <f>G194-H194-I194</f>
        <v/>
      </c>
      <c r="K194" s="8">
        <f>IF(A194="","",IF(J194&lt;=IFERROR(VLOOKUP(A194,Cadastro_Produtos!$A:$E,5,FALSE),0),"ABAIXO DO MINIMO","OK"))</f>
        <v/>
      </c>
    </row>
    <row r="195">
      <c r="A195" s="7" t="n"/>
      <c r="B195" s="7">
        <f>IFERROR(VLOOKUP(A195,Cadastro_Produtos!A:B,2,FALSE),"")</f>
        <v/>
      </c>
      <c r="C195" s="7" t="n"/>
      <c r="D195" s="10" t="n"/>
      <c r="E195" s="11">
        <f>IF(D195="","",D195-TODAY())</f>
        <v/>
      </c>
      <c r="F195" s="8">
        <f>IF(D195="","",IF(E195&lt;0,"VENCIDO",IF(E195&lt;=30,"VENCE EM &lt;= 30 DIAS",IF(E195&lt;=60,"ATENCAO (31-60 DIAS)","OK"))))</f>
        <v/>
      </c>
      <c r="G195" s="11">
        <f>SUMIFS(Movimentacoes!$G:$G,Movimentacoes!$C:$C,$A195,Movimentacoes!$E:$E,$C195,Movimentacoes!$B:$B,"ENTRADA")</f>
        <v/>
      </c>
      <c r="H195" s="11">
        <f>SUMIFS(Movimentacoes!$G:$G,Movimentacoes!$C:$C,$A195,Movimentacoes!$E:$E,$C195,Movimentacoes!$B:$B,"SAIDA_USO")</f>
        <v/>
      </c>
      <c r="I195" s="11">
        <f>SUMIFS(Movimentacoes!$G:$G,Movimentacoes!$C:$C,$A195,Movimentacoes!$E:$E,$C195,Movimentacoes!$B:$B,"SAIDA_DESCARTE")</f>
        <v/>
      </c>
      <c r="J195" s="11">
        <f>G195-H195-I195</f>
        <v/>
      </c>
      <c r="K195" s="8">
        <f>IF(A195="","",IF(J195&lt;=IFERROR(VLOOKUP(A195,Cadastro_Produtos!$A:$E,5,FALSE),0),"ABAIXO DO MINIMO","OK"))</f>
        <v/>
      </c>
    </row>
    <row r="196">
      <c r="A196" s="7" t="n"/>
      <c r="B196" s="7">
        <f>IFERROR(VLOOKUP(A196,Cadastro_Produtos!A:B,2,FALSE),"")</f>
        <v/>
      </c>
      <c r="C196" s="7" t="n"/>
      <c r="D196" s="10" t="n"/>
      <c r="E196" s="11">
        <f>IF(D196="","",D196-TODAY())</f>
        <v/>
      </c>
      <c r="F196" s="8">
        <f>IF(D196="","",IF(E196&lt;0,"VENCIDO",IF(E196&lt;=30,"VENCE EM &lt;= 30 DIAS",IF(E196&lt;=60,"ATENCAO (31-60 DIAS)","OK"))))</f>
        <v/>
      </c>
      <c r="G196" s="11">
        <f>SUMIFS(Movimentacoes!$G:$G,Movimentacoes!$C:$C,$A196,Movimentacoes!$E:$E,$C196,Movimentacoes!$B:$B,"ENTRADA")</f>
        <v/>
      </c>
      <c r="H196" s="11">
        <f>SUMIFS(Movimentacoes!$G:$G,Movimentacoes!$C:$C,$A196,Movimentacoes!$E:$E,$C196,Movimentacoes!$B:$B,"SAIDA_USO")</f>
        <v/>
      </c>
      <c r="I196" s="11">
        <f>SUMIFS(Movimentacoes!$G:$G,Movimentacoes!$C:$C,$A196,Movimentacoes!$E:$E,$C196,Movimentacoes!$B:$B,"SAIDA_DESCARTE")</f>
        <v/>
      </c>
      <c r="J196" s="11">
        <f>G196-H196-I196</f>
        <v/>
      </c>
      <c r="K196" s="8">
        <f>IF(A196="","",IF(J196&lt;=IFERROR(VLOOKUP(A196,Cadastro_Produtos!$A:$E,5,FALSE),0),"ABAIXO DO MINIMO","OK"))</f>
        <v/>
      </c>
    </row>
    <row r="197">
      <c r="A197" s="7" t="n"/>
      <c r="B197" s="7">
        <f>IFERROR(VLOOKUP(A197,Cadastro_Produtos!A:B,2,FALSE),"")</f>
        <v/>
      </c>
      <c r="C197" s="7" t="n"/>
      <c r="D197" s="10" t="n"/>
      <c r="E197" s="11">
        <f>IF(D197="","",D197-TODAY())</f>
        <v/>
      </c>
      <c r="F197" s="8">
        <f>IF(D197="","",IF(E197&lt;0,"VENCIDO",IF(E197&lt;=30,"VENCE EM &lt;= 30 DIAS",IF(E197&lt;=60,"ATENCAO (31-60 DIAS)","OK"))))</f>
        <v/>
      </c>
      <c r="G197" s="11">
        <f>SUMIFS(Movimentacoes!$G:$G,Movimentacoes!$C:$C,$A197,Movimentacoes!$E:$E,$C197,Movimentacoes!$B:$B,"ENTRADA")</f>
        <v/>
      </c>
      <c r="H197" s="11">
        <f>SUMIFS(Movimentacoes!$G:$G,Movimentacoes!$C:$C,$A197,Movimentacoes!$E:$E,$C197,Movimentacoes!$B:$B,"SAIDA_USO")</f>
        <v/>
      </c>
      <c r="I197" s="11">
        <f>SUMIFS(Movimentacoes!$G:$G,Movimentacoes!$C:$C,$A197,Movimentacoes!$E:$E,$C197,Movimentacoes!$B:$B,"SAIDA_DESCARTE")</f>
        <v/>
      </c>
      <c r="J197" s="11">
        <f>G197-H197-I197</f>
        <v/>
      </c>
      <c r="K197" s="8">
        <f>IF(A197="","",IF(J197&lt;=IFERROR(VLOOKUP(A197,Cadastro_Produtos!$A:$E,5,FALSE),0),"ABAIXO DO MINIMO","OK"))</f>
        <v/>
      </c>
    </row>
    <row r="198">
      <c r="A198" s="7" t="n"/>
      <c r="B198" s="7">
        <f>IFERROR(VLOOKUP(A198,Cadastro_Produtos!A:B,2,FALSE),"")</f>
        <v/>
      </c>
      <c r="C198" s="7" t="n"/>
      <c r="D198" s="10" t="n"/>
      <c r="E198" s="11">
        <f>IF(D198="","",D198-TODAY())</f>
        <v/>
      </c>
      <c r="F198" s="8">
        <f>IF(D198="","",IF(E198&lt;0,"VENCIDO",IF(E198&lt;=30,"VENCE EM &lt;= 30 DIAS",IF(E198&lt;=60,"ATENCAO (31-60 DIAS)","OK"))))</f>
        <v/>
      </c>
      <c r="G198" s="11">
        <f>SUMIFS(Movimentacoes!$G:$G,Movimentacoes!$C:$C,$A198,Movimentacoes!$E:$E,$C198,Movimentacoes!$B:$B,"ENTRADA")</f>
        <v/>
      </c>
      <c r="H198" s="11">
        <f>SUMIFS(Movimentacoes!$G:$G,Movimentacoes!$C:$C,$A198,Movimentacoes!$E:$E,$C198,Movimentacoes!$B:$B,"SAIDA_USO")</f>
        <v/>
      </c>
      <c r="I198" s="11">
        <f>SUMIFS(Movimentacoes!$G:$G,Movimentacoes!$C:$C,$A198,Movimentacoes!$E:$E,$C198,Movimentacoes!$B:$B,"SAIDA_DESCARTE")</f>
        <v/>
      </c>
      <c r="J198" s="11">
        <f>G198-H198-I198</f>
        <v/>
      </c>
      <c r="K198" s="8">
        <f>IF(A198="","",IF(J198&lt;=IFERROR(VLOOKUP(A198,Cadastro_Produtos!$A:$E,5,FALSE),0),"ABAIXO DO MINIMO","OK"))</f>
        <v/>
      </c>
    </row>
    <row r="199">
      <c r="A199" s="7" t="n"/>
      <c r="B199" s="7">
        <f>IFERROR(VLOOKUP(A199,Cadastro_Produtos!A:B,2,FALSE),"")</f>
        <v/>
      </c>
      <c r="C199" s="7" t="n"/>
      <c r="D199" s="10" t="n"/>
      <c r="E199" s="11">
        <f>IF(D199="","",D199-TODAY())</f>
        <v/>
      </c>
      <c r="F199" s="8">
        <f>IF(D199="","",IF(E199&lt;0,"VENCIDO",IF(E199&lt;=30,"VENCE EM &lt;= 30 DIAS",IF(E199&lt;=60,"ATENCAO (31-60 DIAS)","OK"))))</f>
        <v/>
      </c>
      <c r="G199" s="11">
        <f>SUMIFS(Movimentacoes!$G:$G,Movimentacoes!$C:$C,$A199,Movimentacoes!$E:$E,$C199,Movimentacoes!$B:$B,"ENTRADA")</f>
        <v/>
      </c>
      <c r="H199" s="11">
        <f>SUMIFS(Movimentacoes!$G:$G,Movimentacoes!$C:$C,$A199,Movimentacoes!$E:$E,$C199,Movimentacoes!$B:$B,"SAIDA_USO")</f>
        <v/>
      </c>
      <c r="I199" s="11">
        <f>SUMIFS(Movimentacoes!$G:$G,Movimentacoes!$C:$C,$A199,Movimentacoes!$E:$E,$C199,Movimentacoes!$B:$B,"SAIDA_DESCARTE")</f>
        <v/>
      </c>
      <c r="J199" s="11">
        <f>G199-H199-I199</f>
        <v/>
      </c>
      <c r="K199" s="8">
        <f>IF(A199="","",IF(J199&lt;=IFERROR(VLOOKUP(A199,Cadastro_Produtos!$A:$E,5,FALSE),0),"ABAIXO DO MINIMO","OK"))</f>
        <v/>
      </c>
    </row>
    <row r="200">
      <c r="A200" s="7" t="n"/>
      <c r="B200" s="7">
        <f>IFERROR(VLOOKUP(A200,Cadastro_Produtos!A:B,2,FALSE),"")</f>
        <v/>
      </c>
      <c r="C200" s="7" t="n"/>
      <c r="D200" s="10" t="n"/>
      <c r="E200" s="11">
        <f>IF(D200="","",D200-TODAY())</f>
        <v/>
      </c>
      <c r="F200" s="8">
        <f>IF(D200="","",IF(E200&lt;0,"VENCIDO",IF(E200&lt;=30,"VENCE EM &lt;= 30 DIAS",IF(E200&lt;=60,"ATENCAO (31-60 DIAS)","OK"))))</f>
        <v/>
      </c>
      <c r="G200" s="11">
        <f>SUMIFS(Movimentacoes!$G:$G,Movimentacoes!$C:$C,$A200,Movimentacoes!$E:$E,$C200,Movimentacoes!$B:$B,"ENTRADA")</f>
        <v/>
      </c>
      <c r="H200" s="11">
        <f>SUMIFS(Movimentacoes!$G:$G,Movimentacoes!$C:$C,$A200,Movimentacoes!$E:$E,$C200,Movimentacoes!$B:$B,"SAIDA_USO")</f>
        <v/>
      </c>
      <c r="I200" s="11">
        <f>SUMIFS(Movimentacoes!$G:$G,Movimentacoes!$C:$C,$A200,Movimentacoes!$E:$E,$C200,Movimentacoes!$B:$B,"SAIDA_DESCARTE")</f>
        <v/>
      </c>
      <c r="J200" s="11">
        <f>G200-H200-I200</f>
        <v/>
      </c>
      <c r="K200" s="8">
        <f>IF(A200="","",IF(J200&lt;=IFERROR(VLOOKUP(A200,Cadastro_Produtos!$A:$E,5,FALSE),0),"ABAIXO DO MINIMO","OK"))</f>
        <v/>
      </c>
    </row>
    <row r="201">
      <c r="A201" s="7" t="n"/>
      <c r="B201" s="7">
        <f>IFERROR(VLOOKUP(A201,Cadastro_Produtos!A:B,2,FALSE),"")</f>
        <v/>
      </c>
      <c r="C201" s="7" t="n"/>
      <c r="D201" s="10" t="n"/>
      <c r="E201" s="11">
        <f>IF(D201="","",D201-TODAY())</f>
        <v/>
      </c>
      <c r="F201" s="8">
        <f>IF(D201="","",IF(E201&lt;0,"VENCIDO",IF(E201&lt;=30,"VENCE EM &lt;= 30 DIAS",IF(E201&lt;=60,"ATENCAO (31-60 DIAS)","OK"))))</f>
        <v/>
      </c>
      <c r="G201" s="11">
        <f>SUMIFS(Movimentacoes!$G:$G,Movimentacoes!$C:$C,$A201,Movimentacoes!$E:$E,$C201,Movimentacoes!$B:$B,"ENTRADA")</f>
        <v/>
      </c>
      <c r="H201" s="11">
        <f>SUMIFS(Movimentacoes!$G:$G,Movimentacoes!$C:$C,$A201,Movimentacoes!$E:$E,$C201,Movimentacoes!$B:$B,"SAIDA_USO")</f>
        <v/>
      </c>
      <c r="I201" s="11">
        <f>SUMIFS(Movimentacoes!$G:$G,Movimentacoes!$C:$C,$A201,Movimentacoes!$E:$E,$C201,Movimentacoes!$B:$B,"SAIDA_DESCARTE")</f>
        <v/>
      </c>
      <c r="J201" s="11">
        <f>G201-H201-I201</f>
        <v/>
      </c>
      <c r="K201" s="8">
        <f>IF(A201="","",IF(J201&lt;=IFERROR(VLOOKUP(A201,Cadastro_Produtos!$A:$E,5,FALSE),0),"ABAIXO DO MINIMO","OK"))</f>
        <v/>
      </c>
    </row>
    <row r="202">
      <c r="A202" s="7" t="n"/>
      <c r="B202" s="7">
        <f>IFERROR(VLOOKUP(A202,Cadastro_Produtos!A:B,2,FALSE),"")</f>
        <v/>
      </c>
      <c r="C202" s="7" t="n"/>
      <c r="D202" s="10" t="n"/>
      <c r="E202" s="11">
        <f>IF(D202="","",D202-TODAY())</f>
        <v/>
      </c>
      <c r="F202" s="8">
        <f>IF(D202="","",IF(E202&lt;0,"VENCIDO",IF(E202&lt;=30,"VENCE EM &lt;= 30 DIAS",IF(E202&lt;=60,"ATENCAO (31-60 DIAS)","OK"))))</f>
        <v/>
      </c>
      <c r="G202" s="11">
        <f>SUMIFS(Movimentacoes!$G:$G,Movimentacoes!$C:$C,$A202,Movimentacoes!$E:$E,$C202,Movimentacoes!$B:$B,"ENTRADA")</f>
        <v/>
      </c>
      <c r="H202" s="11">
        <f>SUMIFS(Movimentacoes!$G:$G,Movimentacoes!$C:$C,$A202,Movimentacoes!$E:$E,$C202,Movimentacoes!$B:$B,"SAIDA_USO")</f>
        <v/>
      </c>
      <c r="I202" s="11">
        <f>SUMIFS(Movimentacoes!$G:$G,Movimentacoes!$C:$C,$A202,Movimentacoes!$E:$E,$C202,Movimentacoes!$B:$B,"SAIDA_DESCARTE")</f>
        <v/>
      </c>
      <c r="J202" s="11">
        <f>G202-H202-I202</f>
        <v/>
      </c>
      <c r="K202" s="8">
        <f>IF(A202="","",IF(J202&lt;=IFERROR(VLOOKUP(A202,Cadastro_Produtos!$A:$E,5,FALSE),0),"ABAIXO DO MINIMO","OK"))</f>
        <v/>
      </c>
    </row>
    <row r="203">
      <c r="A203" s="7" t="n"/>
      <c r="B203" s="7">
        <f>IFERROR(VLOOKUP(A203,Cadastro_Produtos!A:B,2,FALSE),"")</f>
        <v/>
      </c>
      <c r="C203" s="7" t="n"/>
      <c r="D203" s="10" t="n"/>
      <c r="E203" s="11">
        <f>IF(D203="","",D203-TODAY())</f>
        <v/>
      </c>
      <c r="F203" s="8">
        <f>IF(D203="","",IF(E203&lt;0,"VENCIDO",IF(E203&lt;=30,"VENCE EM &lt;= 30 DIAS",IF(E203&lt;=60,"ATENCAO (31-60 DIAS)","OK"))))</f>
        <v/>
      </c>
      <c r="G203" s="11">
        <f>SUMIFS(Movimentacoes!$G:$G,Movimentacoes!$C:$C,$A203,Movimentacoes!$E:$E,$C203,Movimentacoes!$B:$B,"ENTRADA")</f>
        <v/>
      </c>
      <c r="H203" s="11">
        <f>SUMIFS(Movimentacoes!$G:$G,Movimentacoes!$C:$C,$A203,Movimentacoes!$E:$E,$C203,Movimentacoes!$B:$B,"SAIDA_USO")</f>
        <v/>
      </c>
      <c r="I203" s="11">
        <f>SUMIFS(Movimentacoes!$G:$G,Movimentacoes!$C:$C,$A203,Movimentacoes!$E:$E,$C203,Movimentacoes!$B:$B,"SAIDA_DESCARTE")</f>
        <v/>
      </c>
      <c r="J203" s="11">
        <f>G203-H203-I203</f>
        <v/>
      </c>
      <c r="K203" s="8">
        <f>IF(A203="","",IF(J203&lt;=IFERROR(VLOOKUP(A203,Cadastro_Produtos!$A:$E,5,FALSE),0),"ABAIXO DO MINIMO","OK"))</f>
        <v/>
      </c>
    </row>
    <row r="204">
      <c r="A204" s="7" t="n"/>
      <c r="B204" s="7">
        <f>IFERROR(VLOOKUP(A204,Cadastro_Produtos!A:B,2,FALSE),"")</f>
        <v/>
      </c>
      <c r="C204" s="7" t="n"/>
      <c r="D204" s="10" t="n"/>
      <c r="E204" s="11">
        <f>IF(D204="","",D204-TODAY())</f>
        <v/>
      </c>
      <c r="F204" s="8">
        <f>IF(D204="","",IF(E204&lt;0,"VENCIDO",IF(E204&lt;=30,"VENCE EM &lt;= 30 DIAS",IF(E204&lt;=60,"ATENCAO (31-60 DIAS)","OK"))))</f>
        <v/>
      </c>
      <c r="G204" s="11">
        <f>SUMIFS(Movimentacoes!$G:$G,Movimentacoes!$C:$C,$A204,Movimentacoes!$E:$E,$C204,Movimentacoes!$B:$B,"ENTRADA")</f>
        <v/>
      </c>
      <c r="H204" s="11">
        <f>SUMIFS(Movimentacoes!$G:$G,Movimentacoes!$C:$C,$A204,Movimentacoes!$E:$E,$C204,Movimentacoes!$B:$B,"SAIDA_USO")</f>
        <v/>
      </c>
      <c r="I204" s="11">
        <f>SUMIFS(Movimentacoes!$G:$G,Movimentacoes!$C:$C,$A204,Movimentacoes!$E:$E,$C204,Movimentacoes!$B:$B,"SAIDA_DESCARTE")</f>
        <v/>
      </c>
      <c r="J204" s="11">
        <f>G204-H204-I204</f>
        <v/>
      </c>
      <c r="K204" s="8">
        <f>IF(A204="","",IF(J204&lt;=IFERROR(VLOOKUP(A204,Cadastro_Produtos!$A:$E,5,FALSE),0),"ABAIXO DO MINIMO","OK"))</f>
        <v/>
      </c>
    </row>
    <row r="205">
      <c r="A205" s="7" t="n"/>
      <c r="B205" s="7">
        <f>IFERROR(VLOOKUP(A205,Cadastro_Produtos!A:B,2,FALSE),"")</f>
        <v/>
      </c>
      <c r="C205" s="7" t="n"/>
      <c r="D205" s="10" t="n"/>
      <c r="E205" s="11">
        <f>IF(D205="","",D205-TODAY())</f>
        <v/>
      </c>
      <c r="F205" s="8">
        <f>IF(D205="","",IF(E205&lt;0,"VENCIDO",IF(E205&lt;=30,"VENCE EM &lt;= 30 DIAS",IF(E205&lt;=60,"ATENCAO (31-60 DIAS)","OK"))))</f>
        <v/>
      </c>
      <c r="G205" s="11">
        <f>SUMIFS(Movimentacoes!$G:$G,Movimentacoes!$C:$C,$A205,Movimentacoes!$E:$E,$C205,Movimentacoes!$B:$B,"ENTRADA")</f>
        <v/>
      </c>
      <c r="H205" s="11">
        <f>SUMIFS(Movimentacoes!$G:$G,Movimentacoes!$C:$C,$A205,Movimentacoes!$E:$E,$C205,Movimentacoes!$B:$B,"SAIDA_USO")</f>
        <v/>
      </c>
      <c r="I205" s="11">
        <f>SUMIFS(Movimentacoes!$G:$G,Movimentacoes!$C:$C,$A205,Movimentacoes!$E:$E,$C205,Movimentacoes!$B:$B,"SAIDA_DESCARTE")</f>
        <v/>
      </c>
      <c r="J205" s="11">
        <f>G205-H205-I205</f>
        <v/>
      </c>
      <c r="K205" s="8">
        <f>IF(A205="","",IF(J205&lt;=IFERROR(VLOOKUP(A205,Cadastro_Produtos!$A:$E,5,FALSE),0),"ABAIXO DO MINIMO","OK"))</f>
        <v/>
      </c>
    </row>
    <row r="206">
      <c r="A206" s="7" t="n"/>
      <c r="B206" s="7">
        <f>IFERROR(VLOOKUP(A206,Cadastro_Produtos!A:B,2,FALSE),"")</f>
        <v/>
      </c>
      <c r="C206" s="7" t="n"/>
      <c r="D206" s="10" t="n"/>
      <c r="E206" s="11">
        <f>IF(D206="","",D206-TODAY())</f>
        <v/>
      </c>
      <c r="F206" s="8">
        <f>IF(D206="","",IF(E206&lt;0,"VENCIDO",IF(E206&lt;=30,"VENCE EM &lt;= 30 DIAS",IF(E206&lt;=60,"ATENCAO (31-60 DIAS)","OK"))))</f>
        <v/>
      </c>
      <c r="G206" s="11">
        <f>SUMIFS(Movimentacoes!$G:$G,Movimentacoes!$C:$C,$A206,Movimentacoes!$E:$E,$C206,Movimentacoes!$B:$B,"ENTRADA")</f>
        <v/>
      </c>
      <c r="H206" s="11">
        <f>SUMIFS(Movimentacoes!$G:$G,Movimentacoes!$C:$C,$A206,Movimentacoes!$E:$E,$C206,Movimentacoes!$B:$B,"SAIDA_USO")</f>
        <v/>
      </c>
      <c r="I206" s="11">
        <f>SUMIFS(Movimentacoes!$G:$G,Movimentacoes!$C:$C,$A206,Movimentacoes!$E:$E,$C206,Movimentacoes!$B:$B,"SAIDA_DESCARTE")</f>
        <v/>
      </c>
      <c r="J206" s="11">
        <f>G206-H206-I206</f>
        <v/>
      </c>
      <c r="K206" s="8">
        <f>IF(A206="","",IF(J206&lt;=IFERROR(VLOOKUP(A206,Cadastro_Produtos!$A:$E,5,FALSE),0),"ABAIXO DO MINIMO","OK"))</f>
        <v/>
      </c>
    </row>
    <row r="207">
      <c r="A207" s="7" t="n"/>
      <c r="B207" s="7">
        <f>IFERROR(VLOOKUP(A207,Cadastro_Produtos!A:B,2,FALSE),"")</f>
        <v/>
      </c>
      <c r="C207" s="7" t="n"/>
      <c r="D207" s="10" t="n"/>
      <c r="E207" s="11">
        <f>IF(D207="","",D207-TODAY())</f>
        <v/>
      </c>
      <c r="F207" s="8">
        <f>IF(D207="","",IF(E207&lt;0,"VENCIDO",IF(E207&lt;=30,"VENCE EM &lt;= 30 DIAS",IF(E207&lt;=60,"ATENCAO (31-60 DIAS)","OK"))))</f>
        <v/>
      </c>
      <c r="G207" s="11">
        <f>SUMIFS(Movimentacoes!$G:$G,Movimentacoes!$C:$C,$A207,Movimentacoes!$E:$E,$C207,Movimentacoes!$B:$B,"ENTRADA")</f>
        <v/>
      </c>
      <c r="H207" s="11">
        <f>SUMIFS(Movimentacoes!$G:$G,Movimentacoes!$C:$C,$A207,Movimentacoes!$E:$E,$C207,Movimentacoes!$B:$B,"SAIDA_USO")</f>
        <v/>
      </c>
      <c r="I207" s="11">
        <f>SUMIFS(Movimentacoes!$G:$G,Movimentacoes!$C:$C,$A207,Movimentacoes!$E:$E,$C207,Movimentacoes!$B:$B,"SAIDA_DESCARTE")</f>
        <v/>
      </c>
      <c r="J207" s="11">
        <f>G207-H207-I207</f>
        <v/>
      </c>
      <c r="K207" s="8">
        <f>IF(A207="","",IF(J207&lt;=IFERROR(VLOOKUP(A207,Cadastro_Produtos!$A:$E,5,FALSE),0),"ABAIXO DO MINIMO","OK"))</f>
        <v/>
      </c>
    </row>
    <row r="208">
      <c r="A208" s="7" t="n"/>
      <c r="B208" s="7">
        <f>IFERROR(VLOOKUP(A208,Cadastro_Produtos!A:B,2,FALSE),"")</f>
        <v/>
      </c>
      <c r="C208" s="7" t="n"/>
      <c r="D208" s="10" t="n"/>
      <c r="E208" s="11">
        <f>IF(D208="","",D208-TODAY())</f>
        <v/>
      </c>
      <c r="F208" s="8">
        <f>IF(D208="","",IF(E208&lt;0,"VENCIDO",IF(E208&lt;=30,"VENCE EM &lt;= 30 DIAS",IF(E208&lt;=60,"ATENCAO (31-60 DIAS)","OK"))))</f>
        <v/>
      </c>
      <c r="G208" s="11">
        <f>SUMIFS(Movimentacoes!$G:$G,Movimentacoes!$C:$C,$A208,Movimentacoes!$E:$E,$C208,Movimentacoes!$B:$B,"ENTRADA")</f>
        <v/>
      </c>
      <c r="H208" s="11">
        <f>SUMIFS(Movimentacoes!$G:$G,Movimentacoes!$C:$C,$A208,Movimentacoes!$E:$E,$C208,Movimentacoes!$B:$B,"SAIDA_USO")</f>
        <v/>
      </c>
      <c r="I208" s="11">
        <f>SUMIFS(Movimentacoes!$G:$G,Movimentacoes!$C:$C,$A208,Movimentacoes!$E:$E,$C208,Movimentacoes!$B:$B,"SAIDA_DESCARTE")</f>
        <v/>
      </c>
      <c r="J208" s="11">
        <f>G208-H208-I208</f>
        <v/>
      </c>
      <c r="K208" s="8">
        <f>IF(A208="","",IF(J208&lt;=IFERROR(VLOOKUP(A208,Cadastro_Produtos!$A:$E,5,FALSE),0),"ABAIXO DO MINIMO","OK"))</f>
        <v/>
      </c>
    </row>
    <row r="209">
      <c r="A209" s="7" t="n"/>
      <c r="B209" s="7">
        <f>IFERROR(VLOOKUP(A209,Cadastro_Produtos!A:B,2,FALSE),"")</f>
        <v/>
      </c>
      <c r="C209" s="7" t="n"/>
      <c r="D209" s="10" t="n"/>
      <c r="E209" s="11">
        <f>IF(D209="","",D209-TODAY())</f>
        <v/>
      </c>
      <c r="F209" s="8">
        <f>IF(D209="","",IF(E209&lt;0,"VENCIDO",IF(E209&lt;=30,"VENCE EM &lt;= 30 DIAS",IF(E209&lt;=60,"ATENCAO (31-60 DIAS)","OK"))))</f>
        <v/>
      </c>
      <c r="G209" s="11">
        <f>SUMIFS(Movimentacoes!$G:$G,Movimentacoes!$C:$C,$A209,Movimentacoes!$E:$E,$C209,Movimentacoes!$B:$B,"ENTRADA")</f>
        <v/>
      </c>
      <c r="H209" s="11">
        <f>SUMIFS(Movimentacoes!$G:$G,Movimentacoes!$C:$C,$A209,Movimentacoes!$E:$E,$C209,Movimentacoes!$B:$B,"SAIDA_USO")</f>
        <v/>
      </c>
      <c r="I209" s="11">
        <f>SUMIFS(Movimentacoes!$G:$G,Movimentacoes!$C:$C,$A209,Movimentacoes!$E:$E,$C209,Movimentacoes!$B:$B,"SAIDA_DESCARTE")</f>
        <v/>
      </c>
      <c r="J209" s="11">
        <f>G209-H209-I209</f>
        <v/>
      </c>
      <c r="K209" s="8">
        <f>IF(A209="","",IF(J209&lt;=IFERROR(VLOOKUP(A209,Cadastro_Produtos!$A:$E,5,FALSE),0),"ABAIXO DO MINIMO","OK"))</f>
        <v/>
      </c>
    </row>
    <row r="210">
      <c r="A210" s="7" t="n"/>
      <c r="B210" s="7">
        <f>IFERROR(VLOOKUP(A210,Cadastro_Produtos!A:B,2,FALSE),"")</f>
        <v/>
      </c>
      <c r="C210" s="7" t="n"/>
      <c r="D210" s="10" t="n"/>
      <c r="E210" s="11">
        <f>IF(D210="","",D210-TODAY())</f>
        <v/>
      </c>
      <c r="F210" s="8">
        <f>IF(D210="","",IF(E210&lt;0,"VENCIDO",IF(E210&lt;=30,"VENCE EM &lt;= 30 DIAS",IF(E210&lt;=60,"ATENCAO (31-60 DIAS)","OK"))))</f>
        <v/>
      </c>
      <c r="G210" s="11">
        <f>SUMIFS(Movimentacoes!$G:$G,Movimentacoes!$C:$C,$A210,Movimentacoes!$E:$E,$C210,Movimentacoes!$B:$B,"ENTRADA")</f>
        <v/>
      </c>
      <c r="H210" s="11">
        <f>SUMIFS(Movimentacoes!$G:$G,Movimentacoes!$C:$C,$A210,Movimentacoes!$E:$E,$C210,Movimentacoes!$B:$B,"SAIDA_USO")</f>
        <v/>
      </c>
      <c r="I210" s="11">
        <f>SUMIFS(Movimentacoes!$G:$G,Movimentacoes!$C:$C,$A210,Movimentacoes!$E:$E,$C210,Movimentacoes!$B:$B,"SAIDA_DESCARTE")</f>
        <v/>
      </c>
      <c r="J210" s="11">
        <f>G210-H210-I210</f>
        <v/>
      </c>
      <c r="K210" s="8">
        <f>IF(A210="","",IF(J210&lt;=IFERROR(VLOOKUP(A210,Cadastro_Produtos!$A:$E,5,FALSE),0),"ABAIXO DO MINIMO","OK"))</f>
        <v/>
      </c>
    </row>
    <row r="211">
      <c r="A211" s="7" t="n"/>
      <c r="B211" s="7">
        <f>IFERROR(VLOOKUP(A211,Cadastro_Produtos!A:B,2,FALSE),"")</f>
        <v/>
      </c>
      <c r="C211" s="7" t="n"/>
      <c r="D211" s="10" t="n"/>
      <c r="E211" s="11">
        <f>IF(D211="","",D211-TODAY())</f>
        <v/>
      </c>
      <c r="F211" s="8">
        <f>IF(D211="","",IF(E211&lt;0,"VENCIDO",IF(E211&lt;=30,"VENCE EM &lt;= 30 DIAS",IF(E211&lt;=60,"ATENCAO (31-60 DIAS)","OK"))))</f>
        <v/>
      </c>
      <c r="G211" s="11">
        <f>SUMIFS(Movimentacoes!$G:$G,Movimentacoes!$C:$C,$A211,Movimentacoes!$E:$E,$C211,Movimentacoes!$B:$B,"ENTRADA")</f>
        <v/>
      </c>
      <c r="H211" s="11">
        <f>SUMIFS(Movimentacoes!$G:$G,Movimentacoes!$C:$C,$A211,Movimentacoes!$E:$E,$C211,Movimentacoes!$B:$B,"SAIDA_USO")</f>
        <v/>
      </c>
      <c r="I211" s="11">
        <f>SUMIFS(Movimentacoes!$G:$G,Movimentacoes!$C:$C,$A211,Movimentacoes!$E:$E,$C211,Movimentacoes!$B:$B,"SAIDA_DESCARTE")</f>
        <v/>
      </c>
      <c r="J211" s="11">
        <f>G211-H211-I211</f>
        <v/>
      </c>
      <c r="K211" s="8">
        <f>IF(A211="","",IF(J211&lt;=IFERROR(VLOOKUP(A211,Cadastro_Produtos!$A:$E,5,FALSE),0),"ABAIXO DO MINIMO","OK"))</f>
        <v/>
      </c>
    </row>
    <row r="212">
      <c r="A212" s="7" t="n"/>
      <c r="B212" s="7">
        <f>IFERROR(VLOOKUP(A212,Cadastro_Produtos!A:B,2,FALSE),"")</f>
        <v/>
      </c>
      <c r="C212" s="7" t="n"/>
      <c r="D212" s="10" t="n"/>
      <c r="E212" s="11">
        <f>IF(D212="","",D212-TODAY())</f>
        <v/>
      </c>
      <c r="F212" s="8">
        <f>IF(D212="","",IF(E212&lt;0,"VENCIDO",IF(E212&lt;=30,"VENCE EM &lt;= 30 DIAS",IF(E212&lt;=60,"ATENCAO (31-60 DIAS)","OK"))))</f>
        <v/>
      </c>
      <c r="G212" s="11">
        <f>SUMIFS(Movimentacoes!$G:$G,Movimentacoes!$C:$C,$A212,Movimentacoes!$E:$E,$C212,Movimentacoes!$B:$B,"ENTRADA")</f>
        <v/>
      </c>
      <c r="H212" s="11">
        <f>SUMIFS(Movimentacoes!$G:$G,Movimentacoes!$C:$C,$A212,Movimentacoes!$E:$E,$C212,Movimentacoes!$B:$B,"SAIDA_USO")</f>
        <v/>
      </c>
      <c r="I212" s="11">
        <f>SUMIFS(Movimentacoes!$G:$G,Movimentacoes!$C:$C,$A212,Movimentacoes!$E:$E,$C212,Movimentacoes!$B:$B,"SAIDA_DESCARTE")</f>
        <v/>
      </c>
      <c r="J212" s="11">
        <f>G212-H212-I212</f>
        <v/>
      </c>
      <c r="K212" s="8">
        <f>IF(A212="","",IF(J212&lt;=IFERROR(VLOOKUP(A212,Cadastro_Produtos!$A:$E,5,FALSE),0),"ABAIXO DO MINIMO","OK"))</f>
        <v/>
      </c>
    </row>
    <row r="213">
      <c r="A213" s="7" t="n"/>
      <c r="B213" s="7">
        <f>IFERROR(VLOOKUP(A213,Cadastro_Produtos!A:B,2,FALSE),"")</f>
        <v/>
      </c>
      <c r="C213" s="7" t="n"/>
      <c r="D213" s="10" t="n"/>
      <c r="E213" s="11">
        <f>IF(D213="","",D213-TODAY())</f>
        <v/>
      </c>
      <c r="F213" s="8">
        <f>IF(D213="","",IF(E213&lt;0,"VENCIDO",IF(E213&lt;=30,"VENCE EM &lt;= 30 DIAS",IF(E213&lt;=60,"ATENCAO (31-60 DIAS)","OK"))))</f>
        <v/>
      </c>
      <c r="G213" s="11">
        <f>SUMIFS(Movimentacoes!$G:$G,Movimentacoes!$C:$C,$A213,Movimentacoes!$E:$E,$C213,Movimentacoes!$B:$B,"ENTRADA")</f>
        <v/>
      </c>
      <c r="H213" s="11">
        <f>SUMIFS(Movimentacoes!$G:$G,Movimentacoes!$C:$C,$A213,Movimentacoes!$E:$E,$C213,Movimentacoes!$B:$B,"SAIDA_USO")</f>
        <v/>
      </c>
      <c r="I213" s="11">
        <f>SUMIFS(Movimentacoes!$G:$G,Movimentacoes!$C:$C,$A213,Movimentacoes!$E:$E,$C213,Movimentacoes!$B:$B,"SAIDA_DESCARTE")</f>
        <v/>
      </c>
      <c r="J213" s="11">
        <f>G213-H213-I213</f>
        <v/>
      </c>
      <c r="K213" s="8">
        <f>IF(A213="","",IF(J213&lt;=IFERROR(VLOOKUP(A213,Cadastro_Produtos!$A:$E,5,FALSE),0),"ABAIXO DO MINIMO","OK"))</f>
        <v/>
      </c>
    </row>
    <row r="214">
      <c r="A214" s="7" t="n"/>
      <c r="B214" s="7">
        <f>IFERROR(VLOOKUP(A214,Cadastro_Produtos!A:B,2,FALSE),"")</f>
        <v/>
      </c>
      <c r="C214" s="7" t="n"/>
      <c r="D214" s="10" t="n"/>
      <c r="E214" s="11">
        <f>IF(D214="","",D214-TODAY())</f>
        <v/>
      </c>
      <c r="F214" s="8">
        <f>IF(D214="","",IF(E214&lt;0,"VENCIDO",IF(E214&lt;=30,"VENCE EM &lt;= 30 DIAS",IF(E214&lt;=60,"ATENCAO (31-60 DIAS)","OK"))))</f>
        <v/>
      </c>
      <c r="G214" s="11">
        <f>SUMIFS(Movimentacoes!$G:$G,Movimentacoes!$C:$C,$A214,Movimentacoes!$E:$E,$C214,Movimentacoes!$B:$B,"ENTRADA")</f>
        <v/>
      </c>
      <c r="H214" s="11">
        <f>SUMIFS(Movimentacoes!$G:$G,Movimentacoes!$C:$C,$A214,Movimentacoes!$E:$E,$C214,Movimentacoes!$B:$B,"SAIDA_USO")</f>
        <v/>
      </c>
      <c r="I214" s="11">
        <f>SUMIFS(Movimentacoes!$G:$G,Movimentacoes!$C:$C,$A214,Movimentacoes!$E:$E,$C214,Movimentacoes!$B:$B,"SAIDA_DESCARTE")</f>
        <v/>
      </c>
      <c r="J214" s="11">
        <f>G214-H214-I214</f>
        <v/>
      </c>
      <c r="K214" s="8">
        <f>IF(A214="","",IF(J214&lt;=IFERROR(VLOOKUP(A214,Cadastro_Produtos!$A:$E,5,FALSE),0),"ABAIXO DO MINIMO","OK"))</f>
        <v/>
      </c>
    </row>
    <row r="215">
      <c r="A215" s="7" t="n"/>
      <c r="B215" s="7">
        <f>IFERROR(VLOOKUP(A215,Cadastro_Produtos!A:B,2,FALSE),"")</f>
        <v/>
      </c>
      <c r="C215" s="7" t="n"/>
      <c r="D215" s="10" t="n"/>
      <c r="E215" s="11">
        <f>IF(D215="","",D215-TODAY())</f>
        <v/>
      </c>
      <c r="F215" s="8">
        <f>IF(D215="","",IF(E215&lt;0,"VENCIDO",IF(E215&lt;=30,"VENCE EM &lt;= 30 DIAS",IF(E215&lt;=60,"ATENCAO (31-60 DIAS)","OK"))))</f>
        <v/>
      </c>
      <c r="G215" s="11">
        <f>SUMIFS(Movimentacoes!$G:$G,Movimentacoes!$C:$C,$A215,Movimentacoes!$E:$E,$C215,Movimentacoes!$B:$B,"ENTRADA")</f>
        <v/>
      </c>
      <c r="H215" s="11">
        <f>SUMIFS(Movimentacoes!$G:$G,Movimentacoes!$C:$C,$A215,Movimentacoes!$E:$E,$C215,Movimentacoes!$B:$B,"SAIDA_USO")</f>
        <v/>
      </c>
      <c r="I215" s="11">
        <f>SUMIFS(Movimentacoes!$G:$G,Movimentacoes!$C:$C,$A215,Movimentacoes!$E:$E,$C215,Movimentacoes!$B:$B,"SAIDA_DESCARTE")</f>
        <v/>
      </c>
      <c r="J215" s="11">
        <f>G215-H215-I215</f>
        <v/>
      </c>
      <c r="K215" s="8">
        <f>IF(A215="","",IF(J215&lt;=IFERROR(VLOOKUP(A215,Cadastro_Produtos!$A:$E,5,FALSE),0),"ABAIXO DO MINIMO","OK"))</f>
        <v/>
      </c>
    </row>
    <row r="216">
      <c r="A216" s="7" t="n"/>
      <c r="B216" s="7">
        <f>IFERROR(VLOOKUP(A216,Cadastro_Produtos!A:B,2,FALSE),"")</f>
        <v/>
      </c>
      <c r="C216" s="7" t="n"/>
      <c r="D216" s="10" t="n"/>
      <c r="E216" s="11">
        <f>IF(D216="","",D216-TODAY())</f>
        <v/>
      </c>
      <c r="F216" s="8">
        <f>IF(D216="","",IF(E216&lt;0,"VENCIDO",IF(E216&lt;=30,"VENCE EM &lt;= 30 DIAS",IF(E216&lt;=60,"ATENCAO (31-60 DIAS)","OK"))))</f>
        <v/>
      </c>
      <c r="G216" s="11">
        <f>SUMIFS(Movimentacoes!$G:$G,Movimentacoes!$C:$C,$A216,Movimentacoes!$E:$E,$C216,Movimentacoes!$B:$B,"ENTRADA")</f>
        <v/>
      </c>
      <c r="H216" s="11">
        <f>SUMIFS(Movimentacoes!$G:$G,Movimentacoes!$C:$C,$A216,Movimentacoes!$E:$E,$C216,Movimentacoes!$B:$B,"SAIDA_USO")</f>
        <v/>
      </c>
      <c r="I216" s="11">
        <f>SUMIFS(Movimentacoes!$G:$G,Movimentacoes!$C:$C,$A216,Movimentacoes!$E:$E,$C216,Movimentacoes!$B:$B,"SAIDA_DESCARTE")</f>
        <v/>
      </c>
      <c r="J216" s="11">
        <f>G216-H216-I216</f>
        <v/>
      </c>
      <c r="K216" s="8">
        <f>IF(A216="","",IF(J216&lt;=IFERROR(VLOOKUP(A216,Cadastro_Produtos!$A:$E,5,FALSE),0),"ABAIXO DO MINIMO","OK"))</f>
        <v/>
      </c>
    </row>
    <row r="217">
      <c r="A217" s="7" t="n"/>
      <c r="B217" s="7">
        <f>IFERROR(VLOOKUP(A217,Cadastro_Produtos!A:B,2,FALSE),"")</f>
        <v/>
      </c>
      <c r="C217" s="7" t="n"/>
      <c r="D217" s="10" t="n"/>
      <c r="E217" s="11">
        <f>IF(D217="","",D217-TODAY())</f>
        <v/>
      </c>
      <c r="F217" s="8">
        <f>IF(D217="","",IF(E217&lt;0,"VENCIDO",IF(E217&lt;=30,"VENCE EM &lt;= 30 DIAS",IF(E217&lt;=60,"ATENCAO (31-60 DIAS)","OK"))))</f>
        <v/>
      </c>
      <c r="G217" s="11">
        <f>SUMIFS(Movimentacoes!$G:$G,Movimentacoes!$C:$C,$A217,Movimentacoes!$E:$E,$C217,Movimentacoes!$B:$B,"ENTRADA")</f>
        <v/>
      </c>
      <c r="H217" s="11">
        <f>SUMIFS(Movimentacoes!$G:$G,Movimentacoes!$C:$C,$A217,Movimentacoes!$E:$E,$C217,Movimentacoes!$B:$B,"SAIDA_USO")</f>
        <v/>
      </c>
      <c r="I217" s="11">
        <f>SUMIFS(Movimentacoes!$G:$G,Movimentacoes!$C:$C,$A217,Movimentacoes!$E:$E,$C217,Movimentacoes!$B:$B,"SAIDA_DESCARTE")</f>
        <v/>
      </c>
      <c r="J217" s="11">
        <f>G217-H217-I217</f>
        <v/>
      </c>
      <c r="K217" s="8">
        <f>IF(A217="","",IF(J217&lt;=IFERROR(VLOOKUP(A217,Cadastro_Produtos!$A:$E,5,FALSE),0),"ABAIXO DO MINIMO","OK"))</f>
        <v/>
      </c>
    </row>
    <row r="218">
      <c r="A218" s="7" t="n"/>
      <c r="B218" s="7">
        <f>IFERROR(VLOOKUP(A218,Cadastro_Produtos!A:B,2,FALSE),"")</f>
        <v/>
      </c>
      <c r="C218" s="7" t="n"/>
      <c r="D218" s="10" t="n"/>
      <c r="E218" s="11">
        <f>IF(D218="","",D218-TODAY())</f>
        <v/>
      </c>
      <c r="F218" s="8">
        <f>IF(D218="","",IF(E218&lt;0,"VENCIDO",IF(E218&lt;=30,"VENCE EM &lt;= 30 DIAS",IF(E218&lt;=60,"ATENCAO (31-60 DIAS)","OK"))))</f>
        <v/>
      </c>
      <c r="G218" s="11">
        <f>SUMIFS(Movimentacoes!$G:$G,Movimentacoes!$C:$C,$A218,Movimentacoes!$E:$E,$C218,Movimentacoes!$B:$B,"ENTRADA")</f>
        <v/>
      </c>
      <c r="H218" s="11">
        <f>SUMIFS(Movimentacoes!$G:$G,Movimentacoes!$C:$C,$A218,Movimentacoes!$E:$E,$C218,Movimentacoes!$B:$B,"SAIDA_USO")</f>
        <v/>
      </c>
      <c r="I218" s="11">
        <f>SUMIFS(Movimentacoes!$G:$G,Movimentacoes!$C:$C,$A218,Movimentacoes!$E:$E,$C218,Movimentacoes!$B:$B,"SAIDA_DESCARTE")</f>
        <v/>
      </c>
      <c r="J218" s="11">
        <f>G218-H218-I218</f>
        <v/>
      </c>
      <c r="K218" s="8">
        <f>IF(A218="","",IF(J218&lt;=IFERROR(VLOOKUP(A218,Cadastro_Produtos!$A:$E,5,FALSE),0),"ABAIXO DO MINIMO","OK"))</f>
        <v/>
      </c>
    </row>
    <row r="219">
      <c r="A219" s="7" t="n"/>
      <c r="B219" s="7">
        <f>IFERROR(VLOOKUP(A219,Cadastro_Produtos!A:B,2,FALSE),"")</f>
        <v/>
      </c>
      <c r="C219" s="7" t="n"/>
      <c r="D219" s="10" t="n"/>
      <c r="E219" s="11">
        <f>IF(D219="","",D219-TODAY())</f>
        <v/>
      </c>
      <c r="F219" s="8">
        <f>IF(D219="","",IF(E219&lt;0,"VENCIDO",IF(E219&lt;=30,"VENCE EM &lt;= 30 DIAS",IF(E219&lt;=60,"ATENCAO (31-60 DIAS)","OK"))))</f>
        <v/>
      </c>
      <c r="G219" s="11">
        <f>SUMIFS(Movimentacoes!$G:$G,Movimentacoes!$C:$C,$A219,Movimentacoes!$E:$E,$C219,Movimentacoes!$B:$B,"ENTRADA")</f>
        <v/>
      </c>
      <c r="H219" s="11">
        <f>SUMIFS(Movimentacoes!$G:$G,Movimentacoes!$C:$C,$A219,Movimentacoes!$E:$E,$C219,Movimentacoes!$B:$B,"SAIDA_USO")</f>
        <v/>
      </c>
      <c r="I219" s="11">
        <f>SUMIFS(Movimentacoes!$G:$G,Movimentacoes!$C:$C,$A219,Movimentacoes!$E:$E,$C219,Movimentacoes!$B:$B,"SAIDA_DESCARTE")</f>
        <v/>
      </c>
      <c r="J219" s="11">
        <f>G219-H219-I219</f>
        <v/>
      </c>
      <c r="K219" s="8">
        <f>IF(A219="","",IF(J219&lt;=IFERROR(VLOOKUP(A219,Cadastro_Produtos!$A:$E,5,FALSE),0),"ABAIXO DO MINIMO","OK"))</f>
        <v/>
      </c>
    </row>
    <row r="220">
      <c r="A220" s="7" t="n"/>
      <c r="B220" s="7">
        <f>IFERROR(VLOOKUP(A220,Cadastro_Produtos!A:B,2,FALSE),"")</f>
        <v/>
      </c>
      <c r="C220" s="7" t="n"/>
      <c r="D220" s="10" t="n"/>
      <c r="E220" s="11">
        <f>IF(D220="","",D220-TODAY())</f>
        <v/>
      </c>
      <c r="F220" s="8">
        <f>IF(D220="","",IF(E220&lt;0,"VENCIDO",IF(E220&lt;=30,"VENCE EM &lt;= 30 DIAS",IF(E220&lt;=60,"ATENCAO (31-60 DIAS)","OK"))))</f>
        <v/>
      </c>
      <c r="G220" s="11">
        <f>SUMIFS(Movimentacoes!$G:$G,Movimentacoes!$C:$C,$A220,Movimentacoes!$E:$E,$C220,Movimentacoes!$B:$B,"ENTRADA")</f>
        <v/>
      </c>
      <c r="H220" s="11">
        <f>SUMIFS(Movimentacoes!$G:$G,Movimentacoes!$C:$C,$A220,Movimentacoes!$E:$E,$C220,Movimentacoes!$B:$B,"SAIDA_USO")</f>
        <v/>
      </c>
      <c r="I220" s="11">
        <f>SUMIFS(Movimentacoes!$G:$G,Movimentacoes!$C:$C,$A220,Movimentacoes!$E:$E,$C220,Movimentacoes!$B:$B,"SAIDA_DESCARTE")</f>
        <v/>
      </c>
      <c r="J220" s="11">
        <f>G220-H220-I220</f>
        <v/>
      </c>
      <c r="K220" s="8">
        <f>IF(A220="","",IF(J220&lt;=IFERROR(VLOOKUP(A220,Cadastro_Produtos!$A:$E,5,FALSE),0),"ABAIXO DO MINIMO","OK"))</f>
        <v/>
      </c>
    </row>
    <row r="221">
      <c r="B221">
        <f>IFERROR(VLOOKUP(A221,Cadastro_Produtos!A:B,2,FALSE),"")</f>
        <v/>
      </c>
      <c r="D221" s="12" t="n"/>
      <c r="E221" s="13">
        <f>IF(D221="","",D221-TODAY())</f>
        <v/>
      </c>
      <c r="F221">
        <f>IF(D221="","",IF(E221&lt;0,"VENCIDO",IF(E221&lt;=30,"VENCE EM &lt;= 30 DIAS",IF(E221&lt;=60,"ATENCAO (31-60 DIAS)","OK"))))</f>
        <v/>
      </c>
      <c r="G221" s="13">
        <f>SUMIFS(Movimentacoes!$G:$G,Movimentacoes!$C:$C,$A221,Movimentacoes!$E:$E,$C221,Movimentacoes!$B:$B,"ENTRADA")</f>
        <v/>
      </c>
      <c r="H221" s="13">
        <f>SUMIFS(Movimentacoes!$G:$G,Movimentacoes!$C:$C,$A221,Movimentacoes!$E:$E,$C221,Movimentacoes!$B:$B,"SAIDA_USO")</f>
        <v/>
      </c>
      <c r="I221" s="13">
        <f>SUMIFS(Movimentacoes!$G:$G,Movimentacoes!$C:$C,$A221,Movimentacoes!$E:$E,$C221,Movimentacoes!$B:$B,"SAIDA_DESCARTE")</f>
        <v/>
      </c>
      <c r="J221" s="13">
        <f>G221-H221-I221</f>
        <v/>
      </c>
      <c r="K221">
        <f>IF(A221="","",IF(J221&lt;=IFERROR(VLOOKUP(A221,Cadastro_Produtos!$A:$E,5,FALSE),0),"ABAIXO DO MINIMO","OK"))</f>
        <v/>
      </c>
    </row>
    <row r="222">
      <c r="B222">
        <f>IFERROR(VLOOKUP(A222,Cadastro_Produtos!A:B,2,FALSE),"")</f>
        <v/>
      </c>
      <c r="D222" s="12" t="n"/>
      <c r="E222" s="13">
        <f>IF(D222="","",D222-TODAY())</f>
        <v/>
      </c>
      <c r="F222">
        <f>IF(D222="","",IF(E222&lt;0,"VENCIDO",IF(E222&lt;=30,"VENCE EM &lt;= 30 DIAS",IF(E222&lt;=60,"ATENCAO (31-60 DIAS)","OK"))))</f>
        <v/>
      </c>
      <c r="G222" s="13">
        <f>SUMIFS(Movimentacoes!$G:$G,Movimentacoes!$C:$C,$A222,Movimentacoes!$E:$E,$C222,Movimentacoes!$B:$B,"ENTRADA")</f>
        <v/>
      </c>
      <c r="H222" s="13">
        <f>SUMIFS(Movimentacoes!$G:$G,Movimentacoes!$C:$C,$A222,Movimentacoes!$E:$E,$C222,Movimentacoes!$B:$B,"SAIDA_USO")</f>
        <v/>
      </c>
      <c r="I222" s="13">
        <f>SUMIFS(Movimentacoes!$G:$G,Movimentacoes!$C:$C,$A222,Movimentacoes!$E:$E,$C222,Movimentacoes!$B:$B,"SAIDA_DESCARTE")</f>
        <v/>
      </c>
      <c r="J222" s="13">
        <f>G222-H222-I222</f>
        <v/>
      </c>
      <c r="K222">
        <f>IF(A222="","",IF(J222&lt;=IFERROR(VLOOKUP(A222,Cadastro_Produtos!$A:$E,5,FALSE),0),"ABAIXO DO MINIMO","OK"))</f>
        <v/>
      </c>
    </row>
    <row r="223">
      <c r="B223">
        <f>IFERROR(VLOOKUP(A223,Cadastro_Produtos!A:B,2,FALSE),"")</f>
        <v/>
      </c>
      <c r="D223" s="12" t="n"/>
      <c r="E223" s="13">
        <f>IF(D223="","",D223-TODAY())</f>
        <v/>
      </c>
      <c r="F223">
        <f>IF(D223="","",IF(E223&lt;0,"VENCIDO",IF(E223&lt;=30,"VENCE EM &lt;= 30 DIAS",IF(E223&lt;=60,"ATENCAO (31-60 DIAS)","OK"))))</f>
        <v/>
      </c>
      <c r="G223" s="13">
        <f>SUMIFS(Movimentacoes!$G:$G,Movimentacoes!$C:$C,$A223,Movimentacoes!$E:$E,$C223,Movimentacoes!$B:$B,"ENTRADA")</f>
        <v/>
      </c>
      <c r="H223" s="13">
        <f>SUMIFS(Movimentacoes!$G:$G,Movimentacoes!$C:$C,$A223,Movimentacoes!$E:$E,$C223,Movimentacoes!$B:$B,"SAIDA_USO")</f>
        <v/>
      </c>
      <c r="I223" s="13">
        <f>SUMIFS(Movimentacoes!$G:$G,Movimentacoes!$C:$C,$A223,Movimentacoes!$E:$E,$C223,Movimentacoes!$B:$B,"SAIDA_DESCARTE")</f>
        <v/>
      </c>
      <c r="J223" s="13">
        <f>G223-H223-I223</f>
        <v/>
      </c>
      <c r="K223">
        <f>IF(A223="","",IF(J223&lt;=IFERROR(VLOOKUP(A223,Cadastro_Produtos!$A:$E,5,FALSE),0),"ABAIXO DO MINIMO","OK"))</f>
        <v/>
      </c>
    </row>
    <row r="224">
      <c r="B224">
        <f>IFERROR(VLOOKUP(A224,Cadastro_Produtos!A:B,2,FALSE),"")</f>
        <v/>
      </c>
      <c r="D224" s="12" t="n"/>
      <c r="E224" s="13">
        <f>IF(D224="","",D224-TODAY())</f>
        <v/>
      </c>
      <c r="F224">
        <f>IF(D224="","",IF(E224&lt;0,"VENCIDO",IF(E224&lt;=30,"VENCE EM &lt;= 30 DIAS",IF(E224&lt;=60,"ATENCAO (31-60 DIAS)","OK"))))</f>
        <v/>
      </c>
      <c r="G224" s="13">
        <f>SUMIFS(Movimentacoes!$G:$G,Movimentacoes!$C:$C,$A224,Movimentacoes!$E:$E,$C224,Movimentacoes!$B:$B,"ENTRADA")</f>
        <v/>
      </c>
      <c r="H224" s="13">
        <f>SUMIFS(Movimentacoes!$G:$G,Movimentacoes!$C:$C,$A224,Movimentacoes!$E:$E,$C224,Movimentacoes!$B:$B,"SAIDA_USO")</f>
        <v/>
      </c>
      <c r="I224" s="13">
        <f>SUMIFS(Movimentacoes!$G:$G,Movimentacoes!$C:$C,$A224,Movimentacoes!$E:$E,$C224,Movimentacoes!$B:$B,"SAIDA_DESCARTE")</f>
        <v/>
      </c>
      <c r="J224" s="13">
        <f>G224-H224-I224</f>
        <v/>
      </c>
      <c r="K224">
        <f>IF(A224="","",IF(J224&lt;=IFERROR(VLOOKUP(A224,Cadastro_Produtos!$A:$E,5,FALSE),0),"ABAIXO DO MINIMO","OK"))</f>
        <v/>
      </c>
    </row>
    <row r="225">
      <c r="B225">
        <f>IFERROR(VLOOKUP(A225,Cadastro_Produtos!A:B,2,FALSE),"")</f>
        <v/>
      </c>
      <c r="D225" s="12" t="n"/>
      <c r="E225" s="13">
        <f>IF(D225="","",D225-TODAY())</f>
        <v/>
      </c>
      <c r="F225">
        <f>IF(D225="","",IF(E225&lt;0,"VENCIDO",IF(E225&lt;=30,"VENCE EM &lt;= 30 DIAS",IF(E225&lt;=60,"ATENCAO (31-60 DIAS)","OK"))))</f>
        <v/>
      </c>
      <c r="G225" s="13">
        <f>SUMIFS(Movimentacoes!$G:$G,Movimentacoes!$C:$C,$A225,Movimentacoes!$E:$E,$C225,Movimentacoes!$B:$B,"ENTRADA")</f>
        <v/>
      </c>
      <c r="H225" s="13">
        <f>SUMIFS(Movimentacoes!$G:$G,Movimentacoes!$C:$C,$A225,Movimentacoes!$E:$E,$C225,Movimentacoes!$B:$B,"SAIDA_USO")</f>
        <v/>
      </c>
      <c r="I225" s="13">
        <f>SUMIFS(Movimentacoes!$G:$G,Movimentacoes!$C:$C,$A225,Movimentacoes!$E:$E,$C225,Movimentacoes!$B:$B,"SAIDA_DESCARTE")</f>
        <v/>
      </c>
      <c r="J225" s="13">
        <f>G225-H225-I225</f>
        <v/>
      </c>
      <c r="K225">
        <f>IF(A225="","",IF(J225&lt;=IFERROR(VLOOKUP(A225,Cadastro_Produtos!$A:$E,5,FALSE),0),"ABAIXO DO MINIMO","OK"))</f>
        <v/>
      </c>
    </row>
    <row r="226">
      <c r="B226">
        <f>IFERROR(VLOOKUP(A226,Cadastro_Produtos!A:B,2,FALSE),"")</f>
        <v/>
      </c>
      <c r="D226" s="12" t="n"/>
      <c r="E226" s="13">
        <f>IF(D226="","",D226-TODAY())</f>
        <v/>
      </c>
      <c r="F226">
        <f>IF(D226="","",IF(E226&lt;0,"VENCIDO",IF(E226&lt;=30,"VENCE EM &lt;= 30 DIAS",IF(E226&lt;=60,"ATENCAO (31-60 DIAS)","OK"))))</f>
        <v/>
      </c>
      <c r="G226" s="13">
        <f>SUMIFS(Movimentacoes!$G:$G,Movimentacoes!$C:$C,$A226,Movimentacoes!$E:$E,$C226,Movimentacoes!$B:$B,"ENTRADA")</f>
        <v/>
      </c>
      <c r="H226" s="13">
        <f>SUMIFS(Movimentacoes!$G:$G,Movimentacoes!$C:$C,$A226,Movimentacoes!$E:$E,$C226,Movimentacoes!$B:$B,"SAIDA_USO")</f>
        <v/>
      </c>
      <c r="I226" s="13">
        <f>SUMIFS(Movimentacoes!$G:$G,Movimentacoes!$C:$C,$A226,Movimentacoes!$E:$E,$C226,Movimentacoes!$B:$B,"SAIDA_DESCARTE")</f>
        <v/>
      </c>
      <c r="J226" s="13">
        <f>G226-H226-I226</f>
        <v/>
      </c>
      <c r="K226">
        <f>IF(A226="","",IF(J226&lt;=IFERROR(VLOOKUP(A226,Cadastro_Produtos!$A:$E,5,FALSE),0),"ABAIXO DO MINIMO","OK"))</f>
        <v/>
      </c>
    </row>
    <row r="227">
      <c r="B227">
        <f>IFERROR(VLOOKUP(A227,Cadastro_Produtos!A:B,2,FALSE),"")</f>
        <v/>
      </c>
      <c r="D227" s="12" t="n"/>
      <c r="E227" s="13">
        <f>IF(D227="","",D227-TODAY())</f>
        <v/>
      </c>
      <c r="F227">
        <f>IF(D227="","",IF(E227&lt;0,"VENCIDO",IF(E227&lt;=30,"VENCE EM &lt;= 30 DIAS",IF(E227&lt;=60,"ATENCAO (31-60 DIAS)","OK"))))</f>
        <v/>
      </c>
      <c r="G227" s="13">
        <f>SUMIFS(Movimentacoes!$G:$G,Movimentacoes!$C:$C,$A227,Movimentacoes!$E:$E,$C227,Movimentacoes!$B:$B,"ENTRADA")</f>
        <v/>
      </c>
      <c r="H227" s="13">
        <f>SUMIFS(Movimentacoes!$G:$G,Movimentacoes!$C:$C,$A227,Movimentacoes!$E:$E,$C227,Movimentacoes!$B:$B,"SAIDA_USO")</f>
        <v/>
      </c>
      <c r="I227" s="13">
        <f>SUMIFS(Movimentacoes!$G:$G,Movimentacoes!$C:$C,$A227,Movimentacoes!$E:$E,$C227,Movimentacoes!$B:$B,"SAIDA_DESCARTE")</f>
        <v/>
      </c>
      <c r="J227" s="13">
        <f>G227-H227-I227</f>
        <v/>
      </c>
      <c r="K227">
        <f>IF(A227="","",IF(J227&lt;=IFERROR(VLOOKUP(A227,Cadastro_Produtos!$A:$E,5,FALSE),0),"ABAIXO DO MINIMO","OK"))</f>
        <v/>
      </c>
    </row>
    <row r="228">
      <c r="B228">
        <f>IFERROR(VLOOKUP(A228,Cadastro_Produtos!A:B,2,FALSE),"")</f>
        <v/>
      </c>
      <c r="D228" s="12" t="n"/>
      <c r="E228" s="13">
        <f>IF(D228="","",D228-TODAY())</f>
        <v/>
      </c>
      <c r="F228">
        <f>IF(D228="","",IF(E228&lt;0,"VENCIDO",IF(E228&lt;=30,"VENCE EM &lt;= 30 DIAS",IF(E228&lt;=60,"ATENCAO (31-60 DIAS)","OK"))))</f>
        <v/>
      </c>
      <c r="G228" s="13">
        <f>SUMIFS(Movimentacoes!$G:$G,Movimentacoes!$C:$C,$A228,Movimentacoes!$E:$E,$C228,Movimentacoes!$B:$B,"ENTRADA")</f>
        <v/>
      </c>
      <c r="H228" s="13">
        <f>SUMIFS(Movimentacoes!$G:$G,Movimentacoes!$C:$C,$A228,Movimentacoes!$E:$E,$C228,Movimentacoes!$B:$B,"SAIDA_USO")</f>
        <v/>
      </c>
      <c r="I228" s="13">
        <f>SUMIFS(Movimentacoes!$G:$G,Movimentacoes!$C:$C,$A228,Movimentacoes!$E:$E,$C228,Movimentacoes!$B:$B,"SAIDA_DESCARTE")</f>
        <v/>
      </c>
      <c r="J228" s="13">
        <f>G228-H228-I228</f>
        <v/>
      </c>
      <c r="K228">
        <f>IF(A228="","",IF(J228&lt;=IFERROR(VLOOKUP(A228,Cadastro_Produtos!$A:$E,5,FALSE),0),"ABAIXO DO MINIMO","OK"))</f>
        <v/>
      </c>
    </row>
    <row r="229">
      <c r="B229">
        <f>IFERROR(VLOOKUP(A229,Cadastro_Produtos!A:B,2,FALSE),"")</f>
        <v/>
      </c>
      <c r="D229" s="12" t="n"/>
      <c r="E229" s="13">
        <f>IF(D229="","",D229-TODAY())</f>
        <v/>
      </c>
      <c r="F229">
        <f>IF(D229="","",IF(E229&lt;0,"VENCIDO",IF(E229&lt;=30,"VENCE EM &lt;= 30 DIAS",IF(E229&lt;=60,"ATENCAO (31-60 DIAS)","OK"))))</f>
        <v/>
      </c>
      <c r="G229" s="13">
        <f>SUMIFS(Movimentacoes!$G:$G,Movimentacoes!$C:$C,$A229,Movimentacoes!$E:$E,$C229,Movimentacoes!$B:$B,"ENTRADA")</f>
        <v/>
      </c>
      <c r="H229" s="13">
        <f>SUMIFS(Movimentacoes!$G:$G,Movimentacoes!$C:$C,$A229,Movimentacoes!$E:$E,$C229,Movimentacoes!$B:$B,"SAIDA_USO")</f>
        <v/>
      </c>
      <c r="I229" s="13">
        <f>SUMIFS(Movimentacoes!$G:$G,Movimentacoes!$C:$C,$A229,Movimentacoes!$E:$E,$C229,Movimentacoes!$B:$B,"SAIDA_DESCARTE")</f>
        <v/>
      </c>
      <c r="J229" s="13">
        <f>G229-H229-I229</f>
        <v/>
      </c>
      <c r="K229">
        <f>IF(A229="","",IF(J229&lt;=IFERROR(VLOOKUP(A229,Cadastro_Produtos!$A:$E,5,FALSE),0),"ABAIXO DO MINIMO","OK"))</f>
        <v/>
      </c>
    </row>
    <row r="230">
      <c r="B230">
        <f>IFERROR(VLOOKUP(A230,Cadastro_Produtos!A:B,2,FALSE),"")</f>
        <v/>
      </c>
      <c r="D230" s="12" t="n"/>
      <c r="E230" s="13">
        <f>IF(D230="","",D230-TODAY())</f>
        <v/>
      </c>
      <c r="F230">
        <f>IF(D230="","",IF(E230&lt;0,"VENCIDO",IF(E230&lt;=30,"VENCE EM &lt;= 30 DIAS",IF(E230&lt;=60,"ATENCAO (31-60 DIAS)","OK"))))</f>
        <v/>
      </c>
      <c r="G230" s="13">
        <f>SUMIFS(Movimentacoes!$G:$G,Movimentacoes!$C:$C,$A230,Movimentacoes!$E:$E,$C230,Movimentacoes!$B:$B,"ENTRADA")</f>
        <v/>
      </c>
      <c r="H230" s="13">
        <f>SUMIFS(Movimentacoes!$G:$G,Movimentacoes!$C:$C,$A230,Movimentacoes!$E:$E,$C230,Movimentacoes!$B:$B,"SAIDA_USO")</f>
        <v/>
      </c>
      <c r="I230" s="13">
        <f>SUMIFS(Movimentacoes!$G:$G,Movimentacoes!$C:$C,$A230,Movimentacoes!$E:$E,$C230,Movimentacoes!$B:$B,"SAIDA_DESCARTE")</f>
        <v/>
      </c>
      <c r="J230" s="13">
        <f>G230-H230-I230</f>
        <v/>
      </c>
      <c r="K230">
        <f>IF(A230="","",IF(J230&lt;=IFERROR(VLOOKUP(A230,Cadastro_Produtos!$A:$E,5,FALSE),0),"ABAIXO DO MINIMO","OK"))</f>
        <v/>
      </c>
    </row>
    <row r="231">
      <c r="B231">
        <f>IFERROR(VLOOKUP(A231,Cadastro_Produtos!A:B,2,FALSE),"")</f>
        <v/>
      </c>
      <c r="D231" s="12" t="n"/>
      <c r="E231" s="13">
        <f>IF(D231="","",D231-TODAY())</f>
        <v/>
      </c>
      <c r="F231">
        <f>IF(D231="","",IF(E231&lt;0,"VENCIDO",IF(E231&lt;=30,"VENCE EM &lt;= 30 DIAS",IF(E231&lt;=60,"ATENCAO (31-60 DIAS)","OK"))))</f>
        <v/>
      </c>
      <c r="G231" s="13">
        <f>SUMIFS(Movimentacoes!$G:$G,Movimentacoes!$C:$C,$A231,Movimentacoes!$E:$E,$C231,Movimentacoes!$B:$B,"ENTRADA")</f>
        <v/>
      </c>
      <c r="H231" s="13">
        <f>SUMIFS(Movimentacoes!$G:$G,Movimentacoes!$C:$C,$A231,Movimentacoes!$E:$E,$C231,Movimentacoes!$B:$B,"SAIDA_USO")</f>
        <v/>
      </c>
      <c r="I231" s="13">
        <f>SUMIFS(Movimentacoes!$G:$G,Movimentacoes!$C:$C,$A231,Movimentacoes!$E:$E,$C231,Movimentacoes!$B:$B,"SAIDA_DESCARTE")</f>
        <v/>
      </c>
      <c r="J231" s="13">
        <f>G231-H231-I231</f>
        <v/>
      </c>
      <c r="K231">
        <f>IF(A231="","",IF(J231&lt;=IFERROR(VLOOKUP(A231,Cadastro_Produtos!$A:$E,5,FALSE),0),"ABAIXO DO MINIMO","OK"))</f>
        <v/>
      </c>
    </row>
    <row r="232">
      <c r="B232">
        <f>IFERROR(VLOOKUP(A232,Cadastro_Produtos!A:B,2,FALSE),"")</f>
        <v/>
      </c>
      <c r="D232" s="12" t="n"/>
      <c r="E232" s="13">
        <f>IF(D232="","",D232-TODAY())</f>
        <v/>
      </c>
      <c r="F232">
        <f>IF(D232="","",IF(E232&lt;0,"VENCIDO",IF(E232&lt;=30,"VENCE EM &lt;= 30 DIAS",IF(E232&lt;=60,"ATENCAO (31-60 DIAS)","OK"))))</f>
        <v/>
      </c>
      <c r="G232" s="13">
        <f>SUMIFS(Movimentacoes!$G:$G,Movimentacoes!$C:$C,$A232,Movimentacoes!$E:$E,$C232,Movimentacoes!$B:$B,"ENTRADA")</f>
        <v/>
      </c>
      <c r="H232" s="13">
        <f>SUMIFS(Movimentacoes!$G:$G,Movimentacoes!$C:$C,$A232,Movimentacoes!$E:$E,$C232,Movimentacoes!$B:$B,"SAIDA_USO")</f>
        <v/>
      </c>
      <c r="I232" s="13">
        <f>SUMIFS(Movimentacoes!$G:$G,Movimentacoes!$C:$C,$A232,Movimentacoes!$E:$E,$C232,Movimentacoes!$B:$B,"SAIDA_DESCARTE")</f>
        <v/>
      </c>
      <c r="J232" s="13">
        <f>G232-H232-I232</f>
        <v/>
      </c>
      <c r="K232">
        <f>IF(A232="","",IF(J232&lt;=IFERROR(VLOOKUP(A232,Cadastro_Produtos!$A:$E,5,FALSE),0),"ABAIXO DO MINIMO","OK"))</f>
        <v/>
      </c>
    </row>
    <row r="233">
      <c r="B233">
        <f>IFERROR(VLOOKUP(A233,Cadastro_Produtos!A:B,2,FALSE),"")</f>
        <v/>
      </c>
      <c r="D233" s="12" t="n"/>
      <c r="E233" s="13">
        <f>IF(D233="","",D233-TODAY())</f>
        <v/>
      </c>
      <c r="F233">
        <f>IF(D233="","",IF(E233&lt;0,"VENCIDO",IF(E233&lt;=30,"VENCE EM &lt;= 30 DIAS",IF(E233&lt;=60,"ATENCAO (31-60 DIAS)","OK"))))</f>
        <v/>
      </c>
      <c r="G233" s="13">
        <f>SUMIFS(Movimentacoes!$G:$G,Movimentacoes!$C:$C,$A233,Movimentacoes!$E:$E,$C233,Movimentacoes!$B:$B,"ENTRADA")</f>
        <v/>
      </c>
      <c r="H233" s="13">
        <f>SUMIFS(Movimentacoes!$G:$G,Movimentacoes!$C:$C,$A233,Movimentacoes!$E:$E,$C233,Movimentacoes!$B:$B,"SAIDA_USO")</f>
        <v/>
      </c>
      <c r="I233" s="13">
        <f>SUMIFS(Movimentacoes!$G:$G,Movimentacoes!$C:$C,$A233,Movimentacoes!$E:$E,$C233,Movimentacoes!$B:$B,"SAIDA_DESCARTE")</f>
        <v/>
      </c>
      <c r="J233" s="13">
        <f>G233-H233-I233</f>
        <v/>
      </c>
      <c r="K233">
        <f>IF(A233="","",IF(J233&lt;=IFERROR(VLOOKUP(A233,Cadastro_Produtos!$A:$E,5,FALSE),0),"ABAIXO DO MINIMO","OK"))</f>
        <v/>
      </c>
    </row>
    <row r="234">
      <c r="B234">
        <f>IFERROR(VLOOKUP(A234,Cadastro_Produtos!A:B,2,FALSE),"")</f>
        <v/>
      </c>
      <c r="D234" s="12" t="n"/>
      <c r="E234" s="13">
        <f>IF(D234="","",D234-TODAY())</f>
        <v/>
      </c>
      <c r="F234">
        <f>IF(D234="","",IF(E234&lt;0,"VENCIDO",IF(E234&lt;=30,"VENCE EM &lt;= 30 DIAS",IF(E234&lt;=60,"ATENCAO (31-60 DIAS)","OK"))))</f>
        <v/>
      </c>
      <c r="G234" s="13">
        <f>SUMIFS(Movimentacoes!$G:$G,Movimentacoes!$C:$C,$A234,Movimentacoes!$E:$E,$C234,Movimentacoes!$B:$B,"ENTRADA")</f>
        <v/>
      </c>
      <c r="H234" s="13">
        <f>SUMIFS(Movimentacoes!$G:$G,Movimentacoes!$C:$C,$A234,Movimentacoes!$E:$E,$C234,Movimentacoes!$B:$B,"SAIDA_USO")</f>
        <v/>
      </c>
      <c r="I234" s="13">
        <f>SUMIFS(Movimentacoes!$G:$G,Movimentacoes!$C:$C,$A234,Movimentacoes!$E:$E,$C234,Movimentacoes!$B:$B,"SAIDA_DESCARTE")</f>
        <v/>
      </c>
      <c r="J234" s="13">
        <f>G234-H234-I234</f>
        <v/>
      </c>
      <c r="K234">
        <f>IF(A234="","",IF(J234&lt;=IFERROR(VLOOKUP(A234,Cadastro_Produtos!$A:$E,5,FALSE),0),"ABAIXO DO MINIMO","OK"))</f>
        <v/>
      </c>
    </row>
    <row r="235">
      <c r="B235">
        <f>IFERROR(VLOOKUP(A235,Cadastro_Produtos!A:B,2,FALSE),"")</f>
        <v/>
      </c>
      <c r="D235" s="12" t="n"/>
      <c r="E235" s="13">
        <f>IF(D235="","",D235-TODAY())</f>
        <v/>
      </c>
      <c r="F235">
        <f>IF(D235="","",IF(E235&lt;0,"VENCIDO",IF(E235&lt;=30,"VENCE EM &lt;= 30 DIAS",IF(E235&lt;=60,"ATENCAO (31-60 DIAS)","OK"))))</f>
        <v/>
      </c>
      <c r="G235" s="13">
        <f>SUMIFS(Movimentacoes!$G:$G,Movimentacoes!$C:$C,$A235,Movimentacoes!$E:$E,$C235,Movimentacoes!$B:$B,"ENTRADA")</f>
        <v/>
      </c>
      <c r="H235" s="13">
        <f>SUMIFS(Movimentacoes!$G:$G,Movimentacoes!$C:$C,$A235,Movimentacoes!$E:$E,$C235,Movimentacoes!$B:$B,"SAIDA_USO")</f>
        <v/>
      </c>
      <c r="I235" s="13">
        <f>SUMIFS(Movimentacoes!$G:$G,Movimentacoes!$C:$C,$A235,Movimentacoes!$E:$E,$C235,Movimentacoes!$B:$B,"SAIDA_DESCARTE")</f>
        <v/>
      </c>
      <c r="J235" s="13">
        <f>G235-H235-I235</f>
        <v/>
      </c>
      <c r="K235">
        <f>IF(A235="","",IF(J235&lt;=IFERROR(VLOOKUP(A235,Cadastro_Produtos!$A:$E,5,FALSE),0),"ABAIXO DO MINIMO","OK"))</f>
        <v/>
      </c>
    </row>
    <row r="236">
      <c r="B236">
        <f>IFERROR(VLOOKUP(A236,Cadastro_Produtos!A:B,2,FALSE),"")</f>
        <v/>
      </c>
      <c r="D236" s="12" t="n"/>
      <c r="E236" s="13">
        <f>IF(D236="","",D236-TODAY())</f>
        <v/>
      </c>
      <c r="F236">
        <f>IF(D236="","",IF(E236&lt;0,"VENCIDO",IF(E236&lt;=30,"VENCE EM &lt;= 30 DIAS",IF(E236&lt;=60,"ATENCAO (31-60 DIAS)","OK"))))</f>
        <v/>
      </c>
      <c r="G236" s="13">
        <f>SUMIFS(Movimentacoes!$G:$G,Movimentacoes!$C:$C,$A236,Movimentacoes!$E:$E,$C236,Movimentacoes!$B:$B,"ENTRADA")</f>
        <v/>
      </c>
      <c r="H236" s="13">
        <f>SUMIFS(Movimentacoes!$G:$G,Movimentacoes!$C:$C,$A236,Movimentacoes!$E:$E,$C236,Movimentacoes!$B:$B,"SAIDA_USO")</f>
        <v/>
      </c>
      <c r="I236" s="13">
        <f>SUMIFS(Movimentacoes!$G:$G,Movimentacoes!$C:$C,$A236,Movimentacoes!$E:$E,$C236,Movimentacoes!$B:$B,"SAIDA_DESCARTE")</f>
        <v/>
      </c>
      <c r="J236" s="13">
        <f>G236-H236-I236</f>
        <v/>
      </c>
      <c r="K236">
        <f>IF(A236="","",IF(J236&lt;=IFERROR(VLOOKUP(A236,Cadastro_Produtos!$A:$E,5,FALSE),0),"ABAIXO DO MINIMO","OK"))</f>
        <v/>
      </c>
    </row>
    <row r="237">
      <c r="B237">
        <f>IFERROR(VLOOKUP(A237,Cadastro_Produtos!A:B,2,FALSE),"")</f>
        <v/>
      </c>
      <c r="D237" s="12" t="n"/>
      <c r="E237" s="13">
        <f>IF(D237="","",D237-TODAY())</f>
        <v/>
      </c>
      <c r="F237">
        <f>IF(D237="","",IF(E237&lt;0,"VENCIDO",IF(E237&lt;=30,"VENCE EM &lt;= 30 DIAS",IF(E237&lt;=60,"ATENCAO (31-60 DIAS)","OK"))))</f>
        <v/>
      </c>
      <c r="G237" s="13">
        <f>SUMIFS(Movimentacoes!$G:$G,Movimentacoes!$C:$C,$A237,Movimentacoes!$E:$E,$C237,Movimentacoes!$B:$B,"ENTRADA")</f>
        <v/>
      </c>
      <c r="H237" s="13">
        <f>SUMIFS(Movimentacoes!$G:$G,Movimentacoes!$C:$C,$A237,Movimentacoes!$E:$E,$C237,Movimentacoes!$B:$B,"SAIDA_USO")</f>
        <v/>
      </c>
      <c r="I237" s="13">
        <f>SUMIFS(Movimentacoes!$G:$G,Movimentacoes!$C:$C,$A237,Movimentacoes!$E:$E,$C237,Movimentacoes!$B:$B,"SAIDA_DESCARTE")</f>
        <v/>
      </c>
      <c r="J237" s="13">
        <f>G237-H237-I237</f>
        <v/>
      </c>
      <c r="K237">
        <f>IF(A237="","",IF(J237&lt;=IFERROR(VLOOKUP(A237,Cadastro_Produtos!$A:$E,5,FALSE),0),"ABAIXO DO MINIMO","OK"))</f>
        <v/>
      </c>
    </row>
    <row r="238">
      <c r="B238">
        <f>IFERROR(VLOOKUP(A238,Cadastro_Produtos!A:B,2,FALSE),"")</f>
        <v/>
      </c>
      <c r="D238" s="12" t="n"/>
      <c r="E238" s="13">
        <f>IF(D238="","",D238-TODAY())</f>
        <v/>
      </c>
      <c r="F238">
        <f>IF(D238="","",IF(E238&lt;0,"VENCIDO",IF(E238&lt;=30,"VENCE EM &lt;= 30 DIAS",IF(E238&lt;=60,"ATENCAO (31-60 DIAS)","OK"))))</f>
        <v/>
      </c>
      <c r="G238" s="13">
        <f>SUMIFS(Movimentacoes!$G:$G,Movimentacoes!$C:$C,$A238,Movimentacoes!$E:$E,$C238,Movimentacoes!$B:$B,"ENTRADA")</f>
        <v/>
      </c>
      <c r="H238" s="13">
        <f>SUMIFS(Movimentacoes!$G:$G,Movimentacoes!$C:$C,$A238,Movimentacoes!$E:$E,$C238,Movimentacoes!$B:$B,"SAIDA_USO")</f>
        <v/>
      </c>
      <c r="I238" s="13">
        <f>SUMIFS(Movimentacoes!$G:$G,Movimentacoes!$C:$C,$A238,Movimentacoes!$E:$E,$C238,Movimentacoes!$B:$B,"SAIDA_DESCARTE")</f>
        <v/>
      </c>
      <c r="J238" s="13">
        <f>G238-H238-I238</f>
        <v/>
      </c>
      <c r="K238">
        <f>IF(A238="","",IF(J238&lt;=IFERROR(VLOOKUP(A238,Cadastro_Produtos!$A:$E,5,FALSE),0),"ABAIXO DO MINIMO","OK"))</f>
        <v/>
      </c>
    </row>
    <row r="239">
      <c r="B239">
        <f>IFERROR(VLOOKUP(A239,Cadastro_Produtos!A:B,2,FALSE),"")</f>
        <v/>
      </c>
      <c r="D239" s="12" t="n"/>
      <c r="E239" s="13">
        <f>IF(D239="","",D239-TODAY())</f>
        <v/>
      </c>
      <c r="F239">
        <f>IF(D239="","",IF(E239&lt;0,"VENCIDO",IF(E239&lt;=30,"VENCE EM &lt;= 30 DIAS",IF(E239&lt;=60,"ATENCAO (31-60 DIAS)","OK"))))</f>
        <v/>
      </c>
      <c r="G239" s="13">
        <f>SUMIFS(Movimentacoes!$G:$G,Movimentacoes!$C:$C,$A239,Movimentacoes!$E:$E,$C239,Movimentacoes!$B:$B,"ENTRADA")</f>
        <v/>
      </c>
      <c r="H239" s="13">
        <f>SUMIFS(Movimentacoes!$G:$G,Movimentacoes!$C:$C,$A239,Movimentacoes!$E:$E,$C239,Movimentacoes!$B:$B,"SAIDA_USO")</f>
        <v/>
      </c>
      <c r="I239" s="13">
        <f>SUMIFS(Movimentacoes!$G:$G,Movimentacoes!$C:$C,$A239,Movimentacoes!$E:$E,$C239,Movimentacoes!$B:$B,"SAIDA_DESCARTE")</f>
        <v/>
      </c>
      <c r="J239" s="13">
        <f>G239-H239-I239</f>
        <v/>
      </c>
      <c r="K239">
        <f>IF(A239="","",IF(J239&lt;=IFERROR(VLOOKUP(A239,Cadastro_Produtos!$A:$E,5,FALSE),0),"ABAIXO DO MINIMO","OK"))</f>
        <v/>
      </c>
    </row>
    <row r="240">
      <c r="B240">
        <f>IFERROR(VLOOKUP(A240,Cadastro_Produtos!A:B,2,FALSE),"")</f>
        <v/>
      </c>
      <c r="D240" s="12" t="n"/>
      <c r="E240" s="13">
        <f>IF(D240="","",D240-TODAY())</f>
        <v/>
      </c>
      <c r="F240">
        <f>IF(D240="","",IF(E240&lt;0,"VENCIDO",IF(E240&lt;=30,"VENCE EM &lt;= 30 DIAS",IF(E240&lt;=60,"ATENCAO (31-60 DIAS)","OK"))))</f>
        <v/>
      </c>
      <c r="G240" s="13">
        <f>SUMIFS(Movimentacoes!$G:$G,Movimentacoes!$C:$C,$A240,Movimentacoes!$E:$E,$C240,Movimentacoes!$B:$B,"ENTRADA")</f>
        <v/>
      </c>
      <c r="H240" s="13">
        <f>SUMIFS(Movimentacoes!$G:$G,Movimentacoes!$C:$C,$A240,Movimentacoes!$E:$E,$C240,Movimentacoes!$B:$B,"SAIDA_USO")</f>
        <v/>
      </c>
      <c r="I240" s="13">
        <f>SUMIFS(Movimentacoes!$G:$G,Movimentacoes!$C:$C,$A240,Movimentacoes!$E:$E,$C240,Movimentacoes!$B:$B,"SAIDA_DESCARTE")</f>
        <v/>
      </c>
      <c r="J240" s="13">
        <f>G240-H240-I240</f>
        <v/>
      </c>
      <c r="K240">
        <f>IF(A240="","",IF(J240&lt;=IFERROR(VLOOKUP(A240,Cadastro_Produtos!$A:$E,5,FALSE),0),"ABAIXO DO MINIMO","OK"))</f>
        <v/>
      </c>
    </row>
    <row r="241">
      <c r="B241">
        <f>IFERROR(VLOOKUP(A241,Cadastro_Produtos!A:B,2,FALSE),"")</f>
        <v/>
      </c>
      <c r="D241" s="12" t="n"/>
      <c r="E241" s="13">
        <f>IF(D241="","",D241-TODAY())</f>
        <v/>
      </c>
      <c r="F241">
        <f>IF(D241="","",IF(E241&lt;0,"VENCIDO",IF(E241&lt;=30,"VENCE EM &lt;= 30 DIAS",IF(E241&lt;=60,"ATENCAO (31-60 DIAS)","OK"))))</f>
        <v/>
      </c>
      <c r="G241" s="13">
        <f>SUMIFS(Movimentacoes!$G:$G,Movimentacoes!$C:$C,$A241,Movimentacoes!$E:$E,$C241,Movimentacoes!$B:$B,"ENTRADA")</f>
        <v/>
      </c>
      <c r="H241" s="13">
        <f>SUMIFS(Movimentacoes!$G:$G,Movimentacoes!$C:$C,$A241,Movimentacoes!$E:$E,$C241,Movimentacoes!$B:$B,"SAIDA_USO")</f>
        <v/>
      </c>
      <c r="I241" s="13">
        <f>SUMIFS(Movimentacoes!$G:$G,Movimentacoes!$C:$C,$A241,Movimentacoes!$E:$E,$C241,Movimentacoes!$B:$B,"SAIDA_DESCARTE")</f>
        <v/>
      </c>
      <c r="J241" s="13">
        <f>G241-H241-I241</f>
        <v/>
      </c>
      <c r="K241">
        <f>IF(A241="","",IF(J241&lt;=IFERROR(VLOOKUP(A241,Cadastro_Produtos!$A:$E,5,FALSE),0),"ABAIXO DO MINIMO","OK"))</f>
        <v/>
      </c>
    </row>
    <row r="242">
      <c r="B242">
        <f>IFERROR(VLOOKUP(A242,Cadastro_Produtos!A:B,2,FALSE),"")</f>
        <v/>
      </c>
      <c r="D242" s="12" t="n"/>
      <c r="E242" s="13">
        <f>IF(D242="","",D242-TODAY())</f>
        <v/>
      </c>
      <c r="F242">
        <f>IF(D242="","",IF(E242&lt;0,"VENCIDO",IF(E242&lt;=30,"VENCE EM &lt;= 30 DIAS",IF(E242&lt;=60,"ATENCAO (31-60 DIAS)","OK"))))</f>
        <v/>
      </c>
      <c r="G242" s="13">
        <f>SUMIFS(Movimentacoes!$G:$G,Movimentacoes!$C:$C,$A242,Movimentacoes!$E:$E,$C242,Movimentacoes!$B:$B,"ENTRADA")</f>
        <v/>
      </c>
      <c r="H242" s="13">
        <f>SUMIFS(Movimentacoes!$G:$G,Movimentacoes!$C:$C,$A242,Movimentacoes!$E:$E,$C242,Movimentacoes!$B:$B,"SAIDA_USO")</f>
        <v/>
      </c>
      <c r="I242" s="13">
        <f>SUMIFS(Movimentacoes!$G:$G,Movimentacoes!$C:$C,$A242,Movimentacoes!$E:$E,$C242,Movimentacoes!$B:$B,"SAIDA_DESCARTE")</f>
        <v/>
      </c>
      <c r="J242" s="13">
        <f>G242-H242-I242</f>
        <v/>
      </c>
      <c r="K242">
        <f>IF(A242="","",IF(J242&lt;=IFERROR(VLOOKUP(A242,Cadastro_Produtos!$A:$E,5,FALSE),0),"ABAIXO DO MINIMO","OK"))</f>
        <v/>
      </c>
    </row>
    <row r="243">
      <c r="B243">
        <f>IFERROR(VLOOKUP(A243,Cadastro_Produtos!A:B,2,FALSE),"")</f>
        <v/>
      </c>
      <c r="D243" s="12" t="n"/>
      <c r="E243" s="13">
        <f>IF(D243="","",D243-TODAY())</f>
        <v/>
      </c>
      <c r="F243">
        <f>IF(D243="","",IF(E243&lt;0,"VENCIDO",IF(E243&lt;=30,"VENCE EM &lt;= 30 DIAS",IF(E243&lt;=60,"ATENCAO (31-60 DIAS)","OK"))))</f>
        <v/>
      </c>
      <c r="G243" s="13">
        <f>SUMIFS(Movimentacoes!$G:$G,Movimentacoes!$C:$C,$A243,Movimentacoes!$E:$E,$C243,Movimentacoes!$B:$B,"ENTRADA")</f>
        <v/>
      </c>
      <c r="H243" s="13">
        <f>SUMIFS(Movimentacoes!$G:$G,Movimentacoes!$C:$C,$A243,Movimentacoes!$E:$E,$C243,Movimentacoes!$B:$B,"SAIDA_USO")</f>
        <v/>
      </c>
      <c r="I243" s="13">
        <f>SUMIFS(Movimentacoes!$G:$G,Movimentacoes!$C:$C,$A243,Movimentacoes!$E:$E,$C243,Movimentacoes!$B:$B,"SAIDA_DESCARTE")</f>
        <v/>
      </c>
      <c r="J243" s="13">
        <f>G243-H243-I243</f>
        <v/>
      </c>
      <c r="K243">
        <f>IF(A243="","",IF(J243&lt;=IFERROR(VLOOKUP(A243,Cadastro_Produtos!$A:$E,5,FALSE),0),"ABAIXO DO MINIMO","OK"))</f>
        <v/>
      </c>
    </row>
    <row r="244">
      <c r="B244">
        <f>IFERROR(VLOOKUP(A244,Cadastro_Produtos!A:B,2,FALSE),"")</f>
        <v/>
      </c>
      <c r="D244" s="12" t="n"/>
      <c r="E244" s="13">
        <f>IF(D244="","",D244-TODAY())</f>
        <v/>
      </c>
      <c r="F244">
        <f>IF(D244="","",IF(E244&lt;0,"VENCIDO",IF(E244&lt;=30,"VENCE EM &lt;= 30 DIAS",IF(E244&lt;=60,"ATENCAO (31-60 DIAS)","OK"))))</f>
        <v/>
      </c>
      <c r="G244" s="13">
        <f>SUMIFS(Movimentacoes!$G:$G,Movimentacoes!$C:$C,$A244,Movimentacoes!$E:$E,$C244,Movimentacoes!$B:$B,"ENTRADA")</f>
        <v/>
      </c>
      <c r="H244" s="13">
        <f>SUMIFS(Movimentacoes!$G:$G,Movimentacoes!$C:$C,$A244,Movimentacoes!$E:$E,$C244,Movimentacoes!$B:$B,"SAIDA_USO")</f>
        <v/>
      </c>
      <c r="I244" s="13">
        <f>SUMIFS(Movimentacoes!$G:$G,Movimentacoes!$C:$C,$A244,Movimentacoes!$E:$E,$C244,Movimentacoes!$B:$B,"SAIDA_DESCARTE")</f>
        <v/>
      </c>
      <c r="J244" s="13">
        <f>G244-H244-I244</f>
        <v/>
      </c>
      <c r="K244">
        <f>IF(A244="","",IF(J244&lt;=IFERROR(VLOOKUP(A244,Cadastro_Produtos!$A:$E,5,FALSE),0),"ABAIXO DO MINIMO","OK"))</f>
        <v/>
      </c>
    </row>
    <row r="245">
      <c r="B245">
        <f>IFERROR(VLOOKUP(A245,Cadastro_Produtos!A:B,2,FALSE),"")</f>
        <v/>
      </c>
      <c r="D245" s="12" t="n"/>
      <c r="E245" s="13">
        <f>IF(D245="","",D245-TODAY())</f>
        <v/>
      </c>
      <c r="F245">
        <f>IF(D245="","",IF(E245&lt;0,"VENCIDO",IF(E245&lt;=30,"VENCE EM &lt;= 30 DIAS",IF(E245&lt;=60,"ATENCAO (31-60 DIAS)","OK"))))</f>
        <v/>
      </c>
      <c r="G245" s="13">
        <f>SUMIFS(Movimentacoes!$G:$G,Movimentacoes!$C:$C,$A245,Movimentacoes!$E:$E,$C245,Movimentacoes!$B:$B,"ENTRADA")</f>
        <v/>
      </c>
      <c r="H245" s="13">
        <f>SUMIFS(Movimentacoes!$G:$G,Movimentacoes!$C:$C,$A245,Movimentacoes!$E:$E,$C245,Movimentacoes!$B:$B,"SAIDA_USO")</f>
        <v/>
      </c>
      <c r="I245" s="13">
        <f>SUMIFS(Movimentacoes!$G:$G,Movimentacoes!$C:$C,$A245,Movimentacoes!$E:$E,$C245,Movimentacoes!$B:$B,"SAIDA_DESCARTE")</f>
        <v/>
      </c>
      <c r="J245" s="13">
        <f>G245-H245-I245</f>
        <v/>
      </c>
      <c r="K245">
        <f>IF(A245="","",IF(J245&lt;=IFERROR(VLOOKUP(A245,Cadastro_Produtos!$A:$E,5,FALSE),0),"ABAIXO DO MINIMO","OK"))</f>
        <v/>
      </c>
    </row>
    <row r="246">
      <c r="B246">
        <f>IFERROR(VLOOKUP(A246,Cadastro_Produtos!A:B,2,FALSE),"")</f>
        <v/>
      </c>
      <c r="D246" s="12" t="n"/>
      <c r="E246" s="13">
        <f>IF(D246="","",D246-TODAY())</f>
        <v/>
      </c>
      <c r="F246">
        <f>IF(D246="","",IF(E246&lt;0,"VENCIDO",IF(E246&lt;=30,"VENCE EM &lt;= 30 DIAS",IF(E246&lt;=60,"ATENCAO (31-60 DIAS)","OK"))))</f>
        <v/>
      </c>
      <c r="G246" s="13">
        <f>SUMIFS(Movimentacoes!$G:$G,Movimentacoes!$C:$C,$A246,Movimentacoes!$E:$E,$C246,Movimentacoes!$B:$B,"ENTRADA")</f>
        <v/>
      </c>
      <c r="H246" s="13">
        <f>SUMIFS(Movimentacoes!$G:$G,Movimentacoes!$C:$C,$A246,Movimentacoes!$E:$E,$C246,Movimentacoes!$B:$B,"SAIDA_USO")</f>
        <v/>
      </c>
      <c r="I246" s="13">
        <f>SUMIFS(Movimentacoes!$G:$G,Movimentacoes!$C:$C,$A246,Movimentacoes!$E:$E,$C246,Movimentacoes!$B:$B,"SAIDA_DESCARTE")</f>
        <v/>
      </c>
      <c r="J246" s="13">
        <f>G246-H246-I246</f>
        <v/>
      </c>
      <c r="K246">
        <f>IF(A246="","",IF(J246&lt;=IFERROR(VLOOKUP(A246,Cadastro_Produtos!$A:$E,5,FALSE),0),"ABAIXO DO MINIMO","OK"))</f>
        <v/>
      </c>
    </row>
    <row r="247">
      <c r="B247">
        <f>IFERROR(VLOOKUP(A247,Cadastro_Produtos!A:B,2,FALSE),"")</f>
        <v/>
      </c>
      <c r="D247" s="12" t="n"/>
      <c r="E247" s="13">
        <f>IF(D247="","",D247-TODAY())</f>
        <v/>
      </c>
      <c r="F247">
        <f>IF(D247="","",IF(E247&lt;0,"VENCIDO",IF(E247&lt;=30,"VENCE EM &lt;= 30 DIAS",IF(E247&lt;=60,"ATENCAO (31-60 DIAS)","OK"))))</f>
        <v/>
      </c>
      <c r="G247" s="13">
        <f>SUMIFS(Movimentacoes!$G:$G,Movimentacoes!$C:$C,$A247,Movimentacoes!$E:$E,$C247,Movimentacoes!$B:$B,"ENTRADA")</f>
        <v/>
      </c>
      <c r="H247" s="13">
        <f>SUMIFS(Movimentacoes!$G:$G,Movimentacoes!$C:$C,$A247,Movimentacoes!$E:$E,$C247,Movimentacoes!$B:$B,"SAIDA_USO")</f>
        <v/>
      </c>
      <c r="I247" s="13">
        <f>SUMIFS(Movimentacoes!$G:$G,Movimentacoes!$C:$C,$A247,Movimentacoes!$E:$E,$C247,Movimentacoes!$B:$B,"SAIDA_DESCARTE")</f>
        <v/>
      </c>
      <c r="J247" s="13">
        <f>G247-H247-I247</f>
        <v/>
      </c>
      <c r="K247">
        <f>IF(A247="","",IF(J247&lt;=IFERROR(VLOOKUP(A247,Cadastro_Produtos!$A:$E,5,FALSE),0),"ABAIXO DO MINIMO","OK"))</f>
        <v/>
      </c>
    </row>
    <row r="248">
      <c r="B248">
        <f>IFERROR(VLOOKUP(A248,Cadastro_Produtos!A:B,2,FALSE),"")</f>
        <v/>
      </c>
      <c r="D248" s="12" t="n"/>
      <c r="E248" s="13">
        <f>IF(D248="","",D248-TODAY())</f>
        <v/>
      </c>
      <c r="F248">
        <f>IF(D248="","",IF(E248&lt;0,"VENCIDO",IF(E248&lt;=30,"VENCE EM &lt;= 30 DIAS",IF(E248&lt;=60,"ATENCAO (31-60 DIAS)","OK"))))</f>
        <v/>
      </c>
      <c r="G248" s="13">
        <f>SUMIFS(Movimentacoes!$G:$G,Movimentacoes!$C:$C,$A248,Movimentacoes!$E:$E,$C248,Movimentacoes!$B:$B,"ENTRADA")</f>
        <v/>
      </c>
      <c r="H248" s="13">
        <f>SUMIFS(Movimentacoes!$G:$G,Movimentacoes!$C:$C,$A248,Movimentacoes!$E:$E,$C248,Movimentacoes!$B:$B,"SAIDA_USO")</f>
        <v/>
      </c>
      <c r="I248" s="13">
        <f>SUMIFS(Movimentacoes!$G:$G,Movimentacoes!$C:$C,$A248,Movimentacoes!$E:$E,$C248,Movimentacoes!$B:$B,"SAIDA_DESCARTE")</f>
        <v/>
      </c>
      <c r="J248" s="13">
        <f>G248-H248-I248</f>
        <v/>
      </c>
      <c r="K248">
        <f>IF(A248="","",IF(J248&lt;=IFERROR(VLOOKUP(A248,Cadastro_Produtos!$A:$E,5,FALSE),0),"ABAIXO DO MINIMO","OK"))</f>
        <v/>
      </c>
    </row>
    <row r="249">
      <c r="B249">
        <f>IFERROR(VLOOKUP(A249,Cadastro_Produtos!A:B,2,FALSE),"")</f>
        <v/>
      </c>
      <c r="D249" s="12" t="n"/>
      <c r="E249" s="13">
        <f>IF(D249="","",D249-TODAY())</f>
        <v/>
      </c>
      <c r="F249">
        <f>IF(D249="","",IF(E249&lt;0,"VENCIDO",IF(E249&lt;=30,"VENCE EM &lt;= 30 DIAS",IF(E249&lt;=60,"ATENCAO (31-60 DIAS)","OK"))))</f>
        <v/>
      </c>
      <c r="G249" s="13">
        <f>SUMIFS(Movimentacoes!$G:$G,Movimentacoes!$C:$C,$A249,Movimentacoes!$E:$E,$C249,Movimentacoes!$B:$B,"ENTRADA")</f>
        <v/>
      </c>
      <c r="H249" s="13">
        <f>SUMIFS(Movimentacoes!$G:$G,Movimentacoes!$C:$C,$A249,Movimentacoes!$E:$E,$C249,Movimentacoes!$B:$B,"SAIDA_USO")</f>
        <v/>
      </c>
      <c r="I249" s="13">
        <f>SUMIFS(Movimentacoes!$G:$G,Movimentacoes!$C:$C,$A249,Movimentacoes!$E:$E,$C249,Movimentacoes!$B:$B,"SAIDA_DESCARTE")</f>
        <v/>
      </c>
      <c r="J249" s="13">
        <f>G249-H249-I249</f>
        <v/>
      </c>
      <c r="K249">
        <f>IF(A249="","",IF(J249&lt;=IFERROR(VLOOKUP(A249,Cadastro_Produtos!$A:$E,5,FALSE),0),"ABAIXO DO MINIMO","OK"))</f>
        <v/>
      </c>
    </row>
    <row r="250">
      <c r="B250">
        <f>IFERROR(VLOOKUP(A250,Cadastro_Produtos!A:B,2,FALSE),"")</f>
        <v/>
      </c>
      <c r="D250" s="12" t="n"/>
      <c r="E250" s="13">
        <f>IF(D250="","",D250-TODAY())</f>
        <v/>
      </c>
      <c r="F250">
        <f>IF(D250="","",IF(E250&lt;0,"VENCIDO",IF(E250&lt;=30,"VENCE EM &lt;= 30 DIAS",IF(E250&lt;=60,"ATENCAO (31-60 DIAS)","OK"))))</f>
        <v/>
      </c>
      <c r="G250" s="13">
        <f>SUMIFS(Movimentacoes!$G:$G,Movimentacoes!$C:$C,$A250,Movimentacoes!$E:$E,$C250,Movimentacoes!$B:$B,"ENTRADA")</f>
        <v/>
      </c>
      <c r="H250" s="13">
        <f>SUMIFS(Movimentacoes!$G:$G,Movimentacoes!$C:$C,$A250,Movimentacoes!$E:$E,$C250,Movimentacoes!$B:$B,"SAIDA_USO")</f>
        <v/>
      </c>
      <c r="I250" s="13">
        <f>SUMIFS(Movimentacoes!$G:$G,Movimentacoes!$C:$C,$A250,Movimentacoes!$E:$E,$C250,Movimentacoes!$B:$B,"SAIDA_DESCARTE")</f>
        <v/>
      </c>
      <c r="J250" s="13">
        <f>G250-H250-I250</f>
        <v/>
      </c>
      <c r="K250">
        <f>IF(A250="","",IF(J250&lt;=IFERROR(VLOOKUP(A250,Cadastro_Produtos!$A:$E,5,FALSE),0),"ABAIXO DO MINIMO","OK"))</f>
        <v/>
      </c>
    </row>
    <row r="251">
      <c r="B251">
        <f>IFERROR(VLOOKUP(A251,Cadastro_Produtos!A:B,2,FALSE),"")</f>
        <v/>
      </c>
      <c r="D251" s="12" t="n"/>
      <c r="E251" s="13">
        <f>IF(D251="","",D251-TODAY())</f>
        <v/>
      </c>
      <c r="F251">
        <f>IF(D251="","",IF(E251&lt;0,"VENCIDO",IF(E251&lt;=30,"VENCE EM &lt;= 30 DIAS",IF(E251&lt;=60,"ATENCAO (31-60 DIAS)","OK"))))</f>
        <v/>
      </c>
      <c r="G251" s="13">
        <f>SUMIFS(Movimentacoes!$G:$G,Movimentacoes!$C:$C,$A251,Movimentacoes!$E:$E,$C251,Movimentacoes!$B:$B,"ENTRADA")</f>
        <v/>
      </c>
      <c r="H251" s="13">
        <f>SUMIFS(Movimentacoes!$G:$G,Movimentacoes!$C:$C,$A251,Movimentacoes!$E:$E,$C251,Movimentacoes!$B:$B,"SAIDA_USO")</f>
        <v/>
      </c>
      <c r="I251" s="13">
        <f>SUMIFS(Movimentacoes!$G:$G,Movimentacoes!$C:$C,$A251,Movimentacoes!$E:$E,$C251,Movimentacoes!$B:$B,"SAIDA_DESCARTE")</f>
        <v/>
      </c>
      <c r="J251" s="13">
        <f>G251-H251-I251</f>
        <v/>
      </c>
      <c r="K251">
        <f>IF(A251="","",IF(J251&lt;=IFERROR(VLOOKUP(A251,Cadastro_Produtos!$A:$E,5,FALSE),0),"ABAIXO DO MINIMO","OK"))</f>
        <v/>
      </c>
    </row>
    <row r="252">
      <c r="B252">
        <f>IFERROR(VLOOKUP(A252,Cadastro_Produtos!A:B,2,FALSE),"")</f>
        <v/>
      </c>
      <c r="D252" s="12" t="n"/>
      <c r="E252" s="13">
        <f>IF(D252="","",D252-TODAY())</f>
        <v/>
      </c>
      <c r="F252">
        <f>IF(D252="","",IF(E252&lt;0,"VENCIDO",IF(E252&lt;=30,"VENCE EM &lt;= 30 DIAS",IF(E252&lt;=60,"ATENCAO (31-60 DIAS)","OK"))))</f>
        <v/>
      </c>
      <c r="G252" s="13">
        <f>SUMIFS(Movimentacoes!$G:$G,Movimentacoes!$C:$C,$A252,Movimentacoes!$E:$E,$C252,Movimentacoes!$B:$B,"ENTRADA")</f>
        <v/>
      </c>
      <c r="H252" s="13">
        <f>SUMIFS(Movimentacoes!$G:$G,Movimentacoes!$C:$C,$A252,Movimentacoes!$E:$E,$C252,Movimentacoes!$B:$B,"SAIDA_USO")</f>
        <v/>
      </c>
      <c r="I252" s="13">
        <f>SUMIFS(Movimentacoes!$G:$G,Movimentacoes!$C:$C,$A252,Movimentacoes!$E:$E,$C252,Movimentacoes!$B:$B,"SAIDA_DESCARTE")</f>
        <v/>
      </c>
      <c r="J252" s="13">
        <f>G252-H252-I252</f>
        <v/>
      </c>
      <c r="K252">
        <f>IF(A252="","",IF(J252&lt;=IFERROR(VLOOKUP(A252,Cadastro_Produtos!$A:$E,5,FALSE),0),"ABAIXO DO MINIMO","OK"))</f>
        <v/>
      </c>
    </row>
    <row r="253">
      <c r="B253">
        <f>IFERROR(VLOOKUP(A253,Cadastro_Produtos!A:B,2,FALSE),"")</f>
        <v/>
      </c>
      <c r="D253" s="12" t="n"/>
      <c r="E253" s="13">
        <f>IF(D253="","",D253-TODAY())</f>
        <v/>
      </c>
      <c r="F253">
        <f>IF(D253="","",IF(E253&lt;0,"VENCIDO",IF(E253&lt;=30,"VENCE EM &lt;= 30 DIAS",IF(E253&lt;=60,"ATENCAO (31-60 DIAS)","OK"))))</f>
        <v/>
      </c>
      <c r="G253" s="13">
        <f>SUMIFS(Movimentacoes!$G:$G,Movimentacoes!$C:$C,$A253,Movimentacoes!$E:$E,$C253,Movimentacoes!$B:$B,"ENTRADA")</f>
        <v/>
      </c>
      <c r="H253" s="13">
        <f>SUMIFS(Movimentacoes!$G:$G,Movimentacoes!$C:$C,$A253,Movimentacoes!$E:$E,$C253,Movimentacoes!$B:$B,"SAIDA_USO")</f>
        <v/>
      </c>
      <c r="I253" s="13">
        <f>SUMIFS(Movimentacoes!$G:$G,Movimentacoes!$C:$C,$A253,Movimentacoes!$E:$E,$C253,Movimentacoes!$B:$B,"SAIDA_DESCARTE")</f>
        <v/>
      </c>
      <c r="J253" s="13">
        <f>G253-H253-I253</f>
        <v/>
      </c>
      <c r="K253">
        <f>IF(A253="","",IF(J253&lt;=IFERROR(VLOOKUP(A253,Cadastro_Produtos!$A:$E,5,FALSE),0),"ABAIXO DO MINIMO","OK"))</f>
        <v/>
      </c>
    </row>
    <row r="254">
      <c r="B254">
        <f>IFERROR(VLOOKUP(A254,Cadastro_Produtos!A:B,2,FALSE),"")</f>
        <v/>
      </c>
      <c r="D254" s="12" t="n"/>
      <c r="E254" s="13">
        <f>IF(D254="","",D254-TODAY())</f>
        <v/>
      </c>
      <c r="F254">
        <f>IF(D254="","",IF(E254&lt;0,"VENCIDO",IF(E254&lt;=30,"VENCE EM &lt;= 30 DIAS",IF(E254&lt;=60,"ATENCAO (31-60 DIAS)","OK"))))</f>
        <v/>
      </c>
      <c r="G254" s="13">
        <f>SUMIFS(Movimentacoes!$G:$G,Movimentacoes!$C:$C,$A254,Movimentacoes!$E:$E,$C254,Movimentacoes!$B:$B,"ENTRADA")</f>
        <v/>
      </c>
      <c r="H254" s="13">
        <f>SUMIFS(Movimentacoes!$G:$G,Movimentacoes!$C:$C,$A254,Movimentacoes!$E:$E,$C254,Movimentacoes!$B:$B,"SAIDA_USO")</f>
        <v/>
      </c>
      <c r="I254" s="13">
        <f>SUMIFS(Movimentacoes!$G:$G,Movimentacoes!$C:$C,$A254,Movimentacoes!$E:$E,$C254,Movimentacoes!$B:$B,"SAIDA_DESCARTE")</f>
        <v/>
      </c>
      <c r="J254" s="13">
        <f>G254-H254-I254</f>
        <v/>
      </c>
      <c r="K254">
        <f>IF(A254="","",IF(J254&lt;=IFERROR(VLOOKUP(A254,Cadastro_Produtos!$A:$E,5,FALSE),0),"ABAIXO DO MINIMO","OK"))</f>
        <v/>
      </c>
    </row>
    <row r="255">
      <c r="B255">
        <f>IFERROR(VLOOKUP(A255,Cadastro_Produtos!A:B,2,FALSE),"")</f>
        <v/>
      </c>
      <c r="D255" s="12" t="n"/>
      <c r="E255" s="13">
        <f>IF(D255="","",D255-TODAY())</f>
        <v/>
      </c>
      <c r="F255">
        <f>IF(D255="","",IF(E255&lt;0,"VENCIDO",IF(E255&lt;=30,"VENCE EM &lt;= 30 DIAS",IF(E255&lt;=60,"ATENCAO (31-60 DIAS)","OK"))))</f>
        <v/>
      </c>
      <c r="G255" s="13">
        <f>SUMIFS(Movimentacoes!$G:$G,Movimentacoes!$C:$C,$A255,Movimentacoes!$E:$E,$C255,Movimentacoes!$B:$B,"ENTRADA")</f>
        <v/>
      </c>
      <c r="H255" s="13">
        <f>SUMIFS(Movimentacoes!$G:$G,Movimentacoes!$C:$C,$A255,Movimentacoes!$E:$E,$C255,Movimentacoes!$B:$B,"SAIDA_USO")</f>
        <v/>
      </c>
      <c r="I255" s="13">
        <f>SUMIFS(Movimentacoes!$G:$G,Movimentacoes!$C:$C,$A255,Movimentacoes!$E:$E,$C255,Movimentacoes!$B:$B,"SAIDA_DESCARTE")</f>
        <v/>
      </c>
      <c r="J255" s="13">
        <f>G255-H255-I255</f>
        <v/>
      </c>
      <c r="K255">
        <f>IF(A255="","",IF(J255&lt;=IFERROR(VLOOKUP(A255,Cadastro_Produtos!$A:$E,5,FALSE),0),"ABAIXO DO MINIMO","OK"))</f>
        <v/>
      </c>
    </row>
    <row r="256">
      <c r="B256">
        <f>IFERROR(VLOOKUP(A256,Cadastro_Produtos!A:B,2,FALSE),"")</f>
        <v/>
      </c>
      <c r="D256" s="12" t="n"/>
      <c r="E256" s="13">
        <f>IF(D256="","",D256-TODAY())</f>
        <v/>
      </c>
      <c r="F256">
        <f>IF(D256="","",IF(E256&lt;0,"VENCIDO",IF(E256&lt;=30,"VENCE EM &lt;= 30 DIAS",IF(E256&lt;=60,"ATENCAO (31-60 DIAS)","OK"))))</f>
        <v/>
      </c>
      <c r="G256" s="13">
        <f>SUMIFS(Movimentacoes!$G:$G,Movimentacoes!$C:$C,$A256,Movimentacoes!$E:$E,$C256,Movimentacoes!$B:$B,"ENTRADA")</f>
        <v/>
      </c>
      <c r="H256" s="13">
        <f>SUMIFS(Movimentacoes!$G:$G,Movimentacoes!$C:$C,$A256,Movimentacoes!$E:$E,$C256,Movimentacoes!$B:$B,"SAIDA_USO")</f>
        <v/>
      </c>
      <c r="I256" s="13">
        <f>SUMIFS(Movimentacoes!$G:$G,Movimentacoes!$C:$C,$A256,Movimentacoes!$E:$E,$C256,Movimentacoes!$B:$B,"SAIDA_DESCARTE")</f>
        <v/>
      </c>
      <c r="J256" s="13">
        <f>G256-H256-I256</f>
        <v/>
      </c>
      <c r="K256">
        <f>IF(A256="","",IF(J256&lt;=IFERROR(VLOOKUP(A256,Cadastro_Produtos!$A:$E,5,FALSE),0),"ABAIXO DO MINIMO","OK"))</f>
        <v/>
      </c>
    </row>
    <row r="257">
      <c r="B257">
        <f>IFERROR(VLOOKUP(A257,Cadastro_Produtos!A:B,2,FALSE),"")</f>
        <v/>
      </c>
      <c r="D257" s="12" t="n"/>
      <c r="E257" s="13">
        <f>IF(D257="","",D257-TODAY())</f>
        <v/>
      </c>
      <c r="F257">
        <f>IF(D257="","",IF(E257&lt;0,"VENCIDO",IF(E257&lt;=30,"VENCE EM &lt;= 30 DIAS",IF(E257&lt;=60,"ATENCAO (31-60 DIAS)","OK"))))</f>
        <v/>
      </c>
      <c r="G257" s="13">
        <f>SUMIFS(Movimentacoes!$G:$G,Movimentacoes!$C:$C,$A257,Movimentacoes!$E:$E,$C257,Movimentacoes!$B:$B,"ENTRADA")</f>
        <v/>
      </c>
      <c r="H257" s="13">
        <f>SUMIFS(Movimentacoes!$G:$G,Movimentacoes!$C:$C,$A257,Movimentacoes!$E:$E,$C257,Movimentacoes!$B:$B,"SAIDA_USO")</f>
        <v/>
      </c>
      <c r="I257" s="13">
        <f>SUMIFS(Movimentacoes!$G:$G,Movimentacoes!$C:$C,$A257,Movimentacoes!$E:$E,$C257,Movimentacoes!$B:$B,"SAIDA_DESCARTE")</f>
        <v/>
      </c>
      <c r="J257" s="13">
        <f>G257-H257-I257</f>
        <v/>
      </c>
      <c r="K257">
        <f>IF(A257="","",IF(J257&lt;=IFERROR(VLOOKUP(A257,Cadastro_Produtos!$A:$E,5,FALSE),0),"ABAIXO DO MINIMO","OK"))</f>
        <v/>
      </c>
    </row>
    <row r="258">
      <c r="B258">
        <f>IFERROR(VLOOKUP(A258,Cadastro_Produtos!A:B,2,FALSE),"")</f>
        <v/>
      </c>
      <c r="D258" s="12" t="n"/>
      <c r="E258" s="13">
        <f>IF(D258="","",D258-TODAY())</f>
        <v/>
      </c>
      <c r="F258">
        <f>IF(D258="","",IF(E258&lt;0,"VENCIDO",IF(E258&lt;=30,"VENCE EM &lt;= 30 DIAS",IF(E258&lt;=60,"ATENCAO (31-60 DIAS)","OK"))))</f>
        <v/>
      </c>
      <c r="G258" s="13">
        <f>SUMIFS(Movimentacoes!$G:$G,Movimentacoes!$C:$C,$A258,Movimentacoes!$E:$E,$C258,Movimentacoes!$B:$B,"ENTRADA")</f>
        <v/>
      </c>
      <c r="H258" s="13">
        <f>SUMIFS(Movimentacoes!$G:$G,Movimentacoes!$C:$C,$A258,Movimentacoes!$E:$E,$C258,Movimentacoes!$B:$B,"SAIDA_USO")</f>
        <v/>
      </c>
      <c r="I258" s="13">
        <f>SUMIFS(Movimentacoes!$G:$G,Movimentacoes!$C:$C,$A258,Movimentacoes!$E:$E,$C258,Movimentacoes!$B:$B,"SAIDA_DESCARTE")</f>
        <v/>
      </c>
      <c r="J258" s="13">
        <f>G258-H258-I258</f>
        <v/>
      </c>
      <c r="K258">
        <f>IF(A258="","",IF(J258&lt;=IFERROR(VLOOKUP(A258,Cadastro_Produtos!$A:$E,5,FALSE),0),"ABAIXO DO MINIMO","OK"))</f>
        <v/>
      </c>
    </row>
    <row r="259">
      <c r="B259">
        <f>IFERROR(VLOOKUP(A259,Cadastro_Produtos!A:B,2,FALSE),"")</f>
        <v/>
      </c>
      <c r="D259" s="12" t="n"/>
      <c r="E259" s="13">
        <f>IF(D259="","",D259-TODAY())</f>
        <v/>
      </c>
      <c r="F259">
        <f>IF(D259="","",IF(E259&lt;0,"VENCIDO",IF(E259&lt;=30,"VENCE EM &lt;= 30 DIAS",IF(E259&lt;=60,"ATENCAO (31-60 DIAS)","OK"))))</f>
        <v/>
      </c>
      <c r="G259" s="13">
        <f>SUMIFS(Movimentacoes!$G:$G,Movimentacoes!$C:$C,$A259,Movimentacoes!$E:$E,$C259,Movimentacoes!$B:$B,"ENTRADA")</f>
        <v/>
      </c>
      <c r="H259" s="13">
        <f>SUMIFS(Movimentacoes!$G:$G,Movimentacoes!$C:$C,$A259,Movimentacoes!$E:$E,$C259,Movimentacoes!$B:$B,"SAIDA_USO")</f>
        <v/>
      </c>
      <c r="I259" s="13">
        <f>SUMIFS(Movimentacoes!$G:$G,Movimentacoes!$C:$C,$A259,Movimentacoes!$E:$E,$C259,Movimentacoes!$B:$B,"SAIDA_DESCARTE")</f>
        <v/>
      </c>
      <c r="J259" s="13">
        <f>G259-H259-I259</f>
        <v/>
      </c>
      <c r="K259">
        <f>IF(A259="","",IF(J259&lt;=IFERROR(VLOOKUP(A259,Cadastro_Produtos!$A:$E,5,FALSE),0),"ABAIXO DO MINIMO","OK"))</f>
        <v/>
      </c>
    </row>
    <row r="260">
      <c r="B260">
        <f>IFERROR(VLOOKUP(A260,Cadastro_Produtos!A:B,2,FALSE),"")</f>
        <v/>
      </c>
      <c r="D260" s="12" t="n"/>
      <c r="E260" s="13">
        <f>IF(D260="","",D260-TODAY())</f>
        <v/>
      </c>
      <c r="F260">
        <f>IF(D260="","",IF(E260&lt;0,"VENCIDO",IF(E260&lt;=30,"VENCE EM &lt;= 30 DIAS",IF(E260&lt;=60,"ATENCAO (31-60 DIAS)","OK"))))</f>
        <v/>
      </c>
      <c r="G260" s="13">
        <f>SUMIFS(Movimentacoes!$G:$G,Movimentacoes!$C:$C,$A260,Movimentacoes!$E:$E,$C260,Movimentacoes!$B:$B,"ENTRADA")</f>
        <v/>
      </c>
      <c r="H260" s="13">
        <f>SUMIFS(Movimentacoes!$G:$G,Movimentacoes!$C:$C,$A260,Movimentacoes!$E:$E,$C260,Movimentacoes!$B:$B,"SAIDA_USO")</f>
        <v/>
      </c>
      <c r="I260" s="13">
        <f>SUMIFS(Movimentacoes!$G:$G,Movimentacoes!$C:$C,$A260,Movimentacoes!$E:$E,$C260,Movimentacoes!$B:$B,"SAIDA_DESCARTE")</f>
        <v/>
      </c>
      <c r="J260" s="13">
        <f>G260-H260-I260</f>
        <v/>
      </c>
      <c r="K260">
        <f>IF(A260="","",IF(J260&lt;=IFERROR(VLOOKUP(A260,Cadastro_Produtos!$A:$E,5,FALSE),0),"ABAIXO DO MINIMO","OK"))</f>
        <v/>
      </c>
    </row>
    <row r="261">
      <c r="B261">
        <f>IFERROR(VLOOKUP(A261,Cadastro_Produtos!A:B,2,FALSE),"")</f>
        <v/>
      </c>
      <c r="D261" s="12" t="n"/>
      <c r="E261" s="13">
        <f>IF(D261="","",D261-TODAY())</f>
        <v/>
      </c>
      <c r="F261">
        <f>IF(D261="","",IF(E261&lt;0,"VENCIDO",IF(E261&lt;=30,"VENCE EM &lt;= 30 DIAS",IF(E261&lt;=60,"ATENCAO (31-60 DIAS)","OK"))))</f>
        <v/>
      </c>
      <c r="G261" s="13">
        <f>SUMIFS(Movimentacoes!$G:$G,Movimentacoes!$C:$C,$A261,Movimentacoes!$E:$E,$C261,Movimentacoes!$B:$B,"ENTRADA")</f>
        <v/>
      </c>
      <c r="H261" s="13">
        <f>SUMIFS(Movimentacoes!$G:$G,Movimentacoes!$C:$C,$A261,Movimentacoes!$E:$E,$C261,Movimentacoes!$B:$B,"SAIDA_USO")</f>
        <v/>
      </c>
      <c r="I261" s="13">
        <f>SUMIFS(Movimentacoes!$G:$G,Movimentacoes!$C:$C,$A261,Movimentacoes!$E:$E,$C261,Movimentacoes!$B:$B,"SAIDA_DESCARTE")</f>
        <v/>
      </c>
      <c r="J261" s="13">
        <f>G261-H261-I261</f>
        <v/>
      </c>
      <c r="K261">
        <f>IF(A261="","",IF(J261&lt;=IFERROR(VLOOKUP(A261,Cadastro_Produtos!$A:$E,5,FALSE),0),"ABAIXO DO MINIMO","OK"))</f>
        <v/>
      </c>
    </row>
    <row r="262">
      <c r="B262">
        <f>IFERROR(VLOOKUP(A262,Cadastro_Produtos!A:B,2,FALSE),"")</f>
        <v/>
      </c>
      <c r="D262" s="12" t="n"/>
      <c r="E262" s="13">
        <f>IF(D262="","",D262-TODAY())</f>
        <v/>
      </c>
      <c r="F262">
        <f>IF(D262="","",IF(E262&lt;0,"VENCIDO",IF(E262&lt;=30,"VENCE EM &lt;= 30 DIAS",IF(E262&lt;=60,"ATENCAO (31-60 DIAS)","OK"))))</f>
        <v/>
      </c>
      <c r="G262" s="13">
        <f>SUMIFS(Movimentacoes!$G:$G,Movimentacoes!$C:$C,$A262,Movimentacoes!$E:$E,$C262,Movimentacoes!$B:$B,"ENTRADA")</f>
        <v/>
      </c>
      <c r="H262" s="13">
        <f>SUMIFS(Movimentacoes!$G:$G,Movimentacoes!$C:$C,$A262,Movimentacoes!$E:$E,$C262,Movimentacoes!$B:$B,"SAIDA_USO")</f>
        <v/>
      </c>
      <c r="I262" s="13">
        <f>SUMIFS(Movimentacoes!$G:$G,Movimentacoes!$C:$C,$A262,Movimentacoes!$E:$E,$C262,Movimentacoes!$B:$B,"SAIDA_DESCARTE")</f>
        <v/>
      </c>
      <c r="J262" s="13">
        <f>G262-H262-I262</f>
        <v/>
      </c>
      <c r="K262">
        <f>IF(A262="","",IF(J262&lt;=IFERROR(VLOOKUP(A262,Cadastro_Produtos!$A:$E,5,FALSE),0),"ABAIXO DO MINIMO","OK"))</f>
        <v/>
      </c>
    </row>
    <row r="263">
      <c r="B263">
        <f>IFERROR(VLOOKUP(A263,Cadastro_Produtos!A:B,2,FALSE),"")</f>
        <v/>
      </c>
      <c r="D263" s="12" t="n"/>
      <c r="E263" s="13">
        <f>IF(D263="","",D263-TODAY())</f>
        <v/>
      </c>
      <c r="F263">
        <f>IF(D263="","",IF(E263&lt;0,"VENCIDO",IF(E263&lt;=30,"VENCE EM &lt;= 30 DIAS",IF(E263&lt;=60,"ATENCAO (31-60 DIAS)","OK"))))</f>
        <v/>
      </c>
      <c r="G263" s="13">
        <f>SUMIFS(Movimentacoes!$G:$G,Movimentacoes!$C:$C,$A263,Movimentacoes!$E:$E,$C263,Movimentacoes!$B:$B,"ENTRADA")</f>
        <v/>
      </c>
      <c r="H263" s="13">
        <f>SUMIFS(Movimentacoes!$G:$G,Movimentacoes!$C:$C,$A263,Movimentacoes!$E:$E,$C263,Movimentacoes!$B:$B,"SAIDA_USO")</f>
        <v/>
      </c>
      <c r="I263" s="13">
        <f>SUMIFS(Movimentacoes!$G:$G,Movimentacoes!$C:$C,$A263,Movimentacoes!$E:$E,$C263,Movimentacoes!$B:$B,"SAIDA_DESCARTE")</f>
        <v/>
      </c>
      <c r="J263" s="13">
        <f>G263-H263-I263</f>
        <v/>
      </c>
      <c r="K263">
        <f>IF(A263="","",IF(J263&lt;=IFERROR(VLOOKUP(A263,Cadastro_Produtos!$A:$E,5,FALSE),0),"ABAIXO DO MINIMO","OK"))</f>
        <v/>
      </c>
    </row>
    <row r="264">
      <c r="B264">
        <f>IFERROR(VLOOKUP(A264,Cadastro_Produtos!A:B,2,FALSE),"")</f>
        <v/>
      </c>
      <c r="D264" s="12" t="n"/>
      <c r="E264" s="13">
        <f>IF(D264="","",D264-TODAY())</f>
        <v/>
      </c>
      <c r="F264">
        <f>IF(D264="","",IF(E264&lt;0,"VENCIDO",IF(E264&lt;=30,"VENCE EM &lt;= 30 DIAS",IF(E264&lt;=60,"ATENCAO (31-60 DIAS)","OK"))))</f>
        <v/>
      </c>
      <c r="G264" s="13">
        <f>SUMIFS(Movimentacoes!$G:$G,Movimentacoes!$C:$C,$A264,Movimentacoes!$E:$E,$C264,Movimentacoes!$B:$B,"ENTRADA")</f>
        <v/>
      </c>
      <c r="H264" s="13">
        <f>SUMIFS(Movimentacoes!$G:$G,Movimentacoes!$C:$C,$A264,Movimentacoes!$E:$E,$C264,Movimentacoes!$B:$B,"SAIDA_USO")</f>
        <v/>
      </c>
      <c r="I264" s="13">
        <f>SUMIFS(Movimentacoes!$G:$G,Movimentacoes!$C:$C,$A264,Movimentacoes!$E:$E,$C264,Movimentacoes!$B:$B,"SAIDA_DESCARTE")</f>
        <v/>
      </c>
      <c r="J264" s="13">
        <f>G264-H264-I264</f>
        <v/>
      </c>
      <c r="K264">
        <f>IF(A264="","",IF(J264&lt;=IFERROR(VLOOKUP(A264,Cadastro_Produtos!$A:$E,5,FALSE),0),"ABAIXO DO MINIMO","OK"))</f>
        <v/>
      </c>
    </row>
    <row r="265">
      <c r="B265">
        <f>IFERROR(VLOOKUP(A265,Cadastro_Produtos!A:B,2,FALSE),"")</f>
        <v/>
      </c>
      <c r="D265" s="12" t="n"/>
      <c r="E265" s="13">
        <f>IF(D265="","",D265-TODAY())</f>
        <v/>
      </c>
      <c r="F265">
        <f>IF(D265="","",IF(E265&lt;0,"VENCIDO",IF(E265&lt;=30,"VENCE EM &lt;= 30 DIAS",IF(E265&lt;=60,"ATENCAO (31-60 DIAS)","OK"))))</f>
        <v/>
      </c>
      <c r="G265" s="13">
        <f>SUMIFS(Movimentacoes!$G:$G,Movimentacoes!$C:$C,$A265,Movimentacoes!$E:$E,$C265,Movimentacoes!$B:$B,"ENTRADA")</f>
        <v/>
      </c>
      <c r="H265" s="13">
        <f>SUMIFS(Movimentacoes!$G:$G,Movimentacoes!$C:$C,$A265,Movimentacoes!$E:$E,$C265,Movimentacoes!$B:$B,"SAIDA_USO")</f>
        <v/>
      </c>
      <c r="I265" s="13">
        <f>SUMIFS(Movimentacoes!$G:$G,Movimentacoes!$C:$C,$A265,Movimentacoes!$E:$E,$C265,Movimentacoes!$B:$B,"SAIDA_DESCARTE")</f>
        <v/>
      </c>
      <c r="J265" s="13">
        <f>G265-H265-I265</f>
        <v/>
      </c>
      <c r="K265">
        <f>IF(A265="","",IF(J265&lt;=IFERROR(VLOOKUP(A265,Cadastro_Produtos!$A:$E,5,FALSE),0),"ABAIXO DO MINIMO","OK"))</f>
        <v/>
      </c>
    </row>
    <row r="266">
      <c r="B266">
        <f>IFERROR(VLOOKUP(A266,Cadastro_Produtos!A:B,2,FALSE),"")</f>
        <v/>
      </c>
      <c r="D266" s="12" t="n"/>
      <c r="E266" s="13">
        <f>IF(D266="","",D266-TODAY())</f>
        <v/>
      </c>
      <c r="F266">
        <f>IF(D266="","",IF(E266&lt;0,"VENCIDO",IF(E266&lt;=30,"VENCE EM &lt;= 30 DIAS",IF(E266&lt;=60,"ATENCAO (31-60 DIAS)","OK"))))</f>
        <v/>
      </c>
      <c r="G266" s="13">
        <f>SUMIFS(Movimentacoes!$G:$G,Movimentacoes!$C:$C,$A266,Movimentacoes!$E:$E,$C266,Movimentacoes!$B:$B,"ENTRADA")</f>
        <v/>
      </c>
      <c r="H266" s="13">
        <f>SUMIFS(Movimentacoes!$G:$G,Movimentacoes!$C:$C,$A266,Movimentacoes!$E:$E,$C266,Movimentacoes!$B:$B,"SAIDA_USO")</f>
        <v/>
      </c>
      <c r="I266" s="13">
        <f>SUMIFS(Movimentacoes!$G:$G,Movimentacoes!$C:$C,$A266,Movimentacoes!$E:$E,$C266,Movimentacoes!$B:$B,"SAIDA_DESCARTE")</f>
        <v/>
      </c>
      <c r="J266" s="13">
        <f>G266-H266-I266</f>
        <v/>
      </c>
      <c r="K266">
        <f>IF(A266="","",IF(J266&lt;=IFERROR(VLOOKUP(A266,Cadastro_Produtos!$A:$E,5,FALSE),0),"ABAIXO DO MINIMO","OK"))</f>
        <v/>
      </c>
    </row>
    <row r="267">
      <c r="B267">
        <f>IFERROR(VLOOKUP(A267,Cadastro_Produtos!A:B,2,FALSE),"")</f>
        <v/>
      </c>
      <c r="D267" s="12" t="n"/>
      <c r="E267" s="13">
        <f>IF(D267="","",D267-TODAY())</f>
        <v/>
      </c>
      <c r="F267">
        <f>IF(D267="","",IF(E267&lt;0,"VENCIDO",IF(E267&lt;=30,"VENCE EM &lt;= 30 DIAS",IF(E267&lt;=60,"ATENCAO (31-60 DIAS)","OK"))))</f>
        <v/>
      </c>
      <c r="G267" s="13">
        <f>SUMIFS(Movimentacoes!$G:$G,Movimentacoes!$C:$C,$A267,Movimentacoes!$E:$E,$C267,Movimentacoes!$B:$B,"ENTRADA")</f>
        <v/>
      </c>
      <c r="H267" s="13">
        <f>SUMIFS(Movimentacoes!$G:$G,Movimentacoes!$C:$C,$A267,Movimentacoes!$E:$E,$C267,Movimentacoes!$B:$B,"SAIDA_USO")</f>
        <v/>
      </c>
      <c r="I267" s="13">
        <f>SUMIFS(Movimentacoes!$G:$G,Movimentacoes!$C:$C,$A267,Movimentacoes!$E:$E,$C267,Movimentacoes!$B:$B,"SAIDA_DESCARTE")</f>
        <v/>
      </c>
      <c r="J267" s="13">
        <f>G267-H267-I267</f>
        <v/>
      </c>
      <c r="K267">
        <f>IF(A267="","",IF(J267&lt;=IFERROR(VLOOKUP(A267,Cadastro_Produtos!$A:$E,5,FALSE),0),"ABAIXO DO MINIMO","OK"))</f>
        <v/>
      </c>
    </row>
    <row r="268">
      <c r="B268">
        <f>IFERROR(VLOOKUP(A268,Cadastro_Produtos!A:B,2,FALSE),"")</f>
        <v/>
      </c>
      <c r="D268" s="12" t="n"/>
      <c r="E268" s="13">
        <f>IF(D268="","",D268-TODAY())</f>
        <v/>
      </c>
      <c r="F268">
        <f>IF(D268="","",IF(E268&lt;0,"VENCIDO",IF(E268&lt;=30,"VENCE EM &lt;= 30 DIAS",IF(E268&lt;=60,"ATENCAO (31-60 DIAS)","OK"))))</f>
        <v/>
      </c>
      <c r="G268" s="13">
        <f>SUMIFS(Movimentacoes!$G:$G,Movimentacoes!$C:$C,$A268,Movimentacoes!$E:$E,$C268,Movimentacoes!$B:$B,"ENTRADA")</f>
        <v/>
      </c>
      <c r="H268" s="13">
        <f>SUMIFS(Movimentacoes!$G:$G,Movimentacoes!$C:$C,$A268,Movimentacoes!$E:$E,$C268,Movimentacoes!$B:$B,"SAIDA_USO")</f>
        <v/>
      </c>
      <c r="I268" s="13">
        <f>SUMIFS(Movimentacoes!$G:$G,Movimentacoes!$C:$C,$A268,Movimentacoes!$E:$E,$C268,Movimentacoes!$B:$B,"SAIDA_DESCARTE")</f>
        <v/>
      </c>
      <c r="J268" s="13">
        <f>G268-H268-I268</f>
        <v/>
      </c>
      <c r="K268">
        <f>IF(A268="","",IF(J268&lt;=IFERROR(VLOOKUP(A268,Cadastro_Produtos!$A:$E,5,FALSE),0),"ABAIXO DO MINIMO","OK"))</f>
        <v/>
      </c>
    </row>
    <row r="269">
      <c r="B269">
        <f>IFERROR(VLOOKUP(A269,Cadastro_Produtos!A:B,2,FALSE),"")</f>
        <v/>
      </c>
      <c r="D269" s="12" t="n"/>
      <c r="E269" s="13">
        <f>IF(D269="","",D269-TODAY())</f>
        <v/>
      </c>
      <c r="F269">
        <f>IF(D269="","",IF(E269&lt;0,"VENCIDO",IF(E269&lt;=30,"VENCE EM &lt;= 30 DIAS",IF(E269&lt;=60,"ATENCAO (31-60 DIAS)","OK"))))</f>
        <v/>
      </c>
      <c r="G269" s="13">
        <f>SUMIFS(Movimentacoes!$G:$G,Movimentacoes!$C:$C,$A269,Movimentacoes!$E:$E,$C269,Movimentacoes!$B:$B,"ENTRADA")</f>
        <v/>
      </c>
      <c r="H269" s="13">
        <f>SUMIFS(Movimentacoes!$G:$G,Movimentacoes!$C:$C,$A269,Movimentacoes!$E:$E,$C269,Movimentacoes!$B:$B,"SAIDA_USO")</f>
        <v/>
      </c>
      <c r="I269" s="13">
        <f>SUMIFS(Movimentacoes!$G:$G,Movimentacoes!$C:$C,$A269,Movimentacoes!$E:$E,$C269,Movimentacoes!$B:$B,"SAIDA_DESCARTE")</f>
        <v/>
      </c>
      <c r="J269" s="13">
        <f>G269-H269-I269</f>
        <v/>
      </c>
      <c r="K269">
        <f>IF(A269="","",IF(J269&lt;=IFERROR(VLOOKUP(A269,Cadastro_Produtos!$A:$E,5,FALSE),0),"ABAIXO DO MINIMO","OK"))</f>
        <v/>
      </c>
    </row>
    <row r="270">
      <c r="B270">
        <f>IFERROR(VLOOKUP(A270,Cadastro_Produtos!A:B,2,FALSE),"")</f>
        <v/>
      </c>
      <c r="D270" s="12" t="n"/>
      <c r="E270" s="13">
        <f>IF(D270="","",D270-TODAY())</f>
        <v/>
      </c>
      <c r="F270">
        <f>IF(D270="","",IF(E270&lt;0,"VENCIDO",IF(E270&lt;=30,"VENCE EM &lt;= 30 DIAS",IF(E270&lt;=60,"ATENCAO (31-60 DIAS)","OK"))))</f>
        <v/>
      </c>
      <c r="G270" s="13">
        <f>SUMIFS(Movimentacoes!$G:$G,Movimentacoes!$C:$C,$A270,Movimentacoes!$E:$E,$C270,Movimentacoes!$B:$B,"ENTRADA")</f>
        <v/>
      </c>
      <c r="H270" s="13">
        <f>SUMIFS(Movimentacoes!$G:$G,Movimentacoes!$C:$C,$A270,Movimentacoes!$E:$E,$C270,Movimentacoes!$B:$B,"SAIDA_USO")</f>
        <v/>
      </c>
      <c r="I270" s="13">
        <f>SUMIFS(Movimentacoes!$G:$G,Movimentacoes!$C:$C,$A270,Movimentacoes!$E:$E,$C270,Movimentacoes!$B:$B,"SAIDA_DESCARTE")</f>
        <v/>
      </c>
      <c r="J270" s="13">
        <f>G270-H270-I270</f>
        <v/>
      </c>
      <c r="K270">
        <f>IF(A270="","",IF(J270&lt;=IFERROR(VLOOKUP(A270,Cadastro_Produtos!$A:$E,5,FALSE),0),"ABAIXO DO MINIMO","OK"))</f>
        <v/>
      </c>
    </row>
    <row r="271">
      <c r="B271">
        <f>IFERROR(VLOOKUP(A271,Cadastro_Produtos!A:B,2,FALSE),"")</f>
        <v/>
      </c>
      <c r="D271" s="12" t="n"/>
      <c r="E271" s="13">
        <f>IF(D271="","",D271-TODAY())</f>
        <v/>
      </c>
      <c r="F271">
        <f>IF(D271="","",IF(E271&lt;0,"VENCIDO",IF(E271&lt;=30,"VENCE EM &lt;= 30 DIAS",IF(E271&lt;=60,"ATENCAO (31-60 DIAS)","OK"))))</f>
        <v/>
      </c>
      <c r="G271" s="13">
        <f>SUMIFS(Movimentacoes!$G:$G,Movimentacoes!$C:$C,$A271,Movimentacoes!$E:$E,$C271,Movimentacoes!$B:$B,"ENTRADA")</f>
        <v/>
      </c>
      <c r="H271" s="13">
        <f>SUMIFS(Movimentacoes!$G:$G,Movimentacoes!$C:$C,$A271,Movimentacoes!$E:$E,$C271,Movimentacoes!$B:$B,"SAIDA_USO")</f>
        <v/>
      </c>
      <c r="I271" s="13">
        <f>SUMIFS(Movimentacoes!$G:$G,Movimentacoes!$C:$C,$A271,Movimentacoes!$E:$E,$C271,Movimentacoes!$B:$B,"SAIDA_DESCARTE")</f>
        <v/>
      </c>
      <c r="J271" s="13">
        <f>G271-H271-I271</f>
        <v/>
      </c>
      <c r="K271">
        <f>IF(A271="","",IF(J271&lt;=IFERROR(VLOOKUP(A271,Cadastro_Produtos!$A:$E,5,FALSE),0),"ABAIXO DO MINIMO","OK"))</f>
        <v/>
      </c>
    </row>
    <row r="272">
      <c r="B272">
        <f>IFERROR(VLOOKUP(A272,Cadastro_Produtos!A:B,2,FALSE),"")</f>
        <v/>
      </c>
      <c r="D272" s="12" t="n"/>
      <c r="E272" s="13">
        <f>IF(D272="","",D272-TODAY())</f>
        <v/>
      </c>
      <c r="F272">
        <f>IF(D272="","",IF(E272&lt;0,"VENCIDO",IF(E272&lt;=30,"VENCE EM &lt;= 30 DIAS",IF(E272&lt;=60,"ATENCAO (31-60 DIAS)","OK"))))</f>
        <v/>
      </c>
      <c r="G272" s="13">
        <f>SUMIFS(Movimentacoes!$G:$G,Movimentacoes!$C:$C,$A272,Movimentacoes!$E:$E,$C272,Movimentacoes!$B:$B,"ENTRADA")</f>
        <v/>
      </c>
      <c r="H272" s="13">
        <f>SUMIFS(Movimentacoes!$G:$G,Movimentacoes!$C:$C,$A272,Movimentacoes!$E:$E,$C272,Movimentacoes!$B:$B,"SAIDA_USO")</f>
        <v/>
      </c>
      <c r="I272" s="13">
        <f>SUMIFS(Movimentacoes!$G:$G,Movimentacoes!$C:$C,$A272,Movimentacoes!$E:$E,$C272,Movimentacoes!$B:$B,"SAIDA_DESCARTE")</f>
        <v/>
      </c>
      <c r="J272" s="13">
        <f>G272-H272-I272</f>
        <v/>
      </c>
      <c r="K272">
        <f>IF(A272="","",IF(J272&lt;=IFERROR(VLOOKUP(A272,Cadastro_Produtos!$A:$E,5,FALSE),0),"ABAIXO DO MINIMO","OK"))</f>
        <v/>
      </c>
    </row>
    <row r="273">
      <c r="B273">
        <f>IFERROR(VLOOKUP(A273,Cadastro_Produtos!A:B,2,FALSE),"")</f>
        <v/>
      </c>
      <c r="D273" s="12" t="n"/>
      <c r="E273" s="13">
        <f>IF(D273="","",D273-TODAY())</f>
        <v/>
      </c>
      <c r="F273">
        <f>IF(D273="","",IF(E273&lt;0,"VENCIDO",IF(E273&lt;=30,"VENCE EM &lt;= 30 DIAS",IF(E273&lt;=60,"ATENCAO (31-60 DIAS)","OK"))))</f>
        <v/>
      </c>
      <c r="G273" s="13">
        <f>SUMIFS(Movimentacoes!$G:$G,Movimentacoes!$C:$C,$A273,Movimentacoes!$E:$E,$C273,Movimentacoes!$B:$B,"ENTRADA")</f>
        <v/>
      </c>
      <c r="H273" s="13">
        <f>SUMIFS(Movimentacoes!$G:$G,Movimentacoes!$C:$C,$A273,Movimentacoes!$E:$E,$C273,Movimentacoes!$B:$B,"SAIDA_USO")</f>
        <v/>
      </c>
      <c r="I273" s="13">
        <f>SUMIFS(Movimentacoes!$G:$G,Movimentacoes!$C:$C,$A273,Movimentacoes!$E:$E,$C273,Movimentacoes!$B:$B,"SAIDA_DESCARTE")</f>
        <v/>
      </c>
      <c r="J273" s="13">
        <f>G273-H273-I273</f>
        <v/>
      </c>
      <c r="K273">
        <f>IF(A273="","",IF(J273&lt;=IFERROR(VLOOKUP(A273,Cadastro_Produtos!$A:$E,5,FALSE),0),"ABAIXO DO MINIMO","OK"))</f>
        <v/>
      </c>
    </row>
    <row r="274">
      <c r="B274">
        <f>IFERROR(VLOOKUP(A274,Cadastro_Produtos!A:B,2,FALSE),"")</f>
        <v/>
      </c>
      <c r="D274" s="12" t="n"/>
      <c r="E274" s="13">
        <f>IF(D274="","",D274-TODAY())</f>
        <v/>
      </c>
      <c r="F274">
        <f>IF(D274="","",IF(E274&lt;0,"VENCIDO",IF(E274&lt;=30,"VENCE EM &lt;= 30 DIAS",IF(E274&lt;=60,"ATENCAO (31-60 DIAS)","OK"))))</f>
        <v/>
      </c>
      <c r="G274" s="13">
        <f>SUMIFS(Movimentacoes!$G:$G,Movimentacoes!$C:$C,$A274,Movimentacoes!$E:$E,$C274,Movimentacoes!$B:$B,"ENTRADA")</f>
        <v/>
      </c>
      <c r="H274" s="13">
        <f>SUMIFS(Movimentacoes!$G:$G,Movimentacoes!$C:$C,$A274,Movimentacoes!$E:$E,$C274,Movimentacoes!$B:$B,"SAIDA_USO")</f>
        <v/>
      </c>
      <c r="I274" s="13">
        <f>SUMIFS(Movimentacoes!$G:$G,Movimentacoes!$C:$C,$A274,Movimentacoes!$E:$E,$C274,Movimentacoes!$B:$B,"SAIDA_DESCARTE")</f>
        <v/>
      </c>
      <c r="J274" s="13">
        <f>G274-H274-I274</f>
        <v/>
      </c>
      <c r="K274">
        <f>IF(A274="","",IF(J274&lt;=IFERROR(VLOOKUP(A274,Cadastro_Produtos!$A:$E,5,FALSE),0),"ABAIXO DO MINIMO","OK"))</f>
        <v/>
      </c>
    </row>
    <row r="275">
      <c r="B275">
        <f>IFERROR(VLOOKUP(A275,Cadastro_Produtos!A:B,2,FALSE),"")</f>
        <v/>
      </c>
      <c r="D275" s="12" t="n"/>
      <c r="E275" s="13">
        <f>IF(D275="","",D275-TODAY())</f>
        <v/>
      </c>
      <c r="F275">
        <f>IF(D275="","",IF(E275&lt;0,"VENCIDO",IF(E275&lt;=30,"VENCE EM &lt;= 30 DIAS",IF(E275&lt;=60,"ATENCAO (31-60 DIAS)","OK"))))</f>
        <v/>
      </c>
      <c r="G275" s="13">
        <f>SUMIFS(Movimentacoes!$G:$G,Movimentacoes!$C:$C,$A275,Movimentacoes!$E:$E,$C275,Movimentacoes!$B:$B,"ENTRADA")</f>
        <v/>
      </c>
      <c r="H275" s="13">
        <f>SUMIFS(Movimentacoes!$G:$G,Movimentacoes!$C:$C,$A275,Movimentacoes!$E:$E,$C275,Movimentacoes!$B:$B,"SAIDA_USO")</f>
        <v/>
      </c>
      <c r="I275" s="13">
        <f>SUMIFS(Movimentacoes!$G:$G,Movimentacoes!$C:$C,$A275,Movimentacoes!$E:$E,$C275,Movimentacoes!$B:$B,"SAIDA_DESCARTE")</f>
        <v/>
      </c>
      <c r="J275" s="13">
        <f>G275-H275-I275</f>
        <v/>
      </c>
      <c r="K275">
        <f>IF(A275="","",IF(J275&lt;=IFERROR(VLOOKUP(A275,Cadastro_Produtos!$A:$E,5,FALSE),0),"ABAIXO DO MINIMO","OK"))</f>
        <v/>
      </c>
    </row>
    <row r="276">
      <c r="B276">
        <f>IFERROR(VLOOKUP(A276,Cadastro_Produtos!A:B,2,FALSE),"")</f>
        <v/>
      </c>
      <c r="D276" s="12" t="n"/>
      <c r="E276" s="13">
        <f>IF(D276="","",D276-TODAY())</f>
        <v/>
      </c>
      <c r="F276">
        <f>IF(D276="","",IF(E276&lt;0,"VENCIDO",IF(E276&lt;=30,"VENCE EM &lt;= 30 DIAS",IF(E276&lt;=60,"ATENCAO (31-60 DIAS)","OK"))))</f>
        <v/>
      </c>
      <c r="G276" s="13">
        <f>SUMIFS(Movimentacoes!$G:$G,Movimentacoes!$C:$C,$A276,Movimentacoes!$E:$E,$C276,Movimentacoes!$B:$B,"ENTRADA")</f>
        <v/>
      </c>
      <c r="H276" s="13">
        <f>SUMIFS(Movimentacoes!$G:$G,Movimentacoes!$C:$C,$A276,Movimentacoes!$E:$E,$C276,Movimentacoes!$B:$B,"SAIDA_USO")</f>
        <v/>
      </c>
      <c r="I276" s="13">
        <f>SUMIFS(Movimentacoes!$G:$G,Movimentacoes!$C:$C,$A276,Movimentacoes!$E:$E,$C276,Movimentacoes!$B:$B,"SAIDA_DESCARTE")</f>
        <v/>
      </c>
      <c r="J276" s="13">
        <f>G276-H276-I276</f>
        <v/>
      </c>
      <c r="K276">
        <f>IF(A276="","",IF(J276&lt;=IFERROR(VLOOKUP(A276,Cadastro_Produtos!$A:$E,5,FALSE),0),"ABAIXO DO MINIMO","OK"))</f>
        <v/>
      </c>
    </row>
    <row r="277">
      <c r="B277">
        <f>IFERROR(VLOOKUP(A277,Cadastro_Produtos!A:B,2,FALSE),"")</f>
        <v/>
      </c>
      <c r="D277" s="12" t="n"/>
      <c r="E277" s="13">
        <f>IF(D277="","",D277-TODAY())</f>
        <v/>
      </c>
      <c r="F277">
        <f>IF(D277="","",IF(E277&lt;0,"VENCIDO",IF(E277&lt;=30,"VENCE EM &lt;= 30 DIAS",IF(E277&lt;=60,"ATENCAO (31-60 DIAS)","OK"))))</f>
        <v/>
      </c>
      <c r="G277" s="13">
        <f>SUMIFS(Movimentacoes!$G:$G,Movimentacoes!$C:$C,$A277,Movimentacoes!$E:$E,$C277,Movimentacoes!$B:$B,"ENTRADA")</f>
        <v/>
      </c>
      <c r="H277" s="13">
        <f>SUMIFS(Movimentacoes!$G:$G,Movimentacoes!$C:$C,$A277,Movimentacoes!$E:$E,$C277,Movimentacoes!$B:$B,"SAIDA_USO")</f>
        <v/>
      </c>
      <c r="I277" s="13">
        <f>SUMIFS(Movimentacoes!$G:$G,Movimentacoes!$C:$C,$A277,Movimentacoes!$E:$E,$C277,Movimentacoes!$B:$B,"SAIDA_DESCARTE")</f>
        <v/>
      </c>
      <c r="J277" s="13">
        <f>G277-H277-I277</f>
        <v/>
      </c>
      <c r="K277">
        <f>IF(A277="","",IF(J277&lt;=IFERROR(VLOOKUP(A277,Cadastro_Produtos!$A:$E,5,FALSE),0),"ABAIXO DO MINIMO","OK"))</f>
        <v/>
      </c>
    </row>
    <row r="278">
      <c r="B278">
        <f>IFERROR(VLOOKUP(A278,Cadastro_Produtos!A:B,2,FALSE),"")</f>
        <v/>
      </c>
      <c r="D278" s="12" t="n"/>
      <c r="E278" s="13">
        <f>IF(D278="","",D278-TODAY())</f>
        <v/>
      </c>
      <c r="F278">
        <f>IF(D278="","",IF(E278&lt;0,"VENCIDO",IF(E278&lt;=30,"VENCE EM &lt;= 30 DIAS",IF(E278&lt;=60,"ATENCAO (31-60 DIAS)","OK"))))</f>
        <v/>
      </c>
      <c r="G278" s="13">
        <f>SUMIFS(Movimentacoes!$G:$G,Movimentacoes!$C:$C,$A278,Movimentacoes!$E:$E,$C278,Movimentacoes!$B:$B,"ENTRADA")</f>
        <v/>
      </c>
      <c r="H278" s="13">
        <f>SUMIFS(Movimentacoes!$G:$G,Movimentacoes!$C:$C,$A278,Movimentacoes!$E:$E,$C278,Movimentacoes!$B:$B,"SAIDA_USO")</f>
        <v/>
      </c>
      <c r="I278" s="13">
        <f>SUMIFS(Movimentacoes!$G:$G,Movimentacoes!$C:$C,$A278,Movimentacoes!$E:$E,$C278,Movimentacoes!$B:$B,"SAIDA_DESCARTE")</f>
        <v/>
      </c>
      <c r="J278" s="13">
        <f>G278-H278-I278</f>
        <v/>
      </c>
      <c r="K278">
        <f>IF(A278="","",IF(J278&lt;=IFERROR(VLOOKUP(A278,Cadastro_Produtos!$A:$E,5,FALSE),0),"ABAIXO DO MINIMO","OK"))</f>
        <v/>
      </c>
    </row>
    <row r="279">
      <c r="B279">
        <f>IFERROR(VLOOKUP(A279,Cadastro_Produtos!A:B,2,FALSE),"")</f>
        <v/>
      </c>
      <c r="D279" s="12" t="n"/>
      <c r="E279" s="13">
        <f>IF(D279="","",D279-TODAY())</f>
        <v/>
      </c>
      <c r="F279">
        <f>IF(D279="","",IF(E279&lt;0,"VENCIDO",IF(E279&lt;=30,"VENCE EM &lt;= 30 DIAS",IF(E279&lt;=60,"ATENCAO (31-60 DIAS)","OK"))))</f>
        <v/>
      </c>
      <c r="G279" s="13">
        <f>SUMIFS(Movimentacoes!$G:$G,Movimentacoes!$C:$C,$A279,Movimentacoes!$E:$E,$C279,Movimentacoes!$B:$B,"ENTRADA")</f>
        <v/>
      </c>
      <c r="H279" s="13">
        <f>SUMIFS(Movimentacoes!$G:$G,Movimentacoes!$C:$C,$A279,Movimentacoes!$E:$E,$C279,Movimentacoes!$B:$B,"SAIDA_USO")</f>
        <v/>
      </c>
      <c r="I279" s="13">
        <f>SUMIFS(Movimentacoes!$G:$G,Movimentacoes!$C:$C,$A279,Movimentacoes!$E:$E,$C279,Movimentacoes!$B:$B,"SAIDA_DESCARTE")</f>
        <v/>
      </c>
      <c r="J279" s="13">
        <f>G279-H279-I279</f>
        <v/>
      </c>
      <c r="K279">
        <f>IF(A279="","",IF(J279&lt;=IFERROR(VLOOKUP(A279,Cadastro_Produtos!$A:$E,5,FALSE),0),"ABAIXO DO MINIMO","OK"))</f>
        <v/>
      </c>
    </row>
    <row r="280">
      <c r="B280">
        <f>IFERROR(VLOOKUP(A280,Cadastro_Produtos!A:B,2,FALSE),"")</f>
        <v/>
      </c>
      <c r="D280" s="12" t="n"/>
      <c r="E280" s="13">
        <f>IF(D280="","",D280-TODAY())</f>
        <v/>
      </c>
      <c r="F280">
        <f>IF(D280="","",IF(E280&lt;0,"VENCIDO",IF(E280&lt;=30,"VENCE EM &lt;= 30 DIAS",IF(E280&lt;=60,"ATENCAO (31-60 DIAS)","OK"))))</f>
        <v/>
      </c>
      <c r="G280" s="13">
        <f>SUMIFS(Movimentacoes!$G:$G,Movimentacoes!$C:$C,$A280,Movimentacoes!$E:$E,$C280,Movimentacoes!$B:$B,"ENTRADA")</f>
        <v/>
      </c>
      <c r="H280" s="13">
        <f>SUMIFS(Movimentacoes!$G:$G,Movimentacoes!$C:$C,$A280,Movimentacoes!$E:$E,$C280,Movimentacoes!$B:$B,"SAIDA_USO")</f>
        <v/>
      </c>
      <c r="I280" s="13">
        <f>SUMIFS(Movimentacoes!$G:$G,Movimentacoes!$C:$C,$A280,Movimentacoes!$E:$E,$C280,Movimentacoes!$B:$B,"SAIDA_DESCARTE")</f>
        <v/>
      </c>
      <c r="J280" s="13">
        <f>G280-H280-I280</f>
        <v/>
      </c>
      <c r="K280">
        <f>IF(A280="","",IF(J280&lt;=IFERROR(VLOOKUP(A280,Cadastro_Produtos!$A:$E,5,FALSE),0),"ABAIXO DO MINIMO","OK"))</f>
        <v/>
      </c>
    </row>
    <row r="281">
      <c r="B281">
        <f>IFERROR(VLOOKUP(A281,Cadastro_Produtos!A:B,2,FALSE),"")</f>
        <v/>
      </c>
      <c r="D281" s="12" t="n"/>
      <c r="E281" s="13">
        <f>IF(D281="","",D281-TODAY())</f>
        <v/>
      </c>
      <c r="F281">
        <f>IF(D281="","",IF(E281&lt;0,"VENCIDO",IF(E281&lt;=30,"VENCE EM &lt;= 30 DIAS",IF(E281&lt;=60,"ATENCAO (31-60 DIAS)","OK"))))</f>
        <v/>
      </c>
      <c r="G281" s="13">
        <f>SUMIFS(Movimentacoes!$G:$G,Movimentacoes!$C:$C,$A281,Movimentacoes!$E:$E,$C281,Movimentacoes!$B:$B,"ENTRADA")</f>
        <v/>
      </c>
      <c r="H281" s="13">
        <f>SUMIFS(Movimentacoes!$G:$G,Movimentacoes!$C:$C,$A281,Movimentacoes!$E:$E,$C281,Movimentacoes!$B:$B,"SAIDA_USO")</f>
        <v/>
      </c>
      <c r="I281" s="13">
        <f>SUMIFS(Movimentacoes!$G:$G,Movimentacoes!$C:$C,$A281,Movimentacoes!$E:$E,$C281,Movimentacoes!$B:$B,"SAIDA_DESCARTE")</f>
        <v/>
      </c>
      <c r="J281" s="13">
        <f>G281-H281-I281</f>
        <v/>
      </c>
      <c r="K281">
        <f>IF(A281="","",IF(J281&lt;=IFERROR(VLOOKUP(A281,Cadastro_Produtos!$A:$E,5,FALSE),0),"ABAIXO DO MINIMO","OK"))</f>
        <v/>
      </c>
    </row>
    <row r="282">
      <c r="B282">
        <f>IFERROR(VLOOKUP(A282,Cadastro_Produtos!A:B,2,FALSE),"")</f>
        <v/>
      </c>
      <c r="D282" s="12" t="n"/>
      <c r="E282" s="13">
        <f>IF(D282="","",D282-TODAY())</f>
        <v/>
      </c>
      <c r="F282">
        <f>IF(D282="","",IF(E282&lt;0,"VENCIDO",IF(E282&lt;=30,"VENCE EM &lt;= 30 DIAS",IF(E282&lt;=60,"ATENCAO (31-60 DIAS)","OK"))))</f>
        <v/>
      </c>
      <c r="G282" s="13">
        <f>SUMIFS(Movimentacoes!$G:$G,Movimentacoes!$C:$C,$A282,Movimentacoes!$E:$E,$C282,Movimentacoes!$B:$B,"ENTRADA")</f>
        <v/>
      </c>
      <c r="H282" s="13">
        <f>SUMIFS(Movimentacoes!$G:$G,Movimentacoes!$C:$C,$A282,Movimentacoes!$E:$E,$C282,Movimentacoes!$B:$B,"SAIDA_USO")</f>
        <v/>
      </c>
      <c r="I282" s="13">
        <f>SUMIFS(Movimentacoes!$G:$G,Movimentacoes!$C:$C,$A282,Movimentacoes!$E:$E,$C282,Movimentacoes!$B:$B,"SAIDA_DESCARTE")</f>
        <v/>
      </c>
      <c r="J282" s="13">
        <f>G282-H282-I282</f>
        <v/>
      </c>
      <c r="K282">
        <f>IF(A282="","",IF(J282&lt;=IFERROR(VLOOKUP(A282,Cadastro_Produtos!$A:$E,5,FALSE),0),"ABAIXO DO MINIMO","OK"))</f>
        <v/>
      </c>
    </row>
    <row r="283">
      <c r="B283">
        <f>IFERROR(VLOOKUP(A283,Cadastro_Produtos!A:B,2,FALSE),"")</f>
        <v/>
      </c>
      <c r="D283" s="12" t="n"/>
      <c r="E283" s="13">
        <f>IF(D283="","",D283-TODAY())</f>
        <v/>
      </c>
      <c r="F283">
        <f>IF(D283="","",IF(E283&lt;0,"VENCIDO",IF(E283&lt;=30,"VENCE EM &lt;= 30 DIAS",IF(E283&lt;=60,"ATENCAO (31-60 DIAS)","OK"))))</f>
        <v/>
      </c>
      <c r="G283" s="13">
        <f>SUMIFS(Movimentacoes!$G:$G,Movimentacoes!$C:$C,$A283,Movimentacoes!$E:$E,$C283,Movimentacoes!$B:$B,"ENTRADA")</f>
        <v/>
      </c>
      <c r="H283" s="13">
        <f>SUMIFS(Movimentacoes!$G:$G,Movimentacoes!$C:$C,$A283,Movimentacoes!$E:$E,$C283,Movimentacoes!$B:$B,"SAIDA_USO")</f>
        <v/>
      </c>
      <c r="I283" s="13">
        <f>SUMIFS(Movimentacoes!$G:$G,Movimentacoes!$C:$C,$A283,Movimentacoes!$E:$E,$C283,Movimentacoes!$B:$B,"SAIDA_DESCARTE")</f>
        <v/>
      </c>
      <c r="J283" s="13">
        <f>G283-H283-I283</f>
        <v/>
      </c>
      <c r="K283">
        <f>IF(A283="","",IF(J283&lt;=IFERROR(VLOOKUP(A283,Cadastro_Produtos!$A:$E,5,FALSE),0),"ABAIXO DO MINIMO","OK"))</f>
        <v/>
      </c>
    </row>
    <row r="284">
      <c r="B284">
        <f>IFERROR(VLOOKUP(A284,Cadastro_Produtos!A:B,2,FALSE),"")</f>
        <v/>
      </c>
      <c r="D284" s="12" t="n"/>
      <c r="E284" s="13">
        <f>IF(D284="","",D284-TODAY())</f>
        <v/>
      </c>
      <c r="F284">
        <f>IF(D284="","",IF(E284&lt;0,"VENCIDO",IF(E284&lt;=30,"VENCE EM &lt;= 30 DIAS",IF(E284&lt;=60,"ATENCAO (31-60 DIAS)","OK"))))</f>
        <v/>
      </c>
      <c r="G284" s="13">
        <f>SUMIFS(Movimentacoes!$G:$G,Movimentacoes!$C:$C,$A284,Movimentacoes!$E:$E,$C284,Movimentacoes!$B:$B,"ENTRADA")</f>
        <v/>
      </c>
      <c r="H284" s="13">
        <f>SUMIFS(Movimentacoes!$G:$G,Movimentacoes!$C:$C,$A284,Movimentacoes!$E:$E,$C284,Movimentacoes!$B:$B,"SAIDA_USO")</f>
        <v/>
      </c>
      <c r="I284" s="13">
        <f>SUMIFS(Movimentacoes!$G:$G,Movimentacoes!$C:$C,$A284,Movimentacoes!$E:$E,$C284,Movimentacoes!$B:$B,"SAIDA_DESCARTE")</f>
        <v/>
      </c>
      <c r="J284" s="13">
        <f>G284-H284-I284</f>
        <v/>
      </c>
      <c r="K284">
        <f>IF(A284="","",IF(J284&lt;=IFERROR(VLOOKUP(A284,Cadastro_Produtos!$A:$E,5,FALSE),0),"ABAIXO DO MINIMO","OK"))</f>
        <v/>
      </c>
    </row>
    <row r="285">
      <c r="B285">
        <f>IFERROR(VLOOKUP(A285,Cadastro_Produtos!A:B,2,FALSE),"")</f>
        <v/>
      </c>
      <c r="D285" s="12" t="n"/>
      <c r="E285" s="13">
        <f>IF(D285="","",D285-TODAY())</f>
        <v/>
      </c>
      <c r="F285">
        <f>IF(D285="","",IF(E285&lt;0,"VENCIDO",IF(E285&lt;=30,"VENCE EM &lt;= 30 DIAS",IF(E285&lt;=60,"ATENCAO (31-60 DIAS)","OK"))))</f>
        <v/>
      </c>
      <c r="G285" s="13">
        <f>SUMIFS(Movimentacoes!$G:$G,Movimentacoes!$C:$C,$A285,Movimentacoes!$E:$E,$C285,Movimentacoes!$B:$B,"ENTRADA")</f>
        <v/>
      </c>
      <c r="H285" s="13">
        <f>SUMIFS(Movimentacoes!$G:$G,Movimentacoes!$C:$C,$A285,Movimentacoes!$E:$E,$C285,Movimentacoes!$B:$B,"SAIDA_USO")</f>
        <v/>
      </c>
      <c r="I285" s="13">
        <f>SUMIFS(Movimentacoes!$G:$G,Movimentacoes!$C:$C,$A285,Movimentacoes!$E:$E,$C285,Movimentacoes!$B:$B,"SAIDA_DESCARTE")</f>
        <v/>
      </c>
      <c r="J285" s="13">
        <f>G285-H285-I285</f>
        <v/>
      </c>
      <c r="K285">
        <f>IF(A285="","",IF(J285&lt;=IFERROR(VLOOKUP(A285,Cadastro_Produtos!$A:$E,5,FALSE),0),"ABAIXO DO MINIMO","OK"))</f>
        <v/>
      </c>
    </row>
    <row r="286">
      <c r="B286">
        <f>IFERROR(VLOOKUP(A286,Cadastro_Produtos!A:B,2,FALSE),"")</f>
        <v/>
      </c>
      <c r="D286" s="12" t="n"/>
      <c r="E286" s="13">
        <f>IF(D286="","",D286-TODAY())</f>
        <v/>
      </c>
      <c r="F286">
        <f>IF(D286="","",IF(E286&lt;0,"VENCIDO",IF(E286&lt;=30,"VENCE EM &lt;= 30 DIAS",IF(E286&lt;=60,"ATENCAO (31-60 DIAS)","OK"))))</f>
        <v/>
      </c>
      <c r="G286" s="13">
        <f>SUMIFS(Movimentacoes!$G:$G,Movimentacoes!$C:$C,$A286,Movimentacoes!$E:$E,$C286,Movimentacoes!$B:$B,"ENTRADA")</f>
        <v/>
      </c>
      <c r="H286" s="13">
        <f>SUMIFS(Movimentacoes!$G:$G,Movimentacoes!$C:$C,$A286,Movimentacoes!$E:$E,$C286,Movimentacoes!$B:$B,"SAIDA_USO")</f>
        <v/>
      </c>
      <c r="I286" s="13">
        <f>SUMIFS(Movimentacoes!$G:$G,Movimentacoes!$C:$C,$A286,Movimentacoes!$E:$E,$C286,Movimentacoes!$B:$B,"SAIDA_DESCARTE")</f>
        <v/>
      </c>
      <c r="J286" s="13">
        <f>G286-H286-I286</f>
        <v/>
      </c>
      <c r="K286">
        <f>IF(A286="","",IF(J286&lt;=IFERROR(VLOOKUP(A286,Cadastro_Produtos!$A:$E,5,FALSE),0),"ABAIXO DO MINIMO","OK"))</f>
        <v/>
      </c>
    </row>
    <row r="287">
      <c r="B287">
        <f>IFERROR(VLOOKUP(A287,Cadastro_Produtos!A:B,2,FALSE),"")</f>
        <v/>
      </c>
      <c r="D287" s="12" t="n"/>
      <c r="E287" s="13">
        <f>IF(D287="","",D287-TODAY())</f>
        <v/>
      </c>
      <c r="F287">
        <f>IF(D287="","",IF(E287&lt;0,"VENCIDO",IF(E287&lt;=30,"VENCE EM &lt;= 30 DIAS",IF(E287&lt;=60,"ATENCAO (31-60 DIAS)","OK"))))</f>
        <v/>
      </c>
      <c r="G287" s="13">
        <f>SUMIFS(Movimentacoes!$G:$G,Movimentacoes!$C:$C,$A287,Movimentacoes!$E:$E,$C287,Movimentacoes!$B:$B,"ENTRADA")</f>
        <v/>
      </c>
      <c r="H287" s="13">
        <f>SUMIFS(Movimentacoes!$G:$G,Movimentacoes!$C:$C,$A287,Movimentacoes!$E:$E,$C287,Movimentacoes!$B:$B,"SAIDA_USO")</f>
        <v/>
      </c>
      <c r="I287" s="13">
        <f>SUMIFS(Movimentacoes!$G:$G,Movimentacoes!$C:$C,$A287,Movimentacoes!$E:$E,$C287,Movimentacoes!$B:$B,"SAIDA_DESCARTE")</f>
        <v/>
      </c>
      <c r="J287" s="13">
        <f>G287-H287-I287</f>
        <v/>
      </c>
      <c r="K287">
        <f>IF(A287="","",IF(J287&lt;=IFERROR(VLOOKUP(A287,Cadastro_Produtos!$A:$E,5,FALSE),0),"ABAIXO DO MINIMO","OK"))</f>
        <v/>
      </c>
    </row>
    <row r="288">
      <c r="B288">
        <f>IFERROR(VLOOKUP(A288,Cadastro_Produtos!A:B,2,FALSE),"")</f>
        <v/>
      </c>
      <c r="D288" s="12" t="n"/>
      <c r="E288" s="13">
        <f>IF(D288="","",D288-TODAY())</f>
        <v/>
      </c>
      <c r="F288">
        <f>IF(D288="","",IF(E288&lt;0,"VENCIDO",IF(E288&lt;=30,"VENCE EM &lt;= 30 DIAS",IF(E288&lt;=60,"ATENCAO (31-60 DIAS)","OK"))))</f>
        <v/>
      </c>
      <c r="G288" s="13">
        <f>SUMIFS(Movimentacoes!$G:$G,Movimentacoes!$C:$C,$A288,Movimentacoes!$E:$E,$C288,Movimentacoes!$B:$B,"ENTRADA")</f>
        <v/>
      </c>
      <c r="H288" s="13">
        <f>SUMIFS(Movimentacoes!$G:$G,Movimentacoes!$C:$C,$A288,Movimentacoes!$E:$E,$C288,Movimentacoes!$B:$B,"SAIDA_USO")</f>
        <v/>
      </c>
      <c r="I288" s="13">
        <f>SUMIFS(Movimentacoes!$G:$G,Movimentacoes!$C:$C,$A288,Movimentacoes!$E:$E,$C288,Movimentacoes!$B:$B,"SAIDA_DESCARTE")</f>
        <v/>
      </c>
      <c r="J288" s="13">
        <f>G288-H288-I288</f>
        <v/>
      </c>
      <c r="K288">
        <f>IF(A288="","",IF(J288&lt;=IFERROR(VLOOKUP(A288,Cadastro_Produtos!$A:$E,5,FALSE),0),"ABAIXO DO MINIMO","OK"))</f>
        <v/>
      </c>
    </row>
    <row r="289">
      <c r="B289">
        <f>IFERROR(VLOOKUP(A289,Cadastro_Produtos!A:B,2,FALSE),"")</f>
        <v/>
      </c>
      <c r="D289" s="12" t="n"/>
      <c r="E289" s="13">
        <f>IF(D289="","",D289-TODAY())</f>
        <v/>
      </c>
      <c r="F289">
        <f>IF(D289="","",IF(E289&lt;0,"VENCIDO",IF(E289&lt;=30,"VENCE EM &lt;= 30 DIAS",IF(E289&lt;=60,"ATENCAO (31-60 DIAS)","OK"))))</f>
        <v/>
      </c>
      <c r="G289" s="13">
        <f>SUMIFS(Movimentacoes!$G:$G,Movimentacoes!$C:$C,$A289,Movimentacoes!$E:$E,$C289,Movimentacoes!$B:$B,"ENTRADA")</f>
        <v/>
      </c>
      <c r="H289" s="13">
        <f>SUMIFS(Movimentacoes!$G:$G,Movimentacoes!$C:$C,$A289,Movimentacoes!$E:$E,$C289,Movimentacoes!$B:$B,"SAIDA_USO")</f>
        <v/>
      </c>
      <c r="I289" s="13">
        <f>SUMIFS(Movimentacoes!$G:$G,Movimentacoes!$C:$C,$A289,Movimentacoes!$E:$E,$C289,Movimentacoes!$B:$B,"SAIDA_DESCARTE")</f>
        <v/>
      </c>
      <c r="J289" s="13">
        <f>G289-H289-I289</f>
        <v/>
      </c>
      <c r="K289">
        <f>IF(A289="","",IF(J289&lt;=IFERROR(VLOOKUP(A289,Cadastro_Produtos!$A:$E,5,FALSE),0),"ABAIXO DO MINIMO","OK"))</f>
        <v/>
      </c>
    </row>
    <row r="290">
      <c r="B290">
        <f>IFERROR(VLOOKUP(A290,Cadastro_Produtos!A:B,2,FALSE),"")</f>
        <v/>
      </c>
      <c r="D290" s="12" t="n"/>
      <c r="E290" s="13">
        <f>IF(D290="","",D290-TODAY())</f>
        <v/>
      </c>
      <c r="F290">
        <f>IF(D290="","",IF(E290&lt;0,"VENCIDO",IF(E290&lt;=30,"VENCE EM &lt;= 30 DIAS",IF(E290&lt;=60,"ATENCAO (31-60 DIAS)","OK"))))</f>
        <v/>
      </c>
      <c r="G290" s="13">
        <f>SUMIFS(Movimentacoes!$G:$G,Movimentacoes!$C:$C,$A290,Movimentacoes!$E:$E,$C290,Movimentacoes!$B:$B,"ENTRADA")</f>
        <v/>
      </c>
      <c r="H290" s="13">
        <f>SUMIFS(Movimentacoes!$G:$G,Movimentacoes!$C:$C,$A290,Movimentacoes!$E:$E,$C290,Movimentacoes!$B:$B,"SAIDA_USO")</f>
        <v/>
      </c>
      <c r="I290" s="13">
        <f>SUMIFS(Movimentacoes!$G:$G,Movimentacoes!$C:$C,$A290,Movimentacoes!$E:$E,$C290,Movimentacoes!$B:$B,"SAIDA_DESCARTE")</f>
        <v/>
      </c>
      <c r="J290" s="13">
        <f>G290-H290-I290</f>
        <v/>
      </c>
      <c r="K290">
        <f>IF(A290="","",IF(J290&lt;=IFERROR(VLOOKUP(A290,Cadastro_Produtos!$A:$E,5,FALSE),0),"ABAIXO DO MINIMO","OK"))</f>
        <v/>
      </c>
    </row>
    <row r="291">
      <c r="B291">
        <f>IFERROR(VLOOKUP(A291,Cadastro_Produtos!A:B,2,FALSE),"")</f>
        <v/>
      </c>
      <c r="D291" s="12" t="n"/>
      <c r="E291" s="13">
        <f>IF(D291="","",D291-TODAY())</f>
        <v/>
      </c>
      <c r="F291">
        <f>IF(D291="","",IF(E291&lt;0,"VENCIDO",IF(E291&lt;=30,"VENCE EM &lt;= 30 DIAS",IF(E291&lt;=60,"ATENCAO (31-60 DIAS)","OK"))))</f>
        <v/>
      </c>
      <c r="G291" s="13">
        <f>SUMIFS(Movimentacoes!$G:$G,Movimentacoes!$C:$C,$A291,Movimentacoes!$E:$E,$C291,Movimentacoes!$B:$B,"ENTRADA")</f>
        <v/>
      </c>
      <c r="H291" s="13">
        <f>SUMIFS(Movimentacoes!$G:$G,Movimentacoes!$C:$C,$A291,Movimentacoes!$E:$E,$C291,Movimentacoes!$B:$B,"SAIDA_USO")</f>
        <v/>
      </c>
      <c r="I291" s="13">
        <f>SUMIFS(Movimentacoes!$G:$G,Movimentacoes!$C:$C,$A291,Movimentacoes!$E:$E,$C291,Movimentacoes!$B:$B,"SAIDA_DESCARTE")</f>
        <v/>
      </c>
      <c r="J291" s="13">
        <f>G291-H291-I291</f>
        <v/>
      </c>
      <c r="K291">
        <f>IF(A291="","",IF(J291&lt;=IFERROR(VLOOKUP(A291,Cadastro_Produtos!$A:$E,5,FALSE),0),"ABAIXO DO MINIMO","OK"))</f>
        <v/>
      </c>
    </row>
    <row r="292">
      <c r="B292">
        <f>IFERROR(VLOOKUP(A292,Cadastro_Produtos!A:B,2,FALSE),"")</f>
        <v/>
      </c>
      <c r="D292" s="12" t="n"/>
      <c r="E292" s="13">
        <f>IF(D292="","",D292-TODAY())</f>
        <v/>
      </c>
      <c r="F292">
        <f>IF(D292="","",IF(E292&lt;0,"VENCIDO",IF(E292&lt;=30,"VENCE EM &lt;= 30 DIAS",IF(E292&lt;=60,"ATENCAO (31-60 DIAS)","OK"))))</f>
        <v/>
      </c>
      <c r="G292" s="13">
        <f>SUMIFS(Movimentacoes!$G:$G,Movimentacoes!$C:$C,$A292,Movimentacoes!$E:$E,$C292,Movimentacoes!$B:$B,"ENTRADA")</f>
        <v/>
      </c>
      <c r="H292" s="13">
        <f>SUMIFS(Movimentacoes!$G:$G,Movimentacoes!$C:$C,$A292,Movimentacoes!$E:$E,$C292,Movimentacoes!$B:$B,"SAIDA_USO")</f>
        <v/>
      </c>
      <c r="I292" s="13">
        <f>SUMIFS(Movimentacoes!$G:$G,Movimentacoes!$C:$C,$A292,Movimentacoes!$E:$E,$C292,Movimentacoes!$B:$B,"SAIDA_DESCARTE")</f>
        <v/>
      </c>
      <c r="J292" s="13">
        <f>G292-H292-I292</f>
        <v/>
      </c>
      <c r="K292">
        <f>IF(A292="","",IF(J292&lt;=IFERROR(VLOOKUP(A292,Cadastro_Produtos!$A:$E,5,FALSE),0),"ABAIXO DO MINIMO","OK"))</f>
        <v/>
      </c>
    </row>
    <row r="293">
      <c r="B293">
        <f>IFERROR(VLOOKUP(A293,Cadastro_Produtos!A:B,2,FALSE),"")</f>
        <v/>
      </c>
      <c r="D293" s="12" t="n"/>
      <c r="E293" s="13">
        <f>IF(D293="","",D293-TODAY())</f>
        <v/>
      </c>
      <c r="F293">
        <f>IF(D293="","",IF(E293&lt;0,"VENCIDO",IF(E293&lt;=30,"VENCE EM &lt;= 30 DIAS",IF(E293&lt;=60,"ATENCAO (31-60 DIAS)","OK"))))</f>
        <v/>
      </c>
      <c r="G293" s="13">
        <f>SUMIFS(Movimentacoes!$G:$G,Movimentacoes!$C:$C,$A293,Movimentacoes!$E:$E,$C293,Movimentacoes!$B:$B,"ENTRADA")</f>
        <v/>
      </c>
      <c r="H293" s="13">
        <f>SUMIFS(Movimentacoes!$G:$G,Movimentacoes!$C:$C,$A293,Movimentacoes!$E:$E,$C293,Movimentacoes!$B:$B,"SAIDA_USO")</f>
        <v/>
      </c>
      <c r="I293" s="13">
        <f>SUMIFS(Movimentacoes!$G:$G,Movimentacoes!$C:$C,$A293,Movimentacoes!$E:$E,$C293,Movimentacoes!$B:$B,"SAIDA_DESCARTE")</f>
        <v/>
      </c>
      <c r="J293" s="13">
        <f>G293-H293-I293</f>
        <v/>
      </c>
      <c r="K293">
        <f>IF(A293="","",IF(J293&lt;=IFERROR(VLOOKUP(A293,Cadastro_Produtos!$A:$E,5,FALSE),0),"ABAIXO DO MINIMO","OK"))</f>
        <v/>
      </c>
    </row>
    <row r="294">
      <c r="B294">
        <f>IFERROR(VLOOKUP(A294,Cadastro_Produtos!A:B,2,FALSE),"")</f>
        <v/>
      </c>
      <c r="D294" s="12" t="n"/>
      <c r="E294" s="13">
        <f>IF(D294="","",D294-TODAY())</f>
        <v/>
      </c>
      <c r="F294">
        <f>IF(D294="","",IF(E294&lt;0,"VENCIDO",IF(E294&lt;=30,"VENCE EM &lt;= 30 DIAS",IF(E294&lt;=60,"ATENCAO (31-60 DIAS)","OK"))))</f>
        <v/>
      </c>
      <c r="G294" s="13">
        <f>SUMIFS(Movimentacoes!$G:$G,Movimentacoes!$C:$C,$A294,Movimentacoes!$E:$E,$C294,Movimentacoes!$B:$B,"ENTRADA")</f>
        <v/>
      </c>
      <c r="H294" s="13">
        <f>SUMIFS(Movimentacoes!$G:$G,Movimentacoes!$C:$C,$A294,Movimentacoes!$E:$E,$C294,Movimentacoes!$B:$B,"SAIDA_USO")</f>
        <v/>
      </c>
      <c r="I294" s="13">
        <f>SUMIFS(Movimentacoes!$G:$G,Movimentacoes!$C:$C,$A294,Movimentacoes!$E:$E,$C294,Movimentacoes!$B:$B,"SAIDA_DESCARTE")</f>
        <v/>
      </c>
      <c r="J294" s="13">
        <f>G294-H294-I294</f>
        <v/>
      </c>
      <c r="K294">
        <f>IF(A294="","",IF(J294&lt;=IFERROR(VLOOKUP(A294,Cadastro_Produtos!$A:$E,5,FALSE),0),"ABAIXO DO MINIMO","OK"))</f>
        <v/>
      </c>
    </row>
    <row r="295">
      <c r="B295">
        <f>IFERROR(VLOOKUP(A295,Cadastro_Produtos!A:B,2,FALSE),"")</f>
        <v/>
      </c>
      <c r="D295" s="12" t="n"/>
      <c r="E295" s="13">
        <f>IF(D295="","",D295-TODAY())</f>
        <v/>
      </c>
      <c r="F295">
        <f>IF(D295="","",IF(E295&lt;0,"VENCIDO",IF(E295&lt;=30,"VENCE EM &lt;= 30 DIAS",IF(E295&lt;=60,"ATENCAO (31-60 DIAS)","OK"))))</f>
        <v/>
      </c>
      <c r="G295" s="13">
        <f>SUMIFS(Movimentacoes!$G:$G,Movimentacoes!$C:$C,$A295,Movimentacoes!$E:$E,$C295,Movimentacoes!$B:$B,"ENTRADA")</f>
        <v/>
      </c>
      <c r="H295" s="13">
        <f>SUMIFS(Movimentacoes!$G:$G,Movimentacoes!$C:$C,$A295,Movimentacoes!$E:$E,$C295,Movimentacoes!$B:$B,"SAIDA_USO")</f>
        <v/>
      </c>
      <c r="I295" s="13">
        <f>SUMIFS(Movimentacoes!$G:$G,Movimentacoes!$C:$C,$A295,Movimentacoes!$E:$E,$C295,Movimentacoes!$B:$B,"SAIDA_DESCARTE")</f>
        <v/>
      </c>
      <c r="J295" s="13">
        <f>G295-H295-I295</f>
        <v/>
      </c>
      <c r="K295">
        <f>IF(A295="","",IF(J295&lt;=IFERROR(VLOOKUP(A295,Cadastro_Produtos!$A:$E,5,FALSE),0),"ABAIXO DO MINIMO","OK"))</f>
        <v/>
      </c>
    </row>
    <row r="296">
      <c r="B296">
        <f>IFERROR(VLOOKUP(A296,Cadastro_Produtos!A:B,2,FALSE),"")</f>
        <v/>
      </c>
      <c r="D296" s="12" t="n"/>
      <c r="E296" s="13">
        <f>IF(D296="","",D296-TODAY())</f>
        <v/>
      </c>
      <c r="F296">
        <f>IF(D296="","",IF(E296&lt;0,"VENCIDO",IF(E296&lt;=30,"VENCE EM &lt;= 30 DIAS",IF(E296&lt;=60,"ATENCAO (31-60 DIAS)","OK"))))</f>
        <v/>
      </c>
      <c r="G296" s="13">
        <f>SUMIFS(Movimentacoes!$G:$G,Movimentacoes!$C:$C,$A296,Movimentacoes!$E:$E,$C296,Movimentacoes!$B:$B,"ENTRADA")</f>
        <v/>
      </c>
      <c r="H296" s="13">
        <f>SUMIFS(Movimentacoes!$G:$G,Movimentacoes!$C:$C,$A296,Movimentacoes!$E:$E,$C296,Movimentacoes!$B:$B,"SAIDA_USO")</f>
        <v/>
      </c>
      <c r="I296" s="13">
        <f>SUMIFS(Movimentacoes!$G:$G,Movimentacoes!$C:$C,$A296,Movimentacoes!$E:$E,$C296,Movimentacoes!$B:$B,"SAIDA_DESCARTE")</f>
        <v/>
      </c>
      <c r="J296" s="13">
        <f>G296-H296-I296</f>
        <v/>
      </c>
      <c r="K296">
        <f>IF(A296="","",IF(J296&lt;=IFERROR(VLOOKUP(A296,Cadastro_Produtos!$A:$E,5,FALSE),0),"ABAIXO DO MINIMO","OK"))</f>
        <v/>
      </c>
    </row>
    <row r="297">
      <c r="B297">
        <f>IFERROR(VLOOKUP(A297,Cadastro_Produtos!A:B,2,FALSE),"")</f>
        <v/>
      </c>
      <c r="D297" s="12" t="n"/>
      <c r="E297" s="13">
        <f>IF(D297="","",D297-TODAY())</f>
        <v/>
      </c>
      <c r="F297">
        <f>IF(D297="","",IF(E297&lt;0,"VENCIDO",IF(E297&lt;=30,"VENCE EM &lt;= 30 DIAS",IF(E297&lt;=60,"ATENCAO (31-60 DIAS)","OK"))))</f>
        <v/>
      </c>
      <c r="G297" s="13">
        <f>SUMIFS(Movimentacoes!$G:$G,Movimentacoes!$C:$C,$A297,Movimentacoes!$E:$E,$C297,Movimentacoes!$B:$B,"ENTRADA")</f>
        <v/>
      </c>
      <c r="H297" s="13">
        <f>SUMIFS(Movimentacoes!$G:$G,Movimentacoes!$C:$C,$A297,Movimentacoes!$E:$E,$C297,Movimentacoes!$B:$B,"SAIDA_USO")</f>
        <v/>
      </c>
      <c r="I297" s="13">
        <f>SUMIFS(Movimentacoes!$G:$G,Movimentacoes!$C:$C,$A297,Movimentacoes!$E:$E,$C297,Movimentacoes!$B:$B,"SAIDA_DESCARTE")</f>
        <v/>
      </c>
      <c r="J297" s="13">
        <f>G297-H297-I297</f>
        <v/>
      </c>
      <c r="K297">
        <f>IF(A297="","",IF(J297&lt;=IFERROR(VLOOKUP(A297,Cadastro_Produtos!$A:$E,5,FALSE),0),"ABAIXO DO MINIMO","OK"))</f>
        <v/>
      </c>
    </row>
    <row r="298">
      <c r="B298">
        <f>IFERROR(VLOOKUP(A298,Cadastro_Produtos!A:B,2,FALSE),"")</f>
        <v/>
      </c>
      <c r="D298" s="12" t="n"/>
      <c r="E298" s="13">
        <f>IF(D298="","",D298-TODAY())</f>
        <v/>
      </c>
      <c r="F298">
        <f>IF(D298="","",IF(E298&lt;0,"VENCIDO",IF(E298&lt;=30,"VENCE EM &lt;= 30 DIAS",IF(E298&lt;=60,"ATENCAO (31-60 DIAS)","OK"))))</f>
        <v/>
      </c>
      <c r="G298" s="13">
        <f>SUMIFS(Movimentacoes!$G:$G,Movimentacoes!$C:$C,$A298,Movimentacoes!$E:$E,$C298,Movimentacoes!$B:$B,"ENTRADA")</f>
        <v/>
      </c>
      <c r="H298" s="13">
        <f>SUMIFS(Movimentacoes!$G:$G,Movimentacoes!$C:$C,$A298,Movimentacoes!$E:$E,$C298,Movimentacoes!$B:$B,"SAIDA_USO")</f>
        <v/>
      </c>
      <c r="I298" s="13">
        <f>SUMIFS(Movimentacoes!$G:$G,Movimentacoes!$C:$C,$A298,Movimentacoes!$E:$E,$C298,Movimentacoes!$B:$B,"SAIDA_DESCARTE")</f>
        <v/>
      </c>
      <c r="J298" s="13">
        <f>G298-H298-I298</f>
        <v/>
      </c>
      <c r="K298">
        <f>IF(A298="","",IF(J298&lt;=IFERROR(VLOOKUP(A298,Cadastro_Produtos!$A:$E,5,FALSE),0),"ABAIXO DO MINIMO","OK"))</f>
        <v/>
      </c>
    </row>
    <row r="299">
      <c r="B299">
        <f>IFERROR(VLOOKUP(A299,Cadastro_Produtos!A:B,2,FALSE),"")</f>
        <v/>
      </c>
      <c r="D299" s="12" t="n"/>
      <c r="E299" s="13">
        <f>IF(D299="","",D299-TODAY())</f>
        <v/>
      </c>
      <c r="F299">
        <f>IF(D299="","",IF(E299&lt;0,"VENCIDO",IF(E299&lt;=30,"VENCE EM &lt;= 30 DIAS",IF(E299&lt;=60,"ATENCAO (31-60 DIAS)","OK"))))</f>
        <v/>
      </c>
      <c r="G299" s="13">
        <f>SUMIFS(Movimentacoes!$G:$G,Movimentacoes!$C:$C,$A299,Movimentacoes!$E:$E,$C299,Movimentacoes!$B:$B,"ENTRADA")</f>
        <v/>
      </c>
      <c r="H299" s="13">
        <f>SUMIFS(Movimentacoes!$G:$G,Movimentacoes!$C:$C,$A299,Movimentacoes!$E:$E,$C299,Movimentacoes!$B:$B,"SAIDA_USO")</f>
        <v/>
      </c>
      <c r="I299" s="13">
        <f>SUMIFS(Movimentacoes!$G:$G,Movimentacoes!$C:$C,$A299,Movimentacoes!$E:$E,$C299,Movimentacoes!$B:$B,"SAIDA_DESCARTE")</f>
        <v/>
      </c>
      <c r="J299" s="13">
        <f>G299-H299-I299</f>
        <v/>
      </c>
      <c r="K299">
        <f>IF(A299="","",IF(J299&lt;=IFERROR(VLOOKUP(A299,Cadastro_Produtos!$A:$E,5,FALSE),0),"ABAIXO DO MINIMO","OK"))</f>
        <v/>
      </c>
    </row>
    <row r="300">
      <c r="B300">
        <f>IFERROR(VLOOKUP(A300,Cadastro_Produtos!A:B,2,FALSE),"")</f>
        <v/>
      </c>
      <c r="D300" s="12" t="n"/>
      <c r="E300" s="13">
        <f>IF(D300="","",D300-TODAY())</f>
        <v/>
      </c>
      <c r="F300">
        <f>IF(D300="","",IF(E300&lt;0,"VENCIDO",IF(E300&lt;=30,"VENCE EM &lt;= 30 DIAS",IF(E300&lt;=60,"ATENCAO (31-60 DIAS)","OK"))))</f>
        <v/>
      </c>
      <c r="G300" s="13">
        <f>SUMIFS(Movimentacoes!$G:$G,Movimentacoes!$C:$C,$A300,Movimentacoes!$E:$E,$C300,Movimentacoes!$B:$B,"ENTRADA")</f>
        <v/>
      </c>
      <c r="H300" s="13">
        <f>SUMIFS(Movimentacoes!$G:$G,Movimentacoes!$C:$C,$A300,Movimentacoes!$E:$E,$C300,Movimentacoes!$B:$B,"SAIDA_USO")</f>
        <v/>
      </c>
      <c r="I300" s="13">
        <f>SUMIFS(Movimentacoes!$G:$G,Movimentacoes!$C:$C,$A300,Movimentacoes!$E:$E,$C300,Movimentacoes!$B:$B,"SAIDA_DESCARTE")</f>
        <v/>
      </c>
      <c r="J300" s="13">
        <f>G300-H300-I300</f>
        <v/>
      </c>
      <c r="K300">
        <f>IF(A300="","",IF(J300&lt;=IFERROR(VLOOKUP(A300,Cadastro_Produtos!$A:$E,5,FALSE),0),"ABAIXO DO MINIMO","OK"))</f>
        <v/>
      </c>
    </row>
    <row r="301">
      <c r="B301">
        <f>IFERROR(VLOOKUP(A301,Cadastro_Produtos!A:B,2,FALSE),"")</f>
        <v/>
      </c>
      <c r="D301" s="12" t="n"/>
      <c r="E301" s="13">
        <f>IF(D301="","",D301-TODAY())</f>
        <v/>
      </c>
      <c r="F301">
        <f>IF(D301="","",IF(E301&lt;0,"VENCIDO",IF(E301&lt;=30,"VENCE EM &lt;= 30 DIAS",IF(E301&lt;=60,"ATENCAO (31-60 DIAS)","OK"))))</f>
        <v/>
      </c>
      <c r="G301" s="13">
        <f>SUMIFS(Movimentacoes!$G:$G,Movimentacoes!$C:$C,$A301,Movimentacoes!$E:$E,$C301,Movimentacoes!$B:$B,"ENTRADA")</f>
        <v/>
      </c>
      <c r="H301" s="13">
        <f>SUMIFS(Movimentacoes!$G:$G,Movimentacoes!$C:$C,$A301,Movimentacoes!$E:$E,$C301,Movimentacoes!$B:$B,"SAIDA_USO")</f>
        <v/>
      </c>
      <c r="I301" s="13">
        <f>SUMIFS(Movimentacoes!$G:$G,Movimentacoes!$C:$C,$A301,Movimentacoes!$E:$E,$C301,Movimentacoes!$B:$B,"SAIDA_DESCARTE")</f>
        <v/>
      </c>
      <c r="J301" s="13">
        <f>G301-H301-I301</f>
        <v/>
      </c>
      <c r="K301">
        <f>IF(A301="","",IF(J301&lt;=IFERROR(VLOOKUP(A301,Cadastro_Produtos!$A:$E,5,FALSE),0),"ABAIXO DO MINIMO","OK"))</f>
        <v/>
      </c>
    </row>
    <row r="302">
      <c r="B302">
        <f>IFERROR(VLOOKUP(A302,Cadastro_Produtos!A:B,2,FALSE),"")</f>
        <v/>
      </c>
      <c r="D302" s="12" t="n"/>
      <c r="E302" s="13">
        <f>IF(D302="","",D302-TODAY())</f>
        <v/>
      </c>
      <c r="F302">
        <f>IF(D302="","",IF(E302&lt;0,"VENCIDO",IF(E302&lt;=30,"VENCE EM &lt;= 30 DIAS",IF(E302&lt;=60,"ATENCAO (31-60 DIAS)","OK"))))</f>
        <v/>
      </c>
      <c r="G302" s="13">
        <f>SUMIFS(Movimentacoes!$G:$G,Movimentacoes!$C:$C,$A302,Movimentacoes!$E:$E,$C302,Movimentacoes!$B:$B,"ENTRADA")</f>
        <v/>
      </c>
      <c r="H302" s="13">
        <f>SUMIFS(Movimentacoes!$G:$G,Movimentacoes!$C:$C,$A302,Movimentacoes!$E:$E,$C302,Movimentacoes!$B:$B,"SAIDA_USO")</f>
        <v/>
      </c>
      <c r="I302" s="13">
        <f>SUMIFS(Movimentacoes!$G:$G,Movimentacoes!$C:$C,$A302,Movimentacoes!$E:$E,$C302,Movimentacoes!$B:$B,"SAIDA_DESCARTE")</f>
        <v/>
      </c>
      <c r="J302" s="13">
        <f>G302-H302-I302</f>
        <v/>
      </c>
      <c r="K302">
        <f>IF(A302="","",IF(J302&lt;=IFERROR(VLOOKUP(A302,Cadastro_Produtos!$A:$E,5,FALSE),0),"ABAIXO DO MINIMO","OK"))</f>
        <v/>
      </c>
    </row>
    <row r="303">
      <c r="B303">
        <f>IFERROR(VLOOKUP(A303,Cadastro_Produtos!A:B,2,FALSE),"")</f>
        <v/>
      </c>
      <c r="D303" s="12" t="n"/>
      <c r="E303" s="13">
        <f>IF(D303="","",D303-TODAY())</f>
        <v/>
      </c>
      <c r="F303">
        <f>IF(D303="","",IF(E303&lt;0,"VENCIDO",IF(E303&lt;=30,"VENCE EM &lt;= 30 DIAS",IF(E303&lt;=60,"ATENCAO (31-60 DIAS)","OK"))))</f>
        <v/>
      </c>
      <c r="G303" s="13">
        <f>SUMIFS(Movimentacoes!$G:$G,Movimentacoes!$C:$C,$A303,Movimentacoes!$E:$E,$C303,Movimentacoes!$B:$B,"ENTRADA")</f>
        <v/>
      </c>
      <c r="H303" s="13">
        <f>SUMIFS(Movimentacoes!$G:$G,Movimentacoes!$C:$C,$A303,Movimentacoes!$E:$E,$C303,Movimentacoes!$B:$B,"SAIDA_USO")</f>
        <v/>
      </c>
      <c r="I303" s="13">
        <f>SUMIFS(Movimentacoes!$G:$G,Movimentacoes!$C:$C,$A303,Movimentacoes!$E:$E,$C303,Movimentacoes!$B:$B,"SAIDA_DESCARTE")</f>
        <v/>
      </c>
      <c r="J303" s="13">
        <f>G303-H303-I303</f>
        <v/>
      </c>
      <c r="K303">
        <f>IF(A303="","",IF(J303&lt;=IFERROR(VLOOKUP(A303,Cadastro_Produtos!$A:$E,5,FALSE),0),"ABAIXO DO MINIMO","OK"))</f>
        <v/>
      </c>
    </row>
    <row r="304">
      <c r="B304">
        <f>IFERROR(VLOOKUP(A304,Cadastro_Produtos!A:B,2,FALSE),"")</f>
        <v/>
      </c>
      <c r="D304" s="12" t="n"/>
      <c r="E304" s="13">
        <f>IF(D304="","",D304-TODAY())</f>
        <v/>
      </c>
      <c r="F304">
        <f>IF(D304="","",IF(E304&lt;0,"VENCIDO",IF(E304&lt;=30,"VENCE EM &lt;= 30 DIAS",IF(E304&lt;=60,"ATENCAO (31-60 DIAS)","OK"))))</f>
        <v/>
      </c>
      <c r="G304" s="13">
        <f>SUMIFS(Movimentacoes!$G:$G,Movimentacoes!$C:$C,$A304,Movimentacoes!$E:$E,$C304,Movimentacoes!$B:$B,"ENTRADA")</f>
        <v/>
      </c>
      <c r="H304" s="13">
        <f>SUMIFS(Movimentacoes!$G:$G,Movimentacoes!$C:$C,$A304,Movimentacoes!$E:$E,$C304,Movimentacoes!$B:$B,"SAIDA_USO")</f>
        <v/>
      </c>
      <c r="I304" s="13">
        <f>SUMIFS(Movimentacoes!$G:$G,Movimentacoes!$C:$C,$A304,Movimentacoes!$E:$E,$C304,Movimentacoes!$B:$B,"SAIDA_DESCARTE")</f>
        <v/>
      </c>
      <c r="J304" s="13">
        <f>G304-H304-I304</f>
        <v/>
      </c>
      <c r="K304">
        <f>IF(A304="","",IF(J304&lt;=IFERROR(VLOOKUP(A304,Cadastro_Produtos!$A:$E,5,FALSE),0),"ABAIXO DO MINIMO","OK"))</f>
        <v/>
      </c>
    </row>
    <row r="305">
      <c r="B305">
        <f>IFERROR(VLOOKUP(A305,Cadastro_Produtos!A:B,2,FALSE),"")</f>
        <v/>
      </c>
      <c r="D305" s="12" t="n"/>
      <c r="E305" s="13">
        <f>IF(D305="","",D305-TODAY())</f>
        <v/>
      </c>
      <c r="F305">
        <f>IF(D305="","",IF(E305&lt;0,"VENCIDO",IF(E305&lt;=30,"VENCE EM &lt;= 30 DIAS",IF(E305&lt;=60,"ATENCAO (31-60 DIAS)","OK"))))</f>
        <v/>
      </c>
      <c r="G305" s="13">
        <f>SUMIFS(Movimentacoes!$G:$G,Movimentacoes!$C:$C,$A305,Movimentacoes!$E:$E,$C305,Movimentacoes!$B:$B,"ENTRADA")</f>
        <v/>
      </c>
      <c r="H305" s="13">
        <f>SUMIFS(Movimentacoes!$G:$G,Movimentacoes!$C:$C,$A305,Movimentacoes!$E:$E,$C305,Movimentacoes!$B:$B,"SAIDA_USO")</f>
        <v/>
      </c>
      <c r="I305" s="13">
        <f>SUMIFS(Movimentacoes!$G:$G,Movimentacoes!$C:$C,$A305,Movimentacoes!$E:$E,$C305,Movimentacoes!$B:$B,"SAIDA_DESCARTE")</f>
        <v/>
      </c>
      <c r="J305" s="13">
        <f>G305-H305-I305</f>
        <v/>
      </c>
      <c r="K305">
        <f>IF(A305="","",IF(J305&lt;=IFERROR(VLOOKUP(A305,Cadastro_Produtos!$A:$E,5,FALSE),0),"ABAIXO DO MINIMO","OK"))</f>
        <v/>
      </c>
    </row>
    <row r="306">
      <c r="B306">
        <f>IFERROR(VLOOKUP(A306,Cadastro_Produtos!A:B,2,FALSE),"")</f>
        <v/>
      </c>
      <c r="D306" s="12" t="n"/>
      <c r="E306" s="13">
        <f>IF(D306="","",D306-TODAY())</f>
        <v/>
      </c>
      <c r="F306">
        <f>IF(D306="","",IF(E306&lt;0,"VENCIDO",IF(E306&lt;=30,"VENCE EM &lt;= 30 DIAS",IF(E306&lt;=60,"ATENCAO (31-60 DIAS)","OK"))))</f>
        <v/>
      </c>
      <c r="G306" s="13">
        <f>SUMIFS(Movimentacoes!$G:$G,Movimentacoes!$C:$C,$A306,Movimentacoes!$E:$E,$C306,Movimentacoes!$B:$B,"ENTRADA")</f>
        <v/>
      </c>
      <c r="H306" s="13">
        <f>SUMIFS(Movimentacoes!$G:$G,Movimentacoes!$C:$C,$A306,Movimentacoes!$E:$E,$C306,Movimentacoes!$B:$B,"SAIDA_USO")</f>
        <v/>
      </c>
      <c r="I306" s="13">
        <f>SUMIFS(Movimentacoes!$G:$G,Movimentacoes!$C:$C,$A306,Movimentacoes!$E:$E,$C306,Movimentacoes!$B:$B,"SAIDA_DESCARTE")</f>
        <v/>
      </c>
      <c r="J306" s="13">
        <f>G306-H306-I306</f>
        <v/>
      </c>
      <c r="K306">
        <f>IF(A306="","",IF(J306&lt;=IFERROR(VLOOKUP(A306,Cadastro_Produtos!$A:$E,5,FALSE),0),"ABAIXO DO MINIMO","OK"))</f>
        <v/>
      </c>
    </row>
    <row r="307">
      <c r="B307">
        <f>IFERROR(VLOOKUP(A307,Cadastro_Produtos!A:B,2,FALSE),"")</f>
        <v/>
      </c>
      <c r="D307" s="12" t="n"/>
      <c r="E307" s="13">
        <f>IF(D307="","",D307-TODAY())</f>
        <v/>
      </c>
      <c r="F307">
        <f>IF(D307="","",IF(E307&lt;0,"VENCIDO",IF(E307&lt;=30,"VENCE EM &lt;= 30 DIAS",IF(E307&lt;=60,"ATENCAO (31-60 DIAS)","OK"))))</f>
        <v/>
      </c>
      <c r="G307" s="13">
        <f>SUMIFS(Movimentacoes!$G:$G,Movimentacoes!$C:$C,$A307,Movimentacoes!$E:$E,$C307,Movimentacoes!$B:$B,"ENTRADA")</f>
        <v/>
      </c>
      <c r="H307" s="13">
        <f>SUMIFS(Movimentacoes!$G:$G,Movimentacoes!$C:$C,$A307,Movimentacoes!$E:$E,$C307,Movimentacoes!$B:$B,"SAIDA_USO")</f>
        <v/>
      </c>
      <c r="I307" s="13">
        <f>SUMIFS(Movimentacoes!$G:$G,Movimentacoes!$C:$C,$A307,Movimentacoes!$E:$E,$C307,Movimentacoes!$B:$B,"SAIDA_DESCARTE")</f>
        <v/>
      </c>
      <c r="J307" s="13">
        <f>G307-H307-I307</f>
        <v/>
      </c>
      <c r="K307">
        <f>IF(A307="","",IF(J307&lt;=IFERROR(VLOOKUP(A307,Cadastro_Produtos!$A:$E,5,FALSE),0),"ABAIXO DO MINIMO","OK"))</f>
        <v/>
      </c>
    </row>
    <row r="308">
      <c r="B308">
        <f>IFERROR(VLOOKUP(A308,Cadastro_Produtos!A:B,2,FALSE),"")</f>
        <v/>
      </c>
      <c r="D308" s="12" t="n"/>
      <c r="E308" s="13">
        <f>IF(D308="","",D308-TODAY())</f>
        <v/>
      </c>
      <c r="F308">
        <f>IF(D308="","",IF(E308&lt;0,"VENCIDO",IF(E308&lt;=30,"VENCE EM &lt;= 30 DIAS",IF(E308&lt;=60,"ATENCAO (31-60 DIAS)","OK"))))</f>
        <v/>
      </c>
      <c r="G308" s="13">
        <f>SUMIFS(Movimentacoes!$G:$G,Movimentacoes!$C:$C,$A308,Movimentacoes!$E:$E,$C308,Movimentacoes!$B:$B,"ENTRADA")</f>
        <v/>
      </c>
      <c r="H308" s="13">
        <f>SUMIFS(Movimentacoes!$G:$G,Movimentacoes!$C:$C,$A308,Movimentacoes!$E:$E,$C308,Movimentacoes!$B:$B,"SAIDA_USO")</f>
        <v/>
      </c>
      <c r="I308" s="13">
        <f>SUMIFS(Movimentacoes!$G:$G,Movimentacoes!$C:$C,$A308,Movimentacoes!$E:$E,$C308,Movimentacoes!$B:$B,"SAIDA_DESCARTE")</f>
        <v/>
      </c>
      <c r="J308" s="13">
        <f>G308-H308-I308</f>
        <v/>
      </c>
      <c r="K308">
        <f>IF(A308="","",IF(J308&lt;=IFERROR(VLOOKUP(A308,Cadastro_Produtos!$A:$E,5,FALSE),0),"ABAIXO DO MINIMO","OK"))</f>
        <v/>
      </c>
    </row>
    <row r="309">
      <c r="B309">
        <f>IFERROR(VLOOKUP(A309,Cadastro_Produtos!A:B,2,FALSE),"")</f>
        <v/>
      </c>
      <c r="D309" s="12" t="n"/>
      <c r="E309" s="13">
        <f>IF(D309="","",D309-TODAY())</f>
        <v/>
      </c>
      <c r="F309">
        <f>IF(D309="","",IF(E309&lt;0,"VENCIDO",IF(E309&lt;=30,"VENCE EM &lt;= 30 DIAS",IF(E309&lt;=60,"ATENCAO (31-60 DIAS)","OK"))))</f>
        <v/>
      </c>
      <c r="G309" s="13">
        <f>SUMIFS(Movimentacoes!$G:$G,Movimentacoes!$C:$C,$A309,Movimentacoes!$E:$E,$C309,Movimentacoes!$B:$B,"ENTRADA")</f>
        <v/>
      </c>
      <c r="H309" s="13">
        <f>SUMIFS(Movimentacoes!$G:$G,Movimentacoes!$C:$C,$A309,Movimentacoes!$E:$E,$C309,Movimentacoes!$B:$B,"SAIDA_USO")</f>
        <v/>
      </c>
      <c r="I309" s="13">
        <f>SUMIFS(Movimentacoes!$G:$G,Movimentacoes!$C:$C,$A309,Movimentacoes!$E:$E,$C309,Movimentacoes!$B:$B,"SAIDA_DESCARTE")</f>
        <v/>
      </c>
      <c r="J309" s="13">
        <f>G309-H309-I309</f>
        <v/>
      </c>
      <c r="K309">
        <f>IF(A309="","",IF(J309&lt;=IFERROR(VLOOKUP(A309,Cadastro_Produtos!$A:$E,5,FALSE),0),"ABAIXO DO MINIMO","OK"))</f>
        <v/>
      </c>
    </row>
    <row r="310">
      <c r="B310">
        <f>IFERROR(VLOOKUP(A310,Cadastro_Produtos!A:B,2,FALSE),"")</f>
        <v/>
      </c>
      <c r="D310" s="12" t="n"/>
      <c r="E310" s="13">
        <f>IF(D310="","",D310-TODAY())</f>
        <v/>
      </c>
      <c r="F310">
        <f>IF(D310="","",IF(E310&lt;0,"VENCIDO",IF(E310&lt;=30,"VENCE EM &lt;= 30 DIAS",IF(E310&lt;=60,"ATENCAO (31-60 DIAS)","OK"))))</f>
        <v/>
      </c>
      <c r="G310" s="13">
        <f>SUMIFS(Movimentacoes!$G:$G,Movimentacoes!$C:$C,$A310,Movimentacoes!$E:$E,$C310,Movimentacoes!$B:$B,"ENTRADA")</f>
        <v/>
      </c>
      <c r="H310" s="13">
        <f>SUMIFS(Movimentacoes!$G:$G,Movimentacoes!$C:$C,$A310,Movimentacoes!$E:$E,$C310,Movimentacoes!$B:$B,"SAIDA_USO")</f>
        <v/>
      </c>
      <c r="I310" s="13">
        <f>SUMIFS(Movimentacoes!$G:$G,Movimentacoes!$C:$C,$A310,Movimentacoes!$E:$E,$C310,Movimentacoes!$B:$B,"SAIDA_DESCARTE")</f>
        <v/>
      </c>
      <c r="J310" s="13">
        <f>G310-H310-I310</f>
        <v/>
      </c>
      <c r="K310">
        <f>IF(A310="","",IF(J310&lt;=IFERROR(VLOOKUP(A310,Cadastro_Produtos!$A:$E,5,FALSE),0),"ABAIXO DO MINIMO","OK"))</f>
        <v/>
      </c>
    </row>
    <row r="311">
      <c r="B311">
        <f>IFERROR(VLOOKUP(A311,Cadastro_Produtos!A:B,2,FALSE),"")</f>
        <v/>
      </c>
      <c r="D311" s="12" t="n"/>
      <c r="E311" s="13">
        <f>IF(D311="","",D311-TODAY())</f>
        <v/>
      </c>
      <c r="F311">
        <f>IF(D311="","",IF(E311&lt;0,"VENCIDO",IF(E311&lt;=30,"VENCE EM &lt;= 30 DIAS",IF(E311&lt;=60,"ATENCAO (31-60 DIAS)","OK"))))</f>
        <v/>
      </c>
      <c r="G311" s="13">
        <f>SUMIFS(Movimentacoes!$G:$G,Movimentacoes!$C:$C,$A311,Movimentacoes!$E:$E,$C311,Movimentacoes!$B:$B,"ENTRADA")</f>
        <v/>
      </c>
      <c r="H311" s="13">
        <f>SUMIFS(Movimentacoes!$G:$G,Movimentacoes!$C:$C,$A311,Movimentacoes!$E:$E,$C311,Movimentacoes!$B:$B,"SAIDA_USO")</f>
        <v/>
      </c>
      <c r="I311" s="13">
        <f>SUMIFS(Movimentacoes!$G:$G,Movimentacoes!$C:$C,$A311,Movimentacoes!$E:$E,$C311,Movimentacoes!$B:$B,"SAIDA_DESCARTE")</f>
        <v/>
      </c>
      <c r="J311" s="13">
        <f>G311-H311-I311</f>
        <v/>
      </c>
      <c r="K311">
        <f>IF(A311="","",IF(J311&lt;=IFERROR(VLOOKUP(A311,Cadastro_Produtos!$A:$E,5,FALSE),0),"ABAIXO DO MINIMO","OK"))</f>
        <v/>
      </c>
    </row>
    <row r="312">
      <c r="B312">
        <f>IFERROR(VLOOKUP(A312,Cadastro_Produtos!A:B,2,FALSE),"")</f>
        <v/>
      </c>
      <c r="D312" s="12" t="n"/>
      <c r="E312" s="13">
        <f>IF(D312="","",D312-TODAY())</f>
        <v/>
      </c>
      <c r="F312">
        <f>IF(D312="","",IF(E312&lt;0,"VENCIDO",IF(E312&lt;=30,"VENCE EM &lt;= 30 DIAS",IF(E312&lt;=60,"ATENCAO (31-60 DIAS)","OK"))))</f>
        <v/>
      </c>
      <c r="G312" s="13">
        <f>SUMIFS(Movimentacoes!$G:$G,Movimentacoes!$C:$C,$A312,Movimentacoes!$E:$E,$C312,Movimentacoes!$B:$B,"ENTRADA")</f>
        <v/>
      </c>
      <c r="H312" s="13">
        <f>SUMIFS(Movimentacoes!$G:$G,Movimentacoes!$C:$C,$A312,Movimentacoes!$E:$E,$C312,Movimentacoes!$B:$B,"SAIDA_USO")</f>
        <v/>
      </c>
      <c r="I312" s="13">
        <f>SUMIFS(Movimentacoes!$G:$G,Movimentacoes!$C:$C,$A312,Movimentacoes!$E:$E,$C312,Movimentacoes!$B:$B,"SAIDA_DESCARTE")</f>
        <v/>
      </c>
      <c r="J312" s="13">
        <f>G312-H312-I312</f>
        <v/>
      </c>
      <c r="K312">
        <f>IF(A312="","",IF(J312&lt;=IFERROR(VLOOKUP(A312,Cadastro_Produtos!$A:$E,5,FALSE),0),"ABAIXO DO MINIMO","OK"))</f>
        <v/>
      </c>
    </row>
    <row r="313">
      <c r="B313">
        <f>IFERROR(VLOOKUP(A313,Cadastro_Produtos!A:B,2,FALSE),"")</f>
        <v/>
      </c>
      <c r="D313" s="12" t="n"/>
      <c r="E313" s="13">
        <f>IF(D313="","",D313-TODAY())</f>
        <v/>
      </c>
      <c r="F313">
        <f>IF(D313="","",IF(E313&lt;0,"VENCIDO",IF(E313&lt;=30,"VENCE EM &lt;= 30 DIAS",IF(E313&lt;=60,"ATENCAO (31-60 DIAS)","OK"))))</f>
        <v/>
      </c>
      <c r="G313" s="13">
        <f>SUMIFS(Movimentacoes!$G:$G,Movimentacoes!$C:$C,$A313,Movimentacoes!$E:$E,$C313,Movimentacoes!$B:$B,"ENTRADA")</f>
        <v/>
      </c>
      <c r="H313" s="13">
        <f>SUMIFS(Movimentacoes!$G:$G,Movimentacoes!$C:$C,$A313,Movimentacoes!$E:$E,$C313,Movimentacoes!$B:$B,"SAIDA_USO")</f>
        <v/>
      </c>
      <c r="I313" s="13">
        <f>SUMIFS(Movimentacoes!$G:$G,Movimentacoes!$C:$C,$A313,Movimentacoes!$E:$E,$C313,Movimentacoes!$B:$B,"SAIDA_DESCARTE")</f>
        <v/>
      </c>
      <c r="J313" s="13">
        <f>G313-H313-I313</f>
        <v/>
      </c>
      <c r="K313">
        <f>IF(A313="","",IF(J313&lt;=IFERROR(VLOOKUP(A313,Cadastro_Produtos!$A:$E,5,FALSE),0),"ABAIXO DO MINIMO","OK"))</f>
        <v/>
      </c>
    </row>
    <row r="314">
      <c r="B314">
        <f>IFERROR(VLOOKUP(A314,Cadastro_Produtos!A:B,2,FALSE),"")</f>
        <v/>
      </c>
      <c r="D314" s="12" t="n"/>
      <c r="E314" s="13">
        <f>IF(D314="","",D314-TODAY())</f>
        <v/>
      </c>
      <c r="F314">
        <f>IF(D314="","",IF(E314&lt;0,"VENCIDO",IF(E314&lt;=30,"VENCE EM &lt;= 30 DIAS",IF(E314&lt;=60,"ATENCAO (31-60 DIAS)","OK"))))</f>
        <v/>
      </c>
      <c r="G314" s="13">
        <f>SUMIFS(Movimentacoes!$G:$G,Movimentacoes!$C:$C,$A314,Movimentacoes!$E:$E,$C314,Movimentacoes!$B:$B,"ENTRADA")</f>
        <v/>
      </c>
      <c r="H314" s="13">
        <f>SUMIFS(Movimentacoes!$G:$G,Movimentacoes!$C:$C,$A314,Movimentacoes!$E:$E,$C314,Movimentacoes!$B:$B,"SAIDA_USO")</f>
        <v/>
      </c>
      <c r="I314" s="13">
        <f>SUMIFS(Movimentacoes!$G:$G,Movimentacoes!$C:$C,$A314,Movimentacoes!$E:$E,$C314,Movimentacoes!$B:$B,"SAIDA_DESCARTE")</f>
        <v/>
      </c>
      <c r="J314" s="13">
        <f>G314-H314-I314</f>
        <v/>
      </c>
      <c r="K314">
        <f>IF(A314="","",IF(J314&lt;=IFERROR(VLOOKUP(A314,Cadastro_Produtos!$A:$E,5,FALSE),0),"ABAIXO DO MINIMO","OK"))</f>
        <v/>
      </c>
    </row>
    <row r="315">
      <c r="B315">
        <f>IFERROR(VLOOKUP(A315,Cadastro_Produtos!A:B,2,FALSE),"")</f>
        <v/>
      </c>
      <c r="D315" s="12" t="n"/>
      <c r="E315" s="13">
        <f>IF(D315="","",D315-TODAY())</f>
        <v/>
      </c>
      <c r="F315">
        <f>IF(D315="","",IF(E315&lt;0,"VENCIDO",IF(E315&lt;=30,"VENCE EM &lt;= 30 DIAS",IF(E315&lt;=60,"ATENCAO (31-60 DIAS)","OK"))))</f>
        <v/>
      </c>
      <c r="G315" s="13">
        <f>SUMIFS(Movimentacoes!$G:$G,Movimentacoes!$C:$C,$A315,Movimentacoes!$E:$E,$C315,Movimentacoes!$B:$B,"ENTRADA")</f>
        <v/>
      </c>
      <c r="H315" s="13">
        <f>SUMIFS(Movimentacoes!$G:$G,Movimentacoes!$C:$C,$A315,Movimentacoes!$E:$E,$C315,Movimentacoes!$B:$B,"SAIDA_USO")</f>
        <v/>
      </c>
      <c r="I315" s="13">
        <f>SUMIFS(Movimentacoes!$G:$G,Movimentacoes!$C:$C,$A315,Movimentacoes!$E:$E,$C315,Movimentacoes!$B:$B,"SAIDA_DESCARTE")</f>
        <v/>
      </c>
      <c r="J315" s="13">
        <f>G315-H315-I315</f>
        <v/>
      </c>
      <c r="K315">
        <f>IF(A315="","",IF(J315&lt;=IFERROR(VLOOKUP(A315,Cadastro_Produtos!$A:$E,5,FALSE),0),"ABAIXO DO MINIMO","OK"))</f>
        <v/>
      </c>
    </row>
    <row r="316">
      <c r="B316">
        <f>IFERROR(VLOOKUP(A316,Cadastro_Produtos!A:B,2,FALSE),"")</f>
        <v/>
      </c>
      <c r="D316" s="12" t="n"/>
      <c r="E316" s="13">
        <f>IF(D316="","",D316-TODAY())</f>
        <v/>
      </c>
      <c r="F316">
        <f>IF(D316="","",IF(E316&lt;0,"VENCIDO",IF(E316&lt;=30,"VENCE EM &lt;= 30 DIAS",IF(E316&lt;=60,"ATENCAO (31-60 DIAS)","OK"))))</f>
        <v/>
      </c>
      <c r="G316" s="13">
        <f>SUMIFS(Movimentacoes!$G:$G,Movimentacoes!$C:$C,$A316,Movimentacoes!$E:$E,$C316,Movimentacoes!$B:$B,"ENTRADA")</f>
        <v/>
      </c>
      <c r="H316" s="13">
        <f>SUMIFS(Movimentacoes!$G:$G,Movimentacoes!$C:$C,$A316,Movimentacoes!$E:$E,$C316,Movimentacoes!$B:$B,"SAIDA_USO")</f>
        <v/>
      </c>
      <c r="I316" s="13">
        <f>SUMIFS(Movimentacoes!$G:$G,Movimentacoes!$C:$C,$A316,Movimentacoes!$E:$E,$C316,Movimentacoes!$B:$B,"SAIDA_DESCARTE")</f>
        <v/>
      </c>
      <c r="J316" s="13">
        <f>G316-H316-I316</f>
        <v/>
      </c>
      <c r="K316">
        <f>IF(A316="","",IF(J316&lt;=IFERROR(VLOOKUP(A316,Cadastro_Produtos!$A:$E,5,FALSE),0),"ABAIXO DO MINIMO","OK"))</f>
        <v/>
      </c>
    </row>
    <row r="317">
      <c r="B317">
        <f>IFERROR(VLOOKUP(A317,Cadastro_Produtos!A:B,2,FALSE),"")</f>
        <v/>
      </c>
      <c r="D317" s="12" t="n"/>
      <c r="E317" s="13">
        <f>IF(D317="","",D317-TODAY())</f>
        <v/>
      </c>
      <c r="F317">
        <f>IF(D317="","",IF(E317&lt;0,"VENCIDO",IF(E317&lt;=30,"VENCE EM &lt;= 30 DIAS",IF(E317&lt;=60,"ATENCAO (31-60 DIAS)","OK"))))</f>
        <v/>
      </c>
      <c r="G317" s="13">
        <f>SUMIFS(Movimentacoes!$G:$G,Movimentacoes!$C:$C,$A317,Movimentacoes!$E:$E,$C317,Movimentacoes!$B:$B,"ENTRADA")</f>
        <v/>
      </c>
      <c r="H317" s="13">
        <f>SUMIFS(Movimentacoes!$G:$G,Movimentacoes!$C:$C,$A317,Movimentacoes!$E:$E,$C317,Movimentacoes!$B:$B,"SAIDA_USO")</f>
        <v/>
      </c>
      <c r="I317" s="13">
        <f>SUMIFS(Movimentacoes!$G:$G,Movimentacoes!$C:$C,$A317,Movimentacoes!$E:$E,$C317,Movimentacoes!$B:$B,"SAIDA_DESCARTE")</f>
        <v/>
      </c>
      <c r="J317" s="13">
        <f>G317-H317-I317</f>
        <v/>
      </c>
      <c r="K317">
        <f>IF(A317="","",IF(J317&lt;=IFERROR(VLOOKUP(A317,Cadastro_Produtos!$A:$E,5,FALSE),0),"ABAIXO DO MINIMO","OK"))</f>
        <v/>
      </c>
    </row>
    <row r="318">
      <c r="B318">
        <f>IFERROR(VLOOKUP(A318,Cadastro_Produtos!A:B,2,FALSE),"")</f>
        <v/>
      </c>
      <c r="D318" s="12" t="n"/>
      <c r="E318" s="13">
        <f>IF(D318="","",D318-TODAY())</f>
        <v/>
      </c>
      <c r="F318">
        <f>IF(D318="","",IF(E318&lt;0,"VENCIDO",IF(E318&lt;=30,"VENCE EM &lt;= 30 DIAS",IF(E318&lt;=60,"ATENCAO (31-60 DIAS)","OK"))))</f>
        <v/>
      </c>
      <c r="G318" s="13">
        <f>SUMIFS(Movimentacoes!$G:$G,Movimentacoes!$C:$C,$A318,Movimentacoes!$E:$E,$C318,Movimentacoes!$B:$B,"ENTRADA")</f>
        <v/>
      </c>
      <c r="H318" s="13">
        <f>SUMIFS(Movimentacoes!$G:$G,Movimentacoes!$C:$C,$A318,Movimentacoes!$E:$E,$C318,Movimentacoes!$B:$B,"SAIDA_USO")</f>
        <v/>
      </c>
      <c r="I318" s="13">
        <f>SUMIFS(Movimentacoes!$G:$G,Movimentacoes!$C:$C,$A318,Movimentacoes!$E:$E,$C318,Movimentacoes!$B:$B,"SAIDA_DESCARTE")</f>
        <v/>
      </c>
      <c r="J318" s="13">
        <f>G318-H318-I318</f>
        <v/>
      </c>
      <c r="K318">
        <f>IF(A318="","",IF(J318&lt;=IFERROR(VLOOKUP(A318,Cadastro_Produtos!$A:$E,5,FALSE),0),"ABAIXO DO MINIMO","OK"))</f>
        <v/>
      </c>
    </row>
    <row r="319">
      <c r="B319">
        <f>IFERROR(VLOOKUP(A319,Cadastro_Produtos!A:B,2,FALSE),"")</f>
        <v/>
      </c>
      <c r="D319" s="12" t="n"/>
      <c r="E319" s="13">
        <f>IF(D319="","",D319-TODAY())</f>
        <v/>
      </c>
      <c r="F319">
        <f>IF(D319="","",IF(E319&lt;0,"VENCIDO",IF(E319&lt;=30,"VENCE EM &lt;= 30 DIAS",IF(E319&lt;=60,"ATENCAO (31-60 DIAS)","OK"))))</f>
        <v/>
      </c>
      <c r="G319" s="13">
        <f>SUMIFS(Movimentacoes!$G:$G,Movimentacoes!$C:$C,$A319,Movimentacoes!$E:$E,$C319,Movimentacoes!$B:$B,"ENTRADA")</f>
        <v/>
      </c>
      <c r="H319" s="13">
        <f>SUMIFS(Movimentacoes!$G:$G,Movimentacoes!$C:$C,$A319,Movimentacoes!$E:$E,$C319,Movimentacoes!$B:$B,"SAIDA_USO")</f>
        <v/>
      </c>
      <c r="I319" s="13">
        <f>SUMIFS(Movimentacoes!$G:$G,Movimentacoes!$C:$C,$A319,Movimentacoes!$E:$E,$C319,Movimentacoes!$B:$B,"SAIDA_DESCARTE")</f>
        <v/>
      </c>
      <c r="J319" s="13">
        <f>G319-H319-I319</f>
        <v/>
      </c>
      <c r="K319">
        <f>IF(A319="","",IF(J319&lt;=IFERROR(VLOOKUP(A319,Cadastro_Produtos!$A:$E,5,FALSE),0),"ABAIXO DO MINIMO","OK"))</f>
        <v/>
      </c>
    </row>
    <row r="320">
      <c r="B320">
        <f>IFERROR(VLOOKUP(A320,Cadastro_Produtos!A:B,2,FALSE),"")</f>
        <v/>
      </c>
      <c r="D320" s="12" t="n"/>
      <c r="E320" s="13">
        <f>IF(D320="","",D320-TODAY())</f>
        <v/>
      </c>
      <c r="F320">
        <f>IF(D320="","",IF(E320&lt;0,"VENCIDO",IF(E320&lt;=30,"VENCE EM &lt;= 30 DIAS",IF(E320&lt;=60,"ATENCAO (31-60 DIAS)","OK"))))</f>
        <v/>
      </c>
      <c r="G320" s="13">
        <f>SUMIFS(Movimentacoes!$G:$G,Movimentacoes!$C:$C,$A320,Movimentacoes!$E:$E,$C320,Movimentacoes!$B:$B,"ENTRADA")</f>
        <v/>
      </c>
      <c r="H320" s="13">
        <f>SUMIFS(Movimentacoes!$G:$G,Movimentacoes!$C:$C,$A320,Movimentacoes!$E:$E,$C320,Movimentacoes!$B:$B,"SAIDA_USO")</f>
        <v/>
      </c>
      <c r="I320" s="13">
        <f>SUMIFS(Movimentacoes!$G:$G,Movimentacoes!$C:$C,$A320,Movimentacoes!$E:$E,$C320,Movimentacoes!$B:$B,"SAIDA_DESCARTE")</f>
        <v/>
      </c>
      <c r="J320" s="13">
        <f>G320-H320-I320</f>
        <v/>
      </c>
      <c r="K320">
        <f>IF(A320="","",IF(J320&lt;=IFERROR(VLOOKUP(A320,Cadastro_Produtos!$A:$E,5,FALSE),0),"ABAIXO DO MINIMO","OK"))</f>
        <v/>
      </c>
    </row>
    <row r="321">
      <c r="B321">
        <f>IFERROR(VLOOKUP(A321,Cadastro_Produtos!A:B,2,FALSE),"")</f>
        <v/>
      </c>
      <c r="D321" s="12" t="n"/>
      <c r="E321" s="13">
        <f>IF(D321="","",D321-TODAY())</f>
        <v/>
      </c>
      <c r="F321">
        <f>IF(D321="","",IF(E321&lt;0,"VENCIDO",IF(E321&lt;=30,"VENCE EM &lt;= 30 DIAS",IF(E321&lt;=60,"ATENCAO (31-60 DIAS)","OK"))))</f>
        <v/>
      </c>
      <c r="G321" s="13">
        <f>SUMIFS(Movimentacoes!$G:$G,Movimentacoes!$C:$C,$A321,Movimentacoes!$E:$E,$C321,Movimentacoes!$B:$B,"ENTRADA")</f>
        <v/>
      </c>
      <c r="H321" s="13">
        <f>SUMIFS(Movimentacoes!$G:$G,Movimentacoes!$C:$C,$A321,Movimentacoes!$E:$E,$C321,Movimentacoes!$B:$B,"SAIDA_USO")</f>
        <v/>
      </c>
      <c r="I321" s="13">
        <f>SUMIFS(Movimentacoes!$G:$G,Movimentacoes!$C:$C,$A321,Movimentacoes!$E:$E,$C321,Movimentacoes!$B:$B,"SAIDA_DESCARTE")</f>
        <v/>
      </c>
      <c r="J321" s="13">
        <f>G321-H321-I321</f>
        <v/>
      </c>
      <c r="K321">
        <f>IF(A321="","",IF(J321&lt;=IFERROR(VLOOKUP(A321,Cadastro_Produtos!$A:$E,5,FALSE),0),"ABAIXO DO MINIMO","OK"))</f>
        <v/>
      </c>
    </row>
    <row r="322">
      <c r="B322">
        <f>IFERROR(VLOOKUP(A322,Cadastro_Produtos!A:B,2,FALSE),"")</f>
        <v/>
      </c>
      <c r="D322" s="12" t="n"/>
      <c r="E322" s="13">
        <f>IF(D322="","",D322-TODAY())</f>
        <v/>
      </c>
      <c r="F322">
        <f>IF(D322="","",IF(E322&lt;0,"VENCIDO",IF(E322&lt;=30,"VENCE EM &lt;= 30 DIAS",IF(E322&lt;=60,"ATENCAO (31-60 DIAS)","OK"))))</f>
        <v/>
      </c>
      <c r="G322" s="13">
        <f>SUMIFS(Movimentacoes!$G:$G,Movimentacoes!$C:$C,$A322,Movimentacoes!$E:$E,$C322,Movimentacoes!$B:$B,"ENTRADA")</f>
        <v/>
      </c>
      <c r="H322" s="13">
        <f>SUMIFS(Movimentacoes!$G:$G,Movimentacoes!$C:$C,$A322,Movimentacoes!$E:$E,$C322,Movimentacoes!$B:$B,"SAIDA_USO")</f>
        <v/>
      </c>
      <c r="I322" s="13">
        <f>SUMIFS(Movimentacoes!$G:$G,Movimentacoes!$C:$C,$A322,Movimentacoes!$E:$E,$C322,Movimentacoes!$B:$B,"SAIDA_DESCARTE")</f>
        <v/>
      </c>
      <c r="J322" s="13">
        <f>G322-H322-I322</f>
        <v/>
      </c>
      <c r="K322">
        <f>IF(A322="","",IF(J322&lt;=IFERROR(VLOOKUP(A322,Cadastro_Produtos!$A:$E,5,FALSE),0),"ABAIXO DO MINIMO","OK"))</f>
        <v/>
      </c>
    </row>
    <row r="323">
      <c r="B323">
        <f>IFERROR(VLOOKUP(A323,Cadastro_Produtos!A:B,2,FALSE),"")</f>
        <v/>
      </c>
      <c r="D323" s="12" t="n"/>
      <c r="E323" s="13">
        <f>IF(D323="","",D323-TODAY())</f>
        <v/>
      </c>
      <c r="F323">
        <f>IF(D323="","",IF(E323&lt;0,"VENCIDO",IF(E323&lt;=30,"VENCE EM &lt;= 30 DIAS",IF(E323&lt;=60,"ATENCAO (31-60 DIAS)","OK"))))</f>
        <v/>
      </c>
      <c r="G323" s="13">
        <f>SUMIFS(Movimentacoes!$G:$G,Movimentacoes!$C:$C,$A323,Movimentacoes!$E:$E,$C323,Movimentacoes!$B:$B,"ENTRADA")</f>
        <v/>
      </c>
      <c r="H323" s="13">
        <f>SUMIFS(Movimentacoes!$G:$G,Movimentacoes!$C:$C,$A323,Movimentacoes!$E:$E,$C323,Movimentacoes!$B:$B,"SAIDA_USO")</f>
        <v/>
      </c>
      <c r="I323" s="13">
        <f>SUMIFS(Movimentacoes!$G:$G,Movimentacoes!$C:$C,$A323,Movimentacoes!$E:$E,$C323,Movimentacoes!$B:$B,"SAIDA_DESCARTE")</f>
        <v/>
      </c>
      <c r="J323" s="13">
        <f>G323-H323-I323</f>
        <v/>
      </c>
      <c r="K323">
        <f>IF(A323="","",IF(J323&lt;=IFERROR(VLOOKUP(A323,Cadastro_Produtos!$A:$E,5,FALSE),0),"ABAIXO DO MINIMO","OK"))</f>
        <v/>
      </c>
    </row>
    <row r="324">
      <c r="B324">
        <f>IFERROR(VLOOKUP(A324,Cadastro_Produtos!A:B,2,FALSE),"")</f>
        <v/>
      </c>
      <c r="D324" s="12" t="n"/>
      <c r="E324" s="13">
        <f>IF(D324="","",D324-TODAY())</f>
        <v/>
      </c>
      <c r="F324">
        <f>IF(D324="","",IF(E324&lt;0,"VENCIDO",IF(E324&lt;=30,"VENCE EM &lt;= 30 DIAS",IF(E324&lt;=60,"ATENCAO (31-60 DIAS)","OK"))))</f>
        <v/>
      </c>
      <c r="G324" s="13">
        <f>SUMIFS(Movimentacoes!$G:$G,Movimentacoes!$C:$C,$A324,Movimentacoes!$E:$E,$C324,Movimentacoes!$B:$B,"ENTRADA")</f>
        <v/>
      </c>
      <c r="H324" s="13">
        <f>SUMIFS(Movimentacoes!$G:$G,Movimentacoes!$C:$C,$A324,Movimentacoes!$E:$E,$C324,Movimentacoes!$B:$B,"SAIDA_USO")</f>
        <v/>
      </c>
      <c r="I324" s="13">
        <f>SUMIFS(Movimentacoes!$G:$G,Movimentacoes!$C:$C,$A324,Movimentacoes!$E:$E,$C324,Movimentacoes!$B:$B,"SAIDA_DESCARTE")</f>
        <v/>
      </c>
      <c r="J324" s="13">
        <f>G324-H324-I324</f>
        <v/>
      </c>
      <c r="K324">
        <f>IF(A324="","",IF(J324&lt;=IFERROR(VLOOKUP(A324,Cadastro_Produtos!$A:$E,5,FALSE),0),"ABAIXO DO MINIMO","OK"))</f>
        <v/>
      </c>
    </row>
    <row r="325">
      <c r="B325">
        <f>IFERROR(VLOOKUP(A325,Cadastro_Produtos!A:B,2,FALSE),"")</f>
        <v/>
      </c>
      <c r="D325" s="12" t="n"/>
      <c r="E325" s="13">
        <f>IF(D325="","",D325-TODAY())</f>
        <v/>
      </c>
      <c r="F325">
        <f>IF(D325="","",IF(E325&lt;0,"VENCIDO",IF(E325&lt;=30,"VENCE EM &lt;= 30 DIAS",IF(E325&lt;=60,"ATENCAO (31-60 DIAS)","OK"))))</f>
        <v/>
      </c>
      <c r="G325" s="13">
        <f>SUMIFS(Movimentacoes!$G:$G,Movimentacoes!$C:$C,$A325,Movimentacoes!$E:$E,$C325,Movimentacoes!$B:$B,"ENTRADA")</f>
        <v/>
      </c>
      <c r="H325" s="13">
        <f>SUMIFS(Movimentacoes!$G:$G,Movimentacoes!$C:$C,$A325,Movimentacoes!$E:$E,$C325,Movimentacoes!$B:$B,"SAIDA_USO")</f>
        <v/>
      </c>
      <c r="I325" s="13">
        <f>SUMIFS(Movimentacoes!$G:$G,Movimentacoes!$C:$C,$A325,Movimentacoes!$E:$E,$C325,Movimentacoes!$B:$B,"SAIDA_DESCARTE")</f>
        <v/>
      </c>
      <c r="J325" s="13">
        <f>G325-H325-I325</f>
        <v/>
      </c>
      <c r="K325">
        <f>IF(A325="","",IF(J325&lt;=IFERROR(VLOOKUP(A325,Cadastro_Produtos!$A:$E,5,FALSE),0),"ABAIXO DO MINIMO","OK"))</f>
        <v/>
      </c>
    </row>
    <row r="326">
      <c r="B326">
        <f>IFERROR(VLOOKUP(A326,Cadastro_Produtos!A:B,2,FALSE),"")</f>
        <v/>
      </c>
      <c r="D326" s="12" t="n"/>
      <c r="E326" s="13">
        <f>IF(D326="","",D326-TODAY())</f>
        <v/>
      </c>
      <c r="F326">
        <f>IF(D326="","",IF(E326&lt;0,"VENCIDO",IF(E326&lt;=30,"VENCE EM &lt;= 30 DIAS",IF(E326&lt;=60,"ATENCAO (31-60 DIAS)","OK"))))</f>
        <v/>
      </c>
      <c r="G326" s="13">
        <f>SUMIFS(Movimentacoes!$G:$G,Movimentacoes!$C:$C,$A326,Movimentacoes!$E:$E,$C326,Movimentacoes!$B:$B,"ENTRADA")</f>
        <v/>
      </c>
      <c r="H326" s="13">
        <f>SUMIFS(Movimentacoes!$G:$G,Movimentacoes!$C:$C,$A326,Movimentacoes!$E:$E,$C326,Movimentacoes!$B:$B,"SAIDA_USO")</f>
        <v/>
      </c>
      <c r="I326" s="13">
        <f>SUMIFS(Movimentacoes!$G:$G,Movimentacoes!$C:$C,$A326,Movimentacoes!$E:$E,$C326,Movimentacoes!$B:$B,"SAIDA_DESCARTE")</f>
        <v/>
      </c>
      <c r="J326" s="13">
        <f>G326-H326-I326</f>
        <v/>
      </c>
      <c r="K326">
        <f>IF(A326="","",IF(J326&lt;=IFERROR(VLOOKUP(A326,Cadastro_Produtos!$A:$E,5,FALSE),0),"ABAIXO DO MINIMO","OK"))</f>
        <v/>
      </c>
    </row>
    <row r="327">
      <c r="B327">
        <f>IFERROR(VLOOKUP(A327,Cadastro_Produtos!A:B,2,FALSE),"")</f>
        <v/>
      </c>
      <c r="D327" s="12" t="n"/>
      <c r="E327" s="13">
        <f>IF(D327="","",D327-TODAY())</f>
        <v/>
      </c>
      <c r="F327">
        <f>IF(D327="","",IF(E327&lt;0,"VENCIDO",IF(E327&lt;=30,"VENCE EM &lt;= 30 DIAS",IF(E327&lt;=60,"ATENCAO (31-60 DIAS)","OK"))))</f>
        <v/>
      </c>
      <c r="G327" s="13">
        <f>SUMIFS(Movimentacoes!$G:$G,Movimentacoes!$C:$C,$A327,Movimentacoes!$E:$E,$C327,Movimentacoes!$B:$B,"ENTRADA")</f>
        <v/>
      </c>
      <c r="H327" s="13">
        <f>SUMIFS(Movimentacoes!$G:$G,Movimentacoes!$C:$C,$A327,Movimentacoes!$E:$E,$C327,Movimentacoes!$B:$B,"SAIDA_USO")</f>
        <v/>
      </c>
      <c r="I327" s="13">
        <f>SUMIFS(Movimentacoes!$G:$G,Movimentacoes!$C:$C,$A327,Movimentacoes!$E:$E,$C327,Movimentacoes!$B:$B,"SAIDA_DESCARTE")</f>
        <v/>
      </c>
      <c r="J327" s="13">
        <f>G327-H327-I327</f>
        <v/>
      </c>
      <c r="K327">
        <f>IF(A327="","",IF(J327&lt;=IFERROR(VLOOKUP(A327,Cadastro_Produtos!$A:$E,5,FALSE),0),"ABAIXO DO MINIMO","OK"))</f>
        <v/>
      </c>
    </row>
    <row r="328">
      <c r="B328">
        <f>IFERROR(VLOOKUP(A328,Cadastro_Produtos!A:B,2,FALSE),"")</f>
        <v/>
      </c>
      <c r="D328" s="12" t="n"/>
      <c r="E328" s="13">
        <f>IF(D328="","",D328-TODAY())</f>
        <v/>
      </c>
      <c r="F328">
        <f>IF(D328="","",IF(E328&lt;0,"VENCIDO",IF(E328&lt;=30,"VENCE EM &lt;= 30 DIAS",IF(E328&lt;=60,"ATENCAO (31-60 DIAS)","OK"))))</f>
        <v/>
      </c>
      <c r="G328" s="13">
        <f>SUMIFS(Movimentacoes!$G:$G,Movimentacoes!$C:$C,$A328,Movimentacoes!$E:$E,$C328,Movimentacoes!$B:$B,"ENTRADA")</f>
        <v/>
      </c>
      <c r="H328" s="13">
        <f>SUMIFS(Movimentacoes!$G:$G,Movimentacoes!$C:$C,$A328,Movimentacoes!$E:$E,$C328,Movimentacoes!$B:$B,"SAIDA_USO")</f>
        <v/>
      </c>
      <c r="I328" s="13">
        <f>SUMIFS(Movimentacoes!$G:$G,Movimentacoes!$C:$C,$A328,Movimentacoes!$E:$E,$C328,Movimentacoes!$B:$B,"SAIDA_DESCARTE")</f>
        <v/>
      </c>
      <c r="J328" s="13">
        <f>G328-H328-I328</f>
        <v/>
      </c>
      <c r="K328">
        <f>IF(A328="","",IF(J328&lt;=IFERROR(VLOOKUP(A328,Cadastro_Produtos!$A:$E,5,FALSE),0),"ABAIXO DO MINIMO","OK"))</f>
        <v/>
      </c>
    </row>
    <row r="329">
      <c r="B329">
        <f>IFERROR(VLOOKUP(A329,Cadastro_Produtos!A:B,2,FALSE),"")</f>
        <v/>
      </c>
      <c r="D329" s="12" t="n"/>
      <c r="E329" s="13">
        <f>IF(D329="","",D329-TODAY())</f>
        <v/>
      </c>
      <c r="F329">
        <f>IF(D329="","",IF(E329&lt;0,"VENCIDO",IF(E329&lt;=30,"VENCE EM &lt;= 30 DIAS",IF(E329&lt;=60,"ATENCAO (31-60 DIAS)","OK"))))</f>
        <v/>
      </c>
      <c r="G329" s="13">
        <f>SUMIFS(Movimentacoes!$G:$G,Movimentacoes!$C:$C,$A329,Movimentacoes!$E:$E,$C329,Movimentacoes!$B:$B,"ENTRADA")</f>
        <v/>
      </c>
      <c r="H329" s="13">
        <f>SUMIFS(Movimentacoes!$G:$G,Movimentacoes!$C:$C,$A329,Movimentacoes!$E:$E,$C329,Movimentacoes!$B:$B,"SAIDA_USO")</f>
        <v/>
      </c>
      <c r="I329" s="13">
        <f>SUMIFS(Movimentacoes!$G:$G,Movimentacoes!$C:$C,$A329,Movimentacoes!$E:$E,$C329,Movimentacoes!$B:$B,"SAIDA_DESCARTE")</f>
        <v/>
      </c>
      <c r="J329" s="13">
        <f>G329-H329-I329</f>
        <v/>
      </c>
      <c r="K329">
        <f>IF(A329="","",IF(J329&lt;=IFERROR(VLOOKUP(A329,Cadastro_Produtos!$A:$E,5,FALSE),0),"ABAIXO DO MINIMO","OK"))</f>
        <v/>
      </c>
    </row>
    <row r="330">
      <c r="B330">
        <f>IFERROR(VLOOKUP(A330,Cadastro_Produtos!A:B,2,FALSE),"")</f>
        <v/>
      </c>
      <c r="D330" s="12" t="n"/>
      <c r="E330" s="13">
        <f>IF(D330="","",D330-TODAY())</f>
        <v/>
      </c>
      <c r="F330">
        <f>IF(D330="","",IF(E330&lt;0,"VENCIDO",IF(E330&lt;=30,"VENCE EM &lt;= 30 DIAS",IF(E330&lt;=60,"ATENCAO (31-60 DIAS)","OK"))))</f>
        <v/>
      </c>
      <c r="G330" s="13">
        <f>SUMIFS(Movimentacoes!$G:$G,Movimentacoes!$C:$C,$A330,Movimentacoes!$E:$E,$C330,Movimentacoes!$B:$B,"ENTRADA")</f>
        <v/>
      </c>
      <c r="H330" s="13">
        <f>SUMIFS(Movimentacoes!$G:$G,Movimentacoes!$C:$C,$A330,Movimentacoes!$E:$E,$C330,Movimentacoes!$B:$B,"SAIDA_USO")</f>
        <v/>
      </c>
      <c r="I330" s="13">
        <f>SUMIFS(Movimentacoes!$G:$G,Movimentacoes!$C:$C,$A330,Movimentacoes!$E:$E,$C330,Movimentacoes!$B:$B,"SAIDA_DESCARTE")</f>
        <v/>
      </c>
      <c r="J330" s="13">
        <f>G330-H330-I330</f>
        <v/>
      </c>
      <c r="K330">
        <f>IF(A330="","",IF(J330&lt;=IFERROR(VLOOKUP(A330,Cadastro_Produtos!$A:$E,5,FALSE),0),"ABAIXO DO MINIMO","OK"))</f>
        <v/>
      </c>
    </row>
    <row r="331">
      <c r="B331">
        <f>IFERROR(VLOOKUP(A331,Cadastro_Produtos!A:B,2,FALSE),"")</f>
        <v/>
      </c>
      <c r="D331" s="12" t="n"/>
      <c r="E331" s="13">
        <f>IF(D331="","",D331-TODAY())</f>
        <v/>
      </c>
      <c r="F331">
        <f>IF(D331="","",IF(E331&lt;0,"VENCIDO",IF(E331&lt;=30,"VENCE EM &lt;= 30 DIAS",IF(E331&lt;=60,"ATENCAO (31-60 DIAS)","OK"))))</f>
        <v/>
      </c>
      <c r="G331" s="13">
        <f>SUMIFS(Movimentacoes!$G:$G,Movimentacoes!$C:$C,$A331,Movimentacoes!$E:$E,$C331,Movimentacoes!$B:$B,"ENTRADA")</f>
        <v/>
      </c>
      <c r="H331" s="13">
        <f>SUMIFS(Movimentacoes!$G:$G,Movimentacoes!$C:$C,$A331,Movimentacoes!$E:$E,$C331,Movimentacoes!$B:$B,"SAIDA_USO")</f>
        <v/>
      </c>
      <c r="I331" s="13">
        <f>SUMIFS(Movimentacoes!$G:$G,Movimentacoes!$C:$C,$A331,Movimentacoes!$E:$E,$C331,Movimentacoes!$B:$B,"SAIDA_DESCARTE")</f>
        <v/>
      </c>
      <c r="J331" s="13">
        <f>G331-H331-I331</f>
        <v/>
      </c>
      <c r="K331">
        <f>IF(A331="","",IF(J331&lt;=IFERROR(VLOOKUP(A331,Cadastro_Produtos!$A:$E,5,FALSE),0),"ABAIXO DO MINIMO","OK"))</f>
        <v/>
      </c>
    </row>
    <row r="332">
      <c r="B332">
        <f>IFERROR(VLOOKUP(A332,Cadastro_Produtos!A:B,2,FALSE),"")</f>
        <v/>
      </c>
      <c r="D332" s="12" t="n"/>
      <c r="E332" s="13">
        <f>IF(D332="","",D332-TODAY())</f>
        <v/>
      </c>
      <c r="F332">
        <f>IF(D332="","",IF(E332&lt;0,"VENCIDO",IF(E332&lt;=30,"VENCE EM &lt;= 30 DIAS",IF(E332&lt;=60,"ATENCAO (31-60 DIAS)","OK"))))</f>
        <v/>
      </c>
      <c r="G332" s="13">
        <f>SUMIFS(Movimentacoes!$G:$G,Movimentacoes!$C:$C,$A332,Movimentacoes!$E:$E,$C332,Movimentacoes!$B:$B,"ENTRADA")</f>
        <v/>
      </c>
      <c r="H332" s="13">
        <f>SUMIFS(Movimentacoes!$G:$G,Movimentacoes!$C:$C,$A332,Movimentacoes!$E:$E,$C332,Movimentacoes!$B:$B,"SAIDA_USO")</f>
        <v/>
      </c>
      <c r="I332" s="13">
        <f>SUMIFS(Movimentacoes!$G:$G,Movimentacoes!$C:$C,$A332,Movimentacoes!$E:$E,$C332,Movimentacoes!$B:$B,"SAIDA_DESCARTE")</f>
        <v/>
      </c>
      <c r="J332" s="13">
        <f>G332-H332-I332</f>
        <v/>
      </c>
      <c r="K332">
        <f>IF(A332="","",IF(J332&lt;=IFERROR(VLOOKUP(A332,Cadastro_Produtos!$A:$E,5,FALSE),0),"ABAIXO DO MINIMO","OK"))</f>
        <v/>
      </c>
    </row>
    <row r="333">
      <c r="B333">
        <f>IFERROR(VLOOKUP(A333,Cadastro_Produtos!A:B,2,FALSE),"")</f>
        <v/>
      </c>
      <c r="D333" s="12" t="n"/>
      <c r="E333" s="13">
        <f>IF(D333="","",D333-TODAY())</f>
        <v/>
      </c>
      <c r="F333">
        <f>IF(D333="","",IF(E333&lt;0,"VENCIDO",IF(E333&lt;=30,"VENCE EM &lt;= 30 DIAS",IF(E333&lt;=60,"ATENCAO (31-60 DIAS)","OK"))))</f>
        <v/>
      </c>
      <c r="G333" s="13">
        <f>SUMIFS(Movimentacoes!$G:$G,Movimentacoes!$C:$C,$A333,Movimentacoes!$E:$E,$C333,Movimentacoes!$B:$B,"ENTRADA")</f>
        <v/>
      </c>
      <c r="H333" s="13">
        <f>SUMIFS(Movimentacoes!$G:$G,Movimentacoes!$C:$C,$A333,Movimentacoes!$E:$E,$C333,Movimentacoes!$B:$B,"SAIDA_USO")</f>
        <v/>
      </c>
      <c r="I333" s="13">
        <f>SUMIFS(Movimentacoes!$G:$G,Movimentacoes!$C:$C,$A333,Movimentacoes!$E:$E,$C333,Movimentacoes!$B:$B,"SAIDA_DESCARTE")</f>
        <v/>
      </c>
      <c r="J333" s="13">
        <f>G333-H333-I333</f>
        <v/>
      </c>
      <c r="K333">
        <f>IF(A333="","",IF(J333&lt;=IFERROR(VLOOKUP(A333,Cadastro_Produtos!$A:$E,5,FALSE),0),"ABAIXO DO MINIMO","OK"))</f>
        <v/>
      </c>
    </row>
    <row r="334">
      <c r="B334">
        <f>IFERROR(VLOOKUP(A334,Cadastro_Produtos!A:B,2,FALSE),"")</f>
        <v/>
      </c>
      <c r="D334" s="12" t="n"/>
      <c r="E334" s="13">
        <f>IF(D334="","",D334-TODAY())</f>
        <v/>
      </c>
      <c r="F334">
        <f>IF(D334="","",IF(E334&lt;0,"VENCIDO",IF(E334&lt;=30,"VENCE EM &lt;= 30 DIAS",IF(E334&lt;=60,"ATENCAO (31-60 DIAS)","OK"))))</f>
        <v/>
      </c>
      <c r="G334" s="13">
        <f>SUMIFS(Movimentacoes!$G:$G,Movimentacoes!$C:$C,$A334,Movimentacoes!$E:$E,$C334,Movimentacoes!$B:$B,"ENTRADA")</f>
        <v/>
      </c>
      <c r="H334" s="13">
        <f>SUMIFS(Movimentacoes!$G:$G,Movimentacoes!$C:$C,$A334,Movimentacoes!$E:$E,$C334,Movimentacoes!$B:$B,"SAIDA_USO")</f>
        <v/>
      </c>
      <c r="I334" s="13">
        <f>SUMIFS(Movimentacoes!$G:$G,Movimentacoes!$C:$C,$A334,Movimentacoes!$E:$E,$C334,Movimentacoes!$B:$B,"SAIDA_DESCARTE")</f>
        <v/>
      </c>
      <c r="J334" s="13">
        <f>G334-H334-I334</f>
        <v/>
      </c>
      <c r="K334">
        <f>IF(A334="","",IF(J334&lt;=IFERROR(VLOOKUP(A334,Cadastro_Produtos!$A:$E,5,FALSE),0),"ABAIXO DO MINIMO","OK"))</f>
        <v/>
      </c>
    </row>
    <row r="335">
      <c r="B335">
        <f>IFERROR(VLOOKUP(A335,Cadastro_Produtos!A:B,2,FALSE),"")</f>
        <v/>
      </c>
      <c r="D335" s="12" t="n"/>
      <c r="E335" s="13">
        <f>IF(D335="","",D335-TODAY())</f>
        <v/>
      </c>
      <c r="F335">
        <f>IF(D335="","",IF(E335&lt;0,"VENCIDO",IF(E335&lt;=30,"VENCE EM &lt;= 30 DIAS",IF(E335&lt;=60,"ATENCAO (31-60 DIAS)","OK"))))</f>
        <v/>
      </c>
      <c r="G335" s="13">
        <f>SUMIFS(Movimentacoes!$G:$G,Movimentacoes!$C:$C,$A335,Movimentacoes!$E:$E,$C335,Movimentacoes!$B:$B,"ENTRADA")</f>
        <v/>
      </c>
      <c r="H335" s="13">
        <f>SUMIFS(Movimentacoes!$G:$G,Movimentacoes!$C:$C,$A335,Movimentacoes!$E:$E,$C335,Movimentacoes!$B:$B,"SAIDA_USO")</f>
        <v/>
      </c>
      <c r="I335" s="13">
        <f>SUMIFS(Movimentacoes!$G:$G,Movimentacoes!$C:$C,$A335,Movimentacoes!$E:$E,$C335,Movimentacoes!$B:$B,"SAIDA_DESCARTE")</f>
        <v/>
      </c>
      <c r="J335" s="13">
        <f>G335-H335-I335</f>
        <v/>
      </c>
      <c r="K335">
        <f>IF(A335="","",IF(J335&lt;=IFERROR(VLOOKUP(A335,Cadastro_Produtos!$A:$E,5,FALSE),0),"ABAIXO DO MINIMO","OK"))</f>
        <v/>
      </c>
    </row>
    <row r="336">
      <c r="B336">
        <f>IFERROR(VLOOKUP(A336,Cadastro_Produtos!A:B,2,FALSE),"")</f>
        <v/>
      </c>
      <c r="D336" s="12" t="n"/>
      <c r="E336" s="13">
        <f>IF(D336="","",D336-TODAY())</f>
        <v/>
      </c>
      <c r="F336">
        <f>IF(D336="","",IF(E336&lt;0,"VENCIDO",IF(E336&lt;=30,"VENCE EM &lt;= 30 DIAS",IF(E336&lt;=60,"ATENCAO (31-60 DIAS)","OK"))))</f>
        <v/>
      </c>
      <c r="G336" s="13">
        <f>SUMIFS(Movimentacoes!$G:$G,Movimentacoes!$C:$C,$A336,Movimentacoes!$E:$E,$C336,Movimentacoes!$B:$B,"ENTRADA")</f>
        <v/>
      </c>
      <c r="H336" s="13">
        <f>SUMIFS(Movimentacoes!$G:$G,Movimentacoes!$C:$C,$A336,Movimentacoes!$E:$E,$C336,Movimentacoes!$B:$B,"SAIDA_USO")</f>
        <v/>
      </c>
      <c r="I336" s="13">
        <f>SUMIFS(Movimentacoes!$G:$G,Movimentacoes!$C:$C,$A336,Movimentacoes!$E:$E,$C336,Movimentacoes!$B:$B,"SAIDA_DESCARTE")</f>
        <v/>
      </c>
      <c r="J336" s="13">
        <f>G336-H336-I336</f>
        <v/>
      </c>
      <c r="K336">
        <f>IF(A336="","",IF(J336&lt;=IFERROR(VLOOKUP(A336,Cadastro_Produtos!$A:$E,5,FALSE),0),"ABAIXO DO MINIMO","OK"))</f>
        <v/>
      </c>
    </row>
    <row r="337">
      <c r="B337">
        <f>IFERROR(VLOOKUP(A337,Cadastro_Produtos!A:B,2,FALSE),"")</f>
        <v/>
      </c>
      <c r="D337" s="12" t="n"/>
      <c r="E337" s="13">
        <f>IF(D337="","",D337-TODAY())</f>
        <v/>
      </c>
      <c r="F337">
        <f>IF(D337="","",IF(E337&lt;0,"VENCIDO",IF(E337&lt;=30,"VENCE EM &lt;= 30 DIAS",IF(E337&lt;=60,"ATENCAO (31-60 DIAS)","OK"))))</f>
        <v/>
      </c>
      <c r="G337" s="13">
        <f>SUMIFS(Movimentacoes!$G:$G,Movimentacoes!$C:$C,$A337,Movimentacoes!$E:$E,$C337,Movimentacoes!$B:$B,"ENTRADA")</f>
        <v/>
      </c>
      <c r="H337" s="13">
        <f>SUMIFS(Movimentacoes!$G:$G,Movimentacoes!$C:$C,$A337,Movimentacoes!$E:$E,$C337,Movimentacoes!$B:$B,"SAIDA_USO")</f>
        <v/>
      </c>
      <c r="I337" s="13">
        <f>SUMIFS(Movimentacoes!$G:$G,Movimentacoes!$C:$C,$A337,Movimentacoes!$E:$E,$C337,Movimentacoes!$B:$B,"SAIDA_DESCARTE")</f>
        <v/>
      </c>
      <c r="J337" s="13">
        <f>G337-H337-I337</f>
        <v/>
      </c>
      <c r="K337">
        <f>IF(A337="","",IF(J337&lt;=IFERROR(VLOOKUP(A337,Cadastro_Produtos!$A:$E,5,FALSE),0),"ABAIXO DO MINIMO","OK"))</f>
        <v/>
      </c>
    </row>
    <row r="338">
      <c r="B338">
        <f>IFERROR(VLOOKUP(A338,Cadastro_Produtos!A:B,2,FALSE),"")</f>
        <v/>
      </c>
      <c r="D338" s="12" t="n"/>
      <c r="E338" s="13">
        <f>IF(D338="","",D338-TODAY())</f>
        <v/>
      </c>
      <c r="F338">
        <f>IF(D338="","",IF(E338&lt;0,"VENCIDO",IF(E338&lt;=30,"VENCE EM &lt;= 30 DIAS",IF(E338&lt;=60,"ATENCAO (31-60 DIAS)","OK"))))</f>
        <v/>
      </c>
      <c r="G338" s="13">
        <f>SUMIFS(Movimentacoes!$G:$G,Movimentacoes!$C:$C,$A338,Movimentacoes!$E:$E,$C338,Movimentacoes!$B:$B,"ENTRADA")</f>
        <v/>
      </c>
      <c r="H338" s="13">
        <f>SUMIFS(Movimentacoes!$G:$G,Movimentacoes!$C:$C,$A338,Movimentacoes!$E:$E,$C338,Movimentacoes!$B:$B,"SAIDA_USO")</f>
        <v/>
      </c>
      <c r="I338" s="13">
        <f>SUMIFS(Movimentacoes!$G:$G,Movimentacoes!$C:$C,$A338,Movimentacoes!$E:$E,$C338,Movimentacoes!$B:$B,"SAIDA_DESCARTE")</f>
        <v/>
      </c>
      <c r="J338" s="13">
        <f>G338-H338-I338</f>
        <v/>
      </c>
      <c r="K338">
        <f>IF(A338="","",IF(J338&lt;=IFERROR(VLOOKUP(A338,Cadastro_Produtos!$A:$E,5,FALSE),0),"ABAIXO DO MINIMO","OK"))</f>
        <v/>
      </c>
    </row>
    <row r="339">
      <c r="B339">
        <f>IFERROR(VLOOKUP(A339,Cadastro_Produtos!A:B,2,FALSE),"")</f>
        <v/>
      </c>
      <c r="D339" s="12" t="n"/>
      <c r="E339" s="13">
        <f>IF(D339="","",D339-TODAY())</f>
        <v/>
      </c>
      <c r="F339">
        <f>IF(D339="","",IF(E339&lt;0,"VENCIDO",IF(E339&lt;=30,"VENCE EM &lt;= 30 DIAS",IF(E339&lt;=60,"ATENCAO (31-60 DIAS)","OK"))))</f>
        <v/>
      </c>
      <c r="G339" s="13">
        <f>SUMIFS(Movimentacoes!$G:$G,Movimentacoes!$C:$C,$A339,Movimentacoes!$E:$E,$C339,Movimentacoes!$B:$B,"ENTRADA")</f>
        <v/>
      </c>
      <c r="H339" s="13">
        <f>SUMIFS(Movimentacoes!$G:$G,Movimentacoes!$C:$C,$A339,Movimentacoes!$E:$E,$C339,Movimentacoes!$B:$B,"SAIDA_USO")</f>
        <v/>
      </c>
      <c r="I339" s="13">
        <f>SUMIFS(Movimentacoes!$G:$G,Movimentacoes!$C:$C,$A339,Movimentacoes!$E:$E,$C339,Movimentacoes!$B:$B,"SAIDA_DESCARTE")</f>
        <v/>
      </c>
      <c r="J339" s="13">
        <f>G339-H339-I339</f>
        <v/>
      </c>
      <c r="K339">
        <f>IF(A339="","",IF(J339&lt;=IFERROR(VLOOKUP(A339,Cadastro_Produtos!$A:$E,5,FALSE),0),"ABAIXO DO MINIMO","OK"))</f>
        <v/>
      </c>
    </row>
    <row r="340">
      <c r="B340">
        <f>IFERROR(VLOOKUP(A340,Cadastro_Produtos!A:B,2,FALSE),"")</f>
        <v/>
      </c>
      <c r="D340" s="12" t="n"/>
      <c r="E340" s="13">
        <f>IF(D340="","",D340-TODAY())</f>
        <v/>
      </c>
      <c r="F340">
        <f>IF(D340="","",IF(E340&lt;0,"VENCIDO",IF(E340&lt;=30,"VENCE EM &lt;= 30 DIAS",IF(E340&lt;=60,"ATENCAO (31-60 DIAS)","OK"))))</f>
        <v/>
      </c>
      <c r="G340" s="13">
        <f>SUMIFS(Movimentacoes!$G:$G,Movimentacoes!$C:$C,$A340,Movimentacoes!$E:$E,$C340,Movimentacoes!$B:$B,"ENTRADA")</f>
        <v/>
      </c>
      <c r="H340" s="13">
        <f>SUMIFS(Movimentacoes!$G:$G,Movimentacoes!$C:$C,$A340,Movimentacoes!$E:$E,$C340,Movimentacoes!$B:$B,"SAIDA_USO")</f>
        <v/>
      </c>
      <c r="I340" s="13">
        <f>SUMIFS(Movimentacoes!$G:$G,Movimentacoes!$C:$C,$A340,Movimentacoes!$E:$E,$C340,Movimentacoes!$B:$B,"SAIDA_DESCARTE")</f>
        <v/>
      </c>
      <c r="J340" s="13">
        <f>G340-H340-I340</f>
        <v/>
      </c>
      <c r="K340">
        <f>IF(A340="","",IF(J340&lt;=IFERROR(VLOOKUP(A340,Cadastro_Produtos!$A:$E,5,FALSE),0),"ABAIXO DO MINIMO","OK"))</f>
        <v/>
      </c>
    </row>
    <row r="341">
      <c r="B341">
        <f>IFERROR(VLOOKUP(A341,Cadastro_Produtos!A:B,2,FALSE),"")</f>
        <v/>
      </c>
      <c r="D341" s="12" t="n"/>
      <c r="E341" s="13">
        <f>IF(D341="","",D341-TODAY())</f>
        <v/>
      </c>
      <c r="F341">
        <f>IF(D341="","",IF(E341&lt;0,"VENCIDO",IF(E341&lt;=30,"VENCE EM &lt;= 30 DIAS",IF(E341&lt;=60,"ATENCAO (31-60 DIAS)","OK"))))</f>
        <v/>
      </c>
      <c r="G341" s="13">
        <f>SUMIFS(Movimentacoes!$G:$G,Movimentacoes!$C:$C,$A341,Movimentacoes!$E:$E,$C341,Movimentacoes!$B:$B,"ENTRADA")</f>
        <v/>
      </c>
      <c r="H341" s="13">
        <f>SUMIFS(Movimentacoes!$G:$G,Movimentacoes!$C:$C,$A341,Movimentacoes!$E:$E,$C341,Movimentacoes!$B:$B,"SAIDA_USO")</f>
        <v/>
      </c>
      <c r="I341" s="13">
        <f>SUMIFS(Movimentacoes!$G:$G,Movimentacoes!$C:$C,$A341,Movimentacoes!$E:$E,$C341,Movimentacoes!$B:$B,"SAIDA_DESCARTE")</f>
        <v/>
      </c>
      <c r="J341" s="13">
        <f>G341-H341-I341</f>
        <v/>
      </c>
      <c r="K341">
        <f>IF(A341="","",IF(J341&lt;=IFERROR(VLOOKUP(A341,Cadastro_Produtos!$A:$E,5,FALSE),0),"ABAIXO DO MINIMO","OK"))</f>
        <v/>
      </c>
    </row>
    <row r="342">
      <c r="B342">
        <f>IFERROR(VLOOKUP(A342,Cadastro_Produtos!A:B,2,FALSE),"")</f>
        <v/>
      </c>
      <c r="D342" s="12" t="n"/>
      <c r="E342" s="13">
        <f>IF(D342="","",D342-TODAY())</f>
        <v/>
      </c>
      <c r="F342">
        <f>IF(D342="","",IF(E342&lt;0,"VENCIDO",IF(E342&lt;=30,"VENCE EM &lt;= 30 DIAS",IF(E342&lt;=60,"ATENCAO (31-60 DIAS)","OK"))))</f>
        <v/>
      </c>
      <c r="G342" s="13">
        <f>SUMIFS(Movimentacoes!$G:$G,Movimentacoes!$C:$C,$A342,Movimentacoes!$E:$E,$C342,Movimentacoes!$B:$B,"ENTRADA")</f>
        <v/>
      </c>
      <c r="H342" s="13">
        <f>SUMIFS(Movimentacoes!$G:$G,Movimentacoes!$C:$C,$A342,Movimentacoes!$E:$E,$C342,Movimentacoes!$B:$B,"SAIDA_USO")</f>
        <v/>
      </c>
      <c r="I342" s="13">
        <f>SUMIFS(Movimentacoes!$G:$G,Movimentacoes!$C:$C,$A342,Movimentacoes!$E:$E,$C342,Movimentacoes!$B:$B,"SAIDA_DESCARTE")</f>
        <v/>
      </c>
      <c r="J342" s="13">
        <f>G342-H342-I342</f>
        <v/>
      </c>
      <c r="K342">
        <f>IF(A342="","",IF(J342&lt;=IFERROR(VLOOKUP(A342,Cadastro_Produtos!$A:$E,5,FALSE),0),"ABAIXO DO MINIMO","OK"))</f>
        <v/>
      </c>
    </row>
    <row r="343">
      <c r="B343">
        <f>IFERROR(VLOOKUP(A343,Cadastro_Produtos!A:B,2,FALSE),"")</f>
        <v/>
      </c>
      <c r="D343" s="12" t="n"/>
      <c r="E343" s="13">
        <f>IF(D343="","",D343-TODAY())</f>
        <v/>
      </c>
      <c r="F343">
        <f>IF(D343="","",IF(E343&lt;0,"VENCIDO",IF(E343&lt;=30,"VENCE EM &lt;= 30 DIAS",IF(E343&lt;=60,"ATENCAO (31-60 DIAS)","OK"))))</f>
        <v/>
      </c>
      <c r="G343" s="13">
        <f>SUMIFS(Movimentacoes!$G:$G,Movimentacoes!$C:$C,$A343,Movimentacoes!$E:$E,$C343,Movimentacoes!$B:$B,"ENTRADA")</f>
        <v/>
      </c>
      <c r="H343" s="13">
        <f>SUMIFS(Movimentacoes!$G:$G,Movimentacoes!$C:$C,$A343,Movimentacoes!$E:$E,$C343,Movimentacoes!$B:$B,"SAIDA_USO")</f>
        <v/>
      </c>
      <c r="I343" s="13">
        <f>SUMIFS(Movimentacoes!$G:$G,Movimentacoes!$C:$C,$A343,Movimentacoes!$E:$E,$C343,Movimentacoes!$B:$B,"SAIDA_DESCARTE")</f>
        <v/>
      </c>
      <c r="J343" s="13">
        <f>G343-H343-I343</f>
        <v/>
      </c>
      <c r="K343">
        <f>IF(A343="","",IF(J343&lt;=IFERROR(VLOOKUP(A343,Cadastro_Produtos!$A:$E,5,FALSE),0),"ABAIXO DO MINIMO","OK"))</f>
        <v/>
      </c>
    </row>
    <row r="344">
      <c r="B344">
        <f>IFERROR(VLOOKUP(A344,Cadastro_Produtos!A:B,2,FALSE),"")</f>
        <v/>
      </c>
      <c r="D344" s="12" t="n"/>
      <c r="E344" s="13">
        <f>IF(D344="","",D344-TODAY())</f>
        <v/>
      </c>
      <c r="F344">
        <f>IF(D344="","",IF(E344&lt;0,"VENCIDO",IF(E344&lt;=30,"VENCE EM &lt;= 30 DIAS",IF(E344&lt;=60,"ATENCAO (31-60 DIAS)","OK"))))</f>
        <v/>
      </c>
      <c r="G344" s="13">
        <f>SUMIFS(Movimentacoes!$G:$G,Movimentacoes!$C:$C,$A344,Movimentacoes!$E:$E,$C344,Movimentacoes!$B:$B,"ENTRADA")</f>
        <v/>
      </c>
      <c r="H344" s="13">
        <f>SUMIFS(Movimentacoes!$G:$G,Movimentacoes!$C:$C,$A344,Movimentacoes!$E:$E,$C344,Movimentacoes!$B:$B,"SAIDA_USO")</f>
        <v/>
      </c>
      <c r="I344" s="13">
        <f>SUMIFS(Movimentacoes!$G:$G,Movimentacoes!$C:$C,$A344,Movimentacoes!$E:$E,$C344,Movimentacoes!$B:$B,"SAIDA_DESCARTE")</f>
        <v/>
      </c>
      <c r="J344" s="13">
        <f>G344-H344-I344</f>
        <v/>
      </c>
      <c r="K344">
        <f>IF(A344="","",IF(J344&lt;=IFERROR(VLOOKUP(A344,Cadastro_Produtos!$A:$E,5,FALSE),0),"ABAIXO DO MINIMO","OK"))</f>
        <v/>
      </c>
    </row>
    <row r="345">
      <c r="B345">
        <f>IFERROR(VLOOKUP(A345,Cadastro_Produtos!A:B,2,FALSE),"")</f>
        <v/>
      </c>
      <c r="D345" s="12" t="n"/>
      <c r="E345" s="13">
        <f>IF(D345="","",D345-TODAY())</f>
        <v/>
      </c>
      <c r="F345">
        <f>IF(D345="","",IF(E345&lt;0,"VENCIDO",IF(E345&lt;=30,"VENCE EM &lt;= 30 DIAS",IF(E345&lt;=60,"ATENCAO (31-60 DIAS)","OK"))))</f>
        <v/>
      </c>
      <c r="G345" s="13">
        <f>SUMIFS(Movimentacoes!$G:$G,Movimentacoes!$C:$C,$A345,Movimentacoes!$E:$E,$C345,Movimentacoes!$B:$B,"ENTRADA")</f>
        <v/>
      </c>
      <c r="H345" s="13">
        <f>SUMIFS(Movimentacoes!$G:$G,Movimentacoes!$C:$C,$A345,Movimentacoes!$E:$E,$C345,Movimentacoes!$B:$B,"SAIDA_USO")</f>
        <v/>
      </c>
      <c r="I345" s="13">
        <f>SUMIFS(Movimentacoes!$G:$G,Movimentacoes!$C:$C,$A345,Movimentacoes!$E:$E,$C345,Movimentacoes!$B:$B,"SAIDA_DESCARTE")</f>
        <v/>
      </c>
      <c r="J345" s="13">
        <f>G345-H345-I345</f>
        <v/>
      </c>
      <c r="K345">
        <f>IF(A345="","",IF(J345&lt;=IFERROR(VLOOKUP(A345,Cadastro_Produtos!$A:$E,5,FALSE),0),"ABAIXO DO MINIMO","OK"))</f>
        <v/>
      </c>
    </row>
    <row r="346">
      <c r="B346">
        <f>IFERROR(VLOOKUP(A346,Cadastro_Produtos!A:B,2,FALSE),"")</f>
        <v/>
      </c>
      <c r="D346" s="12" t="n"/>
      <c r="E346" s="13">
        <f>IF(D346="","",D346-TODAY())</f>
        <v/>
      </c>
      <c r="F346">
        <f>IF(D346="","",IF(E346&lt;0,"VENCIDO",IF(E346&lt;=30,"VENCE EM &lt;= 30 DIAS",IF(E346&lt;=60,"ATENCAO (31-60 DIAS)","OK"))))</f>
        <v/>
      </c>
      <c r="G346" s="13">
        <f>SUMIFS(Movimentacoes!$G:$G,Movimentacoes!$C:$C,$A346,Movimentacoes!$E:$E,$C346,Movimentacoes!$B:$B,"ENTRADA")</f>
        <v/>
      </c>
      <c r="H346" s="13">
        <f>SUMIFS(Movimentacoes!$G:$G,Movimentacoes!$C:$C,$A346,Movimentacoes!$E:$E,$C346,Movimentacoes!$B:$B,"SAIDA_USO")</f>
        <v/>
      </c>
      <c r="I346" s="13">
        <f>SUMIFS(Movimentacoes!$G:$G,Movimentacoes!$C:$C,$A346,Movimentacoes!$E:$E,$C346,Movimentacoes!$B:$B,"SAIDA_DESCARTE")</f>
        <v/>
      </c>
      <c r="J346" s="13">
        <f>G346-H346-I346</f>
        <v/>
      </c>
      <c r="K346">
        <f>IF(A346="","",IF(J346&lt;=IFERROR(VLOOKUP(A346,Cadastro_Produtos!$A:$E,5,FALSE),0),"ABAIXO DO MINIMO","OK"))</f>
        <v/>
      </c>
    </row>
    <row r="347">
      <c r="B347">
        <f>IFERROR(VLOOKUP(A347,Cadastro_Produtos!A:B,2,FALSE),"")</f>
        <v/>
      </c>
      <c r="D347" s="12" t="n"/>
      <c r="E347" s="13">
        <f>IF(D347="","",D347-TODAY())</f>
        <v/>
      </c>
      <c r="F347">
        <f>IF(D347="","",IF(E347&lt;0,"VENCIDO",IF(E347&lt;=30,"VENCE EM &lt;= 30 DIAS",IF(E347&lt;=60,"ATENCAO (31-60 DIAS)","OK"))))</f>
        <v/>
      </c>
      <c r="G347" s="13">
        <f>SUMIFS(Movimentacoes!$G:$G,Movimentacoes!$C:$C,$A347,Movimentacoes!$E:$E,$C347,Movimentacoes!$B:$B,"ENTRADA")</f>
        <v/>
      </c>
      <c r="H347" s="13">
        <f>SUMIFS(Movimentacoes!$G:$G,Movimentacoes!$C:$C,$A347,Movimentacoes!$E:$E,$C347,Movimentacoes!$B:$B,"SAIDA_USO")</f>
        <v/>
      </c>
      <c r="I347" s="13">
        <f>SUMIFS(Movimentacoes!$G:$G,Movimentacoes!$C:$C,$A347,Movimentacoes!$E:$E,$C347,Movimentacoes!$B:$B,"SAIDA_DESCARTE")</f>
        <v/>
      </c>
      <c r="J347" s="13">
        <f>G347-H347-I347</f>
        <v/>
      </c>
      <c r="K347">
        <f>IF(A347="","",IF(J347&lt;=IFERROR(VLOOKUP(A347,Cadastro_Produtos!$A:$E,5,FALSE),0),"ABAIXO DO MINIMO","OK"))</f>
        <v/>
      </c>
    </row>
    <row r="348">
      <c r="B348">
        <f>IFERROR(VLOOKUP(A348,Cadastro_Produtos!A:B,2,FALSE),"")</f>
        <v/>
      </c>
      <c r="D348" s="12" t="n"/>
      <c r="E348" s="13">
        <f>IF(D348="","",D348-TODAY())</f>
        <v/>
      </c>
      <c r="F348">
        <f>IF(D348="","",IF(E348&lt;0,"VENCIDO",IF(E348&lt;=30,"VENCE EM &lt;= 30 DIAS",IF(E348&lt;=60,"ATENCAO (31-60 DIAS)","OK"))))</f>
        <v/>
      </c>
      <c r="G348" s="13">
        <f>SUMIFS(Movimentacoes!$G:$G,Movimentacoes!$C:$C,$A348,Movimentacoes!$E:$E,$C348,Movimentacoes!$B:$B,"ENTRADA")</f>
        <v/>
      </c>
      <c r="H348" s="13">
        <f>SUMIFS(Movimentacoes!$G:$G,Movimentacoes!$C:$C,$A348,Movimentacoes!$E:$E,$C348,Movimentacoes!$B:$B,"SAIDA_USO")</f>
        <v/>
      </c>
      <c r="I348" s="13">
        <f>SUMIFS(Movimentacoes!$G:$G,Movimentacoes!$C:$C,$A348,Movimentacoes!$E:$E,$C348,Movimentacoes!$B:$B,"SAIDA_DESCARTE")</f>
        <v/>
      </c>
      <c r="J348" s="13">
        <f>G348-H348-I348</f>
        <v/>
      </c>
      <c r="K348">
        <f>IF(A348="","",IF(J348&lt;=IFERROR(VLOOKUP(A348,Cadastro_Produtos!$A:$E,5,FALSE),0),"ABAIXO DO MINIMO","OK"))</f>
        <v/>
      </c>
    </row>
    <row r="349">
      <c r="B349">
        <f>IFERROR(VLOOKUP(A349,Cadastro_Produtos!A:B,2,FALSE),"")</f>
        <v/>
      </c>
      <c r="D349" s="12" t="n"/>
      <c r="E349" s="13">
        <f>IF(D349="","",D349-TODAY())</f>
        <v/>
      </c>
      <c r="F349">
        <f>IF(D349="","",IF(E349&lt;0,"VENCIDO",IF(E349&lt;=30,"VENCE EM &lt;= 30 DIAS",IF(E349&lt;=60,"ATENCAO (31-60 DIAS)","OK"))))</f>
        <v/>
      </c>
      <c r="G349" s="13">
        <f>SUMIFS(Movimentacoes!$G:$G,Movimentacoes!$C:$C,$A349,Movimentacoes!$E:$E,$C349,Movimentacoes!$B:$B,"ENTRADA")</f>
        <v/>
      </c>
      <c r="H349" s="13">
        <f>SUMIFS(Movimentacoes!$G:$G,Movimentacoes!$C:$C,$A349,Movimentacoes!$E:$E,$C349,Movimentacoes!$B:$B,"SAIDA_USO")</f>
        <v/>
      </c>
      <c r="I349" s="13">
        <f>SUMIFS(Movimentacoes!$G:$G,Movimentacoes!$C:$C,$A349,Movimentacoes!$E:$E,$C349,Movimentacoes!$B:$B,"SAIDA_DESCARTE")</f>
        <v/>
      </c>
      <c r="J349" s="13">
        <f>G349-H349-I349</f>
        <v/>
      </c>
      <c r="K349">
        <f>IF(A349="","",IF(J349&lt;=IFERROR(VLOOKUP(A349,Cadastro_Produtos!$A:$E,5,FALSE),0),"ABAIXO DO MINIMO","OK"))</f>
        <v/>
      </c>
    </row>
    <row r="350">
      <c r="B350">
        <f>IFERROR(VLOOKUP(A350,Cadastro_Produtos!A:B,2,FALSE),"")</f>
        <v/>
      </c>
      <c r="D350" s="12" t="n"/>
      <c r="E350" s="13">
        <f>IF(D350="","",D350-TODAY())</f>
        <v/>
      </c>
      <c r="F350">
        <f>IF(D350="","",IF(E350&lt;0,"VENCIDO",IF(E350&lt;=30,"VENCE EM &lt;= 30 DIAS",IF(E350&lt;=60,"ATENCAO (31-60 DIAS)","OK"))))</f>
        <v/>
      </c>
      <c r="G350" s="13">
        <f>SUMIFS(Movimentacoes!$G:$G,Movimentacoes!$C:$C,$A350,Movimentacoes!$E:$E,$C350,Movimentacoes!$B:$B,"ENTRADA")</f>
        <v/>
      </c>
      <c r="H350" s="13">
        <f>SUMIFS(Movimentacoes!$G:$G,Movimentacoes!$C:$C,$A350,Movimentacoes!$E:$E,$C350,Movimentacoes!$B:$B,"SAIDA_USO")</f>
        <v/>
      </c>
      <c r="I350" s="13">
        <f>SUMIFS(Movimentacoes!$G:$G,Movimentacoes!$C:$C,$A350,Movimentacoes!$E:$E,$C350,Movimentacoes!$B:$B,"SAIDA_DESCARTE")</f>
        <v/>
      </c>
      <c r="J350" s="13">
        <f>G350-H350-I350</f>
        <v/>
      </c>
      <c r="K350">
        <f>IF(A350="","",IF(J350&lt;=IFERROR(VLOOKUP(A350,Cadastro_Produtos!$A:$E,5,FALSE),0),"ABAIXO DO MINIMO","OK"))</f>
        <v/>
      </c>
    </row>
    <row r="351">
      <c r="B351">
        <f>IFERROR(VLOOKUP(A351,Cadastro_Produtos!A:B,2,FALSE),"")</f>
        <v/>
      </c>
      <c r="D351" s="12" t="n"/>
      <c r="E351" s="13">
        <f>IF(D351="","",D351-TODAY())</f>
        <v/>
      </c>
      <c r="F351">
        <f>IF(D351="","",IF(E351&lt;0,"VENCIDO",IF(E351&lt;=30,"VENCE EM &lt;= 30 DIAS",IF(E351&lt;=60,"ATENCAO (31-60 DIAS)","OK"))))</f>
        <v/>
      </c>
      <c r="G351" s="13">
        <f>SUMIFS(Movimentacoes!$G:$G,Movimentacoes!$C:$C,$A351,Movimentacoes!$E:$E,$C351,Movimentacoes!$B:$B,"ENTRADA")</f>
        <v/>
      </c>
      <c r="H351" s="13">
        <f>SUMIFS(Movimentacoes!$G:$G,Movimentacoes!$C:$C,$A351,Movimentacoes!$E:$E,$C351,Movimentacoes!$B:$B,"SAIDA_USO")</f>
        <v/>
      </c>
      <c r="I351" s="13">
        <f>SUMIFS(Movimentacoes!$G:$G,Movimentacoes!$C:$C,$A351,Movimentacoes!$E:$E,$C351,Movimentacoes!$B:$B,"SAIDA_DESCARTE")</f>
        <v/>
      </c>
      <c r="J351" s="13">
        <f>G351-H351-I351</f>
        <v/>
      </c>
      <c r="K351">
        <f>IF(A351="","",IF(J351&lt;=IFERROR(VLOOKUP(A351,Cadastro_Produtos!$A:$E,5,FALSE),0),"ABAIXO DO MINIMO","OK"))</f>
        <v/>
      </c>
    </row>
    <row r="352">
      <c r="B352">
        <f>IFERROR(VLOOKUP(A352,Cadastro_Produtos!A:B,2,FALSE),"")</f>
        <v/>
      </c>
      <c r="D352" s="12" t="n"/>
      <c r="E352" s="13">
        <f>IF(D352="","",D352-TODAY())</f>
        <v/>
      </c>
      <c r="F352">
        <f>IF(D352="","",IF(E352&lt;0,"VENCIDO",IF(E352&lt;=30,"VENCE EM &lt;= 30 DIAS",IF(E352&lt;=60,"ATENCAO (31-60 DIAS)","OK"))))</f>
        <v/>
      </c>
      <c r="G352" s="13">
        <f>SUMIFS(Movimentacoes!$G:$G,Movimentacoes!$C:$C,$A352,Movimentacoes!$E:$E,$C352,Movimentacoes!$B:$B,"ENTRADA")</f>
        <v/>
      </c>
      <c r="H352" s="13">
        <f>SUMIFS(Movimentacoes!$G:$G,Movimentacoes!$C:$C,$A352,Movimentacoes!$E:$E,$C352,Movimentacoes!$B:$B,"SAIDA_USO")</f>
        <v/>
      </c>
      <c r="I352" s="13">
        <f>SUMIFS(Movimentacoes!$G:$G,Movimentacoes!$C:$C,$A352,Movimentacoes!$E:$E,$C352,Movimentacoes!$B:$B,"SAIDA_DESCARTE")</f>
        <v/>
      </c>
      <c r="J352" s="13">
        <f>G352-H352-I352</f>
        <v/>
      </c>
      <c r="K352">
        <f>IF(A352="","",IF(J352&lt;=IFERROR(VLOOKUP(A352,Cadastro_Produtos!$A:$E,5,FALSE),0),"ABAIXO DO MINIMO","OK"))</f>
        <v/>
      </c>
    </row>
    <row r="353">
      <c r="B353">
        <f>IFERROR(VLOOKUP(A353,Cadastro_Produtos!A:B,2,FALSE),"")</f>
        <v/>
      </c>
      <c r="D353" s="12" t="n"/>
      <c r="E353" s="13">
        <f>IF(D353="","",D353-TODAY())</f>
        <v/>
      </c>
      <c r="F353">
        <f>IF(D353="","",IF(E353&lt;0,"VENCIDO",IF(E353&lt;=30,"VENCE EM &lt;= 30 DIAS",IF(E353&lt;=60,"ATENCAO (31-60 DIAS)","OK"))))</f>
        <v/>
      </c>
      <c r="G353" s="13">
        <f>SUMIFS(Movimentacoes!$G:$G,Movimentacoes!$C:$C,$A353,Movimentacoes!$E:$E,$C353,Movimentacoes!$B:$B,"ENTRADA")</f>
        <v/>
      </c>
      <c r="H353" s="13">
        <f>SUMIFS(Movimentacoes!$G:$G,Movimentacoes!$C:$C,$A353,Movimentacoes!$E:$E,$C353,Movimentacoes!$B:$B,"SAIDA_USO")</f>
        <v/>
      </c>
      <c r="I353" s="13">
        <f>SUMIFS(Movimentacoes!$G:$G,Movimentacoes!$C:$C,$A353,Movimentacoes!$E:$E,$C353,Movimentacoes!$B:$B,"SAIDA_DESCARTE")</f>
        <v/>
      </c>
      <c r="J353" s="13">
        <f>G353-H353-I353</f>
        <v/>
      </c>
      <c r="K353">
        <f>IF(A353="","",IF(J353&lt;=IFERROR(VLOOKUP(A353,Cadastro_Produtos!$A:$E,5,FALSE),0),"ABAIXO DO MINIMO","OK"))</f>
        <v/>
      </c>
    </row>
    <row r="354">
      <c r="B354">
        <f>IFERROR(VLOOKUP(A354,Cadastro_Produtos!A:B,2,FALSE),"")</f>
        <v/>
      </c>
      <c r="D354" s="12" t="n"/>
      <c r="E354" s="13">
        <f>IF(D354="","",D354-TODAY())</f>
        <v/>
      </c>
      <c r="F354">
        <f>IF(D354="","",IF(E354&lt;0,"VENCIDO",IF(E354&lt;=30,"VENCE EM &lt;= 30 DIAS",IF(E354&lt;=60,"ATENCAO (31-60 DIAS)","OK"))))</f>
        <v/>
      </c>
      <c r="G354" s="13">
        <f>SUMIFS(Movimentacoes!$G:$G,Movimentacoes!$C:$C,$A354,Movimentacoes!$E:$E,$C354,Movimentacoes!$B:$B,"ENTRADA")</f>
        <v/>
      </c>
      <c r="H354" s="13">
        <f>SUMIFS(Movimentacoes!$G:$G,Movimentacoes!$C:$C,$A354,Movimentacoes!$E:$E,$C354,Movimentacoes!$B:$B,"SAIDA_USO")</f>
        <v/>
      </c>
      <c r="I354" s="13">
        <f>SUMIFS(Movimentacoes!$G:$G,Movimentacoes!$C:$C,$A354,Movimentacoes!$E:$E,$C354,Movimentacoes!$B:$B,"SAIDA_DESCARTE")</f>
        <v/>
      </c>
      <c r="J354" s="13">
        <f>G354-H354-I354</f>
        <v/>
      </c>
      <c r="K354">
        <f>IF(A354="","",IF(J354&lt;=IFERROR(VLOOKUP(A354,Cadastro_Produtos!$A:$E,5,FALSE),0),"ABAIXO DO MINIMO","OK"))</f>
        <v/>
      </c>
    </row>
    <row r="355">
      <c r="B355">
        <f>IFERROR(VLOOKUP(A355,Cadastro_Produtos!A:B,2,FALSE),"")</f>
        <v/>
      </c>
      <c r="D355" s="12" t="n"/>
      <c r="E355" s="13">
        <f>IF(D355="","",D355-TODAY())</f>
        <v/>
      </c>
      <c r="F355">
        <f>IF(D355="","",IF(E355&lt;0,"VENCIDO",IF(E355&lt;=30,"VENCE EM &lt;= 30 DIAS",IF(E355&lt;=60,"ATENCAO (31-60 DIAS)","OK"))))</f>
        <v/>
      </c>
      <c r="G355" s="13">
        <f>SUMIFS(Movimentacoes!$G:$G,Movimentacoes!$C:$C,$A355,Movimentacoes!$E:$E,$C355,Movimentacoes!$B:$B,"ENTRADA")</f>
        <v/>
      </c>
      <c r="H355" s="13">
        <f>SUMIFS(Movimentacoes!$G:$G,Movimentacoes!$C:$C,$A355,Movimentacoes!$E:$E,$C355,Movimentacoes!$B:$B,"SAIDA_USO")</f>
        <v/>
      </c>
      <c r="I355" s="13">
        <f>SUMIFS(Movimentacoes!$G:$G,Movimentacoes!$C:$C,$A355,Movimentacoes!$E:$E,$C355,Movimentacoes!$B:$B,"SAIDA_DESCARTE")</f>
        <v/>
      </c>
      <c r="J355" s="13">
        <f>G355-H355-I355</f>
        <v/>
      </c>
      <c r="K355">
        <f>IF(A355="","",IF(J355&lt;=IFERROR(VLOOKUP(A355,Cadastro_Produtos!$A:$E,5,FALSE),0),"ABAIXO DO MINIMO","OK"))</f>
        <v/>
      </c>
    </row>
    <row r="356">
      <c r="B356">
        <f>IFERROR(VLOOKUP(A356,Cadastro_Produtos!A:B,2,FALSE),"")</f>
        <v/>
      </c>
      <c r="D356" s="12" t="n"/>
      <c r="E356" s="13">
        <f>IF(D356="","",D356-TODAY())</f>
        <v/>
      </c>
      <c r="F356">
        <f>IF(D356="","",IF(E356&lt;0,"VENCIDO",IF(E356&lt;=30,"VENCE EM &lt;= 30 DIAS",IF(E356&lt;=60,"ATENCAO (31-60 DIAS)","OK"))))</f>
        <v/>
      </c>
      <c r="G356" s="13">
        <f>SUMIFS(Movimentacoes!$G:$G,Movimentacoes!$C:$C,$A356,Movimentacoes!$E:$E,$C356,Movimentacoes!$B:$B,"ENTRADA")</f>
        <v/>
      </c>
      <c r="H356" s="13">
        <f>SUMIFS(Movimentacoes!$G:$G,Movimentacoes!$C:$C,$A356,Movimentacoes!$E:$E,$C356,Movimentacoes!$B:$B,"SAIDA_USO")</f>
        <v/>
      </c>
      <c r="I356" s="13">
        <f>SUMIFS(Movimentacoes!$G:$G,Movimentacoes!$C:$C,$A356,Movimentacoes!$E:$E,$C356,Movimentacoes!$B:$B,"SAIDA_DESCARTE")</f>
        <v/>
      </c>
      <c r="J356" s="13">
        <f>G356-H356-I356</f>
        <v/>
      </c>
      <c r="K356">
        <f>IF(A356="","",IF(J356&lt;=IFERROR(VLOOKUP(A356,Cadastro_Produtos!$A:$E,5,FALSE),0),"ABAIXO DO MINIMO","OK"))</f>
        <v/>
      </c>
    </row>
    <row r="357">
      <c r="B357">
        <f>IFERROR(VLOOKUP(A357,Cadastro_Produtos!A:B,2,FALSE),"")</f>
        <v/>
      </c>
      <c r="D357" s="12" t="n"/>
      <c r="E357" s="13">
        <f>IF(D357="","",D357-TODAY())</f>
        <v/>
      </c>
      <c r="F357">
        <f>IF(D357="","",IF(E357&lt;0,"VENCIDO",IF(E357&lt;=30,"VENCE EM &lt;= 30 DIAS",IF(E357&lt;=60,"ATENCAO (31-60 DIAS)","OK"))))</f>
        <v/>
      </c>
      <c r="G357" s="13">
        <f>SUMIFS(Movimentacoes!$G:$G,Movimentacoes!$C:$C,$A357,Movimentacoes!$E:$E,$C357,Movimentacoes!$B:$B,"ENTRADA")</f>
        <v/>
      </c>
      <c r="H357" s="13">
        <f>SUMIFS(Movimentacoes!$G:$G,Movimentacoes!$C:$C,$A357,Movimentacoes!$E:$E,$C357,Movimentacoes!$B:$B,"SAIDA_USO")</f>
        <v/>
      </c>
      <c r="I357" s="13">
        <f>SUMIFS(Movimentacoes!$G:$G,Movimentacoes!$C:$C,$A357,Movimentacoes!$E:$E,$C357,Movimentacoes!$B:$B,"SAIDA_DESCARTE")</f>
        <v/>
      </c>
      <c r="J357" s="13">
        <f>G357-H357-I357</f>
        <v/>
      </c>
      <c r="K357">
        <f>IF(A357="","",IF(J357&lt;=IFERROR(VLOOKUP(A357,Cadastro_Produtos!$A:$E,5,FALSE),0),"ABAIXO DO MINIMO","OK"))</f>
        <v/>
      </c>
    </row>
    <row r="358">
      <c r="B358">
        <f>IFERROR(VLOOKUP(A358,Cadastro_Produtos!A:B,2,FALSE),"")</f>
        <v/>
      </c>
      <c r="D358" s="12" t="n"/>
      <c r="E358" s="13">
        <f>IF(D358="","",D358-TODAY())</f>
        <v/>
      </c>
      <c r="F358">
        <f>IF(D358="","",IF(E358&lt;0,"VENCIDO",IF(E358&lt;=30,"VENCE EM &lt;= 30 DIAS",IF(E358&lt;=60,"ATENCAO (31-60 DIAS)","OK"))))</f>
        <v/>
      </c>
      <c r="G358" s="13">
        <f>SUMIFS(Movimentacoes!$G:$G,Movimentacoes!$C:$C,$A358,Movimentacoes!$E:$E,$C358,Movimentacoes!$B:$B,"ENTRADA")</f>
        <v/>
      </c>
      <c r="H358" s="13">
        <f>SUMIFS(Movimentacoes!$G:$G,Movimentacoes!$C:$C,$A358,Movimentacoes!$E:$E,$C358,Movimentacoes!$B:$B,"SAIDA_USO")</f>
        <v/>
      </c>
      <c r="I358" s="13">
        <f>SUMIFS(Movimentacoes!$G:$G,Movimentacoes!$C:$C,$A358,Movimentacoes!$E:$E,$C358,Movimentacoes!$B:$B,"SAIDA_DESCARTE")</f>
        <v/>
      </c>
      <c r="J358" s="13">
        <f>G358-H358-I358</f>
        <v/>
      </c>
      <c r="K358">
        <f>IF(A358="","",IF(J358&lt;=IFERROR(VLOOKUP(A358,Cadastro_Produtos!$A:$E,5,FALSE),0),"ABAIXO DO MINIMO","OK"))</f>
        <v/>
      </c>
    </row>
    <row r="359">
      <c r="B359">
        <f>IFERROR(VLOOKUP(A359,Cadastro_Produtos!A:B,2,FALSE),"")</f>
        <v/>
      </c>
      <c r="D359" s="12" t="n"/>
      <c r="E359" s="13">
        <f>IF(D359="","",D359-TODAY())</f>
        <v/>
      </c>
      <c r="F359">
        <f>IF(D359="","",IF(E359&lt;0,"VENCIDO",IF(E359&lt;=30,"VENCE EM &lt;= 30 DIAS",IF(E359&lt;=60,"ATENCAO (31-60 DIAS)","OK"))))</f>
        <v/>
      </c>
      <c r="G359" s="13">
        <f>SUMIFS(Movimentacoes!$G:$G,Movimentacoes!$C:$C,$A359,Movimentacoes!$E:$E,$C359,Movimentacoes!$B:$B,"ENTRADA")</f>
        <v/>
      </c>
      <c r="H359" s="13">
        <f>SUMIFS(Movimentacoes!$G:$G,Movimentacoes!$C:$C,$A359,Movimentacoes!$E:$E,$C359,Movimentacoes!$B:$B,"SAIDA_USO")</f>
        <v/>
      </c>
      <c r="I359" s="13">
        <f>SUMIFS(Movimentacoes!$G:$G,Movimentacoes!$C:$C,$A359,Movimentacoes!$E:$E,$C359,Movimentacoes!$B:$B,"SAIDA_DESCARTE")</f>
        <v/>
      </c>
      <c r="J359" s="13">
        <f>G359-H359-I359</f>
        <v/>
      </c>
      <c r="K359">
        <f>IF(A359="","",IF(J359&lt;=IFERROR(VLOOKUP(A359,Cadastro_Produtos!$A:$E,5,FALSE),0),"ABAIXO DO MINIMO","OK"))</f>
        <v/>
      </c>
    </row>
    <row r="360">
      <c r="B360">
        <f>IFERROR(VLOOKUP(A360,Cadastro_Produtos!A:B,2,FALSE),"")</f>
        <v/>
      </c>
      <c r="D360" s="12" t="n"/>
      <c r="E360" s="13">
        <f>IF(D360="","",D360-TODAY())</f>
        <v/>
      </c>
      <c r="F360">
        <f>IF(D360="","",IF(E360&lt;0,"VENCIDO",IF(E360&lt;=30,"VENCE EM &lt;= 30 DIAS",IF(E360&lt;=60,"ATENCAO (31-60 DIAS)","OK"))))</f>
        <v/>
      </c>
      <c r="G360" s="13">
        <f>SUMIFS(Movimentacoes!$G:$G,Movimentacoes!$C:$C,$A360,Movimentacoes!$E:$E,$C360,Movimentacoes!$B:$B,"ENTRADA")</f>
        <v/>
      </c>
      <c r="H360" s="13">
        <f>SUMIFS(Movimentacoes!$G:$G,Movimentacoes!$C:$C,$A360,Movimentacoes!$E:$E,$C360,Movimentacoes!$B:$B,"SAIDA_USO")</f>
        <v/>
      </c>
      <c r="I360" s="13">
        <f>SUMIFS(Movimentacoes!$G:$G,Movimentacoes!$C:$C,$A360,Movimentacoes!$E:$E,$C360,Movimentacoes!$B:$B,"SAIDA_DESCARTE")</f>
        <v/>
      </c>
      <c r="J360" s="13">
        <f>G360-H360-I360</f>
        <v/>
      </c>
      <c r="K360">
        <f>IF(A360="","",IF(J360&lt;=IFERROR(VLOOKUP(A360,Cadastro_Produtos!$A:$E,5,FALSE),0),"ABAIXO DO MINIMO","OK"))</f>
        <v/>
      </c>
    </row>
    <row r="361">
      <c r="B361">
        <f>IFERROR(VLOOKUP(A361,Cadastro_Produtos!A:B,2,FALSE),"")</f>
        <v/>
      </c>
      <c r="D361" s="12" t="n"/>
      <c r="E361" s="13">
        <f>IF(D361="","",D361-TODAY())</f>
        <v/>
      </c>
      <c r="F361">
        <f>IF(D361="","",IF(E361&lt;0,"VENCIDO",IF(E361&lt;=30,"VENCE EM &lt;= 30 DIAS",IF(E361&lt;=60,"ATENCAO (31-60 DIAS)","OK"))))</f>
        <v/>
      </c>
      <c r="G361" s="13">
        <f>SUMIFS(Movimentacoes!$G:$G,Movimentacoes!$C:$C,$A361,Movimentacoes!$E:$E,$C361,Movimentacoes!$B:$B,"ENTRADA")</f>
        <v/>
      </c>
      <c r="H361" s="13">
        <f>SUMIFS(Movimentacoes!$G:$G,Movimentacoes!$C:$C,$A361,Movimentacoes!$E:$E,$C361,Movimentacoes!$B:$B,"SAIDA_USO")</f>
        <v/>
      </c>
      <c r="I361" s="13">
        <f>SUMIFS(Movimentacoes!$G:$G,Movimentacoes!$C:$C,$A361,Movimentacoes!$E:$E,$C361,Movimentacoes!$B:$B,"SAIDA_DESCARTE")</f>
        <v/>
      </c>
      <c r="J361" s="13">
        <f>G361-H361-I361</f>
        <v/>
      </c>
      <c r="K361">
        <f>IF(A361="","",IF(J361&lt;=IFERROR(VLOOKUP(A361,Cadastro_Produtos!$A:$E,5,FALSE),0),"ABAIXO DO MINIMO","OK"))</f>
        <v/>
      </c>
    </row>
    <row r="362">
      <c r="B362">
        <f>IFERROR(VLOOKUP(A362,Cadastro_Produtos!A:B,2,FALSE),"")</f>
        <v/>
      </c>
      <c r="D362" s="12" t="n"/>
      <c r="E362" s="13">
        <f>IF(D362="","",D362-TODAY())</f>
        <v/>
      </c>
      <c r="F362">
        <f>IF(D362="","",IF(E362&lt;0,"VENCIDO",IF(E362&lt;=30,"VENCE EM &lt;= 30 DIAS",IF(E362&lt;=60,"ATENCAO (31-60 DIAS)","OK"))))</f>
        <v/>
      </c>
      <c r="G362" s="13">
        <f>SUMIFS(Movimentacoes!$G:$G,Movimentacoes!$C:$C,$A362,Movimentacoes!$E:$E,$C362,Movimentacoes!$B:$B,"ENTRADA")</f>
        <v/>
      </c>
      <c r="H362" s="13">
        <f>SUMIFS(Movimentacoes!$G:$G,Movimentacoes!$C:$C,$A362,Movimentacoes!$E:$E,$C362,Movimentacoes!$B:$B,"SAIDA_USO")</f>
        <v/>
      </c>
      <c r="I362" s="13">
        <f>SUMIFS(Movimentacoes!$G:$G,Movimentacoes!$C:$C,$A362,Movimentacoes!$E:$E,$C362,Movimentacoes!$B:$B,"SAIDA_DESCARTE")</f>
        <v/>
      </c>
      <c r="J362" s="13">
        <f>G362-H362-I362</f>
        <v/>
      </c>
      <c r="K362">
        <f>IF(A362="","",IF(J362&lt;=IFERROR(VLOOKUP(A362,Cadastro_Produtos!$A:$E,5,FALSE),0),"ABAIXO DO MINIMO","OK"))</f>
        <v/>
      </c>
    </row>
    <row r="363">
      <c r="B363">
        <f>IFERROR(VLOOKUP(A363,Cadastro_Produtos!A:B,2,FALSE),"")</f>
        <v/>
      </c>
      <c r="D363" s="12" t="n"/>
      <c r="E363" s="13">
        <f>IF(D363="","",D363-TODAY())</f>
        <v/>
      </c>
      <c r="F363">
        <f>IF(D363="","",IF(E363&lt;0,"VENCIDO",IF(E363&lt;=30,"VENCE EM &lt;= 30 DIAS",IF(E363&lt;=60,"ATENCAO (31-60 DIAS)","OK"))))</f>
        <v/>
      </c>
      <c r="G363" s="13">
        <f>SUMIFS(Movimentacoes!$G:$G,Movimentacoes!$C:$C,$A363,Movimentacoes!$E:$E,$C363,Movimentacoes!$B:$B,"ENTRADA")</f>
        <v/>
      </c>
      <c r="H363" s="13">
        <f>SUMIFS(Movimentacoes!$G:$G,Movimentacoes!$C:$C,$A363,Movimentacoes!$E:$E,$C363,Movimentacoes!$B:$B,"SAIDA_USO")</f>
        <v/>
      </c>
      <c r="I363" s="13">
        <f>SUMIFS(Movimentacoes!$G:$G,Movimentacoes!$C:$C,$A363,Movimentacoes!$E:$E,$C363,Movimentacoes!$B:$B,"SAIDA_DESCARTE")</f>
        <v/>
      </c>
      <c r="J363" s="13">
        <f>G363-H363-I363</f>
        <v/>
      </c>
      <c r="K363">
        <f>IF(A363="","",IF(J363&lt;=IFERROR(VLOOKUP(A363,Cadastro_Produtos!$A:$E,5,FALSE),0),"ABAIXO DO MINIMO","OK"))</f>
        <v/>
      </c>
    </row>
    <row r="364">
      <c r="B364">
        <f>IFERROR(VLOOKUP(A364,Cadastro_Produtos!A:B,2,FALSE),"")</f>
        <v/>
      </c>
      <c r="D364" s="12" t="n"/>
      <c r="E364" s="13">
        <f>IF(D364="","",D364-TODAY())</f>
        <v/>
      </c>
      <c r="F364">
        <f>IF(D364="","",IF(E364&lt;0,"VENCIDO",IF(E364&lt;=30,"VENCE EM &lt;= 30 DIAS",IF(E364&lt;=60,"ATENCAO (31-60 DIAS)","OK"))))</f>
        <v/>
      </c>
      <c r="G364" s="13">
        <f>SUMIFS(Movimentacoes!$G:$G,Movimentacoes!$C:$C,$A364,Movimentacoes!$E:$E,$C364,Movimentacoes!$B:$B,"ENTRADA")</f>
        <v/>
      </c>
      <c r="H364" s="13">
        <f>SUMIFS(Movimentacoes!$G:$G,Movimentacoes!$C:$C,$A364,Movimentacoes!$E:$E,$C364,Movimentacoes!$B:$B,"SAIDA_USO")</f>
        <v/>
      </c>
      <c r="I364" s="13">
        <f>SUMIFS(Movimentacoes!$G:$G,Movimentacoes!$C:$C,$A364,Movimentacoes!$E:$E,$C364,Movimentacoes!$B:$B,"SAIDA_DESCARTE")</f>
        <v/>
      </c>
      <c r="J364" s="13">
        <f>G364-H364-I364</f>
        <v/>
      </c>
      <c r="K364">
        <f>IF(A364="","",IF(J364&lt;=IFERROR(VLOOKUP(A364,Cadastro_Produtos!$A:$E,5,FALSE),0),"ABAIXO DO MINIMO","OK"))</f>
        <v/>
      </c>
    </row>
    <row r="365">
      <c r="B365">
        <f>IFERROR(VLOOKUP(A365,Cadastro_Produtos!A:B,2,FALSE),"")</f>
        <v/>
      </c>
      <c r="D365" s="12" t="n"/>
      <c r="E365" s="13">
        <f>IF(D365="","",D365-TODAY())</f>
        <v/>
      </c>
      <c r="F365">
        <f>IF(D365="","",IF(E365&lt;0,"VENCIDO",IF(E365&lt;=30,"VENCE EM &lt;= 30 DIAS",IF(E365&lt;=60,"ATENCAO (31-60 DIAS)","OK"))))</f>
        <v/>
      </c>
      <c r="G365" s="13">
        <f>SUMIFS(Movimentacoes!$G:$G,Movimentacoes!$C:$C,$A365,Movimentacoes!$E:$E,$C365,Movimentacoes!$B:$B,"ENTRADA")</f>
        <v/>
      </c>
      <c r="H365" s="13">
        <f>SUMIFS(Movimentacoes!$G:$G,Movimentacoes!$C:$C,$A365,Movimentacoes!$E:$E,$C365,Movimentacoes!$B:$B,"SAIDA_USO")</f>
        <v/>
      </c>
      <c r="I365" s="13">
        <f>SUMIFS(Movimentacoes!$G:$G,Movimentacoes!$C:$C,$A365,Movimentacoes!$E:$E,$C365,Movimentacoes!$B:$B,"SAIDA_DESCARTE")</f>
        <v/>
      </c>
      <c r="J365" s="13">
        <f>G365-H365-I365</f>
        <v/>
      </c>
      <c r="K365">
        <f>IF(A365="","",IF(J365&lt;=IFERROR(VLOOKUP(A365,Cadastro_Produtos!$A:$E,5,FALSE),0),"ABAIXO DO MINIMO","OK"))</f>
        <v/>
      </c>
    </row>
    <row r="366">
      <c r="B366">
        <f>IFERROR(VLOOKUP(A366,Cadastro_Produtos!A:B,2,FALSE),"")</f>
        <v/>
      </c>
      <c r="D366" s="12" t="n"/>
      <c r="E366" s="13">
        <f>IF(D366="","",D366-TODAY())</f>
        <v/>
      </c>
      <c r="F366">
        <f>IF(D366="","",IF(E366&lt;0,"VENCIDO",IF(E366&lt;=30,"VENCE EM &lt;= 30 DIAS",IF(E366&lt;=60,"ATENCAO (31-60 DIAS)","OK"))))</f>
        <v/>
      </c>
      <c r="G366" s="13">
        <f>SUMIFS(Movimentacoes!$G:$G,Movimentacoes!$C:$C,$A366,Movimentacoes!$E:$E,$C366,Movimentacoes!$B:$B,"ENTRADA")</f>
        <v/>
      </c>
      <c r="H366" s="13">
        <f>SUMIFS(Movimentacoes!$G:$G,Movimentacoes!$C:$C,$A366,Movimentacoes!$E:$E,$C366,Movimentacoes!$B:$B,"SAIDA_USO")</f>
        <v/>
      </c>
      <c r="I366" s="13">
        <f>SUMIFS(Movimentacoes!$G:$G,Movimentacoes!$C:$C,$A366,Movimentacoes!$E:$E,$C366,Movimentacoes!$B:$B,"SAIDA_DESCARTE")</f>
        <v/>
      </c>
      <c r="J366" s="13">
        <f>G366-H366-I366</f>
        <v/>
      </c>
      <c r="K366">
        <f>IF(A366="","",IF(J366&lt;=IFERROR(VLOOKUP(A366,Cadastro_Produtos!$A:$E,5,FALSE),0),"ABAIXO DO MINIMO","OK"))</f>
        <v/>
      </c>
    </row>
    <row r="367">
      <c r="B367">
        <f>IFERROR(VLOOKUP(A367,Cadastro_Produtos!A:B,2,FALSE),"")</f>
        <v/>
      </c>
      <c r="D367" s="12" t="n"/>
      <c r="E367" s="13">
        <f>IF(D367="","",D367-TODAY())</f>
        <v/>
      </c>
      <c r="F367">
        <f>IF(D367="","",IF(E367&lt;0,"VENCIDO",IF(E367&lt;=30,"VENCE EM &lt;= 30 DIAS",IF(E367&lt;=60,"ATENCAO (31-60 DIAS)","OK"))))</f>
        <v/>
      </c>
      <c r="G367" s="13">
        <f>SUMIFS(Movimentacoes!$G:$G,Movimentacoes!$C:$C,$A367,Movimentacoes!$E:$E,$C367,Movimentacoes!$B:$B,"ENTRADA")</f>
        <v/>
      </c>
      <c r="H367" s="13">
        <f>SUMIFS(Movimentacoes!$G:$G,Movimentacoes!$C:$C,$A367,Movimentacoes!$E:$E,$C367,Movimentacoes!$B:$B,"SAIDA_USO")</f>
        <v/>
      </c>
      <c r="I367" s="13">
        <f>SUMIFS(Movimentacoes!$G:$G,Movimentacoes!$C:$C,$A367,Movimentacoes!$E:$E,$C367,Movimentacoes!$B:$B,"SAIDA_DESCARTE")</f>
        <v/>
      </c>
      <c r="J367" s="13">
        <f>G367-H367-I367</f>
        <v/>
      </c>
      <c r="K367">
        <f>IF(A367="","",IF(J367&lt;=IFERROR(VLOOKUP(A367,Cadastro_Produtos!$A:$E,5,FALSE),0),"ABAIXO DO MINIMO","OK"))</f>
        <v/>
      </c>
    </row>
    <row r="368">
      <c r="B368">
        <f>IFERROR(VLOOKUP(A368,Cadastro_Produtos!A:B,2,FALSE),"")</f>
        <v/>
      </c>
      <c r="D368" s="12" t="n"/>
      <c r="E368" s="13">
        <f>IF(D368="","",D368-TODAY())</f>
        <v/>
      </c>
      <c r="F368">
        <f>IF(D368="","",IF(E368&lt;0,"VENCIDO",IF(E368&lt;=30,"VENCE EM &lt;= 30 DIAS",IF(E368&lt;=60,"ATENCAO (31-60 DIAS)","OK"))))</f>
        <v/>
      </c>
      <c r="G368" s="13">
        <f>SUMIFS(Movimentacoes!$G:$G,Movimentacoes!$C:$C,$A368,Movimentacoes!$E:$E,$C368,Movimentacoes!$B:$B,"ENTRADA")</f>
        <v/>
      </c>
      <c r="H368" s="13">
        <f>SUMIFS(Movimentacoes!$G:$G,Movimentacoes!$C:$C,$A368,Movimentacoes!$E:$E,$C368,Movimentacoes!$B:$B,"SAIDA_USO")</f>
        <v/>
      </c>
      <c r="I368" s="13">
        <f>SUMIFS(Movimentacoes!$G:$G,Movimentacoes!$C:$C,$A368,Movimentacoes!$E:$E,$C368,Movimentacoes!$B:$B,"SAIDA_DESCARTE")</f>
        <v/>
      </c>
      <c r="J368" s="13">
        <f>G368-H368-I368</f>
        <v/>
      </c>
      <c r="K368">
        <f>IF(A368="","",IF(J368&lt;=IFERROR(VLOOKUP(A368,Cadastro_Produtos!$A:$E,5,FALSE),0),"ABAIXO DO MINIMO","OK"))</f>
        <v/>
      </c>
    </row>
    <row r="369">
      <c r="B369">
        <f>IFERROR(VLOOKUP(A369,Cadastro_Produtos!A:B,2,FALSE),"")</f>
        <v/>
      </c>
      <c r="D369" s="12" t="n"/>
      <c r="E369" s="13">
        <f>IF(D369="","",D369-TODAY())</f>
        <v/>
      </c>
      <c r="F369">
        <f>IF(D369="","",IF(E369&lt;0,"VENCIDO",IF(E369&lt;=30,"VENCE EM &lt;= 30 DIAS",IF(E369&lt;=60,"ATENCAO (31-60 DIAS)","OK"))))</f>
        <v/>
      </c>
      <c r="G369" s="13">
        <f>SUMIFS(Movimentacoes!$G:$G,Movimentacoes!$C:$C,$A369,Movimentacoes!$E:$E,$C369,Movimentacoes!$B:$B,"ENTRADA")</f>
        <v/>
      </c>
      <c r="H369" s="13">
        <f>SUMIFS(Movimentacoes!$G:$G,Movimentacoes!$C:$C,$A369,Movimentacoes!$E:$E,$C369,Movimentacoes!$B:$B,"SAIDA_USO")</f>
        <v/>
      </c>
      <c r="I369" s="13">
        <f>SUMIFS(Movimentacoes!$G:$G,Movimentacoes!$C:$C,$A369,Movimentacoes!$E:$E,$C369,Movimentacoes!$B:$B,"SAIDA_DESCARTE")</f>
        <v/>
      </c>
      <c r="J369" s="13">
        <f>G369-H369-I369</f>
        <v/>
      </c>
      <c r="K369">
        <f>IF(A369="","",IF(J369&lt;=IFERROR(VLOOKUP(A369,Cadastro_Produtos!$A:$E,5,FALSE),0),"ABAIXO DO MINIMO","OK"))</f>
        <v/>
      </c>
    </row>
    <row r="370">
      <c r="B370">
        <f>IFERROR(VLOOKUP(A370,Cadastro_Produtos!A:B,2,FALSE),"")</f>
        <v/>
      </c>
      <c r="D370" s="12" t="n"/>
      <c r="E370" s="13">
        <f>IF(D370="","",D370-TODAY())</f>
        <v/>
      </c>
      <c r="F370">
        <f>IF(D370="","",IF(E370&lt;0,"VENCIDO",IF(E370&lt;=30,"VENCE EM &lt;= 30 DIAS",IF(E370&lt;=60,"ATENCAO (31-60 DIAS)","OK"))))</f>
        <v/>
      </c>
      <c r="G370" s="13">
        <f>SUMIFS(Movimentacoes!$G:$G,Movimentacoes!$C:$C,$A370,Movimentacoes!$E:$E,$C370,Movimentacoes!$B:$B,"ENTRADA")</f>
        <v/>
      </c>
      <c r="H370" s="13">
        <f>SUMIFS(Movimentacoes!$G:$G,Movimentacoes!$C:$C,$A370,Movimentacoes!$E:$E,$C370,Movimentacoes!$B:$B,"SAIDA_USO")</f>
        <v/>
      </c>
      <c r="I370" s="13">
        <f>SUMIFS(Movimentacoes!$G:$G,Movimentacoes!$C:$C,$A370,Movimentacoes!$E:$E,$C370,Movimentacoes!$B:$B,"SAIDA_DESCARTE")</f>
        <v/>
      </c>
      <c r="J370" s="13">
        <f>G370-H370-I370</f>
        <v/>
      </c>
      <c r="K370">
        <f>IF(A370="","",IF(J370&lt;=IFERROR(VLOOKUP(A370,Cadastro_Produtos!$A:$E,5,FALSE),0),"ABAIXO DO MINIMO","OK"))</f>
        <v/>
      </c>
    </row>
    <row r="371">
      <c r="B371">
        <f>IFERROR(VLOOKUP(A371,Cadastro_Produtos!A:B,2,FALSE),"")</f>
        <v/>
      </c>
      <c r="D371" s="12" t="n"/>
      <c r="E371" s="13">
        <f>IF(D371="","",D371-TODAY())</f>
        <v/>
      </c>
      <c r="F371">
        <f>IF(D371="","",IF(E371&lt;0,"VENCIDO",IF(E371&lt;=30,"VENCE EM &lt;= 30 DIAS",IF(E371&lt;=60,"ATENCAO (31-60 DIAS)","OK"))))</f>
        <v/>
      </c>
      <c r="G371" s="13">
        <f>SUMIFS(Movimentacoes!$G:$G,Movimentacoes!$C:$C,$A371,Movimentacoes!$E:$E,$C371,Movimentacoes!$B:$B,"ENTRADA")</f>
        <v/>
      </c>
      <c r="H371" s="13">
        <f>SUMIFS(Movimentacoes!$G:$G,Movimentacoes!$C:$C,$A371,Movimentacoes!$E:$E,$C371,Movimentacoes!$B:$B,"SAIDA_USO")</f>
        <v/>
      </c>
      <c r="I371" s="13">
        <f>SUMIFS(Movimentacoes!$G:$G,Movimentacoes!$C:$C,$A371,Movimentacoes!$E:$E,$C371,Movimentacoes!$B:$B,"SAIDA_DESCARTE")</f>
        <v/>
      </c>
      <c r="J371" s="13">
        <f>G371-H371-I371</f>
        <v/>
      </c>
      <c r="K371">
        <f>IF(A371="","",IF(J371&lt;=IFERROR(VLOOKUP(A371,Cadastro_Produtos!$A:$E,5,FALSE),0),"ABAIXO DO MINIMO","OK"))</f>
        <v/>
      </c>
    </row>
    <row r="372">
      <c r="B372">
        <f>IFERROR(VLOOKUP(A372,Cadastro_Produtos!A:B,2,FALSE),"")</f>
        <v/>
      </c>
      <c r="D372" s="12" t="n"/>
      <c r="E372" s="13">
        <f>IF(D372="","",D372-TODAY())</f>
        <v/>
      </c>
      <c r="F372">
        <f>IF(D372="","",IF(E372&lt;0,"VENCIDO",IF(E372&lt;=30,"VENCE EM &lt;= 30 DIAS",IF(E372&lt;=60,"ATENCAO (31-60 DIAS)","OK"))))</f>
        <v/>
      </c>
      <c r="G372" s="13">
        <f>SUMIFS(Movimentacoes!$G:$G,Movimentacoes!$C:$C,$A372,Movimentacoes!$E:$E,$C372,Movimentacoes!$B:$B,"ENTRADA")</f>
        <v/>
      </c>
      <c r="H372" s="13">
        <f>SUMIFS(Movimentacoes!$G:$G,Movimentacoes!$C:$C,$A372,Movimentacoes!$E:$E,$C372,Movimentacoes!$B:$B,"SAIDA_USO")</f>
        <v/>
      </c>
      <c r="I372" s="13">
        <f>SUMIFS(Movimentacoes!$G:$G,Movimentacoes!$C:$C,$A372,Movimentacoes!$E:$E,$C372,Movimentacoes!$B:$B,"SAIDA_DESCARTE")</f>
        <v/>
      </c>
      <c r="J372" s="13">
        <f>G372-H372-I372</f>
        <v/>
      </c>
      <c r="K372">
        <f>IF(A372="","",IF(J372&lt;=IFERROR(VLOOKUP(A372,Cadastro_Produtos!$A:$E,5,FALSE),0),"ABAIXO DO MINIMO","OK"))</f>
        <v/>
      </c>
    </row>
    <row r="373">
      <c r="B373">
        <f>IFERROR(VLOOKUP(A373,Cadastro_Produtos!A:B,2,FALSE),"")</f>
        <v/>
      </c>
      <c r="D373" s="12" t="n"/>
      <c r="E373" s="13">
        <f>IF(D373="","",D373-TODAY())</f>
        <v/>
      </c>
      <c r="F373">
        <f>IF(D373="","",IF(E373&lt;0,"VENCIDO",IF(E373&lt;=30,"VENCE EM &lt;= 30 DIAS",IF(E373&lt;=60,"ATENCAO (31-60 DIAS)","OK"))))</f>
        <v/>
      </c>
      <c r="G373" s="13">
        <f>SUMIFS(Movimentacoes!$G:$G,Movimentacoes!$C:$C,$A373,Movimentacoes!$E:$E,$C373,Movimentacoes!$B:$B,"ENTRADA")</f>
        <v/>
      </c>
      <c r="H373" s="13">
        <f>SUMIFS(Movimentacoes!$G:$G,Movimentacoes!$C:$C,$A373,Movimentacoes!$E:$E,$C373,Movimentacoes!$B:$B,"SAIDA_USO")</f>
        <v/>
      </c>
      <c r="I373" s="13">
        <f>SUMIFS(Movimentacoes!$G:$G,Movimentacoes!$C:$C,$A373,Movimentacoes!$E:$E,$C373,Movimentacoes!$B:$B,"SAIDA_DESCARTE")</f>
        <v/>
      </c>
      <c r="J373" s="13">
        <f>G373-H373-I373</f>
        <v/>
      </c>
      <c r="K373">
        <f>IF(A373="","",IF(J373&lt;=IFERROR(VLOOKUP(A373,Cadastro_Produtos!$A:$E,5,FALSE),0),"ABAIXO DO MINIMO","OK"))</f>
        <v/>
      </c>
    </row>
    <row r="374">
      <c r="B374">
        <f>IFERROR(VLOOKUP(A374,Cadastro_Produtos!A:B,2,FALSE),"")</f>
        <v/>
      </c>
      <c r="D374" s="12" t="n"/>
      <c r="E374" s="13">
        <f>IF(D374="","",D374-TODAY())</f>
        <v/>
      </c>
      <c r="F374">
        <f>IF(D374="","",IF(E374&lt;0,"VENCIDO",IF(E374&lt;=30,"VENCE EM &lt;= 30 DIAS",IF(E374&lt;=60,"ATENCAO (31-60 DIAS)","OK"))))</f>
        <v/>
      </c>
      <c r="G374" s="13">
        <f>SUMIFS(Movimentacoes!$G:$G,Movimentacoes!$C:$C,$A374,Movimentacoes!$E:$E,$C374,Movimentacoes!$B:$B,"ENTRADA")</f>
        <v/>
      </c>
      <c r="H374" s="13">
        <f>SUMIFS(Movimentacoes!$G:$G,Movimentacoes!$C:$C,$A374,Movimentacoes!$E:$E,$C374,Movimentacoes!$B:$B,"SAIDA_USO")</f>
        <v/>
      </c>
      <c r="I374" s="13">
        <f>SUMIFS(Movimentacoes!$G:$G,Movimentacoes!$C:$C,$A374,Movimentacoes!$E:$E,$C374,Movimentacoes!$B:$B,"SAIDA_DESCARTE")</f>
        <v/>
      </c>
      <c r="J374" s="13">
        <f>G374-H374-I374</f>
        <v/>
      </c>
      <c r="K374">
        <f>IF(A374="","",IF(J374&lt;=IFERROR(VLOOKUP(A374,Cadastro_Produtos!$A:$E,5,FALSE),0),"ABAIXO DO MINIMO","OK"))</f>
        <v/>
      </c>
    </row>
    <row r="375">
      <c r="B375">
        <f>IFERROR(VLOOKUP(A375,Cadastro_Produtos!A:B,2,FALSE),"")</f>
        <v/>
      </c>
      <c r="D375" s="12" t="n"/>
      <c r="E375" s="13">
        <f>IF(D375="","",D375-TODAY())</f>
        <v/>
      </c>
      <c r="F375">
        <f>IF(D375="","",IF(E375&lt;0,"VENCIDO",IF(E375&lt;=30,"VENCE EM &lt;= 30 DIAS",IF(E375&lt;=60,"ATENCAO (31-60 DIAS)","OK"))))</f>
        <v/>
      </c>
      <c r="G375" s="13">
        <f>SUMIFS(Movimentacoes!$G:$G,Movimentacoes!$C:$C,$A375,Movimentacoes!$E:$E,$C375,Movimentacoes!$B:$B,"ENTRADA")</f>
        <v/>
      </c>
      <c r="H375" s="13">
        <f>SUMIFS(Movimentacoes!$G:$G,Movimentacoes!$C:$C,$A375,Movimentacoes!$E:$E,$C375,Movimentacoes!$B:$B,"SAIDA_USO")</f>
        <v/>
      </c>
      <c r="I375" s="13">
        <f>SUMIFS(Movimentacoes!$G:$G,Movimentacoes!$C:$C,$A375,Movimentacoes!$E:$E,$C375,Movimentacoes!$B:$B,"SAIDA_DESCARTE")</f>
        <v/>
      </c>
      <c r="J375" s="13">
        <f>G375-H375-I375</f>
        <v/>
      </c>
      <c r="K375">
        <f>IF(A375="","",IF(J375&lt;=IFERROR(VLOOKUP(A375,Cadastro_Produtos!$A:$E,5,FALSE),0),"ABAIXO DO MINIMO","OK"))</f>
        <v/>
      </c>
    </row>
    <row r="376">
      <c r="B376">
        <f>IFERROR(VLOOKUP(A376,Cadastro_Produtos!A:B,2,FALSE),"")</f>
        <v/>
      </c>
      <c r="D376" s="12" t="n"/>
      <c r="E376" s="13">
        <f>IF(D376="","",D376-TODAY())</f>
        <v/>
      </c>
      <c r="F376">
        <f>IF(D376="","",IF(E376&lt;0,"VENCIDO",IF(E376&lt;=30,"VENCE EM &lt;= 30 DIAS",IF(E376&lt;=60,"ATENCAO (31-60 DIAS)","OK"))))</f>
        <v/>
      </c>
      <c r="G376" s="13">
        <f>SUMIFS(Movimentacoes!$G:$G,Movimentacoes!$C:$C,$A376,Movimentacoes!$E:$E,$C376,Movimentacoes!$B:$B,"ENTRADA")</f>
        <v/>
      </c>
      <c r="H376" s="13">
        <f>SUMIFS(Movimentacoes!$G:$G,Movimentacoes!$C:$C,$A376,Movimentacoes!$E:$E,$C376,Movimentacoes!$B:$B,"SAIDA_USO")</f>
        <v/>
      </c>
      <c r="I376" s="13">
        <f>SUMIFS(Movimentacoes!$G:$G,Movimentacoes!$C:$C,$A376,Movimentacoes!$E:$E,$C376,Movimentacoes!$B:$B,"SAIDA_DESCARTE")</f>
        <v/>
      </c>
      <c r="J376" s="13">
        <f>G376-H376-I376</f>
        <v/>
      </c>
      <c r="K376">
        <f>IF(A376="","",IF(J376&lt;=IFERROR(VLOOKUP(A376,Cadastro_Produtos!$A:$E,5,FALSE),0),"ABAIXO DO MINIMO","OK"))</f>
        <v/>
      </c>
    </row>
    <row r="377">
      <c r="B377">
        <f>IFERROR(VLOOKUP(A377,Cadastro_Produtos!A:B,2,FALSE),"")</f>
        <v/>
      </c>
      <c r="D377" s="12" t="n"/>
      <c r="E377" s="13">
        <f>IF(D377="","",D377-TODAY())</f>
        <v/>
      </c>
      <c r="F377">
        <f>IF(D377="","",IF(E377&lt;0,"VENCIDO",IF(E377&lt;=30,"VENCE EM &lt;= 30 DIAS",IF(E377&lt;=60,"ATENCAO (31-60 DIAS)","OK"))))</f>
        <v/>
      </c>
      <c r="G377" s="13">
        <f>SUMIFS(Movimentacoes!$G:$G,Movimentacoes!$C:$C,$A377,Movimentacoes!$E:$E,$C377,Movimentacoes!$B:$B,"ENTRADA")</f>
        <v/>
      </c>
      <c r="H377" s="13">
        <f>SUMIFS(Movimentacoes!$G:$G,Movimentacoes!$C:$C,$A377,Movimentacoes!$E:$E,$C377,Movimentacoes!$B:$B,"SAIDA_USO")</f>
        <v/>
      </c>
      <c r="I377" s="13">
        <f>SUMIFS(Movimentacoes!$G:$G,Movimentacoes!$C:$C,$A377,Movimentacoes!$E:$E,$C377,Movimentacoes!$B:$B,"SAIDA_DESCARTE")</f>
        <v/>
      </c>
      <c r="J377" s="13">
        <f>G377-H377-I377</f>
        <v/>
      </c>
      <c r="K377">
        <f>IF(A377="","",IF(J377&lt;=IFERROR(VLOOKUP(A377,Cadastro_Produtos!$A:$E,5,FALSE),0),"ABAIXO DO MINIMO","OK"))</f>
        <v/>
      </c>
    </row>
    <row r="378">
      <c r="B378">
        <f>IFERROR(VLOOKUP(A378,Cadastro_Produtos!A:B,2,FALSE),"")</f>
        <v/>
      </c>
      <c r="D378" s="12" t="n"/>
      <c r="E378" s="13">
        <f>IF(D378="","",D378-TODAY())</f>
        <v/>
      </c>
      <c r="F378">
        <f>IF(D378="","",IF(E378&lt;0,"VENCIDO",IF(E378&lt;=30,"VENCE EM &lt;= 30 DIAS",IF(E378&lt;=60,"ATENCAO (31-60 DIAS)","OK"))))</f>
        <v/>
      </c>
      <c r="G378" s="13">
        <f>SUMIFS(Movimentacoes!$G:$G,Movimentacoes!$C:$C,$A378,Movimentacoes!$E:$E,$C378,Movimentacoes!$B:$B,"ENTRADA")</f>
        <v/>
      </c>
      <c r="H378" s="13">
        <f>SUMIFS(Movimentacoes!$G:$G,Movimentacoes!$C:$C,$A378,Movimentacoes!$E:$E,$C378,Movimentacoes!$B:$B,"SAIDA_USO")</f>
        <v/>
      </c>
      <c r="I378" s="13">
        <f>SUMIFS(Movimentacoes!$G:$G,Movimentacoes!$C:$C,$A378,Movimentacoes!$E:$E,$C378,Movimentacoes!$B:$B,"SAIDA_DESCARTE")</f>
        <v/>
      </c>
      <c r="J378" s="13">
        <f>G378-H378-I378</f>
        <v/>
      </c>
      <c r="K378">
        <f>IF(A378="","",IF(J378&lt;=IFERROR(VLOOKUP(A378,Cadastro_Produtos!$A:$E,5,FALSE),0),"ABAIXO DO MINIMO","OK"))</f>
        <v/>
      </c>
    </row>
    <row r="379">
      <c r="B379">
        <f>IFERROR(VLOOKUP(A379,Cadastro_Produtos!A:B,2,FALSE),"")</f>
        <v/>
      </c>
      <c r="D379" s="12" t="n"/>
      <c r="E379" s="13">
        <f>IF(D379="","",D379-TODAY())</f>
        <v/>
      </c>
      <c r="F379">
        <f>IF(D379="","",IF(E379&lt;0,"VENCIDO",IF(E379&lt;=30,"VENCE EM &lt;= 30 DIAS",IF(E379&lt;=60,"ATENCAO (31-60 DIAS)","OK"))))</f>
        <v/>
      </c>
      <c r="G379" s="13">
        <f>SUMIFS(Movimentacoes!$G:$G,Movimentacoes!$C:$C,$A379,Movimentacoes!$E:$E,$C379,Movimentacoes!$B:$B,"ENTRADA")</f>
        <v/>
      </c>
      <c r="H379" s="13">
        <f>SUMIFS(Movimentacoes!$G:$G,Movimentacoes!$C:$C,$A379,Movimentacoes!$E:$E,$C379,Movimentacoes!$B:$B,"SAIDA_USO")</f>
        <v/>
      </c>
      <c r="I379" s="13">
        <f>SUMIFS(Movimentacoes!$G:$G,Movimentacoes!$C:$C,$A379,Movimentacoes!$E:$E,$C379,Movimentacoes!$B:$B,"SAIDA_DESCARTE")</f>
        <v/>
      </c>
      <c r="J379" s="13">
        <f>G379-H379-I379</f>
        <v/>
      </c>
      <c r="K379">
        <f>IF(A379="","",IF(J379&lt;=IFERROR(VLOOKUP(A379,Cadastro_Produtos!$A:$E,5,FALSE),0),"ABAIXO DO MINIMO","OK"))</f>
        <v/>
      </c>
    </row>
    <row r="380">
      <c r="B380">
        <f>IFERROR(VLOOKUP(A380,Cadastro_Produtos!A:B,2,FALSE),"")</f>
        <v/>
      </c>
      <c r="D380" s="12" t="n"/>
      <c r="E380" s="13">
        <f>IF(D380="","",D380-TODAY())</f>
        <v/>
      </c>
      <c r="F380">
        <f>IF(D380="","",IF(E380&lt;0,"VENCIDO",IF(E380&lt;=30,"VENCE EM &lt;= 30 DIAS",IF(E380&lt;=60,"ATENCAO (31-60 DIAS)","OK"))))</f>
        <v/>
      </c>
      <c r="G380" s="13">
        <f>SUMIFS(Movimentacoes!$G:$G,Movimentacoes!$C:$C,$A380,Movimentacoes!$E:$E,$C380,Movimentacoes!$B:$B,"ENTRADA")</f>
        <v/>
      </c>
      <c r="H380" s="13">
        <f>SUMIFS(Movimentacoes!$G:$G,Movimentacoes!$C:$C,$A380,Movimentacoes!$E:$E,$C380,Movimentacoes!$B:$B,"SAIDA_USO")</f>
        <v/>
      </c>
      <c r="I380" s="13">
        <f>SUMIFS(Movimentacoes!$G:$G,Movimentacoes!$C:$C,$A380,Movimentacoes!$E:$E,$C380,Movimentacoes!$B:$B,"SAIDA_DESCARTE")</f>
        <v/>
      </c>
      <c r="J380" s="13">
        <f>G380-H380-I380</f>
        <v/>
      </c>
      <c r="K380">
        <f>IF(A380="","",IF(J380&lt;=IFERROR(VLOOKUP(A380,Cadastro_Produtos!$A:$E,5,FALSE),0),"ABAIXO DO MINIMO","OK"))</f>
        <v/>
      </c>
    </row>
    <row r="381">
      <c r="B381">
        <f>IFERROR(VLOOKUP(A381,Cadastro_Produtos!A:B,2,FALSE),"")</f>
        <v/>
      </c>
      <c r="D381" s="12" t="n"/>
      <c r="E381" s="13">
        <f>IF(D381="","",D381-TODAY())</f>
        <v/>
      </c>
      <c r="F381">
        <f>IF(D381="","",IF(E381&lt;0,"VENCIDO",IF(E381&lt;=30,"VENCE EM &lt;= 30 DIAS",IF(E381&lt;=60,"ATENCAO (31-60 DIAS)","OK"))))</f>
        <v/>
      </c>
      <c r="G381" s="13">
        <f>SUMIFS(Movimentacoes!$G:$G,Movimentacoes!$C:$C,$A381,Movimentacoes!$E:$E,$C381,Movimentacoes!$B:$B,"ENTRADA")</f>
        <v/>
      </c>
      <c r="H381" s="13">
        <f>SUMIFS(Movimentacoes!$G:$G,Movimentacoes!$C:$C,$A381,Movimentacoes!$E:$E,$C381,Movimentacoes!$B:$B,"SAIDA_USO")</f>
        <v/>
      </c>
      <c r="I381" s="13">
        <f>SUMIFS(Movimentacoes!$G:$G,Movimentacoes!$C:$C,$A381,Movimentacoes!$E:$E,$C381,Movimentacoes!$B:$B,"SAIDA_DESCARTE")</f>
        <v/>
      </c>
      <c r="J381" s="13">
        <f>G381-H381-I381</f>
        <v/>
      </c>
      <c r="K381">
        <f>IF(A381="","",IF(J381&lt;=IFERROR(VLOOKUP(A381,Cadastro_Produtos!$A:$E,5,FALSE),0),"ABAIXO DO MINIMO","OK"))</f>
        <v/>
      </c>
    </row>
    <row r="382">
      <c r="B382">
        <f>IFERROR(VLOOKUP(A382,Cadastro_Produtos!A:B,2,FALSE),"")</f>
        <v/>
      </c>
      <c r="D382" s="12" t="n"/>
      <c r="E382" s="13">
        <f>IF(D382="","",D382-TODAY())</f>
        <v/>
      </c>
      <c r="F382">
        <f>IF(D382="","",IF(E382&lt;0,"VENCIDO",IF(E382&lt;=30,"VENCE EM &lt;= 30 DIAS",IF(E382&lt;=60,"ATENCAO (31-60 DIAS)","OK"))))</f>
        <v/>
      </c>
      <c r="G382" s="13">
        <f>SUMIFS(Movimentacoes!$G:$G,Movimentacoes!$C:$C,$A382,Movimentacoes!$E:$E,$C382,Movimentacoes!$B:$B,"ENTRADA")</f>
        <v/>
      </c>
      <c r="H382" s="13">
        <f>SUMIFS(Movimentacoes!$G:$G,Movimentacoes!$C:$C,$A382,Movimentacoes!$E:$E,$C382,Movimentacoes!$B:$B,"SAIDA_USO")</f>
        <v/>
      </c>
      <c r="I382" s="13">
        <f>SUMIFS(Movimentacoes!$G:$G,Movimentacoes!$C:$C,$A382,Movimentacoes!$E:$E,$C382,Movimentacoes!$B:$B,"SAIDA_DESCARTE")</f>
        <v/>
      </c>
      <c r="J382" s="13">
        <f>G382-H382-I382</f>
        <v/>
      </c>
      <c r="K382">
        <f>IF(A382="","",IF(J382&lt;=IFERROR(VLOOKUP(A382,Cadastro_Produtos!$A:$E,5,FALSE),0),"ABAIXO DO MINIMO","OK"))</f>
        <v/>
      </c>
    </row>
    <row r="383">
      <c r="B383">
        <f>IFERROR(VLOOKUP(A383,Cadastro_Produtos!A:B,2,FALSE),"")</f>
        <v/>
      </c>
      <c r="D383" s="12" t="n"/>
      <c r="E383" s="13">
        <f>IF(D383="","",D383-TODAY())</f>
        <v/>
      </c>
      <c r="F383">
        <f>IF(D383="","",IF(E383&lt;0,"VENCIDO",IF(E383&lt;=30,"VENCE EM &lt;= 30 DIAS",IF(E383&lt;=60,"ATENCAO (31-60 DIAS)","OK"))))</f>
        <v/>
      </c>
      <c r="G383" s="13">
        <f>SUMIFS(Movimentacoes!$G:$G,Movimentacoes!$C:$C,$A383,Movimentacoes!$E:$E,$C383,Movimentacoes!$B:$B,"ENTRADA")</f>
        <v/>
      </c>
      <c r="H383" s="13">
        <f>SUMIFS(Movimentacoes!$G:$G,Movimentacoes!$C:$C,$A383,Movimentacoes!$E:$E,$C383,Movimentacoes!$B:$B,"SAIDA_USO")</f>
        <v/>
      </c>
      <c r="I383" s="13">
        <f>SUMIFS(Movimentacoes!$G:$G,Movimentacoes!$C:$C,$A383,Movimentacoes!$E:$E,$C383,Movimentacoes!$B:$B,"SAIDA_DESCARTE")</f>
        <v/>
      </c>
      <c r="J383" s="13">
        <f>G383-H383-I383</f>
        <v/>
      </c>
      <c r="K383">
        <f>IF(A383="","",IF(J383&lt;=IFERROR(VLOOKUP(A383,Cadastro_Produtos!$A:$E,5,FALSE),0),"ABAIXO DO MINIMO","OK"))</f>
        <v/>
      </c>
    </row>
    <row r="384">
      <c r="B384">
        <f>IFERROR(VLOOKUP(A384,Cadastro_Produtos!A:B,2,FALSE),"")</f>
        <v/>
      </c>
      <c r="D384" s="12" t="n"/>
      <c r="E384" s="13">
        <f>IF(D384="","",D384-TODAY())</f>
        <v/>
      </c>
      <c r="F384">
        <f>IF(D384="","",IF(E384&lt;0,"VENCIDO",IF(E384&lt;=30,"VENCE EM &lt;= 30 DIAS",IF(E384&lt;=60,"ATENCAO (31-60 DIAS)","OK"))))</f>
        <v/>
      </c>
      <c r="G384" s="13">
        <f>SUMIFS(Movimentacoes!$G:$G,Movimentacoes!$C:$C,$A384,Movimentacoes!$E:$E,$C384,Movimentacoes!$B:$B,"ENTRADA")</f>
        <v/>
      </c>
      <c r="H384" s="13">
        <f>SUMIFS(Movimentacoes!$G:$G,Movimentacoes!$C:$C,$A384,Movimentacoes!$E:$E,$C384,Movimentacoes!$B:$B,"SAIDA_USO")</f>
        <v/>
      </c>
      <c r="I384" s="13">
        <f>SUMIFS(Movimentacoes!$G:$G,Movimentacoes!$C:$C,$A384,Movimentacoes!$E:$E,$C384,Movimentacoes!$B:$B,"SAIDA_DESCARTE")</f>
        <v/>
      </c>
      <c r="J384" s="13">
        <f>G384-H384-I384</f>
        <v/>
      </c>
      <c r="K384">
        <f>IF(A384="","",IF(J384&lt;=IFERROR(VLOOKUP(A384,Cadastro_Produtos!$A:$E,5,FALSE),0),"ABAIXO DO MINIMO","OK"))</f>
        <v/>
      </c>
    </row>
    <row r="385">
      <c r="B385">
        <f>IFERROR(VLOOKUP(A385,Cadastro_Produtos!A:B,2,FALSE),"")</f>
        <v/>
      </c>
      <c r="D385" s="12" t="n"/>
      <c r="E385" s="13">
        <f>IF(D385="","",D385-TODAY())</f>
        <v/>
      </c>
      <c r="F385">
        <f>IF(D385="","",IF(E385&lt;0,"VENCIDO",IF(E385&lt;=30,"VENCE EM &lt;= 30 DIAS",IF(E385&lt;=60,"ATENCAO (31-60 DIAS)","OK"))))</f>
        <v/>
      </c>
      <c r="G385" s="13">
        <f>SUMIFS(Movimentacoes!$G:$G,Movimentacoes!$C:$C,$A385,Movimentacoes!$E:$E,$C385,Movimentacoes!$B:$B,"ENTRADA")</f>
        <v/>
      </c>
      <c r="H385" s="13">
        <f>SUMIFS(Movimentacoes!$G:$G,Movimentacoes!$C:$C,$A385,Movimentacoes!$E:$E,$C385,Movimentacoes!$B:$B,"SAIDA_USO")</f>
        <v/>
      </c>
      <c r="I385" s="13">
        <f>SUMIFS(Movimentacoes!$G:$G,Movimentacoes!$C:$C,$A385,Movimentacoes!$E:$E,$C385,Movimentacoes!$B:$B,"SAIDA_DESCARTE")</f>
        <v/>
      </c>
      <c r="J385" s="13">
        <f>G385-H385-I385</f>
        <v/>
      </c>
      <c r="K385">
        <f>IF(A385="","",IF(J385&lt;=IFERROR(VLOOKUP(A385,Cadastro_Produtos!$A:$E,5,FALSE),0),"ABAIXO DO MINIMO","OK"))</f>
        <v/>
      </c>
    </row>
    <row r="386">
      <c r="B386">
        <f>IFERROR(VLOOKUP(A386,Cadastro_Produtos!A:B,2,FALSE),"")</f>
        <v/>
      </c>
      <c r="D386" s="12" t="n"/>
      <c r="E386" s="13">
        <f>IF(D386="","",D386-TODAY())</f>
        <v/>
      </c>
      <c r="F386">
        <f>IF(D386="","",IF(E386&lt;0,"VENCIDO",IF(E386&lt;=30,"VENCE EM &lt;= 30 DIAS",IF(E386&lt;=60,"ATENCAO (31-60 DIAS)","OK"))))</f>
        <v/>
      </c>
      <c r="G386" s="13">
        <f>SUMIFS(Movimentacoes!$G:$G,Movimentacoes!$C:$C,$A386,Movimentacoes!$E:$E,$C386,Movimentacoes!$B:$B,"ENTRADA")</f>
        <v/>
      </c>
      <c r="H386" s="13">
        <f>SUMIFS(Movimentacoes!$G:$G,Movimentacoes!$C:$C,$A386,Movimentacoes!$E:$E,$C386,Movimentacoes!$B:$B,"SAIDA_USO")</f>
        <v/>
      </c>
      <c r="I386" s="13">
        <f>SUMIFS(Movimentacoes!$G:$G,Movimentacoes!$C:$C,$A386,Movimentacoes!$E:$E,$C386,Movimentacoes!$B:$B,"SAIDA_DESCARTE")</f>
        <v/>
      </c>
      <c r="J386" s="13">
        <f>G386-H386-I386</f>
        <v/>
      </c>
      <c r="K386">
        <f>IF(A386="","",IF(J386&lt;=IFERROR(VLOOKUP(A386,Cadastro_Produtos!$A:$E,5,FALSE),0),"ABAIXO DO MINIMO","OK"))</f>
        <v/>
      </c>
    </row>
    <row r="387">
      <c r="B387">
        <f>IFERROR(VLOOKUP(A387,Cadastro_Produtos!A:B,2,FALSE),"")</f>
        <v/>
      </c>
      <c r="D387" s="12" t="n"/>
      <c r="E387" s="13">
        <f>IF(D387="","",D387-TODAY())</f>
        <v/>
      </c>
      <c r="F387">
        <f>IF(D387="","",IF(E387&lt;0,"VENCIDO",IF(E387&lt;=30,"VENCE EM &lt;= 30 DIAS",IF(E387&lt;=60,"ATENCAO (31-60 DIAS)","OK"))))</f>
        <v/>
      </c>
      <c r="G387" s="13">
        <f>SUMIFS(Movimentacoes!$G:$G,Movimentacoes!$C:$C,$A387,Movimentacoes!$E:$E,$C387,Movimentacoes!$B:$B,"ENTRADA")</f>
        <v/>
      </c>
      <c r="H387" s="13">
        <f>SUMIFS(Movimentacoes!$G:$G,Movimentacoes!$C:$C,$A387,Movimentacoes!$E:$E,$C387,Movimentacoes!$B:$B,"SAIDA_USO")</f>
        <v/>
      </c>
      <c r="I387" s="13">
        <f>SUMIFS(Movimentacoes!$G:$G,Movimentacoes!$C:$C,$A387,Movimentacoes!$E:$E,$C387,Movimentacoes!$B:$B,"SAIDA_DESCARTE")</f>
        <v/>
      </c>
      <c r="J387" s="13">
        <f>G387-H387-I387</f>
        <v/>
      </c>
      <c r="K387">
        <f>IF(A387="","",IF(J387&lt;=IFERROR(VLOOKUP(A387,Cadastro_Produtos!$A:$E,5,FALSE),0),"ABAIXO DO MINIMO","OK"))</f>
        <v/>
      </c>
    </row>
    <row r="388">
      <c r="B388">
        <f>IFERROR(VLOOKUP(A388,Cadastro_Produtos!A:B,2,FALSE),"")</f>
        <v/>
      </c>
      <c r="D388" s="12" t="n"/>
      <c r="E388" s="13">
        <f>IF(D388="","",D388-TODAY())</f>
        <v/>
      </c>
      <c r="F388">
        <f>IF(D388="","",IF(E388&lt;0,"VENCIDO",IF(E388&lt;=30,"VENCE EM &lt;= 30 DIAS",IF(E388&lt;=60,"ATENCAO (31-60 DIAS)","OK"))))</f>
        <v/>
      </c>
      <c r="G388" s="13">
        <f>SUMIFS(Movimentacoes!$G:$G,Movimentacoes!$C:$C,$A388,Movimentacoes!$E:$E,$C388,Movimentacoes!$B:$B,"ENTRADA")</f>
        <v/>
      </c>
      <c r="H388" s="13">
        <f>SUMIFS(Movimentacoes!$G:$G,Movimentacoes!$C:$C,$A388,Movimentacoes!$E:$E,$C388,Movimentacoes!$B:$B,"SAIDA_USO")</f>
        <v/>
      </c>
      <c r="I388" s="13">
        <f>SUMIFS(Movimentacoes!$G:$G,Movimentacoes!$C:$C,$A388,Movimentacoes!$E:$E,$C388,Movimentacoes!$B:$B,"SAIDA_DESCARTE")</f>
        <v/>
      </c>
      <c r="J388" s="13">
        <f>G388-H388-I388</f>
        <v/>
      </c>
      <c r="K388">
        <f>IF(A388="","",IF(J388&lt;=IFERROR(VLOOKUP(A388,Cadastro_Produtos!$A:$E,5,FALSE),0),"ABAIXO DO MINIMO","OK"))</f>
        <v/>
      </c>
    </row>
    <row r="389">
      <c r="B389">
        <f>IFERROR(VLOOKUP(A389,Cadastro_Produtos!A:B,2,FALSE),"")</f>
        <v/>
      </c>
      <c r="D389" s="12" t="n"/>
      <c r="E389" s="13">
        <f>IF(D389="","",D389-TODAY())</f>
        <v/>
      </c>
      <c r="F389">
        <f>IF(D389="","",IF(E389&lt;0,"VENCIDO",IF(E389&lt;=30,"VENCE EM &lt;= 30 DIAS",IF(E389&lt;=60,"ATENCAO (31-60 DIAS)","OK"))))</f>
        <v/>
      </c>
      <c r="G389" s="13">
        <f>SUMIFS(Movimentacoes!$G:$G,Movimentacoes!$C:$C,$A389,Movimentacoes!$E:$E,$C389,Movimentacoes!$B:$B,"ENTRADA")</f>
        <v/>
      </c>
      <c r="H389" s="13">
        <f>SUMIFS(Movimentacoes!$G:$G,Movimentacoes!$C:$C,$A389,Movimentacoes!$E:$E,$C389,Movimentacoes!$B:$B,"SAIDA_USO")</f>
        <v/>
      </c>
      <c r="I389" s="13">
        <f>SUMIFS(Movimentacoes!$G:$G,Movimentacoes!$C:$C,$A389,Movimentacoes!$E:$E,$C389,Movimentacoes!$B:$B,"SAIDA_DESCARTE")</f>
        <v/>
      </c>
      <c r="J389" s="13">
        <f>G389-H389-I389</f>
        <v/>
      </c>
      <c r="K389">
        <f>IF(A389="","",IF(J389&lt;=IFERROR(VLOOKUP(A389,Cadastro_Produtos!$A:$E,5,FALSE),0),"ABAIXO DO MINIMO","OK"))</f>
        <v/>
      </c>
    </row>
    <row r="390">
      <c r="B390">
        <f>IFERROR(VLOOKUP(A390,Cadastro_Produtos!A:B,2,FALSE),"")</f>
        <v/>
      </c>
      <c r="D390" s="12" t="n"/>
      <c r="E390" s="13">
        <f>IF(D390="","",D390-TODAY())</f>
        <v/>
      </c>
      <c r="F390">
        <f>IF(D390="","",IF(E390&lt;0,"VENCIDO",IF(E390&lt;=30,"VENCE EM &lt;= 30 DIAS",IF(E390&lt;=60,"ATENCAO (31-60 DIAS)","OK"))))</f>
        <v/>
      </c>
      <c r="G390" s="13">
        <f>SUMIFS(Movimentacoes!$G:$G,Movimentacoes!$C:$C,$A390,Movimentacoes!$E:$E,$C390,Movimentacoes!$B:$B,"ENTRADA")</f>
        <v/>
      </c>
      <c r="H390" s="13">
        <f>SUMIFS(Movimentacoes!$G:$G,Movimentacoes!$C:$C,$A390,Movimentacoes!$E:$E,$C390,Movimentacoes!$B:$B,"SAIDA_USO")</f>
        <v/>
      </c>
      <c r="I390" s="13">
        <f>SUMIFS(Movimentacoes!$G:$G,Movimentacoes!$C:$C,$A390,Movimentacoes!$E:$E,$C390,Movimentacoes!$B:$B,"SAIDA_DESCARTE")</f>
        <v/>
      </c>
      <c r="J390" s="13">
        <f>G390-H390-I390</f>
        <v/>
      </c>
      <c r="K390">
        <f>IF(A390="","",IF(J390&lt;=IFERROR(VLOOKUP(A390,Cadastro_Produtos!$A:$E,5,FALSE),0),"ABAIXO DO MINIMO","OK"))</f>
        <v/>
      </c>
    </row>
    <row r="391">
      <c r="B391">
        <f>IFERROR(VLOOKUP(A391,Cadastro_Produtos!A:B,2,FALSE),"")</f>
        <v/>
      </c>
      <c r="D391" s="12" t="n"/>
      <c r="E391" s="13">
        <f>IF(D391="","",D391-TODAY())</f>
        <v/>
      </c>
      <c r="F391">
        <f>IF(D391="","",IF(E391&lt;0,"VENCIDO",IF(E391&lt;=30,"VENCE EM &lt;= 30 DIAS",IF(E391&lt;=60,"ATENCAO (31-60 DIAS)","OK"))))</f>
        <v/>
      </c>
      <c r="G391" s="13">
        <f>SUMIFS(Movimentacoes!$G:$G,Movimentacoes!$C:$C,$A391,Movimentacoes!$E:$E,$C391,Movimentacoes!$B:$B,"ENTRADA")</f>
        <v/>
      </c>
      <c r="H391" s="13">
        <f>SUMIFS(Movimentacoes!$G:$G,Movimentacoes!$C:$C,$A391,Movimentacoes!$E:$E,$C391,Movimentacoes!$B:$B,"SAIDA_USO")</f>
        <v/>
      </c>
      <c r="I391" s="13">
        <f>SUMIFS(Movimentacoes!$G:$G,Movimentacoes!$C:$C,$A391,Movimentacoes!$E:$E,$C391,Movimentacoes!$B:$B,"SAIDA_DESCARTE")</f>
        <v/>
      </c>
      <c r="J391" s="13">
        <f>G391-H391-I391</f>
        <v/>
      </c>
      <c r="K391">
        <f>IF(A391="","",IF(J391&lt;=IFERROR(VLOOKUP(A391,Cadastro_Produtos!$A:$E,5,FALSE),0),"ABAIXO DO MINIMO","OK"))</f>
        <v/>
      </c>
    </row>
    <row r="392">
      <c r="B392">
        <f>IFERROR(VLOOKUP(A392,Cadastro_Produtos!A:B,2,FALSE),"")</f>
        <v/>
      </c>
      <c r="D392" s="12" t="n"/>
      <c r="E392" s="13">
        <f>IF(D392="","",D392-TODAY())</f>
        <v/>
      </c>
      <c r="F392">
        <f>IF(D392="","",IF(E392&lt;0,"VENCIDO",IF(E392&lt;=30,"VENCE EM &lt;= 30 DIAS",IF(E392&lt;=60,"ATENCAO (31-60 DIAS)","OK"))))</f>
        <v/>
      </c>
      <c r="G392" s="13">
        <f>SUMIFS(Movimentacoes!$G:$G,Movimentacoes!$C:$C,$A392,Movimentacoes!$E:$E,$C392,Movimentacoes!$B:$B,"ENTRADA")</f>
        <v/>
      </c>
      <c r="H392" s="13">
        <f>SUMIFS(Movimentacoes!$G:$G,Movimentacoes!$C:$C,$A392,Movimentacoes!$E:$E,$C392,Movimentacoes!$B:$B,"SAIDA_USO")</f>
        <v/>
      </c>
      <c r="I392" s="13">
        <f>SUMIFS(Movimentacoes!$G:$G,Movimentacoes!$C:$C,$A392,Movimentacoes!$E:$E,$C392,Movimentacoes!$B:$B,"SAIDA_DESCARTE")</f>
        <v/>
      </c>
      <c r="J392" s="13">
        <f>G392-H392-I392</f>
        <v/>
      </c>
      <c r="K392">
        <f>IF(A392="","",IF(J392&lt;=IFERROR(VLOOKUP(A392,Cadastro_Produtos!$A:$E,5,FALSE),0),"ABAIXO DO MINIMO","OK"))</f>
        <v/>
      </c>
    </row>
    <row r="393">
      <c r="B393">
        <f>IFERROR(VLOOKUP(A393,Cadastro_Produtos!A:B,2,FALSE),"")</f>
        <v/>
      </c>
      <c r="D393" s="12" t="n"/>
      <c r="E393" s="13">
        <f>IF(D393="","",D393-TODAY())</f>
        <v/>
      </c>
      <c r="F393">
        <f>IF(D393="","",IF(E393&lt;0,"VENCIDO",IF(E393&lt;=30,"VENCE EM &lt;= 30 DIAS",IF(E393&lt;=60,"ATENCAO (31-60 DIAS)","OK"))))</f>
        <v/>
      </c>
      <c r="G393" s="13">
        <f>SUMIFS(Movimentacoes!$G:$G,Movimentacoes!$C:$C,$A393,Movimentacoes!$E:$E,$C393,Movimentacoes!$B:$B,"ENTRADA")</f>
        <v/>
      </c>
      <c r="H393" s="13">
        <f>SUMIFS(Movimentacoes!$G:$G,Movimentacoes!$C:$C,$A393,Movimentacoes!$E:$E,$C393,Movimentacoes!$B:$B,"SAIDA_USO")</f>
        <v/>
      </c>
      <c r="I393" s="13">
        <f>SUMIFS(Movimentacoes!$G:$G,Movimentacoes!$C:$C,$A393,Movimentacoes!$E:$E,$C393,Movimentacoes!$B:$B,"SAIDA_DESCARTE")</f>
        <v/>
      </c>
      <c r="J393" s="13">
        <f>G393-H393-I393</f>
        <v/>
      </c>
      <c r="K393">
        <f>IF(A393="","",IF(J393&lt;=IFERROR(VLOOKUP(A393,Cadastro_Produtos!$A:$E,5,FALSE),0),"ABAIXO DO MINIMO","OK"))</f>
        <v/>
      </c>
    </row>
    <row r="394">
      <c r="B394">
        <f>IFERROR(VLOOKUP(A394,Cadastro_Produtos!A:B,2,FALSE),"")</f>
        <v/>
      </c>
      <c r="D394" s="12" t="n"/>
      <c r="E394" s="13">
        <f>IF(D394="","",D394-TODAY())</f>
        <v/>
      </c>
      <c r="F394">
        <f>IF(D394="","",IF(E394&lt;0,"VENCIDO",IF(E394&lt;=30,"VENCE EM &lt;= 30 DIAS",IF(E394&lt;=60,"ATENCAO (31-60 DIAS)","OK"))))</f>
        <v/>
      </c>
      <c r="G394" s="13">
        <f>SUMIFS(Movimentacoes!$G:$G,Movimentacoes!$C:$C,$A394,Movimentacoes!$E:$E,$C394,Movimentacoes!$B:$B,"ENTRADA")</f>
        <v/>
      </c>
      <c r="H394" s="13">
        <f>SUMIFS(Movimentacoes!$G:$G,Movimentacoes!$C:$C,$A394,Movimentacoes!$E:$E,$C394,Movimentacoes!$B:$B,"SAIDA_USO")</f>
        <v/>
      </c>
      <c r="I394" s="13">
        <f>SUMIFS(Movimentacoes!$G:$G,Movimentacoes!$C:$C,$A394,Movimentacoes!$E:$E,$C394,Movimentacoes!$B:$B,"SAIDA_DESCARTE")</f>
        <v/>
      </c>
      <c r="J394" s="13">
        <f>G394-H394-I394</f>
        <v/>
      </c>
      <c r="K394">
        <f>IF(A394="","",IF(J394&lt;=IFERROR(VLOOKUP(A394,Cadastro_Produtos!$A:$E,5,FALSE),0),"ABAIXO DO MINIMO","OK"))</f>
        <v/>
      </c>
    </row>
    <row r="395">
      <c r="B395">
        <f>IFERROR(VLOOKUP(A395,Cadastro_Produtos!A:B,2,FALSE),"")</f>
        <v/>
      </c>
      <c r="D395" s="12" t="n"/>
      <c r="E395" s="13">
        <f>IF(D395="","",D395-TODAY())</f>
        <v/>
      </c>
      <c r="F395">
        <f>IF(D395="","",IF(E395&lt;0,"VENCIDO",IF(E395&lt;=30,"VENCE EM &lt;= 30 DIAS",IF(E395&lt;=60,"ATENCAO (31-60 DIAS)","OK"))))</f>
        <v/>
      </c>
      <c r="G395" s="13">
        <f>SUMIFS(Movimentacoes!$G:$G,Movimentacoes!$C:$C,$A395,Movimentacoes!$E:$E,$C395,Movimentacoes!$B:$B,"ENTRADA")</f>
        <v/>
      </c>
      <c r="H395" s="13">
        <f>SUMIFS(Movimentacoes!$G:$G,Movimentacoes!$C:$C,$A395,Movimentacoes!$E:$E,$C395,Movimentacoes!$B:$B,"SAIDA_USO")</f>
        <v/>
      </c>
      <c r="I395" s="13">
        <f>SUMIFS(Movimentacoes!$G:$G,Movimentacoes!$C:$C,$A395,Movimentacoes!$E:$E,$C395,Movimentacoes!$B:$B,"SAIDA_DESCARTE")</f>
        <v/>
      </c>
      <c r="J395" s="13">
        <f>G395-H395-I395</f>
        <v/>
      </c>
      <c r="K395">
        <f>IF(A395="","",IF(J395&lt;=IFERROR(VLOOKUP(A395,Cadastro_Produtos!$A:$E,5,FALSE),0),"ABAIXO DO MINIMO","OK"))</f>
        <v/>
      </c>
    </row>
    <row r="396">
      <c r="B396">
        <f>IFERROR(VLOOKUP(A396,Cadastro_Produtos!A:B,2,FALSE),"")</f>
        <v/>
      </c>
      <c r="D396" s="12" t="n"/>
      <c r="E396" s="13">
        <f>IF(D396="","",D396-TODAY())</f>
        <v/>
      </c>
      <c r="F396">
        <f>IF(D396="","",IF(E396&lt;0,"VENCIDO",IF(E396&lt;=30,"VENCE EM &lt;= 30 DIAS",IF(E396&lt;=60,"ATENCAO (31-60 DIAS)","OK"))))</f>
        <v/>
      </c>
      <c r="G396" s="13">
        <f>SUMIFS(Movimentacoes!$G:$G,Movimentacoes!$C:$C,$A396,Movimentacoes!$E:$E,$C396,Movimentacoes!$B:$B,"ENTRADA")</f>
        <v/>
      </c>
      <c r="H396" s="13">
        <f>SUMIFS(Movimentacoes!$G:$G,Movimentacoes!$C:$C,$A396,Movimentacoes!$E:$E,$C396,Movimentacoes!$B:$B,"SAIDA_USO")</f>
        <v/>
      </c>
      <c r="I396" s="13">
        <f>SUMIFS(Movimentacoes!$G:$G,Movimentacoes!$C:$C,$A396,Movimentacoes!$E:$E,$C396,Movimentacoes!$B:$B,"SAIDA_DESCARTE")</f>
        <v/>
      </c>
      <c r="J396" s="13">
        <f>G396-H396-I396</f>
        <v/>
      </c>
      <c r="K396">
        <f>IF(A396="","",IF(J396&lt;=IFERROR(VLOOKUP(A396,Cadastro_Produtos!$A:$E,5,FALSE),0),"ABAIXO DO MINIMO","OK"))</f>
        <v/>
      </c>
    </row>
    <row r="397">
      <c r="B397">
        <f>IFERROR(VLOOKUP(A397,Cadastro_Produtos!A:B,2,FALSE),"")</f>
        <v/>
      </c>
      <c r="D397" s="12" t="n"/>
      <c r="E397" s="13">
        <f>IF(D397="","",D397-TODAY())</f>
        <v/>
      </c>
      <c r="F397">
        <f>IF(D397="","",IF(E397&lt;0,"VENCIDO",IF(E397&lt;=30,"VENCE EM &lt;= 30 DIAS",IF(E397&lt;=60,"ATENCAO (31-60 DIAS)","OK"))))</f>
        <v/>
      </c>
      <c r="G397" s="13">
        <f>SUMIFS(Movimentacoes!$G:$G,Movimentacoes!$C:$C,$A397,Movimentacoes!$E:$E,$C397,Movimentacoes!$B:$B,"ENTRADA")</f>
        <v/>
      </c>
      <c r="H397" s="13">
        <f>SUMIFS(Movimentacoes!$G:$G,Movimentacoes!$C:$C,$A397,Movimentacoes!$E:$E,$C397,Movimentacoes!$B:$B,"SAIDA_USO")</f>
        <v/>
      </c>
      <c r="I397" s="13">
        <f>SUMIFS(Movimentacoes!$G:$G,Movimentacoes!$C:$C,$A397,Movimentacoes!$E:$E,$C397,Movimentacoes!$B:$B,"SAIDA_DESCARTE")</f>
        <v/>
      </c>
      <c r="J397" s="13">
        <f>G397-H397-I397</f>
        <v/>
      </c>
      <c r="K397">
        <f>IF(A397="","",IF(J397&lt;=IFERROR(VLOOKUP(A397,Cadastro_Produtos!$A:$E,5,FALSE),0),"ABAIXO DO MINIMO","OK"))</f>
        <v/>
      </c>
    </row>
    <row r="398">
      <c r="B398">
        <f>IFERROR(VLOOKUP(A398,Cadastro_Produtos!A:B,2,FALSE),"")</f>
        <v/>
      </c>
      <c r="D398" s="12" t="n"/>
      <c r="E398" s="13">
        <f>IF(D398="","",D398-TODAY())</f>
        <v/>
      </c>
      <c r="F398">
        <f>IF(D398="","",IF(E398&lt;0,"VENCIDO",IF(E398&lt;=30,"VENCE EM &lt;= 30 DIAS",IF(E398&lt;=60,"ATENCAO (31-60 DIAS)","OK"))))</f>
        <v/>
      </c>
      <c r="G398" s="13">
        <f>SUMIFS(Movimentacoes!$G:$G,Movimentacoes!$C:$C,$A398,Movimentacoes!$E:$E,$C398,Movimentacoes!$B:$B,"ENTRADA")</f>
        <v/>
      </c>
      <c r="H398" s="13">
        <f>SUMIFS(Movimentacoes!$G:$G,Movimentacoes!$C:$C,$A398,Movimentacoes!$E:$E,$C398,Movimentacoes!$B:$B,"SAIDA_USO")</f>
        <v/>
      </c>
      <c r="I398" s="13">
        <f>SUMIFS(Movimentacoes!$G:$G,Movimentacoes!$C:$C,$A398,Movimentacoes!$E:$E,$C398,Movimentacoes!$B:$B,"SAIDA_DESCARTE")</f>
        <v/>
      </c>
      <c r="J398" s="13">
        <f>G398-H398-I398</f>
        <v/>
      </c>
      <c r="K398">
        <f>IF(A398="","",IF(J398&lt;=IFERROR(VLOOKUP(A398,Cadastro_Produtos!$A:$E,5,FALSE),0),"ABAIXO DO MINIMO","OK"))</f>
        <v/>
      </c>
    </row>
    <row r="399">
      <c r="B399">
        <f>IFERROR(VLOOKUP(A399,Cadastro_Produtos!A:B,2,FALSE),"")</f>
        <v/>
      </c>
      <c r="D399" s="12" t="n"/>
      <c r="E399" s="13">
        <f>IF(D399="","",D399-TODAY())</f>
        <v/>
      </c>
      <c r="F399">
        <f>IF(D399="","",IF(E399&lt;0,"VENCIDO",IF(E399&lt;=30,"VENCE EM &lt;= 30 DIAS",IF(E399&lt;=60,"ATENCAO (31-60 DIAS)","OK"))))</f>
        <v/>
      </c>
      <c r="G399" s="13">
        <f>SUMIFS(Movimentacoes!$G:$G,Movimentacoes!$C:$C,$A399,Movimentacoes!$E:$E,$C399,Movimentacoes!$B:$B,"ENTRADA")</f>
        <v/>
      </c>
      <c r="H399" s="13">
        <f>SUMIFS(Movimentacoes!$G:$G,Movimentacoes!$C:$C,$A399,Movimentacoes!$E:$E,$C399,Movimentacoes!$B:$B,"SAIDA_USO")</f>
        <v/>
      </c>
      <c r="I399" s="13">
        <f>SUMIFS(Movimentacoes!$G:$G,Movimentacoes!$C:$C,$A399,Movimentacoes!$E:$E,$C399,Movimentacoes!$B:$B,"SAIDA_DESCARTE")</f>
        <v/>
      </c>
      <c r="J399" s="13">
        <f>G399-H399-I399</f>
        <v/>
      </c>
      <c r="K399">
        <f>IF(A399="","",IF(J399&lt;=IFERROR(VLOOKUP(A399,Cadastro_Produtos!$A:$E,5,FALSE),0),"ABAIXO DO MINIMO","OK"))</f>
        <v/>
      </c>
    </row>
    <row r="400">
      <c r="B400">
        <f>IFERROR(VLOOKUP(A400,Cadastro_Produtos!A:B,2,FALSE),"")</f>
        <v/>
      </c>
      <c r="D400" s="12" t="n"/>
      <c r="E400" s="13">
        <f>IF(D400="","",D400-TODAY())</f>
        <v/>
      </c>
      <c r="F400">
        <f>IF(D400="","",IF(E400&lt;0,"VENCIDO",IF(E400&lt;=30,"VENCE EM &lt;= 30 DIAS",IF(E400&lt;=60,"ATENCAO (31-60 DIAS)","OK"))))</f>
        <v/>
      </c>
      <c r="G400" s="13">
        <f>SUMIFS(Movimentacoes!$G:$G,Movimentacoes!$C:$C,$A400,Movimentacoes!$E:$E,$C400,Movimentacoes!$B:$B,"ENTRADA")</f>
        <v/>
      </c>
      <c r="H400" s="13">
        <f>SUMIFS(Movimentacoes!$G:$G,Movimentacoes!$C:$C,$A400,Movimentacoes!$E:$E,$C400,Movimentacoes!$B:$B,"SAIDA_USO")</f>
        <v/>
      </c>
      <c r="I400" s="13">
        <f>SUMIFS(Movimentacoes!$G:$G,Movimentacoes!$C:$C,$A400,Movimentacoes!$E:$E,$C400,Movimentacoes!$B:$B,"SAIDA_DESCARTE")</f>
        <v/>
      </c>
      <c r="J400" s="13">
        <f>G400-H400-I400</f>
        <v/>
      </c>
      <c r="K400">
        <f>IF(A400="","",IF(J400&lt;=IFERROR(VLOOKUP(A400,Cadastro_Produtos!$A:$E,5,FALSE),0),"ABAIXO DO MINIMO","OK"))</f>
        <v/>
      </c>
    </row>
    <row r="401">
      <c r="B401">
        <f>IFERROR(VLOOKUP(A401,Cadastro_Produtos!A:B,2,FALSE),"")</f>
        <v/>
      </c>
      <c r="D401" s="12" t="n"/>
      <c r="E401" s="13">
        <f>IF(D401="","",D401-TODAY())</f>
        <v/>
      </c>
      <c r="F401">
        <f>IF(D401="","",IF(E401&lt;0,"VENCIDO",IF(E401&lt;=30,"VENCE EM &lt;= 30 DIAS",IF(E401&lt;=60,"ATENCAO (31-60 DIAS)","OK"))))</f>
        <v/>
      </c>
      <c r="G401" s="13">
        <f>SUMIFS(Movimentacoes!$G:$G,Movimentacoes!$C:$C,$A401,Movimentacoes!$E:$E,$C401,Movimentacoes!$B:$B,"ENTRADA")</f>
        <v/>
      </c>
      <c r="H401" s="13">
        <f>SUMIFS(Movimentacoes!$G:$G,Movimentacoes!$C:$C,$A401,Movimentacoes!$E:$E,$C401,Movimentacoes!$B:$B,"SAIDA_USO")</f>
        <v/>
      </c>
      <c r="I401" s="13">
        <f>SUMIFS(Movimentacoes!$G:$G,Movimentacoes!$C:$C,$A401,Movimentacoes!$E:$E,$C401,Movimentacoes!$B:$B,"SAIDA_DESCARTE")</f>
        <v/>
      </c>
      <c r="J401" s="13">
        <f>G401-H401-I401</f>
        <v/>
      </c>
      <c r="K401">
        <f>IF(A401="","",IF(J401&lt;=IFERROR(VLOOKUP(A401,Cadastro_Produtos!$A:$E,5,FALSE),0),"ABAIXO DO MINIMO","OK"))</f>
        <v/>
      </c>
    </row>
    <row r="402">
      <c r="B402">
        <f>IFERROR(VLOOKUP(A402,Cadastro_Produtos!A:B,2,FALSE),"")</f>
        <v/>
      </c>
      <c r="D402" s="12" t="n"/>
      <c r="E402" s="13">
        <f>IF(D402="","",D402-TODAY())</f>
        <v/>
      </c>
      <c r="F402">
        <f>IF(D402="","",IF(E402&lt;0,"VENCIDO",IF(E402&lt;=30,"VENCE EM &lt;= 30 DIAS",IF(E402&lt;=60,"ATENCAO (31-60 DIAS)","OK"))))</f>
        <v/>
      </c>
      <c r="G402" s="13">
        <f>SUMIFS(Movimentacoes!$G:$G,Movimentacoes!$C:$C,$A402,Movimentacoes!$E:$E,$C402,Movimentacoes!$B:$B,"ENTRADA")</f>
        <v/>
      </c>
      <c r="H402" s="13">
        <f>SUMIFS(Movimentacoes!$G:$G,Movimentacoes!$C:$C,$A402,Movimentacoes!$E:$E,$C402,Movimentacoes!$B:$B,"SAIDA_USO")</f>
        <v/>
      </c>
      <c r="I402" s="13">
        <f>SUMIFS(Movimentacoes!$G:$G,Movimentacoes!$C:$C,$A402,Movimentacoes!$E:$E,$C402,Movimentacoes!$B:$B,"SAIDA_DESCARTE")</f>
        <v/>
      </c>
      <c r="J402" s="13">
        <f>G402-H402-I402</f>
        <v/>
      </c>
      <c r="K402">
        <f>IF(A402="","",IF(J402&lt;=IFERROR(VLOOKUP(A402,Cadastro_Produtos!$A:$E,5,FALSE),0),"ABAIXO DO MINIMO","OK"))</f>
        <v/>
      </c>
    </row>
    <row r="403">
      <c r="B403">
        <f>IFERROR(VLOOKUP(A403,Cadastro_Produtos!A:B,2,FALSE),"")</f>
        <v/>
      </c>
      <c r="D403" s="12" t="n"/>
      <c r="E403" s="13">
        <f>IF(D403="","",D403-TODAY())</f>
        <v/>
      </c>
      <c r="F403">
        <f>IF(D403="","",IF(E403&lt;0,"VENCIDO",IF(E403&lt;=30,"VENCE EM &lt;= 30 DIAS",IF(E403&lt;=60,"ATENCAO (31-60 DIAS)","OK"))))</f>
        <v/>
      </c>
      <c r="G403" s="13">
        <f>SUMIFS(Movimentacoes!$G:$G,Movimentacoes!$C:$C,$A403,Movimentacoes!$E:$E,$C403,Movimentacoes!$B:$B,"ENTRADA")</f>
        <v/>
      </c>
      <c r="H403" s="13">
        <f>SUMIFS(Movimentacoes!$G:$G,Movimentacoes!$C:$C,$A403,Movimentacoes!$E:$E,$C403,Movimentacoes!$B:$B,"SAIDA_USO")</f>
        <v/>
      </c>
      <c r="I403" s="13">
        <f>SUMIFS(Movimentacoes!$G:$G,Movimentacoes!$C:$C,$A403,Movimentacoes!$E:$E,$C403,Movimentacoes!$B:$B,"SAIDA_DESCARTE")</f>
        <v/>
      </c>
      <c r="J403" s="13">
        <f>G403-H403-I403</f>
        <v/>
      </c>
      <c r="K403">
        <f>IF(A403="","",IF(J403&lt;=IFERROR(VLOOKUP(A403,Cadastro_Produtos!$A:$E,5,FALSE),0),"ABAIXO DO MINIMO","OK"))</f>
        <v/>
      </c>
    </row>
    <row r="404">
      <c r="B404">
        <f>IFERROR(VLOOKUP(A404,Cadastro_Produtos!A:B,2,FALSE),"")</f>
        <v/>
      </c>
      <c r="D404" s="12" t="n"/>
      <c r="E404" s="13">
        <f>IF(D404="","",D404-TODAY())</f>
        <v/>
      </c>
      <c r="F404">
        <f>IF(D404="","",IF(E404&lt;0,"VENCIDO",IF(E404&lt;=30,"VENCE EM &lt;= 30 DIAS",IF(E404&lt;=60,"ATENCAO (31-60 DIAS)","OK"))))</f>
        <v/>
      </c>
      <c r="G404" s="13">
        <f>SUMIFS(Movimentacoes!$G:$G,Movimentacoes!$C:$C,$A404,Movimentacoes!$E:$E,$C404,Movimentacoes!$B:$B,"ENTRADA")</f>
        <v/>
      </c>
      <c r="H404" s="13">
        <f>SUMIFS(Movimentacoes!$G:$G,Movimentacoes!$C:$C,$A404,Movimentacoes!$E:$E,$C404,Movimentacoes!$B:$B,"SAIDA_USO")</f>
        <v/>
      </c>
      <c r="I404" s="13">
        <f>SUMIFS(Movimentacoes!$G:$G,Movimentacoes!$C:$C,$A404,Movimentacoes!$E:$E,$C404,Movimentacoes!$B:$B,"SAIDA_DESCARTE")</f>
        <v/>
      </c>
      <c r="J404" s="13">
        <f>G404-H404-I404</f>
        <v/>
      </c>
      <c r="K404">
        <f>IF(A404="","",IF(J404&lt;=IFERROR(VLOOKUP(A404,Cadastro_Produtos!$A:$E,5,FALSE),0),"ABAIXO DO MINIMO","OK"))</f>
        <v/>
      </c>
    </row>
    <row r="405">
      <c r="B405">
        <f>IFERROR(VLOOKUP(A405,Cadastro_Produtos!A:B,2,FALSE),"")</f>
        <v/>
      </c>
      <c r="D405" s="12" t="n"/>
      <c r="E405" s="13">
        <f>IF(D405="","",D405-TODAY())</f>
        <v/>
      </c>
      <c r="F405">
        <f>IF(D405="","",IF(E405&lt;0,"VENCIDO",IF(E405&lt;=30,"VENCE EM &lt;= 30 DIAS",IF(E405&lt;=60,"ATENCAO (31-60 DIAS)","OK"))))</f>
        <v/>
      </c>
      <c r="G405" s="13">
        <f>SUMIFS(Movimentacoes!$G:$G,Movimentacoes!$C:$C,$A405,Movimentacoes!$E:$E,$C405,Movimentacoes!$B:$B,"ENTRADA")</f>
        <v/>
      </c>
      <c r="H405" s="13">
        <f>SUMIFS(Movimentacoes!$G:$G,Movimentacoes!$C:$C,$A405,Movimentacoes!$E:$E,$C405,Movimentacoes!$B:$B,"SAIDA_USO")</f>
        <v/>
      </c>
      <c r="I405" s="13">
        <f>SUMIFS(Movimentacoes!$G:$G,Movimentacoes!$C:$C,$A405,Movimentacoes!$E:$E,$C405,Movimentacoes!$B:$B,"SAIDA_DESCARTE")</f>
        <v/>
      </c>
      <c r="J405" s="13">
        <f>G405-H405-I405</f>
        <v/>
      </c>
      <c r="K405">
        <f>IF(A405="","",IF(J405&lt;=IFERROR(VLOOKUP(A405,Cadastro_Produtos!$A:$E,5,FALSE),0),"ABAIXO DO MINIMO","OK"))</f>
        <v/>
      </c>
    </row>
    <row r="406">
      <c r="B406">
        <f>IFERROR(VLOOKUP(A406,Cadastro_Produtos!A:B,2,FALSE),"")</f>
        <v/>
      </c>
      <c r="D406" s="12" t="n"/>
      <c r="E406" s="13">
        <f>IF(D406="","",D406-TODAY())</f>
        <v/>
      </c>
      <c r="F406">
        <f>IF(D406="","",IF(E406&lt;0,"VENCIDO",IF(E406&lt;=30,"VENCE EM &lt;= 30 DIAS",IF(E406&lt;=60,"ATENCAO (31-60 DIAS)","OK"))))</f>
        <v/>
      </c>
      <c r="G406" s="13">
        <f>SUMIFS(Movimentacoes!$G:$G,Movimentacoes!$C:$C,$A406,Movimentacoes!$E:$E,$C406,Movimentacoes!$B:$B,"ENTRADA")</f>
        <v/>
      </c>
      <c r="H406" s="13">
        <f>SUMIFS(Movimentacoes!$G:$G,Movimentacoes!$C:$C,$A406,Movimentacoes!$E:$E,$C406,Movimentacoes!$B:$B,"SAIDA_USO")</f>
        <v/>
      </c>
      <c r="I406" s="13">
        <f>SUMIFS(Movimentacoes!$G:$G,Movimentacoes!$C:$C,$A406,Movimentacoes!$E:$E,$C406,Movimentacoes!$B:$B,"SAIDA_DESCARTE")</f>
        <v/>
      </c>
      <c r="J406" s="13">
        <f>G406-H406-I406</f>
        <v/>
      </c>
      <c r="K406">
        <f>IF(A406="","",IF(J406&lt;=IFERROR(VLOOKUP(A406,Cadastro_Produtos!$A:$E,5,FALSE),0),"ABAIXO DO MINIMO","OK"))</f>
        <v/>
      </c>
    </row>
    <row r="407">
      <c r="B407">
        <f>IFERROR(VLOOKUP(A407,Cadastro_Produtos!A:B,2,FALSE),"")</f>
        <v/>
      </c>
      <c r="D407" s="12" t="n"/>
      <c r="E407" s="13">
        <f>IF(D407="","",D407-TODAY())</f>
        <v/>
      </c>
      <c r="F407">
        <f>IF(D407="","",IF(E407&lt;0,"VENCIDO",IF(E407&lt;=30,"VENCE EM &lt;= 30 DIAS",IF(E407&lt;=60,"ATENCAO (31-60 DIAS)","OK"))))</f>
        <v/>
      </c>
      <c r="G407" s="13">
        <f>SUMIFS(Movimentacoes!$G:$G,Movimentacoes!$C:$C,$A407,Movimentacoes!$E:$E,$C407,Movimentacoes!$B:$B,"ENTRADA")</f>
        <v/>
      </c>
      <c r="H407" s="13">
        <f>SUMIFS(Movimentacoes!$G:$G,Movimentacoes!$C:$C,$A407,Movimentacoes!$E:$E,$C407,Movimentacoes!$B:$B,"SAIDA_USO")</f>
        <v/>
      </c>
      <c r="I407" s="13">
        <f>SUMIFS(Movimentacoes!$G:$G,Movimentacoes!$C:$C,$A407,Movimentacoes!$E:$E,$C407,Movimentacoes!$B:$B,"SAIDA_DESCARTE")</f>
        <v/>
      </c>
      <c r="J407" s="13">
        <f>G407-H407-I407</f>
        <v/>
      </c>
      <c r="K407">
        <f>IF(A407="","",IF(J407&lt;=IFERROR(VLOOKUP(A407,Cadastro_Produtos!$A:$E,5,FALSE),0),"ABAIXO DO MINIMO","OK"))</f>
        <v/>
      </c>
    </row>
    <row r="408">
      <c r="B408">
        <f>IFERROR(VLOOKUP(A408,Cadastro_Produtos!A:B,2,FALSE),"")</f>
        <v/>
      </c>
      <c r="D408" s="12" t="n"/>
      <c r="E408" s="13">
        <f>IF(D408="","",D408-TODAY())</f>
        <v/>
      </c>
      <c r="F408">
        <f>IF(D408="","",IF(E408&lt;0,"VENCIDO",IF(E408&lt;=30,"VENCE EM &lt;= 30 DIAS",IF(E408&lt;=60,"ATENCAO (31-60 DIAS)","OK"))))</f>
        <v/>
      </c>
      <c r="G408" s="13">
        <f>SUMIFS(Movimentacoes!$G:$G,Movimentacoes!$C:$C,$A408,Movimentacoes!$E:$E,$C408,Movimentacoes!$B:$B,"ENTRADA")</f>
        <v/>
      </c>
      <c r="H408" s="13">
        <f>SUMIFS(Movimentacoes!$G:$G,Movimentacoes!$C:$C,$A408,Movimentacoes!$E:$E,$C408,Movimentacoes!$B:$B,"SAIDA_USO")</f>
        <v/>
      </c>
      <c r="I408" s="13">
        <f>SUMIFS(Movimentacoes!$G:$G,Movimentacoes!$C:$C,$A408,Movimentacoes!$E:$E,$C408,Movimentacoes!$B:$B,"SAIDA_DESCARTE")</f>
        <v/>
      </c>
      <c r="J408" s="13">
        <f>G408-H408-I408</f>
        <v/>
      </c>
      <c r="K408">
        <f>IF(A408="","",IF(J408&lt;=IFERROR(VLOOKUP(A408,Cadastro_Produtos!$A:$E,5,FALSE),0),"ABAIXO DO MINIMO","OK"))</f>
        <v/>
      </c>
    </row>
    <row r="409">
      <c r="B409">
        <f>IFERROR(VLOOKUP(A409,Cadastro_Produtos!A:B,2,FALSE),"")</f>
        <v/>
      </c>
      <c r="D409" s="12" t="n"/>
      <c r="E409" s="13">
        <f>IF(D409="","",D409-TODAY())</f>
        <v/>
      </c>
      <c r="F409">
        <f>IF(D409="","",IF(E409&lt;0,"VENCIDO",IF(E409&lt;=30,"VENCE EM &lt;= 30 DIAS",IF(E409&lt;=60,"ATENCAO (31-60 DIAS)","OK"))))</f>
        <v/>
      </c>
      <c r="G409" s="13">
        <f>SUMIFS(Movimentacoes!$G:$G,Movimentacoes!$C:$C,$A409,Movimentacoes!$E:$E,$C409,Movimentacoes!$B:$B,"ENTRADA")</f>
        <v/>
      </c>
      <c r="H409" s="13">
        <f>SUMIFS(Movimentacoes!$G:$G,Movimentacoes!$C:$C,$A409,Movimentacoes!$E:$E,$C409,Movimentacoes!$B:$B,"SAIDA_USO")</f>
        <v/>
      </c>
      <c r="I409" s="13">
        <f>SUMIFS(Movimentacoes!$G:$G,Movimentacoes!$C:$C,$A409,Movimentacoes!$E:$E,$C409,Movimentacoes!$B:$B,"SAIDA_DESCARTE")</f>
        <v/>
      </c>
      <c r="J409" s="13">
        <f>G409-H409-I409</f>
        <v/>
      </c>
      <c r="K409">
        <f>IF(A409="","",IF(J409&lt;=IFERROR(VLOOKUP(A409,Cadastro_Produtos!$A:$E,5,FALSE),0),"ABAIXO DO MINIMO","OK"))</f>
        <v/>
      </c>
    </row>
    <row r="410">
      <c r="B410">
        <f>IFERROR(VLOOKUP(A410,Cadastro_Produtos!A:B,2,FALSE),"")</f>
        <v/>
      </c>
      <c r="D410" s="12" t="n"/>
      <c r="E410" s="13">
        <f>IF(D410="","",D410-TODAY())</f>
        <v/>
      </c>
      <c r="F410">
        <f>IF(D410="","",IF(E410&lt;0,"VENCIDO",IF(E410&lt;=30,"VENCE EM &lt;= 30 DIAS",IF(E410&lt;=60,"ATENCAO (31-60 DIAS)","OK"))))</f>
        <v/>
      </c>
      <c r="G410" s="13">
        <f>SUMIFS(Movimentacoes!$G:$G,Movimentacoes!$C:$C,$A410,Movimentacoes!$E:$E,$C410,Movimentacoes!$B:$B,"ENTRADA")</f>
        <v/>
      </c>
      <c r="H410" s="13">
        <f>SUMIFS(Movimentacoes!$G:$G,Movimentacoes!$C:$C,$A410,Movimentacoes!$E:$E,$C410,Movimentacoes!$B:$B,"SAIDA_USO")</f>
        <v/>
      </c>
      <c r="I410" s="13">
        <f>SUMIFS(Movimentacoes!$G:$G,Movimentacoes!$C:$C,$A410,Movimentacoes!$E:$E,$C410,Movimentacoes!$B:$B,"SAIDA_DESCARTE")</f>
        <v/>
      </c>
      <c r="J410" s="13">
        <f>G410-H410-I410</f>
        <v/>
      </c>
      <c r="K410">
        <f>IF(A410="","",IF(J410&lt;=IFERROR(VLOOKUP(A410,Cadastro_Produtos!$A:$E,5,FALSE),0),"ABAIXO DO MINIMO","OK"))</f>
        <v/>
      </c>
    </row>
    <row r="411">
      <c r="B411">
        <f>IFERROR(VLOOKUP(A411,Cadastro_Produtos!A:B,2,FALSE),"")</f>
        <v/>
      </c>
      <c r="D411" s="12" t="n"/>
      <c r="E411" s="13">
        <f>IF(D411="","",D411-TODAY())</f>
        <v/>
      </c>
      <c r="F411">
        <f>IF(D411="","",IF(E411&lt;0,"VENCIDO",IF(E411&lt;=30,"VENCE EM &lt;= 30 DIAS",IF(E411&lt;=60,"ATENCAO (31-60 DIAS)","OK"))))</f>
        <v/>
      </c>
      <c r="G411" s="13">
        <f>SUMIFS(Movimentacoes!$G:$G,Movimentacoes!$C:$C,$A411,Movimentacoes!$E:$E,$C411,Movimentacoes!$B:$B,"ENTRADA")</f>
        <v/>
      </c>
      <c r="H411" s="13">
        <f>SUMIFS(Movimentacoes!$G:$G,Movimentacoes!$C:$C,$A411,Movimentacoes!$E:$E,$C411,Movimentacoes!$B:$B,"SAIDA_USO")</f>
        <v/>
      </c>
      <c r="I411" s="13">
        <f>SUMIFS(Movimentacoes!$G:$G,Movimentacoes!$C:$C,$A411,Movimentacoes!$E:$E,$C411,Movimentacoes!$B:$B,"SAIDA_DESCARTE")</f>
        <v/>
      </c>
      <c r="J411" s="13">
        <f>G411-H411-I411</f>
        <v/>
      </c>
      <c r="K411">
        <f>IF(A411="","",IF(J411&lt;=IFERROR(VLOOKUP(A411,Cadastro_Produtos!$A:$E,5,FALSE),0),"ABAIXO DO MINIMO","OK"))</f>
        <v/>
      </c>
    </row>
    <row r="412">
      <c r="B412">
        <f>IFERROR(VLOOKUP(A412,Cadastro_Produtos!A:B,2,FALSE),"")</f>
        <v/>
      </c>
      <c r="D412" s="12" t="n"/>
      <c r="E412" s="13">
        <f>IF(D412="","",D412-TODAY())</f>
        <v/>
      </c>
      <c r="F412">
        <f>IF(D412="","",IF(E412&lt;0,"VENCIDO",IF(E412&lt;=30,"VENCE EM &lt;= 30 DIAS",IF(E412&lt;=60,"ATENCAO (31-60 DIAS)","OK"))))</f>
        <v/>
      </c>
      <c r="G412" s="13">
        <f>SUMIFS(Movimentacoes!$G:$G,Movimentacoes!$C:$C,$A412,Movimentacoes!$E:$E,$C412,Movimentacoes!$B:$B,"ENTRADA")</f>
        <v/>
      </c>
      <c r="H412" s="13">
        <f>SUMIFS(Movimentacoes!$G:$G,Movimentacoes!$C:$C,$A412,Movimentacoes!$E:$E,$C412,Movimentacoes!$B:$B,"SAIDA_USO")</f>
        <v/>
      </c>
      <c r="I412" s="13">
        <f>SUMIFS(Movimentacoes!$G:$G,Movimentacoes!$C:$C,$A412,Movimentacoes!$E:$E,$C412,Movimentacoes!$B:$B,"SAIDA_DESCARTE")</f>
        <v/>
      </c>
      <c r="J412" s="13">
        <f>G412-H412-I412</f>
        <v/>
      </c>
      <c r="K412">
        <f>IF(A412="","",IF(J412&lt;=IFERROR(VLOOKUP(A412,Cadastro_Produtos!$A:$E,5,FALSE),0),"ABAIXO DO MINIMO","OK"))</f>
        <v/>
      </c>
    </row>
    <row r="413">
      <c r="B413">
        <f>IFERROR(VLOOKUP(A413,Cadastro_Produtos!A:B,2,FALSE),"")</f>
        <v/>
      </c>
      <c r="D413" s="12" t="n"/>
      <c r="E413" s="13">
        <f>IF(D413="","",D413-TODAY())</f>
        <v/>
      </c>
      <c r="F413">
        <f>IF(D413="","",IF(E413&lt;0,"VENCIDO",IF(E413&lt;=30,"VENCE EM &lt;= 30 DIAS",IF(E413&lt;=60,"ATENCAO (31-60 DIAS)","OK"))))</f>
        <v/>
      </c>
      <c r="G413" s="13">
        <f>SUMIFS(Movimentacoes!$G:$G,Movimentacoes!$C:$C,$A413,Movimentacoes!$E:$E,$C413,Movimentacoes!$B:$B,"ENTRADA")</f>
        <v/>
      </c>
      <c r="H413" s="13">
        <f>SUMIFS(Movimentacoes!$G:$G,Movimentacoes!$C:$C,$A413,Movimentacoes!$E:$E,$C413,Movimentacoes!$B:$B,"SAIDA_USO")</f>
        <v/>
      </c>
      <c r="I413" s="13">
        <f>SUMIFS(Movimentacoes!$G:$G,Movimentacoes!$C:$C,$A413,Movimentacoes!$E:$E,$C413,Movimentacoes!$B:$B,"SAIDA_DESCARTE")</f>
        <v/>
      </c>
      <c r="J413" s="13">
        <f>G413-H413-I413</f>
        <v/>
      </c>
      <c r="K413">
        <f>IF(A413="","",IF(J413&lt;=IFERROR(VLOOKUP(A413,Cadastro_Produtos!$A:$E,5,FALSE),0),"ABAIXO DO MINIMO","OK"))</f>
        <v/>
      </c>
    </row>
    <row r="414">
      <c r="B414">
        <f>IFERROR(VLOOKUP(A414,Cadastro_Produtos!A:B,2,FALSE),"")</f>
        <v/>
      </c>
      <c r="D414" s="12" t="n"/>
      <c r="E414" s="13">
        <f>IF(D414="","",D414-TODAY())</f>
        <v/>
      </c>
      <c r="F414">
        <f>IF(D414="","",IF(E414&lt;0,"VENCIDO",IF(E414&lt;=30,"VENCE EM &lt;= 30 DIAS",IF(E414&lt;=60,"ATENCAO (31-60 DIAS)","OK"))))</f>
        <v/>
      </c>
      <c r="G414" s="13">
        <f>SUMIFS(Movimentacoes!$G:$G,Movimentacoes!$C:$C,$A414,Movimentacoes!$E:$E,$C414,Movimentacoes!$B:$B,"ENTRADA")</f>
        <v/>
      </c>
      <c r="H414" s="13">
        <f>SUMIFS(Movimentacoes!$G:$G,Movimentacoes!$C:$C,$A414,Movimentacoes!$E:$E,$C414,Movimentacoes!$B:$B,"SAIDA_USO")</f>
        <v/>
      </c>
      <c r="I414" s="13">
        <f>SUMIFS(Movimentacoes!$G:$G,Movimentacoes!$C:$C,$A414,Movimentacoes!$E:$E,$C414,Movimentacoes!$B:$B,"SAIDA_DESCARTE")</f>
        <v/>
      </c>
      <c r="J414" s="13">
        <f>G414-H414-I414</f>
        <v/>
      </c>
      <c r="K414">
        <f>IF(A414="","",IF(J414&lt;=IFERROR(VLOOKUP(A414,Cadastro_Produtos!$A:$E,5,FALSE),0),"ABAIXO DO MINIMO","OK"))</f>
        <v/>
      </c>
    </row>
    <row r="415">
      <c r="B415">
        <f>IFERROR(VLOOKUP(A415,Cadastro_Produtos!A:B,2,FALSE),"")</f>
        <v/>
      </c>
      <c r="D415" s="12" t="n"/>
      <c r="E415" s="13">
        <f>IF(D415="","",D415-TODAY())</f>
        <v/>
      </c>
      <c r="F415">
        <f>IF(D415="","",IF(E415&lt;0,"VENCIDO",IF(E415&lt;=30,"VENCE EM &lt;= 30 DIAS",IF(E415&lt;=60,"ATENCAO (31-60 DIAS)","OK"))))</f>
        <v/>
      </c>
      <c r="G415" s="13">
        <f>SUMIFS(Movimentacoes!$G:$G,Movimentacoes!$C:$C,$A415,Movimentacoes!$E:$E,$C415,Movimentacoes!$B:$B,"ENTRADA")</f>
        <v/>
      </c>
      <c r="H415" s="13">
        <f>SUMIFS(Movimentacoes!$G:$G,Movimentacoes!$C:$C,$A415,Movimentacoes!$E:$E,$C415,Movimentacoes!$B:$B,"SAIDA_USO")</f>
        <v/>
      </c>
      <c r="I415" s="13">
        <f>SUMIFS(Movimentacoes!$G:$G,Movimentacoes!$C:$C,$A415,Movimentacoes!$E:$E,$C415,Movimentacoes!$B:$B,"SAIDA_DESCARTE")</f>
        <v/>
      </c>
      <c r="J415" s="13">
        <f>G415-H415-I415</f>
        <v/>
      </c>
      <c r="K415">
        <f>IF(A415="","",IF(J415&lt;=IFERROR(VLOOKUP(A415,Cadastro_Produtos!$A:$E,5,FALSE),0),"ABAIXO DO MINIMO","OK"))</f>
        <v/>
      </c>
    </row>
    <row r="416">
      <c r="B416">
        <f>IFERROR(VLOOKUP(A416,Cadastro_Produtos!A:B,2,FALSE),"")</f>
        <v/>
      </c>
      <c r="D416" s="12" t="n"/>
      <c r="E416" s="13">
        <f>IF(D416="","",D416-TODAY())</f>
        <v/>
      </c>
      <c r="F416">
        <f>IF(D416="","",IF(E416&lt;0,"VENCIDO",IF(E416&lt;=30,"VENCE EM &lt;= 30 DIAS",IF(E416&lt;=60,"ATENCAO (31-60 DIAS)","OK"))))</f>
        <v/>
      </c>
      <c r="G416" s="13">
        <f>SUMIFS(Movimentacoes!$G:$G,Movimentacoes!$C:$C,$A416,Movimentacoes!$E:$E,$C416,Movimentacoes!$B:$B,"ENTRADA")</f>
        <v/>
      </c>
      <c r="H416" s="13">
        <f>SUMIFS(Movimentacoes!$G:$G,Movimentacoes!$C:$C,$A416,Movimentacoes!$E:$E,$C416,Movimentacoes!$B:$B,"SAIDA_USO")</f>
        <v/>
      </c>
      <c r="I416" s="13">
        <f>SUMIFS(Movimentacoes!$G:$G,Movimentacoes!$C:$C,$A416,Movimentacoes!$E:$E,$C416,Movimentacoes!$B:$B,"SAIDA_DESCARTE")</f>
        <v/>
      </c>
      <c r="J416" s="13">
        <f>G416-H416-I416</f>
        <v/>
      </c>
      <c r="K416">
        <f>IF(A416="","",IF(J416&lt;=IFERROR(VLOOKUP(A416,Cadastro_Produtos!$A:$E,5,FALSE),0),"ABAIXO DO MINIMO","OK"))</f>
        <v/>
      </c>
    </row>
    <row r="417">
      <c r="B417">
        <f>IFERROR(VLOOKUP(A417,Cadastro_Produtos!A:B,2,FALSE),"")</f>
        <v/>
      </c>
      <c r="D417" s="12" t="n"/>
      <c r="E417" s="13">
        <f>IF(D417="","",D417-TODAY())</f>
        <v/>
      </c>
      <c r="F417">
        <f>IF(D417="","",IF(E417&lt;0,"VENCIDO",IF(E417&lt;=30,"VENCE EM &lt;= 30 DIAS",IF(E417&lt;=60,"ATENCAO (31-60 DIAS)","OK"))))</f>
        <v/>
      </c>
      <c r="G417" s="13">
        <f>SUMIFS(Movimentacoes!$G:$G,Movimentacoes!$C:$C,$A417,Movimentacoes!$E:$E,$C417,Movimentacoes!$B:$B,"ENTRADA")</f>
        <v/>
      </c>
      <c r="H417" s="13">
        <f>SUMIFS(Movimentacoes!$G:$G,Movimentacoes!$C:$C,$A417,Movimentacoes!$E:$E,$C417,Movimentacoes!$B:$B,"SAIDA_USO")</f>
        <v/>
      </c>
      <c r="I417" s="13">
        <f>SUMIFS(Movimentacoes!$G:$G,Movimentacoes!$C:$C,$A417,Movimentacoes!$E:$E,$C417,Movimentacoes!$B:$B,"SAIDA_DESCARTE")</f>
        <v/>
      </c>
      <c r="J417" s="13">
        <f>G417-H417-I417</f>
        <v/>
      </c>
      <c r="K417">
        <f>IF(A417="","",IF(J417&lt;=IFERROR(VLOOKUP(A417,Cadastro_Produtos!$A:$E,5,FALSE),0),"ABAIXO DO MINIMO","OK"))</f>
        <v/>
      </c>
    </row>
    <row r="418">
      <c r="B418">
        <f>IFERROR(VLOOKUP(A418,Cadastro_Produtos!A:B,2,FALSE),"")</f>
        <v/>
      </c>
      <c r="D418" s="12" t="n"/>
      <c r="E418" s="13">
        <f>IF(D418="","",D418-TODAY())</f>
        <v/>
      </c>
      <c r="F418">
        <f>IF(D418="","",IF(E418&lt;0,"VENCIDO",IF(E418&lt;=30,"VENCE EM &lt;= 30 DIAS",IF(E418&lt;=60,"ATENCAO (31-60 DIAS)","OK"))))</f>
        <v/>
      </c>
      <c r="G418" s="13">
        <f>SUMIFS(Movimentacoes!$G:$G,Movimentacoes!$C:$C,$A418,Movimentacoes!$E:$E,$C418,Movimentacoes!$B:$B,"ENTRADA")</f>
        <v/>
      </c>
      <c r="H418" s="13">
        <f>SUMIFS(Movimentacoes!$G:$G,Movimentacoes!$C:$C,$A418,Movimentacoes!$E:$E,$C418,Movimentacoes!$B:$B,"SAIDA_USO")</f>
        <v/>
      </c>
      <c r="I418" s="13">
        <f>SUMIFS(Movimentacoes!$G:$G,Movimentacoes!$C:$C,$A418,Movimentacoes!$E:$E,$C418,Movimentacoes!$B:$B,"SAIDA_DESCARTE")</f>
        <v/>
      </c>
      <c r="J418" s="13">
        <f>G418-H418-I418</f>
        <v/>
      </c>
      <c r="K418">
        <f>IF(A418="","",IF(J418&lt;=IFERROR(VLOOKUP(A418,Cadastro_Produtos!$A:$E,5,FALSE),0),"ABAIXO DO MINIMO","OK"))</f>
        <v/>
      </c>
    </row>
    <row r="419">
      <c r="B419">
        <f>IFERROR(VLOOKUP(A419,Cadastro_Produtos!A:B,2,FALSE),"")</f>
        <v/>
      </c>
      <c r="D419" s="12" t="n"/>
      <c r="E419" s="13">
        <f>IF(D419="","",D419-TODAY())</f>
        <v/>
      </c>
      <c r="F419">
        <f>IF(D419="","",IF(E419&lt;0,"VENCIDO",IF(E419&lt;=30,"VENCE EM &lt;= 30 DIAS",IF(E419&lt;=60,"ATENCAO (31-60 DIAS)","OK"))))</f>
        <v/>
      </c>
      <c r="G419" s="13">
        <f>SUMIFS(Movimentacoes!$G:$G,Movimentacoes!$C:$C,$A419,Movimentacoes!$E:$E,$C419,Movimentacoes!$B:$B,"ENTRADA")</f>
        <v/>
      </c>
      <c r="H419" s="13">
        <f>SUMIFS(Movimentacoes!$G:$G,Movimentacoes!$C:$C,$A419,Movimentacoes!$E:$E,$C419,Movimentacoes!$B:$B,"SAIDA_USO")</f>
        <v/>
      </c>
      <c r="I419" s="13">
        <f>SUMIFS(Movimentacoes!$G:$G,Movimentacoes!$C:$C,$A419,Movimentacoes!$E:$E,$C419,Movimentacoes!$B:$B,"SAIDA_DESCARTE")</f>
        <v/>
      </c>
      <c r="J419" s="13">
        <f>G419-H419-I419</f>
        <v/>
      </c>
      <c r="K419">
        <f>IF(A419="","",IF(J419&lt;=IFERROR(VLOOKUP(A419,Cadastro_Produtos!$A:$E,5,FALSE),0),"ABAIXO DO MINIMO","OK"))</f>
        <v/>
      </c>
    </row>
    <row r="420">
      <c r="B420">
        <f>IFERROR(VLOOKUP(A420,Cadastro_Produtos!A:B,2,FALSE),"")</f>
        <v/>
      </c>
      <c r="D420" s="12" t="n"/>
      <c r="E420" s="13">
        <f>IF(D420="","",D420-TODAY())</f>
        <v/>
      </c>
      <c r="F420">
        <f>IF(D420="","",IF(E420&lt;0,"VENCIDO",IF(E420&lt;=30,"VENCE EM &lt;= 30 DIAS",IF(E420&lt;=60,"ATENCAO (31-60 DIAS)","OK"))))</f>
        <v/>
      </c>
      <c r="G420" s="13">
        <f>SUMIFS(Movimentacoes!$G:$G,Movimentacoes!$C:$C,$A420,Movimentacoes!$E:$E,$C420,Movimentacoes!$B:$B,"ENTRADA")</f>
        <v/>
      </c>
      <c r="H420" s="13">
        <f>SUMIFS(Movimentacoes!$G:$G,Movimentacoes!$C:$C,$A420,Movimentacoes!$E:$E,$C420,Movimentacoes!$B:$B,"SAIDA_USO")</f>
        <v/>
      </c>
      <c r="I420" s="13">
        <f>SUMIFS(Movimentacoes!$G:$G,Movimentacoes!$C:$C,$A420,Movimentacoes!$E:$E,$C420,Movimentacoes!$B:$B,"SAIDA_DESCARTE")</f>
        <v/>
      </c>
      <c r="J420" s="13">
        <f>G420-H420-I420</f>
        <v/>
      </c>
      <c r="K420">
        <f>IF(A420="","",IF(J420&lt;=IFERROR(VLOOKUP(A420,Cadastro_Produtos!$A:$E,5,FALSE),0),"ABAIXO DO MINIMO","OK"))</f>
        <v/>
      </c>
    </row>
    <row r="421">
      <c r="B421">
        <f>IFERROR(VLOOKUP(A421,Cadastro_Produtos!A:B,2,FALSE),"")</f>
        <v/>
      </c>
      <c r="D421" s="12" t="n"/>
      <c r="E421" s="13">
        <f>IF(D421="","",D421-TODAY())</f>
        <v/>
      </c>
      <c r="F421">
        <f>IF(D421="","",IF(E421&lt;0,"VENCIDO",IF(E421&lt;=30,"VENCE EM &lt;= 30 DIAS",IF(E421&lt;=60,"ATENCAO (31-60 DIAS)","OK"))))</f>
        <v/>
      </c>
      <c r="G421" s="13">
        <f>SUMIFS(Movimentacoes!$G:$G,Movimentacoes!$C:$C,$A421,Movimentacoes!$E:$E,$C421,Movimentacoes!$B:$B,"ENTRADA")</f>
        <v/>
      </c>
      <c r="H421" s="13">
        <f>SUMIFS(Movimentacoes!$G:$G,Movimentacoes!$C:$C,$A421,Movimentacoes!$E:$E,$C421,Movimentacoes!$B:$B,"SAIDA_USO")</f>
        <v/>
      </c>
      <c r="I421" s="13">
        <f>SUMIFS(Movimentacoes!$G:$G,Movimentacoes!$C:$C,$A421,Movimentacoes!$E:$E,$C421,Movimentacoes!$B:$B,"SAIDA_DESCARTE")</f>
        <v/>
      </c>
      <c r="J421" s="13">
        <f>G421-H421-I421</f>
        <v/>
      </c>
      <c r="K421">
        <f>IF(A421="","",IF(J421&lt;=IFERROR(VLOOKUP(A421,Cadastro_Produtos!$A:$E,5,FALSE),0),"ABAIXO DO MINIMO","OK"))</f>
        <v/>
      </c>
    </row>
    <row r="422">
      <c r="B422">
        <f>IFERROR(VLOOKUP(A422,Cadastro_Produtos!A:B,2,FALSE),"")</f>
        <v/>
      </c>
      <c r="D422" s="12" t="n"/>
      <c r="E422" s="13">
        <f>IF(D422="","",D422-TODAY())</f>
        <v/>
      </c>
      <c r="F422">
        <f>IF(D422="","",IF(E422&lt;0,"VENCIDO",IF(E422&lt;=30,"VENCE EM &lt;= 30 DIAS",IF(E422&lt;=60,"ATENCAO (31-60 DIAS)","OK"))))</f>
        <v/>
      </c>
      <c r="G422" s="13">
        <f>SUMIFS(Movimentacoes!$G:$G,Movimentacoes!$C:$C,$A422,Movimentacoes!$E:$E,$C422,Movimentacoes!$B:$B,"ENTRADA")</f>
        <v/>
      </c>
      <c r="H422" s="13">
        <f>SUMIFS(Movimentacoes!$G:$G,Movimentacoes!$C:$C,$A422,Movimentacoes!$E:$E,$C422,Movimentacoes!$B:$B,"SAIDA_USO")</f>
        <v/>
      </c>
      <c r="I422" s="13">
        <f>SUMIFS(Movimentacoes!$G:$G,Movimentacoes!$C:$C,$A422,Movimentacoes!$E:$E,$C422,Movimentacoes!$B:$B,"SAIDA_DESCARTE")</f>
        <v/>
      </c>
      <c r="J422" s="13">
        <f>G422-H422-I422</f>
        <v/>
      </c>
      <c r="K422">
        <f>IF(A422="","",IF(J422&lt;=IFERROR(VLOOKUP(A422,Cadastro_Produtos!$A:$E,5,FALSE),0),"ABAIXO DO MINIMO","OK"))</f>
        <v/>
      </c>
    </row>
    <row r="423">
      <c r="B423">
        <f>IFERROR(VLOOKUP(A423,Cadastro_Produtos!A:B,2,FALSE),"")</f>
        <v/>
      </c>
      <c r="D423" s="12" t="n"/>
      <c r="E423" s="13">
        <f>IF(D423="","",D423-TODAY())</f>
        <v/>
      </c>
      <c r="F423">
        <f>IF(D423="","",IF(E423&lt;0,"VENCIDO",IF(E423&lt;=30,"VENCE EM &lt;= 30 DIAS",IF(E423&lt;=60,"ATENCAO (31-60 DIAS)","OK"))))</f>
        <v/>
      </c>
      <c r="G423" s="13">
        <f>SUMIFS(Movimentacoes!$G:$G,Movimentacoes!$C:$C,$A423,Movimentacoes!$E:$E,$C423,Movimentacoes!$B:$B,"ENTRADA")</f>
        <v/>
      </c>
      <c r="H423" s="13">
        <f>SUMIFS(Movimentacoes!$G:$G,Movimentacoes!$C:$C,$A423,Movimentacoes!$E:$E,$C423,Movimentacoes!$B:$B,"SAIDA_USO")</f>
        <v/>
      </c>
      <c r="I423" s="13">
        <f>SUMIFS(Movimentacoes!$G:$G,Movimentacoes!$C:$C,$A423,Movimentacoes!$E:$E,$C423,Movimentacoes!$B:$B,"SAIDA_DESCARTE")</f>
        <v/>
      </c>
      <c r="J423" s="13">
        <f>G423-H423-I423</f>
        <v/>
      </c>
      <c r="K423">
        <f>IF(A423="","",IF(J423&lt;=IFERROR(VLOOKUP(A423,Cadastro_Produtos!$A:$E,5,FALSE),0),"ABAIXO DO MINIMO","OK"))</f>
        <v/>
      </c>
    </row>
    <row r="424">
      <c r="B424">
        <f>IFERROR(VLOOKUP(A424,Cadastro_Produtos!A:B,2,FALSE),"")</f>
        <v/>
      </c>
      <c r="D424" s="12" t="n"/>
      <c r="E424" s="13">
        <f>IF(D424="","",D424-TODAY())</f>
        <v/>
      </c>
      <c r="F424">
        <f>IF(D424="","",IF(E424&lt;0,"VENCIDO",IF(E424&lt;=30,"VENCE EM &lt;= 30 DIAS",IF(E424&lt;=60,"ATENCAO (31-60 DIAS)","OK"))))</f>
        <v/>
      </c>
      <c r="G424" s="13">
        <f>SUMIFS(Movimentacoes!$G:$G,Movimentacoes!$C:$C,$A424,Movimentacoes!$E:$E,$C424,Movimentacoes!$B:$B,"ENTRADA")</f>
        <v/>
      </c>
      <c r="H424" s="13">
        <f>SUMIFS(Movimentacoes!$G:$G,Movimentacoes!$C:$C,$A424,Movimentacoes!$E:$E,$C424,Movimentacoes!$B:$B,"SAIDA_USO")</f>
        <v/>
      </c>
      <c r="I424" s="13">
        <f>SUMIFS(Movimentacoes!$G:$G,Movimentacoes!$C:$C,$A424,Movimentacoes!$E:$E,$C424,Movimentacoes!$B:$B,"SAIDA_DESCARTE")</f>
        <v/>
      </c>
      <c r="J424" s="13">
        <f>G424-H424-I424</f>
        <v/>
      </c>
      <c r="K424">
        <f>IF(A424="","",IF(J424&lt;=IFERROR(VLOOKUP(A424,Cadastro_Produtos!$A:$E,5,FALSE),0),"ABAIXO DO MINIMO","OK"))</f>
        <v/>
      </c>
    </row>
    <row r="425">
      <c r="B425">
        <f>IFERROR(VLOOKUP(A425,Cadastro_Produtos!A:B,2,FALSE),"")</f>
        <v/>
      </c>
      <c r="D425" s="12" t="n"/>
      <c r="E425" s="13">
        <f>IF(D425="","",D425-TODAY())</f>
        <v/>
      </c>
      <c r="F425">
        <f>IF(D425="","",IF(E425&lt;0,"VENCIDO",IF(E425&lt;=30,"VENCE EM &lt;= 30 DIAS",IF(E425&lt;=60,"ATENCAO (31-60 DIAS)","OK"))))</f>
        <v/>
      </c>
      <c r="G425" s="13">
        <f>SUMIFS(Movimentacoes!$G:$G,Movimentacoes!$C:$C,$A425,Movimentacoes!$E:$E,$C425,Movimentacoes!$B:$B,"ENTRADA")</f>
        <v/>
      </c>
      <c r="H425" s="13">
        <f>SUMIFS(Movimentacoes!$G:$G,Movimentacoes!$C:$C,$A425,Movimentacoes!$E:$E,$C425,Movimentacoes!$B:$B,"SAIDA_USO")</f>
        <v/>
      </c>
      <c r="I425" s="13">
        <f>SUMIFS(Movimentacoes!$G:$G,Movimentacoes!$C:$C,$A425,Movimentacoes!$E:$E,$C425,Movimentacoes!$B:$B,"SAIDA_DESCARTE")</f>
        <v/>
      </c>
      <c r="J425" s="13">
        <f>G425-H425-I425</f>
        <v/>
      </c>
      <c r="K425">
        <f>IF(A425="","",IF(J425&lt;=IFERROR(VLOOKUP(A425,Cadastro_Produtos!$A:$E,5,FALSE),0),"ABAIXO DO MINIMO","OK"))</f>
        <v/>
      </c>
    </row>
    <row r="426">
      <c r="B426">
        <f>IFERROR(VLOOKUP(A426,Cadastro_Produtos!A:B,2,FALSE),"")</f>
        <v/>
      </c>
      <c r="D426" s="12" t="n"/>
      <c r="E426" s="13">
        <f>IF(D426="","",D426-TODAY())</f>
        <v/>
      </c>
      <c r="F426">
        <f>IF(D426="","",IF(E426&lt;0,"VENCIDO",IF(E426&lt;=30,"VENCE EM &lt;= 30 DIAS",IF(E426&lt;=60,"ATENCAO (31-60 DIAS)","OK"))))</f>
        <v/>
      </c>
      <c r="G426" s="13">
        <f>SUMIFS(Movimentacoes!$G:$G,Movimentacoes!$C:$C,$A426,Movimentacoes!$E:$E,$C426,Movimentacoes!$B:$B,"ENTRADA")</f>
        <v/>
      </c>
      <c r="H426" s="13">
        <f>SUMIFS(Movimentacoes!$G:$G,Movimentacoes!$C:$C,$A426,Movimentacoes!$E:$E,$C426,Movimentacoes!$B:$B,"SAIDA_USO")</f>
        <v/>
      </c>
      <c r="I426" s="13">
        <f>SUMIFS(Movimentacoes!$G:$G,Movimentacoes!$C:$C,$A426,Movimentacoes!$E:$E,$C426,Movimentacoes!$B:$B,"SAIDA_DESCARTE")</f>
        <v/>
      </c>
      <c r="J426" s="13">
        <f>G426-H426-I426</f>
        <v/>
      </c>
      <c r="K426">
        <f>IF(A426="","",IF(J426&lt;=IFERROR(VLOOKUP(A426,Cadastro_Produtos!$A:$E,5,FALSE),0),"ABAIXO DO MINIMO","OK"))</f>
        <v/>
      </c>
    </row>
    <row r="427">
      <c r="B427">
        <f>IFERROR(VLOOKUP(A427,Cadastro_Produtos!A:B,2,FALSE),"")</f>
        <v/>
      </c>
      <c r="D427" s="12" t="n"/>
      <c r="E427" s="13">
        <f>IF(D427="","",D427-TODAY())</f>
        <v/>
      </c>
      <c r="F427">
        <f>IF(D427="","",IF(E427&lt;0,"VENCIDO",IF(E427&lt;=30,"VENCE EM &lt;= 30 DIAS",IF(E427&lt;=60,"ATENCAO (31-60 DIAS)","OK"))))</f>
        <v/>
      </c>
      <c r="G427" s="13">
        <f>SUMIFS(Movimentacoes!$G:$G,Movimentacoes!$C:$C,$A427,Movimentacoes!$E:$E,$C427,Movimentacoes!$B:$B,"ENTRADA")</f>
        <v/>
      </c>
      <c r="H427" s="13">
        <f>SUMIFS(Movimentacoes!$G:$G,Movimentacoes!$C:$C,$A427,Movimentacoes!$E:$E,$C427,Movimentacoes!$B:$B,"SAIDA_USO")</f>
        <v/>
      </c>
      <c r="I427" s="13">
        <f>SUMIFS(Movimentacoes!$G:$G,Movimentacoes!$C:$C,$A427,Movimentacoes!$E:$E,$C427,Movimentacoes!$B:$B,"SAIDA_DESCARTE")</f>
        <v/>
      </c>
      <c r="J427" s="13">
        <f>G427-H427-I427</f>
        <v/>
      </c>
      <c r="K427">
        <f>IF(A427="","",IF(J427&lt;=IFERROR(VLOOKUP(A427,Cadastro_Produtos!$A:$E,5,FALSE),0),"ABAIXO DO MINIMO","OK"))</f>
        <v/>
      </c>
    </row>
    <row r="428">
      <c r="B428">
        <f>IFERROR(VLOOKUP(A428,Cadastro_Produtos!A:B,2,FALSE),"")</f>
        <v/>
      </c>
      <c r="D428" s="12" t="n"/>
      <c r="E428" s="13">
        <f>IF(D428="","",D428-TODAY())</f>
        <v/>
      </c>
      <c r="F428">
        <f>IF(D428="","",IF(E428&lt;0,"VENCIDO",IF(E428&lt;=30,"VENCE EM &lt;= 30 DIAS",IF(E428&lt;=60,"ATENCAO (31-60 DIAS)","OK"))))</f>
        <v/>
      </c>
      <c r="G428" s="13">
        <f>SUMIFS(Movimentacoes!$G:$G,Movimentacoes!$C:$C,$A428,Movimentacoes!$E:$E,$C428,Movimentacoes!$B:$B,"ENTRADA")</f>
        <v/>
      </c>
      <c r="H428" s="13">
        <f>SUMIFS(Movimentacoes!$G:$G,Movimentacoes!$C:$C,$A428,Movimentacoes!$E:$E,$C428,Movimentacoes!$B:$B,"SAIDA_USO")</f>
        <v/>
      </c>
      <c r="I428" s="13">
        <f>SUMIFS(Movimentacoes!$G:$G,Movimentacoes!$C:$C,$A428,Movimentacoes!$E:$E,$C428,Movimentacoes!$B:$B,"SAIDA_DESCARTE")</f>
        <v/>
      </c>
      <c r="J428" s="13">
        <f>G428-H428-I428</f>
        <v/>
      </c>
      <c r="K428">
        <f>IF(A428="","",IF(J428&lt;=IFERROR(VLOOKUP(A428,Cadastro_Produtos!$A:$E,5,FALSE),0),"ABAIXO DO MINIMO","OK"))</f>
        <v/>
      </c>
    </row>
    <row r="429">
      <c r="B429">
        <f>IFERROR(VLOOKUP(A429,Cadastro_Produtos!A:B,2,FALSE),"")</f>
        <v/>
      </c>
      <c r="D429" s="12" t="n"/>
      <c r="E429" s="13">
        <f>IF(D429="","",D429-TODAY())</f>
        <v/>
      </c>
      <c r="F429">
        <f>IF(D429="","",IF(E429&lt;0,"VENCIDO",IF(E429&lt;=30,"VENCE EM &lt;= 30 DIAS",IF(E429&lt;=60,"ATENCAO (31-60 DIAS)","OK"))))</f>
        <v/>
      </c>
      <c r="G429" s="13">
        <f>SUMIFS(Movimentacoes!$G:$G,Movimentacoes!$C:$C,$A429,Movimentacoes!$E:$E,$C429,Movimentacoes!$B:$B,"ENTRADA")</f>
        <v/>
      </c>
      <c r="H429" s="13">
        <f>SUMIFS(Movimentacoes!$G:$G,Movimentacoes!$C:$C,$A429,Movimentacoes!$E:$E,$C429,Movimentacoes!$B:$B,"SAIDA_USO")</f>
        <v/>
      </c>
      <c r="I429" s="13">
        <f>SUMIFS(Movimentacoes!$G:$G,Movimentacoes!$C:$C,$A429,Movimentacoes!$E:$E,$C429,Movimentacoes!$B:$B,"SAIDA_DESCARTE")</f>
        <v/>
      </c>
      <c r="J429" s="13">
        <f>G429-H429-I429</f>
        <v/>
      </c>
      <c r="K429">
        <f>IF(A429="","",IF(J429&lt;=IFERROR(VLOOKUP(A429,Cadastro_Produtos!$A:$E,5,FALSE),0),"ABAIXO DO MINIMO","OK"))</f>
        <v/>
      </c>
    </row>
    <row r="430">
      <c r="B430">
        <f>IFERROR(VLOOKUP(A430,Cadastro_Produtos!A:B,2,FALSE),"")</f>
        <v/>
      </c>
      <c r="D430" s="12" t="n"/>
      <c r="E430" s="13">
        <f>IF(D430="","",D430-TODAY())</f>
        <v/>
      </c>
      <c r="F430">
        <f>IF(D430="","",IF(E430&lt;0,"VENCIDO",IF(E430&lt;=30,"VENCE EM &lt;= 30 DIAS",IF(E430&lt;=60,"ATENCAO (31-60 DIAS)","OK"))))</f>
        <v/>
      </c>
      <c r="G430" s="13">
        <f>SUMIFS(Movimentacoes!$G:$G,Movimentacoes!$C:$C,$A430,Movimentacoes!$E:$E,$C430,Movimentacoes!$B:$B,"ENTRADA")</f>
        <v/>
      </c>
      <c r="H430" s="13">
        <f>SUMIFS(Movimentacoes!$G:$G,Movimentacoes!$C:$C,$A430,Movimentacoes!$E:$E,$C430,Movimentacoes!$B:$B,"SAIDA_USO")</f>
        <v/>
      </c>
      <c r="I430" s="13">
        <f>SUMIFS(Movimentacoes!$G:$G,Movimentacoes!$C:$C,$A430,Movimentacoes!$E:$E,$C430,Movimentacoes!$B:$B,"SAIDA_DESCARTE")</f>
        <v/>
      </c>
      <c r="J430" s="13">
        <f>G430-H430-I430</f>
        <v/>
      </c>
      <c r="K430">
        <f>IF(A430="","",IF(J430&lt;=IFERROR(VLOOKUP(A430,Cadastro_Produtos!$A:$E,5,FALSE),0),"ABAIXO DO MINIMO","OK"))</f>
        <v/>
      </c>
    </row>
    <row r="431">
      <c r="B431">
        <f>IFERROR(VLOOKUP(A431,Cadastro_Produtos!A:B,2,FALSE),"")</f>
        <v/>
      </c>
      <c r="D431" s="12" t="n"/>
      <c r="E431" s="13">
        <f>IF(D431="","",D431-TODAY())</f>
        <v/>
      </c>
      <c r="F431">
        <f>IF(D431="","",IF(E431&lt;0,"VENCIDO",IF(E431&lt;=30,"VENCE EM &lt;= 30 DIAS",IF(E431&lt;=60,"ATENCAO (31-60 DIAS)","OK"))))</f>
        <v/>
      </c>
      <c r="G431" s="13">
        <f>SUMIFS(Movimentacoes!$G:$G,Movimentacoes!$C:$C,$A431,Movimentacoes!$E:$E,$C431,Movimentacoes!$B:$B,"ENTRADA")</f>
        <v/>
      </c>
      <c r="H431" s="13">
        <f>SUMIFS(Movimentacoes!$G:$G,Movimentacoes!$C:$C,$A431,Movimentacoes!$E:$E,$C431,Movimentacoes!$B:$B,"SAIDA_USO")</f>
        <v/>
      </c>
      <c r="I431" s="13">
        <f>SUMIFS(Movimentacoes!$G:$G,Movimentacoes!$C:$C,$A431,Movimentacoes!$E:$E,$C431,Movimentacoes!$B:$B,"SAIDA_DESCARTE")</f>
        <v/>
      </c>
      <c r="J431" s="13">
        <f>G431-H431-I431</f>
        <v/>
      </c>
      <c r="K431">
        <f>IF(A431="","",IF(J431&lt;=IFERROR(VLOOKUP(A431,Cadastro_Produtos!$A:$E,5,FALSE),0),"ABAIXO DO MINIMO","OK"))</f>
        <v/>
      </c>
    </row>
    <row r="432">
      <c r="B432">
        <f>IFERROR(VLOOKUP(A432,Cadastro_Produtos!A:B,2,FALSE),"")</f>
        <v/>
      </c>
      <c r="D432" s="12" t="n"/>
      <c r="E432" s="13">
        <f>IF(D432="","",D432-TODAY())</f>
        <v/>
      </c>
      <c r="F432">
        <f>IF(D432="","",IF(E432&lt;0,"VENCIDO",IF(E432&lt;=30,"VENCE EM &lt;= 30 DIAS",IF(E432&lt;=60,"ATENCAO (31-60 DIAS)","OK"))))</f>
        <v/>
      </c>
      <c r="G432" s="13">
        <f>SUMIFS(Movimentacoes!$G:$G,Movimentacoes!$C:$C,$A432,Movimentacoes!$E:$E,$C432,Movimentacoes!$B:$B,"ENTRADA")</f>
        <v/>
      </c>
      <c r="H432" s="13">
        <f>SUMIFS(Movimentacoes!$G:$G,Movimentacoes!$C:$C,$A432,Movimentacoes!$E:$E,$C432,Movimentacoes!$B:$B,"SAIDA_USO")</f>
        <v/>
      </c>
      <c r="I432" s="13">
        <f>SUMIFS(Movimentacoes!$G:$G,Movimentacoes!$C:$C,$A432,Movimentacoes!$E:$E,$C432,Movimentacoes!$B:$B,"SAIDA_DESCARTE")</f>
        <v/>
      </c>
      <c r="J432" s="13">
        <f>G432-H432-I432</f>
        <v/>
      </c>
      <c r="K432">
        <f>IF(A432="","",IF(J432&lt;=IFERROR(VLOOKUP(A432,Cadastro_Produtos!$A:$E,5,FALSE),0),"ABAIXO DO MINIMO","OK"))</f>
        <v/>
      </c>
    </row>
    <row r="433">
      <c r="B433">
        <f>IFERROR(VLOOKUP(A433,Cadastro_Produtos!A:B,2,FALSE),"")</f>
        <v/>
      </c>
      <c r="D433" s="12" t="n"/>
      <c r="E433" s="13">
        <f>IF(D433="","",D433-TODAY())</f>
        <v/>
      </c>
      <c r="F433">
        <f>IF(D433="","",IF(E433&lt;0,"VENCIDO",IF(E433&lt;=30,"VENCE EM &lt;= 30 DIAS",IF(E433&lt;=60,"ATENCAO (31-60 DIAS)","OK"))))</f>
        <v/>
      </c>
      <c r="G433" s="13">
        <f>SUMIFS(Movimentacoes!$G:$G,Movimentacoes!$C:$C,$A433,Movimentacoes!$E:$E,$C433,Movimentacoes!$B:$B,"ENTRADA")</f>
        <v/>
      </c>
      <c r="H433" s="13">
        <f>SUMIFS(Movimentacoes!$G:$G,Movimentacoes!$C:$C,$A433,Movimentacoes!$E:$E,$C433,Movimentacoes!$B:$B,"SAIDA_USO")</f>
        <v/>
      </c>
      <c r="I433" s="13">
        <f>SUMIFS(Movimentacoes!$G:$G,Movimentacoes!$C:$C,$A433,Movimentacoes!$E:$E,$C433,Movimentacoes!$B:$B,"SAIDA_DESCARTE")</f>
        <v/>
      </c>
      <c r="J433" s="13">
        <f>G433-H433-I433</f>
        <v/>
      </c>
      <c r="K433">
        <f>IF(A433="","",IF(J433&lt;=IFERROR(VLOOKUP(A433,Cadastro_Produtos!$A:$E,5,FALSE),0),"ABAIXO DO MINIMO","OK"))</f>
        <v/>
      </c>
    </row>
    <row r="434">
      <c r="B434">
        <f>IFERROR(VLOOKUP(A434,Cadastro_Produtos!A:B,2,FALSE),"")</f>
        <v/>
      </c>
      <c r="D434" s="12" t="n"/>
      <c r="E434" s="13">
        <f>IF(D434="","",D434-TODAY())</f>
        <v/>
      </c>
      <c r="F434">
        <f>IF(D434="","",IF(E434&lt;0,"VENCIDO",IF(E434&lt;=30,"VENCE EM &lt;= 30 DIAS",IF(E434&lt;=60,"ATENCAO (31-60 DIAS)","OK"))))</f>
        <v/>
      </c>
      <c r="G434" s="13">
        <f>SUMIFS(Movimentacoes!$G:$G,Movimentacoes!$C:$C,$A434,Movimentacoes!$E:$E,$C434,Movimentacoes!$B:$B,"ENTRADA")</f>
        <v/>
      </c>
      <c r="H434" s="13">
        <f>SUMIFS(Movimentacoes!$G:$G,Movimentacoes!$C:$C,$A434,Movimentacoes!$E:$E,$C434,Movimentacoes!$B:$B,"SAIDA_USO")</f>
        <v/>
      </c>
      <c r="I434" s="13">
        <f>SUMIFS(Movimentacoes!$G:$G,Movimentacoes!$C:$C,$A434,Movimentacoes!$E:$E,$C434,Movimentacoes!$B:$B,"SAIDA_DESCARTE")</f>
        <v/>
      </c>
      <c r="J434" s="13">
        <f>G434-H434-I434</f>
        <v/>
      </c>
      <c r="K434">
        <f>IF(A434="","",IF(J434&lt;=IFERROR(VLOOKUP(A434,Cadastro_Produtos!$A:$E,5,FALSE),0),"ABAIXO DO MINIMO","OK"))</f>
        <v/>
      </c>
    </row>
    <row r="435">
      <c r="B435">
        <f>IFERROR(VLOOKUP(A435,Cadastro_Produtos!A:B,2,FALSE),"")</f>
        <v/>
      </c>
      <c r="D435" s="12" t="n"/>
      <c r="E435" s="13">
        <f>IF(D435="","",D435-TODAY())</f>
        <v/>
      </c>
      <c r="F435">
        <f>IF(D435="","",IF(E435&lt;0,"VENCIDO",IF(E435&lt;=30,"VENCE EM &lt;= 30 DIAS",IF(E435&lt;=60,"ATENCAO (31-60 DIAS)","OK"))))</f>
        <v/>
      </c>
      <c r="G435" s="13">
        <f>SUMIFS(Movimentacoes!$G:$G,Movimentacoes!$C:$C,$A435,Movimentacoes!$E:$E,$C435,Movimentacoes!$B:$B,"ENTRADA")</f>
        <v/>
      </c>
      <c r="H435" s="13">
        <f>SUMIFS(Movimentacoes!$G:$G,Movimentacoes!$C:$C,$A435,Movimentacoes!$E:$E,$C435,Movimentacoes!$B:$B,"SAIDA_USO")</f>
        <v/>
      </c>
      <c r="I435" s="13">
        <f>SUMIFS(Movimentacoes!$G:$G,Movimentacoes!$C:$C,$A435,Movimentacoes!$E:$E,$C435,Movimentacoes!$B:$B,"SAIDA_DESCARTE")</f>
        <v/>
      </c>
      <c r="J435" s="13">
        <f>G435-H435-I435</f>
        <v/>
      </c>
      <c r="K435">
        <f>IF(A435="","",IF(J435&lt;=IFERROR(VLOOKUP(A435,Cadastro_Produtos!$A:$E,5,FALSE),0),"ABAIXO DO MINIMO","OK"))</f>
        <v/>
      </c>
    </row>
    <row r="436">
      <c r="B436">
        <f>IFERROR(VLOOKUP(A436,Cadastro_Produtos!A:B,2,FALSE),"")</f>
        <v/>
      </c>
      <c r="D436" s="12" t="n"/>
      <c r="E436" s="13">
        <f>IF(D436="","",D436-TODAY())</f>
        <v/>
      </c>
      <c r="F436">
        <f>IF(D436="","",IF(E436&lt;0,"VENCIDO",IF(E436&lt;=30,"VENCE EM &lt;= 30 DIAS",IF(E436&lt;=60,"ATENCAO (31-60 DIAS)","OK"))))</f>
        <v/>
      </c>
      <c r="G436" s="13">
        <f>SUMIFS(Movimentacoes!$G:$G,Movimentacoes!$C:$C,$A436,Movimentacoes!$E:$E,$C436,Movimentacoes!$B:$B,"ENTRADA")</f>
        <v/>
      </c>
      <c r="H436" s="13">
        <f>SUMIFS(Movimentacoes!$G:$G,Movimentacoes!$C:$C,$A436,Movimentacoes!$E:$E,$C436,Movimentacoes!$B:$B,"SAIDA_USO")</f>
        <v/>
      </c>
      <c r="I436" s="13">
        <f>SUMIFS(Movimentacoes!$G:$G,Movimentacoes!$C:$C,$A436,Movimentacoes!$E:$E,$C436,Movimentacoes!$B:$B,"SAIDA_DESCARTE")</f>
        <v/>
      </c>
      <c r="J436" s="13">
        <f>G436-H436-I436</f>
        <v/>
      </c>
      <c r="K436">
        <f>IF(A436="","",IF(J436&lt;=IFERROR(VLOOKUP(A436,Cadastro_Produtos!$A:$E,5,FALSE),0),"ABAIXO DO MINIMO","OK"))</f>
        <v/>
      </c>
    </row>
    <row r="437">
      <c r="B437">
        <f>IFERROR(VLOOKUP(A437,Cadastro_Produtos!A:B,2,FALSE),"")</f>
        <v/>
      </c>
      <c r="D437" s="12" t="n"/>
      <c r="E437" s="13">
        <f>IF(D437="","",D437-TODAY())</f>
        <v/>
      </c>
      <c r="F437">
        <f>IF(D437="","",IF(E437&lt;0,"VENCIDO",IF(E437&lt;=30,"VENCE EM &lt;= 30 DIAS",IF(E437&lt;=60,"ATENCAO (31-60 DIAS)","OK"))))</f>
        <v/>
      </c>
      <c r="G437" s="13">
        <f>SUMIFS(Movimentacoes!$G:$G,Movimentacoes!$C:$C,$A437,Movimentacoes!$E:$E,$C437,Movimentacoes!$B:$B,"ENTRADA")</f>
        <v/>
      </c>
      <c r="H437" s="13">
        <f>SUMIFS(Movimentacoes!$G:$G,Movimentacoes!$C:$C,$A437,Movimentacoes!$E:$E,$C437,Movimentacoes!$B:$B,"SAIDA_USO")</f>
        <v/>
      </c>
      <c r="I437" s="13">
        <f>SUMIFS(Movimentacoes!$G:$G,Movimentacoes!$C:$C,$A437,Movimentacoes!$E:$E,$C437,Movimentacoes!$B:$B,"SAIDA_DESCARTE")</f>
        <v/>
      </c>
      <c r="J437" s="13">
        <f>G437-H437-I437</f>
        <v/>
      </c>
      <c r="K437">
        <f>IF(A437="","",IF(J437&lt;=IFERROR(VLOOKUP(A437,Cadastro_Produtos!$A:$E,5,FALSE),0),"ABAIXO DO MINIMO","OK"))</f>
        <v/>
      </c>
    </row>
    <row r="438">
      <c r="B438">
        <f>IFERROR(VLOOKUP(A438,Cadastro_Produtos!A:B,2,FALSE),"")</f>
        <v/>
      </c>
      <c r="D438" s="12" t="n"/>
      <c r="E438" s="13">
        <f>IF(D438="","",D438-TODAY())</f>
        <v/>
      </c>
      <c r="F438">
        <f>IF(D438="","",IF(E438&lt;0,"VENCIDO",IF(E438&lt;=30,"VENCE EM &lt;= 30 DIAS",IF(E438&lt;=60,"ATENCAO (31-60 DIAS)","OK"))))</f>
        <v/>
      </c>
      <c r="G438" s="13">
        <f>SUMIFS(Movimentacoes!$G:$G,Movimentacoes!$C:$C,$A438,Movimentacoes!$E:$E,$C438,Movimentacoes!$B:$B,"ENTRADA")</f>
        <v/>
      </c>
      <c r="H438" s="13">
        <f>SUMIFS(Movimentacoes!$G:$G,Movimentacoes!$C:$C,$A438,Movimentacoes!$E:$E,$C438,Movimentacoes!$B:$B,"SAIDA_USO")</f>
        <v/>
      </c>
      <c r="I438" s="13">
        <f>SUMIFS(Movimentacoes!$G:$G,Movimentacoes!$C:$C,$A438,Movimentacoes!$E:$E,$C438,Movimentacoes!$B:$B,"SAIDA_DESCARTE")</f>
        <v/>
      </c>
      <c r="J438" s="13">
        <f>G438-H438-I438</f>
        <v/>
      </c>
      <c r="K438">
        <f>IF(A438="","",IF(J438&lt;=IFERROR(VLOOKUP(A438,Cadastro_Produtos!$A:$E,5,FALSE),0),"ABAIXO DO MINIMO","OK"))</f>
        <v/>
      </c>
    </row>
    <row r="439">
      <c r="B439">
        <f>IFERROR(VLOOKUP(A439,Cadastro_Produtos!A:B,2,FALSE),"")</f>
        <v/>
      </c>
      <c r="D439" s="12" t="n"/>
      <c r="E439" s="13">
        <f>IF(D439="","",D439-TODAY())</f>
        <v/>
      </c>
      <c r="F439">
        <f>IF(D439="","",IF(E439&lt;0,"VENCIDO",IF(E439&lt;=30,"VENCE EM &lt;= 30 DIAS",IF(E439&lt;=60,"ATENCAO (31-60 DIAS)","OK"))))</f>
        <v/>
      </c>
      <c r="G439" s="13">
        <f>SUMIFS(Movimentacoes!$G:$G,Movimentacoes!$C:$C,$A439,Movimentacoes!$E:$E,$C439,Movimentacoes!$B:$B,"ENTRADA")</f>
        <v/>
      </c>
      <c r="H439" s="13">
        <f>SUMIFS(Movimentacoes!$G:$G,Movimentacoes!$C:$C,$A439,Movimentacoes!$E:$E,$C439,Movimentacoes!$B:$B,"SAIDA_USO")</f>
        <v/>
      </c>
      <c r="I439" s="13">
        <f>SUMIFS(Movimentacoes!$G:$G,Movimentacoes!$C:$C,$A439,Movimentacoes!$E:$E,$C439,Movimentacoes!$B:$B,"SAIDA_DESCARTE")</f>
        <v/>
      </c>
      <c r="J439" s="13">
        <f>G439-H439-I439</f>
        <v/>
      </c>
      <c r="K439">
        <f>IF(A439="","",IF(J439&lt;=IFERROR(VLOOKUP(A439,Cadastro_Produtos!$A:$E,5,FALSE),0),"ABAIXO DO MINIMO","OK"))</f>
        <v/>
      </c>
    </row>
    <row r="440">
      <c r="B440">
        <f>IFERROR(VLOOKUP(A440,Cadastro_Produtos!A:B,2,FALSE),"")</f>
        <v/>
      </c>
      <c r="D440" s="12" t="n"/>
      <c r="E440" s="13">
        <f>IF(D440="","",D440-TODAY())</f>
        <v/>
      </c>
      <c r="F440">
        <f>IF(D440="","",IF(E440&lt;0,"VENCIDO",IF(E440&lt;=30,"VENCE EM &lt;= 30 DIAS",IF(E440&lt;=60,"ATENCAO (31-60 DIAS)","OK"))))</f>
        <v/>
      </c>
      <c r="G440" s="13">
        <f>SUMIFS(Movimentacoes!$G:$G,Movimentacoes!$C:$C,$A440,Movimentacoes!$E:$E,$C440,Movimentacoes!$B:$B,"ENTRADA")</f>
        <v/>
      </c>
      <c r="H440" s="13">
        <f>SUMIFS(Movimentacoes!$G:$G,Movimentacoes!$C:$C,$A440,Movimentacoes!$E:$E,$C440,Movimentacoes!$B:$B,"SAIDA_USO")</f>
        <v/>
      </c>
      <c r="I440" s="13">
        <f>SUMIFS(Movimentacoes!$G:$G,Movimentacoes!$C:$C,$A440,Movimentacoes!$E:$E,$C440,Movimentacoes!$B:$B,"SAIDA_DESCARTE")</f>
        <v/>
      </c>
      <c r="J440" s="13">
        <f>G440-H440-I440</f>
        <v/>
      </c>
      <c r="K440">
        <f>IF(A440="","",IF(J440&lt;=IFERROR(VLOOKUP(A440,Cadastro_Produtos!$A:$E,5,FALSE),0),"ABAIXO DO MINIMO","OK"))</f>
        <v/>
      </c>
    </row>
    <row r="441">
      <c r="B441">
        <f>IFERROR(VLOOKUP(A441,Cadastro_Produtos!A:B,2,FALSE),"")</f>
        <v/>
      </c>
      <c r="D441" s="12" t="n"/>
      <c r="E441" s="13">
        <f>IF(D441="","",D441-TODAY())</f>
        <v/>
      </c>
      <c r="F441">
        <f>IF(D441="","",IF(E441&lt;0,"VENCIDO",IF(E441&lt;=30,"VENCE EM &lt;= 30 DIAS",IF(E441&lt;=60,"ATENCAO (31-60 DIAS)","OK"))))</f>
        <v/>
      </c>
      <c r="G441" s="13">
        <f>SUMIFS(Movimentacoes!$G:$G,Movimentacoes!$C:$C,$A441,Movimentacoes!$E:$E,$C441,Movimentacoes!$B:$B,"ENTRADA")</f>
        <v/>
      </c>
      <c r="H441" s="13">
        <f>SUMIFS(Movimentacoes!$G:$G,Movimentacoes!$C:$C,$A441,Movimentacoes!$E:$E,$C441,Movimentacoes!$B:$B,"SAIDA_USO")</f>
        <v/>
      </c>
      <c r="I441" s="13">
        <f>SUMIFS(Movimentacoes!$G:$G,Movimentacoes!$C:$C,$A441,Movimentacoes!$E:$E,$C441,Movimentacoes!$B:$B,"SAIDA_DESCARTE")</f>
        <v/>
      </c>
      <c r="J441" s="13">
        <f>G441-H441-I441</f>
        <v/>
      </c>
      <c r="K441">
        <f>IF(A441="","",IF(J441&lt;=IFERROR(VLOOKUP(A441,Cadastro_Produtos!$A:$E,5,FALSE),0),"ABAIXO DO MINIMO","OK"))</f>
        <v/>
      </c>
    </row>
    <row r="442">
      <c r="B442">
        <f>IFERROR(VLOOKUP(A442,Cadastro_Produtos!A:B,2,FALSE),"")</f>
        <v/>
      </c>
      <c r="D442" s="12" t="n"/>
      <c r="E442" s="13">
        <f>IF(D442="","",D442-TODAY())</f>
        <v/>
      </c>
      <c r="F442">
        <f>IF(D442="","",IF(E442&lt;0,"VENCIDO",IF(E442&lt;=30,"VENCE EM &lt;= 30 DIAS",IF(E442&lt;=60,"ATENCAO (31-60 DIAS)","OK"))))</f>
        <v/>
      </c>
      <c r="G442" s="13">
        <f>SUMIFS(Movimentacoes!$G:$G,Movimentacoes!$C:$C,$A442,Movimentacoes!$E:$E,$C442,Movimentacoes!$B:$B,"ENTRADA")</f>
        <v/>
      </c>
      <c r="H442" s="13">
        <f>SUMIFS(Movimentacoes!$G:$G,Movimentacoes!$C:$C,$A442,Movimentacoes!$E:$E,$C442,Movimentacoes!$B:$B,"SAIDA_USO")</f>
        <v/>
      </c>
      <c r="I442" s="13">
        <f>SUMIFS(Movimentacoes!$G:$G,Movimentacoes!$C:$C,$A442,Movimentacoes!$E:$E,$C442,Movimentacoes!$B:$B,"SAIDA_DESCARTE")</f>
        <v/>
      </c>
      <c r="J442" s="13">
        <f>G442-H442-I442</f>
        <v/>
      </c>
      <c r="K442">
        <f>IF(A442="","",IF(J442&lt;=IFERROR(VLOOKUP(A442,Cadastro_Produtos!$A:$E,5,FALSE),0),"ABAIXO DO MINIMO","OK"))</f>
        <v/>
      </c>
    </row>
    <row r="443">
      <c r="B443">
        <f>IFERROR(VLOOKUP(A443,Cadastro_Produtos!A:B,2,FALSE),"")</f>
        <v/>
      </c>
      <c r="D443" s="12" t="n"/>
      <c r="E443" s="13">
        <f>IF(D443="","",D443-TODAY())</f>
        <v/>
      </c>
      <c r="F443">
        <f>IF(D443="","",IF(E443&lt;0,"VENCIDO",IF(E443&lt;=30,"VENCE EM &lt;= 30 DIAS",IF(E443&lt;=60,"ATENCAO (31-60 DIAS)","OK"))))</f>
        <v/>
      </c>
      <c r="G443" s="13">
        <f>SUMIFS(Movimentacoes!$G:$G,Movimentacoes!$C:$C,$A443,Movimentacoes!$E:$E,$C443,Movimentacoes!$B:$B,"ENTRADA")</f>
        <v/>
      </c>
      <c r="H443" s="13">
        <f>SUMIFS(Movimentacoes!$G:$G,Movimentacoes!$C:$C,$A443,Movimentacoes!$E:$E,$C443,Movimentacoes!$B:$B,"SAIDA_USO")</f>
        <v/>
      </c>
      <c r="I443" s="13">
        <f>SUMIFS(Movimentacoes!$G:$G,Movimentacoes!$C:$C,$A443,Movimentacoes!$E:$E,$C443,Movimentacoes!$B:$B,"SAIDA_DESCARTE")</f>
        <v/>
      </c>
      <c r="J443" s="13">
        <f>G443-H443-I443</f>
        <v/>
      </c>
      <c r="K443">
        <f>IF(A443="","",IF(J443&lt;=IFERROR(VLOOKUP(A443,Cadastro_Produtos!$A:$E,5,FALSE),0),"ABAIXO DO MINIMO","OK"))</f>
        <v/>
      </c>
    </row>
    <row r="444">
      <c r="B444">
        <f>IFERROR(VLOOKUP(A444,Cadastro_Produtos!A:B,2,FALSE),"")</f>
        <v/>
      </c>
      <c r="D444" s="12" t="n"/>
      <c r="E444" s="13">
        <f>IF(D444="","",D444-TODAY())</f>
        <v/>
      </c>
      <c r="F444">
        <f>IF(D444="","",IF(E444&lt;0,"VENCIDO",IF(E444&lt;=30,"VENCE EM &lt;= 30 DIAS",IF(E444&lt;=60,"ATENCAO (31-60 DIAS)","OK"))))</f>
        <v/>
      </c>
      <c r="G444" s="13">
        <f>SUMIFS(Movimentacoes!$G:$G,Movimentacoes!$C:$C,$A444,Movimentacoes!$E:$E,$C444,Movimentacoes!$B:$B,"ENTRADA")</f>
        <v/>
      </c>
      <c r="H444" s="13">
        <f>SUMIFS(Movimentacoes!$G:$G,Movimentacoes!$C:$C,$A444,Movimentacoes!$E:$E,$C444,Movimentacoes!$B:$B,"SAIDA_USO")</f>
        <v/>
      </c>
      <c r="I444" s="13">
        <f>SUMIFS(Movimentacoes!$G:$G,Movimentacoes!$C:$C,$A444,Movimentacoes!$E:$E,$C444,Movimentacoes!$B:$B,"SAIDA_DESCARTE")</f>
        <v/>
      </c>
      <c r="J444" s="13">
        <f>G444-H444-I444</f>
        <v/>
      </c>
      <c r="K444">
        <f>IF(A444="","",IF(J444&lt;=IFERROR(VLOOKUP(A444,Cadastro_Produtos!$A:$E,5,FALSE),0),"ABAIXO DO MINIMO","OK"))</f>
        <v/>
      </c>
    </row>
    <row r="445">
      <c r="B445">
        <f>IFERROR(VLOOKUP(A445,Cadastro_Produtos!A:B,2,FALSE),"")</f>
        <v/>
      </c>
      <c r="D445" s="12" t="n"/>
      <c r="E445" s="13">
        <f>IF(D445="","",D445-TODAY())</f>
        <v/>
      </c>
      <c r="F445">
        <f>IF(D445="","",IF(E445&lt;0,"VENCIDO",IF(E445&lt;=30,"VENCE EM &lt;= 30 DIAS",IF(E445&lt;=60,"ATENCAO (31-60 DIAS)","OK"))))</f>
        <v/>
      </c>
      <c r="G445" s="13">
        <f>SUMIFS(Movimentacoes!$G:$G,Movimentacoes!$C:$C,$A445,Movimentacoes!$E:$E,$C445,Movimentacoes!$B:$B,"ENTRADA")</f>
        <v/>
      </c>
      <c r="H445" s="13">
        <f>SUMIFS(Movimentacoes!$G:$G,Movimentacoes!$C:$C,$A445,Movimentacoes!$E:$E,$C445,Movimentacoes!$B:$B,"SAIDA_USO")</f>
        <v/>
      </c>
      <c r="I445" s="13">
        <f>SUMIFS(Movimentacoes!$G:$G,Movimentacoes!$C:$C,$A445,Movimentacoes!$E:$E,$C445,Movimentacoes!$B:$B,"SAIDA_DESCARTE")</f>
        <v/>
      </c>
      <c r="J445" s="13">
        <f>G445-H445-I445</f>
        <v/>
      </c>
      <c r="K445">
        <f>IF(A445="","",IF(J445&lt;=IFERROR(VLOOKUP(A445,Cadastro_Produtos!$A:$E,5,FALSE),0),"ABAIXO DO MINIMO","OK"))</f>
        <v/>
      </c>
    </row>
    <row r="446">
      <c r="B446">
        <f>IFERROR(VLOOKUP(A446,Cadastro_Produtos!A:B,2,FALSE),"")</f>
        <v/>
      </c>
      <c r="D446" s="12" t="n"/>
      <c r="E446" s="13">
        <f>IF(D446="","",D446-TODAY())</f>
        <v/>
      </c>
      <c r="F446">
        <f>IF(D446="","",IF(E446&lt;0,"VENCIDO",IF(E446&lt;=30,"VENCE EM &lt;= 30 DIAS",IF(E446&lt;=60,"ATENCAO (31-60 DIAS)","OK"))))</f>
        <v/>
      </c>
      <c r="G446" s="13">
        <f>SUMIFS(Movimentacoes!$G:$G,Movimentacoes!$C:$C,$A446,Movimentacoes!$E:$E,$C446,Movimentacoes!$B:$B,"ENTRADA")</f>
        <v/>
      </c>
      <c r="H446" s="13">
        <f>SUMIFS(Movimentacoes!$G:$G,Movimentacoes!$C:$C,$A446,Movimentacoes!$E:$E,$C446,Movimentacoes!$B:$B,"SAIDA_USO")</f>
        <v/>
      </c>
      <c r="I446" s="13">
        <f>SUMIFS(Movimentacoes!$G:$G,Movimentacoes!$C:$C,$A446,Movimentacoes!$E:$E,$C446,Movimentacoes!$B:$B,"SAIDA_DESCARTE")</f>
        <v/>
      </c>
      <c r="J446" s="13">
        <f>G446-H446-I446</f>
        <v/>
      </c>
      <c r="K446">
        <f>IF(A446="","",IF(J446&lt;=IFERROR(VLOOKUP(A446,Cadastro_Produtos!$A:$E,5,FALSE),0),"ABAIXO DO MINIMO","OK"))</f>
        <v/>
      </c>
    </row>
    <row r="447">
      <c r="B447">
        <f>IFERROR(VLOOKUP(A447,Cadastro_Produtos!A:B,2,FALSE),"")</f>
        <v/>
      </c>
      <c r="D447" s="12" t="n"/>
      <c r="E447" s="13">
        <f>IF(D447="","",D447-TODAY())</f>
        <v/>
      </c>
      <c r="F447">
        <f>IF(D447="","",IF(E447&lt;0,"VENCIDO",IF(E447&lt;=30,"VENCE EM &lt;= 30 DIAS",IF(E447&lt;=60,"ATENCAO (31-60 DIAS)","OK"))))</f>
        <v/>
      </c>
      <c r="G447" s="13">
        <f>SUMIFS(Movimentacoes!$G:$G,Movimentacoes!$C:$C,$A447,Movimentacoes!$E:$E,$C447,Movimentacoes!$B:$B,"ENTRADA")</f>
        <v/>
      </c>
      <c r="H447" s="13">
        <f>SUMIFS(Movimentacoes!$G:$G,Movimentacoes!$C:$C,$A447,Movimentacoes!$E:$E,$C447,Movimentacoes!$B:$B,"SAIDA_USO")</f>
        <v/>
      </c>
      <c r="I447" s="13">
        <f>SUMIFS(Movimentacoes!$G:$G,Movimentacoes!$C:$C,$A447,Movimentacoes!$E:$E,$C447,Movimentacoes!$B:$B,"SAIDA_DESCARTE")</f>
        <v/>
      </c>
      <c r="J447" s="13">
        <f>G447-H447-I447</f>
        <v/>
      </c>
      <c r="K447">
        <f>IF(A447="","",IF(J447&lt;=IFERROR(VLOOKUP(A447,Cadastro_Produtos!$A:$E,5,FALSE),0),"ABAIXO DO MINIMO","OK"))</f>
        <v/>
      </c>
    </row>
    <row r="448">
      <c r="B448">
        <f>IFERROR(VLOOKUP(A448,Cadastro_Produtos!A:B,2,FALSE),"")</f>
        <v/>
      </c>
      <c r="D448" s="12" t="n"/>
      <c r="E448" s="13">
        <f>IF(D448="","",D448-TODAY())</f>
        <v/>
      </c>
      <c r="F448">
        <f>IF(D448="","",IF(E448&lt;0,"VENCIDO",IF(E448&lt;=30,"VENCE EM &lt;= 30 DIAS",IF(E448&lt;=60,"ATENCAO (31-60 DIAS)","OK"))))</f>
        <v/>
      </c>
      <c r="G448" s="13">
        <f>SUMIFS(Movimentacoes!$G:$G,Movimentacoes!$C:$C,$A448,Movimentacoes!$E:$E,$C448,Movimentacoes!$B:$B,"ENTRADA")</f>
        <v/>
      </c>
      <c r="H448" s="13">
        <f>SUMIFS(Movimentacoes!$G:$G,Movimentacoes!$C:$C,$A448,Movimentacoes!$E:$E,$C448,Movimentacoes!$B:$B,"SAIDA_USO")</f>
        <v/>
      </c>
      <c r="I448" s="13">
        <f>SUMIFS(Movimentacoes!$G:$G,Movimentacoes!$C:$C,$A448,Movimentacoes!$E:$E,$C448,Movimentacoes!$B:$B,"SAIDA_DESCARTE")</f>
        <v/>
      </c>
      <c r="J448" s="13">
        <f>G448-H448-I448</f>
        <v/>
      </c>
      <c r="K448">
        <f>IF(A448="","",IF(J448&lt;=IFERROR(VLOOKUP(A448,Cadastro_Produtos!$A:$E,5,FALSE),0),"ABAIXO DO MINIMO","OK"))</f>
        <v/>
      </c>
    </row>
    <row r="449">
      <c r="B449">
        <f>IFERROR(VLOOKUP(A449,Cadastro_Produtos!A:B,2,FALSE),"")</f>
        <v/>
      </c>
      <c r="D449" s="12" t="n"/>
      <c r="E449" s="13">
        <f>IF(D449="","",D449-TODAY())</f>
        <v/>
      </c>
      <c r="F449">
        <f>IF(D449="","",IF(E449&lt;0,"VENCIDO",IF(E449&lt;=30,"VENCE EM &lt;= 30 DIAS",IF(E449&lt;=60,"ATENCAO (31-60 DIAS)","OK"))))</f>
        <v/>
      </c>
      <c r="G449" s="13">
        <f>SUMIFS(Movimentacoes!$G:$G,Movimentacoes!$C:$C,$A449,Movimentacoes!$E:$E,$C449,Movimentacoes!$B:$B,"ENTRADA")</f>
        <v/>
      </c>
      <c r="H449" s="13">
        <f>SUMIFS(Movimentacoes!$G:$G,Movimentacoes!$C:$C,$A449,Movimentacoes!$E:$E,$C449,Movimentacoes!$B:$B,"SAIDA_USO")</f>
        <v/>
      </c>
      <c r="I449" s="13">
        <f>SUMIFS(Movimentacoes!$G:$G,Movimentacoes!$C:$C,$A449,Movimentacoes!$E:$E,$C449,Movimentacoes!$B:$B,"SAIDA_DESCARTE")</f>
        <v/>
      </c>
      <c r="J449" s="13">
        <f>G449-H449-I449</f>
        <v/>
      </c>
      <c r="K449">
        <f>IF(A449="","",IF(J449&lt;=IFERROR(VLOOKUP(A449,Cadastro_Produtos!$A:$E,5,FALSE),0),"ABAIXO DO MINIMO","OK"))</f>
        <v/>
      </c>
    </row>
    <row r="450">
      <c r="B450">
        <f>IFERROR(VLOOKUP(A450,Cadastro_Produtos!A:B,2,FALSE),"")</f>
        <v/>
      </c>
      <c r="D450" s="12" t="n"/>
      <c r="E450" s="13">
        <f>IF(D450="","",D450-TODAY())</f>
        <v/>
      </c>
      <c r="F450">
        <f>IF(D450="","",IF(E450&lt;0,"VENCIDO",IF(E450&lt;=30,"VENCE EM &lt;= 30 DIAS",IF(E450&lt;=60,"ATENCAO (31-60 DIAS)","OK"))))</f>
        <v/>
      </c>
      <c r="G450" s="13">
        <f>SUMIFS(Movimentacoes!$G:$G,Movimentacoes!$C:$C,$A450,Movimentacoes!$E:$E,$C450,Movimentacoes!$B:$B,"ENTRADA")</f>
        <v/>
      </c>
      <c r="H450" s="13">
        <f>SUMIFS(Movimentacoes!$G:$G,Movimentacoes!$C:$C,$A450,Movimentacoes!$E:$E,$C450,Movimentacoes!$B:$B,"SAIDA_USO")</f>
        <v/>
      </c>
      <c r="I450" s="13">
        <f>SUMIFS(Movimentacoes!$G:$G,Movimentacoes!$C:$C,$A450,Movimentacoes!$E:$E,$C450,Movimentacoes!$B:$B,"SAIDA_DESCARTE")</f>
        <v/>
      </c>
      <c r="J450" s="13">
        <f>G450-H450-I450</f>
        <v/>
      </c>
      <c r="K450">
        <f>IF(A450="","",IF(J450&lt;=IFERROR(VLOOKUP(A450,Cadastro_Produtos!$A:$E,5,FALSE),0),"ABAIXO DO MINIMO","OK"))</f>
        <v/>
      </c>
    </row>
    <row r="451">
      <c r="B451">
        <f>IFERROR(VLOOKUP(A451,Cadastro_Produtos!A:B,2,FALSE),"")</f>
        <v/>
      </c>
      <c r="D451" s="12" t="n"/>
      <c r="E451" s="13">
        <f>IF(D451="","",D451-TODAY())</f>
        <v/>
      </c>
      <c r="F451">
        <f>IF(D451="","",IF(E451&lt;0,"VENCIDO",IF(E451&lt;=30,"VENCE EM &lt;= 30 DIAS",IF(E451&lt;=60,"ATENCAO (31-60 DIAS)","OK"))))</f>
        <v/>
      </c>
      <c r="G451" s="13">
        <f>SUMIFS(Movimentacoes!$G:$G,Movimentacoes!$C:$C,$A451,Movimentacoes!$E:$E,$C451,Movimentacoes!$B:$B,"ENTRADA")</f>
        <v/>
      </c>
      <c r="H451" s="13">
        <f>SUMIFS(Movimentacoes!$G:$G,Movimentacoes!$C:$C,$A451,Movimentacoes!$E:$E,$C451,Movimentacoes!$B:$B,"SAIDA_USO")</f>
        <v/>
      </c>
      <c r="I451" s="13">
        <f>SUMIFS(Movimentacoes!$G:$G,Movimentacoes!$C:$C,$A451,Movimentacoes!$E:$E,$C451,Movimentacoes!$B:$B,"SAIDA_DESCARTE")</f>
        <v/>
      </c>
      <c r="J451" s="13">
        <f>G451-H451-I451</f>
        <v/>
      </c>
      <c r="K451">
        <f>IF(A451="","",IF(J451&lt;=IFERROR(VLOOKUP(A451,Cadastro_Produtos!$A:$E,5,FALSE),0),"ABAIXO DO MINIMO","OK"))</f>
        <v/>
      </c>
    </row>
    <row r="452">
      <c r="B452">
        <f>IFERROR(VLOOKUP(A452,Cadastro_Produtos!A:B,2,FALSE),"")</f>
        <v/>
      </c>
      <c r="D452" s="12" t="n"/>
      <c r="E452" s="13">
        <f>IF(D452="","",D452-TODAY())</f>
        <v/>
      </c>
      <c r="F452">
        <f>IF(D452="","",IF(E452&lt;0,"VENCIDO",IF(E452&lt;=30,"VENCE EM &lt;= 30 DIAS",IF(E452&lt;=60,"ATENCAO (31-60 DIAS)","OK"))))</f>
        <v/>
      </c>
      <c r="G452" s="13">
        <f>SUMIFS(Movimentacoes!$G:$G,Movimentacoes!$C:$C,$A452,Movimentacoes!$E:$E,$C452,Movimentacoes!$B:$B,"ENTRADA")</f>
        <v/>
      </c>
      <c r="H452" s="13">
        <f>SUMIFS(Movimentacoes!$G:$G,Movimentacoes!$C:$C,$A452,Movimentacoes!$E:$E,$C452,Movimentacoes!$B:$B,"SAIDA_USO")</f>
        <v/>
      </c>
      <c r="I452" s="13">
        <f>SUMIFS(Movimentacoes!$G:$G,Movimentacoes!$C:$C,$A452,Movimentacoes!$E:$E,$C452,Movimentacoes!$B:$B,"SAIDA_DESCARTE")</f>
        <v/>
      </c>
      <c r="J452" s="13">
        <f>G452-H452-I452</f>
        <v/>
      </c>
      <c r="K452">
        <f>IF(A452="","",IF(J452&lt;=IFERROR(VLOOKUP(A452,Cadastro_Produtos!$A:$E,5,FALSE),0),"ABAIXO DO MINIMO","OK"))</f>
        <v/>
      </c>
    </row>
    <row r="453">
      <c r="B453">
        <f>IFERROR(VLOOKUP(A453,Cadastro_Produtos!A:B,2,FALSE),"")</f>
        <v/>
      </c>
      <c r="D453" s="12" t="n"/>
      <c r="E453" s="13">
        <f>IF(D453="","",D453-TODAY())</f>
        <v/>
      </c>
      <c r="F453">
        <f>IF(D453="","",IF(E453&lt;0,"VENCIDO",IF(E453&lt;=30,"VENCE EM &lt;= 30 DIAS",IF(E453&lt;=60,"ATENCAO (31-60 DIAS)","OK"))))</f>
        <v/>
      </c>
      <c r="G453" s="13">
        <f>SUMIFS(Movimentacoes!$G:$G,Movimentacoes!$C:$C,$A453,Movimentacoes!$E:$E,$C453,Movimentacoes!$B:$B,"ENTRADA")</f>
        <v/>
      </c>
      <c r="H453" s="13">
        <f>SUMIFS(Movimentacoes!$G:$G,Movimentacoes!$C:$C,$A453,Movimentacoes!$E:$E,$C453,Movimentacoes!$B:$B,"SAIDA_USO")</f>
        <v/>
      </c>
      <c r="I453" s="13">
        <f>SUMIFS(Movimentacoes!$G:$G,Movimentacoes!$C:$C,$A453,Movimentacoes!$E:$E,$C453,Movimentacoes!$B:$B,"SAIDA_DESCARTE")</f>
        <v/>
      </c>
      <c r="J453" s="13">
        <f>G453-H453-I453</f>
        <v/>
      </c>
      <c r="K453">
        <f>IF(A453="","",IF(J453&lt;=IFERROR(VLOOKUP(A453,Cadastro_Produtos!$A:$E,5,FALSE),0),"ABAIXO DO MINIMO","OK"))</f>
        <v/>
      </c>
    </row>
    <row r="454">
      <c r="B454">
        <f>IFERROR(VLOOKUP(A454,Cadastro_Produtos!A:B,2,FALSE),"")</f>
        <v/>
      </c>
      <c r="D454" s="12" t="n"/>
      <c r="E454" s="13">
        <f>IF(D454="","",D454-TODAY())</f>
        <v/>
      </c>
      <c r="F454">
        <f>IF(D454="","",IF(E454&lt;0,"VENCIDO",IF(E454&lt;=30,"VENCE EM &lt;= 30 DIAS",IF(E454&lt;=60,"ATENCAO (31-60 DIAS)","OK"))))</f>
        <v/>
      </c>
      <c r="G454" s="13">
        <f>SUMIFS(Movimentacoes!$G:$G,Movimentacoes!$C:$C,$A454,Movimentacoes!$E:$E,$C454,Movimentacoes!$B:$B,"ENTRADA")</f>
        <v/>
      </c>
      <c r="H454" s="13">
        <f>SUMIFS(Movimentacoes!$G:$G,Movimentacoes!$C:$C,$A454,Movimentacoes!$E:$E,$C454,Movimentacoes!$B:$B,"SAIDA_USO")</f>
        <v/>
      </c>
      <c r="I454" s="13">
        <f>SUMIFS(Movimentacoes!$G:$G,Movimentacoes!$C:$C,$A454,Movimentacoes!$E:$E,$C454,Movimentacoes!$B:$B,"SAIDA_DESCARTE")</f>
        <v/>
      </c>
      <c r="J454" s="13">
        <f>G454-H454-I454</f>
        <v/>
      </c>
      <c r="K454">
        <f>IF(A454="","",IF(J454&lt;=IFERROR(VLOOKUP(A454,Cadastro_Produtos!$A:$E,5,FALSE),0),"ABAIXO DO MINIMO","OK"))</f>
        <v/>
      </c>
    </row>
    <row r="455">
      <c r="B455">
        <f>IFERROR(VLOOKUP(A455,Cadastro_Produtos!A:B,2,FALSE),"")</f>
        <v/>
      </c>
      <c r="D455" s="12" t="n"/>
      <c r="E455" s="13">
        <f>IF(D455="","",D455-TODAY())</f>
        <v/>
      </c>
      <c r="F455">
        <f>IF(D455="","",IF(E455&lt;0,"VENCIDO",IF(E455&lt;=30,"VENCE EM &lt;= 30 DIAS",IF(E455&lt;=60,"ATENCAO (31-60 DIAS)","OK"))))</f>
        <v/>
      </c>
      <c r="G455" s="13">
        <f>SUMIFS(Movimentacoes!$G:$G,Movimentacoes!$C:$C,$A455,Movimentacoes!$E:$E,$C455,Movimentacoes!$B:$B,"ENTRADA")</f>
        <v/>
      </c>
      <c r="H455" s="13">
        <f>SUMIFS(Movimentacoes!$G:$G,Movimentacoes!$C:$C,$A455,Movimentacoes!$E:$E,$C455,Movimentacoes!$B:$B,"SAIDA_USO")</f>
        <v/>
      </c>
      <c r="I455" s="13">
        <f>SUMIFS(Movimentacoes!$G:$G,Movimentacoes!$C:$C,$A455,Movimentacoes!$E:$E,$C455,Movimentacoes!$B:$B,"SAIDA_DESCARTE")</f>
        <v/>
      </c>
      <c r="J455" s="13">
        <f>G455-H455-I455</f>
        <v/>
      </c>
      <c r="K455">
        <f>IF(A455="","",IF(J455&lt;=IFERROR(VLOOKUP(A455,Cadastro_Produtos!$A:$E,5,FALSE),0),"ABAIXO DO MINIMO","OK"))</f>
        <v/>
      </c>
    </row>
    <row r="456">
      <c r="B456">
        <f>IFERROR(VLOOKUP(A456,Cadastro_Produtos!A:B,2,FALSE),"")</f>
        <v/>
      </c>
      <c r="D456" s="12" t="n"/>
      <c r="E456" s="13">
        <f>IF(D456="","",D456-TODAY())</f>
        <v/>
      </c>
      <c r="F456">
        <f>IF(D456="","",IF(E456&lt;0,"VENCIDO",IF(E456&lt;=30,"VENCE EM &lt;= 30 DIAS",IF(E456&lt;=60,"ATENCAO (31-60 DIAS)","OK"))))</f>
        <v/>
      </c>
      <c r="G456" s="13">
        <f>SUMIFS(Movimentacoes!$G:$G,Movimentacoes!$C:$C,$A456,Movimentacoes!$E:$E,$C456,Movimentacoes!$B:$B,"ENTRADA")</f>
        <v/>
      </c>
      <c r="H456" s="13">
        <f>SUMIFS(Movimentacoes!$G:$G,Movimentacoes!$C:$C,$A456,Movimentacoes!$E:$E,$C456,Movimentacoes!$B:$B,"SAIDA_USO")</f>
        <v/>
      </c>
      <c r="I456" s="13">
        <f>SUMIFS(Movimentacoes!$G:$G,Movimentacoes!$C:$C,$A456,Movimentacoes!$E:$E,$C456,Movimentacoes!$B:$B,"SAIDA_DESCARTE")</f>
        <v/>
      </c>
      <c r="J456" s="13">
        <f>G456-H456-I456</f>
        <v/>
      </c>
      <c r="K456">
        <f>IF(A456="","",IF(J456&lt;=IFERROR(VLOOKUP(A456,Cadastro_Produtos!$A:$E,5,FALSE),0),"ABAIXO DO MINIMO","OK"))</f>
        <v/>
      </c>
    </row>
    <row r="457">
      <c r="B457">
        <f>IFERROR(VLOOKUP(A457,Cadastro_Produtos!A:B,2,FALSE),"")</f>
        <v/>
      </c>
      <c r="D457" s="12" t="n"/>
      <c r="E457" s="13">
        <f>IF(D457="","",D457-TODAY())</f>
        <v/>
      </c>
      <c r="F457">
        <f>IF(D457="","",IF(E457&lt;0,"VENCIDO",IF(E457&lt;=30,"VENCE EM &lt;= 30 DIAS",IF(E457&lt;=60,"ATENCAO (31-60 DIAS)","OK"))))</f>
        <v/>
      </c>
      <c r="G457" s="13">
        <f>SUMIFS(Movimentacoes!$G:$G,Movimentacoes!$C:$C,$A457,Movimentacoes!$E:$E,$C457,Movimentacoes!$B:$B,"ENTRADA")</f>
        <v/>
      </c>
      <c r="H457" s="13">
        <f>SUMIFS(Movimentacoes!$G:$G,Movimentacoes!$C:$C,$A457,Movimentacoes!$E:$E,$C457,Movimentacoes!$B:$B,"SAIDA_USO")</f>
        <v/>
      </c>
      <c r="I457" s="13">
        <f>SUMIFS(Movimentacoes!$G:$G,Movimentacoes!$C:$C,$A457,Movimentacoes!$E:$E,$C457,Movimentacoes!$B:$B,"SAIDA_DESCARTE")</f>
        <v/>
      </c>
      <c r="J457" s="13">
        <f>G457-H457-I457</f>
        <v/>
      </c>
      <c r="K457">
        <f>IF(A457="","",IF(J457&lt;=IFERROR(VLOOKUP(A457,Cadastro_Produtos!$A:$E,5,FALSE),0),"ABAIXO DO MINIMO","OK"))</f>
        <v/>
      </c>
    </row>
    <row r="458">
      <c r="B458">
        <f>IFERROR(VLOOKUP(A458,Cadastro_Produtos!A:B,2,FALSE),"")</f>
        <v/>
      </c>
      <c r="D458" s="12" t="n"/>
      <c r="E458" s="13">
        <f>IF(D458="","",D458-TODAY())</f>
        <v/>
      </c>
      <c r="F458">
        <f>IF(D458="","",IF(E458&lt;0,"VENCIDO",IF(E458&lt;=30,"VENCE EM &lt;= 30 DIAS",IF(E458&lt;=60,"ATENCAO (31-60 DIAS)","OK"))))</f>
        <v/>
      </c>
      <c r="G458" s="13">
        <f>SUMIFS(Movimentacoes!$G:$G,Movimentacoes!$C:$C,$A458,Movimentacoes!$E:$E,$C458,Movimentacoes!$B:$B,"ENTRADA")</f>
        <v/>
      </c>
      <c r="H458" s="13">
        <f>SUMIFS(Movimentacoes!$G:$G,Movimentacoes!$C:$C,$A458,Movimentacoes!$E:$E,$C458,Movimentacoes!$B:$B,"SAIDA_USO")</f>
        <v/>
      </c>
      <c r="I458" s="13">
        <f>SUMIFS(Movimentacoes!$G:$G,Movimentacoes!$C:$C,$A458,Movimentacoes!$E:$E,$C458,Movimentacoes!$B:$B,"SAIDA_DESCARTE")</f>
        <v/>
      </c>
      <c r="J458" s="13">
        <f>G458-H458-I458</f>
        <v/>
      </c>
      <c r="K458">
        <f>IF(A458="","",IF(J458&lt;=IFERROR(VLOOKUP(A458,Cadastro_Produtos!$A:$E,5,FALSE),0),"ABAIXO DO MINIMO","OK"))</f>
        <v/>
      </c>
    </row>
    <row r="459">
      <c r="B459">
        <f>IFERROR(VLOOKUP(A459,Cadastro_Produtos!A:B,2,FALSE),"")</f>
        <v/>
      </c>
      <c r="D459" s="12" t="n"/>
      <c r="E459" s="13">
        <f>IF(D459="","",D459-TODAY())</f>
        <v/>
      </c>
      <c r="F459">
        <f>IF(D459="","",IF(E459&lt;0,"VENCIDO",IF(E459&lt;=30,"VENCE EM &lt;= 30 DIAS",IF(E459&lt;=60,"ATENCAO (31-60 DIAS)","OK"))))</f>
        <v/>
      </c>
      <c r="G459" s="13">
        <f>SUMIFS(Movimentacoes!$G:$G,Movimentacoes!$C:$C,$A459,Movimentacoes!$E:$E,$C459,Movimentacoes!$B:$B,"ENTRADA")</f>
        <v/>
      </c>
      <c r="H459" s="13">
        <f>SUMIFS(Movimentacoes!$G:$G,Movimentacoes!$C:$C,$A459,Movimentacoes!$E:$E,$C459,Movimentacoes!$B:$B,"SAIDA_USO")</f>
        <v/>
      </c>
      <c r="I459" s="13">
        <f>SUMIFS(Movimentacoes!$G:$G,Movimentacoes!$C:$C,$A459,Movimentacoes!$E:$E,$C459,Movimentacoes!$B:$B,"SAIDA_DESCARTE")</f>
        <v/>
      </c>
      <c r="J459" s="13">
        <f>G459-H459-I459</f>
        <v/>
      </c>
      <c r="K459">
        <f>IF(A459="","",IF(J459&lt;=IFERROR(VLOOKUP(A459,Cadastro_Produtos!$A:$E,5,FALSE),0),"ABAIXO DO MINIMO","OK"))</f>
        <v/>
      </c>
    </row>
    <row r="460">
      <c r="B460">
        <f>IFERROR(VLOOKUP(A460,Cadastro_Produtos!A:B,2,FALSE),"")</f>
        <v/>
      </c>
      <c r="D460" s="12" t="n"/>
      <c r="E460" s="13">
        <f>IF(D460="","",D460-TODAY())</f>
        <v/>
      </c>
      <c r="F460">
        <f>IF(D460="","",IF(E460&lt;0,"VENCIDO",IF(E460&lt;=30,"VENCE EM &lt;= 30 DIAS",IF(E460&lt;=60,"ATENCAO (31-60 DIAS)","OK"))))</f>
        <v/>
      </c>
      <c r="G460" s="13">
        <f>SUMIFS(Movimentacoes!$G:$G,Movimentacoes!$C:$C,$A460,Movimentacoes!$E:$E,$C460,Movimentacoes!$B:$B,"ENTRADA")</f>
        <v/>
      </c>
      <c r="H460" s="13">
        <f>SUMIFS(Movimentacoes!$G:$G,Movimentacoes!$C:$C,$A460,Movimentacoes!$E:$E,$C460,Movimentacoes!$B:$B,"SAIDA_USO")</f>
        <v/>
      </c>
      <c r="I460" s="13">
        <f>SUMIFS(Movimentacoes!$G:$G,Movimentacoes!$C:$C,$A460,Movimentacoes!$E:$E,$C460,Movimentacoes!$B:$B,"SAIDA_DESCARTE")</f>
        <v/>
      </c>
      <c r="J460" s="13">
        <f>G460-H460-I460</f>
        <v/>
      </c>
      <c r="K460">
        <f>IF(A460="","",IF(J460&lt;=IFERROR(VLOOKUP(A460,Cadastro_Produtos!$A:$E,5,FALSE),0),"ABAIXO DO MINIMO","OK"))</f>
        <v/>
      </c>
    </row>
    <row r="461">
      <c r="B461">
        <f>IFERROR(VLOOKUP(A461,Cadastro_Produtos!A:B,2,FALSE),"")</f>
        <v/>
      </c>
      <c r="D461" s="12" t="n"/>
      <c r="E461" s="13">
        <f>IF(D461="","",D461-TODAY())</f>
        <v/>
      </c>
      <c r="F461">
        <f>IF(D461="","",IF(E461&lt;0,"VENCIDO",IF(E461&lt;=30,"VENCE EM &lt;= 30 DIAS",IF(E461&lt;=60,"ATENCAO (31-60 DIAS)","OK"))))</f>
        <v/>
      </c>
      <c r="G461" s="13">
        <f>SUMIFS(Movimentacoes!$G:$G,Movimentacoes!$C:$C,$A461,Movimentacoes!$E:$E,$C461,Movimentacoes!$B:$B,"ENTRADA")</f>
        <v/>
      </c>
      <c r="H461" s="13">
        <f>SUMIFS(Movimentacoes!$G:$G,Movimentacoes!$C:$C,$A461,Movimentacoes!$E:$E,$C461,Movimentacoes!$B:$B,"SAIDA_USO")</f>
        <v/>
      </c>
      <c r="I461" s="13">
        <f>SUMIFS(Movimentacoes!$G:$G,Movimentacoes!$C:$C,$A461,Movimentacoes!$E:$E,$C461,Movimentacoes!$B:$B,"SAIDA_DESCARTE")</f>
        <v/>
      </c>
      <c r="J461" s="13">
        <f>G461-H461-I461</f>
        <v/>
      </c>
      <c r="K461">
        <f>IF(A461="","",IF(J461&lt;=IFERROR(VLOOKUP(A461,Cadastro_Produtos!$A:$E,5,FALSE),0),"ABAIXO DO MINIMO","OK"))</f>
        <v/>
      </c>
    </row>
    <row r="462">
      <c r="B462">
        <f>IFERROR(VLOOKUP(A462,Cadastro_Produtos!A:B,2,FALSE),"")</f>
        <v/>
      </c>
      <c r="D462" s="12" t="n"/>
      <c r="E462" s="13">
        <f>IF(D462="","",D462-TODAY())</f>
        <v/>
      </c>
      <c r="F462">
        <f>IF(D462="","",IF(E462&lt;0,"VENCIDO",IF(E462&lt;=30,"VENCE EM &lt;= 30 DIAS",IF(E462&lt;=60,"ATENCAO (31-60 DIAS)","OK"))))</f>
        <v/>
      </c>
      <c r="G462" s="13">
        <f>SUMIFS(Movimentacoes!$G:$G,Movimentacoes!$C:$C,$A462,Movimentacoes!$E:$E,$C462,Movimentacoes!$B:$B,"ENTRADA")</f>
        <v/>
      </c>
      <c r="H462" s="13">
        <f>SUMIFS(Movimentacoes!$G:$G,Movimentacoes!$C:$C,$A462,Movimentacoes!$E:$E,$C462,Movimentacoes!$B:$B,"SAIDA_USO")</f>
        <v/>
      </c>
      <c r="I462" s="13">
        <f>SUMIFS(Movimentacoes!$G:$G,Movimentacoes!$C:$C,$A462,Movimentacoes!$E:$E,$C462,Movimentacoes!$B:$B,"SAIDA_DESCARTE")</f>
        <v/>
      </c>
      <c r="J462" s="13">
        <f>G462-H462-I462</f>
        <v/>
      </c>
      <c r="K462">
        <f>IF(A462="","",IF(J462&lt;=IFERROR(VLOOKUP(A462,Cadastro_Produtos!$A:$E,5,FALSE),0),"ABAIXO DO MINIMO","OK"))</f>
        <v/>
      </c>
    </row>
    <row r="463">
      <c r="B463">
        <f>IFERROR(VLOOKUP(A463,Cadastro_Produtos!A:B,2,FALSE),"")</f>
        <v/>
      </c>
      <c r="D463" s="12" t="n"/>
      <c r="E463" s="13">
        <f>IF(D463="","",D463-TODAY())</f>
        <v/>
      </c>
      <c r="F463">
        <f>IF(D463="","",IF(E463&lt;0,"VENCIDO",IF(E463&lt;=30,"VENCE EM &lt;= 30 DIAS",IF(E463&lt;=60,"ATENCAO (31-60 DIAS)","OK"))))</f>
        <v/>
      </c>
      <c r="G463" s="13">
        <f>SUMIFS(Movimentacoes!$G:$G,Movimentacoes!$C:$C,$A463,Movimentacoes!$E:$E,$C463,Movimentacoes!$B:$B,"ENTRADA")</f>
        <v/>
      </c>
      <c r="H463" s="13">
        <f>SUMIFS(Movimentacoes!$G:$G,Movimentacoes!$C:$C,$A463,Movimentacoes!$E:$E,$C463,Movimentacoes!$B:$B,"SAIDA_USO")</f>
        <v/>
      </c>
      <c r="I463" s="13">
        <f>SUMIFS(Movimentacoes!$G:$G,Movimentacoes!$C:$C,$A463,Movimentacoes!$E:$E,$C463,Movimentacoes!$B:$B,"SAIDA_DESCARTE")</f>
        <v/>
      </c>
      <c r="J463" s="13">
        <f>G463-H463-I463</f>
        <v/>
      </c>
      <c r="K463">
        <f>IF(A463="","",IF(J463&lt;=IFERROR(VLOOKUP(A463,Cadastro_Produtos!$A:$E,5,FALSE),0),"ABAIXO DO MINIMO","OK"))</f>
        <v/>
      </c>
    </row>
    <row r="464">
      <c r="B464">
        <f>IFERROR(VLOOKUP(A464,Cadastro_Produtos!A:B,2,FALSE),"")</f>
        <v/>
      </c>
      <c r="D464" s="12" t="n"/>
      <c r="E464" s="13">
        <f>IF(D464="","",D464-TODAY())</f>
        <v/>
      </c>
      <c r="F464">
        <f>IF(D464="","",IF(E464&lt;0,"VENCIDO",IF(E464&lt;=30,"VENCE EM &lt;= 30 DIAS",IF(E464&lt;=60,"ATENCAO (31-60 DIAS)","OK"))))</f>
        <v/>
      </c>
      <c r="G464" s="13">
        <f>SUMIFS(Movimentacoes!$G:$G,Movimentacoes!$C:$C,$A464,Movimentacoes!$E:$E,$C464,Movimentacoes!$B:$B,"ENTRADA")</f>
        <v/>
      </c>
      <c r="H464" s="13">
        <f>SUMIFS(Movimentacoes!$G:$G,Movimentacoes!$C:$C,$A464,Movimentacoes!$E:$E,$C464,Movimentacoes!$B:$B,"SAIDA_USO")</f>
        <v/>
      </c>
      <c r="I464" s="13">
        <f>SUMIFS(Movimentacoes!$G:$G,Movimentacoes!$C:$C,$A464,Movimentacoes!$E:$E,$C464,Movimentacoes!$B:$B,"SAIDA_DESCARTE")</f>
        <v/>
      </c>
      <c r="J464" s="13">
        <f>G464-H464-I464</f>
        <v/>
      </c>
      <c r="K464">
        <f>IF(A464="","",IF(J464&lt;=IFERROR(VLOOKUP(A464,Cadastro_Produtos!$A:$E,5,FALSE),0),"ABAIXO DO MINIMO","OK"))</f>
        <v/>
      </c>
    </row>
    <row r="465">
      <c r="B465">
        <f>IFERROR(VLOOKUP(A465,Cadastro_Produtos!A:B,2,FALSE),"")</f>
        <v/>
      </c>
      <c r="D465" s="12" t="n"/>
      <c r="E465" s="13">
        <f>IF(D465="","",D465-TODAY())</f>
        <v/>
      </c>
      <c r="F465">
        <f>IF(D465="","",IF(E465&lt;0,"VENCIDO",IF(E465&lt;=30,"VENCE EM &lt;= 30 DIAS",IF(E465&lt;=60,"ATENCAO (31-60 DIAS)","OK"))))</f>
        <v/>
      </c>
      <c r="G465" s="13">
        <f>SUMIFS(Movimentacoes!$G:$G,Movimentacoes!$C:$C,$A465,Movimentacoes!$E:$E,$C465,Movimentacoes!$B:$B,"ENTRADA")</f>
        <v/>
      </c>
      <c r="H465" s="13">
        <f>SUMIFS(Movimentacoes!$G:$G,Movimentacoes!$C:$C,$A465,Movimentacoes!$E:$E,$C465,Movimentacoes!$B:$B,"SAIDA_USO")</f>
        <v/>
      </c>
      <c r="I465" s="13">
        <f>SUMIFS(Movimentacoes!$G:$G,Movimentacoes!$C:$C,$A465,Movimentacoes!$E:$E,$C465,Movimentacoes!$B:$B,"SAIDA_DESCARTE")</f>
        <v/>
      </c>
      <c r="J465" s="13">
        <f>G465-H465-I465</f>
        <v/>
      </c>
      <c r="K465">
        <f>IF(A465="","",IF(J465&lt;=IFERROR(VLOOKUP(A465,Cadastro_Produtos!$A:$E,5,FALSE),0),"ABAIXO DO MINIMO","OK"))</f>
        <v/>
      </c>
    </row>
    <row r="466">
      <c r="B466">
        <f>IFERROR(VLOOKUP(A466,Cadastro_Produtos!A:B,2,FALSE),"")</f>
        <v/>
      </c>
      <c r="D466" s="12" t="n"/>
      <c r="E466" s="13">
        <f>IF(D466="","",D466-TODAY())</f>
        <v/>
      </c>
      <c r="F466">
        <f>IF(D466="","",IF(E466&lt;0,"VENCIDO",IF(E466&lt;=30,"VENCE EM &lt;= 30 DIAS",IF(E466&lt;=60,"ATENCAO (31-60 DIAS)","OK"))))</f>
        <v/>
      </c>
      <c r="G466" s="13">
        <f>SUMIFS(Movimentacoes!$G:$G,Movimentacoes!$C:$C,$A466,Movimentacoes!$E:$E,$C466,Movimentacoes!$B:$B,"ENTRADA")</f>
        <v/>
      </c>
      <c r="H466" s="13">
        <f>SUMIFS(Movimentacoes!$G:$G,Movimentacoes!$C:$C,$A466,Movimentacoes!$E:$E,$C466,Movimentacoes!$B:$B,"SAIDA_USO")</f>
        <v/>
      </c>
      <c r="I466" s="13">
        <f>SUMIFS(Movimentacoes!$G:$G,Movimentacoes!$C:$C,$A466,Movimentacoes!$E:$E,$C466,Movimentacoes!$B:$B,"SAIDA_DESCARTE")</f>
        <v/>
      </c>
      <c r="J466" s="13">
        <f>G466-H466-I466</f>
        <v/>
      </c>
      <c r="K466">
        <f>IF(A466="","",IF(J466&lt;=IFERROR(VLOOKUP(A466,Cadastro_Produtos!$A:$E,5,FALSE),0),"ABAIXO DO MINIMO","OK"))</f>
        <v/>
      </c>
    </row>
    <row r="467">
      <c r="B467">
        <f>IFERROR(VLOOKUP(A467,Cadastro_Produtos!A:B,2,FALSE),"")</f>
        <v/>
      </c>
      <c r="D467" s="12" t="n"/>
      <c r="E467" s="13">
        <f>IF(D467="","",D467-TODAY())</f>
        <v/>
      </c>
      <c r="F467">
        <f>IF(D467="","",IF(E467&lt;0,"VENCIDO",IF(E467&lt;=30,"VENCE EM &lt;= 30 DIAS",IF(E467&lt;=60,"ATENCAO (31-60 DIAS)","OK"))))</f>
        <v/>
      </c>
      <c r="G467" s="13">
        <f>SUMIFS(Movimentacoes!$G:$G,Movimentacoes!$C:$C,$A467,Movimentacoes!$E:$E,$C467,Movimentacoes!$B:$B,"ENTRADA")</f>
        <v/>
      </c>
      <c r="H467" s="13">
        <f>SUMIFS(Movimentacoes!$G:$G,Movimentacoes!$C:$C,$A467,Movimentacoes!$E:$E,$C467,Movimentacoes!$B:$B,"SAIDA_USO")</f>
        <v/>
      </c>
      <c r="I467" s="13">
        <f>SUMIFS(Movimentacoes!$G:$G,Movimentacoes!$C:$C,$A467,Movimentacoes!$E:$E,$C467,Movimentacoes!$B:$B,"SAIDA_DESCARTE")</f>
        <v/>
      </c>
      <c r="J467" s="13">
        <f>G467-H467-I467</f>
        <v/>
      </c>
      <c r="K467">
        <f>IF(A467="","",IF(J467&lt;=IFERROR(VLOOKUP(A467,Cadastro_Produtos!$A:$E,5,FALSE),0),"ABAIXO DO MINIMO","OK"))</f>
        <v/>
      </c>
    </row>
    <row r="468">
      <c r="B468">
        <f>IFERROR(VLOOKUP(A468,Cadastro_Produtos!A:B,2,FALSE),"")</f>
        <v/>
      </c>
      <c r="D468" s="12" t="n"/>
      <c r="E468" s="13">
        <f>IF(D468="","",D468-TODAY())</f>
        <v/>
      </c>
      <c r="F468">
        <f>IF(D468="","",IF(E468&lt;0,"VENCIDO",IF(E468&lt;=30,"VENCE EM &lt;= 30 DIAS",IF(E468&lt;=60,"ATENCAO (31-60 DIAS)","OK"))))</f>
        <v/>
      </c>
      <c r="G468" s="13">
        <f>SUMIFS(Movimentacoes!$G:$G,Movimentacoes!$C:$C,$A468,Movimentacoes!$E:$E,$C468,Movimentacoes!$B:$B,"ENTRADA")</f>
        <v/>
      </c>
      <c r="H468" s="13">
        <f>SUMIFS(Movimentacoes!$G:$G,Movimentacoes!$C:$C,$A468,Movimentacoes!$E:$E,$C468,Movimentacoes!$B:$B,"SAIDA_USO")</f>
        <v/>
      </c>
      <c r="I468" s="13">
        <f>SUMIFS(Movimentacoes!$G:$G,Movimentacoes!$C:$C,$A468,Movimentacoes!$E:$E,$C468,Movimentacoes!$B:$B,"SAIDA_DESCARTE")</f>
        <v/>
      </c>
      <c r="J468" s="13">
        <f>G468-H468-I468</f>
        <v/>
      </c>
      <c r="K468">
        <f>IF(A468="","",IF(J468&lt;=IFERROR(VLOOKUP(A468,Cadastro_Produtos!$A:$E,5,FALSE),0),"ABAIXO DO MINIMO","OK"))</f>
        <v/>
      </c>
    </row>
    <row r="469">
      <c r="B469">
        <f>IFERROR(VLOOKUP(A469,Cadastro_Produtos!A:B,2,FALSE),"")</f>
        <v/>
      </c>
      <c r="D469" s="12" t="n"/>
      <c r="E469" s="13">
        <f>IF(D469="","",D469-TODAY())</f>
        <v/>
      </c>
      <c r="F469">
        <f>IF(D469="","",IF(E469&lt;0,"VENCIDO",IF(E469&lt;=30,"VENCE EM &lt;= 30 DIAS",IF(E469&lt;=60,"ATENCAO (31-60 DIAS)","OK"))))</f>
        <v/>
      </c>
      <c r="G469" s="13">
        <f>SUMIFS(Movimentacoes!$G:$G,Movimentacoes!$C:$C,$A469,Movimentacoes!$E:$E,$C469,Movimentacoes!$B:$B,"ENTRADA")</f>
        <v/>
      </c>
      <c r="H469" s="13">
        <f>SUMIFS(Movimentacoes!$G:$G,Movimentacoes!$C:$C,$A469,Movimentacoes!$E:$E,$C469,Movimentacoes!$B:$B,"SAIDA_USO")</f>
        <v/>
      </c>
      <c r="I469" s="13">
        <f>SUMIFS(Movimentacoes!$G:$G,Movimentacoes!$C:$C,$A469,Movimentacoes!$E:$E,$C469,Movimentacoes!$B:$B,"SAIDA_DESCARTE")</f>
        <v/>
      </c>
      <c r="J469" s="13">
        <f>G469-H469-I469</f>
        <v/>
      </c>
      <c r="K469">
        <f>IF(A469="","",IF(J469&lt;=IFERROR(VLOOKUP(A469,Cadastro_Produtos!$A:$E,5,FALSE),0),"ABAIXO DO MINIMO","OK"))</f>
        <v/>
      </c>
    </row>
    <row r="470">
      <c r="B470">
        <f>IFERROR(VLOOKUP(A470,Cadastro_Produtos!A:B,2,FALSE),"")</f>
        <v/>
      </c>
      <c r="D470" s="12" t="n"/>
      <c r="E470" s="13">
        <f>IF(D470="","",D470-TODAY())</f>
        <v/>
      </c>
      <c r="F470">
        <f>IF(D470="","",IF(E470&lt;0,"VENCIDO",IF(E470&lt;=30,"VENCE EM &lt;= 30 DIAS",IF(E470&lt;=60,"ATENCAO (31-60 DIAS)","OK"))))</f>
        <v/>
      </c>
      <c r="G470" s="13">
        <f>SUMIFS(Movimentacoes!$G:$G,Movimentacoes!$C:$C,$A470,Movimentacoes!$E:$E,$C470,Movimentacoes!$B:$B,"ENTRADA")</f>
        <v/>
      </c>
      <c r="H470" s="13">
        <f>SUMIFS(Movimentacoes!$G:$G,Movimentacoes!$C:$C,$A470,Movimentacoes!$E:$E,$C470,Movimentacoes!$B:$B,"SAIDA_USO")</f>
        <v/>
      </c>
      <c r="I470" s="13">
        <f>SUMIFS(Movimentacoes!$G:$G,Movimentacoes!$C:$C,$A470,Movimentacoes!$E:$E,$C470,Movimentacoes!$B:$B,"SAIDA_DESCARTE")</f>
        <v/>
      </c>
      <c r="J470" s="13">
        <f>G470-H470-I470</f>
        <v/>
      </c>
      <c r="K470">
        <f>IF(A470="","",IF(J470&lt;=IFERROR(VLOOKUP(A470,Cadastro_Produtos!$A:$E,5,FALSE),0),"ABAIXO DO MINIMO","OK"))</f>
        <v/>
      </c>
    </row>
    <row r="471">
      <c r="B471">
        <f>IFERROR(VLOOKUP(A471,Cadastro_Produtos!A:B,2,FALSE),"")</f>
        <v/>
      </c>
      <c r="D471" s="12" t="n"/>
      <c r="E471" s="13">
        <f>IF(D471="","",D471-TODAY())</f>
        <v/>
      </c>
      <c r="F471">
        <f>IF(D471="","",IF(E471&lt;0,"VENCIDO",IF(E471&lt;=30,"VENCE EM &lt;= 30 DIAS",IF(E471&lt;=60,"ATENCAO (31-60 DIAS)","OK"))))</f>
        <v/>
      </c>
      <c r="G471" s="13">
        <f>SUMIFS(Movimentacoes!$G:$G,Movimentacoes!$C:$C,$A471,Movimentacoes!$E:$E,$C471,Movimentacoes!$B:$B,"ENTRADA")</f>
        <v/>
      </c>
      <c r="H471" s="13">
        <f>SUMIFS(Movimentacoes!$G:$G,Movimentacoes!$C:$C,$A471,Movimentacoes!$E:$E,$C471,Movimentacoes!$B:$B,"SAIDA_USO")</f>
        <v/>
      </c>
      <c r="I471" s="13">
        <f>SUMIFS(Movimentacoes!$G:$G,Movimentacoes!$C:$C,$A471,Movimentacoes!$E:$E,$C471,Movimentacoes!$B:$B,"SAIDA_DESCARTE")</f>
        <v/>
      </c>
      <c r="J471" s="13">
        <f>G471-H471-I471</f>
        <v/>
      </c>
      <c r="K471">
        <f>IF(A471="","",IF(J471&lt;=IFERROR(VLOOKUP(A471,Cadastro_Produtos!$A:$E,5,FALSE),0),"ABAIXO DO MINIMO","OK"))</f>
        <v/>
      </c>
    </row>
    <row r="472">
      <c r="B472">
        <f>IFERROR(VLOOKUP(A472,Cadastro_Produtos!A:B,2,FALSE),"")</f>
        <v/>
      </c>
      <c r="D472" s="12" t="n"/>
      <c r="E472" s="13">
        <f>IF(D472="","",D472-TODAY())</f>
        <v/>
      </c>
      <c r="F472">
        <f>IF(D472="","",IF(E472&lt;0,"VENCIDO",IF(E472&lt;=30,"VENCE EM &lt;= 30 DIAS",IF(E472&lt;=60,"ATENCAO (31-60 DIAS)","OK"))))</f>
        <v/>
      </c>
      <c r="G472" s="13">
        <f>SUMIFS(Movimentacoes!$G:$G,Movimentacoes!$C:$C,$A472,Movimentacoes!$E:$E,$C472,Movimentacoes!$B:$B,"ENTRADA")</f>
        <v/>
      </c>
      <c r="H472" s="13">
        <f>SUMIFS(Movimentacoes!$G:$G,Movimentacoes!$C:$C,$A472,Movimentacoes!$E:$E,$C472,Movimentacoes!$B:$B,"SAIDA_USO")</f>
        <v/>
      </c>
      <c r="I472" s="13">
        <f>SUMIFS(Movimentacoes!$G:$G,Movimentacoes!$C:$C,$A472,Movimentacoes!$E:$E,$C472,Movimentacoes!$B:$B,"SAIDA_DESCARTE")</f>
        <v/>
      </c>
      <c r="J472" s="13">
        <f>G472-H472-I472</f>
        <v/>
      </c>
      <c r="K472">
        <f>IF(A472="","",IF(J472&lt;=IFERROR(VLOOKUP(A472,Cadastro_Produtos!$A:$E,5,FALSE),0),"ABAIXO DO MINIMO","OK"))</f>
        <v/>
      </c>
    </row>
    <row r="473">
      <c r="B473">
        <f>IFERROR(VLOOKUP(A473,Cadastro_Produtos!A:B,2,FALSE),"")</f>
        <v/>
      </c>
      <c r="D473" s="12" t="n"/>
      <c r="E473" s="13">
        <f>IF(D473="","",D473-TODAY())</f>
        <v/>
      </c>
      <c r="F473">
        <f>IF(D473="","",IF(E473&lt;0,"VENCIDO",IF(E473&lt;=30,"VENCE EM &lt;= 30 DIAS",IF(E473&lt;=60,"ATENCAO (31-60 DIAS)","OK"))))</f>
        <v/>
      </c>
      <c r="G473" s="13">
        <f>SUMIFS(Movimentacoes!$G:$G,Movimentacoes!$C:$C,$A473,Movimentacoes!$E:$E,$C473,Movimentacoes!$B:$B,"ENTRADA")</f>
        <v/>
      </c>
      <c r="H473" s="13">
        <f>SUMIFS(Movimentacoes!$G:$G,Movimentacoes!$C:$C,$A473,Movimentacoes!$E:$E,$C473,Movimentacoes!$B:$B,"SAIDA_USO")</f>
        <v/>
      </c>
      <c r="I473" s="13">
        <f>SUMIFS(Movimentacoes!$G:$G,Movimentacoes!$C:$C,$A473,Movimentacoes!$E:$E,$C473,Movimentacoes!$B:$B,"SAIDA_DESCARTE")</f>
        <v/>
      </c>
      <c r="J473" s="13">
        <f>G473-H473-I473</f>
        <v/>
      </c>
      <c r="K473">
        <f>IF(A473="","",IF(J473&lt;=IFERROR(VLOOKUP(A473,Cadastro_Produtos!$A:$E,5,FALSE),0),"ABAIXO DO MINIMO","OK"))</f>
        <v/>
      </c>
    </row>
    <row r="474">
      <c r="B474">
        <f>IFERROR(VLOOKUP(A474,Cadastro_Produtos!A:B,2,FALSE),"")</f>
        <v/>
      </c>
      <c r="D474" s="12" t="n"/>
      <c r="E474" s="13">
        <f>IF(D474="","",D474-TODAY())</f>
        <v/>
      </c>
      <c r="F474">
        <f>IF(D474="","",IF(E474&lt;0,"VENCIDO",IF(E474&lt;=30,"VENCE EM &lt;= 30 DIAS",IF(E474&lt;=60,"ATENCAO (31-60 DIAS)","OK"))))</f>
        <v/>
      </c>
      <c r="G474" s="13">
        <f>SUMIFS(Movimentacoes!$G:$G,Movimentacoes!$C:$C,$A474,Movimentacoes!$E:$E,$C474,Movimentacoes!$B:$B,"ENTRADA")</f>
        <v/>
      </c>
      <c r="H474" s="13">
        <f>SUMIFS(Movimentacoes!$G:$G,Movimentacoes!$C:$C,$A474,Movimentacoes!$E:$E,$C474,Movimentacoes!$B:$B,"SAIDA_USO")</f>
        <v/>
      </c>
      <c r="I474" s="13">
        <f>SUMIFS(Movimentacoes!$G:$G,Movimentacoes!$C:$C,$A474,Movimentacoes!$E:$E,$C474,Movimentacoes!$B:$B,"SAIDA_DESCARTE")</f>
        <v/>
      </c>
      <c r="J474" s="13">
        <f>G474-H474-I474</f>
        <v/>
      </c>
      <c r="K474">
        <f>IF(A474="","",IF(J474&lt;=IFERROR(VLOOKUP(A474,Cadastro_Produtos!$A:$E,5,FALSE),0),"ABAIXO DO MINIMO","OK"))</f>
        <v/>
      </c>
    </row>
    <row r="475">
      <c r="B475">
        <f>IFERROR(VLOOKUP(A475,Cadastro_Produtos!A:B,2,FALSE),"")</f>
        <v/>
      </c>
      <c r="D475" s="12" t="n"/>
      <c r="E475" s="13">
        <f>IF(D475="","",D475-TODAY())</f>
        <v/>
      </c>
      <c r="F475">
        <f>IF(D475="","",IF(E475&lt;0,"VENCIDO",IF(E475&lt;=30,"VENCE EM &lt;= 30 DIAS",IF(E475&lt;=60,"ATENCAO (31-60 DIAS)","OK"))))</f>
        <v/>
      </c>
      <c r="G475" s="13">
        <f>SUMIFS(Movimentacoes!$G:$G,Movimentacoes!$C:$C,$A475,Movimentacoes!$E:$E,$C475,Movimentacoes!$B:$B,"ENTRADA")</f>
        <v/>
      </c>
      <c r="H475" s="13">
        <f>SUMIFS(Movimentacoes!$G:$G,Movimentacoes!$C:$C,$A475,Movimentacoes!$E:$E,$C475,Movimentacoes!$B:$B,"SAIDA_USO")</f>
        <v/>
      </c>
      <c r="I475" s="13">
        <f>SUMIFS(Movimentacoes!$G:$G,Movimentacoes!$C:$C,$A475,Movimentacoes!$E:$E,$C475,Movimentacoes!$B:$B,"SAIDA_DESCARTE")</f>
        <v/>
      </c>
      <c r="J475" s="13">
        <f>G475-H475-I475</f>
        <v/>
      </c>
      <c r="K475">
        <f>IF(A475="","",IF(J475&lt;=IFERROR(VLOOKUP(A475,Cadastro_Produtos!$A:$E,5,FALSE),0),"ABAIXO DO MINIMO","OK"))</f>
        <v/>
      </c>
    </row>
    <row r="476">
      <c r="B476">
        <f>IFERROR(VLOOKUP(A476,Cadastro_Produtos!A:B,2,FALSE),"")</f>
        <v/>
      </c>
      <c r="D476" s="12" t="n"/>
      <c r="E476" s="13">
        <f>IF(D476="","",D476-TODAY())</f>
        <v/>
      </c>
      <c r="F476">
        <f>IF(D476="","",IF(E476&lt;0,"VENCIDO",IF(E476&lt;=30,"VENCE EM &lt;= 30 DIAS",IF(E476&lt;=60,"ATENCAO (31-60 DIAS)","OK"))))</f>
        <v/>
      </c>
      <c r="G476" s="13">
        <f>SUMIFS(Movimentacoes!$G:$G,Movimentacoes!$C:$C,$A476,Movimentacoes!$E:$E,$C476,Movimentacoes!$B:$B,"ENTRADA")</f>
        <v/>
      </c>
      <c r="H476" s="13">
        <f>SUMIFS(Movimentacoes!$G:$G,Movimentacoes!$C:$C,$A476,Movimentacoes!$E:$E,$C476,Movimentacoes!$B:$B,"SAIDA_USO")</f>
        <v/>
      </c>
      <c r="I476" s="13">
        <f>SUMIFS(Movimentacoes!$G:$G,Movimentacoes!$C:$C,$A476,Movimentacoes!$E:$E,$C476,Movimentacoes!$B:$B,"SAIDA_DESCARTE")</f>
        <v/>
      </c>
      <c r="J476" s="13">
        <f>G476-H476-I476</f>
        <v/>
      </c>
      <c r="K476">
        <f>IF(A476="","",IF(J476&lt;=IFERROR(VLOOKUP(A476,Cadastro_Produtos!$A:$E,5,FALSE),0),"ABAIXO DO MINIMO","OK"))</f>
        <v/>
      </c>
    </row>
    <row r="477">
      <c r="B477">
        <f>IFERROR(VLOOKUP(A477,Cadastro_Produtos!A:B,2,FALSE),"")</f>
        <v/>
      </c>
      <c r="D477" s="12" t="n"/>
      <c r="E477" s="13">
        <f>IF(D477="","",D477-TODAY())</f>
        <v/>
      </c>
      <c r="F477">
        <f>IF(D477="","",IF(E477&lt;0,"VENCIDO",IF(E477&lt;=30,"VENCE EM &lt;= 30 DIAS",IF(E477&lt;=60,"ATENCAO (31-60 DIAS)","OK"))))</f>
        <v/>
      </c>
      <c r="G477" s="13">
        <f>SUMIFS(Movimentacoes!$G:$G,Movimentacoes!$C:$C,$A477,Movimentacoes!$E:$E,$C477,Movimentacoes!$B:$B,"ENTRADA")</f>
        <v/>
      </c>
      <c r="H477" s="13">
        <f>SUMIFS(Movimentacoes!$G:$G,Movimentacoes!$C:$C,$A477,Movimentacoes!$E:$E,$C477,Movimentacoes!$B:$B,"SAIDA_USO")</f>
        <v/>
      </c>
      <c r="I477" s="13">
        <f>SUMIFS(Movimentacoes!$G:$G,Movimentacoes!$C:$C,$A477,Movimentacoes!$E:$E,$C477,Movimentacoes!$B:$B,"SAIDA_DESCARTE")</f>
        <v/>
      </c>
      <c r="J477" s="13">
        <f>G477-H477-I477</f>
        <v/>
      </c>
      <c r="K477">
        <f>IF(A477="","",IF(J477&lt;=IFERROR(VLOOKUP(A477,Cadastro_Produtos!$A:$E,5,FALSE),0),"ABAIXO DO MINIMO","OK"))</f>
        <v/>
      </c>
    </row>
    <row r="478">
      <c r="B478">
        <f>IFERROR(VLOOKUP(A478,Cadastro_Produtos!A:B,2,FALSE),"")</f>
        <v/>
      </c>
      <c r="D478" s="12" t="n"/>
      <c r="E478" s="13">
        <f>IF(D478="","",D478-TODAY())</f>
        <v/>
      </c>
      <c r="F478">
        <f>IF(D478="","",IF(E478&lt;0,"VENCIDO",IF(E478&lt;=30,"VENCE EM &lt;= 30 DIAS",IF(E478&lt;=60,"ATENCAO (31-60 DIAS)","OK"))))</f>
        <v/>
      </c>
      <c r="G478" s="13">
        <f>SUMIFS(Movimentacoes!$G:$G,Movimentacoes!$C:$C,$A478,Movimentacoes!$E:$E,$C478,Movimentacoes!$B:$B,"ENTRADA")</f>
        <v/>
      </c>
      <c r="H478" s="13">
        <f>SUMIFS(Movimentacoes!$G:$G,Movimentacoes!$C:$C,$A478,Movimentacoes!$E:$E,$C478,Movimentacoes!$B:$B,"SAIDA_USO")</f>
        <v/>
      </c>
      <c r="I478" s="13">
        <f>SUMIFS(Movimentacoes!$G:$G,Movimentacoes!$C:$C,$A478,Movimentacoes!$E:$E,$C478,Movimentacoes!$B:$B,"SAIDA_DESCARTE")</f>
        <v/>
      </c>
      <c r="J478" s="13">
        <f>G478-H478-I478</f>
        <v/>
      </c>
      <c r="K478">
        <f>IF(A478="","",IF(J478&lt;=IFERROR(VLOOKUP(A478,Cadastro_Produtos!$A:$E,5,FALSE),0),"ABAIXO DO MINIMO","OK"))</f>
        <v/>
      </c>
    </row>
    <row r="479">
      <c r="B479">
        <f>IFERROR(VLOOKUP(A479,Cadastro_Produtos!A:B,2,FALSE),"")</f>
        <v/>
      </c>
      <c r="D479" s="12" t="n"/>
      <c r="E479" s="13">
        <f>IF(D479="","",D479-TODAY())</f>
        <v/>
      </c>
      <c r="F479">
        <f>IF(D479="","",IF(E479&lt;0,"VENCIDO",IF(E479&lt;=30,"VENCE EM &lt;= 30 DIAS",IF(E479&lt;=60,"ATENCAO (31-60 DIAS)","OK"))))</f>
        <v/>
      </c>
      <c r="G479" s="13">
        <f>SUMIFS(Movimentacoes!$G:$G,Movimentacoes!$C:$C,$A479,Movimentacoes!$E:$E,$C479,Movimentacoes!$B:$B,"ENTRADA")</f>
        <v/>
      </c>
      <c r="H479" s="13">
        <f>SUMIFS(Movimentacoes!$G:$G,Movimentacoes!$C:$C,$A479,Movimentacoes!$E:$E,$C479,Movimentacoes!$B:$B,"SAIDA_USO")</f>
        <v/>
      </c>
      <c r="I479" s="13">
        <f>SUMIFS(Movimentacoes!$G:$G,Movimentacoes!$C:$C,$A479,Movimentacoes!$E:$E,$C479,Movimentacoes!$B:$B,"SAIDA_DESCARTE")</f>
        <v/>
      </c>
      <c r="J479" s="13">
        <f>G479-H479-I479</f>
        <v/>
      </c>
      <c r="K479">
        <f>IF(A479="","",IF(J479&lt;=IFERROR(VLOOKUP(A479,Cadastro_Produtos!$A:$E,5,FALSE),0),"ABAIXO DO MINIMO","OK"))</f>
        <v/>
      </c>
    </row>
    <row r="480">
      <c r="B480">
        <f>IFERROR(VLOOKUP(A480,Cadastro_Produtos!A:B,2,FALSE),"")</f>
        <v/>
      </c>
      <c r="D480" s="12" t="n"/>
      <c r="E480" s="13">
        <f>IF(D480="","",D480-TODAY())</f>
        <v/>
      </c>
      <c r="F480">
        <f>IF(D480="","",IF(E480&lt;0,"VENCIDO",IF(E480&lt;=30,"VENCE EM &lt;= 30 DIAS",IF(E480&lt;=60,"ATENCAO (31-60 DIAS)","OK"))))</f>
        <v/>
      </c>
      <c r="G480" s="13">
        <f>SUMIFS(Movimentacoes!$G:$G,Movimentacoes!$C:$C,$A480,Movimentacoes!$E:$E,$C480,Movimentacoes!$B:$B,"ENTRADA")</f>
        <v/>
      </c>
      <c r="H480" s="13">
        <f>SUMIFS(Movimentacoes!$G:$G,Movimentacoes!$C:$C,$A480,Movimentacoes!$E:$E,$C480,Movimentacoes!$B:$B,"SAIDA_USO")</f>
        <v/>
      </c>
      <c r="I480" s="13">
        <f>SUMIFS(Movimentacoes!$G:$G,Movimentacoes!$C:$C,$A480,Movimentacoes!$E:$E,$C480,Movimentacoes!$B:$B,"SAIDA_DESCARTE")</f>
        <v/>
      </c>
      <c r="J480" s="13">
        <f>G480-H480-I480</f>
        <v/>
      </c>
      <c r="K480">
        <f>IF(A480="","",IF(J480&lt;=IFERROR(VLOOKUP(A480,Cadastro_Produtos!$A:$E,5,FALSE),0),"ABAIXO DO MINIMO","OK"))</f>
        <v/>
      </c>
    </row>
    <row r="481">
      <c r="B481">
        <f>IFERROR(VLOOKUP(A481,Cadastro_Produtos!A:B,2,FALSE),"")</f>
        <v/>
      </c>
      <c r="D481" s="12" t="n"/>
      <c r="E481" s="13">
        <f>IF(D481="","",D481-TODAY())</f>
        <v/>
      </c>
      <c r="F481">
        <f>IF(D481="","",IF(E481&lt;0,"VENCIDO",IF(E481&lt;=30,"VENCE EM &lt;= 30 DIAS",IF(E481&lt;=60,"ATENCAO (31-60 DIAS)","OK"))))</f>
        <v/>
      </c>
      <c r="G481" s="13">
        <f>SUMIFS(Movimentacoes!$G:$G,Movimentacoes!$C:$C,$A481,Movimentacoes!$E:$E,$C481,Movimentacoes!$B:$B,"ENTRADA")</f>
        <v/>
      </c>
      <c r="H481" s="13">
        <f>SUMIFS(Movimentacoes!$G:$G,Movimentacoes!$C:$C,$A481,Movimentacoes!$E:$E,$C481,Movimentacoes!$B:$B,"SAIDA_USO")</f>
        <v/>
      </c>
      <c r="I481" s="13">
        <f>SUMIFS(Movimentacoes!$G:$G,Movimentacoes!$C:$C,$A481,Movimentacoes!$E:$E,$C481,Movimentacoes!$B:$B,"SAIDA_DESCARTE")</f>
        <v/>
      </c>
      <c r="J481" s="13">
        <f>G481-H481-I481</f>
        <v/>
      </c>
      <c r="K481">
        <f>IF(A481="","",IF(J481&lt;=IFERROR(VLOOKUP(A481,Cadastro_Produtos!$A:$E,5,FALSE),0),"ABAIXO DO MINIMO","OK"))</f>
        <v/>
      </c>
    </row>
    <row r="482">
      <c r="B482">
        <f>IFERROR(VLOOKUP(A482,Cadastro_Produtos!A:B,2,FALSE),"")</f>
        <v/>
      </c>
      <c r="D482" s="12" t="n"/>
      <c r="E482" s="13">
        <f>IF(D482="","",D482-TODAY())</f>
        <v/>
      </c>
      <c r="F482">
        <f>IF(D482="","",IF(E482&lt;0,"VENCIDO",IF(E482&lt;=30,"VENCE EM &lt;= 30 DIAS",IF(E482&lt;=60,"ATENCAO (31-60 DIAS)","OK"))))</f>
        <v/>
      </c>
      <c r="G482" s="13">
        <f>SUMIFS(Movimentacoes!$G:$G,Movimentacoes!$C:$C,$A482,Movimentacoes!$E:$E,$C482,Movimentacoes!$B:$B,"ENTRADA")</f>
        <v/>
      </c>
      <c r="H482" s="13">
        <f>SUMIFS(Movimentacoes!$G:$G,Movimentacoes!$C:$C,$A482,Movimentacoes!$E:$E,$C482,Movimentacoes!$B:$B,"SAIDA_USO")</f>
        <v/>
      </c>
      <c r="I482" s="13">
        <f>SUMIFS(Movimentacoes!$G:$G,Movimentacoes!$C:$C,$A482,Movimentacoes!$E:$E,$C482,Movimentacoes!$B:$B,"SAIDA_DESCARTE")</f>
        <v/>
      </c>
      <c r="J482" s="13">
        <f>G482-H482-I482</f>
        <v/>
      </c>
      <c r="K482">
        <f>IF(A482="","",IF(J482&lt;=IFERROR(VLOOKUP(A482,Cadastro_Produtos!$A:$E,5,FALSE),0),"ABAIXO DO MINIMO","OK"))</f>
        <v/>
      </c>
    </row>
    <row r="483">
      <c r="B483">
        <f>IFERROR(VLOOKUP(A483,Cadastro_Produtos!A:B,2,FALSE),"")</f>
        <v/>
      </c>
      <c r="D483" s="12" t="n"/>
      <c r="E483" s="13">
        <f>IF(D483="","",D483-TODAY())</f>
        <v/>
      </c>
      <c r="F483">
        <f>IF(D483="","",IF(E483&lt;0,"VENCIDO",IF(E483&lt;=30,"VENCE EM &lt;= 30 DIAS",IF(E483&lt;=60,"ATENCAO (31-60 DIAS)","OK"))))</f>
        <v/>
      </c>
      <c r="G483" s="13">
        <f>SUMIFS(Movimentacoes!$G:$G,Movimentacoes!$C:$C,$A483,Movimentacoes!$E:$E,$C483,Movimentacoes!$B:$B,"ENTRADA")</f>
        <v/>
      </c>
      <c r="H483" s="13">
        <f>SUMIFS(Movimentacoes!$G:$G,Movimentacoes!$C:$C,$A483,Movimentacoes!$E:$E,$C483,Movimentacoes!$B:$B,"SAIDA_USO")</f>
        <v/>
      </c>
      <c r="I483" s="13">
        <f>SUMIFS(Movimentacoes!$G:$G,Movimentacoes!$C:$C,$A483,Movimentacoes!$E:$E,$C483,Movimentacoes!$B:$B,"SAIDA_DESCARTE")</f>
        <v/>
      </c>
      <c r="J483" s="13">
        <f>G483-H483-I483</f>
        <v/>
      </c>
      <c r="K483">
        <f>IF(A483="","",IF(J483&lt;=IFERROR(VLOOKUP(A483,Cadastro_Produtos!$A:$E,5,FALSE),0),"ABAIXO DO MINIMO","OK"))</f>
        <v/>
      </c>
    </row>
    <row r="484">
      <c r="B484">
        <f>IFERROR(VLOOKUP(A484,Cadastro_Produtos!A:B,2,FALSE),"")</f>
        <v/>
      </c>
      <c r="D484" s="12" t="n"/>
      <c r="E484" s="13">
        <f>IF(D484="","",D484-TODAY())</f>
        <v/>
      </c>
      <c r="F484">
        <f>IF(D484="","",IF(E484&lt;0,"VENCIDO",IF(E484&lt;=30,"VENCE EM &lt;= 30 DIAS",IF(E484&lt;=60,"ATENCAO (31-60 DIAS)","OK"))))</f>
        <v/>
      </c>
      <c r="G484" s="13">
        <f>SUMIFS(Movimentacoes!$G:$G,Movimentacoes!$C:$C,$A484,Movimentacoes!$E:$E,$C484,Movimentacoes!$B:$B,"ENTRADA")</f>
        <v/>
      </c>
      <c r="H484" s="13">
        <f>SUMIFS(Movimentacoes!$G:$G,Movimentacoes!$C:$C,$A484,Movimentacoes!$E:$E,$C484,Movimentacoes!$B:$B,"SAIDA_USO")</f>
        <v/>
      </c>
      <c r="I484" s="13">
        <f>SUMIFS(Movimentacoes!$G:$G,Movimentacoes!$C:$C,$A484,Movimentacoes!$E:$E,$C484,Movimentacoes!$B:$B,"SAIDA_DESCARTE")</f>
        <v/>
      </c>
      <c r="J484" s="13">
        <f>G484-H484-I484</f>
        <v/>
      </c>
      <c r="K484">
        <f>IF(A484="","",IF(J484&lt;=IFERROR(VLOOKUP(A484,Cadastro_Produtos!$A:$E,5,FALSE),0),"ABAIXO DO MINIMO","OK"))</f>
        <v/>
      </c>
    </row>
    <row r="485">
      <c r="B485">
        <f>IFERROR(VLOOKUP(A485,Cadastro_Produtos!A:B,2,FALSE),"")</f>
        <v/>
      </c>
      <c r="D485" s="12" t="n"/>
      <c r="E485" s="13">
        <f>IF(D485="","",D485-TODAY())</f>
        <v/>
      </c>
      <c r="F485">
        <f>IF(D485="","",IF(E485&lt;0,"VENCIDO",IF(E485&lt;=30,"VENCE EM &lt;= 30 DIAS",IF(E485&lt;=60,"ATENCAO (31-60 DIAS)","OK"))))</f>
        <v/>
      </c>
      <c r="G485" s="13">
        <f>SUMIFS(Movimentacoes!$G:$G,Movimentacoes!$C:$C,$A485,Movimentacoes!$E:$E,$C485,Movimentacoes!$B:$B,"ENTRADA")</f>
        <v/>
      </c>
      <c r="H485" s="13">
        <f>SUMIFS(Movimentacoes!$G:$G,Movimentacoes!$C:$C,$A485,Movimentacoes!$E:$E,$C485,Movimentacoes!$B:$B,"SAIDA_USO")</f>
        <v/>
      </c>
      <c r="I485" s="13">
        <f>SUMIFS(Movimentacoes!$G:$G,Movimentacoes!$C:$C,$A485,Movimentacoes!$E:$E,$C485,Movimentacoes!$B:$B,"SAIDA_DESCARTE")</f>
        <v/>
      </c>
      <c r="J485" s="13">
        <f>G485-H485-I485</f>
        <v/>
      </c>
      <c r="K485">
        <f>IF(A485="","",IF(J485&lt;=IFERROR(VLOOKUP(A485,Cadastro_Produtos!$A:$E,5,FALSE),0),"ABAIXO DO MINIMO","OK"))</f>
        <v/>
      </c>
    </row>
    <row r="486">
      <c r="B486">
        <f>IFERROR(VLOOKUP(A486,Cadastro_Produtos!A:B,2,FALSE),"")</f>
        <v/>
      </c>
      <c r="D486" s="12" t="n"/>
      <c r="E486" s="13">
        <f>IF(D486="","",D486-TODAY())</f>
        <v/>
      </c>
      <c r="F486">
        <f>IF(D486="","",IF(E486&lt;0,"VENCIDO",IF(E486&lt;=30,"VENCE EM &lt;= 30 DIAS",IF(E486&lt;=60,"ATENCAO (31-60 DIAS)","OK"))))</f>
        <v/>
      </c>
      <c r="G486" s="13">
        <f>SUMIFS(Movimentacoes!$G:$G,Movimentacoes!$C:$C,$A486,Movimentacoes!$E:$E,$C486,Movimentacoes!$B:$B,"ENTRADA")</f>
        <v/>
      </c>
      <c r="H486" s="13">
        <f>SUMIFS(Movimentacoes!$G:$G,Movimentacoes!$C:$C,$A486,Movimentacoes!$E:$E,$C486,Movimentacoes!$B:$B,"SAIDA_USO")</f>
        <v/>
      </c>
      <c r="I486" s="13">
        <f>SUMIFS(Movimentacoes!$G:$G,Movimentacoes!$C:$C,$A486,Movimentacoes!$E:$E,$C486,Movimentacoes!$B:$B,"SAIDA_DESCARTE")</f>
        <v/>
      </c>
      <c r="J486" s="13">
        <f>G486-H486-I486</f>
        <v/>
      </c>
      <c r="K486">
        <f>IF(A486="","",IF(J486&lt;=IFERROR(VLOOKUP(A486,Cadastro_Produtos!$A:$E,5,FALSE),0),"ABAIXO DO MINIMO","OK"))</f>
        <v/>
      </c>
    </row>
    <row r="487">
      <c r="B487">
        <f>IFERROR(VLOOKUP(A487,Cadastro_Produtos!A:B,2,FALSE),"")</f>
        <v/>
      </c>
      <c r="D487" s="12" t="n"/>
      <c r="E487" s="13">
        <f>IF(D487="","",D487-TODAY())</f>
        <v/>
      </c>
      <c r="F487">
        <f>IF(D487="","",IF(E487&lt;0,"VENCIDO",IF(E487&lt;=30,"VENCE EM &lt;= 30 DIAS",IF(E487&lt;=60,"ATENCAO (31-60 DIAS)","OK"))))</f>
        <v/>
      </c>
      <c r="G487" s="13">
        <f>SUMIFS(Movimentacoes!$G:$G,Movimentacoes!$C:$C,$A487,Movimentacoes!$E:$E,$C487,Movimentacoes!$B:$B,"ENTRADA")</f>
        <v/>
      </c>
      <c r="H487" s="13">
        <f>SUMIFS(Movimentacoes!$G:$G,Movimentacoes!$C:$C,$A487,Movimentacoes!$E:$E,$C487,Movimentacoes!$B:$B,"SAIDA_USO")</f>
        <v/>
      </c>
      <c r="I487" s="13">
        <f>SUMIFS(Movimentacoes!$G:$G,Movimentacoes!$C:$C,$A487,Movimentacoes!$E:$E,$C487,Movimentacoes!$B:$B,"SAIDA_DESCARTE")</f>
        <v/>
      </c>
      <c r="J487" s="13">
        <f>G487-H487-I487</f>
        <v/>
      </c>
      <c r="K487">
        <f>IF(A487="","",IF(J487&lt;=IFERROR(VLOOKUP(A487,Cadastro_Produtos!$A:$E,5,FALSE),0),"ABAIXO DO MINIMO","OK"))</f>
        <v/>
      </c>
    </row>
    <row r="488">
      <c r="B488">
        <f>IFERROR(VLOOKUP(A488,Cadastro_Produtos!A:B,2,FALSE),"")</f>
        <v/>
      </c>
      <c r="D488" s="12" t="n"/>
      <c r="E488" s="13">
        <f>IF(D488="","",D488-TODAY())</f>
        <v/>
      </c>
      <c r="F488">
        <f>IF(D488="","",IF(E488&lt;0,"VENCIDO",IF(E488&lt;=30,"VENCE EM &lt;= 30 DIAS",IF(E488&lt;=60,"ATENCAO (31-60 DIAS)","OK"))))</f>
        <v/>
      </c>
      <c r="G488" s="13">
        <f>SUMIFS(Movimentacoes!$G:$G,Movimentacoes!$C:$C,$A488,Movimentacoes!$E:$E,$C488,Movimentacoes!$B:$B,"ENTRADA")</f>
        <v/>
      </c>
      <c r="H488" s="13">
        <f>SUMIFS(Movimentacoes!$G:$G,Movimentacoes!$C:$C,$A488,Movimentacoes!$E:$E,$C488,Movimentacoes!$B:$B,"SAIDA_USO")</f>
        <v/>
      </c>
      <c r="I488" s="13">
        <f>SUMIFS(Movimentacoes!$G:$G,Movimentacoes!$C:$C,$A488,Movimentacoes!$E:$E,$C488,Movimentacoes!$B:$B,"SAIDA_DESCARTE")</f>
        <v/>
      </c>
      <c r="J488" s="13">
        <f>G488-H488-I488</f>
        <v/>
      </c>
      <c r="K488">
        <f>IF(A488="","",IF(J488&lt;=IFERROR(VLOOKUP(A488,Cadastro_Produtos!$A:$E,5,FALSE),0),"ABAIXO DO MINIMO","OK"))</f>
        <v/>
      </c>
    </row>
    <row r="489">
      <c r="B489">
        <f>IFERROR(VLOOKUP(A489,Cadastro_Produtos!A:B,2,FALSE),"")</f>
        <v/>
      </c>
      <c r="D489" s="12" t="n"/>
      <c r="E489" s="13">
        <f>IF(D489="","",D489-TODAY())</f>
        <v/>
      </c>
      <c r="F489">
        <f>IF(D489="","",IF(E489&lt;0,"VENCIDO",IF(E489&lt;=30,"VENCE EM &lt;= 30 DIAS",IF(E489&lt;=60,"ATENCAO (31-60 DIAS)","OK"))))</f>
        <v/>
      </c>
      <c r="G489" s="13">
        <f>SUMIFS(Movimentacoes!$G:$G,Movimentacoes!$C:$C,$A489,Movimentacoes!$E:$E,$C489,Movimentacoes!$B:$B,"ENTRADA")</f>
        <v/>
      </c>
      <c r="H489" s="13">
        <f>SUMIFS(Movimentacoes!$G:$G,Movimentacoes!$C:$C,$A489,Movimentacoes!$E:$E,$C489,Movimentacoes!$B:$B,"SAIDA_USO")</f>
        <v/>
      </c>
      <c r="I489" s="13">
        <f>SUMIFS(Movimentacoes!$G:$G,Movimentacoes!$C:$C,$A489,Movimentacoes!$E:$E,$C489,Movimentacoes!$B:$B,"SAIDA_DESCARTE")</f>
        <v/>
      </c>
      <c r="J489" s="13">
        <f>G489-H489-I489</f>
        <v/>
      </c>
      <c r="K489">
        <f>IF(A489="","",IF(J489&lt;=IFERROR(VLOOKUP(A489,Cadastro_Produtos!$A:$E,5,FALSE),0),"ABAIXO DO MINIMO","OK"))</f>
        <v/>
      </c>
    </row>
    <row r="490">
      <c r="B490">
        <f>IFERROR(VLOOKUP(A490,Cadastro_Produtos!A:B,2,FALSE),"")</f>
        <v/>
      </c>
      <c r="D490" s="12" t="n"/>
      <c r="E490" s="13">
        <f>IF(D490="","",D490-TODAY())</f>
        <v/>
      </c>
      <c r="F490">
        <f>IF(D490="","",IF(E490&lt;0,"VENCIDO",IF(E490&lt;=30,"VENCE EM &lt;= 30 DIAS",IF(E490&lt;=60,"ATENCAO (31-60 DIAS)","OK"))))</f>
        <v/>
      </c>
      <c r="G490" s="13">
        <f>SUMIFS(Movimentacoes!$G:$G,Movimentacoes!$C:$C,$A490,Movimentacoes!$E:$E,$C490,Movimentacoes!$B:$B,"ENTRADA")</f>
        <v/>
      </c>
      <c r="H490" s="13">
        <f>SUMIFS(Movimentacoes!$G:$G,Movimentacoes!$C:$C,$A490,Movimentacoes!$E:$E,$C490,Movimentacoes!$B:$B,"SAIDA_USO")</f>
        <v/>
      </c>
      <c r="I490" s="13">
        <f>SUMIFS(Movimentacoes!$G:$G,Movimentacoes!$C:$C,$A490,Movimentacoes!$E:$E,$C490,Movimentacoes!$B:$B,"SAIDA_DESCARTE")</f>
        <v/>
      </c>
      <c r="J490" s="13">
        <f>G490-H490-I490</f>
        <v/>
      </c>
      <c r="K490">
        <f>IF(A490="","",IF(J490&lt;=IFERROR(VLOOKUP(A490,Cadastro_Produtos!$A:$E,5,FALSE),0),"ABAIXO DO MINIMO","OK"))</f>
        <v/>
      </c>
    </row>
    <row r="491">
      <c r="B491">
        <f>IFERROR(VLOOKUP(A491,Cadastro_Produtos!A:B,2,FALSE),"")</f>
        <v/>
      </c>
      <c r="D491" s="12" t="n"/>
      <c r="E491" s="13">
        <f>IF(D491="","",D491-TODAY())</f>
        <v/>
      </c>
      <c r="F491">
        <f>IF(D491="","",IF(E491&lt;0,"VENCIDO",IF(E491&lt;=30,"VENCE EM &lt;= 30 DIAS",IF(E491&lt;=60,"ATENCAO (31-60 DIAS)","OK"))))</f>
        <v/>
      </c>
      <c r="G491" s="13">
        <f>SUMIFS(Movimentacoes!$G:$G,Movimentacoes!$C:$C,$A491,Movimentacoes!$E:$E,$C491,Movimentacoes!$B:$B,"ENTRADA")</f>
        <v/>
      </c>
      <c r="H491" s="13">
        <f>SUMIFS(Movimentacoes!$G:$G,Movimentacoes!$C:$C,$A491,Movimentacoes!$E:$E,$C491,Movimentacoes!$B:$B,"SAIDA_USO")</f>
        <v/>
      </c>
      <c r="I491" s="13">
        <f>SUMIFS(Movimentacoes!$G:$G,Movimentacoes!$C:$C,$A491,Movimentacoes!$E:$E,$C491,Movimentacoes!$B:$B,"SAIDA_DESCARTE")</f>
        <v/>
      </c>
      <c r="J491" s="13">
        <f>G491-H491-I491</f>
        <v/>
      </c>
      <c r="K491">
        <f>IF(A491="","",IF(J491&lt;=IFERROR(VLOOKUP(A491,Cadastro_Produtos!$A:$E,5,FALSE),0),"ABAIXO DO MINIMO","OK"))</f>
        <v/>
      </c>
    </row>
    <row r="492">
      <c r="B492">
        <f>IFERROR(VLOOKUP(A492,Cadastro_Produtos!A:B,2,FALSE),"")</f>
        <v/>
      </c>
      <c r="D492" s="12" t="n"/>
      <c r="E492" s="13">
        <f>IF(D492="","",D492-TODAY())</f>
        <v/>
      </c>
      <c r="F492">
        <f>IF(D492="","",IF(E492&lt;0,"VENCIDO",IF(E492&lt;=30,"VENCE EM &lt;= 30 DIAS",IF(E492&lt;=60,"ATENCAO (31-60 DIAS)","OK"))))</f>
        <v/>
      </c>
      <c r="G492" s="13">
        <f>SUMIFS(Movimentacoes!$G:$G,Movimentacoes!$C:$C,$A492,Movimentacoes!$E:$E,$C492,Movimentacoes!$B:$B,"ENTRADA")</f>
        <v/>
      </c>
      <c r="H492" s="13">
        <f>SUMIFS(Movimentacoes!$G:$G,Movimentacoes!$C:$C,$A492,Movimentacoes!$E:$E,$C492,Movimentacoes!$B:$B,"SAIDA_USO")</f>
        <v/>
      </c>
      <c r="I492" s="13">
        <f>SUMIFS(Movimentacoes!$G:$G,Movimentacoes!$C:$C,$A492,Movimentacoes!$E:$E,$C492,Movimentacoes!$B:$B,"SAIDA_DESCARTE")</f>
        <v/>
      </c>
      <c r="J492" s="13">
        <f>G492-H492-I492</f>
        <v/>
      </c>
      <c r="K492">
        <f>IF(A492="","",IF(J492&lt;=IFERROR(VLOOKUP(A492,Cadastro_Produtos!$A:$E,5,FALSE),0),"ABAIXO DO MINIMO","OK"))</f>
        <v/>
      </c>
    </row>
    <row r="493">
      <c r="B493">
        <f>IFERROR(VLOOKUP(A493,Cadastro_Produtos!A:B,2,FALSE),"")</f>
        <v/>
      </c>
      <c r="D493" s="12" t="n"/>
      <c r="E493" s="13">
        <f>IF(D493="","",D493-TODAY())</f>
        <v/>
      </c>
      <c r="F493">
        <f>IF(D493="","",IF(E493&lt;0,"VENCIDO",IF(E493&lt;=30,"VENCE EM &lt;= 30 DIAS",IF(E493&lt;=60,"ATENCAO (31-60 DIAS)","OK"))))</f>
        <v/>
      </c>
      <c r="G493" s="13">
        <f>SUMIFS(Movimentacoes!$G:$G,Movimentacoes!$C:$C,$A493,Movimentacoes!$E:$E,$C493,Movimentacoes!$B:$B,"ENTRADA")</f>
        <v/>
      </c>
      <c r="H493" s="13">
        <f>SUMIFS(Movimentacoes!$G:$G,Movimentacoes!$C:$C,$A493,Movimentacoes!$E:$E,$C493,Movimentacoes!$B:$B,"SAIDA_USO")</f>
        <v/>
      </c>
      <c r="I493" s="13">
        <f>SUMIFS(Movimentacoes!$G:$G,Movimentacoes!$C:$C,$A493,Movimentacoes!$E:$E,$C493,Movimentacoes!$B:$B,"SAIDA_DESCARTE")</f>
        <v/>
      </c>
      <c r="J493" s="13">
        <f>G493-H493-I493</f>
        <v/>
      </c>
      <c r="K493">
        <f>IF(A493="","",IF(J493&lt;=IFERROR(VLOOKUP(A493,Cadastro_Produtos!$A:$E,5,FALSE),0),"ABAIXO DO MINIMO","OK"))</f>
        <v/>
      </c>
    </row>
    <row r="494">
      <c r="B494">
        <f>IFERROR(VLOOKUP(A494,Cadastro_Produtos!A:B,2,FALSE),"")</f>
        <v/>
      </c>
      <c r="D494" s="12" t="n"/>
      <c r="E494" s="13">
        <f>IF(D494="","",D494-TODAY())</f>
        <v/>
      </c>
      <c r="F494">
        <f>IF(D494="","",IF(E494&lt;0,"VENCIDO",IF(E494&lt;=30,"VENCE EM &lt;= 30 DIAS",IF(E494&lt;=60,"ATENCAO (31-60 DIAS)","OK"))))</f>
        <v/>
      </c>
      <c r="G494" s="13">
        <f>SUMIFS(Movimentacoes!$G:$G,Movimentacoes!$C:$C,$A494,Movimentacoes!$E:$E,$C494,Movimentacoes!$B:$B,"ENTRADA")</f>
        <v/>
      </c>
      <c r="H494" s="13">
        <f>SUMIFS(Movimentacoes!$G:$G,Movimentacoes!$C:$C,$A494,Movimentacoes!$E:$E,$C494,Movimentacoes!$B:$B,"SAIDA_USO")</f>
        <v/>
      </c>
      <c r="I494" s="13">
        <f>SUMIFS(Movimentacoes!$G:$G,Movimentacoes!$C:$C,$A494,Movimentacoes!$E:$E,$C494,Movimentacoes!$B:$B,"SAIDA_DESCARTE")</f>
        <v/>
      </c>
      <c r="J494" s="13">
        <f>G494-H494-I494</f>
        <v/>
      </c>
      <c r="K494">
        <f>IF(A494="","",IF(J494&lt;=IFERROR(VLOOKUP(A494,Cadastro_Produtos!$A:$E,5,FALSE),0),"ABAIXO DO MINIMO","OK"))</f>
        <v/>
      </c>
    </row>
    <row r="495">
      <c r="B495">
        <f>IFERROR(VLOOKUP(A495,Cadastro_Produtos!A:B,2,FALSE),"")</f>
        <v/>
      </c>
      <c r="D495" s="12" t="n"/>
      <c r="E495" s="13">
        <f>IF(D495="","",D495-TODAY())</f>
        <v/>
      </c>
      <c r="F495">
        <f>IF(D495="","",IF(E495&lt;0,"VENCIDO",IF(E495&lt;=30,"VENCE EM &lt;= 30 DIAS",IF(E495&lt;=60,"ATENCAO (31-60 DIAS)","OK"))))</f>
        <v/>
      </c>
      <c r="G495" s="13">
        <f>SUMIFS(Movimentacoes!$G:$G,Movimentacoes!$C:$C,$A495,Movimentacoes!$E:$E,$C495,Movimentacoes!$B:$B,"ENTRADA")</f>
        <v/>
      </c>
      <c r="H495" s="13">
        <f>SUMIFS(Movimentacoes!$G:$G,Movimentacoes!$C:$C,$A495,Movimentacoes!$E:$E,$C495,Movimentacoes!$B:$B,"SAIDA_USO")</f>
        <v/>
      </c>
      <c r="I495" s="13">
        <f>SUMIFS(Movimentacoes!$G:$G,Movimentacoes!$C:$C,$A495,Movimentacoes!$E:$E,$C495,Movimentacoes!$B:$B,"SAIDA_DESCARTE")</f>
        <v/>
      </c>
      <c r="J495" s="13">
        <f>G495-H495-I495</f>
        <v/>
      </c>
      <c r="K495">
        <f>IF(A495="","",IF(J495&lt;=IFERROR(VLOOKUP(A495,Cadastro_Produtos!$A:$E,5,FALSE),0),"ABAIXO DO MINIMO","OK"))</f>
        <v/>
      </c>
    </row>
    <row r="496">
      <c r="B496">
        <f>IFERROR(VLOOKUP(A496,Cadastro_Produtos!A:B,2,FALSE),"")</f>
        <v/>
      </c>
      <c r="D496" s="12" t="n"/>
      <c r="E496" s="13">
        <f>IF(D496="","",D496-TODAY())</f>
        <v/>
      </c>
      <c r="F496">
        <f>IF(D496="","",IF(E496&lt;0,"VENCIDO",IF(E496&lt;=30,"VENCE EM &lt;= 30 DIAS",IF(E496&lt;=60,"ATENCAO (31-60 DIAS)","OK"))))</f>
        <v/>
      </c>
      <c r="G496" s="13">
        <f>SUMIFS(Movimentacoes!$G:$G,Movimentacoes!$C:$C,$A496,Movimentacoes!$E:$E,$C496,Movimentacoes!$B:$B,"ENTRADA")</f>
        <v/>
      </c>
      <c r="H496" s="13">
        <f>SUMIFS(Movimentacoes!$G:$G,Movimentacoes!$C:$C,$A496,Movimentacoes!$E:$E,$C496,Movimentacoes!$B:$B,"SAIDA_USO")</f>
        <v/>
      </c>
      <c r="I496" s="13">
        <f>SUMIFS(Movimentacoes!$G:$G,Movimentacoes!$C:$C,$A496,Movimentacoes!$E:$E,$C496,Movimentacoes!$B:$B,"SAIDA_DESCARTE")</f>
        <v/>
      </c>
      <c r="J496" s="13">
        <f>G496-H496-I496</f>
        <v/>
      </c>
      <c r="K496">
        <f>IF(A496="","",IF(J496&lt;=IFERROR(VLOOKUP(A496,Cadastro_Produtos!$A:$E,5,FALSE),0),"ABAIXO DO MINIMO","OK"))</f>
        <v/>
      </c>
    </row>
    <row r="497">
      <c r="B497">
        <f>IFERROR(VLOOKUP(A497,Cadastro_Produtos!A:B,2,FALSE),"")</f>
        <v/>
      </c>
      <c r="D497" s="12" t="n"/>
      <c r="E497" s="13">
        <f>IF(D497="","",D497-TODAY())</f>
        <v/>
      </c>
      <c r="F497">
        <f>IF(D497="","",IF(E497&lt;0,"VENCIDO",IF(E497&lt;=30,"VENCE EM &lt;= 30 DIAS",IF(E497&lt;=60,"ATENCAO (31-60 DIAS)","OK"))))</f>
        <v/>
      </c>
      <c r="G497" s="13">
        <f>SUMIFS(Movimentacoes!$G:$G,Movimentacoes!$C:$C,$A497,Movimentacoes!$E:$E,$C497,Movimentacoes!$B:$B,"ENTRADA")</f>
        <v/>
      </c>
      <c r="H497" s="13">
        <f>SUMIFS(Movimentacoes!$G:$G,Movimentacoes!$C:$C,$A497,Movimentacoes!$E:$E,$C497,Movimentacoes!$B:$B,"SAIDA_USO")</f>
        <v/>
      </c>
      <c r="I497" s="13">
        <f>SUMIFS(Movimentacoes!$G:$G,Movimentacoes!$C:$C,$A497,Movimentacoes!$E:$E,$C497,Movimentacoes!$B:$B,"SAIDA_DESCARTE")</f>
        <v/>
      </c>
      <c r="J497" s="13">
        <f>G497-H497-I497</f>
        <v/>
      </c>
      <c r="K497">
        <f>IF(A497="","",IF(J497&lt;=IFERROR(VLOOKUP(A497,Cadastro_Produtos!$A:$E,5,FALSE),0),"ABAIXO DO MINIMO","OK"))</f>
        <v/>
      </c>
    </row>
    <row r="498">
      <c r="B498">
        <f>IFERROR(VLOOKUP(A498,Cadastro_Produtos!A:B,2,FALSE),"")</f>
        <v/>
      </c>
      <c r="D498" s="12" t="n"/>
      <c r="E498" s="13">
        <f>IF(D498="","",D498-TODAY())</f>
        <v/>
      </c>
      <c r="F498">
        <f>IF(D498="","",IF(E498&lt;0,"VENCIDO",IF(E498&lt;=30,"VENCE EM &lt;= 30 DIAS",IF(E498&lt;=60,"ATENCAO (31-60 DIAS)","OK"))))</f>
        <v/>
      </c>
      <c r="G498" s="13">
        <f>SUMIFS(Movimentacoes!$G:$G,Movimentacoes!$C:$C,$A498,Movimentacoes!$E:$E,$C498,Movimentacoes!$B:$B,"ENTRADA")</f>
        <v/>
      </c>
      <c r="H498" s="13">
        <f>SUMIFS(Movimentacoes!$G:$G,Movimentacoes!$C:$C,$A498,Movimentacoes!$E:$E,$C498,Movimentacoes!$B:$B,"SAIDA_USO")</f>
        <v/>
      </c>
      <c r="I498" s="13">
        <f>SUMIFS(Movimentacoes!$G:$G,Movimentacoes!$C:$C,$A498,Movimentacoes!$E:$E,$C498,Movimentacoes!$B:$B,"SAIDA_DESCARTE")</f>
        <v/>
      </c>
      <c r="J498" s="13">
        <f>G498-H498-I498</f>
        <v/>
      </c>
      <c r="K498">
        <f>IF(A498="","",IF(J498&lt;=IFERROR(VLOOKUP(A498,Cadastro_Produtos!$A:$E,5,FALSE),0),"ABAIXO DO MINIMO","OK"))</f>
        <v/>
      </c>
    </row>
    <row r="499">
      <c r="B499">
        <f>IFERROR(VLOOKUP(A499,Cadastro_Produtos!A:B,2,FALSE),"")</f>
        <v/>
      </c>
      <c r="D499" s="12" t="n"/>
      <c r="E499" s="13">
        <f>IF(D499="","",D499-TODAY())</f>
        <v/>
      </c>
      <c r="F499">
        <f>IF(D499="","",IF(E499&lt;0,"VENCIDO",IF(E499&lt;=30,"VENCE EM &lt;= 30 DIAS",IF(E499&lt;=60,"ATENCAO (31-60 DIAS)","OK"))))</f>
        <v/>
      </c>
      <c r="G499" s="13">
        <f>SUMIFS(Movimentacoes!$G:$G,Movimentacoes!$C:$C,$A499,Movimentacoes!$E:$E,$C499,Movimentacoes!$B:$B,"ENTRADA")</f>
        <v/>
      </c>
      <c r="H499" s="13">
        <f>SUMIFS(Movimentacoes!$G:$G,Movimentacoes!$C:$C,$A499,Movimentacoes!$E:$E,$C499,Movimentacoes!$B:$B,"SAIDA_USO")</f>
        <v/>
      </c>
      <c r="I499" s="13">
        <f>SUMIFS(Movimentacoes!$G:$G,Movimentacoes!$C:$C,$A499,Movimentacoes!$E:$E,$C499,Movimentacoes!$B:$B,"SAIDA_DESCARTE")</f>
        <v/>
      </c>
      <c r="J499" s="13">
        <f>G499-H499-I499</f>
        <v/>
      </c>
      <c r="K499">
        <f>IF(A499="","",IF(J499&lt;=IFERROR(VLOOKUP(A499,Cadastro_Produtos!$A:$E,5,FALSE),0),"ABAIXO DO MINIMO","OK"))</f>
        <v/>
      </c>
    </row>
    <row r="500">
      <c r="B500">
        <f>IFERROR(VLOOKUP(A500,Cadastro_Produtos!A:B,2,FALSE),"")</f>
        <v/>
      </c>
      <c r="D500" s="12" t="n"/>
      <c r="E500" s="13">
        <f>IF(D500="","",D500-TODAY())</f>
        <v/>
      </c>
      <c r="F500">
        <f>IF(D500="","",IF(E500&lt;0,"VENCIDO",IF(E500&lt;=30,"VENCE EM &lt;= 30 DIAS",IF(E500&lt;=60,"ATENCAO (31-60 DIAS)","OK"))))</f>
        <v/>
      </c>
      <c r="G500" s="13">
        <f>SUMIFS(Movimentacoes!$G:$G,Movimentacoes!$C:$C,$A500,Movimentacoes!$E:$E,$C500,Movimentacoes!$B:$B,"ENTRADA")</f>
        <v/>
      </c>
      <c r="H500" s="13">
        <f>SUMIFS(Movimentacoes!$G:$G,Movimentacoes!$C:$C,$A500,Movimentacoes!$E:$E,$C500,Movimentacoes!$B:$B,"SAIDA_USO")</f>
        <v/>
      </c>
      <c r="I500" s="13">
        <f>SUMIFS(Movimentacoes!$G:$G,Movimentacoes!$C:$C,$A500,Movimentacoes!$E:$E,$C500,Movimentacoes!$B:$B,"SAIDA_DESCARTE")</f>
        <v/>
      </c>
      <c r="J500" s="13">
        <f>G500-H500-I500</f>
        <v/>
      </c>
      <c r="K500">
        <f>IF(A500="","",IF(J500&lt;=IFERROR(VLOOKUP(A500,Cadastro_Produtos!$A:$E,5,FALSE),0),"ABAIXO DO MINIMO","OK"))</f>
        <v/>
      </c>
    </row>
    <row r="501">
      <c r="B501">
        <f>IFERROR(VLOOKUP(A501,Cadastro_Produtos!A:B,2,FALSE),"")</f>
        <v/>
      </c>
      <c r="D501" s="12" t="n"/>
      <c r="E501" s="13">
        <f>IF(D501="","",D501-TODAY())</f>
        <v/>
      </c>
      <c r="F501">
        <f>IF(D501="","",IF(E501&lt;0,"VENCIDO",IF(E501&lt;=30,"VENCE EM &lt;= 30 DIAS",IF(E501&lt;=60,"ATENCAO (31-60 DIAS)","OK"))))</f>
        <v/>
      </c>
      <c r="G501" s="13">
        <f>SUMIFS(Movimentacoes!$G:$G,Movimentacoes!$C:$C,$A501,Movimentacoes!$E:$E,$C501,Movimentacoes!$B:$B,"ENTRADA")</f>
        <v/>
      </c>
      <c r="H501" s="13">
        <f>SUMIFS(Movimentacoes!$G:$G,Movimentacoes!$C:$C,$A501,Movimentacoes!$E:$E,$C501,Movimentacoes!$B:$B,"SAIDA_USO")</f>
        <v/>
      </c>
      <c r="I501" s="13">
        <f>SUMIFS(Movimentacoes!$G:$G,Movimentacoes!$C:$C,$A501,Movimentacoes!$E:$E,$C501,Movimentacoes!$B:$B,"SAIDA_DESCARTE")</f>
        <v/>
      </c>
      <c r="J501" s="13">
        <f>G501-H501-I501</f>
        <v/>
      </c>
      <c r="K501">
        <f>IF(A501="","",IF(J501&lt;=IFERROR(VLOOKUP(A501,Cadastro_Produtos!$A:$E,5,FALSE),0),"ABAIXO DO MINIMO","OK"))</f>
        <v/>
      </c>
    </row>
    <row r="502">
      <c r="B502">
        <f>IFERROR(VLOOKUP(A502,Cadastro_Produtos!A:B,2,FALSE),"")</f>
        <v/>
      </c>
      <c r="D502" s="12" t="n"/>
      <c r="E502" s="13">
        <f>IF(D502="","",D502-TODAY())</f>
        <v/>
      </c>
      <c r="F502">
        <f>IF(D502="","",IF(E502&lt;0,"VENCIDO",IF(E502&lt;=30,"VENCE EM &lt;= 30 DIAS",IF(E502&lt;=60,"ATENCAO (31-60 DIAS)","OK"))))</f>
        <v/>
      </c>
      <c r="G502" s="13">
        <f>SUMIFS(Movimentacoes!$G:$G,Movimentacoes!$C:$C,$A502,Movimentacoes!$E:$E,$C502,Movimentacoes!$B:$B,"ENTRADA")</f>
        <v/>
      </c>
      <c r="H502" s="13">
        <f>SUMIFS(Movimentacoes!$G:$G,Movimentacoes!$C:$C,$A502,Movimentacoes!$E:$E,$C502,Movimentacoes!$B:$B,"SAIDA_USO")</f>
        <v/>
      </c>
      <c r="I502" s="13">
        <f>SUMIFS(Movimentacoes!$G:$G,Movimentacoes!$C:$C,$A502,Movimentacoes!$E:$E,$C502,Movimentacoes!$B:$B,"SAIDA_DESCARTE")</f>
        <v/>
      </c>
      <c r="J502" s="13">
        <f>G502-H502-I502</f>
        <v/>
      </c>
      <c r="K502">
        <f>IF(A502="","",IF(J502&lt;=IFERROR(VLOOKUP(A502,Cadastro_Produtos!$A:$E,5,FALSE),0),"ABAIXO DO MINIMO","OK"))</f>
        <v/>
      </c>
    </row>
    <row r="503">
      <c r="B503">
        <f>IFERROR(VLOOKUP(A503,Cadastro_Produtos!A:B,2,FALSE),"")</f>
        <v/>
      </c>
      <c r="D503" s="12" t="n"/>
      <c r="E503" s="13">
        <f>IF(D503="","",D503-TODAY())</f>
        <v/>
      </c>
      <c r="F503">
        <f>IF(D503="","",IF(E503&lt;0,"VENCIDO",IF(E503&lt;=30,"VENCE EM &lt;= 30 DIAS",IF(E503&lt;=60,"ATENCAO (31-60 DIAS)","OK"))))</f>
        <v/>
      </c>
      <c r="G503" s="13">
        <f>SUMIFS(Movimentacoes!$G:$G,Movimentacoes!$C:$C,$A503,Movimentacoes!$E:$E,$C503,Movimentacoes!$B:$B,"ENTRADA")</f>
        <v/>
      </c>
      <c r="H503" s="13">
        <f>SUMIFS(Movimentacoes!$G:$G,Movimentacoes!$C:$C,$A503,Movimentacoes!$E:$E,$C503,Movimentacoes!$B:$B,"SAIDA_USO")</f>
        <v/>
      </c>
      <c r="I503" s="13">
        <f>SUMIFS(Movimentacoes!$G:$G,Movimentacoes!$C:$C,$A503,Movimentacoes!$E:$E,$C503,Movimentacoes!$B:$B,"SAIDA_DESCARTE")</f>
        <v/>
      </c>
      <c r="J503" s="13">
        <f>G503-H503-I503</f>
        <v/>
      </c>
      <c r="K503">
        <f>IF(A503="","",IF(J503&lt;=IFERROR(VLOOKUP(A503,Cadastro_Produtos!$A:$E,5,FALSE),0),"ABAIXO DO MINIMO","OK"))</f>
        <v/>
      </c>
    </row>
    <row r="504">
      <c r="B504">
        <f>IFERROR(VLOOKUP(A504,Cadastro_Produtos!A:B,2,FALSE),"")</f>
        <v/>
      </c>
      <c r="D504" s="12" t="n"/>
      <c r="E504" s="13">
        <f>IF(D504="","",D504-TODAY())</f>
        <v/>
      </c>
      <c r="F504">
        <f>IF(D504="","",IF(E504&lt;0,"VENCIDO",IF(E504&lt;=30,"VENCE EM &lt;= 30 DIAS",IF(E504&lt;=60,"ATENCAO (31-60 DIAS)","OK"))))</f>
        <v/>
      </c>
      <c r="G504" s="13">
        <f>SUMIFS(Movimentacoes!$G:$G,Movimentacoes!$C:$C,$A504,Movimentacoes!$E:$E,$C504,Movimentacoes!$B:$B,"ENTRADA")</f>
        <v/>
      </c>
      <c r="H504" s="13">
        <f>SUMIFS(Movimentacoes!$G:$G,Movimentacoes!$C:$C,$A504,Movimentacoes!$E:$E,$C504,Movimentacoes!$B:$B,"SAIDA_USO")</f>
        <v/>
      </c>
      <c r="I504" s="13">
        <f>SUMIFS(Movimentacoes!$G:$G,Movimentacoes!$C:$C,$A504,Movimentacoes!$E:$E,$C504,Movimentacoes!$B:$B,"SAIDA_DESCARTE")</f>
        <v/>
      </c>
      <c r="J504" s="13">
        <f>G504-H504-I504</f>
        <v/>
      </c>
      <c r="K504">
        <f>IF(A504="","",IF(J504&lt;=IFERROR(VLOOKUP(A504,Cadastro_Produtos!$A:$E,5,FALSE),0),"ABAIXO DO MINIMO","OK"))</f>
        <v/>
      </c>
    </row>
    <row r="505">
      <c r="B505">
        <f>IFERROR(VLOOKUP(A505,Cadastro_Produtos!A:B,2,FALSE),"")</f>
        <v/>
      </c>
      <c r="D505" s="12" t="n"/>
      <c r="E505" s="13">
        <f>IF(D505="","",D505-TODAY())</f>
        <v/>
      </c>
      <c r="F505">
        <f>IF(D505="","",IF(E505&lt;0,"VENCIDO",IF(E505&lt;=30,"VENCE EM &lt;= 30 DIAS",IF(E505&lt;=60,"ATENCAO (31-60 DIAS)","OK"))))</f>
        <v/>
      </c>
      <c r="G505" s="13">
        <f>SUMIFS(Movimentacoes!$G:$G,Movimentacoes!$C:$C,$A505,Movimentacoes!$E:$E,$C505,Movimentacoes!$B:$B,"ENTRADA")</f>
        <v/>
      </c>
      <c r="H505" s="13">
        <f>SUMIFS(Movimentacoes!$G:$G,Movimentacoes!$C:$C,$A505,Movimentacoes!$E:$E,$C505,Movimentacoes!$B:$B,"SAIDA_USO")</f>
        <v/>
      </c>
      <c r="I505" s="13">
        <f>SUMIFS(Movimentacoes!$G:$G,Movimentacoes!$C:$C,$A505,Movimentacoes!$E:$E,$C505,Movimentacoes!$B:$B,"SAIDA_DESCARTE")</f>
        <v/>
      </c>
      <c r="J505" s="13">
        <f>G505-H505-I505</f>
        <v/>
      </c>
      <c r="K505">
        <f>IF(A505="","",IF(J505&lt;=IFERROR(VLOOKUP(A505,Cadastro_Produtos!$A:$E,5,FALSE),0),"ABAIXO DO MINIMO","OK"))</f>
        <v/>
      </c>
    </row>
    <row r="506">
      <c r="B506">
        <f>IFERROR(VLOOKUP(A506,Cadastro_Produtos!A:B,2,FALSE),"")</f>
        <v/>
      </c>
      <c r="D506" s="12" t="n"/>
      <c r="E506" s="13">
        <f>IF(D506="","",D506-TODAY())</f>
        <v/>
      </c>
      <c r="F506">
        <f>IF(D506="","",IF(E506&lt;0,"VENCIDO",IF(E506&lt;=30,"VENCE EM &lt;= 30 DIAS",IF(E506&lt;=60,"ATENCAO (31-60 DIAS)","OK"))))</f>
        <v/>
      </c>
      <c r="G506" s="13">
        <f>SUMIFS(Movimentacoes!$G:$G,Movimentacoes!$C:$C,$A506,Movimentacoes!$E:$E,$C506,Movimentacoes!$B:$B,"ENTRADA")</f>
        <v/>
      </c>
      <c r="H506" s="13">
        <f>SUMIFS(Movimentacoes!$G:$G,Movimentacoes!$C:$C,$A506,Movimentacoes!$E:$E,$C506,Movimentacoes!$B:$B,"SAIDA_USO")</f>
        <v/>
      </c>
      <c r="I506" s="13">
        <f>SUMIFS(Movimentacoes!$G:$G,Movimentacoes!$C:$C,$A506,Movimentacoes!$E:$E,$C506,Movimentacoes!$B:$B,"SAIDA_DESCARTE")</f>
        <v/>
      </c>
      <c r="J506" s="13">
        <f>G506-H506-I506</f>
        <v/>
      </c>
      <c r="K506">
        <f>IF(A506="","",IF(J506&lt;=IFERROR(VLOOKUP(A506,Cadastro_Produtos!$A:$E,5,FALSE),0),"ABAIXO DO MINIMO","OK"))</f>
        <v/>
      </c>
    </row>
    <row r="507">
      <c r="B507">
        <f>IFERROR(VLOOKUP(A507,Cadastro_Produtos!A:B,2,FALSE),"")</f>
        <v/>
      </c>
      <c r="D507" s="12" t="n"/>
      <c r="E507" s="13">
        <f>IF(D507="","",D507-TODAY())</f>
        <v/>
      </c>
      <c r="F507">
        <f>IF(D507="","",IF(E507&lt;0,"VENCIDO",IF(E507&lt;=30,"VENCE EM &lt;= 30 DIAS",IF(E507&lt;=60,"ATENCAO (31-60 DIAS)","OK"))))</f>
        <v/>
      </c>
      <c r="G507" s="13">
        <f>SUMIFS(Movimentacoes!$G:$G,Movimentacoes!$C:$C,$A507,Movimentacoes!$E:$E,$C507,Movimentacoes!$B:$B,"ENTRADA")</f>
        <v/>
      </c>
      <c r="H507" s="13">
        <f>SUMIFS(Movimentacoes!$G:$G,Movimentacoes!$C:$C,$A507,Movimentacoes!$E:$E,$C507,Movimentacoes!$B:$B,"SAIDA_USO")</f>
        <v/>
      </c>
      <c r="I507" s="13">
        <f>SUMIFS(Movimentacoes!$G:$G,Movimentacoes!$C:$C,$A507,Movimentacoes!$E:$E,$C507,Movimentacoes!$B:$B,"SAIDA_DESCARTE")</f>
        <v/>
      </c>
      <c r="J507" s="13">
        <f>G507-H507-I507</f>
        <v/>
      </c>
      <c r="K507">
        <f>IF(A507="","",IF(J507&lt;=IFERROR(VLOOKUP(A507,Cadastro_Produtos!$A:$E,5,FALSE),0),"ABAIXO DO MINIMO","OK"))</f>
        <v/>
      </c>
    </row>
    <row r="508">
      <c r="B508">
        <f>IFERROR(VLOOKUP(A508,Cadastro_Produtos!A:B,2,FALSE),"")</f>
        <v/>
      </c>
      <c r="D508" s="12" t="n"/>
      <c r="E508" s="13">
        <f>IF(D508="","",D508-TODAY())</f>
        <v/>
      </c>
      <c r="F508">
        <f>IF(D508="","",IF(E508&lt;0,"VENCIDO",IF(E508&lt;=30,"VENCE EM &lt;= 30 DIAS",IF(E508&lt;=60,"ATENCAO (31-60 DIAS)","OK"))))</f>
        <v/>
      </c>
      <c r="G508" s="13">
        <f>SUMIFS(Movimentacoes!$G:$G,Movimentacoes!$C:$C,$A508,Movimentacoes!$E:$E,$C508,Movimentacoes!$B:$B,"ENTRADA")</f>
        <v/>
      </c>
      <c r="H508" s="13">
        <f>SUMIFS(Movimentacoes!$G:$G,Movimentacoes!$C:$C,$A508,Movimentacoes!$E:$E,$C508,Movimentacoes!$B:$B,"SAIDA_USO")</f>
        <v/>
      </c>
      <c r="I508" s="13">
        <f>SUMIFS(Movimentacoes!$G:$G,Movimentacoes!$C:$C,$A508,Movimentacoes!$E:$E,$C508,Movimentacoes!$B:$B,"SAIDA_DESCARTE")</f>
        <v/>
      </c>
      <c r="J508" s="13">
        <f>G508-H508-I508</f>
        <v/>
      </c>
      <c r="K508">
        <f>IF(A508="","",IF(J508&lt;=IFERROR(VLOOKUP(A508,Cadastro_Produtos!$A:$E,5,FALSE),0),"ABAIXO DO MINIMO","OK"))</f>
        <v/>
      </c>
    </row>
    <row r="509">
      <c r="B509">
        <f>IFERROR(VLOOKUP(A509,Cadastro_Produtos!A:B,2,FALSE),"")</f>
        <v/>
      </c>
      <c r="D509" s="12" t="n"/>
      <c r="E509" s="13">
        <f>IF(D509="","",D509-TODAY())</f>
        <v/>
      </c>
      <c r="F509">
        <f>IF(D509="","",IF(E509&lt;0,"VENCIDO",IF(E509&lt;=30,"VENCE EM &lt;= 30 DIAS",IF(E509&lt;=60,"ATENCAO (31-60 DIAS)","OK"))))</f>
        <v/>
      </c>
      <c r="G509" s="13">
        <f>SUMIFS(Movimentacoes!$G:$G,Movimentacoes!$C:$C,$A509,Movimentacoes!$E:$E,$C509,Movimentacoes!$B:$B,"ENTRADA")</f>
        <v/>
      </c>
      <c r="H509" s="13">
        <f>SUMIFS(Movimentacoes!$G:$G,Movimentacoes!$C:$C,$A509,Movimentacoes!$E:$E,$C509,Movimentacoes!$B:$B,"SAIDA_USO")</f>
        <v/>
      </c>
      <c r="I509" s="13">
        <f>SUMIFS(Movimentacoes!$G:$G,Movimentacoes!$C:$C,$A509,Movimentacoes!$E:$E,$C509,Movimentacoes!$B:$B,"SAIDA_DESCARTE")</f>
        <v/>
      </c>
      <c r="J509" s="13">
        <f>G509-H509-I509</f>
        <v/>
      </c>
      <c r="K509">
        <f>IF(A509="","",IF(J509&lt;=IFERROR(VLOOKUP(A509,Cadastro_Produtos!$A:$E,5,FALSE),0),"ABAIXO DO MINIMO","OK"))</f>
        <v/>
      </c>
    </row>
    <row r="510">
      <c r="B510">
        <f>IFERROR(VLOOKUP(A510,Cadastro_Produtos!A:B,2,FALSE),"")</f>
        <v/>
      </c>
      <c r="D510" s="12" t="n"/>
      <c r="E510" s="13">
        <f>IF(D510="","",D510-TODAY())</f>
        <v/>
      </c>
      <c r="F510">
        <f>IF(D510="","",IF(E510&lt;0,"VENCIDO",IF(E510&lt;=30,"VENCE EM &lt;= 30 DIAS",IF(E510&lt;=60,"ATENCAO (31-60 DIAS)","OK"))))</f>
        <v/>
      </c>
      <c r="G510" s="13">
        <f>SUMIFS(Movimentacoes!$G:$G,Movimentacoes!$C:$C,$A510,Movimentacoes!$E:$E,$C510,Movimentacoes!$B:$B,"ENTRADA")</f>
        <v/>
      </c>
      <c r="H510" s="13">
        <f>SUMIFS(Movimentacoes!$G:$G,Movimentacoes!$C:$C,$A510,Movimentacoes!$E:$E,$C510,Movimentacoes!$B:$B,"SAIDA_USO")</f>
        <v/>
      </c>
      <c r="I510" s="13">
        <f>SUMIFS(Movimentacoes!$G:$G,Movimentacoes!$C:$C,$A510,Movimentacoes!$E:$E,$C510,Movimentacoes!$B:$B,"SAIDA_DESCARTE")</f>
        <v/>
      </c>
      <c r="J510" s="13">
        <f>G510-H510-I510</f>
        <v/>
      </c>
      <c r="K510">
        <f>IF(A510="","",IF(J510&lt;=IFERROR(VLOOKUP(A510,Cadastro_Produtos!$A:$E,5,FALSE),0),"ABAIXO DO MINIMO","OK"))</f>
        <v/>
      </c>
    </row>
    <row r="511">
      <c r="B511">
        <f>IFERROR(VLOOKUP(A511,Cadastro_Produtos!A:B,2,FALSE),"")</f>
        <v/>
      </c>
      <c r="D511" s="12" t="n"/>
      <c r="E511" s="13">
        <f>IF(D511="","",D511-TODAY())</f>
        <v/>
      </c>
      <c r="F511">
        <f>IF(D511="","",IF(E511&lt;0,"VENCIDO",IF(E511&lt;=30,"VENCE EM &lt;= 30 DIAS",IF(E511&lt;=60,"ATENCAO (31-60 DIAS)","OK"))))</f>
        <v/>
      </c>
      <c r="G511" s="13">
        <f>SUMIFS(Movimentacoes!$G:$G,Movimentacoes!$C:$C,$A511,Movimentacoes!$E:$E,$C511,Movimentacoes!$B:$B,"ENTRADA")</f>
        <v/>
      </c>
      <c r="H511" s="13">
        <f>SUMIFS(Movimentacoes!$G:$G,Movimentacoes!$C:$C,$A511,Movimentacoes!$E:$E,$C511,Movimentacoes!$B:$B,"SAIDA_USO")</f>
        <v/>
      </c>
      <c r="I511" s="13">
        <f>SUMIFS(Movimentacoes!$G:$G,Movimentacoes!$C:$C,$A511,Movimentacoes!$E:$E,$C511,Movimentacoes!$B:$B,"SAIDA_DESCARTE")</f>
        <v/>
      </c>
      <c r="J511" s="13">
        <f>G511-H511-I511</f>
        <v/>
      </c>
      <c r="K511">
        <f>IF(A511="","",IF(J511&lt;=IFERROR(VLOOKUP(A511,Cadastro_Produtos!$A:$E,5,FALSE),0),"ABAIXO DO MINIMO","OK"))</f>
        <v/>
      </c>
    </row>
    <row r="512">
      <c r="B512">
        <f>IFERROR(VLOOKUP(A512,Cadastro_Produtos!A:B,2,FALSE),"")</f>
        <v/>
      </c>
      <c r="D512" s="12" t="n"/>
      <c r="E512" s="13">
        <f>IF(D512="","",D512-TODAY())</f>
        <v/>
      </c>
      <c r="F512">
        <f>IF(D512="","",IF(E512&lt;0,"VENCIDO",IF(E512&lt;=30,"VENCE EM &lt;= 30 DIAS",IF(E512&lt;=60,"ATENCAO (31-60 DIAS)","OK"))))</f>
        <v/>
      </c>
      <c r="G512" s="13">
        <f>SUMIFS(Movimentacoes!$G:$G,Movimentacoes!$C:$C,$A512,Movimentacoes!$E:$E,$C512,Movimentacoes!$B:$B,"ENTRADA")</f>
        <v/>
      </c>
      <c r="H512" s="13">
        <f>SUMIFS(Movimentacoes!$G:$G,Movimentacoes!$C:$C,$A512,Movimentacoes!$E:$E,$C512,Movimentacoes!$B:$B,"SAIDA_USO")</f>
        <v/>
      </c>
      <c r="I512" s="13">
        <f>SUMIFS(Movimentacoes!$G:$G,Movimentacoes!$C:$C,$A512,Movimentacoes!$E:$E,$C512,Movimentacoes!$B:$B,"SAIDA_DESCARTE")</f>
        <v/>
      </c>
      <c r="J512" s="13">
        <f>G512-H512-I512</f>
        <v/>
      </c>
      <c r="K512">
        <f>IF(A512="","",IF(J512&lt;=IFERROR(VLOOKUP(A512,Cadastro_Produtos!$A:$E,5,FALSE),0),"ABAIXO DO MINIMO","OK"))</f>
        <v/>
      </c>
    </row>
    <row r="513">
      <c r="B513">
        <f>IFERROR(VLOOKUP(A513,Cadastro_Produtos!A:B,2,FALSE),"")</f>
        <v/>
      </c>
      <c r="D513" s="12" t="n"/>
      <c r="E513" s="13">
        <f>IF(D513="","",D513-TODAY())</f>
        <v/>
      </c>
      <c r="F513">
        <f>IF(D513="","",IF(E513&lt;0,"VENCIDO",IF(E513&lt;=30,"VENCE EM &lt;= 30 DIAS",IF(E513&lt;=60,"ATENCAO (31-60 DIAS)","OK"))))</f>
        <v/>
      </c>
      <c r="G513" s="13">
        <f>SUMIFS(Movimentacoes!$G:$G,Movimentacoes!$C:$C,$A513,Movimentacoes!$E:$E,$C513,Movimentacoes!$B:$B,"ENTRADA")</f>
        <v/>
      </c>
      <c r="H513" s="13">
        <f>SUMIFS(Movimentacoes!$G:$G,Movimentacoes!$C:$C,$A513,Movimentacoes!$E:$E,$C513,Movimentacoes!$B:$B,"SAIDA_USO")</f>
        <v/>
      </c>
      <c r="I513" s="13">
        <f>SUMIFS(Movimentacoes!$G:$G,Movimentacoes!$C:$C,$A513,Movimentacoes!$E:$E,$C513,Movimentacoes!$B:$B,"SAIDA_DESCARTE")</f>
        <v/>
      </c>
      <c r="J513" s="13">
        <f>G513-H513-I513</f>
        <v/>
      </c>
      <c r="K513">
        <f>IF(A513="","",IF(J513&lt;=IFERROR(VLOOKUP(A513,Cadastro_Produtos!$A:$E,5,FALSE),0),"ABAIXO DO MINIMO","OK"))</f>
        <v/>
      </c>
    </row>
    <row r="514">
      <c r="B514">
        <f>IFERROR(VLOOKUP(A514,Cadastro_Produtos!A:B,2,FALSE),"")</f>
        <v/>
      </c>
      <c r="D514" s="12" t="n"/>
      <c r="E514" s="13">
        <f>IF(D514="","",D514-TODAY())</f>
        <v/>
      </c>
      <c r="F514">
        <f>IF(D514="","",IF(E514&lt;0,"VENCIDO",IF(E514&lt;=30,"VENCE EM &lt;= 30 DIAS",IF(E514&lt;=60,"ATENCAO (31-60 DIAS)","OK"))))</f>
        <v/>
      </c>
      <c r="G514" s="13">
        <f>SUMIFS(Movimentacoes!$G:$G,Movimentacoes!$C:$C,$A514,Movimentacoes!$E:$E,$C514,Movimentacoes!$B:$B,"ENTRADA")</f>
        <v/>
      </c>
      <c r="H514" s="13">
        <f>SUMIFS(Movimentacoes!$G:$G,Movimentacoes!$C:$C,$A514,Movimentacoes!$E:$E,$C514,Movimentacoes!$B:$B,"SAIDA_USO")</f>
        <v/>
      </c>
      <c r="I514" s="13">
        <f>SUMIFS(Movimentacoes!$G:$G,Movimentacoes!$C:$C,$A514,Movimentacoes!$E:$E,$C514,Movimentacoes!$B:$B,"SAIDA_DESCARTE")</f>
        <v/>
      </c>
      <c r="J514" s="13">
        <f>G514-H514-I514</f>
        <v/>
      </c>
      <c r="K514">
        <f>IF(A514="","",IF(J514&lt;=IFERROR(VLOOKUP(A514,Cadastro_Produtos!$A:$E,5,FALSE),0),"ABAIXO DO MINIMO","OK"))</f>
        <v/>
      </c>
    </row>
    <row r="515">
      <c r="B515">
        <f>IFERROR(VLOOKUP(A515,Cadastro_Produtos!A:B,2,FALSE),"")</f>
        <v/>
      </c>
      <c r="D515" s="12" t="n"/>
      <c r="E515" s="13">
        <f>IF(D515="","",D515-TODAY())</f>
        <v/>
      </c>
      <c r="F515">
        <f>IF(D515="","",IF(E515&lt;0,"VENCIDO",IF(E515&lt;=30,"VENCE EM &lt;= 30 DIAS",IF(E515&lt;=60,"ATENCAO (31-60 DIAS)","OK"))))</f>
        <v/>
      </c>
      <c r="G515" s="13">
        <f>SUMIFS(Movimentacoes!$G:$G,Movimentacoes!$C:$C,$A515,Movimentacoes!$E:$E,$C515,Movimentacoes!$B:$B,"ENTRADA")</f>
        <v/>
      </c>
      <c r="H515" s="13">
        <f>SUMIFS(Movimentacoes!$G:$G,Movimentacoes!$C:$C,$A515,Movimentacoes!$E:$E,$C515,Movimentacoes!$B:$B,"SAIDA_USO")</f>
        <v/>
      </c>
      <c r="I515" s="13">
        <f>SUMIFS(Movimentacoes!$G:$G,Movimentacoes!$C:$C,$A515,Movimentacoes!$E:$E,$C515,Movimentacoes!$B:$B,"SAIDA_DESCARTE")</f>
        <v/>
      </c>
      <c r="J515" s="13">
        <f>G515-H515-I515</f>
        <v/>
      </c>
      <c r="K515">
        <f>IF(A515="","",IF(J515&lt;=IFERROR(VLOOKUP(A515,Cadastro_Produtos!$A:$E,5,FALSE),0),"ABAIXO DO MINIMO","OK"))</f>
        <v/>
      </c>
    </row>
    <row r="516">
      <c r="B516">
        <f>IFERROR(VLOOKUP(A516,Cadastro_Produtos!A:B,2,FALSE),"")</f>
        <v/>
      </c>
      <c r="D516" s="12" t="n"/>
      <c r="E516" s="13">
        <f>IF(D516="","",D516-TODAY())</f>
        <v/>
      </c>
      <c r="F516">
        <f>IF(D516="","",IF(E516&lt;0,"VENCIDO",IF(E516&lt;=30,"VENCE EM &lt;= 30 DIAS",IF(E516&lt;=60,"ATENCAO (31-60 DIAS)","OK"))))</f>
        <v/>
      </c>
      <c r="G516" s="13">
        <f>SUMIFS(Movimentacoes!$G:$G,Movimentacoes!$C:$C,$A516,Movimentacoes!$E:$E,$C516,Movimentacoes!$B:$B,"ENTRADA")</f>
        <v/>
      </c>
      <c r="H516" s="13">
        <f>SUMIFS(Movimentacoes!$G:$G,Movimentacoes!$C:$C,$A516,Movimentacoes!$E:$E,$C516,Movimentacoes!$B:$B,"SAIDA_USO")</f>
        <v/>
      </c>
      <c r="I516" s="13">
        <f>SUMIFS(Movimentacoes!$G:$G,Movimentacoes!$C:$C,$A516,Movimentacoes!$E:$E,$C516,Movimentacoes!$B:$B,"SAIDA_DESCARTE")</f>
        <v/>
      </c>
      <c r="J516" s="13">
        <f>G516-H516-I516</f>
        <v/>
      </c>
      <c r="K516">
        <f>IF(A516="","",IF(J516&lt;=IFERROR(VLOOKUP(A516,Cadastro_Produtos!$A:$E,5,FALSE),0),"ABAIXO DO MINIMO","OK"))</f>
        <v/>
      </c>
    </row>
    <row r="517">
      <c r="B517">
        <f>IFERROR(VLOOKUP(A517,Cadastro_Produtos!A:B,2,FALSE),"")</f>
        <v/>
      </c>
      <c r="D517" s="12" t="n"/>
      <c r="E517" s="13">
        <f>IF(D517="","",D517-TODAY())</f>
        <v/>
      </c>
      <c r="F517">
        <f>IF(D517="","",IF(E517&lt;0,"VENCIDO",IF(E517&lt;=30,"VENCE EM &lt;= 30 DIAS",IF(E517&lt;=60,"ATENCAO (31-60 DIAS)","OK"))))</f>
        <v/>
      </c>
      <c r="G517" s="13">
        <f>SUMIFS(Movimentacoes!$G:$G,Movimentacoes!$C:$C,$A517,Movimentacoes!$E:$E,$C517,Movimentacoes!$B:$B,"ENTRADA")</f>
        <v/>
      </c>
      <c r="H517" s="13">
        <f>SUMIFS(Movimentacoes!$G:$G,Movimentacoes!$C:$C,$A517,Movimentacoes!$E:$E,$C517,Movimentacoes!$B:$B,"SAIDA_USO")</f>
        <v/>
      </c>
      <c r="I517" s="13">
        <f>SUMIFS(Movimentacoes!$G:$G,Movimentacoes!$C:$C,$A517,Movimentacoes!$E:$E,$C517,Movimentacoes!$B:$B,"SAIDA_DESCARTE")</f>
        <v/>
      </c>
      <c r="J517" s="13">
        <f>G517-H517-I517</f>
        <v/>
      </c>
      <c r="K517">
        <f>IF(A517="","",IF(J517&lt;=IFERROR(VLOOKUP(A517,Cadastro_Produtos!$A:$E,5,FALSE),0),"ABAIXO DO MINIMO","OK"))</f>
        <v/>
      </c>
    </row>
    <row r="518">
      <c r="B518">
        <f>IFERROR(VLOOKUP(A518,Cadastro_Produtos!A:B,2,FALSE),"")</f>
        <v/>
      </c>
      <c r="D518" s="12" t="n"/>
      <c r="E518" s="13">
        <f>IF(D518="","",D518-TODAY())</f>
        <v/>
      </c>
      <c r="F518">
        <f>IF(D518="","",IF(E518&lt;0,"VENCIDO",IF(E518&lt;=30,"VENCE EM &lt;= 30 DIAS",IF(E518&lt;=60,"ATENCAO (31-60 DIAS)","OK"))))</f>
        <v/>
      </c>
      <c r="G518" s="13">
        <f>SUMIFS(Movimentacoes!$G:$G,Movimentacoes!$C:$C,$A518,Movimentacoes!$E:$E,$C518,Movimentacoes!$B:$B,"ENTRADA")</f>
        <v/>
      </c>
      <c r="H518" s="13">
        <f>SUMIFS(Movimentacoes!$G:$G,Movimentacoes!$C:$C,$A518,Movimentacoes!$E:$E,$C518,Movimentacoes!$B:$B,"SAIDA_USO")</f>
        <v/>
      </c>
      <c r="I518" s="13">
        <f>SUMIFS(Movimentacoes!$G:$G,Movimentacoes!$C:$C,$A518,Movimentacoes!$E:$E,$C518,Movimentacoes!$B:$B,"SAIDA_DESCARTE")</f>
        <v/>
      </c>
      <c r="J518" s="13">
        <f>G518-H518-I518</f>
        <v/>
      </c>
      <c r="K518">
        <f>IF(A518="","",IF(J518&lt;=IFERROR(VLOOKUP(A518,Cadastro_Produtos!$A:$E,5,FALSE),0),"ABAIXO DO MINIMO","OK"))</f>
        <v/>
      </c>
    </row>
    <row r="519">
      <c r="B519">
        <f>IFERROR(VLOOKUP(A519,Cadastro_Produtos!A:B,2,FALSE),"")</f>
        <v/>
      </c>
      <c r="D519" s="12" t="n"/>
      <c r="E519" s="13">
        <f>IF(D519="","",D519-TODAY())</f>
        <v/>
      </c>
      <c r="F519">
        <f>IF(D519="","",IF(E519&lt;0,"VENCIDO",IF(E519&lt;=30,"VENCE EM &lt;= 30 DIAS",IF(E519&lt;=60,"ATENCAO (31-60 DIAS)","OK"))))</f>
        <v/>
      </c>
      <c r="G519" s="13">
        <f>SUMIFS(Movimentacoes!$G:$G,Movimentacoes!$C:$C,$A519,Movimentacoes!$E:$E,$C519,Movimentacoes!$B:$B,"ENTRADA")</f>
        <v/>
      </c>
      <c r="H519" s="13">
        <f>SUMIFS(Movimentacoes!$G:$G,Movimentacoes!$C:$C,$A519,Movimentacoes!$E:$E,$C519,Movimentacoes!$B:$B,"SAIDA_USO")</f>
        <v/>
      </c>
      <c r="I519" s="13">
        <f>SUMIFS(Movimentacoes!$G:$G,Movimentacoes!$C:$C,$A519,Movimentacoes!$E:$E,$C519,Movimentacoes!$B:$B,"SAIDA_DESCARTE")</f>
        <v/>
      </c>
      <c r="J519" s="13">
        <f>G519-H519-I519</f>
        <v/>
      </c>
      <c r="K519">
        <f>IF(A519="","",IF(J519&lt;=IFERROR(VLOOKUP(A519,Cadastro_Produtos!$A:$E,5,FALSE),0),"ABAIXO DO MINIMO","OK"))</f>
        <v/>
      </c>
    </row>
    <row r="520">
      <c r="B520">
        <f>IFERROR(VLOOKUP(A520,Cadastro_Produtos!A:B,2,FALSE),"")</f>
        <v/>
      </c>
      <c r="D520" s="12" t="n"/>
      <c r="E520" s="13">
        <f>IF(D520="","",D520-TODAY())</f>
        <v/>
      </c>
      <c r="F520">
        <f>IF(D520="","",IF(E520&lt;0,"VENCIDO",IF(E520&lt;=30,"VENCE EM &lt;= 30 DIAS",IF(E520&lt;=60,"ATENCAO (31-60 DIAS)","OK"))))</f>
        <v/>
      </c>
      <c r="G520" s="13">
        <f>SUMIFS(Movimentacoes!$G:$G,Movimentacoes!$C:$C,$A520,Movimentacoes!$E:$E,$C520,Movimentacoes!$B:$B,"ENTRADA")</f>
        <v/>
      </c>
      <c r="H520" s="13">
        <f>SUMIFS(Movimentacoes!$G:$G,Movimentacoes!$C:$C,$A520,Movimentacoes!$E:$E,$C520,Movimentacoes!$B:$B,"SAIDA_USO")</f>
        <v/>
      </c>
      <c r="I520" s="13">
        <f>SUMIFS(Movimentacoes!$G:$G,Movimentacoes!$C:$C,$A520,Movimentacoes!$E:$E,$C520,Movimentacoes!$B:$B,"SAIDA_DESCARTE")</f>
        <v/>
      </c>
      <c r="J520" s="13">
        <f>G520-H520-I520</f>
        <v/>
      </c>
      <c r="K520">
        <f>IF(A520="","",IF(J520&lt;=IFERROR(VLOOKUP(A520,Cadastro_Produtos!$A:$E,5,FALSE),0),"ABAIXO DO MINIMO","OK"))</f>
        <v/>
      </c>
    </row>
    <row r="521">
      <c r="B521">
        <f>IFERROR(VLOOKUP(A521,Cadastro_Produtos!A:B,2,FALSE),"")</f>
        <v/>
      </c>
      <c r="D521" s="12" t="n"/>
      <c r="E521" s="13">
        <f>IF(D521="","",D521-TODAY())</f>
        <v/>
      </c>
      <c r="F521">
        <f>IF(D521="","",IF(E521&lt;0,"VENCIDO",IF(E521&lt;=30,"VENCE EM &lt;= 30 DIAS",IF(E521&lt;=60,"ATENCAO (31-60 DIAS)","OK"))))</f>
        <v/>
      </c>
      <c r="G521" s="13">
        <f>SUMIFS(Movimentacoes!$G:$G,Movimentacoes!$C:$C,$A521,Movimentacoes!$E:$E,$C521,Movimentacoes!$B:$B,"ENTRADA")</f>
        <v/>
      </c>
      <c r="H521" s="13">
        <f>SUMIFS(Movimentacoes!$G:$G,Movimentacoes!$C:$C,$A521,Movimentacoes!$E:$E,$C521,Movimentacoes!$B:$B,"SAIDA_USO")</f>
        <v/>
      </c>
      <c r="I521" s="13">
        <f>SUMIFS(Movimentacoes!$G:$G,Movimentacoes!$C:$C,$A521,Movimentacoes!$E:$E,$C521,Movimentacoes!$B:$B,"SAIDA_DESCARTE")</f>
        <v/>
      </c>
      <c r="J521" s="13">
        <f>G521-H521-I521</f>
        <v/>
      </c>
      <c r="K521">
        <f>IF(A521="","",IF(J521&lt;=IFERROR(VLOOKUP(A521,Cadastro_Produtos!$A:$E,5,FALSE),0),"ABAIXO DO MINIMO","OK"))</f>
        <v/>
      </c>
    </row>
    <row r="522">
      <c r="B522">
        <f>IFERROR(VLOOKUP(A522,Cadastro_Produtos!A:B,2,FALSE),"")</f>
        <v/>
      </c>
      <c r="D522" s="12" t="n"/>
      <c r="E522" s="13">
        <f>IF(D522="","",D522-TODAY())</f>
        <v/>
      </c>
      <c r="F522">
        <f>IF(D522="","",IF(E522&lt;0,"VENCIDO",IF(E522&lt;=30,"VENCE EM &lt;= 30 DIAS",IF(E522&lt;=60,"ATENCAO (31-60 DIAS)","OK"))))</f>
        <v/>
      </c>
      <c r="G522" s="13">
        <f>SUMIFS(Movimentacoes!$G:$G,Movimentacoes!$C:$C,$A522,Movimentacoes!$E:$E,$C522,Movimentacoes!$B:$B,"ENTRADA")</f>
        <v/>
      </c>
      <c r="H522" s="13">
        <f>SUMIFS(Movimentacoes!$G:$G,Movimentacoes!$C:$C,$A522,Movimentacoes!$E:$E,$C522,Movimentacoes!$B:$B,"SAIDA_USO")</f>
        <v/>
      </c>
      <c r="I522" s="13">
        <f>SUMIFS(Movimentacoes!$G:$G,Movimentacoes!$C:$C,$A522,Movimentacoes!$E:$E,$C522,Movimentacoes!$B:$B,"SAIDA_DESCARTE")</f>
        <v/>
      </c>
      <c r="J522" s="13">
        <f>G522-H522-I522</f>
        <v/>
      </c>
      <c r="K522">
        <f>IF(A522="","",IF(J522&lt;=IFERROR(VLOOKUP(A522,Cadastro_Produtos!$A:$E,5,FALSE),0),"ABAIXO DO MINIMO","OK"))</f>
        <v/>
      </c>
    </row>
    <row r="523">
      <c r="B523">
        <f>IFERROR(VLOOKUP(A523,Cadastro_Produtos!A:B,2,FALSE),"")</f>
        <v/>
      </c>
      <c r="D523" s="12" t="n"/>
      <c r="E523" s="13">
        <f>IF(D523="","",D523-TODAY())</f>
        <v/>
      </c>
      <c r="F523">
        <f>IF(D523="","",IF(E523&lt;0,"VENCIDO",IF(E523&lt;=30,"VENCE EM &lt;= 30 DIAS",IF(E523&lt;=60,"ATENCAO (31-60 DIAS)","OK"))))</f>
        <v/>
      </c>
      <c r="G523" s="13">
        <f>SUMIFS(Movimentacoes!$G:$G,Movimentacoes!$C:$C,$A523,Movimentacoes!$E:$E,$C523,Movimentacoes!$B:$B,"ENTRADA")</f>
        <v/>
      </c>
      <c r="H523" s="13">
        <f>SUMIFS(Movimentacoes!$G:$G,Movimentacoes!$C:$C,$A523,Movimentacoes!$E:$E,$C523,Movimentacoes!$B:$B,"SAIDA_USO")</f>
        <v/>
      </c>
      <c r="I523" s="13">
        <f>SUMIFS(Movimentacoes!$G:$G,Movimentacoes!$C:$C,$A523,Movimentacoes!$E:$E,$C523,Movimentacoes!$B:$B,"SAIDA_DESCARTE")</f>
        <v/>
      </c>
      <c r="J523" s="13">
        <f>G523-H523-I523</f>
        <v/>
      </c>
      <c r="K523">
        <f>IF(A523="","",IF(J523&lt;=IFERROR(VLOOKUP(A523,Cadastro_Produtos!$A:$E,5,FALSE),0),"ABAIXO DO MINIMO","OK"))</f>
        <v/>
      </c>
    </row>
    <row r="524">
      <c r="B524">
        <f>IFERROR(VLOOKUP(A524,Cadastro_Produtos!A:B,2,FALSE),"")</f>
        <v/>
      </c>
      <c r="D524" s="12" t="n"/>
      <c r="E524" s="13">
        <f>IF(D524="","",D524-TODAY())</f>
        <v/>
      </c>
      <c r="F524">
        <f>IF(D524="","",IF(E524&lt;0,"VENCIDO",IF(E524&lt;=30,"VENCE EM &lt;= 30 DIAS",IF(E524&lt;=60,"ATENCAO (31-60 DIAS)","OK"))))</f>
        <v/>
      </c>
      <c r="G524" s="13">
        <f>SUMIFS(Movimentacoes!$G:$G,Movimentacoes!$C:$C,$A524,Movimentacoes!$E:$E,$C524,Movimentacoes!$B:$B,"ENTRADA")</f>
        <v/>
      </c>
      <c r="H524" s="13">
        <f>SUMIFS(Movimentacoes!$G:$G,Movimentacoes!$C:$C,$A524,Movimentacoes!$E:$E,$C524,Movimentacoes!$B:$B,"SAIDA_USO")</f>
        <v/>
      </c>
      <c r="I524" s="13">
        <f>SUMIFS(Movimentacoes!$G:$G,Movimentacoes!$C:$C,$A524,Movimentacoes!$E:$E,$C524,Movimentacoes!$B:$B,"SAIDA_DESCARTE")</f>
        <v/>
      </c>
      <c r="J524" s="13">
        <f>G524-H524-I524</f>
        <v/>
      </c>
      <c r="K524">
        <f>IF(A524="","",IF(J524&lt;=IFERROR(VLOOKUP(A524,Cadastro_Produtos!$A:$E,5,FALSE),0),"ABAIXO DO MINIMO","OK"))</f>
        <v/>
      </c>
    </row>
    <row r="525">
      <c r="B525">
        <f>IFERROR(VLOOKUP(A525,Cadastro_Produtos!A:B,2,FALSE),"")</f>
        <v/>
      </c>
      <c r="D525" s="12" t="n"/>
      <c r="E525" s="13">
        <f>IF(D525="","",D525-TODAY())</f>
        <v/>
      </c>
      <c r="F525">
        <f>IF(D525="","",IF(E525&lt;0,"VENCIDO",IF(E525&lt;=30,"VENCE EM &lt;= 30 DIAS",IF(E525&lt;=60,"ATENCAO (31-60 DIAS)","OK"))))</f>
        <v/>
      </c>
      <c r="G525" s="13">
        <f>SUMIFS(Movimentacoes!$G:$G,Movimentacoes!$C:$C,$A525,Movimentacoes!$E:$E,$C525,Movimentacoes!$B:$B,"ENTRADA")</f>
        <v/>
      </c>
      <c r="H525" s="13">
        <f>SUMIFS(Movimentacoes!$G:$G,Movimentacoes!$C:$C,$A525,Movimentacoes!$E:$E,$C525,Movimentacoes!$B:$B,"SAIDA_USO")</f>
        <v/>
      </c>
      <c r="I525" s="13">
        <f>SUMIFS(Movimentacoes!$G:$G,Movimentacoes!$C:$C,$A525,Movimentacoes!$E:$E,$C525,Movimentacoes!$B:$B,"SAIDA_DESCARTE")</f>
        <v/>
      </c>
      <c r="J525" s="13">
        <f>G525-H525-I525</f>
        <v/>
      </c>
      <c r="K525">
        <f>IF(A525="","",IF(J525&lt;=IFERROR(VLOOKUP(A525,Cadastro_Produtos!$A:$E,5,FALSE),0),"ABAIXO DO MINIMO","OK"))</f>
        <v/>
      </c>
    </row>
    <row r="526">
      <c r="B526">
        <f>IFERROR(VLOOKUP(A526,Cadastro_Produtos!A:B,2,FALSE),"")</f>
        <v/>
      </c>
      <c r="D526" s="12" t="n"/>
      <c r="E526" s="13">
        <f>IF(D526="","",D526-TODAY())</f>
        <v/>
      </c>
      <c r="F526">
        <f>IF(D526="","",IF(E526&lt;0,"VENCIDO",IF(E526&lt;=30,"VENCE EM &lt;= 30 DIAS",IF(E526&lt;=60,"ATENCAO (31-60 DIAS)","OK"))))</f>
        <v/>
      </c>
      <c r="G526" s="13">
        <f>SUMIFS(Movimentacoes!$G:$G,Movimentacoes!$C:$C,$A526,Movimentacoes!$E:$E,$C526,Movimentacoes!$B:$B,"ENTRADA")</f>
        <v/>
      </c>
      <c r="H526" s="13">
        <f>SUMIFS(Movimentacoes!$G:$G,Movimentacoes!$C:$C,$A526,Movimentacoes!$E:$E,$C526,Movimentacoes!$B:$B,"SAIDA_USO")</f>
        <v/>
      </c>
      <c r="I526" s="13">
        <f>SUMIFS(Movimentacoes!$G:$G,Movimentacoes!$C:$C,$A526,Movimentacoes!$E:$E,$C526,Movimentacoes!$B:$B,"SAIDA_DESCARTE")</f>
        <v/>
      </c>
      <c r="J526" s="13">
        <f>G526-H526-I526</f>
        <v/>
      </c>
      <c r="K526">
        <f>IF(A526="","",IF(J526&lt;=IFERROR(VLOOKUP(A526,Cadastro_Produtos!$A:$E,5,FALSE),0),"ABAIXO DO MINIMO","OK"))</f>
        <v/>
      </c>
    </row>
    <row r="527">
      <c r="B527">
        <f>IFERROR(VLOOKUP(A527,Cadastro_Produtos!A:B,2,FALSE),"")</f>
        <v/>
      </c>
      <c r="D527" s="12" t="n"/>
      <c r="E527" s="13">
        <f>IF(D527="","",D527-TODAY())</f>
        <v/>
      </c>
      <c r="F527">
        <f>IF(D527="","",IF(E527&lt;0,"VENCIDO",IF(E527&lt;=30,"VENCE EM &lt;= 30 DIAS",IF(E527&lt;=60,"ATENCAO (31-60 DIAS)","OK"))))</f>
        <v/>
      </c>
      <c r="G527" s="13">
        <f>SUMIFS(Movimentacoes!$G:$G,Movimentacoes!$C:$C,$A527,Movimentacoes!$E:$E,$C527,Movimentacoes!$B:$B,"ENTRADA")</f>
        <v/>
      </c>
      <c r="H527" s="13">
        <f>SUMIFS(Movimentacoes!$G:$G,Movimentacoes!$C:$C,$A527,Movimentacoes!$E:$E,$C527,Movimentacoes!$B:$B,"SAIDA_USO")</f>
        <v/>
      </c>
      <c r="I527" s="13">
        <f>SUMIFS(Movimentacoes!$G:$G,Movimentacoes!$C:$C,$A527,Movimentacoes!$E:$E,$C527,Movimentacoes!$B:$B,"SAIDA_DESCARTE")</f>
        <v/>
      </c>
      <c r="J527" s="13">
        <f>G527-H527-I527</f>
        <v/>
      </c>
      <c r="K527">
        <f>IF(A527="","",IF(J527&lt;=IFERROR(VLOOKUP(A527,Cadastro_Produtos!$A:$E,5,FALSE),0),"ABAIXO DO MINIMO","OK"))</f>
        <v/>
      </c>
    </row>
    <row r="528">
      <c r="B528">
        <f>IFERROR(VLOOKUP(A528,Cadastro_Produtos!A:B,2,FALSE),"")</f>
        <v/>
      </c>
      <c r="D528" s="12" t="n"/>
      <c r="E528" s="13">
        <f>IF(D528="","",D528-TODAY())</f>
        <v/>
      </c>
      <c r="F528">
        <f>IF(D528="","",IF(E528&lt;0,"VENCIDO",IF(E528&lt;=30,"VENCE EM &lt;= 30 DIAS",IF(E528&lt;=60,"ATENCAO (31-60 DIAS)","OK"))))</f>
        <v/>
      </c>
      <c r="G528" s="13">
        <f>SUMIFS(Movimentacoes!$G:$G,Movimentacoes!$C:$C,$A528,Movimentacoes!$E:$E,$C528,Movimentacoes!$B:$B,"ENTRADA")</f>
        <v/>
      </c>
      <c r="H528" s="13">
        <f>SUMIFS(Movimentacoes!$G:$G,Movimentacoes!$C:$C,$A528,Movimentacoes!$E:$E,$C528,Movimentacoes!$B:$B,"SAIDA_USO")</f>
        <v/>
      </c>
      <c r="I528" s="13">
        <f>SUMIFS(Movimentacoes!$G:$G,Movimentacoes!$C:$C,$A528,Movimentacoes!$E:$E,$C528,Movimentacoes!$B:$B,"SAIDA_DESCARTE")</f>
        <v/>
      </c>
      <c r="J528" s="13">
        <f>G528-H528-I528</f>
        <v/>
      </c>
      <c r="K528">
        <f>IF(A528="","",IF(J528&lt;=IFERROR(VLOOKUP(A528,Cadastro_Produtos!$A:$E,5,FALSE),0),"ABAIXO DO MINIMO","OK"))</f>
        <v/>
      </c>
    </row>
    <row r="529">
      <c r="B529">
        <f>IFERROR(VLOOKUP(A529,Cadastro_Produtos!A:B,2,FALSE),"")</f>
        <v/>
      </c>
      <c r="D529" s="12" t="n"/>
      <c r="E529" s="13">
        <f>IF(D529="","",D529-TODAY())</f>
        <v/>
      </c>
      <c r="F529">
        <f>IF(D529="","",IF(E529&lt;0,"VENCIDO",IF(E529&lt;=30,"VENCE EM &lt;= 30 DIAS",IF(E529&lt;=60,"ATENCAO (31-60 DIAS)","OK"))))</f>
        <v/>
      </c>
      <c r="G529" s="13">
        <f>SUMIFS(Movimentacoes!$G:$G,Movimentacoes!$C:$C,$A529,Movimentacoes!$E:$E,$C529,Movimentacoes!$B:$B,"ENTRADA")</f>
        <v/>
      </c>
      <c r="H529" s="13">
        <f>SUMIFS(Movimentacoes!$G:$G,Movimentacoes!$C:$C,$A529,Movimentacoes!$E:$E,$C529,Movimentacoes!$B:$B,"SAIDA_USO")</f>
        <v/>
      </c>
      <c r="I529" s="13">
        <f>SUMIFS(Movimentacoes!$G:$G,Movimentacoes!$C:$C,$A529,Movimentacoes!$E:$E,$C529,Movimentacoes!$B:$B,"SAIDA_DESCARTE")</f>
        <v/>
      </c>
      <c r="J529" s="13">
        <f>G529-H529-I529</f>
        <v/>
      </c>
      <c r="K529">
        <f>IF(A529="","",IF(J529&lt;=IFERROR(VLOOKUP(A529,Cadastro_Produtos!$A:$E,5,FALSE),0),"ABAIXO DO MINIMO","OK"))</f>
        <v/>
      </c>
    </row>
    <row r="530">
      <c r="B530">
        <f>IFERROR(VLOOKUP(A530,Cadastro_Produtos!A:B,2,FALSE),"")</f>
        <v/>
      </c>
      <c r="D530" s="12" t="n"/>
      <c r="E530" s="13">
        <f>IF(D530="","",D530-TODAY())</f>
        <v/>
      </c>
      <c r="F530">
        <f>IF(D530="","",IF(E530&lt;0,"VENCIDO",IF(E530&lt;=30,"VENCE EM &lt;= 30 DIAS",IF(E530&lt;=60,"ATENCAO (31-60 DIAS)","OK"))))</f>
        <v/>
      </c>
      <c r="G530" s="13">
        <f>SUMIFS(Movimentacoes!$G:$G,Movimentacoes!$C:$C,$A530,Movimentacoes!$E:$E,$C530,Movimentacoes!$B:$B,"ENTRADA")</f>
        <v/>
      </c>
      <c r="H530" s="13">
        <f>SUMIFS(Movimentacoes!$G:$G,Movimentacoes!$C:$C,$A530,Movimentacoes!$E:$E,$C530,Movimentacoes!$B:$B,"SAIDA_USO")</f>
        <v/>
      </c>
      <c r="I530" s="13">
        <f>SUMIFS(Movimentacoes!$G:$G,Movimentacoes!$C:$C,$A530,Movimentacoes!$E:$E,$C530,Movimentacoes!$B:$B,"SAIDA_DESCARTE")</f>
        <v/>
      </c>
      <c r="J530" s="13">
        <f>G530-H530-I530</f>
        <v/>
      </c>
      <c r="K530">
        <f>IF(A530="","",IF(J530&lt;=IFERROR(VLOOKUP(A530,Cadastro_Produtos!$A:$E,5,FALSE),0),"ABAIXO DO MINIMO","OK"))</f>
        <v/>
      </c>
    </row>
    <row r="531">
      <c r="B531">
        <f>IFERROR(VLOOKUP(A531,Cadastro_Produtos!A:B,2,FALSE),"")</f>
        <v/>
      </c>
      <c r="D531" s="12" t="n"/>
      <c r="E531" s="13">
        <f>IF(D531="","",D531-TODAY())</f>
        <v/>
      </c>
      <c r="F531">
        <f>IF(D531="","",IF(E531&lt;0,"VENCIDO",IF(E531&lt;=30,"VENCE EM &lt;= 30 DIAS",IF(E531&lt;=60,"ATENCAO (31-60 DIAS)","OK"))))</f>
        <v/>
      </c>
      <c r="G531" s="13">
        <f>SUMIFS(Movimentacoes!$G:$G,Movimentacoes!$C:$C,$A531,Movimentacoes!$E:$E,$C531,Movimentacoes!$B:$B,"ENTRADA")</f>
        <v/>
      </c>
      <c r="H531" s="13">
        <f>SUMIFS(Movimentacoes!$G:$G,Movimentacoes!$C:$C,$A531,Movimentacoes!$E:$E,$C531,Movimentacoes!$B:$B,"SAIDA_USO")</f>
        <v/>
      </c>
      <c r="I531" s="13">
        <f>SUMIFS(Movimentacoes!$G:$G,Movimentacoes!$C:$C,$A531,Movimentacoes!$E:$E,$C531,Movimentacoes!$B:$B,"SAIDA_DESCARTE")</f>
        <v/>
      </c>
      <c r="J531" s="13">
        <f>G531-H531-I531</f>
        <v/>
      </c>
      <c r="K531">
        <f>IF(A531="","",IF(J531&lt;=IFERROR(VLOOKUP(A531,Cadastro_Produtos!$A:$E,5,FALSE),0),"ABAIXO DO MINIMO","OK"))</f>
        <v/>
      </c>
    </row>
    <row r="532">
      <c r="B532">
        <f>IFERROR(VLOOKUP(A532,Cadastro_Produtos!A:B,2,FALSE),"")</f>
        <v/>
      </c>
      <c r="D532" s="12" t="n"/>
      <c r="E532" s="13">
        <f>IF(D532="","",D532-TODAY())</f>
        <v/>
      </c>
      <c r="F532">
        <f>IF(D532="","",IF(E532&lt;0,"VENCIDO",IF(E532&lt;=30,"VENCE EM &lt;= 30 DIAS",IF(E532&lt;=60,"ATENCAO (31-60 DIAS)","OK"))))</f>
        <v/>
      </c>
      <c r="G532" s="13">
        <f>SUMIFS(Movimentacoes!$G:$G,Movimentacoes!$C:$C,$A532,Movimentacoes!$E:$E,$C532,Movimentacoes!$B:$B,"ENTRADA")</f>
        <v/>
      </c>
      <c r="H532" s="13">
        <f>SUMIFS(Movimentacoes!$G:$G,Movimentacoes!$C:$C,$A532,Movimentacoes!$E:$E,$C532,Movimentacoes!$B:$B,"SAIDA_USO")</f>
        <v/>
      </c>
      <c r="I532" s="13">
        <f>SUMIFS(Movimentacoes!$G:$G,Movimentacoes!$C:$C,$A532,Movimentacoes!$E:$E,$C532,Movimentacoes!$B:$B,"SAIDA_DESCARTE")</f>
        <v/>
      </c>
      <c r="J532" s="13">
        <f>G532-H532-I532</f>
        <v/>
      </c>
      <c r="K532">
        <f>IF(A532="","",IF(J532&lt;=IFERROR(VLOOKUP(A532,Cadastro_Produtos!$A:$E,5,FALSE),0),"ABAIXO DO MINIMO","OK"))</f>
        <v/>
      </c>
    </row>
    <row r="533">
      <c r="B533">
        <f>IFERROR(VLOOKUP(A533,Cadastro_Produtos!A:B,2,FALSE),"")</f>
        <v/>
      </c>
      <c r="D533" s="12" t="n"/>
      <c r="E533" s="13">
        <f>IF(D533="","",D533-TODAY())</f>
        <v/>
      </c>
      <c r="F533">
        <f>IF(D533="","",IF(E533&lt;0,"VENCIDO",IF(E533&lt;=30,"VENCE EM &lt;= 30 DIAS",IF(E533&lt;=60,"ATENCAO (31-60 DIAS)","OK"))))</f>
        <v/>
      </c>
      <c r="G533" s="13">
        <f>SUMIFS(Movimentacoes!$G:$G,Movimentacoes!$C:$C,$A533,Movimentacoes!$E:$E,$C533,Movimentacoes!$B:$B,"ENTRADA")</f>
        <v/>
      </c>
      <c r="H533" s="13">
        <f>SUMIFS(Movimentacoes!$G:$G,Movimentacoes!$C:$C,$A533,Movimentacoes!$E:$E,$C533,Movimentacoes!$B:$B,"SAIDA_USO")</f>
        <v/>
      </c>
      <c r="I533" s="13">
        <f>SUMIFS(Movimentacoes!$G:$G,Movimentacoes!$C:$C,$A533,Movimentacoes!$E:$E,$C533,Movimentacoes!$B:$B,"SAIDA_DESCARTE")</f>
        <v/>
      </c>
      <c r="J533" s="13">
        <f>G533-H533-I533</f>
        <v/>
      </c>
      <c r="K533">
        <f>IF(A533="","",IF(J533&lt;=IFERROR(VLOOKUP(A533,Cadastro_Produtos!$A:$E,5,FALSE),0),"ABAIXO DO MINIMO","OK"))</f>
        <v/>
      </c>
    </row>
    <row r="534">
      <c r="B534">
        <f>IFERROR(VLOOKUP(A534,Cadastro_Produtos!A:B,2,FALSE),"")</f>
        <v/>
      </c>
      <c r="D534" s="12" t="n"/>
      <c r="E534" s="13">
        <f>IF(D534="","",D534-TODAY())</f>
        <v/>
      </c>
      <c r="F534">
        <f>IF(D534="","",IF(E534&lt;0,"VENCIDO",IF(E534&lt;=30,"VENCE EM &lt;= 30 DIAS",IF(E534&lt;=60,"ATENCAO (31-60 DIAS)","OK"))))</f>
        <v/>
      </c>
      <c r="G534" s="13">
        <f>SUMIFS(Movimentacoes!$G:$G,Movimentacoes!$C:$C,$A534,Movimentacoes!$E:$E,$C534,Movimentacoes!$B:$B,"ENTRADA")</f>
        <v/>
      </c>
      <c r="H534" s="13">
        <f>SUMIFS(Movimentacoes!$G:$G,Movimentacoes!$C:$C,$A534,Movimentacoes!$E:$E,$C534,Movimentacoes!$B:$B,"SAIDA_USO")</f>
        <v/>
      </c>
      <c r="I534" s="13">
        <f>SUMIFS(Movimentacoes!$G:$G,Movimentacoes!$C:$C,$A534,Movimentacoes!$E:$E,$C534,Movimentacoes!$B:$B,"SAIDA_DESCARTE")</f>
        <v/>
      </c>
      <c r="J534" s="13">
        <f>G534-H534-I534</f>
        <v/>
      </c>
      <c r="K534">
        <f>IF(A534="","",IF(J534&lt;=IFERROR(VLOOKUP(A534,Cadastro_Produtos!$A:$E,5,FALSE),0),"ABAIXO DO MINIMO","OK"))</f>
        <v/>
      </c>
    </row>
    <row r="535">
      <c r="B535">
        <f>IFERROR(VLOOKUP(A535,Cadastro_Produtos!A:B,2,FALSE),"")</f>
        <v/>
      </c>
      <c r="D535" s="12" t="n"/>
      <c r="E535" s="13">
        <f>IF(D535="","",D535-TODAY())</f>
        <v/>
      </c>
      <c r="F535">
        <f>IF(D535="","",IF(E535&lt;0,"VENCIDO",IF(E535&lt;=30,"VENCE EM &lt;= 30 DIAS",IF(E535&lt;=60,"ATENCAO (31-60 DIAS)","OK"))))</f>
        <v/>
      </c>
      <c r="G535" s="13">
        <f>SUMIFS(Movimentacoes!$G:$G,Movimentacoes!$C:$C,$A535,Movimentacoes!$E:$E,$C535,Movimentacoes!$B:$B,"ENTRADA")</f>
        <v/>
      </c>
      <c r="H535" s="13">
        <f>SUMIFS(Movimentacoes!$G:$G,Movimentacoes!$C:$C,$A535,Movimentacoes!$E:$E,$C535,Movimentacoes!$B:$B,"SAIDA_USO")</f>
        <v/>
      </c>
      <c r="I535" s="13">
        <f>SUMIFS(Movimentacoes!$G:$G,Movimentacoes!$C:$C,$A535,Movimentacoes!$E:$E,$C535,Movimentacoes!$B:$B,"SAIDA_DESCARTE")</f>
        <v/>
      </c>
      <c r="J535" s="13">
        <f>G535-H535-I535</f>
        <v/>
      </c>
      <c r="K535">
        <f>IF(A535="","",IF(J535&lt;=IFERROR(VLOOKUP(A535,Cadastro_Produtos!$A:$E,5,FALSE),0),"ABAIXO DO MINIMO","OK"))</f>
        <v/>
      </c>
    </row>
    <row r="536">
      <c r="B536">
        <f>IFERROR(VLOOKUP(A536,Cadastro_Produtos!A:B,2,FALSE),"")</f>
        <v/>
      </c>
      <c r="D536" s="12" t="n"/>
      <c r="E536" s="13">
        <f>IF(D536="","",D536-TODAY())</f>
        <v/>
      </c>
      <c r="F536">
        <f>IF(D536="","",IF(E536&lt;0,"VENCIDO",IF(E536&lt;=30,"VENCE EM &lt;= 30 DIAS",IF(E536&lt;=60,"ATENCAO (31-60 DIAS)","OK"))))</f>
        <v/>
      </c>
      <c r="G536" s="13">
        <f>SUMIFS(Movimentacoes!$G:$G,Movimentacoes!$C:$C,$A536,Movimentacoes!$E:$E,$C536,Movimentacoes!$B:$B,"ENTRADA")</f>
        <v/>
      </c>
      <c r="H536" s="13">
        <f>SUMIFS(Movimentacoes!$G:$G,Movimentacoes!$C:$C,$A536,Movimentacoes!$E:$E,$C536,Movimentacoes!$B:$B,"SAIDA_USO")</f>
        <v/>
      </c>
      <c r="I536" s="13">
        <f>SUMIFS(Movimentacoes!$G:$G,Movimentacoes!$C:$C,$A536,Movimentacoes!$E:$E,$C536,Movimentacoes!$B:$B,"SAIDA_DESCARTE")</f>
        <v/>
      </c>
      <c r="J536" s="13">
        <f>G536-H536-I536</f>
        <v/>
      </c>
      <c r="K536">
        <f>IF(A536="","",IF(J536&lt;=IFERROR(VLOOKUP(A536,Cadastro_Produtos!$A:$E,5,FALSE),0),"ABAIXO DO MINIMO","OK"))</f>
        <v/>
      </c>
    </row>
    <row r="537">
      <c r="B537">
        <f>IFERROR(VLOOKUP(A537,Cadastro_Produtos!A:B,2,FALSE),"")</f>
        <v/>
      </c>
      <c r="D537" s="12" t="n"/>
      <c r="E537" s="13">
        <f>IF(D537="","",D537-TODAY())</f>
        <v/>
      </c>
      <c r="F537">
        <f>IF(D537="","",IF(E537&lt;0,"VENCIDO",IF(E537&lt;=30,"VENCE EM &lt;= 30 DIAS",IF(E537&lt;=60,"ATENCAO (31-60 DIAS)","OK"))))</f>
        <v/>
      </c>
      <c r="G537" s="13">
        <f>SUMIFS(Movimentacoes!$G:$G,Movimentacoes!$C:$C,$A537,Movimentacoes!$E:$E,$C537,Movimentacoes!$B:$B,"ENTRADA")</f>
        <v/>
      </c>
      <c r="H537" s="13">
        <f>SUMIFS(Movimentacoes!$G:$G,Movimentacoes!$C:$C,$A537,Movimentacoes!$E:$E,$C537,Movimentacoes!$B:$B,"SAIDA_USO")</f>
        <v/>
      </c>
      <c r="I537" s="13">
        <f>SUMIFS(Movimentacoes!$G:$G,Movimentacoes!$C:$C,$A537,Movimentacoes!$E:$E,$C537,Movimentacoes!$B:$B,"SAIDA_DESCARTE")</f>
        <v/>
      </c>
      <c r="J537" s="13">
        <f>G537-H537-I537</f>
        <v/>
      </c>
      <c r="K537">
        <f>IF(A537="","",IF(J537&lt;=IFERROR(VLOOKUP(A537,Cadastro_Produtos!$A:$E,5,FALSE),0),"ABAIXO DO MINIMO","OK"))</f>
        <v/>
      </c>
    </row>
    <row r="538">
      <c r="B538">
        <f>IFERROR(VLOOKUP(A538,Cadastro_Produtos!A:B,2,FALSE),"")</f>
        <v/>
      </c>
      <c r="D538" s="12" t="n"/>
      <c r="E538" s="13">
        <f>IF(D538="","",D538-TODAY())</f>
        <v/>
      </c>
      <c r="F538">
        <f>IF(D538="","",IF(E538&lt;0,"VENCIDO",IF(E538&lt;=30,"VENCE EM &lt;= 30 DIAS",IF(E538&lt;=60,"ATENCAO (31-60 DIAS)","OK"))))</f>
        <v/>
      </c>
      <c r="G538" s="13">
        <f>SUMIFS(Movimentacoes!$G:$G,Movimentacoes!$C:$C,$A538,Movimentacoes!$E:$E,$C538,Movimentacoes!$B:$B,"ENTRADA")</f>
        <v/>
      </c>
      <c r="H538" s="13">
        <f>SUMIFS(Movimentacoes!$G:$G,Movimentacoes!$C:$C,$A538,Movimentacoes!$E:$E,$C538,Movimentacoes!$B:$B,"SAIDA_USO")</f>
        <v/>
      </c>
      <c r="I538" s="13">
        <f>SUMIFS(Movimentacoes!$G:$G,Movimentacoes!$C:$C,$A538,Movimentacoes!$E:$E,$C538,Movimentacoes!$B:$B,"SAIDA_DESCARTE")</f>
        <v/>
      </c>
      <c r="J538" s="13">
        <f>G538-H538-I538</f>
        <v/>
      </c>
      <c r="K538">
        <f>IF(A538="","",IF(J538&lt;=IFERROR(VLOOKUP(A538,Cadastro_Produtos!$A:$E,5,FALSE),0),"ABAIXO DO MINIMO","OK"))</f>
        <v/>
      </c>
    </row>
    <row r="539">
      <c r="B539">
        <f>IFERROR(VLOOKUP(A539,Cadastro_Produtos!A:B,2,FALSE),"")</f>
        <v/>
      </c>
      <c r="D539" s="12" t="n"/>
      <c r="E539" s="13">
        <f>IF(D539="","",D539-TODAY())</f>
        <v/>
      </c>
      <c r="F539">
        <f>IF(D539="","",IF(E539&lt;0,"VENCIDO",IF(E539&lt;=30,"VENCE EM &lt;= 30 DIAS",IF(E539&lt;=60,"ATENCAO (31-60 DIAS)","OK"))))</f>
        <v/>
      </c>
      <c r="G539" s="13">
        <f>SUMIFS(Movimentacoes!$G:$G,Movimentacoes!$C:$C,$A539,Movimentacoes!$E:$E,$C539,Movimentacoes!$B:$B,"ENTRADA")</f>
        <v/>
      </c>
      <c r="H539" s="13">
        <f>SUMIFS(Movimentacoes!$G:$G,Movimentacoes!$C:$C,$A539,Movimentacoes!$E:$E,$C539,Movimentacoes!$B:$B,"SAIDA_USO")</f>
        <v/>
      </c>
      <c r="I539" s="13">
        <f>SUMIFS(Movimentacoes!$G:$G,Movimentacoes!$C:$C,$A539,Movimentacoes!$E:$E,$C539,Movimentacoes!$B:$B,"SAIDA_DESCARTE")</f>
        <v/>
      </c>
      <c r="J539" s="13">
        <f>G539-H539-I539</f>
        <v/>
      </c>
      <c r="K539">
        <f>IF(A539="","",IF(J539&lt;=IFERROR(VLOOKUP(A539,Cadastro_Produtos!$A:$E,5,FALSE),0),"ABAIXO DO MINIMO","OK"))</f>
        <v/>
      </c>
    </row>
    <row r="540">
      <c r="B540">
        <f>IFERROR(VLOOKUP(A540,Cadastro_Produtos!A:B,2,FALSE),"")</f>
        <v/>
      </c>
      <c r="D540" s="12" t="n"/>
      <c r="E540" s="13">
        <f>IF(D540="","",D540-TODAY())</f>
        <v/>
      </c>
      <c r="F540">
        <f>IF(D540="","",IF(E540&lt;0,"VENCIDO",IF(E540&lt;=30,"VENCE EM &lt;= 30 DIAS",IF(E540&lt;=60,"ATENCAO (31-60 DIAS)","OK"))))</f>
        <v/>
      </c>
      <c r="G540" s="13">
        <f>SUMIFS(Movimentacoes!$G:$G,Movimentacoes!$C:$C,$A540,Movimentacoes!$E:$E,$C540,Movimentacoes!$B:$B,"ENTRADA")</f>
        <v/>
      </c>
      <c r="H540" s="13">
        <f>SUMIFS(Movimentacoes!$G:$G,Movimentacoes!$C:$C,$A540,Movimentacoes!$E:$E,$C540,Movimentacoes!$B:$B,"SAIDA_USO")</f>
        <v/>
      </c>
      <c r="I540" s="13">
        <f>SUMIFS(Movimentacoes!$G:$G,Movimentacoes!$C:$C,$A540,Movimentacoes!$E:$E,$C540,Movimentacoes!$B:$B,"SAIDA_DESCARTE")</f>
        <v/>
      </c>
      <c r="J540" s="13">
        <f>G540-H540-I540</f>
        <v/>
      </c>
      <c r="K540">
        <f>IF(A540="","",IF(J540&lt;=IFERROR(VLOOKUP(A540,Cadastro_Produtos!$A:$E,5,FALSE),0),"ABAIXO DO MINIMO","OK"))</f>
        <v/>
      </c>
    </row>
    <row r="541">
      <c r="B541">
        <f>IFERROR(VLOOKUP(A541,Cadastro_Produtos!A:B,2,FALSE),"")</f>
        <v/>
      </c>
      <c r="D541" s="12" t="n"/>
      <c r="E541" s="13">
        <f>IF(D541="","",D541-TODAY())</f>
        <v/>
      </c>
      <c r="F541">
        <f>IF(D541="","",IF(E541&lt;0,"VENCIDO",IF(E541&lt;=30,"VENCE EM &lt;= 30 DIAS",IF(E541&lt;=60,"ATENCAO (31-60 DIAS)","OK"))))</f>
        <v/>
      </c>
      <c r="G541" s="13">
        <f>SUMIFS(Movimentacoes!$G:$G,Movimentacoes!$C:$C,$A541,Movimentacoes!$E:$E,$C541,Movimentacoes!$B:$B,"ENTRADA")</f>
        <v/>
      </c>
      <c r="H541" s="13">
        <f>SUMIFS(Movimentacoes!$G:$G,Movimentacoes!$C:$C,$A541,Movimentacoes!$E:$E,$C541,Movimentacoes!$B:$B,"SAIDA_USO")</f>
        <v/>
      </c>
      <c r="I541" s="13">
        <f>SUMIFS(Movimentacoes!$G:$G,Movimentacoes!$C:$C,$A541,Movimentacoes!$E:$E,$C541,Movimentacoes!$B:$B,"SAIDA_DESCARTE")</f>
        <v/>
      </c>
      <c r="J541" s="13">
        <f>G541-H541-I541</f>
        <v/>
      </c>
      <c r="K541">
        <f>IF(A541="","",IF(J541&lt;=IFERROR(VLOOKUP(A541,Cadastro_Produtos!$A:$E,5,FALSE),0),"ABAIXO DO MINIMO","OK"))</f>
        <v/>
      </c>
    </row>
    <row r="542">
      <c r="B542">
        <f>IFERROR(VLOOKUP(A542,Cadastro_Produtos!A:B,2,FALSE),"")</f>
        <v/>
      </c>
      <c r="D542" s="12" t="n"/>
      <c r="E542" s="13">
        <f>IF(D542="","",D542-TODAY())</f>
        <v/>
      </c>
      <c r="F542">
        <f>IF(D542="","",IF(E542&lt;0,"VENCIDO",IF(E542&lt;=30,"VENCE EM &lt;= 30 DIAS",IF(E542&lt;=60,"ATENCAO (31-60 DIAS)","OK"))))</f>
        <v/>
      </c>
      <c r="G542" s="13">
        <f>SUMIFS(Movimentacoes!$G:$G,Movimentacoes!$C:$C,$A542,Movimentacoes!$E:$E,$C542,Movimentacoes!$B:$B,"ENTRADA")</f>
        <v/>
      </c>
      <c r="H542" s="13">
        <f>SUMIFS(Movimentacoes!$G:$G,Movimentacoes!$C:$C,$A542,Movimentacoes!$E:$E,$C542,Movimentacoes!$B:$B,"SAIDA_USO")</f>
        <v/>
      </c>
      <c r="I542" s="13">
        <f>SUMIFS(Movimentacoes!$G:$G,Movimentacoes!$C:$C,$A542,Movimentacoes!$E:$E,$C542,Movimentacoes!$B:$B,"SAIDA_DESCARTE")</f>
        <v/>
      </c>
      <c r="J542" s="13">
        <f>G542-H542-I542</f>
        <v/>
      </c>
      <c r="K542">
        <f>IF(A542="","",IF(J542&lt;=IFERROR(VLOOKUP(A542,Cadastro_Produtos!$A:$E,5,FALSE),0),"ABAIXO DO MINIMO","OK"))</f>
        <v/>
      </c>
    </row>
    <row r="543">
      <c r="B543">
        <f>IFERROR(VLOOKUP(A543,Cadastro_Produtos!A:B,2,FALSE),"")</f>
        <v/>
      </c>
      <c r="D543" s="12" t="n"/>
      <c r="E543" s="13">
        <f>IF(D543="","",D543-TODAY())</f>
        <v/>
      </c>
      <c r="F543">
        <f>IF(D543="","",IF(E543&lt;0,"VENCIDO",IF(E543&lt;=30,"VENCE EM &lt;= 30 DIAS",IF(E543&lt;=60,"ATENCAO (31-60 DIAS)","OK"))))</f>
        <v/>
      </c>
      <c r="G543" s="13">
        <f>SUMIFS(Movimentacoes!$G:$G,Movimentacoes!$C:$C,$A543,Movimentacoes!$E:$E,$C543,Movimentacoes!$B:$B,"ENTRADA")</f>
        <v/>
      </c>
      <c r="H543" s="13">
        <f>SUMIFS(Movimentacoes!$G:$G,Movimentacoes!$C:$C,$A543,Movimentacoes!$E:$E,$C543,Movimentacoes!$B:$B,"SAIDA_USO")</f>
        <v/>
      </c>
      <c r="I543" s="13">
        <f>SUMIFS(Movimentacoes!$G:$G,Movimentacoes!$C:$C,$A543,Movimentacoes!$E:$E,$C543,Movimentacoes!$B:$B,"SAIDA_DESCARTE")</f>
        <v/>
      </c>
      <c r="J543" s="13">
        <f>G543-H543-I543</f>
        <v/>
      </c>
      <c r="K543">
        <f>IF(A543="","",IF(J543&lt;=IFERROR(VLOOKUP(A543,Cadastro_Produtos!$A:$E,5,FALSE),0),"ABAIXO DO MINIMO","OK"))</f>
        <v/>
      </c>
    </row>
    <row r="544">
      <c r="B544">
        <f>IFERROR(VLOOKUP(A544,Cadastro_Produtos!A:B,2,FALSE),"")</f>
        <v/>
      </c>
      <c r="D544" s="12" t="n"/>
      <c r="E544" s="13">
        <f>IF(D544="","",D544-TODAY())</f>
        <v/>
      </c>
      <c r="F544">
        <f>IF(D544="","",IF(E544&lt;0,"VENCIDO",IF(E544&lt;=30,"VENCE EM &lt;= 30 DIAS",IF(E544&lt;=60,"ATENCAO (31-60 DIAS)","OK"))))</f>
        <v/>
      </c>
      <c r="G544" s="13">
        <f>SUMIFS(Movimentacoes!$G:$G,Movimentacoes!$C:$C,$A544,Movimentacoes!$E:$E,$C544,Movimentacoes!$B:$B,"ENTRADA")</f>
        <v/>
      </c>
      <c r="H544" s="13">
        <f>SUMIFS(Movimentacoes!$G:$G,Movimentacoes!$C:$C,$A544,Movimentacoes!$E:$E,$C544,Movimentacoes!$B:$B,"SAIDA_USO")</f>
        <v/>
      </c>
      <c r="I544" s="13">
        <f>SUMIFS(Movimentacoes!$G:$G,Movimentacoes!$C:$C,$A544,Movimentacoes!$E:$E,$C544,Movimentacoes!$B:$B,"SAIDA_DESCARTE")</f>
        <v/>
      </c>
      <c r="J544" s="13">
        <f>G544-H544-I544</f>
        <v/>
      </c>
      <c r="K544">
        <f>IF(A544="","",IF(J544&lt;=IFERROR(VLOOKUP(A544,Cadastro_Produtos!$A:$E,5,FALSE),0),"ABAIXO DO MINIMO","OK"))</f>
        <v/>
      </c>
    </row>
    <row r="545">
      <c r="B545">
        <f>IFERROR(VLOOKUP(A545,Cadastro_Produtos!A:B,2,FALSE),"")</f>
        <v/>
      </c>
      <c r="D545" s="12" t="n"/>
      <c r="E545" s="13">
        <f>IF(D545="","",D545-TODAY())</f>
        <v/>
      </c>
      <c r="F545">
        <f>IF(D545="","",IF(E545&lt;0,"VENCIDO",IF(E545&lt;=30,"VENCE EM &lt;= 30 DIAS",IF(E545&lt;=60,"ATENCAO (31-60 DIAS)","OK"))))</f>
        <v/>
      </c>
      <c r="G545" s="13">
        <f>SUMIFS(Movimentacoes!$G:$G,Movimentacoes!$C:$C,$A545,Movimentacoes!$E:$E,$C545,Movimentacoes!$B:$B,"ENTRADA")</f>
        <v/>
      </c>
      <c r="H545" s="13">
        <f>SUMIFS(Movimentacoes!$G:$G,Movimentacoes!$C:$C,$A545,Movimentacoes!$E:$E,$C545,Movimentacoes!$B:$B,"SAIDA_USO")</f>
        <v/>
      </c>
      <c r="I545" s="13">
        <f>SUMIFS(Movimentacoes!$G:$G,Movimentacoes!$C:$C,$A545,Movimentacoes!$E:$E,$C545,Movimentacoes!$B:$B,"SAIDA_DESCARTE")</f>
        <v/>
      </c>
      <c r="J545" s="13">
        <f>G545-H545-I545</f>
        <v/>
      </c>
      <c r="K545">
        <f>IF(A545="","",IF(J545&lt;=IFERROR(VLOOKUP(A545,Cadastro_Produtos!$A:$E,5,FALSE),0),"ABAIXO DO MINIMO","OK"))</f>
        <v/>
      </c>
    </row>
    <row r="546">
      <c r="B546">
        <f>IFERROR(VLOOKUP(A546,Cadastro_Produtos!A:B,2,FALSE),"")</f>
        <v/>
      </c>
      <c r="D546" s="12" t="n"/>
      <c r="E546" s="13">
        <f>IF(D546="","",D546-TODAY())</f>
        <v/>
      </c>
      <c r="F546">
        <f>IF(D546="","",IF(E546&lt;0,"VENCIDO",IF(E546&lt;=30,"VENCE EM &lt;= 30 DIAS",IF(E546&lt;=60,"ATENCAO (31-60 DIAS)","OK"))))</f>
        <v/>
      </c>
      <c r="G546" s="13">
        <f>SUMIFS(Movimentacoes!$G:$G,Movimentacoes!$C:$C,$A546,Movimentacoes!$E:$E,$C546,Movimentacoes!$B:$B,"ENTRADA")</f>
        <v/>
      </c>
      <c r="H546" s="13">
        <f>SUMIFS(Movimentacoes!$G:$G,Movimentacoes!$C:$C,$A546,Movimentacoes!$E:$E,$C546,Movimentacoes!$B:$B,"SAIDA_USO")</f>
        <v/>
      </c>
      <c r="I546" s="13">
        <f>SUMIFS(Movimentacoes!$G:$G,Movimentacoes!$C:$C,$A546,Movimentacoes!$E:$E,$C546,Movimentacoes!$B:$B,"SAIDA_DESCARTE")</f>
        <v/>
      </c>
      <c r="J546" s="13">
        <f>G546-H546-I546</f>
        <v/>
      </c>
      <c r="K546">
        <f>IF(A546="","",IF(J546&lt;=IFERROR(VLOOKUP(A546,Cadastro_Produtos!$A:$E,5,FALSE),0),"ABAIXO DO MINIMO","OK"))</f>
        <v/>
      </c>
    </row>
    <row r="547">
      <c r="B547">
        <f>IFERROR(VLOOKUP(A547,Cadastro_Produtos!A:B,2,FALSE),"")</f>
        <v/>
      </c>
      <c r="D547" s="12" t="n"/>
      <c r="E547" s="13">
        <f>IF(D547="","",D547-TODAY())</f>
        <v/>
      </c>
      <c r="F547">
        <f>IF(D547="","",IF(E547&lt;0,"VENCIDO",IF(E547&lt;=30,"VENCE EM &lt;= 30 DIAS",IF(E547&lt;=60,"ATENCAO (31-60 DIAS)","OK"))))</f>
        <v/>
      </c>
      <c r="G547" s="13">
        <f>SUMIFS(Movimentacoes!$G:$G,Movimentacoes!$C:$C,$A547,Movimentacoes!$E:$E,$C547,Movimentacoes!$B:$B,"ENTRADA")</f>
        <v/>
      </c>
      <c r="H547" s="13">
        <f>SUMIFS(Movimentacoes!$G:$G,Movimentacoes!$C:$C,$A547,Movimentacoes!$E:$E,$C547,Movimentacoes!$B:$B,"SAIDA_USO")</f>
        <v/>
      </c>
      <c r="I547" s="13">
        <f>SUMIFS(Movimentacoes!$G:$G,Movimentacoes!$C:$C,$A547,Movimentacoes!$E:$E,$C547,Movimentacoes!$B:$B,"SAIDA_DESCARTE")</f>
        <v/>
      </c>
      <c r="J547" s="13">
        <f>G547-H547-I547</f>
        <v/>
      </c>
      <c r="K547">
        <f>IF(A547="","",IF(J547&lt;=IFERROR(VLOOKUP(A547,Cadastro_Produtos!$A:$E,5,FALSE),0),"ABAIXO DO MINIMO","OK"))</f>
        <v/>
      </c>
    </row>
    <row r="548">
      <c r="B548">
        <f>IFERROR(VLOOKUP(A548,Cadastro_Produtos!A:B,2,FALSE),"")</f>
        <v/>
      </c>
      <c r="D548" s="12" t="n"/>
      <c r="E548" s="13">
        <f>IF(D548="","",D548-TODAY())</f>
        <v/>
      </c>
      <c r="F548">
        <f>IF(D548="","",IF(E548&lt;0,"VENCIDO",IF(E548&lt;=30,"VENCE EM &lt;= 30 DIAS",IF(E548&lt;=60,"ATENCAO (31-60 DIAS)","OK"))))</f>
        <v/>
      </c>
      <c r="G548" s="13">
        <f>SUMIFS(Movimentacoes!$G:$G,Movimentacoes!$C:$C,$A548,Movimentacoes!$E:$E,$C548,Movimentacoes!$B:$B,"ENTRADA")</f>
        <v/>
      </c>
      <c r="H548" s="13">
        <f>SUMIFS(Movimentacoes!$G:$G,Movimentacoes!$C:$C,$A548,Movimentacoes!$E:$E,$C548,Movimentacoes!$B:$B,"SAIDA_USO")</f>
        <v/>
      </c>
      <c r="I548" s="13">
        <f>SUMIFS(Movimentacoes!$G:$G,Movimentacoes!$C:$C,$A548,Movimentacoes!$E:$E,$C548,Movimentacoes!$B:$B,"SAIDA_DESCARTE")</f>
        <v/>
      </c>
      <c r="J548" s="13">
        <f>G548-H548-I548</f>
        <v/>
      </c>
      <c r="K548">
        <f>IF(A548="","",IF(J548&lt;=IFERROR(VLOOKUP(A548,Cadastro_Produtos!$A:$E,5,FALSE),0),"ABAIXO DO MINIMO","OK"))</f>
        <v/>
      </c>
    </row>
    <row r="549">
      <c r="B549">
        <f>IFERROR(VLOOKUP(A549,Cadastro_Produtos!A:B,2,FALSE),"")</f>
        <v/>
      </c>
      <c r="D549" s="12" t="n"/>
      <c r="E549" s="13">
        <f>IF(D549="","",D549-TODAY())</f>
        <v/>
      </c>
      <c r="F549">
        <f>IF(D549="","",IF(E549&lt;0,"VENCIDO",IF(E549&lt;=30,"VENCE EM &lt;= 30 DIAS",IF(E549&lt;=60,"ATENCAO (31-60 DIAS)","OK"))))</f>
        <v/>
      </c>
      <c r="G549" s="13">
        <f>SUMIFS(Movimentacoes!$G:$G,Movimentacoes!$C:$C,$A549,Movimentacoes!$E:$E,$C549,Movimentacoes!$B:$B,"ENTRADA")</f>
        <v/>
      </c>
      <c r="H549" s="13">
        <f>SUMIFS(Movimentacoes!$G:$G,Movimentacoes!$C:$C,$A549,Movimentacoes!$E:$E,$C549,Movimentacoes!$B:$B,"SAIDA_USO")</f>
        <v/>
      </c>
      <c r="I549" s="13">
        <f>SUMIFS(Movimentacoes!$G:$G,Movimentacoes!$C:$C,$A549,Movimentacoes!$E:$E,$C549,Movimentacoes!$B:$B,"SAIDA_DESCARTE")</f>
        <v/>
      </c>
      <c r="J549" s="13">
        <f>G549-H549-I549</f>
        <v/>
      </c>
      <c r="K549">
        <f>IF(A549="","",IF(J549&lt;=IFERROR(VLOOKUP(A549,Cadastro_Produtos!$A:$E,5,FALSE),0),"ABAIXO DO MINIMO","OK"))</f>
        <v/>
      </c>
    </row>
    <row r="550">
      <c r="B550">
        <f>IFERROR(VLOOKUP(A550,Cadastro_Produtos!A:B,2,FALSE),"")</f>
        <v/>
      </c>
      <c r="D550" s="12" t="n"/>
      <c r="E550" s="13">
        <f>IF(D550="","",D550-TODAY())</f>
        <v/>
      </c>
      <c r="F550">
        <f>IF(D550="","",IF(E550&lt;0,"VENCIDO",IF(E550&lt;=30,"VENCE EM &lt;= 30 DIAS",IF(E550&lt;=60,"ATENCAO (31-60 DIAS)","OK"))))</f>
        <v/>
      </c>
      <c r="G550" s="13">
        <f>SUMIFS(Movimentacoes!$G:$G,Movimentacoes!$C:$C,$A550,Movimentacoes!$E:$E,$C550,Movimentacoes!$B:$B,"ENTRADA")</f>
        <v/>
      </c>
      <c r="H550" s="13">
        <f>SUMIFS(Movimentacoes!$G:$G,Movimentacoes!$C:$C,$A550,Movimentacoes!$E:$E,$C550,Movimentacoes!$B:$B,"SAIDA_USO")</f>
        <v/>
      </c>
      <c r="I550" s="13">
        <f>SUMIFS(Movimentacoes!$G:$G,Movimentacoes!$C:$C,$A550,Movimentacoes!$E:$E,$C550,Movimentacoes!$B:$B,"SAIDA_DESCARTE")</f>
        <v/>
      </c>
      <c r="J550" s="13">
        <f>G550-H550-I550</f>
        <v/>
      </c>
      <c r="K550">
        <f>IF(A550="","",IF(J550&lt;=IFERROR(VLOOKUP(A550,Cadastro_Produtos!$A:$E,5,FALSE),0),"ABAIXO DO MINIMO","OK"))</f>
        <v/>
      </c>
    </row>
    <row r="551">
      <c r="B551">
        <f>IFERROR(VLOOKUP(A551,Cadastro_Produtos!A:B,2,FALSE),"")</f>
        <v/>
      </c>
      <c r="D551" s="12" t="n"/>
      <c r="E551" s="13">
        <f>IF(D551="","",D551-TODAY())</f>
        <v/>
      </c>
      <c r="F551">
        <f>IF(D551="","",IF(E551&lt;0,"VENCIDO",IF(E551&lt;=30,"VENCE EM &lt;= 30 DIAS",IF(E551&lt;=60,"ATENCAO (31-60 DIAS)","OK"))))</f>
        <v/>
      </c>
      <c r="G551" s="13">
        <f>SUMIFS(Movimentacoes!$G:$G,Movimentacoes!$C:$C,$A551,Movimentacoes!$E:$E,$C551,Movimentacoes!$B:$B,"ENTRADA")</f>
        <v/>
      </c>
      <c r="H551" s="13">
        <f>SUMIFS(Movimentacoes!$G:$G,Movimentacoes!$C:$C,$A551,Movimentacoes!$E:$E,$C551,Movimentacoes!$B:$B,"SAIDA_USO")</f>
        <v/>
      </c>
      <c r="I551" s="13">
        <f>SUMIFS(Movimentacoes!$G:$G,Movimentacoes!$C:$C,$A551,Movimentacoes!$E:$E,$C551,Movimentacoes!$B:$B,"SAIDA_DESCARTE")</f>
        <v/>
      </c>
      <c r="J551" s="13">
        <f>G551-H551-I551</f>
        <v/>
      </c>
      <c r="K551">
        <f>IF(A551="","",IF(J551&lt;=IFERROR(VLOOKUP(A551,Cadastro_Produtos!$A:$E,5,FALSE),0),"ABAIXO DO MINIMO","OK"))</f>
        <v/>
      </c>
    </row>
    <row r="552">
      <c r="B552">
        <f>IFERROR(VLOOKUP(A552,Cadastro_Produtos!A:B,2,FALSE),"")</f>
        <v/>
      </c>
      <c r="D552" s="12" t="n"/>
      <c r="E552" s="13">
        <f>IF(D552="","",D552-TODAY())</f>
        <v/>
      </c>
      <c r="F552">
        <f>IF(D552="","",IF(E552&lt;0,"VENCIDO",IF(E552&lt;=30,"VENCE EM &lt;= 30 DIAS",IF(E552&lt;=60,"ATENCAO (31-60 DIAS)","OK"))))</f>
        <v/>
      </c>
      <c r="G552" s="13">
        <f>SUMIFS(Movimentacoes!$G:$G,Movimentacoes!$C:$C,$A552,Movimentacoes!$E:$E,$C552,Movimentacoes!$B:$B,"ENTRADA")</f>
        <v/>
      </c>
      <c r="H552" s="13">
        <f>SUMIFS(Movimentacoes!$G:$G,Movimentacoes!$C:$C,$A552,Movimentacoes!$E:$E,$C552,Movimentacoes!$B:$B,"SAIDA_USO")</f>
        <v/>
      </c>
      <c r="I552" s="13">
        <f>SUMIFS(Movimentacoes!$G:$G,Movimentacoes!$C:$C,$A552,Movimentacoes!$E:$E,$C552,Movimentacoes!$B:$B,"SAIDA_DESCARTE")</f>
        <v/>
      </c>
      <c r="J552" s="13">
        <f>G552-H552-I552</f>
        <v/>
      </c>
      <c r="K552">
        <f>IF(A552="","",IF(J552&lt;=IFERROR(VLOOKUP(A552,Cadastro_Produtos!$A:$E,5,FALSE),0),"ABAIXO DO MINIMO","OK"))</f>
        <v/>
      </c>
    </row>
    <row r="553">
      <c r="B553">
        <f>IFERROR(VLOOKUP(A553,Cadastro_Produtos!A:B,2,FALSE),"")</f>
        <v/>
      </c>
      <c r="D553" s="12" t="n"/>
      <c r="E553" s="13">
        <f>IF(D553="","",D553-TODAY())</f>
        <v/>
      </c>
      <c r="F553">
        <f>IF(D553="","",IF(E553&lt;0,"VENCIDO",IF(E553&lt;=30,"VENCE EM &lt;= 30 DIAS",IF(E553&lt;=60,"ATENCAO (31-60 DIAS)","OK"))))</f>
        <v/>
      </c>
      <c r="G553" s="13">
        <f>SUMIFS(Movimentacoes!$G:$G,Movimentacoes!$C:$C,$A553,Movimentacoes!$E:$E,$C553,Movimentacoes!$B:$B,"ENTRADA")</f>
        <v/>
      </c>
      <c r="H553" s="13">
        <f>SUMIFS(Movimentacoes!$G:$G,Movimentacoes!$C:$C,$A553,Movimentacoes!$E:$E,$C553,Movimentacoes!$B:$B,"SAIDA_USO")</f>
        <v/>
      </c>
      <c r="I553" s="13">
        <f>SUMIFS(Movimentacoes!$G:$G,Movimentacoes!$C:$C,$A553,Movimentacoes!$E:$E,$C553,Movimentacoes!$B:$B,"SAIDA_DESCARTE")</f>
        <v/>
      </c>
      <c r="J553" s="13">
        <f>G553-H553-I553</f>
        <v/>
      </c>
      <c r="K553">
        <f>IF(A553="","",IF(J553&lt;=IFERROR(VLOOKUP(A553,Cadastro_Produtos!$A:$E,5,FALSE),0),"ABAIXO DO MINIMO","OK"))</f>
        <v/>
      </c>
    </row>
    <row r="554">
      <c r="B554">
        <f>IFERROR(VLOOKUP(A554,Cadastro_Produtos!A:B,2,FALSE),"")</f>
        <v/>
      </c>
      <c r="D554" s="12" t="n"/>
      <c r="E554" s="13">
        <f>IF(D554="","",D554-TODAY())</f>
        <v/>
      </c>
      <c r="F554">
        <f>IF(D554="","",IF(E554&lt;0,"VENCIDO",IF(E554&lt;=30,"VENCE EM &lt;= 30 DIAS",IF(E554&lt;=60,"ATENCAO (31-60 DIAS)","OK"))))</f>
        <v/>
      </c>
      <c r="G554" s="13">
        <f>SUMIFS(Movimentacoes!$G:$G,Movimentacoes!$C:$C,$A554,Movimentacoes!$E:$E,$C554,Movimentacoes!$B:$B,"ENTRADA")</f>
        <v/>
      </c>
      <c r="H554" s="13">
        <f>SUMIFS(Movimentacoes!$G:$G,Movimentacoes!$C:$C,$A554,Movimentacoes!$E:$E,$C554,Movimentacoes!$B:$B,"SAIDA_USO")</f>
        <v/>
      </c>
      <c r="I554" s="13">
        <f>SUMIFS(Movimentacoes!$G:$G,Movimentacoes!$C:$C,$A554,Movimentacoes!$E:$E,$C554,Movimentacoes!$B:$B,"SAIDA_DESCARTE")</f>
        <v/>
      </c>
      <c r="J554" s="13">
        <f>G554-H554-I554</f>
        <v/>
      </c>
      <c r="K554">
        <f>IF(A554="","",IF(J554&lt;=IFERROR(VLOOKUP(A554,Cadastro_Produtos!$A:$E,5,FALSE),0),"ABAIXO DO MINIMO","OK"))</f>
        <v/>
      </c>
    </row>
    <row r="555">
      <c r="B555">
        <f>IFERROR(VLOOKUP(A555,Cadastro_Produtos!A:B,2,FALSE),"")</f>
        <v/>
      </c>
      <c r="D555" s="12" t="n"/>
      <c r="E555" s="13">
        <f>IF(D555="","",D555-TODAY())</f>
        <v/>
      </c>
      <c r="F555">
        <f>IF(D555="","",IF(E555&lt;0,"VENCIDO",IF(E555&lt;=30,"VENCE EM &lt;= 30 DIAS",IF(E555&lt;=60,"ATENCAO (31-60 DIAS)","OK"))))</f>
        <v/>
      </c>
      <c r="G555" s="13">
        <f>SUMIFS(Movimentacoes!$G:$G,Movimentacoes!$C:$C,$A555,Movimentacoes!$E:$E,$C555,Movimentacoes!$B:$B,"ENTRADA")</f>
        <v/>
      </c>
      <c r="H555" s="13">
        <f>SUMIFS(Movimentacoes!$G:$G,Movimentacoes!$C:$C,$A555,Movimentacoes!$E:$E,$C555,Movimentacoes!$B:$B,"SAIDA_USO")</f>
        <v/>
      </c>
      <c r="I555" s="13">
        <f>SUMIFS(Movimentacoes!$G:$G,Movimentacoes!$C:$C,$A555,Movimentacoes!$E:$E,$C555,Movimentacoes!$B:$B,"SAIDA_DESCARTE")</f>
        <v/>
      </c>
      <c r="J555" s="13">
        <f>G555-H555-I555</f>
        <v/>
      </c>
      <c r="K555">
        <f>IF(A555="","",IF(J555&lt;=IFERROR(VLOOKUP(A555,Cadastro_Produtos!$A:$E,5,FALSE),0),"ABAIXO DO MINIMO","OK"))</f>
        <v/>
      </c>
    </row>
    <row r="556">
      <c r="B556">
        <f>IFERROR(VLOOKUP(A556,Cadastro_Produtos!A:B,2,FALSE),"")</f>
        <v/>
      </c>
      <c r="D556" s="12" t="n"/>
      <c r="E556" s="13">
        <f>IF(D556="","",D556-TODAY())</f>
        <v/>
      </c>
      <c r="F556">
        <f>IF(D556="","",IF(E556&lt;0,"VENCIDO",IF(E556&lt;=30,"VENCE EM &lt;= 30 DIAS",IF(E556&lt;=60,"ATENCAO (31-60 DIAS)","OK"))))</f>
        <v/>
      </c>
      <c r="G556" s="13">
        <f>SUMIFS(Movimentacoes!$G:$G,Movimentacoes!$C:$C,$A556,Movimentacoes!$E:$E,$C556,Movimentacoes!$B:$B,"ENTRADA")</f>
        <v/>
      </c>
      <c r="H556" s="13">
        <f>SUMIFS(Movimentacoes!$G:$G,Movimentacoes!$C:$C,$A556,Movimentacoes!$E:$E,$C556,Movimentacoes!$B:$B,"SAIDA_USO")</f>
        <v/>
      </c>
      <c r="I556" s="13">
        <f>SUMIFS(Movimentacoes!$G:$G,Movimentacoes!$C:$C,$A556,Movimentacoes!$E:$E,$C556,Movimentacoes!$B:$B,"SAIDA_DESCARTE")</f>
        <v/>
      </c>
      <c r="J556" s="13">
        <f>G556-H556-I556</f>
        <v/>
      </c>
      <c r="K556">
        <f>IF(A556="","",IF(J556&lt;=IFERROR(VLOOKUP(A556,Cadastro_Produtos!$A:$E,5,FALSE),0),"ABAIXO DO MINIMO","OK"))</f>
        <v/>
      </c>
    </row>
    <row r="557">
      <c r="B557">
        <f>IFERROR(VLOOKUP(A557,Cadastro_Produtos!A:B,2,FALSE),"")</f>
        <v/>
      </c>
      <c r="D557" s="12" t="n"/>
      <c r="E557" s="13">
        <f>IF(D557="","",D557-TODAY())</f>
        <v/>
      </c>
      <c r="F557">
        <f>IF(D557="","",IF(E557&lt;0,"VENCIDO",IF(E557&lt;=30,"VENCE EM &lt;= 30 DIAS",IF(E557&lt;=60,"ATENCAO (31-60 DIAS)","OK"))))</f>
        <v/>
      </c>
      <c r="G557" s="13">
        <f>SUMIFS(Movimentacoes!$G:$G,Movimentacoes!$C:$C,$A557,Movimentacoes!$E:$E,$C557,Movimentacoes!$B:$B,"ENTRADA")</f>
        <v/>
      </c>
      <c r="H557" s="13">
        <f>SUMIFS(Movimentacoes!$G:$G,Movimentacoes!$C:$C,$A557,Movimentacoes!$E:$E,$C557,Movimentacoes!$B:$B,"SAIDA_USO")</f>
        <v/>
      </c>
      <c r="I557" s="13">
        <f>SUMIFS(Movimentacoes!$G:$G,Movimentacoes!$C:$C,$A557,Movimentacoes!$E:$E,$C557,Movimentacoes!$B:$B,"SAIDA_DESCARTE")</f>
        <v/>
      </c>
      <c r="J557" s="13">
        <f>G557-H557-I557</f>
        <v/>
      </c>
      <c r="K557">
        <f>IF(A557="","",IF(J557&lt;=IFERROR(VLOOKUP(A557,Cadastro_Produtos!$A:$E,5,FALSE),0),"ABAIXO DO MINIMO","OK"))</f>
        <v/>
      </c>
    </row>
    <row r="558">
      <c r="B558">
        <f>IFERROR(VLOOKUP(A558,Cadastro_Produtos!A:B,2,FALSE),"")</f>
        <v/>
      </c>
      <c r="D558" s="12" t="n"/>
      <c r="E558" s="13">
        <f>IF(D558="","",D558-TODAY())</f>
        <v/>
      </c>
      <c r="F558">
        <f>IF(D558="","",IF(E558&lt;0,"VENCIDO",IF(E558&lt;=30,"VENCE EM &lt;= 30 DIAS",IF(E558&lt;=60,"ATENCAO (31-60 DIAS)","OK"))))</f>
        <v/>
      </c>
      <c r="G558" s="13">
        <f>SUMIFS(Movimentacoes!$G:$G,Movimentacoes!$C:$C,$A558,Movimentacoes!$E:$E,$C558,Movimentacoes!$B:$B,"ENTRADA")</f>
        <v/>
      </c>
      <c r="H558" s="13">
        <f>SUMIFS(Movimentacoes!$G:$G,Movimentacoes!$C:$C,$A558,Movimentacoes!$E:$E,$C558,Movimentacoes!$B:$B,"SAIDA_USO")</f>
        <v/>
      </c>
      <c r="I558" s="13">
        <f>SUMIFS(Movimentacoes!$G:$G,Movimentacoes!$C:$C,$A558,Movimentacoes!$E:$E,$C558,Movimentacoes!$B:$B,"SAIDA_DESCARTE")</f>
        <v/>
      </c>
      <c r="J558" s="13">
        <f>G558-H558-I558</f>
        <v/>
      </c>
      <c r="K558">
        <f>IF(A558="","",IF(J558&lt;=IFERROR(VLOOKUP(A558,Cadastro_Produtos!$A:$E,5,FALSE),0),"ABAIXO DO MINIMO","OK"))</f>
        <v/>
      </c>
    </row>
    <row r="559">
      <c r="B559">
        <f>IFERROR(VLOOKUP(A559,Cadastro_Produtos!A:B,2,FALSE),"")</f>
        <v/>
      </c>
      <c r="D559" s="12" t="n"/>
      <c r="E559" s="13">
        <f>IF(D559="","",D559-TODAY())</f>
        <v/>
      </c>
      <c r="F559">
        <f>IF(D559="","",IF(E559&lt;0,"VENCIDO",IF(E559&lt;=30,"VENCE EM &lt;= 30 DIAS",IF(E559&lt;=60,"ATENCAO (31-60 DIAS)","OK"))))</f>
        <v/>
      </c>
      <c r="G559" s="13">
        <f>SUMIFS(Movimentacoes!$G:$G,Movimentacoes!$C:$C,$A559,Movimentacoes!$E:$E,$C559,Movimentacoes!$B:$B,"ENTRADA")</f>
        <v/>
      </c>
      <c r="H559" s="13">
        <f>SUMIFS(Movimentacoes!$G:$G,Movimentacoes!$C:$C,$A559,Movimentacoes!$E:$E,$C559,Movimentacoes!$B:$B,"SAIDA_USO")</f>
        <v/>
      </c>
      <c r="I559" s="13">
        <f>SUMIFS(Movimentacoes!$G:$G,Movimentacoes!$C:$C,$A559,Movimentacoes!$E:$E,$C559,Movimentacoes!$B:$B,"SAIDA_DESCARTE")</f>
        <v/>
      </c>
      <c r="J559" s="13">
        <f>G559-H559-I559</f>
        <v/>
      </c>
      <c r="K559">
        <f>IF(A559="","",IF(J559&lt;=IFERROR(VLOOKUP(A559,Cadastro_Produtos!$A:$E,5,FALSE),0),"ABAIXO DO MINIMO","OK"))</f>
        <v/>
      </c>
    </row>
    <row r="560">
      <c r="B560">
        <f>IFERROR(VLOOKUP(A560,Cadastro_Produtos!A:B,2,FALSE),"")</f>
        <v/>
      </c>
      <c r="D560" s="12" t="n"/>
      <c r="E560" s="13">
        <f>IF(D560="","",D560-TODAY())</f>
        <v/>
      </c>
      <c r="F560">
        <f>IF(D560="","",IF(E560&lt;0,"VENCIDO",IF(E560&lt;=30,"VENCE EM &lt;= 30 DIAS",IF(E560&lt;=60,"ATENCAO (31-60 DIAS)","OK"))))</f>
        <v/>
      </c>
      <c r="G560" s="13">
        <f>SUMIFS(Movimentacoes!$G:$G,Movimentacoes!$C:$C,$A560,Movimentacoes!$E:$E,$C560,Movimentacoes!$B:$B,"ENTRADA")</f>
        <v/>
      </c>
      <c r="H560" s="13">
        <f>SUMIFS(Movimentacoes!$G:$G,Movimentacoes!$C:$C,$A560,Movimentacoes!$E:$E,$C560,Movimentacoes!$B:$B,"SAIDA_USO")</f>
        <v/>
      </c>
      <c r="I560" s="13">
        <f>SUMIFS(Movimentacoes!$G:$G,Movimentacoes!$C:$C,$A560,Movimentacoes!$E:$E,$C560,Movimentacoes!$B:$B,"SAIDA_DESCARTE")</f>
        <v/>
      </c>
      <c r="J560" s="13">
        <f>G560-H560-I560</f>
        <v/>
      </c>
      <c r="K560">
        <f>IF(A560="","",IF(J560&lt;=IFERROR(VLOOKUP(A560,Cadastro_Produtos!$A:$E,5,FALSE),0),"ABAIXO DO MINIMO","OK"))</f>
        <v/>
      </c>
    </row>
    <row r="561">
      <c r="B561">
        <f>IFERROR(VLOOKUP(A561,Cadastro_Produtos!A:B,2,FALSE),"")</f>
        <v/>
      </c>
      <c r="D561" s="12" t="n"/>
      <c r="E561" s="13">
        <f>IF(D561="","",D561-TODAY())</f>
        <v/>
      </c>
      <c r="F561">
        <f>IF(D561="","",IF(E561&lt;0,"VENCIDO",IF(E561&lt;=30,"VENCE EM &lt;= 30 DIAS",IF(E561&lt;=60,"ATENCAO (31-60 DIAS)","OK"))))</f>
        <v/>
      </c>
      <c r="G561" s="13">
        <f>SUMIFS(Movimentacoes!$G:$G,Movimentacoes!$C:$C,$A561,Movimentacoes!$E:$E,$C561,Movimentacoes!$B:$B,"ENTRADA")</f>
        <v/>
      </c>
      <c r="H561" s="13">
        <f>SUMIFS(Movimentacoes!$G:$G,Movimentacoes!$C:$C,$A561,Movimentacoes!$E:$E,$C561,Movimentacoes!$B:$B,"SAIDA_USO")</f>
        <v/>
      </c>
      <c r="I561" s="13">
        <f>SUMIFS(Movimentacoes!$G:$G,Movimentacoes!$C:$C,$A561,Movimentacoes!$E:$E,$C561,Movimentacoes!$B:$B,"SAIDA_DESCARTE")</f>
        <v/>
      </c>
      <c r="J561" s="13">
        <f>G561-H561-I561</f>
        <v/>
      </c>
      <c r="K561">
        <f>IF(A561="","",IF(J561&lt;=IFERROR(VLOOKUP(A561,Cadastro_Produtos!$A:$E,5,FALSE),0),"ABAIXO DO MINIMO","OK"))</f>
        <v/>
      </c>
    </row>
    <row r="562">
      <c r="B562">
        <f>IFERROR(VLOOKUP(A562,Cadastro_Produtos!A:B,2,FALSE),"")</f>
        <v/>
      </c>
      <c r="D562" s="12" t="n"/>
      <c r="E562" s="13">
        <f>IF(D562="","",D562-TODAY())</f>
        <v/>
      </c>
      <c r="F562">
        <f>IF(D562="","",IF(E562&lt;0,"VENCIDO",IF(E562&lt;=30,"VENCE EM &lt;= 30 DIAS",IF(E562&lt;=60,"ATENCAO (31-60 DIAS)","OK"))))</f>
        <v/>
      </c>
      <c r="G562" s="13">
        <f>SUMIFS(Movimentacoes!$G:$G,Movimentacoes!$C:$C,$A562,Movimentacoes!$E:$E,$C562,Movimentacoes!$B:$B,"ENTRADA")</f>
        <v/>
      </c>
      <c r="H562" s="13">
        <f>SUMIFS(Movimentacoes!$G:$G,Movimentacoes!$C:$C,$A562,Movimentacoes!$E:$E,$C562,Movimentacoes!$B:$B,"SAIDA_USO")</f>
        <v/>
      </c>
      <c r="I562" s="13">
        <f>SUMIFS(Movimentacoes!$G:$G,Movimentacoes!$C:$C,$A562,Movimentacoes!$E:$E,$C562,Movimentacoes!$B:$B,"SAIDA_DESCARTE")</f>
        <v/>
      </c>
      <c r="J562" s="13">
        <f>G562-H562-I562</f>
        <v/>
      </c>
      <c r="K562">
        <f>IF(A562="","",IF(J562&lt;=IFERROR(VLOOKUP(A562,Cadastro_Produtos!$A:$E,5,FALSE),0),"ABAIXO DO MINIMO","OK"))</f>
        <v/>
      </c>
    </row>
    <row r="563">
      <c r="B563">
        <f>IFERROR(VLOOKUP(A563,Cadastro_Produtos!A:B,2,FALSE),"")</f>
        <v/>
      </c>
      <c r="D563" s="12" t="n"/>
      <c r="E563" s="13">
        <f>IF(D563="","",D563-TODAY())</f>
        <v/>
      </c>
      <c r="F563">
        <f>IF(D563="","",IF(E563&lt;0,"VENCIDO",IF(E563&lt;=30,"VENCE EM &lt;= 30 DIAS",IF(E563&lt;=60,"ATENCAO (31-60 DIAS)","OK"))))</f>
        <v/>
      </c>
      <c r="G563" s="13">
        <f>SUMIFS(Movimentacoes!$G:$G,Movimentacoes!$C:$C,$A563,Movimentacoes!$E:$E,$C563,Movimentacoes!$B:$B,"ENTRADA")</f>
        <v/>
      </c>
      <c r="H563" s="13">
        <f>SUMIFS(Movimentacoes!$G:$G,Movimentacoes!$C:$C,$A563,Movimentacoes!$E:$E,$C563,Movimentacoes!$B:$B,"SAIDA_USO")</f>
        <v/>
      </c>
      <c r="I563" s="13">
        <f>SUMIFS(Movimentacoes!$G:$G,Movimentacoes!$C:$C,$A563,Movimentacoes!$E:$E,$C563,Movimentacoes!$B:$B,"SAIDA_DESCARTE")</f>
        <v/>
      </c>
      <c r="J563" s="13">
        <f>G563-H563-I563</f>
        <v/>
      </c>
      <c r="K563">
        <f>IF(A563="","",IF(J563&lt;=IFERROR(VLOOKUP(A563,Cadastro_Produtos!$A:$E,5,FALSE),0),"ABAIXO DO MINIMO","OK"))</f>
        <v/>
      </c>
    </row>
    <row r="564">
      <c r="B564">
        <f>IFERROR(VLOOKUP(A564,Cadastro_Produtos!A:B,2,FALSE),"")</f>
        <v/>
      </c>
      <c r="D564" s="12" t="n"/>
      <c r="E564" s="13">
        <f>IF(D564="","",D564-TODAY())</f>
        <v/>
      </c>
      <c r="F564">
        <f>IF(D564="","",IF(E564&lt;0,"VENCIDO",IF(E564&lt;=30,"VENCE EM &lt;= 30 DIAS",IF(E564&lt;=60,"ATENCAO (31-60 DIAS)","OK"))))</f>
        <v/>
      </c>
      <c r="G564" s="13">
        <f>SUMIFS(Movimentacoes!$G:$G,Movimentacoes!$C:$C,$A564,Movimentacoes!$E:$E,$C564,Movimentacoes!$B:$B,"ENTRADA")</f>
        <v/>
      </c>
      <c r="H564" s="13">
        <f>SUMIFS(Movimentacoes!$G:$G,Movimentacoes!$C:$C,$A564,Movimentacoes!$E:$E,$C564,Movimentacoes!$B:$B,"SAIDA_USO")</f>
        <v/>
      </c>
      <c r="I564" s="13">
        <f>SUMIFS(Movimentacoes!$G:$G,Movimentacoes!$C:$C,$A564,Movimentacoes!$E:$E,$C564,Movimentacoes!$B:$B,"SAIDA_DESCARTE")</f>
        <v/>
      </c>
      <c r="J564" s="13">
        <f>G564-H564-I564</f>
        <v/>
      </c>
      <c r="K564">
        <f>IF(A564="","",IF(J564&lt;=IFERROR(VLOOKUP(A564,Cadastro_Produtos!$A:$E,5,FALSE),0),"ABAIXO DO MINIMO","OK"))</f>
        <v/>
      </c>
    </row>
    <row r="565">
      <c r="B565">
        <f>IFERROR(VLOOKUP(A565,Cadastro_Produtos!A:B,2,FALSE),"")</f>
        <v/>
      </c>
      <c r="D565" s="12" t="n"/>
      <c r="E565" s="13">
        <f>IF(D565="","",D565-TODAY())</f>
        <v/>
      </c>
      <c r="F565">
        <f>IF(D565="","",IF(E565&lt;0,"VENCIDO",IF(E565&lt;=30,"VENCE EM &lt;= 30 DIAS",IF(E565&lt;=60,"ATENCAO (31-60 DIAS)","OK"))))</f>
        <v/>
      </c>
      <c r="G565" s="13">
        <f>SUMIFS(Movimentacoes!$G:$G,Movimentacoes!$C:$C,$A565,Movimentacoes!$E:$E,$C565,Movimentacoes!$B:$B,"ENTRADA")</f>
        <v/>
      </c>
      <c r="H565" s="13">
        <f>SUMIFS(Movimentacoes!$G:$G,Movimentacoes!$C:$C,$A565,Movimentacoes!$E:$E,$C565,Movimentacoes!$B:$B,"SAIDA_USO")</f>
        <v/>
      </c>
      <c r="I565" s="13">
        <f>SUMIFS(Movimentacoes!$G:$G,Movimentacoes!$C:$C,$A565,Movimentacoes!$E:$E,$C565,Movimentacoes!$B:$B,"SAIDA_DESCARTE")</f>
        <v/>
      </c>
      <c r="J565" s="13">
        <f>G565-H565-I565</f>
        <v/>
      </c>
      <c r="K565">
        <f>IF(A565="","",IF(J565&lt;=IFERROR(VLOOKUP(A565,Cadastro_Produtos!$A:$E,5,FALSE),0),"ABAIXO DO MINIMO","OK"))</f>
        <v/>
      </c>
    </row>
    <row r="566">
      <c r="B566">
        <f>IFERROR(VLOOKUP(A566,Cadastro_Produtos!A:B,2,FALSE),"")</f>
        <v/>
      </c>
      <c r="D566" s="12" t="n"/>
      <c r="E566" s="13">
        <f>IF(D566="","",D566-TODAY())</f>
        <v/>
      </c>
      <c r="F566">
        <f>IF(D566="","",IF(E566&lt;0,"VENCIDO",IF(E566&lt;=30,"VENCE EM &lt;= 30 DIAS",IF(E566&lt;=60,"ATENCAO (31-60 DIAS)","OK"))))</f>
        <v/>
      </c>
      <c r="G566" s="13">
        <f>SUMIFS(Movimentacoes!$G:$G,Movimentacoes!$C:$C,$A566,Movimentacoes!$E:$E,$C566,Movimentacoes!$B:$B,"ENTRADA")</f>
        <v/>
      </c>
      <c r="H566" s="13">
        <f>SUMIFS(Movimentacoes!$G:$G,Movimentacoes!$C:$C,$A566,Movimentacoes!$E:$E,$C566,Movimentacoes!$B:$B,"SAIDA_USO")</f>
        <v/>
      </c>
      <c r="I566" s="13">
        <f>SUMIFS(Movimentacoes!$G:$G,Movimentacoes!$C:$C,$A566,Movimentacoes!$E:$E,$C566,Movimentacoes!$B:$B,"SAIDA_DESCARTE")</f>
        <v/>
      </c>
      <c r="J566" s="13">
        <f>G566-H566-I566</f>
        <v/>
      </c>
      <c r="K566">
        <f>IF(A566="","",IF(J566&lt;=IFERROR(VLOOKUP(A566,Cadastro_Produtos!$A:$E,5,FALSE),0),"ABAIXO DO MINIMO","OK"))</f>
        <v/>
      </c>
    </row>
    <row r="567">
      <c r="B567">
        <f>IFERROR(VLOOKUP(A567,Cadastro_Produtos!A:B,2,FALSE),"")</f>
        <v/>
      </c>
      <c r="D567" s="12" t="n"/>
      <c r="E567" s="13">
        <f>IF(D567="","",D567-TODAY())</f>
        <v/>
      </c>
      <c r="F567">
        <f>IF(D567="","",IF(E567&lt;0,"VENCIDO",IF(E567&lt;=30,"VENCE EM &lt;= 30 DIAS",IF(E567&lt;=60,"ATENCAO (31-60 DIAS)","OK"))))</f>
        <v/>
      </c>
      <c r="G567" s="13">
        <f>SUMIFS(Movimentacoes!$G:$G,Movimentacoes!$C:$C,$A567,Movimentacoes!$E:$E,$C567,Movimentacoes!$B:$B,"ENTRADA")</f>
        <v/>
      </c>
      <c r="H567" s="13">
        <f>SUMIFS(Movimentacoes!$G:$G,Movimentacoes!$C:$C,$A567,Movimentacoes!$E:$E,$C567,Movimentacoes!$B:$B,"SAIDA_USO")</f>
        <v/>
      </c>
      <c r="I567" s="13">
        <f>SUMIFS(Movimentacoes!$G:$G,Movimentacoes!$C:$C,$A567,Movimentacoes!$E:$E,$C567,Movimentacoes!$B:$B,"SAIDA_DESCARTE")</f>
        <v/>
      </c>
      <c r="J567" s="13">
        <f>G567-H567-I567</f>
        <v/>
      </c>
      <c r="K567">
        <f>IF(A567="","",IF(J567&lt;=IFERROR(VLOOKUP(A567,Cadastro_Produtos!$A:$E,5,FALSE),0),"ABAIXO DO MINIMO","OK"))</f>
        <v/>
      </c>
    </row>
    <row r="568">
      <c r="B568">
        <f>IFERROR(VLOOKUP(A568,Cadastro_Produtos!A:B,2,FALSE),"")</f>
        <v/>
      </c>
      <c r="D568" s="12" t="n"/>
      <c r="E568" s="13">
        <f>IF(D568="","",D568-TODAY())</f>
        <v/>
      </c>
      <c r="F568">
        <f>IF(D568="","",IF(E568&lt;0,"VENCIDO",IF(E568&lt;=30,"VENCE EM &lt;= 30 DIAS",IF(E568&lt;=60,"ATENCAO (31-60 DIAS)","OK"))))</f>
        <v/>
      </c>
      <c r="G568" s="13">
        <f>SUMIFS(Movimentacoes!$G:$G,Movimentacoes!$C:$C,$A568,Movimentacoes!$E:$E,$C568,Movimentacoes!$B:$B,"ENTRADA")</f>
        <v/>
      </c>
      <c r="H568" s="13">
        <f>SUMIFS(Movimentacoes!$G:$G,Movimentacoes!$C:$C,$A568,Movimentacoes!$E:$E,$C568,Movimentacoes!$B:$B,"SAIDA_USO")</f>
        <v/>
      </c>
      <c r="I568" s="13">
        <f>SUMIFS(Movimentacoes!$G:$G,Movimentacoes!$C:$C,$A568,Movimentacoes!$E:$E,$C568,Movimentacoes!$B:$B,"SAIDA_DESCARTE")</f>
        <v/>
      </c>
      <c r="J568" s="13">
        <f>G568-H568-I568</f>
        <v/>
      </c>
      <c r="K568">
        <f>IF(A568="","",IF(J568&lt;=IFERROR(VLOOKUP(A568,Cadastro_Produtos!$A:$E,5,FALSE),0),"ABAIXO DO MINIMO","OK"))</f>
        <v/>
      </c>
    </row>
    <row r="569">
      <c r="B569">
        <f>IFERROR(VLOOKUP(A569,Cadastro_Produtos!A:B,2,FALSE),"")</f>
        <v/>
      </c>
      <c r="D569" s="12" t="n"/>
      <c r="E569" s="13">
        <f>IF(D569="","",D569-TODAY())</f>
        <v/>
      </c>
      <c r="F569">
        <f>IF(D569="","",IF(E569&lt;0,"VENCIDO",IF(E569&lt;=30,"VENCE EM &lt;= 30 DIAS",IF(E569&lt;=60,"ATENCAO (31-60 DIAS)","OK"))))</f>
        <v/>
      </c>
      <c r="G569" s="13">
        <f>SUMIFS(Movimentacoes!$G:$G,Movimentacoes!$C:$C,$A569,Movimentacoes!$E:$E,$C569,Movimentacoes!$B:$B,"ENTRADA")</f>
        <v/>
      </c>
      <c r="H569" s="13">
        <f>SUMIFS(Movimentacoes!$G:$G,Movimentacoes!$C:$C,$A569,Movimentacoes!$E:$E,$C569,Movimentacoes!$B:$B,"SAIDA_USO")</f>
        <v/>
      </c>
      <c r="I569" s="13">
        <f>SUMIFS(Movimentacoes!$G:$G,Movimentacoes!$C:$C,$A569,Movimentacoes!$E:$E,$C569,Movimentacoes!$B:$B,"SAIDA_DESCARTE")</f>
        <v/>
      </c>
      <c r="J569" s="13">
        <f>G569-H569-I569</f>
        <v/>
      </c>
      <c r="K569">
        <f>IF(A569="","",IF(J569&lt;=IFERROR(VLOOKUP(A569,Cadastro_Produtos!$A:$E,5,FALSE),0),"ABAIXO DO MINIMO","OK"))</f>
        <v/>
      </c>
    </row>
    <row r="570">
      <c r="B570">
        <f>IFERROR(VLOOKUP(A570,Cadastro_Produtos!A:B,2,FALSE),"")</f>
        <v/>
      </c>
      <c r="D570" s="12" t="n"/>
      <c r="E570" s="13">
        <f>IF(D570="","",D570-TODAY())</f>
        <v/>
      </c>
      <c r="F570">
        <f>IF(D570="","",IF(E570&lt;0,"VENCIDO",IF(E570&lt;=30,"VENCE EM &lt;= 30 DIAS",IF(E570&lt;=60,"ATENCAO (31-60 DIAS)","OK"))))</f>
        <v/>
      </c>
      <c r="G570" s="13">
        <f>SUMIFS(Movimentacoes!$G:$G,Movimentacoes!$C:$C,$A570,Movimentacoes!$E:$E,$C570,Movimentacoes!$B:$B,"ENTRADA")</f>
        <v/>
      </c>
      <c r="H570" s="13">
        <f>SUMIFS(Movimentacoes!$G:$G,Movimentacoes!$C:$C,$A570,Movimentacoes!$E:$E,$C570,Movimentacoes!$B:$B,"SAIDA_USO")</f>
        <v/>
      </c>
      <c r="I570" s="13">
        <f>SUMIFS(Movimentacoes!$G:$G,Movimentacoes!$C:$C,$A570,Movimentacoes!$E:$E,$C570,Movimentacoes!$B:$B,"SAIDA_DESCARTE")</f>
        <v/>
      </c>
      <c r="J570" s="13">
        <f>G570-H570-I570</f>
        <v/>
      </c>
      <c r="K570">
        <f>IF(A570="","",IF(J570&lt;=IFERROR(VLOOKUP(A570,Cadastro_Produtos!$A:$E,5,FALSE),0),"ABAIXO DO MINIMO","OK"))</f>
        <v/>
      </c>
    </row>
    <row r="571">
      <c r="B571">
        <f>IFERROR(VLOOKUP(A571,Cadastro_Produtos!A:B,2,FALSE),"")</f>
        <v/>
      </c>
      <c r="D571" s="12" t="n"/>
      <c r="E571" s="13">
        <f>IF(D571="","",D571-TODAY())</f>
        <v/>
      </c>
      <c r="F571">
        <f>IF(D571="","",IF(E571&lt;0,"VENCIDO",IF(E571&lt;=30,"VENCE EM &lt;= 30 DIAS",IF(E571&lt;=60,"ATENCAO (31-60 DIAS)","OK"))))</f>
        <v/>
      </c>
      <c r="G571" s="13">
        <f>SUMIFS(Movimentacoes!$G:$G,Movimentacoes!$C:$C,$A571,Movimentacoes!$E:$E,$C571,Movimentacoes!$B:$B,"ENTRADA")</f>
        <v/>
      </c>
      <c r="H571" s="13">
        <f>SUMIFS(Movimentacoes!$G:$G,Movimentacoes!$C:$C,$A571,Movimentacoes!$E:$E,$C571,Movimentacoes!$B:$B,"SAIDA_USO")</f>
        <v/>
      </c>
      <c r="I571" s="13">
        <f>SUMIFS(Movimentacoes!$G:$G,Movimentacoes!$C:$C,$A571,Movimentacoes!$E:$E,$C571,Movimentacoes!$B:$B,"SAIDA_DESCARTE")</f>
        <v/>
      </c>
      <c r="J571" s="13">
        <f>G571-H571-I571</f>
        <v/>
      </c>
      <c r="K571">
        <f>IF(A571="","",IF(J571&lt;=IFERROR(VLOOKUP(A571,Cadastro_Produtos!$A:$E,5,FALSE),0),"ABAIXO DO MINIMO","OK"))</f>
        <v/>
      </c>
    </row>
    <row r="572">
      <c r="B572">
        <f>IFERROR(VLOOKUP(A572,Cadastro_Produtos!A:B,2,FALSE),"")</f>
        <v/>
      </c>
      <c r="D572" s="12" t="n"/>
      <c r="E572" s="13">
        <f>IF(D572="","",D572-TODAY())</f>
        <v/>
      </c>
      <c r="F572">
        <f>IF(D572="","",IF(E572&lt;0,"VENCIDO",IF(E572&lt;=30,"VENCE EM &lt;= 30 DIAS",IF(E572&lt;=60,"ATENCAO (31-60 DIAS)","OK"))))</f>
        <v/>
      </c>
      <c r="G572" s="13">
        <f>SUMIFS(Movimentacoes!$G:$G,Movimentacoes!$C:$C,$A572,Movimentacoes!$E:$E,$C572,Movimentacoes!$B:$B,"ENTRADA")</f>
        <v/>
      </c>
      <c r="H572" s="13">
        <f>SUMIFS(Movimentacoes!$G:$G,Movimentacoes!$C:$C,$A572,Movimentacoes!$E:$E,$C572,Movimentacoes!$B:$B,"SAIDA_USO")</f>
        <v/>
      </c>
      <c r="I572" s="13">
        <f>SUMIFS(Movimentacoes!$G:$G,Movimentacoes!$C:$C,$A572,Movimentacoes!$E:$E,$C572,Movimentacoes!$B:$B,"SAIDA_DESCARTE")</f>
        <v/>
      </c>
      <c r="J572" s="13">
        <f>G572-H572-I572</f>
        <v/>
      </c>
      <c r="K572">
        <f>IF(A572="","",IF(J572&lt;=IFERROR(VLOOKUP(A572,Cadastro_Produtos!$A:$E,5,FALSE),0),"ABAIXO DO MINIMO","OK"))</f>
        <v/>
      </c>
    </row>
    <row r="573">
      <c r="B573">
        <f>IFERROR(VLOOKUP(A573,Cadastro_Produtos!A:B,2,FALSE),"")</f>
        <v/>
      </c>
      <c r="D573" s="12" t="n"/>
      <c r="E573" s="13">
        <f>IF(D573="","",D573-TODAY())</f>
        <v/>
      </c>
      <c r="F573">
        <f>IF(D573="","",IF(E573&lt;0,"VENCIDO",IF(E573&lt;=30,"VENCE EM &lt;= 30 DIAS",IF(E573&lt;=60,"ATENCAO (31-60 DIAS)","OK"))))</f>
        <v/>
      </c>
      <c r="G573" s="13">
        <f>SUMIFS(Movimentacoes!$G:$G,Movimentacoes!$C:$C,$A573,Movimentacoes!$E:$E,$C573,Movimentacoes!$B:$B,"ENTRADA")</f>
        <v/>
      </c>
      <c r="H573" s="13">
        <f>SUMIFS(Movimentacoes!$G:$G,Movimentacoes!$C:$C,$A573,Movimentacoes!$E:$E,$C573,Movimentacoes!$B:$B,"SAIDA_USO")</f>
        <v/>
      </c>
      <c r="I573" s="13">
        <f>SUMIFS(Movimentacoes!$G:$G,Movimentacoes!$C:$C,$A573,Movimentacoes!$E:$E,$C573,Movimentacoes!$B:$B,"SAIDA_DESCARTE")</f>
        <v/>
      </c>
      <c r="J573" s="13">
        <f>G573-H573-I573</f>
        <v/>
      </c>
      <c r="K573">
        <f>IF(A573="","",IF(J573&lt;=IFERROR(VLOOKUP(A573,Cadastro_Produtos!$A:$E,5,FALSE),0),"ABAIXO DO MINIMO","OK"))</f>
        <v/>
      </c>
    </row>
    <row r="574">
      <c r="B574">
        <f>IFERROR(VLOOKUP(A574,Cadastro_Produtos!A:B,2,FALSE),"")</f>
        <v/>
      </c>
      <c r="D574" s="12" t="n"/>
      <c r="E574" s="13">
        <f>IF(D574="","",D574-TODAY())</f>
        <v/>
      </c>
      <c r="F574">
        <f>IF(D574="","",IF(E574&lt;0,"VENCIDO",IF(E574&lt;=30,"VENCE EM &lt;= 30 DIAS",IF(E574&lt;=60,"ATENCAO (31-60 DIAS)","OK"))))</f>
        <v/>
      </c>
      <c r="G574" s="13">
        <f>SUMIFS(Movimentacoes!$G:$G,Movimentacoes!$C:$C,$A574,Movimentacoes!$E:$E,$C574,Movimentacoes!$B:$B,"ENTRADA")</f>
        <v/>
      </c>
      <c r="H574" s="13">
        <f>SUMIFS(Movimentacoes!$G:$G,Movimentacoes!$C:$C,$A574,Movimentacoes!$E:$E,$C574,Movimentacoes!$B:$B,"SAIDA_USO")</f>
        <v/>
      </c>
      <c r="I574" s="13">
        <f>SUMIFS(Movimentacoes!$G:$G,Movimentacoes!$C:$C,$A574,Movimentacoes!$E:$E,$C574,Movimentacoes!$B:$B,"SAIDA_DESCARTE")</f>
        <v/>
      </c>
      <c r="J574" s="13">
        <f>G574-H574-I574</f>
        <v/>
      </c>
      <c r="K574">
        <f>IF(A574="","",IF(J574&lt;=IFERROR(VLOOKUP(A574,Cadastro_Produtos!$A:$E,5,FALSE),0),"ABAIXO DO MINIMO","OK"))</f>
        <v/>
      </c>
    </row>
    <row r="575">
      <c r="B575">
        <f>IFERROR(VLOOKUP(A575,Cadastro_Produtos!A:B,2,FALSE),"")</f>
        <v/>
      </c>
      <c r="D575" s="12" t="n"/>
      <c r="E575" s="13">
        <f>IF(D575="","",D575-TODAY())</f>
        <v/>
      </c>
      <c r="F575">
        <f>IF(D575="","",IF(E575&lt;0,"VENCIDO",IF(E575&lt;=30,"VENCE EM &lt;= 30 DIAS",IF(E575&lt;=60,"ATENCAO (31-60 DIAS)","OK"))))</f>
        <v/>
      </c>
      <c r="G575" s="13">
        <f>SUMIFS(Movimentacoes!$G:$G,Movimentacoes!$C:$C,$A575,Movimentacoes!$E:$E,$C575,Movimentacoes!$B:$B,"ENTRADA")</f>
        <v/>
      </c>
      <c r="H575" s="13">
        <f>SUMIFS(Movimentacoes!$G:$G,Movimentacoes!$C:$C,$A575,Movimentacoes!$E:$E,$C575,Movimentacoes!$B:$B,"SAIDA_USO")</f>
        <v/>
      </c>
      <c r="I575" s="13">
        <f>SUMIFS(Movimentacoes!$G:$G,Movimentacoes!$C:$C,$A575,Movimentacoes!$E:$E,$C575,Movimentacoes!$B:$B,"SAIDA_DESCARTE")</f>
        <v/>
      </c>
      <c r="J575" s="13">
        <f>G575-H575-I575</f>
        <v/>
      </c>
      <c r="K575">
        <f>IF(A575="","",IF(J575&lt;=IFERROR(VLOOKUP(A575,Cadastro_Produtos!$A:$E,5,FALSE),0),"ABAIXO DO MINIMO","OK"))</f>
        <v/>
      </c>
    </row>
    <row r="576">
      <c r="B576">
        <f>IFERROR(VLOOKUP(A576,Cadastro_Produtos!A:B,2,FALSE),"")</f>
        <v/>
      </c>
      <c r="D576" s="12" t="n"/>
      <c r="E576" s="13">
        <f>IF(D576="","",D576-TODAY())</f>
        <v/>
      </c>
      <c r="F576">
        <f>IF(D576="","",IF(E576&lt;0,"VENCIDO",IF(E576&lt;=30,"VENCE EM &lt;= 30 DIAS",IF(E576&lt;=60,"ATENCAO (31-60 DIAS)","OK"))))</f>
        <v/>
      </c>
      <c r="G576" s="13">
        <f>SUMIFS(Movimentacoes!$G:$G,Movimentacoes!$C:$C,$A576,Movimentacoes!$E:$E,$C576,Movimentacoes!$B:$B,"ENTRADA")</f>
        <v/>
      </c>
      <c r="H576" s="13">
        <f>SUMIFS(Movimentacoes!$G:$G,Movimentacoes!$C:$C,$A576,Movimentacoes!$E:$E,$C576,Movimentacoes!$B:$B,"SAIDA_USO")</f>
        <v/>
      </c>
      <c r="I576" s="13">
        <f>SUMIFS(Movimentacoes!$G:$G,Movimentacoes!$C:$C,$A576,Movimentacoes!$E:$E,$C576,Movimentacoes!$B:$B,"SAIDA_DESCARTE")</f>
        <v/>
      </c>
      <c r="J576" s="13">
        <f>G576-H576-I576</f>
        <v/>
      </c>
      <c r="K576">
        <f>IF(A576="","",IF(J576&lt;=IFERROR(VLOOKUP(A576,Cadastro_Produtos!$A:$E,5,FALSE),0),"ABAIXO DO MINIMO","OK"))</f>
        <v/>
      </c>
    </row>
    <row r="577">
      <c r="B577">
        <f>IFERROR(VLOOKUP(A577,Cadastro_Produtos!A:B,2,FALSE),"")</f>
        <v/>
      </c>
      <c r="D577" s="12" t="n"/>
      <c r="E577" s="13">
        <f>IF(D577="","",D577-TODAY())</f>
        <v/>
      </c>
      <c r="F577">
        <f>IF(D577="","",IF(E577&lt;0,"VENCIDO",IF(E577&lt;=30,"VENCE EM &lt;= 30 DIAS",IF(E577&lt;=60,"ATENCAO (31-60 DIAS)","OK"))))</f>
        <v/>
      </c>
      <c r="G577" s="13">
        <f>SUMIFS(Movimentacoes!$G:$G,Movimentacoes!$C:$C,$A577,Movimentacoes!$E:$E,$C577,Movimentacoes!$B:$B,"ENTRADA")</f>
        <v/>
      </c>
      <c r="H577" s="13">
        <f>SUMIFS(Movimentacoes!$G:$G,Movimentacoes!$C:$C,$A577,Movimentacoes!$E:$E,$C577,Movimentacoes!$B:$B,"SAIDA_USO")</f>
        <v/>
      </c>
      <c r="I577" s="13">
        <f>SUMIFS(Movimentacoes!$G:$G,Movimentacoes!$C:$C,$A577,Movimentacoes!$E:$E,$C577,Movimentacoes!$B:$B,"SAIDA_DESCARTE")</f>
        <v/>
      </c>
      <c r="J577" s="13">
        <f>G577-H577-I577</f>
        <v/>
      </c>
      <c r="K577">
        <f>IF(A577="","",IF(J577&lt;=IFERROR(VLOOKUP(A577,Cadastro_Produtos!$A:$E,5,FALSE),0),"ABAIXO DO MINIMO","OK"))</f>
        <v/>
      </c>
    </row>
    <row r="578">
      <c r="B578">
        <f>IFERROR(VLOOKUP(A578,Cadastro_Produtos!A:B,2,FALSE),"")</f>
        <v/>
      </c>
      <c r="D578" s="12" t="n"/>
      <c r="E578" s="13">
        <f>IF(D578="","",D578-TODAY())</f>
        <v/>
      </c>
      <c r="F578">
        <f>IF(D578="","",IF(E578&lt;0,"VENCIDO",IF(E578&lt;=30,"VENCE EM &lt;= 30 DIAS",IF(E578&lt;=60,"ATENCAO (31-60 DIAS)","OK"))))</f>
        <v/>
      </c>
      <c r="G578" s="13">
        <f>SUMIFS(Movimentacoes!$G:$G,Movimentacoes!$C:$C,$A578,Movimentacoes!$E:$E,$C578,Movimentacoes!$B:$B,"ENTRADA")</f>
        <v/>
      </c>
      <c r="H578" s="13">
        <f>SUMIFS(Movimentacoes!$G:$G,Movimentacoes!$C:$C,$A578,Movimentacoes!$E:$E,$C578,Movimentacoes!$B:$B,"SAIDA_USO")</f>
        <v/>
      </c>
      <c r="I578" s="13">
        <f>SUMIFS(Movimentacoes!$G:$G,Movimentacoes!$C:$C,$A578,Movimentacoes!$E:$E,$C578,Movimentacoes!$B:$B,"SAIDA_DESCARTE")</f>
        <v/>
      </c>
      <c r="J578" s="13">
        <f>G578-H578-I578</f>
        <v/>
      </c>
      <c r="K578">
        <f>IF(A578="","",IF(J578&lt;=IFERROR(VLOOKUP(A578,Cadastro_Produtos!$A:$E,5,FALSE),0),"ABAIXO DO MINIMO","OK"))</f>
        <v/>
      </c>
    </row>
    <row r="579">
      <c r="B579">
        <f>IFERROR(VLOOKUP(A579,Cadastro_Produtos!A:B,2,FALSE),"")</f>
        <v/>
      </c>
      <c r="D579" s="12" t="n"/>
      <c r="E579" s="13">
        <f>IF(D579="","",D579-TODAY())</f>
        <v/>
      </c>
      <c r="F579">
        <f>IF(D579="","",IF(E579&lt;0,"VENCIDO",IF(E579&lt;=30,"VENCE EM &lt;= 30 DIAS",IF(E579&lt;=60,"ATENCAO (31-60 DIAS)","OK"))))</f>
        <v/>
      </c>
      <c r="G579" s="13">
        <f>SUMIFS(Movimentacoes!$G:$G,Movimentacoes!$C:$C,$A579,Movimentacoes!$E:$E,$C579,Movimentacoes!$B:$B,"ENTRADA")</f>
        <v/>
      </c>
      <c r="H579" s="13">
        <f>SUMIFS(Movimentacoes!$G:$G,Movimentacoes!$C:$C,$A579,Movimentacoes!$E:$E,$C579,Movimentacoes!$B:$B,"SAIDA_USO")</f>
        <v/>
      </c>
      <c r="I579" s="13">
        <f>SUMIFS(Movimentacoes!$G:$G,Movimentacoes!$C:$C,$A579,Movimentacoes!$E:$E,$C579,Movimentacoes!$B:$B,"SAIDA_DESCARTE")</f>
        <v/>
      </c>
      <c r="J579" s="13">
        <f>G579-H579-I579</f>
        <v/>
      </c>
      <c r="K579">
        <f>IF(A579="","",IF(J579&lt;=IFERROR(VLOOKUP(A579,Cadastro_Produtos!$A:$E,5,FALSE),0),"ABAIXO DO MINIMO","OK"))</f>
        <v/>
      </c>
    </row>
    <row r="580">
      <c r="B580">
        <f>IFERROR(VLOOKUP(A580,Cadastro_Produtos!A:B,2,FALSE),"")</f>
        <v/>
      </c>
      <c r="D580" s="12" t="n"/>
      <c r="E580" s="13">
        <f>IF(D580="","",D580-TODAY())</f>
        <v/>
      </c>
      <c r="F580">
        <f>IF(D580="","",IF(E580&lt;0,"VENCIDO",IF(E580&lt;=30,"VENCE EM &lt;= 30 DIAS",IF(E580&lt;=60,"ATENCAO (31-60 DIAS)","OK"))))</f>
        <v/>
      </c>
      <c r="G580" s="13">
        <f>SUMIFS(Movimentacoes!$G:$G,Movimentacoes!$C:$C,$A580,Movimentacoes!$E:$E,$C580,Movimentacoes!$B:$B,"ENTRADA")</f>
        <v/>
      </c>
      <c r="H580" s="13">
        <f>SUMIFS(Movimentacoes!$G:$G,Movimentacoes!$C:$C,$A580,Movimentacoes!$E:$E,$C580,Movimentacoes!$B:$B,"SAIDA_USO")</f>
        <v/>
      </c>
      <c r="I580" s="13">
        <f>SUMIFS(Movimentacoes!$G:$G,Movimentacoes!$C:$C,$A580,Movimentacoes!$E:$E,$C580,Movimentacoes!$B:$B,"SAIDA_DESCARTE")</f>
        <v/>
      </c>
      <c r="J580" s="13">
        <f>G580-H580-I580</f>
        <v/>
      </c>
      <c r="K580">
        <f>IF(A580="","",IF(J580&lt;=IFERROR(VLOOKUP(A580,Cadastro_Produtos!$A:$E,5,FALSE),0),"ABAIXO DO MINIMO","OK"))</f>
        <v/>
      </c>
    </row>
    <row r="581">
      <c r="B581">
        <f>IFERROR(VLOOKUP(A581,Cadastro_Produtos!A:B,2,FALSE),"")</f>
        <v/>
      </c>
      <c r="D581" s="12" t="n"/>
      <c r="E581" s="13">
        <f>IF(D581="","",D581-TODAY())</f>
        <v/>
      </c>
      <c r="F581">
        <f>IF(D581="","",IF(E581&lt;0,"VENCIDO",IF(E581&lt;=30,"VENCE EM &lt;= 30 DIAS",IF(E581&lt;=60,"ATENCAO (31-60 DIAS)","OK"))))</f>
        <v/>
      </c>
      <c r="G581" s="13">
        <f>SUMIFS(Movimentacoes!$G:$G,Movimentacoes!$C:$C,$A581,Movimentacoes!$E:$E,$C581,Movimentacoes!$B:$B,"ENTRADA")</f>
        <v/>
      </c>
      <c r="H581" s="13">
        <f>SUMIFS(Movimentacoes!$G:$G,Movimentacoes!$C:$C,$A581,Movimentacoes!$E:$E,$C581,Movimentacoes!$B:$B,"SAIDA_USO")</f>
        <v/>
      </c>
      <c r="I581" s="13">
        <f>SUMIFS(Movimentacoes!$G:$G,Movimentacoes!$C:$C,$A581,Movimentacoes!$E:$E,$C581,Movimentacoes!$B:$B,"SAIDA_DESCARTE")</f>
        <v/>
      </c>
      <c r="J581" s="13">
        <f>G581-H581-I581</f>
        <v/>
      </c>
      <c r="K581">
        <f>IF(A581="","",IF(J581&lt;=IFERROR(VLOOKUP(A581,Cadastro_Produtos!$A:$E,5,FALSE),0),"ABAIXO DO MINIMO","OK"))</f>
        <v/>
      </c>
    </row>
    <row r="582">
      <c r="B582">
        <f>IFERROR(VLOOKUP(A582,Cadastro_Produtos!A:B,2,FALSE),"")</f>
        <v/>
      </c>
      <c r="D582" s="12" t="n"/>
      <c r="E582" s="13">
        <f>IF(D582="","",D582-TODAY())</f>
        <v/>
      </c>
      <c r="F582">
        <f>IF(D582="","",IF(E582&lt;0,"VENCIDO",IF(E582&lt;=30,"VENCE EM &lt;= 30 DIAS",IF(E582&lt;=60,"ATENCAO (31-60 DIAS)","OK"))))</f>
        <v/>
      </c>
      <c r="G582" s="13">
        <f>SUMIFS(Movimentacoes!$G:$G,Movimentacoes!$C:$C,$A582,Movimentacoes!$E:$E,$C582,Movimentacoes!$B:$B,"ENTRADA")</f>
        <v/>
      </c>
      <c r="H582" s="13">
        <f>SUMIFS(Movimentacoes!$G:$G,Movimentacoes!$C:$C,$A582,Movimentacoes!$E:$E,$C582,Movimentacoes!$B:$B,"SAIDA_USO")</f>
        <v/>
      </c>
      <c r="I582" s="13">
        <f>SUMIFS(Movimentacoes!$G:$G,Movimentacoes!$C:$C,$A582,Movimentacoes!$E:$E,$C582,Movimentacoes!$B:$B,"SAIDA_DESCARTE")</f>
        <v/>
      </c>
      <c r="J582" s="13">
        <f>G582-H582-I582</f>
        <v/>
      </c>
      <c r="K582">
        <f>IF(A582="","",IF(J582&lt;=IFERROR(VLOOKUP(A582,Cadastro_Produtos!$A:$E,5,FALSE),0),"ABAIXO DO MINIMO","OK"))</f>
        <v/>
      </c>
    </row>
    <row r="583">
      <c r="B583">
        <f>IFERROR(VLOOKUP(A583,Cadastro_Produtos!A:B,2,FALSE),"")</f>
        <v/>
      </c>
      <c r="D583" s="12" t="n"/>
      <c r="E583" s="13">
        <f>IF(D583="","",D583-TODAY())</f>
        <v/>
      </c>
      <c r="F583">
        <f>IF(D583="","",IF(E583&lt;0,"VENCIDO",IF(E583&lt;=30,"VENCE EM &lt;= 30 DIAS",IF(E583&lt;=60,"ATENCAO (31-60 DIAS)","OK"))))</f>
        <v/>
      </c>
      <c r="G583" s="13">
        <f>SUMIFS(Movimentacoes!$G:$G,Movimentacoes!$C:$C,$A583,Movimentacoes!$E:$E,$C583,Movimentacoes!$B:$B,"ENTRADA")</f>
        <v/>
      </c>
      <c r="H583" s="13">
        <f>SUMIFS(Movimentacoes!$G:$G,Movimentacoes!$C:$C,$A583,Movimentacoes!$E:$E,$C583,Movimentacoes!$B:$B,"SAIDA_USO")</f>
        <v/>
      </c>
      <c r="I583" s="13">
        <f>SUMIFS(Movimentacoes!$G:$G,Movimentacoes!$C:$C,$A583,Movimentacoes!$E:$E,$C583,Movimentacoes!$B:$B,"SAIDA_DESCARTE")</f>
        <v/>
      </c>
      <c r="J583" s="13">
        <f>G583-H583-I583</f>
        <v/>
      </c>
      <c r="K583">
        <f>IF(A583="","",IF(J583&lt;=IFERROR(VLOOKUP(A583,Cadastro_Produtos!$A:$E,5,FALSE),0),"ABAIXO DO MINIMO","OK"))</f>
        <v/>
      </c>
    </row>
    <row r="584">
      <c r="B584">
        <f>IFERROR(VLOOKUP(A584,Cadastro_Produtos!A:B,2,FALSE),"")</f>
        <v/>
      </c>
      <c r="D584" s="12" t="n"/>
      <c r="E584" s="13">
        <f>IF(D584="","",D584-TODAY())</f>
        <v/>
      </c>
      <c r="F584">
        <f>IF(D584="","",IF(E584&lt;0,"VENCIDO",IF(E584&lt;=30,"VENCE EM &lt;= 30 DIAS",IF(E584&lt;=60,"ATENCAO (31-60 DIAS)","OK"))))</f>
        <v/>
      </c>
      <c r="G584" s="13">
        <f>SUMIFS(Movimentacoes!$G:$G,Movimentacoes!$C:$C,$A584,Movimentacoes!$E:$E,$C584,Movimentacoes!$B:$B,"ENTRADA")</f>
        <v/>
      </c>
      <c r="H584" s="13">
        <f>SUMIFS(Movimentacoes!$G:$G,Movimentacoes!$C:$C,$A584,Movimentacoes!$E:$E,$C584,Movimentacoes!$B:$B,"SAIDA_USO")</f>
        <v/>
      </c>
      <c r="I584" s="13">
        <f>SUMIFS(Movimentacoes!$G:$G,Movimentacoes!$C:$C,$A584,Movimentacoes!$E:$E,$C584,Movimentacoes!$B:$B,"SAIDA_DESCARTE")</f>
        <v/>
      </c>
      <c r="J584" s="13">
        <f>G584-H584-I584</f>
        <v/>
      </c>
      <c r="K584">
        <f>IF(A584="","",IF(J584&lt;=IFERROR(VLOOKUP(A584,Cadastro_Produtos!$A:$E,5,FALSE),0),"ABAIXO DO MINIMO","OK"))</f>
        <v/>
      </c>
    </row>
    <row r="585">
      <c r="B585">
        <f>IFERROR(VLOOKUP(A585,Cadastro_Produtos!A:B,2,FALSE),"")</f>
        <v/>
      </c>
      <c r="D585" s="12" t="n"/>
      <c r="E585" s="13">
        <f>IF(D585="","",D585-TODAY())</f>
        <v/>
      </c>
      <c r="F585">
        <f>IF(D585="","",IF(E585&lt;0,"VENCIDO",IF(E585&lt;=30,"VENCE EM &lt;= 30 DIAS",IF(E585&lt;=60,"ATENCAO (31-60 DIAS)","OK"))))</f>
        <v/>
      </c>
      <c r="G585" s="13">
        <f>SUMIFS(Movimentacoes!$G:$G,Movimentacoes!$C:$C,$A585,Movimentacoes!$E:$E,$C585,Movimentacoes!$B:$B,"ENTRADA")</f>
        <v/>
      </c>
      <c r="H585" s="13">
        <f>SUMIFS(Movimentacoes!$G:$G,Movimentacoes!$C:$C,$A585,Movimentacoes!$E:$E,$C585,Movimentacoes!$B:$B,"SAIDA_USO")</f>
        <v/>
      </c>
      <c r="I585" s="13">
        <f>SUMIFS(Movimentacoes!$G:$G,Movimentacoes!$C:$C,$A585,Movimentacoes!$E:$E,$C585,Movimentacoes!$B:$B,"SAIDA_DESCARTE")</f>
        <v/>
      </c>
      <c r="J585" s="13">
        <f>G585-H585-I585</f>
        <v/>
      </c>
      <c r="K585">
        <f>IF(A585="","",IF(J585&lt;=IFERROR(VLOOKUP(A585,Cadastro_Produtos!$A:$E,5,FALSE),0),"ABAIXO DO MINIMO","OK"))</f>
        <v/>
      </c>
    </row>
    <row r="586">
      <c r="B586">
        <f>IFERROR(VLOOKUP(A586,Cadastro_Produtos!A:B,2,FALSE),"")</f>
        <v/>
      </c>
      <c r="D586" s="12" t="n"/>
      <c r="E586" s="13">
        <f>IF(D586="","",D586-TODAY())</f>
        <v/>
      </c>
      <c r="F586">
        <f>IF(D586="","",IF(E586&lt;0,"VENCIDO",IF(E586&lt;=30,"VENCE EM &lt;= 30 DIAS",IF(E586&lt;=60,"ATENCAO (31-60 DIAS)","OK"))))</f>
        <v/>
      </c>
      <c r="G586" s="13">
        <f>SUMIFS(Movimentacoes!$G:$G,Movimentacoes!$C:$C,$A586,Movimentacoes!$E:$E,$C586,Movimentacoes!$B:$B,"ENTRADA")</f>
        <v/>
      </c>
      <c r="H586" s="13">
        <f>SUMIFS(Movimentacoes!$G:$G,Movimentacoes!$C:$C,$A586,Movimentacoes!$E:$E,$C586,Movimentacoes!$B:$B,"SAIDA_USO")</f>
        <v/>
      </c>
      <c r="I586" s="13">
        <f>SUMIFS(Movimentacoes!$G:$G,Movimentacoes!$C:$C,$A586,Movimentacoes!$E:$E,$C586,Movimentacoes!$B:$B,"SAIDA_DESCARTE")</f>
        <v/>
      </c>
      <c r="J586" s="13">
        <f>G586-H586-I586</f>
        <v/>
      </c>
      <c r="K586">
        <f>IF(A586="","",IF(J586&lt;=IFERROR(VLOOKUP(A586,Cadastro_Produtos!$A:$E,5,FALSE),0),"ABAIXO DO MINIMO","OK"))</f>
        <v/>
      </c>
    </row>
    <row r="587">
      <c r="B587">
        <f>IFERROR(VLOOKUP(A587,Cadastro_Produtos!A:B,2,FALSE),"")</f>
        <v/>
      </c>
      <c r="D587" s="12" t="n"/>
      <c r="E587" s="13">
        <f>IF(D587="","",D587-TODAY())</f>
        <v/>
      </c>
      <c r="F587">
        <f>IF(D587="","",IF(E587&lt;0,"VENCIDO",IF(E587&lt;=30,"VENCE EM &lt;= 30 DIAS",IF(E587&lt;=60,"ATENCAO (31-60 DIAS)","OK"))))</f>
        <v/>
      </c>
      <c r="G587" s="13">
        <f>SUMIFS(Movimentacoes!$G:$G,Movimentacoes!$C:$C,$A587,Movimentacoes!$E:$E,$C587,Movimentacoes!$B:$B,"ENTRADA")</f>
        <v/>
      </c>
      <c r="H587" s="13">
        <f>SUMIFS(Movimentacoes!$G:$G,Movimentacoes!$C:$C,$A587,Movimentacoes!$E:$E,$C587,Movimentacoes!$B:$B,"SAIDA_USO")</f>
        <v/>
      </c>
      <c r="I587" s="13">
        <f>SUMIFS(Movimentacoes!$G:$G,Movimentacoes!$C:$C,$A587,Movimentacoes!$E:$E,$C587,Movimentacoes!$B:$B,"SAIDA_DESCARTE")</f>
        <v/>
      </c>
      <c r="J587" s="13">
        <f>G587-H587-I587</f>
        <v/>
      </c>
      <c r="K587">
        <f>IF(A587="","",IF(J587&lt;=IFERROR(VLOOKUP(A587,Cadastro_Produtos!$A:$E,5,FALSE),0),"ABAIXO DO MINIMO","OK"))</f>
        <v/>
      </c>
    </row>
    <row r="588">
      <c r="B588">
        <f>IFERROR(VLOOKUP(A588,Cadastro_Produtos!A:B,2,FALSE),"")</f>
        <v/>
      </c>
      <c r="D588" s="12" t="n"/>
      <c r="E588" s="13">
        <f>IF(D588="","",D588-TODAY())</f>
        <v/>
      </c>
      <c r="F588">
        <f>IF(D588="","",IF(E588&lt;0,"VENCIDO",IF(E588&lt;=30,"VENCE EM &lt;= 30 DIAS",IF(E588&lt;=60,"ATENCAO (31-60 DIAS)","OK"))))</f>
        <v/>
      </c>
      <c r="G588" s="13">
        <f>SUMIFS(Movimentacoes!$G:$G,Movimentacoes!$C:$C,$A588,Movimentacoes!$E:$E,$C588,Movimentacoes!$B:$B,"ENTRADA")</f>
        <v/>
      </c>
      <c r="H588" s="13">
        <f>SUMIFS(Movimentacoes!$G:$G,Movimentacoes!$C:$C,$A588,Movimentacoes!$E:$E,$C588,Movimentacoes!$B:$B,"SAIDA_USO")</f>
        <v/>
      </c>
      <c r="I588" s="13">
        <f>SUMIFS(Movimentacoes!$G:$G,Movimentacoes!$C:$C,$A588,Movimentacoes!$E:$E,$C588,Movimentacoes!$B:$B,"SAIDA_DESCARTE")</f>
        <v/>
      </c>
      <c r="J588" s="13">
        <f>G588-H588-I588</f>
        <v/>
      </c>
      <c r="K588">
        <f>IF(A588="","",IF(J588&lt;=IFERROR(VLOOKUP(A588,Cadastro_Produtos!$A:$E,5,FALSE),0),"ABAIXO DO MINIMO","OK"))</f>
        <v/>
      </c>
    </row>
    <row r="589">
      <c r="B589">
        <f>IFERROR(VLOOKUP(A589,Cadastro_Produtos!A:B,2,FALSE),"")</f>
        <v/>
      </c>
      <c r="D589" s="12" t="n"/>
      <c r="E589" s="13">
        <f>IF(D589="","",D589-TODAY())</f>
        <v/>
      </c>
      <c r="F589">
        <f>IF(D589="","",IF(E589&lt;0,"VENCIDO",IF(E589&lt;=30,"VENCE EM &lt;= 30 DIAS",IF(E589&lt;=60,"ATENCAO (31-60 DIAS)","OK"))))</f>
        <v/>
      </c>
      <c r="G589" s="13">
        <f>SUMIFS(Movimentacoes!$G:$G,Movimentacoes!$C:$C,$A589,Movimentacoes!$E:$E,$C589,Movimentacoes!$B:$B,"ENTRADA")</f>
        <v/>
      </c>
      <c r="H589" s="13">
        <f>SUMIFS(Movimentacoes!$G:$G,Movimentacoes!$C:$C,$A589,Movimentacoes!$E:$E,$C589,Movimentacoes!$B:$B,"SAIDA_USO")</f>
        <v/>
      </c>
      <c r="I589" s="13">
        <f>SUMIFS(Movimentacoes!$G:$G,Movimentacoes!$C:$C,$A589,Movimentacoes!$E:$E,$C589,Movimentacoes!$B:$B,"SAIDA_DESCARTE")</f>
        <v/>
      </c>
      <c r="J589" s="13">
        <f>G589-H589-I589</f>
        <v/>
      </c>
      <c r="K589">
        <f>IF(A589="","",IF(J589&lt;=IFERROR(VLOOKUP(A589,Cadastro_Produtos!$A:$E,5,FALSE),0),"ABAIXO DO MINIMO","OK"))</f>
        <v/>
      </c>
    </row>
    <row r="590">
      <c r="B590">
        <f>IFERROR(VLOOKUP(A590,Cadastro_Produtos!A:B,2,FALSE),"")</f>
        <v/>
      </c>
      <c r="D590" s="12" t="n"/>
      <c r="E590" s="13">
        <f>IF(D590="","",D590-TODAY())</f>
        <v/>
      </c>
      <c r="F590">
        <f>IF(D590="","",IF(E590&lt;0,"VENCIDO",IF(E590&lt;=30,"VENCE EM &lt;= 30 DIAS",IF(E590&lt;=60,"ATENCAO (31-60 DIAS)","OK"))))</f>
        <v/>
      </c>
      <c r="G590" s="13">
        <f>SUMIFS(Movimentacoes!$G:$G,Movimentacoes!$C:$C,$A590,Movimentacoes!$E:$E,$C590,Movimentacoes!$B:$B,"ENTRADA")</f>
        <v/>
      </c>
      <c r="H590" s="13">
        <f>SUMIFS(Movimentacoes!$G:$G,Movimentacoes!$C:$C,$A590,Movimentacoes!$E:$E,$C590,Movimentacoes!$B:$B,"SAIDA_USO")</f>
        <v/>
      </c>
      <c r="I590" s="13">
        <f>SUMIFS(Movimentacoes!$G:$G,Movimentacoes!$C:$C,$A590,Movimentacoes!$E:$E,$C590,Movimentacoes!$B:$B,"SAIDA_DESCARTE")</f>
        <v/>
      </c>
      <c r="J590" s="13">
        <f>G590-H590-I590</f>
        <v/>
      </c>
      <c r="K590">
        <f>IF(A590="","",IF(J590&lt;=IFERROR(VLOOKUP(A590,Cadastro_Produtos!$A:$E,5,FALSE),0),"ABAIXO DO MINIMO","OK"))</f>
        <v/>
      </c>
    </row>
    <row r="591">
      <c r="B591">
        <f>IFERROR(VLOOKUP(A591,Cadastro_Produtos!A:B,2,FALSE),"")</f>
        <v/>
      </c>
      <c r="D591" s="12" t="n"/>
      <c r="E591" s="13">
        <f>IF(D591="","",D591-TODAY())</f>
        <v/>
      </c>
      <c r="F591">
        <f>IF(D591="","",IF(E591&lt;0,"VENCIDO",IF(E591&lt;=30,"VENCE EM &lt;= 30 DIAS",IF(E591&lt;=60,"ATENCAO (31-60 DIAS)","OK"))))</f>
        <v/>
      </c>
      <c r="G591" s="13">
        <f>SUMIFS(Movimentacoes!$G:$G,Movimentacoes!$C:$C,$A591,Movimentacoes!$E:$E,$C591,Movimentacoes!$B:$B,"ENTRADA")</f>
        <v/>
      </c>
      <c r="H591" s="13">
        <f>SUMIFS(Movimentacoes!$G:$G,Movimentacoes!$C:$C,$A591,Movimentacoes!$E:$E,$C591,Movimentacoes!$B:$B,"SAIDA_USO")</f>
        <v/>
      </c>
      <c r="I591" s="13">
        <f>SUMIFS(Movimentacoes!$G:$G,Movimentacoes!$C:$C,$A591,Movimentacoes!$E:$E,$C591,Movimentacoes!$B:$B,"SAIDA_DESCARTE")</f>
        <v/>
      </c>
      <c r="J591" s="13">
        <f>G591-H591-I591</f>
        <v/>
      </c>
      <c r="K591">
        <f>IF(A591="","",IF(J591&lt;=IFERROR(VLOOKUP(A591,Cadastro_Produtos!$A:$E,5,FALSE),0),"ABAIXO DO MINIMO","OK"))</f>
        <v/>
      </c>
    </row>
    <row r="592">
      <c r="B592">
        <f>IFERROR(VLOOKUP(A592,Cadastro_Produtos!A:B,2,FALSE),"")</f>
        <v/>
      </c>
      <c r="D592" s="12" t="n"/>
      <c r="E592" s="13">
        <f>IF(D592="","",D592-TODAY())</f>
        <v/>
      </c>
      <c r="F592">
        <f>IF(D592="","",IF(E592&lt;0,"VENCIDO",IF(E592&lt;=30,"VENCE EM &lt;= 30 DIAS",IF(E592&lt;=60,"ATENCAO (31-60 DIAS)","OK"))))</f>
        <v/>
      </c>
      <c r="G592" s="13">
        <f>SUMIFS(Movimentacoes!$G:$G,Movimentacoes!$C:$C,$A592,Movimentacoes!$E:$E,$C592,Movimentacoes!$B:$B,"ENTRADA")</f>
        <v/>
      </c>
      <c r="H592" s="13">
        <f>SUMIFS(Movimentacoes!$G:$G,Movimentacoes!$C:$C,$A592,Movimentacoes!$E:$E,$C592,Movimentacoes!$B:$B,"SAIDA_USO")</f>
        <v/>
      </c>
      <c r="I592" s="13">
        <f>SUMIFS(Movimentacoes!$G:$G,Movimentacoes!$C:$C,$A592,Movimentacoes!$E:$E,$C592,Movimentacoes!$B:$B,"SAIDA_DESCARTE")</f>
        <v/>
      </c>
      <c r="J592" s="13">
        <f>G592-H592-I592</f>
        <v/>
      </c>
      <c r="K592">
        <f>IF(A592="","",IF(J592&lt;=IFERROR(VLOOKUP(A592,Cadastro_Produtos!$A:$E,5,FALSE),0),"ABAIXO DO MINIMO","OK"))</f>
        <v/>
      </c>
    </row>
    <row r="593">
      <c r="B593">
        <f>IFERROR(VLOOKUP(A593,Cadastro_Produtos!A:B,2,FALSE),"")</f>
        <v/>
      </c>
      <c r="D593" s="12" t="n"/>
      <c r="E593" s="13">
        <f>IF(D593="","",D593-TODAY())</f>
        <v/>
      </c>
      <c r="F593">
        <f>IF(D593="","",IF(E593&lt;0,"VENCIDO",IF(E593&lt;=30,"VENCE EM &lt;= 30 DIAS",IF(E593&lt;=60,"ATENCAO (31-60 DIAS)","OK"))))</f>
        <v/>
      </c>
      <c r="G593" s="13">
        <f>SUMIFS(Movimentacoes!$G:$G,Movimentacoes!$C:$C,$A593,Movimentacoes!$E:$E,$C593,Movimentacoes!$B:$B,"ENTRADA")</f>
        <v/>
      </c>
      <c r="H593" s="13">
        <f>SUMIFS(Movimentacoes!$G:$G,Movimentacoes!$C:$C,$A593,Movimentacoes!$E:$E,$C593,Movimentacoes!$B:$B,"SAIDA_USO")</f>
        <v/>
      </c>
      <c r="I593" s="13">
        <f>SUMIFS(Movimentacoes!$G:$G,Movimentacoes!$C:$C,$A593,Movimentacoes!$E:$E,$C593,Movimentacoes!$B:$B,"SAIDA_DESCARTE")</f>
        <v/>
      </c>
      <c r="J593" s="13">
        <f>G593-H593-I593</f>
        <v/>
      </c>
      <c r="K593">
        <f>IF(A593="","",IF(J593&lt;=IFERROR(VLOOKUP(A593,Cadastro_Produtos!$A:$E,5,FALSE),0),"ABAIXO DO MINIMO","OK"))</f>
        <v/>
      </c>
    </row>
    <row r="594">
      <c r="B594">
        <f>IFERROR(VLOOKUP(A594,Cadastro_Produtos!A:B,2,FALSE),"")</f>
        <v/>
      </c>
      <c r="D594" s="12" t="n"/>
      <c r="E594" s="13">
        <f>IF(D594="","",D594-TODAY())</f>
        <v/>
      </c>
      <c r="F594">
        <f>IF(D594="","",IF(E594&lt;0,"VENCIDO",IF(E594&lt;=30,"VENCE EM &lt;= 30 DIAS",IF(E594&lt;=60,"ATENCAO (31-60 DIAS)","OK"))))</f>
        <v/>
      </c>
      <c r="G594" s="13">
        <f>SUMIFS(Movimentacoes!$G:$G,Movimentacoes!$C:$C,$A594,Movimentacoes!$E:$E,$C594,Movimentacoes!$B:$B,"ENTRADA")</f>
        <v/>
      </c>
      <c r="H594" s="13">
        <f>SUMIFS(Movimentacoes!$G:$G,Movimentacoes!$C:$C,$A594,Movimentacoes!$E:$E,$C594,Movimentacoes!$B:$B,"SAIDA_USO")</f>
        <v/>
      </c>
      <c r="I594" s="13">
        <f>SUMIFS(Movimentacoes!$G:$G,Movimentacoes!$C:$C,$A594,Movimentacoes!$E:$E,$C594,Movimentacoes!$B:$B,"SAIDA_DESCARTE")</f>
        <v/>
      </c>
      <c r="J594" s="13">
        <f>G594-H594-I594</f>
        <v/>
      </c>
      <c r="K594">
        <f>IF(A594="","",IF(J594&lt;=IFERROR(VLOOKUP(A594,Cadastro_Produtos!$A:$E,5,FALSE),0),"ABAIXO DO MINIMO","OK"))</f>
        <v/>
      </c>
    </row>
    <row r="595">
      <c r="B595">
        <f>IFERROR(VLOOKUP(A595,Cadastro_Produtos!A:B,2,FALSE),"")</f>
        <v/>
      </c>
      <c r="D595" s="12" t="n"/>
      <c r="E595" s="13">
        <f>IF(D595="","",D595-TODAY())</f>
        <v/>
      </c>
      <c r="F595">
        <f>IF(D595="","",IF(E595&lt;0,"VENCIDO",IF(E595&lt;=30,"VENCE EM &lt;= 30 DIAS",IF(E595&lt;=60,"ATENCAO (31-60 DIAS)","OK"))))</f>
        <v/>
      </c>
      <c r="G595" s="13">
        <f>SUMIFS(Movimentacoes!$G:$G,Movimentacoes!$C:$C,$A595,Movimentacoes!$E:$E,$C595,Movimentacoes!$B:$B,"ENTRADA")</f>
        <v/>
      </c>
      <c r="H595" s="13">
        <f>SUMIFS(Movimentacoes!$G:$G,Movimentacoes!$C:$C,$A595,Movimentacoes!$E:$E,$C595,Movimentacoes!$B:$B,"SAIDA_USO")</f>
        <v/>
      </c>
      <c r="I595" s="13">
        <f>SUMIFS(Movimentacoes!$G:$G,Movimentacoes!$C:$C,$A595,Movimentacoes!$E:$E,$C595,Movimentacoes!$B:$B,"SAIDA_DESCARTE")</f>
        <v/>
      </c>
      <c r="J595" s="13">
        <f>G595-H595-I595</f>
        <v/>
      </c>
      <c r="K595">
        <f>IF(A595="","",IF(J595&lt;=IFERROR(VLOOKUP(A595,Cadastro_Produtos!$A:$E,5,FALSE),0),"ABAIXO DO MINIMO","OK"))</f>
        <v/>
      </c>
    </row>
    <row r="596">
      <c r="B596">
        <f>IFERROR(VLOOKUP(A596,Cadastro_Produtos!A:B,2,FALSE),"")</f>
        <v/>
      </c>
      <c r="D596" s="12" t="n"/>
      <c r="E596" s="13">
        <f>IF(D596="","",D596-TODAY())</f>
        <v/>
      </c>
      <c r="F596">
        <f>IF(D596="","",IF(E596&lt;0,"VENCIDO",IF(E596&lt;=30,"VENCE EM &lt;= 30 DIAS",IF(E596&lt;=60,"ATENCAO (31-60 DIAS)","OK"))))</f>
        <v/>
      </c>
      <c r="G596" s="13">
        <f>SUMIFS(Movimentacoes!$G:$G,Movimentacoes!$C:$C,$A596,Movimentacoes!$E:$E,$C596,Movimentacoes!$B:$B,"ENTRADA")</f>
        <v/>
      </c>
      <c r="H596" s="13">
        <f>SUMIFS(Movimentacoes!$G:$G,Movimentacoes!$C:$C,$A596,Movimentacoes!$E:$E,$C596,Movimentacoes!$B:$B,"SAIDA_USO")</f>
        <v/>
      </c>
      <c r="I596" s="13">
        <f>SUMIFS(Movimentacoes!$G:$G,Movimentacoes!$C:$C,$A596,Movimentacoes!$E:$E,$C596,Movimentacoes!$B:$B,"SAIDA_DESCARTE")</f>
        <v/>
      </c>
      <c r="J596" s="13">
        <f>G596-H596-I596</f>
        <v/>
      </c>
      <c r="K596">
        <f>IF(A596="","",IF(J596&lt;=IFERROR(VLOOKUP(A596,Cadastro_Produtos!$A:$E,5,FALSE),0),"ABAIXO DO MINIMO","OK"))</f>
        <v/>
      </c>
    </row>
    <row r="597">
      <c r="B597">
        <f>IFERROR(VLOOKUP(A597,Cadastro_Produtos!A:B,2,FALSE),"")</f>
        <v/>
      </c>
      <c r="D597" s="12" t="n"/>
      <c r="E597" s="13">
        <f>IF(D597="","",D597-TODAY())</f>
        <v/>
      </c>
      <c r="F597">
        <f>IF(D597="","",IF(E597&lt;0,"VENCIDO",IF(E597&lt;=30,"VENCE EM &lt;= 30 DIAS",IF(E597&lt;=60,"ATENCAO (31-60 DIAS)","OK"))))</f>
        <v/>
      </c>
      <c r="G597" s="13">
        <f>SUMIFS(Movimentacoes!$G:$G,Movimentacoes!$C:$C,$A597,Movimentacoes!$E:$E,$C597,Movimentacoes!$B:$B,"ENTRADA")</f>
        <v/>
      </c>
      <c r="H597" s="13">
        <f>SUMIFS(Movimentacoes!$G:$G,Movimentacoes!$C:$C,$A597,Movimentacoes!$E:$E,$C597,Movimentacoes!$B:$B,"SAIDA_USO")</f>
        <v/>
      </c>
      <c r="I597" s="13">
        <f>SUMIFS(Movimentacoes!$G:$G,Movimentacoes!$C:$C,$A597,Movimentacoes!$E:$E,$C597,Movimentacoes!$B:$B,"SAIDA_DESCARTE")</f>
        <v/>
      </c>
      <c r="J597" s="13">
        <f>G597-H597-I597</f>
        <v/>
      </c>
      <c r="K597">
        <f>IF(A597="","",IF(J597&lt;=IFERROR(VLOOKUP(A597,Cadastro_Produtos!$A:$E,5,FALSE),0),"ABAIXO DO MINIMO","OK"))</f>
        <v/>
      </c>
    </row>
    <row r="598">
      <c r="B598">
        <f>IFERROR(VLOOKUP(A598,Cadastro_Produtos!A:B,2,FALSE),"")</f>
        <v/>
      </c>
      <c r="D598" s="12" t="n"/>
      <c r="E598" s="13">
        <f>IF(D598="","",D598-TODAY())</f>
        <v/>
      </c>
      <c r="F598">
        <f>IF(D598="","",IF(E598&lt;0,"VENCIDO",IF(E598&lt;=30,"VENCE EM &lt;= 30 DIAS",IF(E598&lt;=60,"ATENCAO (31-60 DIAS)","OK"))))</f>
        <v/>
      </c>
      <c r="G598" s="13">
        <f>SUMIFS(Movimentacoes!$G:$G,Movimentacoes!$C:$C,$A598,Movimentacoes!$E:$E,$C598,Movimentacoes!$B:$B,"ENTRADA")</f>
        <v/>
      </c>
      <c r="H598" s="13">
        <f>SUMIFS(Movimentacoes!$G:$G,Movimentacoes!$C:$C,$A598,Movimentacoes!$E:$E,$C598,Movimentacoes!$B:$B,"SAIDA_USO")</f>
        <v/>
      </c>
      <c r="I598" s="13">
        <f>SUMIFS(Movimentacoes!$G:$G,Movimentacoes!$C:$C,$A598,Movimentacoes!$E:$E,$C598,Movimentacoes!$B:$B,"SAIDA_DESCARTE")</f>
        <v/>
      </c>
      <c r="J598" s="13">
        <f>G598-H598-I598</f>
        <v/>
      </c>
      <c r="K598">
        <f>IF(A598="","",IF(J598&lt;=IFERROR(VLOOKUP(A598,Cadastro_Produtos!$A:$E,5,FALSE),0),"ABAIXO DO MINIMO","OK"))</f>
        <v/>
      </c>
    </row>
    <row r="599">
      <c r="B599">
        <f>IFERROR(VLOOKUP(A599,Cadastro_Produtos!A:B,2,FALSE),"")</f>
        <v/>
      </c>
      <c r="D599" s="12" t="n"/>
      <c r="E599" s="13">
        <f>IF(D599="","",D599-TODAY())</f>
        <v/>
      </c>
      <c r="F599">
        <f>IF(D599="","",IF(E599&lt;0,"VENCIDO",IF(E599&lt;=30,"VENCE EM &lt;= 30 DIAS",IF(E599&lt;=60,"ATENCAO (31-60 DIAS)","OK"))))</f>
        <v/>
      </c>
      <c r="G599" s="13">
        <f>SUMIFS(Movimentacoes!$G:$G,Movimentacoes!$C:$C,$A599,Movimentacoes!$E:$E,$C599,Movimentacoes!$B:$B,"ENTRADA")</f>
        <v/>
      </c>
      <c r="H599" s="13">
        <f>SUMIFS(Movimentacoes!$G:$G,Movimentacoes!$C:$C,$A599,Movimentacoes!$E:$E,$C599,Movimentacoes!$B:$B,"SAIDA_USO")</f>
        <v/>
      </c>
      <c r="I599" s="13">
        <f>SUMIFS(Movimentacoes!$G:$G,Movimentacoes!$C:$C,$A599,Movimentacoes!$E:$E,$C599,Movimentacoes!$B:$B,"SAIDA_DESCARTE")</f>
        <v/>
      </c>
      <c r="J599" s="13">
        <f>G599-H599-I599</f>
        <v/>
      </c>
      <c r="K599">
        <f>IF(A599="","",IF(J599&lt;=IFERROR(VLOOKUP(A599,Cadastro_Produtos!$A:$E,5,FALSE),0),"ABAIXO DO MINIMO","OK"))</f>
        <v/>
      </c>
    </row>
    <row r="600">
      <c r="B600">
        <f>IFERROR(VLOOKUP(A600,Cadastro_Produtos!A:B,2,FALSE),"")</f>
        <v/>
      </c>
      <c r="D600" s="12" t="n"/>
      <c r="E600" s="13">
        <f>IF(D600="","",D600-TODAY())</f>
        <v/>
      </c>
      <c r="F600">
        <f>IF(D600="","",IF(E600&lt;0,"VENCIDO",IF(E600&lt;=30,"VENCE EM &lt;= 30 DIAS",IF(E600&lt;=60,"ATENCAO (31-60 DIAS)","OK"))))</f>
        <v/>
      </c>
      <c r="G600" s="13">
        <f>SUMIFS(Movimentacoes!$G:$G,Movimentacoes!$C:$C,$A600,Movimentacoes!$E:$E,$C600,Movimentacoes!$B:$B,"ENTRADA")</f>
        <v/>
      </c>
      <c r="H600" s="13">
        <f>SUMIFS(Movimentacoes!$G:$G,Movimentacoes!$C:$C,$A600,Movimentacoes!$E:$E,$C600,Movimentacoes!$B:$B,"SAIDA_USO")</f>
        <v/>
      </c>
      <c r="I600" s="13">
        <f>SUMIFS(Movimentacoes!$G:$G,Movimentacoes!$C:$C,$A600,Movimentacoes!$E:$E,$C600,Movimentacoes!$B:$B,"SAIDA_DESCARTE")</f>
        <v/>
      </c>
      <c r="J600" s="13">
        <f>G600-H600-I600</f>
        <v/>
      </c>
      <c r="K600">
        <f>IF(A600="","",IF(J600&lt;=IFERROR(VLOOKUP(A600,Cadastro_Produtos!$A:$E,5,FALSE),0),"ABAIXO DO MINIMO","OK"))</f>
        <v/>
      </c>
    </row>
    <row r="601">
      <c r="B601">
        <f>IFERROR(VLOOKUP(A601,Cadastro_Produtos!A:B,2,FALSE),"")</f>
        <v/>
      </c>
      <c r="D601" s="12" t="n"/>
      <c r="E601" s="13">
        <f>IF(D601="","",D601-TODAY())</f>
        <v/>
      </c>
      <c r="F601">
        <f>IF(D601="","",IF(E601&lt;0,"VENCIDO",IF(E601&lt;=30,"VENCE EM &lt;= 30 DIAS",IF(E601&lt;=60,"ATENCAO (31-60 DIAS)","OK"))))</f>
        <v/>
      </c>
      <c r="G601" s="13">
        <f>SUMIFS(Movimentacoes!$G:$G,Movimentacoes!$C:$C,$A601,Movimentacoes!$E:$E,$C601,Movimentacoes!$B:$B,"ENTRADA")</f>
        <v/>
      </c>
      <c r="H601" s="13">
        <f>SUMIFS(Movimentacoes!$G:$G,Movimentacoes!$C:$C,$A601,Movimentacoes!$E:$E,$C601,Movimentacoes!$B:$B,"SAIDA_USO")</f>
        <v/>
      </c>
      <c r="I601" s="13">
        <f>SUMIFS(Movimentacoes!$G:$G,Movimentacoes!$C:$C,$A601,Movimentacoes!$E:$E,$C601,Movimentacoes!$B:$B,"SAIDA_DESCARTE")</f>
        <v/>
      </c>
      <c r="J601" s="13">
        <f>G601-H601-I601</f>
        <v/>
      </c>
      <c r="K601">
        <f>IF(A601="","",IF(J601&lt;=IFERROR(VLOOKUP(A601,Cadastro_Produtos!$A:$E,5,FALSE),0),"ABAIXO DO MINIMO","OK"))</f>
        <v/>
      </c>
    </row>
    <row r="602">
      <c r="B602">
        <f>IFERROR(VLOOKUP(A602,Cadastro_Produtos!A:B,2,FALSE),"")</f>
        <v/>
      </c>
      <c r="D602" s="12" t="n"/>
      <c r="E602" s="13">
        <f>IF(D602="","",D602-TODAY())</f>
        <v/>
      </c>
      <c r="F602">
        <f>IF(D602="","",IF(E602&lt;0,"VENCIDO",IF(E602&lt;=30,"VENCE EM &lt;= 30 DIAS",IF(E602&lt;=60,"ATENCAO (31-60 DIAS)","OK"))))</f>
        <v/>
      </c>
      <c r="G602" s="13">
        <f>SUMIFS(Movimentacoes!$G:$G,Movimentacoes!$C:$C,$A602,Movimentacoes!$E:$E,$C602,Movimentacoes!$B:$B,"ENTRADA")</f>
        <v/>
      </c>
      <c r="H602" s="13">
        <f>SUMIFS(Movimentacoes!$G:$G,Movimentacoes!$C:$C,$A602,Movimentacoes!$E:$E,$C602,Movimentacoes!$B:$B,"SAIDA_USO")</f>
        <v/>
      </c>
      <c r="I602" s="13">
        <f>SUMIFS(Movimentacoes!$G:$G,Movimentacoes!$C:$C,$A602,Movimentacoes!$E:$E,$C602,Movimentacoes!$B:$B,"SAIDA_DESCARTE")</f>
        <v/>
      </c>
      <c r="J602" s="13">
        <f>G602-H602-I602</f>
        <v/>
      </c>
      <c r="K602">
        <f>IF(A602="","",IF(J602&lt;=IFERROR(VLOOKUP(A602,Cadastro_Produtos!$A:$E,5,FALSE),0),"ABAIXO DO MINIMO","OK"))</f>
        <v/>
      </c>
    </row>
    <row r="603">
      <c r="B603">
        <f>IFERROR(VLOOKUP(A603,Cadastro_Produtos!A:B,2,FALSE),"")</f>
        <v/>
      </c>
      <c r="D603" s="12" t="n"/>
      <c r="E603" s="13">
        <f>IF(D603="","",D603-TODAY())</f>
        <v/>
      </c>
      <c r="F603">
        <f>IF(D603="","",IF(E603&lt;0,"VENCIDO",IF(E603&lt;=30,"VENCE EM &lt;= 30 DIAS",IF(E603&lt;=60,"ATENCAO (31-60 DIAS)","OK"))))</f>
        <v/>
      </c>
      <c r="G603" s="13">
        <f>SUMIFS(Movimentacoes!$G:$G,Movimentacoes!$C:$C,$A603,Movimentacoes!$E:$E,$C603,Movimentacoes!$B:$B,"ENTRADA")</f>
        <v/>
      </c>
      <c r="H603" s="13">
        <f>SUMIFS(Movimentacoes!$G:$G,Movimentacoes!$C:$C,$A603,Movimentacoes!$E:$E,$C603,Movimentacoes!$B:$B,"SAIDA_USO")</f>
        <v/>
      </c>
      <c r="I603" s="13">
        <f>SUMIFS(Movimentacoes!$G:$G,Movimentacoes!$C:$C,$A603,Movimentacoes!$E:$E,$C603,Movimentacoes!$B:$B,"SAIDA_DESCARTE")</f>
        <v/>
      </c>
      <c r="J603" s="13">
        <f>G603-H603-I603</f>
        <v/>
      </c>
      <c r="K603">
        <f>IF(A603="","",IF(J603&lt;=IFERROR(VLOOKUP(A603,Cadastro_Produtos!$A:$E,5,FALSE),0),"ABAIXO DO MINIMO","OK"))</f>
        <v/>
      </c>
    </row>
    <row r="604">
      <c r="B604">
        <f>IFERROR(VLOOKUP(A604,Cadastro_Produtos!A:B,2,FALSE),"")</f>
        <v/>
      </c>
      <c r="D604" s="12" t="n"/>
      <c r="E604" s="13">
        <f>IF(D604="","",D604-TODAY())</f>
        <v/>
      </c>
      <c r="F604">
        <f>IF(D604="","",IF(E604&lt;0,"VENCIDO",IF(E604&lt;=30,"VENCE EM &lt;= 30 DIAS",IF(E604&lt;=60,"ATENCAO (31-60 DIAS)","OK"))))</f>
        <v/>
      </c>
      <c r="G604" s="13">
        <f>SUMIFS(Movimentacoes!$G:$G,Movimentacoes!$C:$C,$A604,Movimentacoes!$E:$E,$C604,Movimentacoes!$B:$B,"ENTRADA")</f>
        <v/>
      </c>
      <c r="H604" s="13">
        <f>SUMIFS(Movimentacoes!$G:$G,Movimentacoes!$C:$C,$A604,Movimentacoes!$E:$E,$C604,Movimentacoes!$B:$B,"SAIDA_USO")</f>
        <v/>
      </c>
      <c r="I604" s="13">
        <f>SUMIFS(Movimentacoes!$G:$G,Movimentacoes!$C:$C,$A604,Movimentacoes!$E:$E,$C604,Movimentacoes!$B:$B,"SAIDA_DESCARTE")</f>
        <v/>
      </c>
      <c r="J604" s="13">
        <f>G604-H604-I604</f>
        <v/>
      </c>
      <c r="K604">
        <f>IF(A604="","",IF(J604&lt;=IFERROR(VLOOKUP(A604,Cadastro_Produtos!$A:$E,5,FALSE),0),"ABAIXO DO MINIMO","OK"))</f>
        <v/>
      </c>
    </row>
    <row r="605">
      <c r="B605">
        <f>IFERROR(VLOOKUP(A605,Cadastro_Produtos!A:B,2,FALSE),"")</f>
        <v/>
      </c>
      <c r="D605" s="12" t="n"/>
      <c r="E605" s="13">
        <f>IF(D605="","",D605-TODAY())</f>
        <v/>
      </c>
      <c r="F605">
        <f>IF(D605="","",IF(E605&lt;0,"VENCIDO",IF(E605&lt;=30,"VENCE EM &lt;= 30 DIAS",IF(E605&lt;=60,"ATENCAO (31-60 DIAS)","OK"))))</f>
        <v/>
      </c>
      <c r="G605" s="13">
        <f>SUMIFS(Movimentacoes!$G:$G,Movimentacoes!$C:$C,$A605,Movimentacoes!$E:$E,$C605,Movimentacoes!$B:$B,"ENTRADA")</f>
        <v/>
      </c>
      <c r="H605" s="13">
        <f>SUMIFS(Movimentacoes!$G:$G,Movimentacoes!$C:$C,$A605,Movimentacoes!$E:$E,$C605,Movimentacoes!$B:$B,"SAIDA_USO")</f>
        <v/>
      </c>
      <c r="I605" s="13">
        <f>SUMIFS(Movimentacoes!$G:$G,Movimentacoes!$C:$C,$A605,Movimentacoes!$E:$E,$C605,Movimentacoes!$B:$B,"SAIDA_DESCARTE")</f>
        <v/>
      </c>
      <c r="J605" s="13">
        <f>G605-H605-I605</f>
        <v/>
      </c>
      <c r="K605">
        <f>IF(A605="","",IF(J605&lt;=IFERROR(VLOOKUP(A605,Cadastro_Produtos!$A:$E,5,FALSE),0),"ABAIXO DO MINIMO","OK"))</f>
        <v/>
      </c>
    </row>
    <row r="606">
      <c r="B606">
        <f>IFERROR(VLOOKUP(A606,Cadastro_Produtos!A:B,2,FALSE),"")</f>
        <v/>
      </c>
      <c r="D606" s="12" t="n"/>
      <c r="E606" s="13">
        <f>IF(D606="","",D606-TODAY())</f>
        <v/>
      </c>
      <c r="F606">
        <f>IF(D606="","",IF(E606&lt;0,"VENCIDO",IF(E606&lt;=30,"VENCE EM &lt;= 30 DIAS",IF(E606&lt;=60,"ATENCAO (31-60 DIAS)","OK"))))</f>
        <v/>
      </c>
      <c r="G606" s="13">
        <f>SUMIFS(Movimentacoes!$G:$G,Movimentacoes!$C:$C,$A606,Movimentacoes!$E:$E,$C606,Movimentacoes!$B:$B,"ENTRADA")</f>
        <v/>
      </c>
      <c r="H606" s="13">
        <f>SUMIFS(Movimentacoes!$G:$G,Movimentacoes!$C:$C,$A606,Movimentacoes!$E:$E,$C606,Movimentacoes!$B:$B,"SAIDA_USO")</f>
        <v/>
      </c>
      <c r="I606" s="13">
        <f>SUMIFS(Movimentacoes!$G:$G,Movimentacoes!$C:$C,$A606,Movimentacoes!$E:$E,$C606,Movimentacoes!$B:$B,"SAIDA_DESCARTE")</f>
        <v/>
      </c>
      <c r="J606" s="13">
        <f>G606-H606-I606</f>
        <v/>
      </c>
      <c r="K606">
        <f>IF(A606="","",IF(J606&lt;=IFERROR(VLOOKUP(A606,Cadastro_Produtos!$A:$E,5,FALSE),0),"ABAIXO DO MINIMO","OK"))</f>
        <v/>
      </c>
    </row>
    <row r="607">
      <c r="B607">
        <f>IFERROR(VLOOKUP(A607,Cadastro_Produtos!A:B,2,FALSE),"")</f>
        <v/>
      </c>
      <c r="D607" s="12" t="n"/>
      <c r="E607" s="13">
        <f>IF(D607="","",D607-TODAY())</f>
        <v/>
      </c>
      <c r="F607">
        <f>IF(D607="","",IF(E607&lt;0,"VENCIDO",IF(E607&lt;=30,"VENCE EM &lt;= 30 DIAS",IF(E607&lt;=60,"ATENCAO (31-60 DIAS)","OK"))))</f>
        <v/>
      </c>
      <c r="G607" s="13">
        <f>SUMIFS(Movimentacoes!$G:$G,Movimentacoes!$C:$C,$A607,Movimentacoes!$E:$E,$C607,Movimentacoes!$B:$B,"ENTRADA")</f>
        <v/>
      </c>
      <c r="H607" s="13">
        <f>SUMIFS(Movimentacoes!$G:$G,Movimentacoes!$C:$C,$A607,Movimentacoes!$E:$E,$C607,Movimentacoes!$B:$B,"SAIDA_USO")</f>
        <v/>
      </c>
      <c r="I607" s="13">
        <f>SUMIFS(Movimentacoes!$G:$G,Movimentacoes!$C:$C,$A607,Movimentacoes!$E:$E,$C607,Movimentacoes!$B:$B,"SAIDA_DESCARTE")</f>
        <v/>
      </c>
      <c r="J607" s="13">
        <f>G607-H607-I607</f>
        <v/>
      </c>
      <c r="K607">
        <f>IF(A607="","",IF(J607&lt;=IFERROR(VLOOKUP(A607,Cadastro_Produtos!$A:$E,5,FALSE),0),"ABAIXO DO MINIMO","OK"))</f>
        <v/>
      </c>
    </row>
    <row r="608">
      <c r="B608">
        <f>IFERROR(VLOOKUP(A608,Cadastro_Produtos!A:B,2,FALSE),"")</f>
        <v/>
      </c>
      <c r="D608" s="12" t="n"/>
      <c r="E608" s="13">
        <f>IF(D608="","",D608-TODAY())</f>
        <v/>
      </c>
      <c r="F608">
        <f>IF(D608="","",IF(E608&lt;0,"VENCIDO",IF(E608&lt;=30,"VENCE EM &lt;= 30 DIAS",IF(E608&lt;=60,"ATENCAO (31-60 DIAS)","OK"))))</f>
        <v/>
      </c>
      <c r="G608" s="13">
        <f>SUMIFS(Movimentacoes!$G:$G,Movimentacoes!$C:$C,$A608,Movimentacoes!$E:$E,$C608,Movimentacoes!$B:$B,"ENTRADA")</f>
        <v/>
      </c>
      <c r="H608" s="13">
        <f>SUMIFS(Movimentacoes!$G:$G,Movimentacoes!$C:$C,$A608,Movimentacoes!$E:$E,$C608,Movimentacoes!$B:$B,"SAIDA_USO")</f>
        <v/>
      </c>
      <c r="I608" s="13">
        <f>SUMIFS(Movimentacoes!$G:$G,Movimentacoes!$C:$C,$A608,Movimentacoes!$E:$E,$C608,Movimentacoes!$B:$B,"SAIDA_DESCARTE")</f>
        <v/>
      </c>
      <c r="J608" s="13">
        <f>G608-H608-I608</f>
        <v/>
      </c>
      <c r="K608">
        <f>IF(A608="","",IF(J608&lt;=IFERROR(VLOOKUP(A608,Cadastro_Produtos!$A:$E,5,FALSE),0),"ABAIXO DO MINIMO","OK"))</f>
        <v/>
      </c>
    </row>
    <row r="609">
      <c r="B609">
        <f>IFERROR(VLOOKUP(A609,Cadastro_Produtos!A:B,2,FALSE),"")</f>
        <v/>
      </c>
      <c r="D609" s="12" t="n"/>
      <c r="E609" s="13">
        <f>IF(D609="","",D609-TODAY())</f>
        <v/>
      </c>
      <c r="F609">
        <f>IF(D609="","",IF(E609&lt;0,"VENCIDO",IF(E609&lt;=30,"VENCE EM &lt;= 30 DIAS",IF(E609&lt;=60,"ATENCAO (31-60 DIAS)","OK"))))</f>
        <v/>
      </c>
      <c r="G609" s="13">
        <f>SUMIFS(Movimentacoes!$G:$G,Movimentacoes!$C:$C,$A609,Movimentacoes!$E:$E,$C609,Movimentacoes!$B:$B,"ENTRADA")</f>
        <v/>
      </c>
      <c r="H609" s="13">
        <f>SUMIFS(Movimentacoes!$G:$G,Movimentacoes!$C:$C,$A609,Movimentacoes!$E:$E,$C609,Movimentacoes!$B:$B,"SAIDA_USO")</f>
        <v/>
      </c>
      <c r="I609" s="13">
        <f>SUMIFS(Movimentacoes!$G:$G,Movimentacoes!$C:$C,$A609,Movimentacoes!$E:$E,$C609,Movimentacoes!$B:$B,"SAIDA_DESCARTE")</f>
        <v/>
      </c>
      <c r="J609" s="13">
        <f>G609-H609-I609</f>
        <v/>
      </c>
      <c r="K609">
        <f>IF(A609="","",IF(J609&lt;=IFERROR(VLOOKUP(A609,Cadastro_Produtos!$A:$E,5,FALSE),0),"ABAIXO DO MINIMO","OK"))</f>
        <v/>
      </c>
    </row>
    <row r="610">
      <c r="B610">
        <f>IFERROR(VLOOKUP(A610,Cadastro_Produtos!A:B,2,FALSE),"")</f>
        <v/>
      </c>
      <c r="D610" s="12" t="n"/>
      <c r="E610" s="13">
        <f>IF(D610="","",D610-TODAY())</f>
        <v/>
      </c>
      <c r="F610">
        <f>IF(D610="","",IF(E610&lt;0,"VENCIDO",IF(E610&lt;=30,"VENCE EM &lt;= 30 DIAS",IF(E610&lt;=60,"ATENCAO (31-60 DIAS)","OK"))))</f>
        <v/>
      </c>
      <c r="G610" s="13">
        <f>SUMIFS(Movimentacoes!$G:$G,Movimentacoes!$C:$C,$A610,Movimentacoes!$E:$E,$C610,Movimentacoes!$B:$B,"ENTRADA")</f>
        <v/>
      </c>
      <c r="H610" s="13">
        <f>SUMIFS(Movimentacoes!$G:$G,Movimentacoes!$C:$C,$A610,Movimentacoes!$E:$E,$C610,Movimentacoes!$B:$B,"SAIDA_USO")</f>
        <v/>
      </c>
      <c r="I610" s="13">
        <f>SUMIFS(Movimentacoes!$G:$G,Movimentacoes!$C:$C,$A610,Movimentacoes!$E:$E,$C610,Movimentacoes!$B:$B,"SAIDA_DESCARTE")</f>
        <v/>
      </c>
      <c r="J610" s="13">
        <f>G610-H610-I610</f>
        <v/>
      </c>
      <c r="K610">
        <f>IF(A610="","",IF(J610&lt;=IFERROR(VLOOKUP(A610,Cadastro_Produtos!$A:$E,5,FALSE),0),"ABAIXO DO MINIMO","OK"))</f>
        <v/>
      </c>
    </row>
    <row r="611">
      <c r="B611">
        <f>IFERROR(VLOOKUP(A611,Cadastro_Produtos!A:B,2,FALSE),"")</f>
        <v/>
      </c>
      <c r="D611" s="12" t="n"/>
      <c r="E611" s="13">
        <f>IF(D611="","",D611-TODAY())</f>
        <v/>
      </c>
      <c r="F611">
        <f>IF(D611="","",IF(E611&lt;0,"VENCIDO",IF(E611&lt;=30,"VENCE EM &lt;= 30 DIAS",IF(E611&lt;=60,"ATENCAO (31-60 DIAS)","OK"))))</f>
        <v/>
      </c>
      <c r="G611" s="13">
        <f>SUMIFS(Movimentacoes!$G:$G,Movimentacoes!$C:$C,$A611,Movimentacoes!$E:$E,$C611,Movimentacoes!$B:$B,"ENTRADA")</f>
        <v/>
      </c>
      <c r="H611" s="13">
        <f>SUMIFS(Movimentacoes!$G:$G,Movimentacoes!$C:$C,$A611,Movimentacoes!$E:$E,$C611,Movimentacoes!$B:$B,"SAIDA_USO")</f>
        <v/>
      </c>
      <c r="I611" s="13">
        <f>SUMIFS(Movimentacoes!$G:$G,Movimentacoes!$C:$C,$A611,Movimentacoes!$E:$E,$C611,Movimentacoes!$B:$B,"SAIDA_DESCARTE")</f>
        <v/>
      </c>
      <c r="J611" s="13">
        <f>G611-H611-I611</f>
        <v/>
      </c>
      <c r="K611">
        <f>IF(A611="","",IF(J611&lt;=IFERROR(VLOOKUP(A611,Cadastro_Produtos!$A:$E,5,FALSE),0),"ABAIXO DO MINIMO","OK"))</f>
        <v/>
      </c>
    </row>
    <row r="612">
      <c r="B612">
        <f>IFERROR(VLOOKUP(A612,Cadastro_Produtos!A:B,2,FALSE),"")</f>
        <v/>
      </c>
      <c r="D612" s="12" t="n"/>
      <c r="E612" s="13">
        <f>IF(D612="","",D612-TODAY())</f>
        <v/>
      </c>
      <c r="F612">
        <f>IF(D612="","",IF(E612&lt;0,"VENCIDO",IF(E612&lt;=30,"VENCE EM &lt;= 30 DIAS",IF(E612&lt;=60,"ATENCAO (31-60 DIAS)","OK"))))</f>
        <v/>
      </c>
      <c r="G612" s="13">
        <f>SUMIFS(Movimentacoes!$G:$G,Movimentacoes!$C:$C,$A612,Movimentacoes!$E:$E,$C612,Movimentacoes!$B:$B,"ENTRADA")</f>
        <v/>
      </c>
      <c r="H612" s="13">
        <f>SUMIFS(Movimentacoes!$G:$G,Movimentacoes!$C:$C,$A612,Movimentacoes!$E:$E,$C612,Movimentacoes!$B:$B,"SAIDA_USO")</f>
        <v/>
      </c>
      <c r="I612" s="13">
        <f>SUMIFS(Movimentacoes!$G:$G,Movimentacoes!$C:$C,$A612,Movimentacoes!$E:$E,$C612,Movimentacoes!$B:$B,"SAIDA_DESCARTE")</f>
        <v/>
      </c>
      <c r="J612" s="13">
        <f>G612-H612-I612</f>
        <v/>
      </c>
      <c r="K612">
        <f>IF(A612="","",IF(J612&lt;=IFERROR(VLOOKUP(A612,Cadastro_Produtos!$A:$E,5,FALSE),0),"ABAIXO DO MINIMO","OK"))</f>
        <v/>
      </c>
    </row>
    <row r="613">
      <c r="B613">
        <f>IFERROR(VLOOKUP(A613,Cadastro_Produtos!A:B,2,FALSE),"")</f>
        <v/>
      </c>
      <c r="D613" s="12" t="n"/>
      <c r="E613" s="13">
        <f>IF(D613="","",D613-TODAY())</f>
        <v/>
      </c>
      <c r="F613">
        <f>IF(D613="","",IF(E613&lt;0,"VENCIDO",IF(E613&lt;=30,"VENCE EM &lt;= 30 DIAS",IF(E613&lt;=60,"ATENCAO (31-60 DIAS)","OK"))))</f>
        <v/>
      </c>
      <c r="G613" s="13">
        <f>SUMIFS(Movimentacoes!$G:$G,Movimentacoes!$C:$C,$A613,Movimentacoes!$E:$E,$C613,Movimentacoes!$B:$B,"ENTRADA")</f>
        <v/>
      </c>
      <c r="H613" s="13">
        <f>SUMIFS(Movimentacoes!$G:$G,Movimentacoes!$C:$C,$A613,Movimentacoes!$E:$E,$C613,Movimentacoes!$B:$B,"SAIDA_USO")</f>
        <v/>
      </c>
      <c r="I613" s="13">
        <f>SUMIFS(Movimentacoes!$G:$G,Movimentacoes!$C:$C,$A613,Movimentacoes!$E:$E,$C613,Movimentacoes!$B:$B,"SAIDA_DESCARTE")</f>
        <v/>
      </c>
      <c r="J613" s="13">
        <f>G613-H613-I613</f>
        <v/>
      </c>
      <c r="K613">
        <f>IF(A613="","",IF(J613&lt;=IFERROR(VLOOKUP(A613,Cadastro_Produtos!$A:$E,5,FALSE),0),"ABAIXO DO MINIMO","OK"))</f>
        <v/>
      </c>
    </row>
    <row r="614">
      <c r="B614">
        <f>IFERROR(VLOOKUP(A614,Cadastro_Produtos!A:B,2,FALSE),"")</f>
        <v/>
      </c>
      <c r="D614" s="12" t="n"/>
      <c r="E614" s="13">
        <f>IF(D614="","",D614-TODAY())</f>
        <v/>
      </c>
      <c r="F614">
        <f>IF(D614="","",IF(E614&lt;0,"VENCIDO",IF(E614&lt;=30,"VENCE EM &lt;= 30 DIAS",IF(E614&lt;=60,"ATENCAO (31-60 DIAS)","OK"))))</f>
        <v/>
      </c>
      <c r="G614" s="13">
        <f>SUMIFS(Movimentacoes!$G:$G,Movimentacoes!$C:$C,$A614,Movimentacoes!$E:$E,$C614,Movimentacoes!$B:$B,"ENTRADA")</f>
        <v/>
      </c>
      <c r="H614" s="13">
        <f>SUMIFS(Movimentacoes!$G:$G,Movimentacoes!$C:$C,$A614,Movimentacoes!$E:$E,$C614,Movimentacoes!$B:$B,"SAIDA_USO")</f>
        <v/>
      </c>
      <c r="I614" s="13">
        <f>SUMIFS(Movimentacoes!$G:$G,Movimentacoes!$C:$C,$A614,Movimentacoes!$E:$E,$C614,Movimentacoes!$B:$B,"SAIDA_DESCARTE")</f>
        <v/>
      </c>
      <c r="J614" s="13">
        <f>G614-H614-I614</f>
        <v/>
      </c>
      <c r="K614">
        <f>IF(A614="","",IF(J614&lt;=IFERROR(VLOOKUP(A614,Cadastro_Produtos!$A:$E,5,FALSE),0),"ABAIXO DO MINIMO","OK"))</f>
        <v/>
      </c>
    </row>
    <row r="615">
      <c r="B615">
        <f>IFERROR(VLOOKUP(A615,Cadastro_Produtos!A:B,2,FALSE),"")</f>
        <v/>
      </c>
      <c r="D615" s="12" t="n"/>
      <c r="E615" s="13">
        <f>IF(D615="","",D615-TODAY())</f>
        <v/>
      </c>
      <c r="F615">
        <f>IF(D615="","",IF(E615&lt;0,"VENCIDO",IF(E615&lt;=30,"VENCE EM &lt;= 30 DIAS",IF(E615&lt;=60,"ATENCAO (31-60 DIAS)","OK"))))</f>
        <v/>
      </c>
      <c r="G615" s="13">
        <f>SUMIFS(Movimentacoes!$G:$G,Movimentacoes!$C:$C,$A615,Movimentacoes!$E:$E,$C615,Movimentacoes!$B:$B,"ENTRADA")</f>
        <v/>
      </c>
      <c r="H615" s="13">
        <f>SUMIFS(Movimentacoes!$G:$G,Movimentacoes!$C:$C,$A615,Movimentacoes!$E:$E,$C615,Movimentacoes!$B:$B,"SAIDA_USO")</f>
        <v/>
      </c>
      <c r="I615" s="13">
        <f>SUMIFS(Movimentacoes!$G:$G,Movimentacoes!$C:$C,$A615,Movimentacoes!$E:$E,$C615,Movimentacoes!$B:$B,"SAIDA_DESCARTE")</f>
        <v/>
      </c>
      <c r="J615" s="13">
        <f>G615-H615-I615</f>
        <v/>
      </c>
      <c r="K615">
        <f>IF(A615="","",IF(J615&lt;=IFERROR(VLOOKUP(A615,Cadastro_Produtos!$A:$E,5,FALSE),0),"ABAIXO DO MINIMO","OK"))</f>
        <v/>
      </c>
    </row>
    <row r="616">
      <c r="B616">
        <f>IFERROR(VLOOKUP(A616,Cadastro_Produtos!A:B,2,FALSE),"")</f>
        <v/>
      </c>
      <c r="D616" s="12" t="n"/>
      <c r="E616" s="13">
        <f>IF(D616="","",D616-TODAY())</f>
        <v/>
      </c>
      <c r="F616">
        <f>IF(D616="","",IF(E616&lt;0,"VENCIDO",IF(E616&lt;=30,"VENCE EM &lt;= 30 DIAS",IF(E616&lt;=60,"ATENCAO (31-60 DIAS)","OK"))))</f>
        <v/>
      </c>
      <c r="G616" s="13">
        <f>SUMIFS(Movimentacoes!$G:$G,Movimentacoes!$C:$C,$A616,Movimentacoes!$E:$E,$C616,Movimentacoes!$B:$B,"ENTRADA")</f>
        <v/>
      </c>
      <c r="H616" s="13">
        <f>SUMIFS(Movimentacoes!$G:$G,Movimentacoes!$C:$C,$A616,Movimentacoes!$E:$E,$C616,Movimentacoes!$B:$B,"SAIDA_USO")</f>
        <v/>
      </c>
      <c r="I616" s="13">
        <f>SUMIFS(Movimentacoes!$G:$G,Movimentacoes!$C:$C,$A616,Movimentacoes!$E:$E,$C616,Movimentacoes!$B:$B,"SAIDA_DESCARTE")</f>
        <v/>
      </c>
      <c r="J616" s="13">
        <f>G616-H616-I616</f>
        <v/>
      </c>
      <c r="K616">
        <f>IF(A616="","",IF(J616&lt;=IFERROR(VLOOKUP(A616,Cadastro_Produtos!$A:$E,5,FALSE),0),"ABAIXO DO MINIMO","OK"))</f>
        <v/>
      </c>
    </row>
    <row r="617">
      <c r="B617">
        <f>IFERROR(VLOOKUP(A617,Cadastro_Produtos!A:B,2,FALSE),"")</f>
        <v/>
      </c>
      <c r="D617" s="12" t="n"/>
      <c r="E617" s="13">
        <f>IF(D617="","",D617-TODAY())</f>
        <v/>
      </c>
      <c r="F617">
        <f>IF(D617="","",IF(E617&lt;0,"VENCIDO",IF(E617&lt;=30,"VENCE EM &lt;= 30 DIAS",IF(E617&lt;=60,"ATENCAO (31-60 DIAS)","OK"))))</f>
        <v/>
      </c>
      <c r="G617" s="13">
        <f>SUMIFS(Movimentacoes!$G:$G,Movimentacoes!$C:$C,$A617,Movimentacoes!$E:$E,$C617,Movimentacoes!$B:$B,"ENTRADA")</f>
        <v/>
      </c>
      <c r="H617" s="13">
        <f>SUMIFS(Movimentacoes!$G:$G,Movimentacoes!$C:$C,$A617,Movimentacoes!$E:$E,$C617,Movimentacoes!$B:$B,"SAIDA_USO")</f>
        <v/>
      </c>
      <c r="I617" s="13">
        <f>SUMIFS(Movimentacoes!$G:$G,Movimentacoes!$C:$C,$A617,Movimentacoes!$E:$E,$C617,Movimentacoes!$B:$B,"SAIDA_DESCARTE")</f>
        <v/>
      </c>
      <c r="J617" s="13">
        <f>G617-H617-I617</f>
        <v/>
      </c>
      <c r="K617">
        <f>IF(A617="","",IF(J617&lt;=IFERROR(VLOOKUP(A617,Cadastro_Produtos!$A:$E,5,FALSE),0),"ABAIXO DO MINIMO","OK"))</f>
        <v/>
      </c>
    </row>
    <row r="618">
      <c r="B618">
        <f>IFERROR(VLOOKUP(A618,Cadastro_Produtos!A:B,2,FALSE),"")</f>
        <v/>
      </c>
      <c r="D618" s="12" t="n"/>
      <c r="E618" s="13">
        <f>IF(D618="","",D618-TODAY())</f>
        <v/>
      </c>
      <c r="F618">
        <f>IF(D618="","",IF(E618&lt;0,"VENCIDO",IF(E618&lt;=30,"VENCE EM &lt;= 30 DIAS",IF(E618&lt;=60,"ATENCAO (31-60 DIAS)","OK"))))</f>
        <v/>
      </c>
      <c r="G618" s="13">
        <f>SUMIFS(Movimentacoes!$G:$G,Movimentacoes!$C:$C,$A618,Movimentacoes!$E:$E,$C618,Movimentacoes!$B:$B,"ENTRADA")</f>
        <v/>
      </c>
      <c r="H618" s="13">
        <f>SUMIFS(Movimentacoes!$G:$G,Movimentacoes!$C:$C,$A618,Movimentacoes!$E:$E,$C618,Movimentacoes!$B:$B,"SAIDA_USO")</f>
        <v/>
      </c>
      <c r="I618" s="13">
        <f>SUMIFS(Movimentacoes!$G:$G,Movimentacoes!$C:$C,$A618,Movimentacoes!$E:$E,$C618,Movimentacoes!$B:$B,"SAIDA_DESCARTE")</f>
        <v/>
      </c>
      <c r="J618" s="13">
        <f>G618-H618-I618</f>
        <v/>
      </c>
      <c r="K618">
        <f>IF(A618="","",IF(J618&lt;=IFERROR(VLOOKUP(A618,Cadastro_Produtos!$A:$E,5,FALSE),0),"ABAIXO DO MINIMO","OK"))</f>
        <v/>
      </c>
    </row>
    <row r="619">
      <c r="B619">
        <f>IFERROR(VLOOKUP(A619,Cadastro_Produtos!A:B,2,FALSE),"")</f>
        <v/>
      </c>
      <c r="D619" s="12" t="n"/>
      <c r="E619" s="13">
        <f>IF(D619="","",D619-TODAY())</f>
        <v/>
      </c>
      <c r="F619">
        <f>IF(D619="","",IF(E619&lt;0,"VENCIDO",IF(E619&lt;=30,"VENCE EM &lt;= 30 DIAS",IF(E619&lt;=60,"ATENCAO (31-60 DIAS)","OK"))))</f>
        <v/>
      </c>
      <c r="G619" s="13">
        <f>SUMIFS(Movimentacoes!$G:$G,Movimentacoes!$C:$C,$A619,Movimentacoes!$E:$E,$C619,Movimentacoes!$B:$B,"ENTRADA")</f>
        <v/>
      </c>
      <c r="H619" s="13">
        <f>SUMIFS(Movimentacoes!$G:$G,Movimentacoes!$C:$C,$A619,Movimentacoes!$E:$E,$C619,Movimentacoes!$B:$B,"SAIDA_USO")</f>
        <v/>
      </c>
      <c r="I619" s="13">
        <f>SUMIFS(Movimentacoes!$G:$G,Movimentacoes!$C:$C,$A619,Movimentacoes!$E:$E,$C619,Movimentacoes!$B:$B,"SAIDA_DESCARTE")</f>
        <v/>
      </c>
      <c r="J619" s="13">
        <f>G619-H619-I619</f>
        <v/>
      </c>
      <c r="K619">
        <f>IF(A619="","",IF(J619&lt;=IFERROR(VLOOKUP(A619,Cadastro_Produtos!$A:$E,5,FALSE),0),"ABAIXO DO MINIMO","OK"))</f>
        <v/>
      </c>
    </row>
    <row r="620">
      <c r="B620">
        <f>IFERROR(VLOOKUP(A620,Cadastro_Produtos!A:B,2,FALSE),"")</f>
        <v/>
      </c>
      <c r="D620" s="12" t="n"/>
      <c r="E620" s="13">
        <f>IF(D620="","",D620-TODAY())</f>
        <v/>
      </c>
      <c r="F620">
        <f>IF(D620="","",IF(E620&lt;0,"VENCIDO",IF(E620&lt;=30,"VENCE EM &lt;= 30 DIAS",IF(E620&lt;=60,"ATENCAO (31-60 DIAS)","OK"))))</f>
        <v/>
      </c>
      <c r="G620" s="13">
        <f>SUMIFS(Movimentacoes!$G:$G,Movimentacoes!$C:$C,$A620,Movimentacoes!$E:$E,$C620,Movimentacoes!$B:$B,"ENTRADA")</f>
        <v/>
      </c>
      <c r="H620" s="13">
        <f>SUMIFS(Movimentacoes!$G:$G,Movimentacoes!$C:$C,$A620,Movimentacoes!$E:$E,$C620,Movimentacoes!$B:$B,"SAIDA_USO")</f>
        <v/>
      </c>
      <c r="I620" s="13">
        <f>SUMIFS(Movimentacoes!$G:$G,Movimentacoes!$C:$C,$A620,Movimentacoes!$E:$E,$C620,Movimentacoes!$B:$B,"SAIDA_DESCARTE")</f>
        <v/>
      </c>
      <c r="J620" s="13">
        <f>G620-H620-I620</f>
        <v/>
      </c>
      <c r="K620">
        <f>IF(A620="","",IF(J620&lt;=IFERROR(VLOOKUP(A620,Cadastro_Produtos!$A:$E,5,FALSE),0),"ABAIXO DO MINIMO","OK"))</f>
        <v/>
      </c>
    </row>
    <row r="621">
      <c r="B621">
        <f>IFERROR(VLOOKUP(A621,Cadastro_Produtos!A:B,2,FALSE),"")</f>
        <v/>
      </c>
      <c r="D621" s="12" t="n"/>
      <c r="E621" s="13">
        <f>IF(D621="","",D621-TODAY())</f>
        <v/>
      </c>
      <c r="F621">
        <f>IF(D621="","",IF(E621&lt;0,"VENCIDO",IF(E621&lt;=30,"VENCE EM &lt;= 30 DIAS",IF(E621&lt;=60,"ATENCAO (31-60 DIAS)","OK"))))</f>
        <v/>
      </c>
      <c r="G621" s="13">
        <f>SUMIFS(Movimentacoes!$G:$G,Movimentacoes!$C:$C,$A621,Movimentacoes!$E:$E,$C621,Movimentacoes!$B:$B,"ENTRADA")</f>
        <v/>
      </c>
      <c r="H621" s="13">
        <f>SUMIFS(Movimentacoes!$G:$G,Movimentacoes!$C:$C,$A621,Movimentacoes!$E:$E,$C621,Movimentacoes!$B:$B,"SAIDA_USO")</f>
        <v/>
      </c>
      <c r="I621" s="13">
        <f>SUMIFS(Movimentacoes!$G:$G,Movimentacoes!$C:$C,$A621,Movimentacoes!$E:$E,$C621,Movimentacoes!$B:$B,"SAIDA_DESCARTE")</f>
        <v/>
      </c>
      <c r="J621" s="13">
        <f>G621-H621-I621</f>
        <v/>
      </c>
      <c r="K621">
        <f>IF(A621="","",IF(J621&lt;=IFERROR(VLOOKUP(A621,Cadastro_Produtos!$A:$E,5,FALSE),0),"ABAIXO DO MINIMO","OK"))</f>
        <v/>
      </c>
    </row>
    <row r="622">
      <c r="B622">
        <f>IFERROR(VLOOKUP(A622,Cadastro_Produtos!A:B,2,FALSE),"")</f>
        <v/>
      </c>
      <c r="D622" s="12" t="n"/>
      <c r="E622" s="13">
        <f>IF(D622="","",D622-TODAY())</f>
        <v/>
      </c>
      <c r="F622">
        <f>IF(D622="","",IF(E622&lt;0,"VENCIDO",IF(E622&lt;=30,"VENCE EM &lt;= 30 DIAS",IF(E622&lt;=60,"ATENCAO (31-60 DIAS)","OK"))))</f>
        <v/>
      </c>
      <c r="G622" s="13">
        <f>SUMIFS(Movimentacoes!$G:$G,Movimentacoes!$C:$C,$A622,Movimentacoes!$E:$E,$C622,Movimentacoes!$B:$B,"ENTRADA")</f>
        <v/>
      </c>
      <c r="H622" s="13">
        <f>SUMIFS(Movimentacoes!$G:$G,Movimentacoes!$C:$C,$A622,Movimentacoes!$E:$E,$C622,Movimentacoes!$B:$B,"SAIDA_USO")</f>
        <v/>
      </c>
      <c r="I622" s="13">
        <f>SUMIFS(Movimentacoes!$G:$G,Movimentacoes!$C:$C,$A622,Movimentacoes!$E:$E,$C622,Movimentacoes!$B:$B,"SAIDA_DESCARTE")</f>
        <v/>
      </c>
      <c r="J622" s="13">
        <f>G622-H622-I622</f>
        <v/>
      </c>
      <c r="K622">
        <f>IF(A622="","",IF(J622&lt;=IFERROR(VLOOKUP(A622,Cadastro_Produtos!$A:$E,5,FALSE),0),"ABAIXO DO MINIMO","OK"))</f>
        <v/>
      </c>
    </row>
    <row r="623">
      <c r="B623">
        <f>IFERROR(VLOOKUP(A623,Cadastro_Produtos!A:B,2,FALSE),"")</f>
        <v/>
      </c>
      <c r="D623" s="12" t="n"/>
      <c r="E623" s="13">
        <f>IF(D623="","",D623-TODAY())</f>
        <v/>
      </c>
      <c r="F623">
        <f>IF(D623="","",IF(E623&lt;0,"VENCIDO",IF(E623&lt;=30,"VENCE EM &lt;= 30 DIAS",IF(E623&lt;=60,"ATENCAO (31-60 DIAS)","OK"))))</f>
        <v/>
      </c>
      <c r="G623" s="13">
        <f>SUMIFS(Movimentacoes!$G:$G,Movimentacoes!$C:$C,$A623,Movimentacoes!$E:$E,$C623,Movimentacoes!$B:$B,"ENTRADA")</f>
        <v/>
      </c>
      <c r="H623" s="13">
        <f>SUMIFS(Movimentacoes!$G:$G,Movimentacoes!$C:$C,$A623,Movimentacoes!$E:$E,$C623,Movimentacoes!$B:$B,"SAIDA_USO")</f>
        <v/>
      </c>
      <c r="I623" s="13">
        <f>SUMIFS(Movimentacoes!$G:$G,Movimentacoes!$C:$C,$A623,Movimentacoes!$E:$E,$C623,Movimentacoes!$B:$B,"SAIDA_DESCARTE")</f>
        <v/>
      </c>
      <c r="J623" s="13">
        <f>G623-H623-I623</f>
        <v/>
      </c>
      <c r="K623">
        <f>IF(A623="","",IF(J623&lt;=IFERROR(VLOOKUP(A623,Cadastro_Produtos!$A:$E,5,FALSE),0),"ABAIXO DO MINIMO","OK"))</f>
        <v/>
      </c>
    </row>
    <row r="624">
      <c r="B624">
        <f>IFERROR(VLOOKUP(A624,Cadastro_Produtos!A:B,2,FALSE),"")</f>
        <v/>
      </c>
      <c r="D624" s="12" t="n"/>
      <c r="E624" s="13">
        <f>IF(D624="","",D624-TODAY())</f>
        <v/>
      </c>
      <c r="F624">
        <f>IF(D624="","",IF(E624&lt;0,"VENCIDO",IF(E624&lt;=30,"VENCE EM &lt;= 30 DIAS",IF(E624&lt;=60,"ATENCAO (31-60 DIAS)","OK"))))</f>
        <v/>
      </c>
      <c r="G624" s="13">
        <f>SUMIFS(Movimentacoes!$G:$G,Movimentacoes!$C:$C,$A624,Movimentacoes!$E:$E,$C624,Movimentacoes!$B:$B,"ENTRADA")</f>
        <v/>
      </c>
      <c r="H624" s="13">
        <f>SUMIFS(Movimentacoes!$G:$G,Movimentacoes!$C:$C,$A624,Movimentacoes!$E:$E,$C624,Movimentacoes!$B:$B,"SAIDA_USO")</f>
        <v/>
      </c>
      <c r="I624" s="13">
        <f>SUMIFS(Movimentacoes!$G:$G,Movimentacoes!$C:$C,$A624,Movimentacoes!$E:$E,$C624,Movimentacoes!$B:$B,"SAIDA_DESCARTE")</f>
        <v/>
      </c>
      <c r="J624" s="13">
        <f>G624-H624-I624</f>
        <v/>
      </c>
      <c r="K624">
        <f>IF(A624="","",IF(J624&lt;=IFERROR(VLOOKUP(A624,Cadastro_Produtos!$A:$E,5,FALSE),0),"ABAIXO DO MINIMO","OK"))</f>
        <v/>
      </c>
    </row>
    <row r="625">
      <c r="B625">
        <f>IFERROR(VLOOKUP(A625,Cadastro_Produtos!A:B,2,FALSE),"")</f>
        <v/>
      </c>
      <c r="D625" s="12" t="n"/>
      <c r="E625" s="13">
        <f>IF(D625="","",D625-TODAY())</f>
        <v/>
      </c>
      <c r="F625">
        <f>IF(D625="","",IF(E625&lt;0,"VENCIDO",IF(E625&lt;=30,"VENCE EM &lt;= 30 DIAS",IF(E625&lt;=60,"ATENCAO (31-60 DIAS)","OK"))))</f>
        <v/>
      </c>
      <c r="G625" s="13">
        <f>SUMIFS(Movimentacoes!$G:$G,Movimentacoes!$C:$C,$A625,Movimentacoes!$E:$E,$C625,Movimentacoes!$B:$B,"ENTRADA")</f>
        <v/>
      </c>
      <c r="H625" s="13">
        <f>SUMIFS(Movimentacoes!$G:$G,Movimentacoes!$C:$C,$A625,Movimentacoes!$E:$E,$C625,Movimentacoes!$B:$B,"SAIDA_USO")</f>
        <v/>
      </c>
      <c r="I625" s="13">
        <f>SUMIFS(Movimentacoes!$G:$G,Movimentacoes!$C:$C,$A625,Movimentacoes!$E:$E,$C625,Movimentacoes!$B:$B,"SAIDA_DESCARTE")</f>
        <v/>
      </c>
      <c r="J625" s="13">
        <f>G625-H625-I625</f>
        <v/>
      </c>
      <c r="K625">
        <f>IF(A625="","",IF(J625&lt;=IFERROR(VLOOKUP(A625,Cadastro_Produtos!$A:$E,5,FALSE),0),"ABAIXO DO MINIMO","OK"))</f>
        <v/>
      </c>
    </row>
    <row r="626">
      <c r="B626">
        <f>IFERROR(VLOOKUP(A626,Cadastro_Produtos!A:B,2,FALSE),"")</f>
        <v/>
      </c>
      <c r="D626" s="12" t="n"/>
      <c r="E626" s="13">
        <f>IF(D626="","",D626-TODAY())</f>
        <v/>
      </c>
      <c r="F626">
        <f>IF(D626="","",IF(E626&lt;0,"VENCIDO",IF(E626&lt;=30,"VENCE EM &lt;= 30 DIAS",IF(E626&lt;=60,"ATENCAO (31-60 DIAS)","OK"))))</f>
        <v/>
      </c>
      <c r="G626" s="13">
        <f>SUMIFS(Movimentacoes!$G:$G,Movimentacoes!$C:$C,$A626,Movimentacoes!$E:$E,$C626,Movimentacoes!$B:$B,"ENTRADA")</f>
        <v/>
      </c>
      <c r="H626" s="13">
        <f>SUMIFS(Movimentacoes!$G:$G,Movimentacoes!$C:$C,$A626,Movimentacoes!$E:$E,$C626,Movimentacoes!$B:$B,"SAIDA_USO")</f>
        <v/>
      </c>
      <c r="I626" s="13">
        <f>SUMIFS(Movimentacoes!$G:$G,Movimentacoes!$C:$C,$A626,Movimentacoes!$E:$E,$C626,Movimentacoes!$B:$B,"SAIDA_DESCARTE")</f>
        <v/>
      </c>
      <c r="J626" s="13">
        <f>G626-H626-I626</f>
        <v/>
      </c>
      <c r="K626">
        <f>IF(A626="","",IF(J626&lt;=IFERROR(VLOOKUP(A626,Cadastro_Produtos!$A:$E,5,FALSE),0),"ABAIXO DO MINIMO","OK"))</f>
        <v/>
      </c>
    </row>
    <row r="627">
      <c r="B627">
        <f>IFERROR(VLOOKUP(A627,Cadastro_Produtos!A:B,2,FALSE),"")</f>
        <v/>
      </c>
      <c r="D627" s="12" t="n"/>
      <c r="E627" s="13">
        <f>IF(D627="","",D627-TODAY())</f>
        <v/>
      </c>
      <c r="F627">
        <f>IF(D627="","",IF(E627&lt;0,"VENCIDO",IF(E627&lt;=30,"VENCE EM &lt;= 30 DIAS",IF(E627&lt;=60,"ATENCAO (31-60 DIAS)","OK"))))</f>
        <v/>
      </c>
      <c r="G627" s="13">
        <f>SUMIFS(Movimentacoes!$G:$G,Movimentacoes!$C:$C,$A627,Movimentacoes!$E:$E,$C627,Movimentacoes!$B:$B,"ENTRADA")</f>
        <v/>
      </c>
      <c r="H627" s="13">
        <f>SUMIFS(Movimentacoes!$G:$G,Movimentacoes!$C:$C,$A627,Movimentacoes!$E:$E,$C627,Movimentacoes!$B:$B,"SAIDA_USO")</f>
        <v/>
      </c>
      <c r="I627" s="13">
        <f>SUMIFS(Movimentacoes!$G:$G,Movimentacoes!$C:$C,$A627,Movimentacoes!$E:$E,$C627,Movimentacoes!$B:$B,"SAIDA_DESCARTE")</f>
        <v/>
      </c>
      <c r="J627" s="13">
        <f>G627-H627-I627</f>
        <v/>
      </c>
      <c r="K627">
        <f>IF(A627="","",IF(J627&lt;=IFERROR(VLOOKUP(A627,Cadastro_Produtos!$A:$E,5,FALSE),0),"ABAIXO DO MINIMO","OK"))</f>
        <v/>
      </c>
    </row>
    <row r="628">
      <c r="B628">
        <f>IFERROR(VLOOKUP(A628,Cadastro_Produtos!A:B,2,FALSE),"")</f>
        <v/>
      </c>
      <c r="D628" s="12" t="n"/>
      <c r="E628" s="13">
        <f>IF(D628="","",D628-TODAY())</f>
        <v/>
      </c>
      <c r="F628">
        <f>IF(D628="","",IF(E628&lt;0,"VENCIDO",IF(E628&lt;=30,"VENCE EM &lt;= 30 DIAS",IF(E628&lt;=60,"ATENCAO (31-60 DIAS)","OK"))))</f>
        <v/>
      </c>
      <c r="G628" s="13">
        <f>SUMIFS(Movimentacoes!$G:$G,Movimentacoes!$C:$C,$A628,Movimentacoes!$E:$E,$C628,Movimentacoes!$B:$B,"ENTRADA")</f>
        <v/>
      </c>
      <c r="H628" s="13">
        <f>SUMIFS(Movimentacoes!$G:$G,Movimentacoes!$C:$C,$A628,Movimentacoes!$E:$E,$C628,Movimentacoes!$B:$B,"SAIDA_USO")</f>
        <v/>
      </c>
      <c r="I628" s="13">
        <f>SUMIFS(Movimentacoes!$G:$G,Movimentacoes!$C:$C,$A628,Movimentacoes!$E:$E,$C628,Movimentacoes!$B:$B,"SAIDA_DESCARTE")</f>
        <v/>
      </c>
      <c r="J628" s="13">
        <f>G628-H628-I628</f>
        <v/>
      </c>
      <c r="K628">
        <f>IF(A628="","",IF(J628&lt;=IFERROR(VLOOKUP(A628,Cadastro_Produtos!$A:$E,5,FALSE),0),"ABAIXO DO MINIMO","OK"))</f>
        <v/>
      </c>
    </row>
    <row r="629">
      <c r="B629">
        <f>IFERROR(VLOOKUP(A629,Cadastro_Produtos!A:B,2,FALSE),"")</f>
        <v/>
      </c>
      <c r="D629" s="12" t="n"/>
      <c r="E629" s="13">
        <f>IF(D629="","",D629-TODAY())</f>
        <v/>
      </c>
      <c r="F629">
        <f>IF(D629="","",IF(E629&lt;0,"VENCIDO",IF(E629&lt;=30,"VENCE EM &lt;= 30 DIAS",IF(E629&lt;=60,"ATENCAO (31-60 DIAS)","OK"))))</f>
        <v/>
      </c>
      <c r="G629" s="13">
        <f>SUMIFS(Movimentacoes!$G:$G,Movimentacoes!$C:$C,$A629,Movimentacoes!$E:$E,$C629,Movimentacoes!$B:$B,"ENTRADA")</f>
        <v/>
      </c>
      <c r="H629" s="13">
        <f>SUMIFS(Movimentacoes!$G:$G,Movimentacoes!$C:$C,$A629,Movimentacoes!$E:$E,$C629,Movimentacoes!$B:$B,"SAIDA_USO")</f>
        <v/>
      </c>
      <c r="I629" s="13">
        <f>SUMIFS(Movimentacoes!$G:$G,Movimentacoes!$C:$C,$A629,Movimentacoes!$E:$E,$C629,Movimentacoes!$B:$B,"SAIDA_DESCARTE")</f>
        <v/>
      </c>
      <c r="J629" s="13">
        <f>G629-H629-I629</f>
        <v/>
      </c>
      <c r="K629">
        <f>IF(A629="","",IF(J629&lt;=IFERROR(VLOOKUP(A629,Cadastro_Produtos!$A:$E,5,FALSE),0),"ABAIXO DO MINIMO","OK"))</f>
        <v/>
      </c>
    </row>
    <row r="630">
      <c r="B630">
        <f>IFERROR(VLOOKUP(A630,Cadastro_Produtos!A:B,2,FALSE),"")</f>
        <v/>
      </c>
      <c r="D630" s="12" t="n"/>
      <c r="E630" s="13">
        <f>IF(D630="","",D630-TODAY())</f>
        <v/>
      </c>
      <c r="F630">
        <f>IF(D630="","",IF(E630&lt;0,"VENCIDO",IF(E630&lt;=30,"VENCE EM &lt;= 30 DIAS",IF(E630&lt;=60,"ATENCAO (31-60 DIAS)","OK"))))</f>
        <v/>
      </c>
      <c r="G630" s="13">
        <f>SUMIFS(Movimentacoes!$G:$G,Movimentacoes!$C:$C,$A630,Movimentacoes!$E:$E,$C630,Movimentacoes!$B:$B,"ENTRADA")</f>
        <v/>
      </c>
      <c r="H630" s="13">
        <f>SUMIFS(Movimentacoes!$G:$G,Movimentacoes!$C:$C,$A630,Movimentacoes!$E:$E,$C630,Movimentacoes!$B:$B,"SAIDA_USO")</f>
        <v/>
      </c>
      <c r="I630" s="13">
        <f>SUMIFS(Movimentacoes!$G:$G,Movimentacoes!$C:$C,$A630,Movimentacoes!$E:$E,$C630,Movimentacoes!$B:$B,"SAIDA_DESCARTE")</f>
        <v/>
      </c>
      <c r="J630" s="13">
        <f>G630-H630-I630</f>
        <v/>
      </c>
      <c r="K630">
        <f>IF(A630="","",IF(J630&lt;=IFERROR(VLOOKUP(A630,Cadastro_Produtos!$A:$E,5,FALSE),0),"ABAIXO DO MINIMO","OK"))</f>
        <v/>
      </c>
    </row>
    <row r="631">
      <c r="B631">
        <f>IFERROR(VLOOKUP(A631,Cadastro_Produtos!A:B,2,FALSE),"")</f>
        <v/>
      </c>
      <c r="D631" s="12" t="n"/>
      <c r="E631" s="13">
        <f>IF(D631="","",D631-TODAY())</f>
        <v/>
      </c>
      <c r="F631">
        <f>IF(D631="","",IF(E631&lt;0,"VENCIDO",IF(E631&lt;=30,"VENCE EM &lt;= 30 DIAS",IF(E631&lt;=60,"ATENCAO (31-60 DIAS)","OK"))))</f>
        <v/>
      </c>
      <c r="G631" s="13">
        <f>SUMIFS(Movimentacoes!$G:$G,Movimentacoes!$C:$C,$A631,Movimentacoes!$E:$E,$C631,Movimentacoes!$B:$B,"ENTRADA")</f>
        <v/>
      </c>
      <c r="H631" s="13">
        <f>SUMIFS(Movimentacoes!$G:$G,Movimentacoes!$C:$C,$A631,Movimentacoes!$E:$E,$C631,Movimentacoes!$B:$B,"SAIDA_USO")</f>
        <v/>
      </c>
      <c r="I631" s="13">
        <f>SUMIFS(Movimentacoes!$G:$G,Movimentacoes!$C:$C,$A631,Movimentacoes!$E:$E,$C631,Movimentacoes!$B:$B,"SAIDA_DESCARTE")</f>
        <v/>
      </c>
      <c r="J631" s="13">
        <f>G631-H631-I631</f>
        <v/>
      </c>
      <c r="K631">
        <f>IF(A631="","",IF(J631&lt;=IFERROR(VLOOKUP(A631,Cadastro_Produtos!$A:$E,5,FALSE),0),"ABAIXO DO MINIMO","OK"))</f>
        <v/>
      </c>
    </row>
    <row r="632">
      <c r="B632">
        <f>IFERROR(VLOOKUP(A632,Cadastro_Produtos!A:B,2,FALSE),"")</f>
        <v/>
      </c>
      <c r="D632" s="12" t="n"/>
      <c r="E632" s="13">
        <f>IF(D632="","",D632-TODAY())</f>
        <v/>
      </c>
      <c r="F632">
        <f>IF(D632="","",IF(E632&lt;0,"VENCIDO",IF(E632&lt;=30,"VENCE EM &lt;= 30 DIAS",IF(E632&lt;=60,"ATENCAO (31-60 DIAS)","OK"))))</f>
        <v/>
      </c>
      <c r="G632" s="13">
        <f>SUMIFS(Movimentacoes!$G:$G,Movimentacoes!$C:$C,$A632,Movimentacoes!$E:$E,$C632,Movimentacoes!$B:$B,"ENTRADA")</f>
        <v/>
      </c>
      <c r="H632" s="13">
        <f>SUMIFS(Movimentacoes!$G:$G,Movimentacoes!$C:$C,$A632,Movimentacoes!$E:$E,$C632,Movimentacoes!$B:$B,"SAIDA_USO")</f>
        <v/>
      </c>
      <c r="I632" s="13">
        <f>SUMIFS(Movimentacoes!$G:$G,Movimentacoes!$C:$C,$A632,Movimentacoes!$E:$E,$C632,Movimentacoes!$B:$B,"SAIDA_DESCARTE")</f>
        <v/>
      </c>
      <c r="J632" s="13">
        <f>G632-H632-I632</f>
        <v/>
      </c>
      <c r="K632">
        <f>IF(A632="","",IF(J632&lt;=IFERROR(VLOOKUP(A632,Cadastro_Produtos!$A:$E,5,FALSE),0),"ABAIXO DO MINIMO","OK"))</f>
        <v/>
      </c>
    </row>
    <row r="633">
      <c r="B633">
        <f>IFERROR(VLOOKUP(A633,Cadastro_Produtos!A:B,2,FALSE),"")</f>
        <v/>
      </c>
      <c r="D633" s="12" t="n"/>
      <c r="E633" s="13">
        <f>IF(D633="","",D633-TODAY())</f>
        <v/>
      </c>
      <c r="F633">
        <f>IF(D633="","",IF(E633&lt;0,"VENCIDO",IF(E633&lt;=30,"VENCE EM &lt;= 30 DIAS",IF(E633&lt;=60,"ATENCAO (31-60 DIAS)","OK"))))</f>
        <v/>
      </c>
      <c r="G633" s="13">
        <f>SUMIFS(Movimentacoes!$G:$G,Movimentacoes!$C:$C,$A633,Movimentacoes!$E:$E,$C633,Movimentacoes!$B:$B,"ENTRADA")</f>
        <v/>
      </c>
      <c r="H633" s="13">
        <f>SUMIFS(Movimentacoes!$G:$G,Movimentacoes!$C:$C,$A633,Movimentacoes!$E:$E,$C633,Movimentacoes!$B:$B,"SAIDA_USO")</f>
        <v/>
      </c>
      <c r="I633" s="13">
        <f>SUMIFS(Movimentacoes!$G:$G,Movimentacoes!$C:$C,$A633,Movimentacoes!$E:$E,$C633,Movimentacoes!$B:$B,"SAIDA_DESCARTE")</f>
        <v/>
      </c>
      <c r="J633" s="13">
        <f>G633-H633-I633</f>
        <v/>
      </c>
      <c r="K633">
        <f>IF(A633="","",IF(J633&lt;=IFERROR(VLOOKUP(A633,Cadastro_Produtos!$A:$E,5,FALSE),0),"ABAIXO DO MINIMO","OK"))</f>
        <v/>
      </c>
    </row>
    <row r="634">
      <c r="B634">
        <f>IFERROR(VLOOKUP(A634,Cadastro_Produtos!A:B,2,FALSE),"")</f>
        <v/>
      </c>
      <c r="D634" s="12" t="n"/>
      <c r="E634" s="13">
        <f>IF(D634="","",D634-TODAY())</f>
        <v/>
      </c>
      <c r="F634">
        <f>IF(D634="","",IF(E634&lt;0,"VENCIDO",IF(E634&lt;=30,"VENCE EM &lt;= 30 DIAS",IF(E634&lt;=60,"ATENCAO (31-60 DIAS)","OK"))))</f>
        <v/>
      </c>
      <c r="G634" s="13">
        <f>SUMIFS(Movimentacoes!$G:$G,Movimentacoes!$C:$C,$A634,Movimentacoes!$E:$E,$C634,Movimentacoes!$B:$B,"ENTRADA")</f>
        <v/>
      </c>
      <c r="H634" s="13">
        <f>SUMIFS(Movimentacoes!$G:$G,Movimentacoes!$C:$C,$A634,Movimentacoes!$E:$E,$C634,Movimentacoes!$B:$B,"SAIDA_USO")</f>
        <v/>
      </c>
      <c r="I634" s="13">
        <f>SUMIFS(Movimentacoes!$G:$G,Movimentacoes!$C:$C,$A634,Movimentacoes!$E:$E,$C634,Movimentacoes!$B:$B,"SAIDA_DESCARTE")</f>
        <v/>
      </c>
      <c r="J634" s="13">
        <f>G634-H634-I634</f>
        <v/>
      </c>
      <c r="K634">
        <f>IF(A634="","",IF(J634&lt;=IFERROR(VLOOKUP(A634,Cadastro_Produtos!$A:$E,5,FALSE),0),"ABAIXO DO MINIMO","OK"))</f>
        <v/>
      </c>
    </row>
    <row r="635">
      <c r="B635">
        <f>IFERROR(VLOOKUP(A635,Cadastro_Produtos!A:B,2,FALSE),"")</f>
        <v/>
      </c>
      <c r="D635" s="12" t="n"/>
      <c r="E635" s="13">
        <f>IF(D635="","",D635-TODAY())</f>
        <v/>
      </c>
      <c r="F635">
        <f>IF(D635="","",IF(E635&lt;0,"VENCIDO",IF(E635&lt;=30,"VENCE EM &lt;= 30 DIAS",IF(E635&lt;=60,"ATENCAO (31-60 DIAS)","OK"))))</f>
        <v/>
      </c>
      <c r="G635" s="13">
        <f>SUMIFS(Movimentacoes!$G:$G,Movimentacoes!$C:$C,$A635,Movimentacoes!$E:$E,$C635,Movimentacoes!$B:$B,"ENTRADA")</f>
        <v/>
      </c>
      <c r="H635" s="13">
        <f>SUMIFS(Movimentacoes!$G:$G,Movimentacoes!$C:$C,$A635,Movimentacoes!$E:$E,$C635,Movimentacoes!$B:$B,"SAIDA_USO")</f>
        <v/>
      </c>
      <c r="I635" s="13">
        <f>SUMIFS(Movimentacoes!$G:$G,Movimentacoes!$C:$C,$A635,Movimentacoes!$E:$E,$C635,Movimentacoes!$B:$B,"SAIDA_DESCARTE")</f>
        <v/>
      </c>
      <c r="J635" s="13">
        <f>G635-H635-I635</f>
        <v/>
      </c>
      <c r="K635">
        <f>IF(A635="","",IF(J635&lt;=IFERROR(VLOOKUP(A635,Cadastro_Produtos!$A:$E,5,FALSE),0),"ABAIXO DO MINIMO","OK"))</f>
        <v/>
      </c>
    </row>
    <row r="636">
      <c r="B636">
        <f>IFERROR(VLOOKUP(A636,Cadastro_Produtos!A:B,2,FALSE),"")</f>
        <v/>
      </c>
      <c r="D636" s="12" t="n"/>
      <c r="E636" s="13">
        <f>IF(D636="","",D636-TODAY())</f>
        <v/>
      </c>
      <c r="F636">
        <f>IF(D636="","",IF(E636&lt;0,"VENCIDO",IF(E636&lt;=30,"VENCE EM &lt;= 30 DIAS",IF(E636&lt;=60,"ATENCAO (31-60 DIAS)","OK"))))</f>
        <v/>
      </c>
      <c r="G636" s="13">
        <f>SUMIFS(Movimentacoes!$G:$G,Movimentacoes!$C:$C,$A636,Movimentacoes!$E:$E,$C636,Movimentacoes!$B:$B,"ENTRADA")</f>
        <v/>
      </c>
      <c r="H636" s="13">
        <f>SUMIFS(Movimentacoes!$G:$G,Movimentacoes!$C:$C,$A636,Movimentacoes!$E:$E,$C636,Movimentacoes!$B:$B,"SAIDA_USO")</f>
        <v/>
      </c>
      <c r="I636" s="13">
        <f>SUMIFS(Movimentacoes!$G:$G,Movimentacoes!$C:$C,$A636,Movimentacoes!$E:$E,$C636,Movimentacoes!$B:$B,"SAIDA_DESCARTE")</f>
        <v/>
      </c>
      <c r="J636" s="13">
        <f>G636-H636-I636</f>
        <v/>
      </c>
      <c r="K636">
        <f>IF(A636="","",IF(J636&lt;=IFERROR(VLOOKUP(A636,Cadastro_Produtos!$A:$E,5,FALSE),0),"ABAIXO DO MINIMO","OK"))</f>
        <v/>
      </c>
    </row>
    <row r="637">
      <c r="B637">
        <f>IFERROR(VLOOKUP(A637,Cadastro_Produtos!A:B,2,FALSE),"")</f>
        <v/>
      </c>
      <c r="D637" s="12" t="n"/>
      <c r="E637" s="13">
        <f>IF(D637="","",D637-TODAY())</f>
        <v/>
      </c>
      <c r="F637">
        <f>IF(D637="","",IF(E637&lt;0,"VENCIDO",IF(E637&lt;=30,"VENCE EM &lt;= 30 DIAS",IF(E637&lt;=60,"ATENCAO (31-60 DIAS)","OK"))))</f>
        <v/>
      </c>
      <c r="G637" s="13">
        <f>SUMIFS(Movimentacoes!$G:$G,Movimentacoes!$C:$C,$A637,Movimentacoes!$E:$E,$C637,Movimentacoes!$B:$B,"ENTRADA")</f>
        <v/>
      </c>
      <c r="H637" s="13">
        <f>SUMIFS(Movimentacoes!$G:$G,Movimentacoes!$C:$C,$A637,Movimentacoes!$E:$E,$C637,Movimentacoes!$B:$B,"SAIDA_USO")</f>
        <v/>
      </c>
      <c r="I637" s="13">
        <f>SUMIFS(Movimentacoes!$G:$G,Movimentacoes!$C:$C,$A637,Movimentacoes!$E:$E,$C637,Movimentacoes!$B:$B,"SAIDA_DESCARTE")</f>
        <v/>
      </c>
      <c r="J637" s="13">
        <f>G637-H637-I637</f>
        <v/>
      </c>
      <c r="K637">
        <f>IF(A637="","",IF(J637&lt;=IFERROR(VLOOKUP(A637,Cadastro_Produtos!$A:$E,5,FALSE),0),"ABAIXO DO MINIMO","OK"))</f>
        <v/>
      </c>
    </row>
    <row r="638">
      <c r="B638">
        <f>IFERROR(VLOOKUP(A638,Cadastro_Produtos!A:B,2,FALSE),"")</f>
        <v/>
      </c>
      <c r="D638" s="12" t="n"/>
      <c r="E638" s="13">
        <f>IF(D638="","",D638-TODAY())</f>
        <v/>
      </c>
      <c r="F638">
        <f>IF(D638="","",IF(E638&lt;0,"VENCIDO",IF(E638&lt;=30,"VENCE EM &lt;= 30 DIAS",IF(E638&lt;=60,"ATENCAO (31-60 DIAS)","OK"))))</f>
        <v/>
      </c>
      <c r="G638" s="13">
        <f>SUMIFS(Movimentacoes!$G:$G,Movimentacoes!$C:$C,$A638,Movimentacoes!$E:$E,$C638,Movimentacoes!$B:$B,"ENTRADA")</f>
        <v/>
      </c>
      <c r="H638" s="13">
        <f>SUMIFS(Movimentacoes!$G:$G,Movimentacoes!$C:$C,$A638,Movimentacoes!$E:$E,$C638,Movimentacoes!$B:$B,"SAIDA_USO")</f>
        <v/>
      </c>
      <c r="I638" s="13">
        <f>SUMIFS(Movimentacoes!$G:$G,Movimentacoes!$C:$C,$A638,Movimentacoes!$E:$E,$C638,Movimentacoes!$B:$B,"SAIDA_DESCARTE")</f>
        <v/>
      </c>
      <c r="J638" s="13">
        <f>G638-H638-I638</f>
        <v/>
      </c>
      <c r="K638">
        <f>IF(A638="","",IF(J638&lt;=IFERROR(VLOOKUP(A638,Cadastro_Produtos!$A:$E,5,FALSE),0),"ABAIXO DO MINIMO","OK"))</f>
        <v/>
      </c>
    </row>
    <row r="639">
      <c r="B639">
        <f>IFERROR(VLOOKUP(A639,Cadastro_Produtos!A:B,2,FALSE),"")</f>
        <v/>
      </c>
      <c r="D639" s="12" t="n"/>
      <c r="E639" s="13">
        <f>IF(D639="","",D639-TODAY())</f>
        <v/>
      </c>
      <c r="F639">
        <f>IF(D639="","",IF(E639&lt;0,"VENCIDO",IF(E639&lt;=30,"VENCE EM &lt;= 30 DIAS",IF(E639&lt;=60,"ATENCAO (31-60 DIAS)","OK"))))</f>
        <v/>
      </c>
      <c r="G639" s="13">
        <f>SUMIFS(Movimentacoes!$G:$G,Movimentacoes!$C:$C,$A639,Movimentacoes!$E:$E,$C639,Movimentacoes!$B:$B,"ENTRADA")</f>
        <v/>
      </c>
      <c r="H639" s="13">
        <f>SUMIFS(Movimentacoes!$G:$G,Movimentacoes!$C:$C,$A639,Movimentacoes!$E:$E,$C639,Movimentacoes!$B:$B,"SAIDA_USO")</f>
        <v/>
      </c>
      <c r="I639" s="13">
        <f>SUMIFS(Movimentacoes!$G:$G,Movimentacoes!$C:$C,$A639,Movimentacoes!$E:$E,$C639,Movimentacoes!$B:$B,"SAIDA_DESCARTE")</f>
        <v/>
      </c>
      <c r="J639" s="13">
        <f>G639-H639-I639</f>
        <v/>
      </c>
      <c r="K639">
        <f>IF(A639="","",IF(J639&lt;=IFERROR(VLOOKUP(A639,Cadastro_Produtos!$A:$E,5,FALSE),0),"ABAIXO DO MINIMO","OK"))</f>
        <v/>
      </c>
    </row>
    <row r="640">
      <c r="B640">
        <f>IFERROR(VLOOKUP(A640,Cadastro_Produtos!A:B,2,FALSE),"")</f>
        <v/>
      </c>
      <c r="D640" s="12" t="n"/>
      <c r="E640" s="13">
        <f>IF(D640="","",D640-TODAY())</f>
        <v/>
      </c>
      <c r="F640">
        <f>IF(D640="","",IF(E640&lt;0,"VENCIDO",IF(E640&lt;=30,"VENCE EM &lt;= 30 DIAS",IF(E640&lt;=60,"ATENCAO (31-60 DIAS)","OK"))))</f>
        <v/>
      </c>
      <c r="G640" s="13">
        <f>SUMIFS(Movimentacoes!$G:$G,Movimentacoes!$C:$C,$A640,Movimentacoes!$E:$E,$C640,Movimentacoes!$B:$B,"ENTRADA")</f>
        <v/>
      </c>
      <c r="H640" s="13">
        <f>SUMIFS(Movimentacoes!$G:$G,Movimentacoes!$C:$C,$A640,Movimentacoes!$E:$E,$C640,Movimentacoes!$B:$B,"SAIDA_USO")</f>
        <v/>
      </c>
      <c r="I640" s="13">
        <f>SUMIFS(Movimentacoes!$G:$G,Movimentacoes!$C:$C,$A640,Movimentacoes!$E:$E,$C640,Movimentacoes!$B:$B,"SAIDA_DESCARTE")</f>
        <v/>
      </c>
      <c r="J640" s="13">
        <f>G640-H640-I640</f>
        <v/>
      </c>
      <c r="K640">
        <f>IF(A640="","",IF(J640&lt;=IFERROR(VLOOKUP(A640,Cadastro_Produtos!$A:$E,5,FALSE),0),"ABAIXO DO MINIMO","OK"))</f>
        <v/>
      </c>
    </row>
    <row r="641">
      <c r="B641">
        <f>IFERROR(VLOOKUP(A641,Cadastro_Produtos!A:B,2,FALSE),"")</f>
        <v/>
      </c>
      <c r="D641" s="12" t="n"/>
      <c r="E641" s="13">
        <f>IF(D641="","",D641-TODAY())</f>
        <v/>
      </c>
      <c r="F641">
        <f>IF(D641="","",IF(E641&lt;0,"VENCIDO",IF(E641&lt;=30,"VENCE EM &lt;= 30 DIAS",IF(E641&lt;=60,"ATENCAO (31-60 DIAS)","OK"))))</f>
        <v/>
      </c>
      <c r="G641" s="13">
        <f>SUMIFS(Movimentacoes!$G:$G,Movimentacoes!$C:$C,$A641,Movimentacoes!$E:$E,$C641,Movimentacoes!$B:$B,"ENTRADA")</f>
        <v/>
      </c>
      <c r="H641" s="13">
        <f>SUMIFS(Movimentacoes!$G:$G,Movimentacoes!$C:$C,$A641,Movimentacoes!$E:$E,$C641,Movimentacoes!$B:$B,"SAIDA_USO")</f>
        <v/>
      </c>
      <c r="I641" s="13">
        <f>SUMIFS(Movimentacoes!$G:$G,Movimentacoes!$C:$C,$A641,Movimentacoes!$E:$E,$C641,Movimentacoes!$B:$B,"SAIDA_DESCARTE")</f>
        <v/>
      </c>
      <c r="J641" s="13">
        <f>G641-H641-I641</f>
        <v/>
      </c>
      <c r="K641">
        <f>IF(A641="","",IF(J641&lt;=IFERROR(VLOOKUP(A641,Cadastro_Produtos!$A:$E,5,FALSE),0),"ABAIXO DO MINIMO","OK"))</f>
        <v/>
      </c>
    </row>
    <row r="642">
      <c r="B642">
        <f>IFERROR(VLOOKUP(A642,Cadastro_Produtos!A:B,2,FALSE),"")</f>
        <v/>
      </c>
      <c r="D642" s="12" t="n"/>
      <c r="E642" s="13">
        <f>IF(D642="","",D642-TODAY())</f>
        <v/>
      </c>
      <c r="F642">
        <f>IF(D642="","",IF(E642&lt;0,"VENCIDO",IF(E642&lt;=30,"VENCE EM &lt;= 30 DIAS",IF(E642&lt;=60,"ATENCAO (31-60 DIAS)","OK"))))</f>
        <v/>
      </c>
      <c r="G642" s="13">
        <f>SUMIFS(Movimentacoes!$G:$G,Movimentacoes!$C:$C,$A642,Movimentacoes!$E:$E,$C642,Movimentacoes!$B:$B,"ENTRADA")</f>
        <v/>
      </c>
      <c r="H642" s="13">
        <f>SUMIFS(Movimentacoes!$G:$G,Movimentacoes!$C:$C,$A642,Movimentacoes!$E:$E,$C642,Movimentacoes!$B:$B,"SAIDA_USO")</f>
        <v/>
      </c>
      <c r="I642" s="13">
        <f>SUMIFS(Movimentacoes!$G:$G,Movimentacoes!$C:$C,$A642,Movimentacoes!$E:$E,$C642,Movimentacoes!$B:$B,"SAIDA_DESCARTE")</f>
        <v/>
      </c>
      <c r="J642" s="13">
        <f>G642-H642-I642</f>
        <v/>
      </c>
      <c r="K642">
        <f>IF(A642="","",IF(J642&lt;=IFERROR(VLOOKUP(A642,Cadastro_Produtos!$A:$E,5,FALSE),0),"ABAIXO DO MINIMO","OK"))</f>
        <v/>
      </c>
    </row>
    <row r="643">
      <c r="B643">
        <f>IFERROR(VLOOKUP(A643,Cadastro_Produtos!A:B,2,FALSE),"")</f>
        <v/>
      </c>
      <c r="D643" s="12" t="n"/>
      <c r="E643" s="13">
        <f>IF(D643="","",D643-TODAY())</f>
        <v/>
      </c>
      <c r="F643">
        <f>IF(D643="","",IF(E643&lt;0,"VENCIDO",IF(E643&lt;=30,"VENCE EM &lt;= 30 DIAS",IF(E643&lt;=60,"ATENCAO (31-60 DIAS)","OK"))))</f>
        <v/>
      </c>
      <c r="G643" s="13">
        <f>SUMIFS(Movimentacoes!$G:$G,Movimentacoes!$C:$C,$A643,Movimentacoes!$E:$E,$C643,Movimentacoes!$B:$B,"ENTRADA")</f>
        <v/>
      </c>
      <c r="H643" s="13">
        <f>SUMIFS(Movimentacoes!$G:$G,Movimentacoes!$C:$C,$A643,Movimentacoes!$E:$E,$C643,Movimentacoes!$B:$B,"SAIDA_USO")</f>
        <v/>
      </c>
      <c r="I643" s="13">
        <f>SUMIFS(Movimentacoes!$G:$G,Movimentacoes!$C:$C,$A643,Movimentacoes!$E:$E,$C643,Movimentacoes!$B:$B,"SAIDA_DESCARTE")</f>
        <v/>
      </c>
      <c r="J643" s="13">
        <f>G643-H643-I643</f>
        <v/>
      </c>
      <c r="K643">
        <f>IF(A643="","",IF(J643&lt;=IFERROR(VLOOKUP(A643,Cadastro_Produtos!$A:$E,5,FALSE),0),"ABAIXO DO MINIMO","OK"))</f>
        <v/>
      </c>
    </row>
    <row r="644">
      <c r="B644">
        <f>IFERROR(VLOOKUP(A644,Cadastro_Produtos!A:B,2,FALSE),"")</f>
        <v/>
      </c>
      <c r="D644" s="12" t="n"/>
      <c r="E644" s="13">
        <f>IF(D644="","",D644-TODAY())</f>
        <v/>
      </c>
      <c r="F644">
        <f>IF(D644="","",IF(E644&lt;0,"VENCIDO",IF(E644&lt;=30,"VENCE EM &lt;= 30 DIAS",IF(E644&lt;=60,"ATENCAO (31-60 DIAS)","OK"))))</f>
        <v/>
      </c>
      <c r="G644" s="13">
        <f>SUMIFS(Movimentacoes!$G:$G,Movimentacoes!$C:$C,$A644,Movimentacoes!$E:$E,$C644,Movimentacoes!$B:$B,"ENTRADA")</f>
        <v/>
      </c>
      <c r="H644" s="13">
        <f>SUMIFS(Movimentacoes!$G:$G,Movimentacoes!$C:$C,$A644,Movimentacoes!$E:$E,$C644,Movimentacoes!$B:$B,"SAIDA_USO")</f>
        <v/>
      </c>
      <c r="I644" s="13">
        <f>SUMIFS(Movimentacoes!$G:$G,Movimentacoes!$C:$C,$A644,Movimentacoes!$E:$E,$C644,Movimentacoes!$B:$B,"SAIDA_DESCARTE")</f>
        <v/>
      </c>
      <c r="J644" s="13">
        <f>G644-H644-I644</f>
        <v/>
      </c>
      <c r="K644">
        <f>IF(A644="","",IF(J644&lt;=IFERROR(VLOOKUP(A644,Cadastro_Produtos!$A:$E,5,FALSE),0),"ABAIXO DO MINIMO","OK"))</f>
        <v/>
      </c>
    </row>
    <row r="645">
      <c r="B645">
        <f>IFERROR(VLOOKUP(A645,Cadastro_Produtos!A:B,2,FALSE),"")</f>
        <v/>
      </c>
      <c r="D645" s="12" t="n"/>
      <c r="E645" s="13">
        <f>IF(D645="","",D645-TODAY())</f>
        <v/>
      </c>
      <c r="F645">
        <f>IF(D645="","",IF(E645&lt;0,"VENCIDO",IF(E645&lt;=30,"VENCE EM &lt;= 30 DIAS",IF(E645&lt;=60,"ATENCAO (31-60 DIAS)","OK"))))</f>
        <v/>
      </c>
      <c r="G645" s="13">
        <f>SUMIFS(Movimentacoes!$G:$G,Movimentacoes!$C:$C,$A645,Movimentacoes!$E:$E,$C645,Movimentacoes!$B:$B,"ENTRADA")</f>
        <v/>
      </c>
      <c r="H645" s="13">
        <f>SUMIFS(Movimentacoes!$G:$G,Movimentacoes!$C:$C,$A645,Movimentacoes!$E:$E,$C645,Movimentacoes!$B:$B,"SAIDA_USO")</f>
        <v/>
      </c>
      <c r="I645" s="13">
        <f>SUMIFS(Movimentacoes!$G:$G,Movimentacoes!$C:$C,$A645,Movimentacoes!$E:$E,$C645,Movimentacoes!$B:$B,"SAIDA_DESCARTE")</f>
        <v/>
      </c>
      <c r="J645" s="13">
        <f>G645-H645-I645</f>
        <v/>
      </c>
      <c r="K645">
        <f>IF(A645="","",IF(J645&lt;=IFERROR(VLOOKUP(A645,Cadastro_Produtos!$A:$E,5,FALSE),0),"ABAIXO DO MINIMO","OK"))</f>
        <v/>
      </c>
    </row>
    <row r="646">
      <c r="B646">
        <f>IFERROR(VLOOKUP(A646,Cadastro_Produtos!A:B,2,FALSE),"")</f>
        <v/>
      </c>
      <c r="D646" s="12" t="n"/>
      <c r="E646" s="13">
        <f>IF(D646="","",D646-TODAY())</f>
        <v/>
      </c>
      <c r="F646">
        <f>IF(D646="","",IF(E646&lt;0,"VENCIDO",IF(E646&lt;=30,"VENCE EM &lt;= 30 DIAS",IF(E646&lt;=60,"ATENCAO (31-60 DIAS)","OK"))))</f>
        <v/>
      </c>
      <c r="G646" s="13">
        <f>SUMIFS(Movimentacoes!$G:$G,Movimentacoes!$C:$C,$A646,Movimentacoes!$E:$E,$C646,Movimentacoes!$B:$B,"ENTRADA")</f>
        <v/>
      </c>
      <c r="H646" s="13">
        <f>SUMIFS(Movimentacoes!$G:$G,Movimentacoes!$C:$C,$A646,Movimentacoes!$E:$E,$C646,Movimentacoes!$B:$B,"SAIDA_USO")</f>
        <v/>
      </c>
      <c r="I646" s="13">
        <f>SUMIFS(Movimentacoes!$G:$G,Movimentacoes!$C:$C,$A646,Movimentacoes!$E:$E,$C646,Movimentacoes!$B:$B,"SAIDA_DESCARTE")</f>
        <v/>
      </c>
      <c r="J646" s="13">
        <f>G646-H646-I646</f>
        <v/>
      </c>
      <c r="K646">
        <f>IF(A646="","",IF(J646&lt;=IFERROR(VLOOKUP(A646,Cadastro_Produtos!$A:$E,5,FALSE),0),"ABAIXO DO MINIMO","OK"))</f>
        <v/>
      </c>
    </row>
    <row r="647">
      <c r="B647">
        <f>IFERROR(VLOOKUP(A647,Cadastro_Produtos!A:B,2,FALSE),"")</f>
        <v/>
      </c>
      <c r="D647" s="12" t="n"/>
      <c r="E647" s="13">
        <f>IF(D647="","",D647-TODAY())</f>
        <v/>
      </c>
      <c r="F647">
        <f>IF(D647="","",IF(E647&lt;0,"VENCIDO",IF(E647&lt;=30,"VENCE EM &lt;= 30 DIAS",IF(E647&lt;=60,"ATENCAO (31-60 DIAS)","OK"))))</f>
        <v/>
      </c>
      <c r="G647" s="13">
        <f>SUMIFS(Movimentacoes!$G:$G,Movimentacoes!$C:$C,$A647,Movimentacoes!$E:$E,$C647,Movimentacoes!$B:$B,"ENTRADA")</f>
        <v/>
      </c>
      <c r="H647" s="13">
        <f>SUMIFS(Movimentacoes!$G:$G,Movimentacoes!$C:$C,$A647,Movimentacoes!$E:$E,$C647,Movimentacoes!$B:$B,"SAIDA_USO")</f>
        <v/>
      </c>
      <c r="I647" s="13">
        <f>SUMIFS(Movimentacoes!$G:$G,Movimentacoes!$C:$C,$A647,Movimentacoes!$E:$E,$C647,Movimentacoes!$B:$B,"SAIDA_DESCARTE")</f>
        <v/>
      </c>
      <c r="J647" s="13">
        <f>G647-H647-I647</f>
        <v/>
      </c>
      <c r="K647">
        <f>IF(A647="","",IF(J647&lt;=IFERROR(VLOOKUP(A647,Cadastro_Produtos!$A:$E,5,FALSE),0),"ABAIXO DO MINIMO","OK"))</f>
        <v/>
      </c>
    </row>
    <row r="648">
      <c r="B648">
        <f>IFERROR(VLOOKUP(A648,Cadastro_Produtos!A:B,2,FALSE),"")</f>
        <v/>
      </c>
      <c r="D648" s="12" t="n"/>
      <c r="E648" s="13">
        <f>IF(D648="","",D648-TODAY())</f>
        <v/>
      </c>
      <c r="F648">
        <f>IF(D648="","",IF(E648&lt;0,"VENCIDO",IF(E648&lt;=30,"VENCE EM &lt;= 30 DIAS",IF(E648&lt;=60,"ATENCAO (31-60 DIAS)","OK"))))</f>
        <v/>
      </c>
      <c r="G648" s="13">
        <f>SUMIFS(Movimentacoes!$G:$G,Movimentacoes!$C:$C,$A648,Movimentacoes!$E:$E,$C648,Movimentacoes!$B:$B,"ENTRADA")</f>
        <v/>
      </c>
      <c r="H648" s="13">
        <f>SUMIFS(Movimentacoes!$G:$G,Movimentacoes!$C:$C,$A648,Movimentacoes!$E:$E,$C648,Movimentacoes!$B:$B,"SAIDA_USO")</f>
        <v/>
      </c>
      <c r="I648" s="13">
        <f>SUMIFS(Movimentacoes!$G:$G,Movimentacoes!$C:$C,$A648,Movimentacoes!$E:$E,$C648,Movimentacoes!$B:$B,"SAIDA_DESCARTE")</f>
        <v/>
      </c>
      <c r="J648" s="13">
        <f>G648-H648-I648</f>
        <v/>
      </c>
      <c r="K648">
        <f>IF(A648="","",IF(J648&lt;=IFERROR(VLOOKUP(A648,Cadastro_Produtos!$A:$E,5,FALSE),0),"ABAIXO DO MINIMO","OK"))</f>
        <v/>
      </c>
    </row>
    <row r="649">
      <c r="B649">
        <f>IFERROR(VLOOKUP(A649,Cadastro_Produtos!A:B,2,FALSE),"")</f>
        <v/>
      </c>
      <c r="D649" s="12" t="n"/>
      <c r="E649" s="13">
        <f>IF(D649="","",D649-TODAY())</f>
        <v/>
      </c>
      <c r="F649">
        <f>IF(D649="","",IF(E649&lt;0,"VENCIDO",IF(E649&lt;=30,"VENCE EM &lt;= 30 DIAS",IF(E649&lt;=60,"ATENCAO (31-60 DIAS)","OK"))))</f>
        <v/>
      </c>
      <c r="G649" s="13">
        <f>SUMIFS(Movimentacoes!$G:$G,Movimentacoes!$C:$C,$A649,Movimentacoes!$E:$E,$C649,Movimentacoes!$B:$B,"ENTRADA")</f>
        <v/>
      </c>
      <c r="H649" s="13">
        <f>SUMIFS(Movimentacoes!$G:$G,Movimentacoes!$C:$C,$A649,Movimentacoes!$E:$E,$C649,Movimentacoes!$B:$B,"SAIDA_USO")</f>
        <v/>
      </c>
      <c r="I649" s="13">
        <f>SUMIFS(Movimentacoes!$G:$G,Movimentacoes!$C:$C,$A649,Movimentacoes!$E:$E,$C649,Movimentacoes!$B:$B,"SAIDA_DESCARTE")</f>
        <v/>
      </c>
      <c r="J649" s="13">
        <f>G649-H649-I649</f>
        <v/>
      </c>
      <c r="K649">
        <f>IF(A649="","",IF(J649&lt;=IFERROR(VLOOKUP(A649,Cadastro_Produtos!$A:$E,5,FALSE),0),"ABAIXO DO MINIMO","OK"))</f>
        <v/>
      </c>
    </row>
    <row r="650">
      <c r="B650">
        <f>IFERROR(VLOOKUP(A650,Cadastro_Produtos!A:B,2,FALSE),"")</f>
        <v/>
      </c>
      <c r="D650" s="12" t="n"/>
      <c r="E650" s="13">
        <f>IF(D650="","",D650-TODAY())</f>
        <v/>
      </c>
      <c r="F650">
        <f>IF(D650="","",IF(E650&lt;0,"VENCIDO",IF(E650&lt;=30,"VENCE EM &lt;= 30 DIAS",IF(E650&lt;=60,"ATENCAO (31-60 DIAS)","OK"))))</f>
        <v/>
      </c>
      <c r="G650" s="13">
        <f>SUMIFS(Movimentacoes!$G:$G,Movimentacoes!$C:$C,$A650,Movimentacoes!$E:$E,$C650,Movimentacoes!$B:$B,"ENTRADA")</f>
        <v/>
      </c>
      <c r="H650" s="13">
        <f>SUMIFS(Movimentacoes!$G:$G,Movimentacoes!$C:$C,$A650,Movimentacoes!$E:$E,$C650,Movimentacoes!$B:$B,"SAIDA_USO")</f>
        <v/>
      </c>
      <c r="I650" s="13">
        <f>SUMIFS(Movimentacoes!$G:$G,Movimentacoes!$C:$C,$A650,Movimentacoes!$E:$E,$C650,Movimentacoes!$B:$B,"SAIDA_DESCARTE")</f>
        <v/>
      </c>
      <c r="J650" s="13">
        <f>G650-H650-I650</f>
        <v/>
      </c>
      <c r="K650">
        <f>IF(A650="","",IF(J650&lt;=IFERROR(VLOOKUP(A650,Cadastro_Produtos!$A:$E,5,FALSE),0),"ABAIXO DO MINIMO","OK"))</f>
        <v/>
      </c>
    </row>
    <row r="651">
      <c r="B651">
        <f>IFERROR(VLOOKUP(A651,Cadastro_Produtos!A:B,2,FALSE),"")</f>
        <v/>
      </c>
      <c r="D651" s="12" t="n"/>
      <c r="E651" s="13">
        <f>IF(D651="","",D651-TODAY())</f>
        <v/>
      </c>
      <c r="F651">
        <f>IF(D651="","",IF(E651&lt;0,"VENCIDO",IF(E651&lt;=30,"VENCE EM &lt;= 30 DIAS",IF(E651&lt;=60,"ATENCAO (31-60 DIAS)","OK"))))</f>
        <v/>
      </c>
      <c r="G651" s="13">
        <f>SUMIFS(Movimentacoes!$G:$G,Movimentacoes!$C:$C,$A651,Movimentacoes!$E:$E,$C651,Movimentacoes!$B:$B,"ENTRADA")</f>
        <v/>
      </c>
      <c r="H651" s="13">
        <f>SUMIFS(Movimentacoes!$G:$G,Movimentacoes!$C:$C,$A651,Movimentacoes!$E:$E,$C651,Movimentacoes!$B:$B,"SAIDA_USO")</f>
        <v/>
      </c>
      <c r="I651" s="13">
        <f>SUMIFS(Movimentacoes!$G:$G,Movimentacoes!$C:$C,$A651,Movimentacoes!$E:$E,$C651,Movimentacoes!$B:$B,"SAIDA_DESCARTE")</f>
        <v/>
      </c>
      <c r="J651" s="13">
        <f>G651-H651-I651</f>
        <v/>
      </c>
      <c r="K651">
        <f>IF(A651="","",IF(J651&lt;=IFERROR(VLOOKUP(A651,Cadastro_Produtos!$A:$E,5,FALSE),0),"ABAIXO DO MINIMO","OK"))</f>
        <v/>
      </c>
    </row>
    <row r="652">
      <c r="B652">
        <f>IFERROR(VLOOKUP(A652,Cadastro_Produtos!A:B,2,FALSE),"")</f>
        <v/>
      </c>
      <c r="D652" s="12" t="n"/>
      <c r="E652" s="13">
        <f>IF(D652="","",D652-TODAY())</f>
        <v/>
      </c>
      <c r="F652">
        <f>IF(D652="","",IF(E652&lt;0,"VENCIDO",IF(E652&lt;=30,"VENCE EM &lt;= 30 DIAS",IF(E652&lt;=60,"ATENCAO (31-60 DIAS)","OK"))))</f>
        <v/>
      </c>
      <c r="G652" s="13">
        <f>SUMIFS(Movimentacoes!$G:$G,Movimentacoes!$C:$C,$A652,Movimentacoes!$E:$E,$C652,Movimentacoes!$B:$B,"ENTRADA")</f>
        <v/>
      </c>
      <c r="H652" s="13">
        <f>SUMIFS(Movimentacoes!$G:$G,Movimentacoes!$C:$C,$A652,Movimentacoes!$E:$E,$C652,Movimentacoes!$B:$B,"SAIDA_USO")</f>
        <v/>
      </c>
      <c r="I652" s="13">
        <f>SUMIFS(Movimentacoes!$G:$G,Movimentacoes!$C:$C,$A652,Movimentacoes!$E:$E,$C652,Movimentacoes!$B:$B,"SAIDA_DESCARTE")</f>
        <v/>
      </c>
      <c r="J652" s="13">
        <f>G652-H652-I652</f>
        <v/>
      </c>
      <c r="K652">
        <f>IF(A652="","",IF(J652&lt;=IFERROR(VLOOKUP(A652,Cadastro_Produtos!$A:$E,5,FALSE),0),"ABAIXO DO MINIMO","OK"))</f>
        <v/>
      </c>
    </row>
    <row r="653">
      <c r="B653">
        <f>IFERROR(VLOOKUP(A653,Cadastro_Produtos!A:B,2,FALSE),"")</f>
        <v/>
      </c>
      <c r="D653" s="12" t="n"/>
      <c r="E653" s="13">
        <f>IF(D653="","",D653-TODAY())</f>
        <v/>
      </c>
      <c r="F653">
        <f>IF(D653="","",IF(E653&lt;0,"VENCIDO",IF(E653&lt;=30,"VENCE EM &lt;= 30 DIAS",IF(E653&lt;=60,"ATENCAO (31-60 DIAS)","OK"))))</f>
        <v/>
      </c>
      <c r="G653" s="13">
        <f>SUMIFS(Movimentacoes!$G:$G,Movimentacoes!$C:$C,$A653,Movimentacoes!$E:$E,$C653,Movimentacoes!$B:$B,"ENTRADA")</f>
        <v/>
      </c>
      <c r="H653" s="13">
        <f>SUMIFS(Movimentacoes!$G:$G,Movimentacoes!$C:$C,$A653,Movimentacoes!$E:$E,$C653,Movimentacoes!$B:$B,"SAIDA_USO")</f>
        <v/>
      </c>
      <c r="I653" s="13">
        <f>SUMIFS(Movimentacoes!$G:$G,Movimentacoes!$C:$C,$A653,Movimentacoes!$E:$E,$C653,Movimentacoes!$B:$B,"SAIDA_DESCARTE")</f>
        <v/>
      </c>
      <c r="J653" s="13">
        <f>G653-H653-I653</f>
        <v/>
      </c>
      <c r="K653">
        <f>IF(A653="","",IF(J653&lt;=IFERROR(VLOOKUP(A653,Cadastro_Produtos!$A:$E,5,FALSE),0),"ABAIXO DO MINIMO","OK"))</f>
        <v/>
      </c>
    </row>
    <row r="654">
      <c r="B654">
        <f>IFERROR(VLOOKUP(A654,Cadastro_Produtos!A:B,2,FALSE),"")</f>
        <v/>
      </c>
      <c r="D654" s="12" t="n"/>
      <c r="E654" s="13">
        <f>IF(D654="","",D654-TODAY())</f>
        <v/>
      </c>
      <c r="F654">
        <f>IF(D654="","",IF(E654&lt;0,"VENCIDO",IF(E654&lt;=30,"VENCE EM &lt;= 30 DIAS",IF(E654&lt;=60,"ATENCAO (31-60 DIAS)","OK"))))</f>
        <v/>
      </c>
      <c r="G654" s="13">
        <f>SUMIFS(Movimentacoes!$G:$G,Movimentacoes!$C:$C,$A654,Movimentacoes!$E:$E,$C654,Movimentacoes!$B:$B,"ENTRADA")</f>
        <v/>
      </c>
      <c r="H654" s="13">
        <f>SUMIFS(Movimentacoes!$G:$G,Movimentacoes!$C:$C,$A654,Movimentacoes!$E:$E,$C654,Movimentacoes!$B:$B,"SAIDA_USO")</f>
        <v/>
      </c>
      <c r="I654" s="13">
        <f>SUMIFS(Movimentacoes!$G:$G,Movimentacoes!$C:$C,$A654,Movimentacoes!$E:$E,$C654,Movimentacoes!$B:$B,"SAIDA_DESCARTE")</f>
        <v/>
      </c>
      <c r="J654" s="13">
        <f>G654-H654-I654</f>
        <v/>
      </c>
      <c r="K654">
        <f>IF(A654="","",IF(J654&lt;=IFERROR(VLOOKUP(A654,Cadastro_Produtos!$A:$E,5,FALSE),0),"ABAIXO DO MINIMO","OK"))</f>
        <v/>
      </c>
    </row>
    <row r="655">
      <c r="B655">
        <f>IFERROR(VLOOKUP(A655,Cadastro_Produtos!A:B,2,FALSE),"")</f>
        <v/>
      </c>
      <c r="D655" s="12" t="n"/>
      <c r="E655" s="13">
        <f>IF(D655="","",D655-TODAY())</f>
        <v/>
      </c>
      <c r="F655">
        <f>IF(D655="","",IF(E655&lt;0,"VENCIDO",IF(E655&lt;=30,"VENCE EM &lt;= 30 DIAS",IF(E655&lt;=60,"ATENCAO (31-60 DIAS)","OK"))))</f>
        <v/>
      </c>
      <c r="G655" s="13">
        <f>SUMIFS(Movimentacoes!$G:$G,Movimentacoes!$C:$C,$A655,Movimentacoes!$E:$E,$C655,Movimentacoes!$B:$B,"ENTRADA")</f>
        <v/>
      </c>
      <c r="H655" s="13">
        <f>SUMIFS(Movimentacoes!$G:$G,Movimentacoes!$C:$C,$A655,Movimentacoes!$E:$E,$C655,Movimentacoes!$B:$B,"SAIDA_USO")</f>
        <v/>
      </c>
      <c r="I655" s="13">
        <f>SUMIFS(Movimentacoes!$G:$G,Movimentacoes!$C:$C,$A655,Movimentacoes!$E:$E,$C655,Movimentacoes!$B:$B,"SAIDA_DESCARTE")</f>
        <v/>
      </c>
      <c r="J655" s="13">
        <f>G655-H655-I655</f>
        <v/>
      </c>
      <c r="K655">
        <f>IF(A655="","",IF(J655&lt;=IFERROR(VLOOKUP(A655,Cadastro_Produtos!$A:$E,5,FALSE),0),"ABAIXO DO MINIMO","OK"))</f>
        <v/>
      </c>
    </row>
    <row r="656">
      <c r="B656">
        <f>IFERROR(VLOOKUP(A656,Cadastro_Produtos!A:B,2,FALSE),"")</f>
        <v/>
      </c>
      <c r="D656" s="12" t="n"/>
      <c r="E656" s="13">
        <f>IF(D656="","",D656-TODAY())</f>
        <v/>
      </c>
      <c r="F656">
        <f>IF(D656="","",IF(E656&lt;0,"VENCIDO",IF(E656&lt;=30,"VENCE EM &lt;= 30 DIAS",IF(E656&lt;=60,"ATENCAO (31-60 DIAS)","OK"))))</f>
        <v/>
      </c>
      <c r="G656" s="13">
        <f>SUMIFS(Movimentacoes!$G:$G,Movimentacoes!$C:$C,$A656,Movimentacoes!$E:$E,$C656,Movimentacoes!$B:$B,"ENTRADA")</f>
        <v/>
      </c>
      <c r="H656" s="13">
        <f>SUMIFS(Movimentacoes!$G:$G,Movimentacoes!$C:$C,$A656,Movimentacoes!$E:$E,$C656,Movimentacoes!$B:$B,"SAIDA_USO")</f>
        <v/>
      </c>
      <c r="I656" s="13">
        <f>SUMIFS(Movimentacoes!$G:$G,Movimentacoes!$C:$C,$A656,Movimentacoes!$E:$E,$C656,Movimentacoes!$B:$B,"SAIDA_DESCARTE")</f>
        <v/>
      </c>
      <c r="J656" s="13">
        <f>G656-H656-I656</f>
        <v/>
      </c>
      <c r="K656">
        <f>IF(A656="","",IF(J656&lt;=IFERROR(VLOOKUP(A656,Cadastro_Produtos!$A:$E,5,FALSE),0),"ABAIXO DO MINIMO","OK"))</f>
        <v/>
      </c>
    </row>
    <row r="657">
      <c r="B657">
        <f>IFERROR(VLOOKUP(A657,Cadastro_Produtos!A:B,2,FALSE),"")</f>
        <v/>
      </c>
      <c r="D657" s="12" t="n"/>
      <c r="E657" s="13">
        <f>IF(D657="","",D657-TODAY())</f>
        <v/>
      </c>
      <c r="F657">
        <f>IF(D657="","",IF(E657&lt;0,"VENCIDO",IF(E657&lt;=30,"VENCE EM &lt;= 30 DIAS",IF(E657&lt;=60,"ATENCAO (31-60 DIAS)","OK"))))</f>
        <v/>
      </c>
      <c r="G657" s="13">
        <f>SUMIFS(Movimentacoes!$G:$G,Movimentacoes!$C:$C,$A657,Movimentacoes!$E:$E,$C657,Movimentacoes!$B:$B,"ENTRADA")</f>
        <v/>
      </c>
      <c r="H657" s="13">
        <f>SUMIFS(Movimentacoes!$G:$G,Movimentacoes!$C:$C,$A657,Movimentacoes!$E:$E,$C657,Movimentacoes!$B:$B,"SAIDA_USO")</f>
        <v/>
      </c>
      <c r="I657" s="13">
        <f>SUMIFS(Movimentacoes!$G:$G,Movimentacoes!$C:$C,$A657,Movimentacoes!$E:$E,$C657,Movimentacoes!$B:$B,"SAIDA_DESCARTE")</f>
        <v/>
      </c>
      <c r="J657" s="13">
        <f>G657-H657-I657</f>
        <v/>
      </c>
      <c r="K657">
        <f>IF(A657="","",IF(J657&lt;=IFERROR(VLOOKUP(A657,Cadastro_Produtos!$A:$E,5,FALSE),0),"ABAIXO DO MINIMO","OK"))</f>
        <v/>
      </c>
    </row>
    <row r="658">
      <c r="B658">
        <f>IFERROR(VLOOKUP(A658,Cadastro_Produtos!A:B,2,FALSE),"")</f>
        <v/>
      </c>
      <c r="D658" s="12" t="n"/>
      <c r="E658" s="13">
        <f>IF(D658="","",D658-TODAY())</f>
        <v/>
      </c>
      <c r="F658">
        <f>IF(D658="","",IF(E658&lt;0,"VENCIDO",IF(E658&lt;=30,"VENCE EM &lt;= 30 DIAS",IF(E658&lt;=60,"ATENCAO (31-60 DIAS)","OK"))))</f>
        <v/>
      </c>
      <c r="G658" s="13">
        <f>SUMIFS(Movimentacoes!$G:$G,Movimentacoes!$C:$C,$A658,Movimentacoes!$E:$E,$C658,Movimentacoes!$B:$B,"ENTRADA")</f>
        <v/>
      </c>
      <c r="H658" s="13">
        <f>SUMIFS(Movimentacoes!$G:$G,Movimentacoes!$C:$C,$A658,Movimentacoes!$E:$E,$C658,Movimentacoes!$B:$B,"SAIDA_USO")</f>
        <v/>
      </c>
      <c r="I658" s="13">
        <f>SUMIFS(Movimentacoes!$G:$G,Movimentacoes!$C:$C,$A658,Movimentacoes!$E:$E,$C658,Movimentacoes!$B:$B,"SAIDA_DESCARTE")</f>
        <v/>
      </c>
      <c r="J658" s="13">
        <f>G658-H658-I658</f>
        <v/>
      </c>
      <c r="K658">
        <f>IF(A658="","",IF(J658&lt;=IFERROR(VLOOKUP(A658,Cadastro_Produtos!$A:$E,5,FALSE),0),"ABAIXO DO MINIMO","OK"))</f>
        <v/>
      </c>
    </row>
    <row r="659">
      <c r="B659">
        <f>IFERROR(VLOOKUP(A659,Cadastro_Produtos!A:B,2,FALSE),"")</f>
        <v/>
      </c>
      <c r="D659" s="12" t="n"/>
      <c r="E659" s="13">
        <f>IF(D659="","",D659-TODAY())</f>
        <v/>
      </c>
      <c r="F659">
        <f>IF(D659="","",IF(E659&lt;0,"VENCIDO",IF(E659&lt;=30,"VENCE EM &lt;= 30 DIAS",IF(E659&lt;=60,"ATENCAO (31-60 DIAS)","OK"))))</f>
        <v/>
      </c>
      <c r="G659" s="13">
        <f>SUMIFS(Movimentacoes!$G:$G,Movimentacoes!$C:$C,$A659,Movimentacoes!$E:$E,$C659,Movimentacoes!$B:$B,"ENTRADA")</f>
        <v/>
      </c>
      <c r="H659" s="13">
        <f>SUMIFS(Movimentacoes!$G:$G,Movimentacoes!$C:$C,$A659,Movimentacoes!$E:$E,$C659,Movimentacoes!$B:$B,"SAIDA_USO")</f>
        <v/>
      </c>
      <c r="I659" s="13">
        <f>SUMIFS(Movimentacoes!$G:$G,Movimentacoes!$C:$C,$A659,Movimentacoes!$E:$E,$C659,Movimentacoes!$B:$B,"SAIDA_DESCARTE")</f>
        <v/>
      </c>
      <c r="J659" s="13">
        <f>G659-H659-I659</f>
        <v/>
      </c>
      <c r="K659">
        <f>IF(A659="","",IF(J659&lt;=IFERROR(VLOOKUP(A659,Cadastro_Produtos!$A:$E,5,FALSE),0),"ABAIXO DO MINIMO","OK"))</f>
        <v/>
      </c>
    </row>
    <row r="660">
      <c r="B660">
        <f>IFERROR(VLOOKUP(A660,Cadastro_Produtos!A:B,2,FALSE),"")</f>
        <v/>
      </c>
      <c r="D660" s="12" t="n"/>
      <c r="E660" s="13">
        <f>IF(D660="","",D660-TODAY())</f>
        <v/>
      </c>
      <c r="F660">
        <f>IF(D660="","",IF(E660&lt;0,"VENCIDO",IF(E660&lt;=30,"VENCE EM &lt;= 30 DIAS",IF(E660&lt;=60,"ATENCAO (31-60 DIAS)","OK"))))</f>
        <v/>
      </c>
      <c r="G660" s="13">
        <f>SUMIFS(Movimentacoes!$G:$G,Movimentacoes!$C:$C,$A660,Movimentacoes!$E:$E,$C660,Movimentacoes!$B:$B,"ENTRADA")</f>
        <v/>
      </c>
      <c r="H660" s="13">
        <f>SUMIFS(Movimentacoes!$G:$G,Movimentacoes!$C:$C,$A660,Movimentacoes!$E:$E,$C660,Movimentacoes!$B:$B,"SAIDA_USO")</f>
        <v/>
      </c>
      <c r="I660" s="13">
        <f>SUMIFS(Movimentacoes!$G:$G,Movimentacoes!$C:$C,$A660,Movimentacoes!$E:$E,$C660,Movimentacoes!$B:$B,"SAIDA_DESCARTE")</f>
        <v/>
      </c>
      <c r="J660" s="13">
        <f>G660-H660-I660</f>
        <v/>
      </c>
      <c r="K660">
        <f>IF(A660="","",IF(J660&lt;=IFERROR(VLOOKUP(A660,Cadastro_Produtos!$A:$E,5,FALSE),0),"ABAIXO DO MINIMO","OK"))</f>
        <v/>
      </c>
    </row>
    <row r="661">
      <c r="B661">
        <f>IFERROR(VLOOKUP(A661,Cadastro_Produtos!A:B,2,FALSE),"")</f>
        <v/>
      </c>
      <c r="D661" s="12" t="n"/>
      <c r="E661" s="13">
        <f>IF(D661="","",D661-TODAY())</f>
        <v/>
      </c>
      <c r="F661">
        <f>IF(D661="","",IF(E661&lt;0,"VENCIDO",IF(E661&lt;=30,"VENCE EM &lt;= 30 DIAS",IF(E661&lt;=60,"ATENCAO (31-60 DIAS)","OK"))))</f>
        <v/>
      </c>
      <c r="G661" s="13">
        <f>SUMIFS(Movimentacoes!$G:$G,Movimentacoes!$C:$C,$A661,Movimentacoes!$E:$E,$C661,Movimentacoes!$B:$B,"ENTRADA")</f>
        <v/>
      </c>
      <c r="H661" s="13">
        <f>SUMIFS(Movimentacoes!$G:$G,Movimentacoes!$C:$C,$A661,Movimentacoes!$E:$E,$C661,Movimentacoes!$B:$B,"SAIDA_USO")</f>
        <v/>
      </c>
      <c r="I661" s="13">
        <f>SUMIFS(Movimentacoes!$G:$G,Movimentacoes!$C:$C,$A661,Movimentacoes!$E:$E,$C661,Movimentacoes!$B:$B,"SAIDA_DESCARTE")</f>
        <v/>
      </c>
      <c r="J661" s="13">
        <f>G661-H661-I661</f>
        <v/>
      </c>
      <c r="K661">
        <f>IF(A661="","",IF(J661&lt;=IFERROR(VLOOKUP(A661,Cadastro_Produtos!$A:$E,5,FALSE),0),"ABAIXO DO MINIMO","OK"))</f>
        <v/>
      </c>
    </row>
    <row r="662">
      <c r="B662">
        <f>IFERROR(VLOOKUP(A662,Cadastro_Produtos!A:B,2,FALSE),"")</f>
        <v/>
      </c>
      <c r="D662" s="12" t="n"/>
      <c r="E662" s="13">
        <f>IF(D662="","",D662-TODAY())</f>
        <v/>
      </c>
      <c r="F662">
        <f>IF(D662="","",IF(E662&lt;0,"VENCIDO",IF(E662&lt;=30,"VENCE EM &lt;= 30 DIAS",IF(E662&lt;=60,"ATENCAO (31-60 DIAS)","OK"))))</f>
        <v/>
      </c>
      <c r="G662" s="13">
        <f>SUMIFS(Movimentacoes!$G:$G,Movimentacoes!$C:$C,$A662,Movimentacoes!$E:$E,$C662,Movimentacoes!$B:$B,"ENTRADA")</f>
        <v/>
      </c>
      <c r="H662" s="13">
        <f>SUMIFS(Movimentacoes!$G:$G,Movimentacoes!$C:$C,$A662,Movimentacoes!$E:$E,$C662,Movimentacoes!$B:$B,"SAIDA_USO")</f>
        <v/>
      </c>
      <c r="I662" s="13">
        <f>SUMIFS(Movimentacoes!$G:$G,Movimentacoes!$C:$C,$A662,Movimentacoes!$E:$E,$C662,Movimentacoes!$B:$B,"SAIDA_DESCARTE")</f>
        <v/>
      </c>
      <c r="J662" s="13">
        <f>G662-H662-I662</f>
        <v/>
      </c>
      <c r="K662">
        <f>IF(A662="","",IF(J662&lt;=IFERROR(VLOOKUP(A662,Cadastro_Produtos!$A:$E,5,FALSE),0),"ABAIXO DO MINIMO","OK"))</f>
        <v/>
      </c>
    </row>
    <row r="663">
      <c r="B663">
        <f>IFERROR(VLOOKUP(A663,Cadastro_Produtos!A:B,2,FALSE),"")</f>
        <v/>
      </c>
      <c r="D663" s="12" t="n"/>
      <c r="E663" s="13">
        <f>IF(D663="","",D663-TODAY())</f>
        <v/>
      </c>
      <c r="F663">
        <f>IF(D663="","",IF(E663&lt;0,"VENCIDO",IF(E663&lt;=30,"VENCE EM &lt;= 30 DIAS",IF(E663&lt;=60,"ATENCAO (31-60 DIAS)","OK"))))</f>
        <v/>
      </c>
      <c r="G663" s="13">
        <f>SUMIFS(Movimentacoes!$G:$G,Movimentacoes!$C:$C,$A663,Movimentacoes!$E:$E,$C663,Movimentacoes!$B:$B,"ENTRADA")</f>
        <v/>
      </c>
      <c r="H663" s="13">
        <f>SUMIFS(Movimentacoes!$G:$G,Movimentacoes!$C:$C,$A663,Movimentacoes!$E:$E,$C663,Movimentacoes!$B:$B,"SAIDA_USO")</f>
        <v/>
      </c>
      <c r="I663" s="13">
        <f>SUMIFS(Movimentacoes!$G:$G,Movimentacoes!$C:$C,$A663,Movimentacoes!$E:$E,$C663,Movimentacoes!$B:$B,"SAIDA_DESCARTE")</f>
        <v/>
      </c>
      <c r="J663" s="13">
        <f>G663-H663-I663</f>
        <v/>
      </c>
      <c r="K663">
        <f>IF(A663="","",IF(J663&lt;=IFERROR(VLOOKUP(A663,Cadastro_Produtos!$A:$E,5,FALSE),0),"ABAIXO DO MINIMO","OK"))</f>
        <v/>
      </c>
    </row>
    <row r="664">
      <c r="B664">
        <f>IFERROR(VLOOKUP(A664,Cadastro_Produtos!A:B,2,FALSE),"")</f>
        <v/>
      </c>
      <c r="D664" s="12" t="n"/>
      <c r="E664" s="13">
        <f>IF(D664="","",D664-TODAY())</f>
        <v/>
      </c>
      <c r="F664">
        <f>IF(D664="","",IF(E664&lt;0,"VENCIDO",IF(E664&lt;=30,"VENCE EM &lt;= 30 DIAS",IF(E664&lt;=60,"ATENCAO (31-60 DIAS)","OK"))))</f>
        <v/>
      </c>
      <c r="G664" s="13">
        <f>SUMIFS(Movimentacoes!$G:$G,Movimentacoes!$C:$C,$A664,Movimentacoes!$E:$E,$C664,Movimentacoes!$B:$B,"ENTRADA")</f>
        <v/>
      </c>
      <c r="H664" s="13">
        <f>SUMIFS(Movimentacoes!$G:$G,Movimentacoes!$C:$C,$A664,Movimentacoes!$E:$E,$C664,Movimentacoes!$B:$B,"SAIDA_USO")</f>
        <v/>
      </c>
      <c r="I664" s="13">
        <f>SUMIFS(Movimentacoes!$G:$G,Movimentacoes!$C:$C,$A664,Movimentacoes!$E:$E,$C664,Movimentacoes!$B:$B,"SAIDA_DESCARTE")</f>
        <v/>
      </c>
      <c r="J664" s="13">
        <f>G664-H664-I664</f>
        <v/>
      </c>
      <c r="K664">
        <f>IF(A664="","",IF(J664&lt;=IFERROR(VLOOKUP(A664,Cadastro_Produtos!$A:$E,5,FALSE),0),"ABAIXO DO MINIMO","OK"))</f>
        <v/>
      </c>
    </row>
    <row r="665">
      <c r="B665">
        <f>IFERROR(VLOOKUP(A665,Cadastro_Produtos!A:B,2,FALSE),"")</f>
        <v/>
      </c>
      <c r="D665" s="12" t="n"/>
      <c r="E665" s="13">
        <f>IF(D665="","",D665-TODAY())</f>
        <v/>
      </c>
      <c r="F665">
        <f>IF(D665="","",IF(E665&lt;0,"VENCIDO",IF(E665&lt;=30,"VENCE EM &lt;= 30 DIAS",IF(E665&lt;=60,"ATENCAO (31-60 DIAS)","OK"))))</f>
        <v/>
      </c>
      <c r="G665" s="13">
        <f>SUMIFS(Movimentacoes!$G:$G,Movimentacoes!$C:$C,$A665,Movimentacoes!$E:$E,$C665,Movimentacoes!$B:$B,"ENTRADA")</f>
        <v/>
      </c>
      <c r="H665" s="13">
        <f>SUMIFS(Movimentacoes!$G:$G,Movimentacoes!$C:$C,$A665,Movimentacoes!$E:$E,$C665,Movimentacoes!$B:$B,"SAIDA_USO")</f>
        <v/>
      </c>
      <c r="I665" s="13">
        <f>SUMIFS(Movimentacoes!$G:$G,Movimentacoes!$C:$C,$A665,Movimentacoes!$E:$E,$C665,Movimentacoes!$B:$B,"SAIDA_DESCARTE")</f>
        <v/>
      </c>
      <c r="J665" s="13">
        <f>G665-H665-I665</f>
        <v/>
      </c>
      <c r="K665">
        <f>IF(A665="","",IF(J665&lt;=IFERROR(VLOOKUP(A665,Cadastro_Produtos!$A:$E,5,FALSE),0),"ABAIXO DO MINIMO","OK"))</f>
        <v/>
      </c>
    </row>
    <row r="666">
      <c r="B666">
        <f>IFERROR(VLOOKUP(A666,Cadastro_Produtos!A:B,2,FALSE),"")</f>
        <v/>
      </c>
      <c r="D666" s="12" t="n"/>
      <c r="E666" s="13">
        <f>IF(D666="","",D666-TODAY())</f>
        <v/>
      </c>
      <c r="F666">
        <f>IF(D666="","",IF(E666&lt;0,"VENCIDO",IF(E666&lt;=30,"VENCE EM &lt;= 30 DIAS",IF(E666&lt;=60,"ATENCAO (31-60 DIAS)","OK"))))</f>
        <v/>
      </c>
      <c r="G666" s="13">
        <f>SUMIFS(Movimentacoes!$G:$G,Movimentacoes!$C:$C,$A666,Movimentacoes!$E:$E,$C666,Movimentacoes!$B:$B,"ENTRADA")</f>
        <v/>
      </c>
      <c r="H666" s="13">
        <f>SUMIFS(Movimentacoes!$G:$G,Movimentacoes!$C:$C,$A666,Movimentacoes!$E:$E,$C666,Movimentacoes!$B:$B,"SAIDA_USO")</f>
        <v/>
      </c>
      <c r="I666" s="13">
        <f>SUMIFS(Movimentacoes!$G:$G,Movimentacoes!$C:$C,$A666,Movimentacoes!$E:$E,$C666,Movimentacoes!$B:$B,"SAIDA_DESCARTE")</f>
        <v/>
      </c>
      <c r="J666" s="13">
        <f>G666-H666-I666</f>
        <v/>
      </c>
      <c r="K666">
        <f>IF(A666="","",IF(J666&lt;=IFERROR(VLOOKUP(A666,Cadastro_Produtos!$A:$E,5,FALSE),0),"ABAIXO DO MINIMO","OK"))</f>
        <v/>
      </c>
    </row>
    <row r="667">
      <c r="B667">
        <f>IFERROR(VLOOKUP(A667,Cadastro_Produtos!A:B,2,FALSE),"")</f>
        <v/>
      </c>
      <c r="D667" s="12" t="n"/>
      <c r="E667" s="13">
        <f>IF(D667="","",D667-TODAY())</f>
        <v/>
      </c>
      <c r="F667">
        <f>IF(D667="","",IF(E667&lt;0,"VENCIDO",IF(E667&lt;=30,"VENCE EM &lt;= 30 DIAS",IF(E667&lt;=60,"ATENCAO (31-60 DIAS)","OK"))))</f>
        <v/>
      </c>
      <c r="G667" s="13">
        <f>SUMIFS(Movimentacoes!$G:$G,Movimentacoes!$C:$C,$A667,Movimentacoes!$E:$E,$C667,Movimentacoes!$B:$B,"ENTRADA")</f>
        <v/>
      </c>
      <c r="H667" s="13">
        <f>SUMIFS(Movimentacoes!$G:$G,Movimentacoes!$C:$C,$A667,Movimentacoes!$E:$E,$C667,Movimentacoes!$B:$B,"SAIDA_USO")</f>
        <v/>
      </c>
      <c r="I667" s="13">
        <f>SUMIFS(Movimentacoes!$G:$G,Movimentacoes!$C:$C,$A667,Movimentacoes!$E:$E,$C667,Movimentacoes!$B:$B,"SAIDA_DESCARTE")</f>
        <v/>
      </c>
      <c r="J667" s="13">
        <f>G667-H667-I667</f>
        <v/>
      </c>
      <c r="K667">
        <f>IF(A667="","",IF(J667&lt;=IFERROR(VLOOKUP(A667,Cadastro_Produtos!$A:$E,5,FALSE),0),"ABAIXO DO MINIMO","OK"))</f>
        <v/>
      </c>
    </row>
    <row r="668">
      <c r="B668">
        <f>IFERROR(VLOOKUP(A668,Cadastro_Produtos!A:B,2,FALSE),"")</f>
        <v/>
      </c>
      <c r="D668" s="12" t="n"/>
      <c r="E668" s="13">
        <f>IF(D668="","",D668-TODAY())</f>
        <v/>
      </c>
      <c r="F668">
        <f>IF(D668="","",IF(E668&lt;0,"VENCIDO",IF(E668&lt;=30,"VENCE EM &lt;= 30 DIAS",IF(E668&lt;=60,"ATENCAO (31-60 DIAS)","OK"))))</f>
        <v/>
      </c>
      <c r="G668" s="13">
        <f>SUMIFS(Movimentacoes!$G:$G,Movimentacoes!$C:$C,$A668,Movimentacoes!$E:$E,$C668,Movimentacoes!$B:$B,"ENTRADA")</f>
        <v/>
      </c>
      <c r="H668" s="13">
        <f>SUMIFS(Movimentacoes!$G:$G,Movimentacoes!$C:$C,$A668,Movimentacoes!$E:$E,$C668,Movimentacoes!$B:$B,"SAIDA_USO")</f>
        <v/>
      </c>
      <c r="I668" s="13">
        <f>SUMIFS(Movimentacoes!$G:$G,Movimentacoes!$C:$C,$A668,Movimentacoes!$E:$E,$C668,Movimentacoes!$B:$B,"SAIDA_DESCARTE")</f>
        <v/>
      </c>
      <c r="J668" s="13">
        <f>G668-H668-I668</f>
        <v/>
      </c>
      <c r="K668">
        <f>IF(A668="","",IF(J668&lt;=IFERROR(VLOOKUP(A668,Cadastro_Produtos!$A:$E,5,FALSE),0),"ABAIXO DO MINIMO","OK"))</f>
        <v/>
      </c>
    </row>
    <row r="669">
      <c r="B669">
        <f>IFERROR(VLOOKUP(A669,Cadastro_Produtos!A:B,2,FALSE),"")</f>
        <v/>
      </c>
      <c r="D669" s="12" t="n"/>
      <c r="E669" s="13">
        <f>IF(D669="","",D669-TODAY())</f>
        <v/>
      </c>
      <c r="F669">
        <f>IF(D669="","",IF(E669&lt;0,"VENCIDO",IF(E669&lt;=30,"VENCE EM &lt;= 30 DIAS",IF(E669&lt;=60,"ATENCAO (31-60 DIAS)","OK"))))</f>
        <v/>
      </c>
      <c r="G669" s="13">
        <f>SUMIFS(Movimentacoes!$G:$G,Movimentacoes!$C:$C,$A669,Movimentacoes!$E:$E,$C669,Movimentacoes!$B:$B,"ENTRADA")</f>
        <v/>
      </c>
      <c r="H669" s="13">
        <f>SUMIFS(Movimentacoes!$G:$G,Movimentacoes!$C:$C,$A669,Movimentacoes!$E:$E,$C669,Movimentacoes!$B:$B,"SAIDA_USO")</f>
        <v/>
      </c>
      <c r="I669" s="13">
        <f>SUMIFS(Movimentacoes!$G:$G,Movimentacoes!$C:$C,$A669,Movimentacoes!$E:$E,$C669,Movimentacoes!$B:$B,"SAIDA_DESCARTE")</f>
        <v/>
      </c>
      <c r="J669" s="13">
        <f>G669-H669-I669</f>
        <v/>
      </c>
      <c r="K669">
        <f>IF(A669="","",IF(J669&lt;=IFERROR(VLOOKUP(A669,Cadastro_Produtos!$A:$E,5,FALSE),0),"ABAIXO DO MINIMO","OK"))</f>
        <v/>
      </c>
    </row>
    <row r="670">
      <c r="B670">
        <f>IFERROR(VLOOKUP(A670,Cadastro_Produtos!A:B,2,FALSE),"")</f>
        <v/>
      </c>
      <c r="D670" s="12" t="n"/>
      <c r="E670" s="13">
        <f>IF(D670="","",D670-TODAY())</f>
        <v/>
      </c>
      <c r="F670">
        <f>IF(D670="","",IF(E670&lt;0,"VENCIDO",IF(E670&lt;=30,"VENCE EM &lt;= 30 DIAS",IF(E670&lt;=60,"ATENCAO (31-60 DIAS)","OK"))))</f>
        <v/>
      </c>
      <c r="G670" s="13">
        <f>SUMIFS(Movimentacoes!$G:$G,Movimentacoes!$C:$C,$A670,Movimentacoes!$E:$E,$C670,Movimentacoes!$B:$B,"ENTRADA")</f>
        <v/>
      </c>
      <c r="H670" s="13">
        <f>SUMIFS(Movimentacoes!$G:$G,Movimentacoes!$C:$C,$A670,Movimentacoes!$E:$E,$C670,Movimentacoes!$B:$B,"SAIDA_USO")</f>
        <v/>
      </c>
      <c r="I670" s="13">
        <f>SUMIFS(Movimentacoes!$G:$G,Movimentacoes!$C:$C,$A670,Movimentacoes!$E:$E,$C670,Movimentacoes!$B:$B,"SAIDA_DESCARTE")</f>
        <v/>
      </c>
      <c r="J670" s="13">
        <f>G670-H670-I670</f>
        <v/>
      </c>
      <c r="K670">
        <f>IF(A670="","",IF(J670&lt;=IFERROR(VLOOKUP(A670,Cadastro_Produtos!$A:$E,5,FALSE),0),"ABAIXO DO MINIMO","OK"))</f>
        <v/>
      </c>
    </row>
    <row r="671">
      <c r="B671">
        <f>IFERROR(VLOOKUP(A671,Cadastro_Produtos!A:B,2,FALSE),"")</f>
        <v/>
      </c>
      <c r="D671" s="12" t="n"/>
      <c r="E671" s="13">
        <f>IF(D671="","",D671-TODAY())</f>
        <v/>
      </c>
      <c r="F671">
        <f>IF(D671="","",IF(E671&lt;0,"VENCIDO",IF(E671&lt;=30,"VENCE EM &lt;= 30 DIAS",IF(E671&lt;=60,"ATENCAO (31-60 DIAS)","OK"))))</f>
        <v/>
      </c>
      <c r="G671" s="13">
        <f>SUMIFS(Movimentacoes!$G:$G,Movimentacoes!$C:$C,$A671,Movimentacoes!$E:$E,$C671,Movimentacoes!$B:$B,"ENTRADA")</f>
        <v/>
      </c>
      <c r="H671" s="13">
        <f>SUMIFS(Movimentacoes!$G:$G,Movimentacoes!$C:$C,$A671,Movimentacoes!$E:$E,$C671,Movimentacoes!$B:$B,"SAIDA_USO")</f>
        <v/>
      </c>
      <c r="I671" s="13">
        <f>SUMIFS(Movimentacoes!$G:$G,Movimentacoes!$C:$C,$A671,Movimentacoes!$E:$E,$C671,Movimentacoes!$B:$B,"SAIDA_DESCARTE")</f>
        <v/>
      </c>
      <c r="J671" s="13">
        <f>G671-H671-I671</f>
        <v/>
      </c>
      <c r="K671">
        <f>IF(A671="","",IF(J671&lt;=IFERROR(VLOOKUP(A671,Cadastro_Produtos!$A:$E,5,FALSE),0),"ABAIXO DO MINIMO","OK"))</f>
        <v/>
      </c>
    </row>
    <row r="672">
      <c r="B672">
        <f>IFERROR(VLOOKUP(A672,Cadastro_Produtos!A:B,2,FALSE),"")</f>
        <v/>
      </c>
      <c r="D672" s="12" t="n"/>
      <c r="E672" s="13">
        <f>IF(D672="","",D672-TODAY())</f>
        <v/>
      </c>
      <c r="F672">
        <f>IF(D672="","",IF(E672&lt;0,"VENCIDO",IF(E672&lt;=30,"VENCE EM &lt;= 30 DIAS",IF(E672&lt;=60,"ATENCAO (31-60 DIAS)","OK"))))</f>
        <v/>
      </c>
      <c r="G672" s="13">
        <f>SUMIFS(Movimentacoes!$G:$G,Movimentacoes!$C:$C,$A672,Movimentacoes!$E:$E,$C672,Movimentacoes!$B:$B,"ENTRADA")</f>
        <v/>
      </c>
      <c r="H672" s="13">
        <f>SUMIFS(Movimentacoes!$G:$G,Movimentacoes!$C:$C,$A672,Movimentacoes!$E:$E,$C672,Movimentacoes!$B:$B,"SAIDA_USO")</f>
        <v/>
      </c>
      <c r="I672" s="13">
        <f>SUMIFS(Movimentacoes!$G:$G,Movimentacoes!$C:$C,$A672,Movimentacoes!$E:$E,$C672,Movimentacoes!$B:$B,"SAIDA_DESCARTE")</f>
        <v/>
      </c>
      <c r="J672" s="13">
        <f>G672-H672-I672</f>
        <v/>
      </c>
      <c r="K672">
        <f>IF(A672="","",IF(J672&lt;=IFERROR(VLOOKUP(A672,Cadastro_Produtos!$A:$E,5,FALSE),0),"ABAIXO DO MINIMO","OK"))</f>
        <v/>
      </c>
    </row>
    <row r="673">
      <c r="B673">
        <f>IFERROR(VLOOKUP(A673,Cadastro_Produtos!A:B,2,FALSE),"")</f>
        <v/>
      </c>
      <c r="D673" s="12" t="n"/>
      <c r="E673" s="13">
        <f>IF(D673="","",D673-TODAY())</f>
        <v/>
      </c>
      <c r="F673">
        <f>IF(D673="","",IF(E673&lt;0,"VENCIDO",IF(E673&lt;=30,"VENCE EM &lt;= 30 DIAS",IF(E673&lt;=60,"ATENCAO (31-60 DIAS)","OK"))))</f>
        <v/>
      </c>
      <c r="G673" s="13">
        <f>SUMIFS(Movimentacoes!$G:$G,Movimentacoes!$C:$C,$A673,Movimentacoes!$E:$E,$C673,Movimentacoes!$B:$B,"ENTRADA")</f>
        <v/>
      </c>
      <c r="H673" s="13">
        <f>SUMIFS(Movimentacoes!$G:$G,Movimentacoes!$C:$C,$A673,Movimentacoes!$E:$E,$C673,Movimentacoes!$B:$B,"SAIDA_USO")</f>
        <v/>
      </c>
      <c r="I673" s="13">
        <f>SUMIFS(Movimentacoes!$G:$G,Movimentacoes!$C:$C,$A673,Movimentacoes!$E:$E,$C673,Movimentacoes!$B:$B,"SAIDA_DESCARTE")</f>
        <v/>
      </c>
      <c r="J673" s="13">
        <f>G673-H673-I673</f>
        <v/>
      </c>
      <c r="K673">
        <f>IF(A673="","",IF(J673&lt;=IFERROR(VLOOKUP(A673,Cadastro_Produtos!$A:$E,5,FALSE),0),"ABAIXO DO MINIMO","OK"))</f>
        <v/>
      </c>
    </row>
    <row r="674">
      <c r="B674">
        <f>IFERROR(VLOOKUP(A674,Cadastro_Produtos!A:B,2,FALSE),"")</f>
        <v/>
      </c>
      <c r="D674" s="12" t="n"/>
      <c r="E674" s="13">
        <f>IF(D674="","",D674-TODAY())</f>
        <v/>
      </c>
      <c r="F674">
        <f>IF(D674="","",IF(E674&lt;0,"VENCIDO",IF(E674&lt;=30,"VENCE EM &lt;= 30 DIAS",IF(E674&lt;=60,"ATENCAO (31-60 DIAS)","OK"))))</f>
        <v/>
      </c>
      <c r="G674" s="13">
        <f>SUMIFS(Movimentacoes!$G:$G,Movimentacoes!$C:$C,$A674,Movimentacoes!$E:$E,$C674,Movimentacoes!$B:$B,"ENTRADA")</f>
        <v/>
      </c>
      <c r="H674" s="13">
        <f>SUMIFS(Movimentacoes!$G:$G,Movimentacoes!$C:$C,$A674,Movimentacoes!$E:$E,$C674,Movimentacoes!$B:$B,"SAIDA_USO")</f>
        <v/>
      </c>
      <c r="I674" s="13">
        <f>SUMIFS(Movimentacoes!$G:$G,Movimentacoes!$C:$C,$A674,Movimentacoes!$E:$E,$C674,Movimentacoes!$B:$B,"SAIDA_DESCARTE")</f>
        <v/>
      </c>
      <c r="J674" s="13">
        <f>G674-H674-I674</f>
        <v/>
      </c>
      <c r="K674">
        <f>IF(A674="","",IF(J674&lt;=IFERROR(VLOOKUP(A674,Cadastro_Produtos!$A:$E,5,FALSE),0),"ABAIXO DO MINIMO","OK"))</f>
        <v/>
      </c>
    </row>
    <row r="675">
      <c r="B675">
        <f>IFERROR(VLOOKUP(A675,Cadastro_Produtos!A:B,2,FALSE),"")</f>
        <v/>
      </c>
      <c r="D675" s="12" t="n"/>
      <c r="E675" s="13">
        <f>IF(D675="","",D675-TODAY())</f>
        <v/>
      </c>
      <c r="F675">
        <f>IF(D675="","",IF(E675&lt;0,"VENCIDO",IF(E675&lt;=30,"VENCE EM &lt;= 30 DIAS",IF(E675&lt;=60,"ATENCAO (31-60 DIAS)","OK"))))</f>
        <v/>
      </c>
      <c r="G675" s="13">
        <f>SUMIFS(Movimentacoes!$G:$G,Movimentacoes!$C:$C,$A675,Movimentacoes!$E:$E,$C675,Movimentacoes!$B:$B,"ENTRADA")</f>
        <v/>
      </c>
      <c r="H675" s="13">
        <f>SUMIFS(Movimentacoes!$G:$G,Movimentacoes!$C:$C,$A675,Movimentacoes!$E:$E,$C675,Movimentacoes!$B:$B,"SAIDA_USO")</f>
        <v/>
      </c>
      <c r="I675" s="13">
        <f>SUMIFS(Movimentacoes!$G:$G,Movimentacoes!$C:$C,$A675,Movimentacoes!$E:$E,$C675,Movimentacoes!$B:$B,"SAIDA_DESCARTE")</f>
        <v/>
      </c>
      <c r="J675" s="13">
        <f>G675-H675-I675</f>
        <v/>
      </c>
      <c r="K675">
        <f>IF(A675="","",IF(J675&lt;=IFERROR(VLOOKUP(A675,Cadastro_Produtos!$A:$E,5,FALSE),0),"ABAIXO DO MINIMO","OK"))</f>
        <v/>
      </c>
    </row>
    <row r="676">
      <c r="B676">
        <f>IFERROR(VLOOKUP(A676,Cadastro_Produtos!A:B,2,FALSE),"")</f>
        <v/>
      </c>
      <c r="D676" s="12" t="n"/>
      <c r="E676" s="13">
        <f>IF(D676="","",D676-TODAY())</f>
        <v/>
      </c>
      <c r="F676">
        <f>IF(D676="","",IF(E676&lt;0,"VENCIDO",IF(E676&lt;=30,"VENCE EM &lt;= 30 DIAS",IF(E676&lt;=60,"ATENCAO (31-60 DIAS)","OK"))))</f>
        <v/>
      </c>
      <c r="G676" s="13">
        <f>SUMIFS(Movimentacoes!$G:$G,Movimentacoes!$C:$C,$A676,Movimentacoes!$E:$E,$C676,Movimentacoes!$B:$B,"ENTRADA")</f>
        <v/>
      </c>
      <c r="H676" s="13">
        <f>SUMIFS(Movimentacoes!$G:$G,Movimentacoes!$C:$C,$A676,Movimentacoes!$E:$E,$C676,Movimentacoes!$B:$B,"SAIDA_USO")</f>
        <v/>
      </c>
      <c r="I676" s="13">
        <f>SUMIFS(Movimentacoes!$G:$G,Movimentacoes!$C:$C,$A676,Movimentacoes!$E:$E,$C676,Movimentacoes!$B:$B,"SAIDA_DESCARTE")</f>
        <v/>
      </c>
      <c r="J676" s="13">
        <f>G676-H676-I676</f>
        <v/>
      </c>
      <c r="K676">
        <f>IF(A676="","",IF(J676&lt;=IFERROR(VLOOKUP(A676,Cadastro_Produtos!$A:$E,5,FALSE),0),"ABAIXO DO MINIMO","OK"))</f>
        <v/>
      </c>
    </row>
    <row r="677">
      <c r="B677">
        <f>IFERROR(VLOOKUP(A677,Cadastro_Produtos!A:B,2,FALSE),"")</f>
        <v/>
      </c>
      <c r="D677" s="12" t="n"/>
      <c r="E677" s="13">
        <f>IF(D677="","",D677-TODAY())</f>
        <v/>
      </c>
      <c r="F677">
        <f>IF(D677="","",IF(E677&lt;0,"VENCIDO",IF(E677&lt;=30,"VENCE EM &lt;= 30 DIAS",IF(E677&lt;=60,"ATENCAO (31-60 DIAS)","OK"))))</f>
        <v/>
      </c>
      <c r="G677" s="13">
        <f>SUMIFS(Movimentacoes!$G:$G,Movimentacoes!$C:$C,$A677,Movimentacoes!$E:$E,$C677,Movimentacoes!$B:$B,"ENTRADA")</f>
        <v/>
      </c>
      <c r="H677" s="13">
        <f>SUMIFS(Movimentacoes!$G:$G,Movimentacoes!$C:$C,$A677,Movimentacoes!$E:$E,$C677,Movimentacoes!$B:$B,"SAIDA_USO")</f>
        <v/>
      </c>
      <c r="I677" s="13">
        <f>SUMIFS(Movimentacoes!$G:$G,Movimentacoes!$C:$C,$A677,Movimentacoes!$E:$E,$C677,Movimentacoes!$B:$B,"SAIDA_DESCARTE")</f>
        <v/>
      </c>
      <c r="J677" s="13">
        <f>G677-H677-I677</f>
        <v/>
      </c>
      <c r="K677">
        <f>IF(A677="","",IF(J677&lt;=IFERROR(VLOOKUP(A677,Cadastro_Produtos!$A:$E,5,FALSE),0),"ABAIXO DO MINIMO","OK"))</f>
        <v/>
      </c>
    </row>
    <row r="678">
      <c r="B678">
        <f>IFERROR(VLOOKUP(A678,Cadastro_Produtos!A:B,2,FALSE),"")</f>
        <v/>
      </c>
      <c r="D678" s="12" t="n"/>
      <c r="E678" s="13">
        <f>IF(D678="","",D678-TODAY())</f>
        <v/>
      </c>
      <c r="F678">
        <f>IF(D678="","",IF(E678&lt;0,"VENCIDO",IF(E678&lt;=30,"VENCE EM &lt;= 30 DIAS",IF(E678&lt;=60,"ATENCAO (31-60 DIAS)","OK"))))</f>
        <v/>
      </c>
      <c r="G678" s="13">
        <f>SUMIFS(Movimentacoes!$G:$G,Movimentacoes!$C:$C,$A678,Movimentacoes!$E:$E,$C678,Movimentacoes!$B:$B,"ENTRADA")</f>
        <v/>
      </c>
      <c r="H678" s="13">
        <f>SUMIFS(Movimentacoes!$G:$G,Movimentacoes!$C:$C,$A678,Movimentacoes!$E:$E,$C678,Movimentacoes!$B:$B,"SAIDA_USO")</f>
        <v/>
      </c>
      <c r="I678" s="13">
        <f>SUMIFS(Movimentacoes!$G:$G,Movimentacoes!$C:$C,$A678,Movimentacoes!$E:$E,$C678,Movimentacoes!$B:$B,"SAIDA_DESCARTE")</f>
        <v/>
      </c>
      <c r="J678" s="13">
        <f>G678-H678-I678</f>
        <v/>
      </c>
      <c r="K678">
        <f>IF(A678="","",IF(J678&lt;=IFERROR(VLOOKUP(A678,Cadastro_Produtos!$A:$E,5,FALSE),0),"ABAIXO DO MINIMO","OK"))</f>
        <v/>
      </c>
    </row>
    <row r="679">
      <c r="B679">
        <f>IFERROR(VLOOKUP(A679,Cadastro_Produtos!A:B,2,FALSE),"")</f>
        <v/>
      </c>
      <c r="D679" s="12" t="n"/>
      <c r="E679" s="13">
        <f>IF(D679="","",D679-TODAY())</f>
        <v/>
      </c>
      <c r="F679">
        <f>IF(D679="","",IF(E679&lt;0,"VENCIDO",IF(E679&lt;=30,"VENCE EM &lt;= 30 DIAS",IF(E679&lt;=60,"ATENCAO (31-60 DIAS)","OK"))))</f>
        <v/>
      </c>
      <c r="G679" s="13">
        <f>SUMIFS(Movimentacoes!$G:$G,Movimentacoes!$C:$C,$A679,Movimentacoes!$E:$E,$C679,Movimentacoes!$B:$B,"ENTRADA")</f>
        <v/>
      </c>
      <c r="H679" s="13">
        <f>SUMIFS(Movimentacoes!$G:$G,Movimentacoes!$C:$C,$A679,Movimentacoes!$E:$E,$C679,Movimentacoes!$B:$B,"SAIDA_USO")</f>
        <v/>
      </c>
      <c r="I679" s="13">
        <f>SUMIFS(Movimentacoes!$G:$G,Movimentacoes!$C:$C,$A679,Movimentacoes!$E:$E,$C679,Movimentacoes!$B:$B,"SAIDA_DESCARTE")</f>
        <v/>
      </c>
      <c r="J679" s="13">
        <f>G679-H679-I679</f>
        <v/>
      </c>
      <c r="K679">
        <f>IF(A679="","",IF(J679&lt;=IFERROR(VLOOKUP(A679,Cadastro_Produtos!$A:$E,5,FALSE),0),"ABAIXO DO MINIMO","OK"))</f>
        <v/>
      </c>
    </row>
    <row r="680">
      <c r="B680">
        <f>IFERROR(VLOOKUP(A680,Cadastro_Produtos!A:B,2,FALSE),"")</f>
        <v/>
      </c>
      <c r="D680" s="12" t="n"/>
      <c r="E680" s="13">
        <f>IF(D680="","",D680-TODAY())</f>
        <v/>
      </c>
      <c r="F680">
        <f>IF(D680="","",IF(E680&lt;0,"VENCIDO",IF(E680&lt;=30,"VENCE EM &lt;= 30 DIAS",IF(E680&lt;=60,"ATENCAO (31-60 DIAS)","OK"))))</f>
        <v/>
      </c>
      <c r="G680" s="13">
        <f>SUMIFS(Movimentacoes!$G:$G,Movimentacoes!$C:$C,$A680,Movimentacoes!$E:$E,$C680,Movimentacoes!$B:$B,"ENTRADA")</f>
        <v/>
      </c>
      <c r="H680" s="13">
        <f>SUMIFS(Movimentacoes!$G:$G,Movimentacoes!$C:$C,$A680,Movimentacoes!$E:$E,$C680,Movimentacoes!$B:$B,"SAIDA_USO")</f>
        <v/>
      </c>
      <c r="I680" s="13">
        <f>SUMIFS(Movimentacoes!$G:$G,Movimentacoes!$C:$C,$A680,Movimentacoes!$E:$E,$C680,Movimentacoes!$B:$B,"SAIDA_DESCARTE")</f>
        <v/>
      </c>
      <c r="J680" s="13">
        <f>G680-H680-I680</f>
        <v/>
      </c>
      <c r="K680">
        <f>IF(A680="","",IF(J680&lt;=IFERROR(VLOOKUP(A680,Cadastro_Produtos!$A:$E,5,FALSE),0),"ABAIXO DO MINIMO","OK"))</f>
        <v/>
      </c>
    </row>
    <row r="681">
      <c r="B681">
        <f>IFERROR(VLOOKUP(A681,Cadastro_Produtos!A:B,2,FALSE),"")</f>
        <v/>
      </c>
      <c r="D681" s="12" t="n"/>
      <c r="E681" s="13">
        <f>IF(D681="","",D681-TODAY())</f>
        <v/>
      </c>
      <c r="F681">
        <f>IF(D681="","",IF(E681&lt;0,"VENCIDO",IF(E681&lt;=30,"VENCE EM &lt;= 30 DIAS",IF(E681&lt;=60,"ATENCAO (31-60 DIAS)","OK"))))</f>
        <v/>
      </c>
      <c r="G681" s="13">
        <f>SUMIFS(Movimentacoes!$G:$G,Movimentacoes!$C:$C,$A681,Movimentacoes!$E:$E,$C681,Movimentacoes!$B:$B,"ENTRADA")</f>
        <v/>
      </c>
      <c r="H681" s="13">
        <f>SUMIFS(Movimentacoes!$G:$G,Movimentacoes!$C:$C,$A681,Movimentacoes!$E:$E,$C681,Movimentacoes!$B:$B,"SAIDA_USO")</f>
        <v/>
      </c>
      <c r="I681" s="13">
        <f>SUMIFS(Movimentacoes!$G:$G,Movimentacoes!$C:$C,$A681,Movimentacoes!$E:$E,$C681,Movimentacoes!$B:$B,"SAIDA_DESCARTE")</f>
        <v/>
      </c>
      <c r="J681" s="13">
        <f>G681-H681-I681</f>
        <v/>
      </c>
      <c r="K681">
        <f>IF(A681="","",IF(J681&lt;=IFERROR(VLOOKUP(A681,Cadastro_Produtos!$A:$E,5,FALSE),0),"ABAIXO DO MINIMO","OK"))</f>
        <v/>
      </c>
    </row>
    <row r="682">
      <c r="B682">
        <f>IFERROR(VLOOKUP(A682,Cadastro_Produtos!A:B,2,FALSE),"")</f>
        <v/>
      </c>
      <c r="D682" s="12" t="n"/>
      <c r="E682" s="13">
        <f>IF(D682="","",D682-TODAY())</f>
        <v/>
      </c>
      <c r="F682">
        <f>IF(D682="","",IF(E682&lt;0,"VENCIDO",IF(E682&lt;=30,"VENCE EM &lt;= 30 DIAS",IF(E682&lt;=60,"ATENCAO (31-60 DIAS)","OK"))))</f>
        <v/>
      </c>
      <c r="G682" s="13">
        <f>SUMIFS(Movimentacoes!$G:$G,Movimentacoes!$C:$C,$A682,Movimentacoes!$E:$E,$C682,Movimentacoes!$B:$B,"ENTRADA")</f>
        <v/>
      </c>
      <c r="H682" s="13">
        <f>SUMIFS(Movimentacoes!$G:$G,Movimentacoes!$C:$C,$A682,Movimentacoes!$E:$E,$C682,Movimentacoes!$B:$B,"SAIDA_USO")</f>
        <v/>
      </c>
      <c r="I682" s="13">
        <f>SUMIFS(Movimentacoes!$G:$G,Movimentacoes!$C:$C,$A682,Movimentacoes!$E:$E,$C682,Movimentacoes!$B:$B,"SAIDA_DESCARTE")</f>
        <v/>
      </c>
      <c r="J682" s="13">
        <f>G682-H682-I682</f>
        <v/>
      </c>
      <c r="K682">
        <f>IF(A682="","",IF(J682&lt;=IFERROR(VLOOKUP(A682,Cadastro_Produtos!$A:$E,5,FALSE),0),"ABAIXO DO MINIMO","OK"))</f>
        <v/>
      </c>
    </row>
    <row r="683">
      <c r="B683">
        <f>IFERROR(VLOOKUP(A683,Cadastro_Produtos!A:B,2,FALSE),"")</f>
        <v/>
      </c>
      <c r="D683" s="12" t="n"/>
      <c r="E683" s="13">
        <f>IF(D683="","",D683-TODAY())</f>
        <v/>
      </c>
      <c r="F683">
        <f>IF(D683="","",IF(E683&lt;0,"VENCIDO",IF(E683&lt;=30,"VENCE EM &lt;= 30 DIAS",IF(E683&lt;=60,"ATENCAO (31-60 DIAS)","OK"))))</f>
        <v/>
      </c>
      <c r="G683" s="13">
        <f>SUMIFS(Movimentacoes!$G:$G,Movimentacoes!$C:$C,$A683,Movimentacoes!$E:$E,$C683,Movimentacoes!$B:$B,"ENTRADA")</f>
        <v/>
      </c>
      <c r="H683" s="13">
        <f>SUMIFS(Movimentacoes!$G:$G,Movimentacoes!$C:$C,$A683,Movimentacoes!$E:$E,$C683,Movimentacoes!$B:$B,"SAIDA_USO")</f>
        <v/>
      </c>
      <c r="I683" s="13">
        <f>SUMIFS(Movimentacoes!$G:$G,Movimentacoes!$C:$C,$A683,Movimentacoes!$E:$E,$C683,Movimentacoes!$B:$B,"SAIDA_DESCARTE")</f>
        <v/>
      </c>
      <c r="J683" s="13">
        <f>G683-H683-I683</f>
        <v/>
      </c>
      <c r="K683">
        <f>IF(A683="","",IF(J683&lt;=IFERROR(VLOOKUP(A683,Cadastro_Produtos!$A:$E,5,FALSE),0),"ABAIXO DO MINIMO","OK"))</f>
        <v/>
      </c>
    </row>
    <row r="684">
      <c r="B684">
        <f>IFERROR(VLOOKUP(A684,Cadastro_Produtos!A:B,2,FALSE),"")</f>
        <v/>
      </c>
      <c r="D684" s="12" t="n"/>
      <c r="E684" s="13">
        <f>IF(D684="","",D684-TODAY())</f>
        <v/>
      </c>
      <c r="F684">
        <f>IF(D684="","",IF(E684&lt;0,"VENCIDO",IF(E684&lt;=30,"VENCE EM &lt;= 30 DIAS",IF(E684&lt;=60,"ATENCAO (31-60 DIAS)","OK"))))</f>
        <v/>
      </c>
      <c r="G684" s="13">
        <f>SUMIFS(Movimentacoes!$G:$G,Movimentacoes!$C:$C,$A684,Movimentacoes!$E:$E,$C684,Movimentacoes!$B:$B,"ENTRADA")</f>
        <v/>
      </c>
      <c r="H684" s="13">
        <f>SUMIFS(Movimentacoes!$G:$G,Movimentacoes!$C:$C,$A684,Movimentacoes!$E:$E,$C684,Movimentacoes!$B:$B,"SAIDA_USO")</f>
        <v/>
      </c>
      <c r="I684" s="13">
        <f>SUMIFS(Movimentacoes!$G:$G,Movimentacoes!$C:$C,$A684,Movimentacoes!$E:$E,$C684,Movimentacoes!$B:$B,"SAIDA_DESCARTE")</f>
        <v/>
      </c>
      <c r="J684" s="13">
        <f>G684-H684-I684</f>
        <v/>
      </c>
      <c r="K684">
        <f>IF(A684="","",IF(J684&lt;=IFERROR(VLOOKUP(A684,Cadastro_Produtos!$A:$E,5,FALSE),0),"ABAIXO DO MINIMO","OK"))</f>
        <v/>
      </c>
    </row>
    <row r="685">
      <c r="B685">
        <f>IFERROR(VLOOKUP(A685,Cadastro_Produtos!A:B,2,FALSE),"")</f>
        <v/>
      </c>
      <c r="D685" s="12" t="n"/>
      <c r="E685" s="13">
        <f>IF(D685="","",D685-TODAY())</f>
        <v/>
      </c>
      <c r="F685">
        <f>IF(D685="","",IF(E685&lt;0,"VENCIDO",IF(E685&lt;=30,"VENCE EM &lt;= 30 DIAS",IF(E685&lt;=60,"ATENCAO (31-60 DIAS)","OK"))))</f>
        <v/>
      </c>
      <c r="G685" s="13">
        <f>SUMIFS(Movimentacoes!$G:$G,Movimentacoes!$C:$C,$A685,Movimentacoes!$E:$E,$C685,Movimentacoes!$B:$B,"ENTRADA")</f>
        <v/>
      </c>
      <c r="H685" s="13">
        <f>SUMIFS(Movimentacoes!$G:$G,Movimentacoes!$C:$C,$A685,Movimentacoes!$E:$E,$C685,Movimentacoes!$B:$B,"SAIDA_USO")</f>
        <v/>
      </c>
      <c r="I685" s="13">
        <f>SUMIFS(Movimentacoes!$G:$G,Movimentacoes!$C:$C,$A685,Movimentacoes!$E:$E,$C685,Movimentacoes!$B:$B,"SAIDA_DESCARTE")</f>
        <v/>
      </c>
      <c r="J685" s="13">
        <f>G685-H685-I685</f>
        <v/>
      </c>
      <c r="K685">
        <f>IF(A685="","",IF(J685&lt;=IFERROR(VLOOKUP(A685,Cadastro_Produtos!$A:$E,5,FALSE),0),"ABAIXO DO MINIMO","OK"))</f>
        <v/>
      </c>
    </row>
    <row r="686">
      <c r="B686">
        <f>IFERROR(VLOOKUP(A686,Cadastro_Produtos!A:B,2,FALSE),"")</f>
        <v/>
      </c>
      <c r="D686" s="12" t="n"/>
      <c r="E686" s="13">
        <f>IF(D686="","",D686-TODAY())</f>
        <v/>
      </c>
      <c r="F686">
        <f>IF(D686="","",IF(E686&lt;0,"VENCIDO",IF(E686&lt;=30,"VENCE EM &lt;= 30 DIAS",IF(E686&lt;=60,"ATENCAO (31-60 DIAS)","OK"))))</f>
        <v/>
      </c>
      <c r="G686" s="13">
        <f>SUMIFS(Movimentacoes!$G:$G,Movimentacoes!$C:$C,$A686,Movimentacoes!$E:$E,$C686,Movimentacoes!$B:$B,"ENTRADA")</f>
        <v/>
      </c>
      <c r="H686" s="13">
        <f>SUMIFS(Movimentacoes!$G:$G,Movimentacoes!$C:$C,$A686,Movimentacoes!$E:$E,$C686,Movimentacoes!$B:$B,"SAIDA_USO")</f>
        <v/>
      </c>
      <c r="I686" s="13">
        <f>SUMIFS(Movimentacoes!$G:$G,Movimentacoes!$C:$C,$A686,Movimentacoes!$E:$E,$C686,Movimentacoes!$B:$B,"SAIDA_DESCARTE")</f>
        <v/>
      </c>
      <c r="J686" s="13">
        <f>G686-H686-I686</f>
        <v/>
      </c>
      <c r="K686">
        <f>IF(A686="","",IF(J686&lt;=IFERROR(VLOOKUP(A686,Cadastro_Produtos!$A:$E,5,FALSE),0),"ABAIXO DO MINIMO","OK"))</f>
        <v/>
      </c>
    </row>
    <row r="687">
      <c r="B687">
        <f>IFERROR(VLOOKUP(A687,Cadastro_Produtos!A:B,2,FALSE),"")</f>
        <v/>
      </c>
      <c r="D687" s="12" t="n"/>
      <c r="E687" s="13">
        <f>IF(D687="","",D687-TODAY())</f>
        <v/>
      </c>
      <c r="F687">
        <f>IF(D687="","",IF(E687&lt;0,"VENCIDO",IF(E687&lt;=30,"VENCE EM &lt;= 30 DIAS",IF(E687&lt;=60,"ATENCAO (31-60 DIAS)","OK"))))</f>
        <v/>
      </c>
      <c r="G687" s="13">
        <f>SUMIFS(Movimentacoes!$G:$G,Movimentacoes!$C:$C,$A687,Movimentacoes!$E:$E,$C687,Movimentacoes!$B:$B,"ENTRADA")</f>
        <v/>
      </c>
      <c r="H687" s="13">
        <f>SUMIFS(Movimentacoes!$G:$G,Movimentacoes!$C:$C,$A687,Movimentacoes!$E:$E,$C687,Movimentacoes!$B:$B,"SAIDA_USO")</f>
        <v/>
      </c>
      <c r="I687" s="13">
        <f>SUMIFS(Movimentacoes!$G:$G,Movimentacoes!$C:$C,$A687,Movimentacoes!$E:$E,$C687,Movimentacoes!$B:$B,"SAIDA_DESCARTE")</f>
        <v/>
      </c>
      <c r="J687" s="13">
        <f>G687-H687-I687</f>
        <v/>
      </c>
      <c r="K687">
        <f>IF(A687="","",IF(J687&lt;=IFERROR(VLOOKUP(A687,Cadastro_Produtos!$A:$E,5,FALSE),0),"ABAIXO DO MINIMO","OK"))</f>
        <v/>
      </c>
    </row>
    <row r="688">
      <c r="B688">
        <f>IFERROR(VLOOKUP(A688,Cadastro_Produtos!A:B,2,FALSE),"")</f>
        <v/>
      </c>
      <c r="D688" s="12" t="n"/>
      <c r="E688" s="13">
        <f>IF(D688="","",D688-TODAY())</f>
        <v/>
      </c>
      <c r="F688">
        <f>IF(D688="","",IF(E688&lt;0,"VENCIDO",IF(E688&lt;=30,"VENCE EM &lt;= 30 DIAS",IF(E688&lt;=60,"ATENCAO (31-60 DIAS)","OK"))))</f>
        <v/>
      </c>
      <c r="G688" s="13">
        <f>SUMIFS(Movimentacoes!$G:$G,Movimentacoes!$C:$C,$A688,Movimentacoes!$E:$E,$C688,Movimentacoes!$B:$B,"ENTRADA")</f>
        <v/>
      </c>
      <c r="H688" s="13">
        <f>SUMIFS(Movimentacoes!$G:$G,Movimentacoes!$C:$C,$A688,Movimentacoes!$E:$E,$C688,Movimentacoes!$B:$B,"SAIDA_USO")</f>
        <v/>
      </c>
      <c r="I688" s="13">
        <f>SUMIFS(Movimentacoes!$G:$G,Movimentacoes!$C:$C,$A688,Movimentacoes!$E:$E,$C688,Movimentacoes!$B:$B,"SAIDA_DESCARTE")</f>
        <v/>
      </c>
      <c r="J688" s="13">
        <f>G688-H688-I688</f>
        <v/>
      </c>
      <c r="K688">
        <f>IF(A688="","",IF(J688&lt;=IFERROR(VLOOKUP(A688,Cadastro_Produtos!$A:$E,5,FALSE),0),"ABAIXO DO MINIMO","OK"))</f>
        <v/>
      </c>
    </row>
    <row r="689">
      <c r="B689">
        <f>IFERROR(VLOOKUP(A689,Cadastro_Produtos!A:B,2,FALSE),"")</f>
        <v/>
      </c>
      <c r="D689" s="12" t="n"/>
      <c r="E689" s="13">
        <f>IF(D689="","",D689-TODAY())</f>
        <v/>
      </c>
      <c r="F689">
        <f>IF(D689="","",IF(E689&lt;0,"VENCIDO",IF(E689&lt;=30,"VENCE EM &lt;= 30 DIAS",IF(E689&lt;=60,"ATENCAO (31-60 DIAS)","OK"))))</f>
        <v/>
      </c>
      <c r="G689" s="13">
        <f>SUMIFS(Movimentacoes!$G:$G,Movimentacoes!$C:$C,$A689,Movimentacoes!$E:$E,$C689,Movimentacoes!$B:$B,"ENTRADA")</f>
        <v/>
      </c>
      <c r="H689" s="13">
        <f>SUMIFS(Movimentacoes!$G:$G,Movimentacoes!$C:$C,$A689,Movimentacoes!$E:$E,$C689,Movimentacoes!$B:$B,"SAIDA_USO")</f>
        <v/>
      </c>
      <c r="I689" s="13">
        <f>SUMIFS(Movimentacoes!$G:$G,Movimentacoes!$C:$C,$A689,Movimentacoes!$E:$E,$C689,Movimentacoes!$B:$B,"SAIDA_DESCARTE")</f>
        <v/>
      </c>
      <c r="J689" s="13">
        <f>G689-H689-I689</f>
        <v/>
      </c>
      <c r="K689">
        <f>IF(A689="","",IF(J689&lt;=IFERROR(VLOOKUP(A689,Cadastro_Produtos!$A:$E,5,FALSE),0),"ABAIXO DO MINIMO","OK"))</f>
        <v/>
      </c>
    </row>
    <row r="690">
      <c r="B690">
        <f>IFERROR(VLOOKUP(A690,Cadastro_Produtos!A:B,2,FALSE),"")</f>
        <v/>
      </c>
      <c r="D690" s="12" t="n"/>
      <c r="E690" s="13">
        <f>IF(D690="","",D690-TODAY())</f>
        <v/>
      </c>
      <c r="F690">
        <f>IF(D690="","",IF(E690&lt;0,"VENCIDO",IF(E690&lt;=30,"VENCE EM &lt;= 30 DIAS",IF(E690&lt;=60,"ATENCAO (31-60 DIAS)","OK"))))</f>
        <v/>
      </c>
      <c r="G690" s="13">
        <f>SUMIFS(Movimentacoes!$G:$G,Movimentacoes!$C:$C,$A690,Movimentacoes!$E:$E,$C690,Movimentacoes!$B:$B,"ENTRADA")</f>
        <v/>
      </c>
      <c r="H690" s="13">
        <f>SUMIFS(Movimentacoes!$G:$G,Movimentacoes!$C:$C,$A690,Movimentacoes!$E:$E,$C690,Movimentacoes!$B:$B,"SAIDA_USO")</f>
        <v/>
      </c>
      <c r="I690" s="13">
        <f>SUMIFS(Movimentacoes!$G:$G,Movimentacoes!$C:$C,$A690,Movimentacoes!$E:$E,$C690,Movimentacoes!$B:$B,"SAIDA_DESCARTE")</f>
        <v/>
      </c>
      <c r="J690" s="13">
        <f>G690-H690-I690</f>
        <v/>
      </c>
      <c r="K690">
        <f>IF(A690="","",IF(J690&lt;=IFERROR(VLOOKUP(A690,Cadastro_Produtos!$A:$E,5,FALSE),0),"ABAIXO DO MINIMO","OK"))</f>
        <v/>
      </c>
    </row>
    <row r="691">
      <c r="B691">
        <f>IFERROR(VLOOKUP(A691,Cadastro_Produtos!A:B,2,FALSE),"")</f>
        <v/>
      </c>
      <c r="D691" s="12" t="n"/>
      <c r="E691" s="13">
        <f>IF(D691="","",D691-TODAY())</f>
        <v/>
      </c>
      <c r="F691">
        <f>IF(D691="","",IF(E691&lt;0,"VENCIDO",IF(E691&lt;=30,"VENCE EM &lt;= 30 DIAS",IF(E691&lt;=60,"ATENCAO (31-60 DIAS)","OK"))))</f>
        <v/>
      </c>
      <c r="G691" s="13">
        <f>SUMIFS(Movimentacoes!$G:$G,Movimentacoes!$C:$C,$A691,Movimentacoes!$E:$E,$C691,Movimentacoes!$B:$B,"ENTRADA")</f>
        <v/>
      </c>
      <c r="H691" s="13">
        <f>SUMIFS(Movimentacoes!$G:$G,Movimentacoes!$C:$C,$A691,Movimentacoes!$E:$E,$C691,Movimentacoes!$B:$B,"SAIDA_USO")</f>
        <v/>
      </c>
      <c r="I691" s="13">
        <f>SUMIFS(Movimentacoes!$G:$G,Movimentacoes!$C:$C,$A691,Movimentacoes!$E:$E,$C691,Movimentacoes!$B:$B,"SAIDA_DESCARTE")</f>
        <v/>
      </c>
      <c r="J691" s="13">
        <f>G691-H691-I691</f>
        <v/>
      </c>
      <c r="K691">
        <f>IF(A691="","",IF(J691&lt;=IFERROR(VLOOKUP(A691,Cadastro_Produtos!$A:$E,5,FALSE),0),"ABAIXO DO MINIMO","OK"))</f>
        <v/>
      </c>
    </row>
    <row r="692">
      <c r="B692">
        <f>IFERROR(VLOOKUP(A692,Cadastro_Produtos!A:B,2,FALSE),"")</f>
        <v/>
      </c>
      <c r="D692" s="12" t="n"/>
      <c r="E692" s="13">
        <f>IF(D692="","",D692-TODAY())</f>
        <v/>
      </c>
      <c r="F692">
        <f>IF(D692="","",IF(E692&lt;0,"VENCIDO",IF(E692&lt;=30,"VENCE EM &lt;= 30 DIAS",IF(E692&lt;=60,"ATENCAO (31-60 DIAS)","OK"))))</f>
        <v/>
      </c>
      <c r="G692" s="13">
        <f>SUMIFS(Movimentacoes!$G:$G,Movimentacoes!$C:$C,$A692,Movimentacoes!$E:$E,$C692,Movimentacoes!$B:$B,"ENTRADA")</f>
        <v/>
      </c>
      <c r="H692" s="13">
        <f>SUMIFS(Movimentacoes!$G:$G,Movimentacoes!$C:$C,$A692,Movimentacoes!$E:$E,$C692,Movimentacoes!$B:$B,"SAIDA_USO")</f>
        <v/>
      </c>
      <c r="I692" s="13">
        <f>SUMIFS(Movimentacoes!$G:$G,Movimentacoes!$C:$C,$A692,Movimentacoes!$E:$E,$C692,Movimentacoes!$B:$B,"SAIDA_DESCARTE")</f>
        <v/>
      </c>
      <c r="J692" s="13">
        <f>G692-H692-I692</f>
        <v/>
      </c>
      <c r="K692">
        <f>IF(A692="","",IF(J692&lt;=IFERROR(VLOOKUP(A692,Cadastro_Produtos!$A:$E,5,FALSE),0),"ABAIXO DO MINIMO","OK"))</f>
        <v/>
      </c>
    </row>
    <row r="693">
      <c r="B693">
        <f>IFERROR(VLOOKUP(A693,Cadastro_Produtos!A:B,2,FALSE),"")</f>
        <v/>
      </c>
      <c r="D693" s="12" t="n"/>
      <c r="E693" s="13">
        <f>IF(D693="","",D693-TODAY())</f>
        <v/>
      </c>
      <c r="F693">
        <f>IF(D693="","",IF(E693&lt;0,"VENCIDO",IF(E693&lt;=30,"VENCE EM &lt;= 30 DIAS",IF(E693&lt;=60,"ATENCAO (31-60 DIAS)","OK"))))</f>
        <v/>
      </c>
      <c r="G693" s="13">
        <f>SUMIFS(Movimentacoes!$G:$G,Movimentacoes!$C:$C,$A693,Movimentacoes!$E:$E,$C693,Movimentacoes!$B:$B,"ENTRADA")</f>
        <v/>
      </c>
      <c r="H693" s="13">
        <f>SUMIFS(Movimentacoes!$G:$G,Movimentacoes!$C:$C,$A693,Movimentacoes!$E:$E,$C693,Movimentacoes!$B:$B,"SAIDA_USO")</f>
        <v/>
      </c>
      <c r="I693" s="13">
        <f>SUMIFS(Movimentacoes!$G:$G,Movimentacoes!$C:$C,$A693,Movimentacoes!$E:$E,$C693,Movimentacoes!$B:$B,"SAIDA_DESCARTE")</f>
        <v/>
      </c>
      <c r="J693" s="13">
        <f>G693-H693-I693</f>
        <v/>
      </c>
      <c r="K693">
        <f>IF(A693="","",IF(J693&lt;=IFERROR(VLOOKUP(A693,Cadastro_Produtos!$A:$E,5,FALSE),0),"ABAIXO DO MINIMO","OK"))</f>
        <v/>
      </c>
    </row>
    <row r="694">
      <c r="B694">
        <f>IFERROR(VLOOKUP(A694,Cadastro_Produtos!A:B,2,FALSE),"")</f>
        <v/>
      </c>
      <c r="D694" s="12" t="n"/>
      <c r="E694" s="13">
        <f>IF(D694="","",D694-TODAY())</f>
        <v/>
      </c>
      <c r="F694">
        <f>IF(D694="","",IF(E694&lt;0,"VENCIDO",IF(E694&lt;=30,"VENCE EM &lt;= 30 DIAS",IF(E694&lt;=60,"ATENCAO (31-60 DIAS)","OK"))))</f>
        <v/>
      </c>
      <c r="G694" s="13">
        <f>SUMIFS(Movimentacoes!$G:$G,Movimentacoes!$C:$C,$A694,Movimentacoes!$E:$E,$C694,Movimentacoes!$B:$B,"ENTRADA")</f>
        <v/>
      </c>
      <c r="H694" s="13">
        <f>SUMIFS(Movimentacoes!$G:$G,Movimentacoes!$C:$C,$A694,Movimentacoes!$E:$E,$C694,Movimentacoes!$B:$B,"SAIDA_USO")</f>
        <v/>
      </c>
      <c r="I694" s="13">
        <f>SUMIFS(Movimentacoes!$G:$G,Movimentacoes!$C:$C,$A694,Movimentacoes!$E:$E,$C694,Movimentacoes!$B:$B,"SAIDA_DESCARTE")</f>
        <v/>
      </c>
      <c r="J694" s="13">
        <f>G694-H694-I694</f>
        <v/>
      </c>
      <c r="K694">
        <f>IF(A694="","",IF(J694&lt;=IFERROR(VLOOKUP(A694,Cadastro_Produtos!$A:$E,5,FALSE),0),"ABAIXO DO MINIMO","OK"))</f>
        <v/>
      </c>
    </row>
    <row r="695">
      <c r="B695">
        <f>IFERROR(VLOOKUP(A695,Cadastro_Produtos!A:B,2,FALSE),"")</f>
        <v/>
      </c>
      <c r="D695" s="12" t="n"/>
      <c r="E695" s="13">
        <f>IF(D695="","",D695-TODAY())</f>
        <v/>
      </c>
      <c r="F695">
        <f>IF(D695="","",IF(E695&lt;0,"VENCIDO",IF(E695&lt;=30,"VENCE EM &lt;= 30 DIAS",IF(E695&lt;=60,"ATENCAO (31-60 DIAS)","OK"))))</f>
        <v/>
      </c>
      <c r="G695" s="13">
        <f>SUMIFS(Movimentacoes!$G:$G,Movimentacoes!$C:$C,$A695,Movimentacoes!$E:$E,$C695,Movimentacoes!$B:$B,"ENTRADA")</f>
        <v/>
      </c>
      <c r="H695" s="13">
        <f>SUMIFS(Movimentacoes!$G:$G,Movimentacoes!$C:$C,$A695,Movimentacoes!$E:$E,$C695,Movimentacoes!$B:$B,"SAIDA_USO")</f>
        <v/>
      </c>
      <c r="I695" s="13">
        <f>SUMIFS(Movimentacoes!$G:$G,Movimentacoes!$C:$C,$A695,Movimentacoes!$E:$E,$C695,Movimentacoes!$B:$B,"SAIDA_DESCARTE")</f>
        <v/>
      </c>
      <c r="J695" s="13">
        <f>G695-H695-I695</f>
        <v/>
      </c>
      <c r="K695">
        <f>IF(A695="","",IF(J695&lt;=IFERROR(VLOOKUP(A695,Cadastro_Produtos!$A:$E,5,FALSE),0),"ABAIXO DO MINIMO","OK"))</f>
        <v/>
      </c>
    </row>
    <row r="696">
      <c r="B696">
        <f>IFERROR(VLOOKUP(A696,Cadastro_Produtos!A:B,2,FALSE),"")</f>
        <v/>
      </c>
      <c r="D696" s="12" t="n"/>
      <c r="E696" s="13">
        <f>IF(D696="","",D696-TODAY())</f>
        <v/>
      </c>
      <c r="F696">
        <f>IF(D696="","",IF(E696&lt;0,"VENCIDO",IF(E696&lt;=30,"VENCE EM &lt;= 30 DIAS",IF(E696&lt;=60,"ATENCAO (31-60 DIAS)","OK"))))</f>
        <v/>
      </c>
      <c r="G696" s="13">
        <f>SUMIFS(Movimentacoes!$G:$G,Movimentacoes!$C:$C,$A696,Movimentacoes!$E:$E,$C696,Movimentacoes!$B:$B,"ENTRADA")</f>
        <v/>
      </c>
      <c r="H696" s="13">
        <f>SUMIFS(Movimentacoes!$G:$G,Movimentacoes!$C:$C,$A696,Movimentacoes!$E:$E,$C696,Movimentacoes!$B:$B,"SAIDA_USO")</f>
        <v/>
      </c>
      <c r="I696" s="13">
        <f>SUMIFS(Movimentacoes!$G:$G,Movimentacoes!$C:$C,$A696,Movimentacoes!$E:$E,$C696,Movimentacoes!$B:$B,"SAIDA_DESCARTE")</f>
        <v/>
      </c>
      <c r="J696" s="13">
        <f>G696-H696-I696</f>
        <v/>
      </c>
      <c r="K696">
        <f>IF(A696="","",IF(J696&lt;=IFERROR(VLOOKUP(A696,Cadastro_Produtos!$A:$E,5,FALSE),0),"ABAIXO DO MINIMO","OK"))</f>
        <v/>
      </c>
    </row>
    <row r="697">
      <c r="B697">
        <f>IFERROR(VLOOKUP(A697,Cadastro_Produtos!A:B,2,FALSE),"")</f>
        <v/>
      </c>
      <c r="D697" s="12" t="n"/>
      <c r="E697" s="13">
        <f>IF(D697="","",D697-TODAY())</f>
        <v/>
      </c>
      <c r="F697">
        <f>IF(D697="","",IF(E697&lt;0,"VENCIDO",IF(E697&lt;=30,"VENCE EM &lt;= 30 DIAS",IF(E697&lt;=60,"ATENCAO (31-60 DIAS)","OK"))))</f>
        <v/>
      </c>
      <c r="G697" s="13">
        <f>SUMIFS(Movimentacoes!$G:$G,Movimentacoes!$C:$C,$A697,Movimentacoes!$E:$E,$C697,Movimentacoes!$B:$B,"ENTRADA")</f>
        <v/>
      </c>
      <c r="H697" s="13">
        <f>SUMIFS(Movimentacoes!$G:$G,Movimentacoes!$C:$C,$A697,Movimentacoes!$E:$E,$C697,Movimentacoes!$B:$B,"SAIDA_USO")</f>
        <v/>
      </c>
      <c r="I697" s="13">
        <f>SUMIFS(Movimentacoes!$G:$G,Movimentacoes!$C:$C,$A697,Movimentacoes!$E:$E,$C697,Movimentacoes!$B:$B,"SAIDA_DESCARTE")</f>
        <v/>
      </c>
      <c r="J697" s="13">
        <f>G697-H697-I697</f>
        <v/>
      </c>
      <c r="K697">
        <f>IF(A697="","",IF(J697&lt;=IFERROR(VLOOKUP(A697,Cadastro_Produtos!$A:$E,5,FALSE),0),"ABAIXO DO MINIMO","OK"))</f>
        <v/>
      </c>
    </row>
    <row r="698">
      <c r="B698">
        <f>IFERROR(VLOOKUP(A698,Cadastro_Produtos!A:B,2,FALSE),"")</f>
        <v/>
      </c>
      <c r="D698" s="12" t="n"/>
      <c r="E698" s="13">
        <f>IF(D698="","",D698-TODAY())</f>
        <v/>
      </c>
      <c r="F698">
        <f>IF(D698="","",IF(E698&lt;0,"VENCIDO",IF(E698&lt;=30,"VENCE EM &lt;= 30 DIAS",IF(E698&lt;=60,"ATENCAO (31-60 DIAS)","OK"))))</f>
        <v/>
      </c>
      <c r="G698" s="13">
        <f>SUMIFS(Movimentacoes!$G:$G,Movimentacoes!$C:$C,$A698,Movimentacoes!$E:$E,$C698,Movimentacoes!$B:$B,"ENTRADA")</f>
        <v/>
      </c>
      <c r="H698" s="13">
        <f>SUMIFS(Movimentacoes!$G:$G,Movimentacoes!$C:$C,$A698,Movimentacoes!$E:$E,$C698,Movimentacoes!$B:$B,"SAIDA_USO")</f>
        <v/>
      </c>
      <c r="I698" s="13">
        <f>SUMIFS(Movimentacoes!$G:$G,Movimentacoes!$C:$C,$A698,Movimentacoes!$E:$E,$C698,Movimentacoes!$B:$B,"SAIDA_DESCARTE")</f>
        <v/>
      </c>
      <c r="J698" s="13">
        <f>G698-H698-I698</f>
        <v/>
      </c>
      <c r="K698">
        <f>IF(A698="","",IF(J698&lt;=IFERROR(VLOOKUP(A698,Cadastro_Produtos!$A:$E,5,FALSE),0),"ABAIXO DO MINIMO","OK"))</f>
        <v/>
      </c>
    </row>
    <row r="699">
      <c r="B699">
        <f>IFERROR(VLOOKUP(A699,Cadastro_Produtos!A:B,2,FALSE),"")</f>
        <v/>
      </c>
      <c r="D699" s="12" t="n"/>
      <c r="E699" s="13">
        <f>IF(D699="","",D699-TODAY())</f>
        <v/>
      </c>
      <c r="F699">
        <f>IF(D699="","",IF(E699&lt;0,"VENCIDO",IF(E699&lt;=30,"VENCE EM &lt;= 30 DIAS",IF(E699&lt;=60,"ATENCAO (31-60 DIAS)","OK"))))</f>
        <v/>
      </c>
      <c r="G699" s="13">
        <f>SUMIFS(Movimentacoes!$G:$G,Movimentacoes!$C:$C,$A699,Movimentacoes!$E:$E,$C699,Movimentacoes!$B:$B,"ENTRADA")</f>
        <v/>
      </c>
      <c r="H699" s="13">
        <f>SUMIFS(Movimentacoes!$G:$G,Movimentacoes!$C:$C,$A699,Movimentacoes!$E:$E,$C699,Movimentacoes!$B:$B,"SAIDA_USO")</f>
        <v/>
      </c>
      <c r="I699" s="13">
        <f>SUMIFS(Movimentacoes!$G:$G,Movimentacoes!$C:$C,$A699,Movimentacoes!$E:$E,$C699,Movimentacoes!$B:$B,"SAIDA_DESCARTE")</f>
        <v/>
      </c>
      <c r="J699" s="13">
        <f>G699-H699-I699</f>
        <v/>
      </c>
      <c r="K699">
        <f>IF(A699="","",IF(J699&lt;=IFERROR(VLOOKUP(A699,Cadastro_Produtos!$A:$E,5,FALSE),0),"ABAIXO DO MINIMO","OK"))</f>
        <v/>
      </c>
    </row>
    <row r="700">
      <c r="B700">
        <f>IFERROR(VLOOKUP(A700,Cadastro_Produtos!A:B,2,FALSE),"")</f>
        <v/>
      </c>
      <c r="D700" s="12" t="n"/>
      <c r="E700" s="13">
        <f>IF(D700="","",D700-TODAY())</f>
        <v/>
      </c>
      <c r="F700">
        <f>IF(D700="","",IF(E700&lt;0,"VENCIDO",IF(E700&lt;=30,"VENCE EM &lt;= 30 DIAS",IF(E700&lt;=60,"ATENCAO (31-60 DIAS)","OK"))))</f>
        <v/>
      </c>
      <c r="G700" s="13">
        <f>SUMIFS(Movimentacoes!$G:$G,Movimentacoes!$C:$C,$A700,Movimentacoes!$E:$E,$C700,Movimentacoes!$B:$B,"ENTRADA")</f>
        <v/>
      </c>
      <c r="H700" s="13">
        <f>SUMIFS(Movimentacoes!$G:$G,Movimentacoes!$C:$C,$A700,Movimentacoes!$E:$E,$C700,Movimentacoes!$B:$B,"SAIDA_USO")</f>
        <v/>
      </c>
      <c r="I700" s="13">
        <f>SUMIFS(Movimentacoes!$G:$G,Movimentacoes!$C:$C,$A700,Movimentacoes!$E:$E,$C700,Movimentacoes!$B:$B,"SAIDA_DESCARTE")</f>
        <v/>
      </c>
      <c r="J700" s="13">
        <f>G700-H700-I700</f>
        <v/>
      </c>
      <c r="K700">
        <f>IF(A700="","",IF(J700&lt;=IFERROR(VLOOKUP(A700,Cadastro_Produtos!$A:$E,5,FALSE),0),"ABAIXO DO MINIMO","OK"))</f>
        <v/>
      </c>
    </row>
    <row r="701">
      <c r="B701">
        <f>IFERROR(VLOOKUP(A701,Cadastro_Produtos!A:B,2,FALSE),"")</f>
        <v/>
      </c>
      <c r="D701" s="12" t="n"/>
      <c r="E701" s="13">
        <f>IF(D701="","",D701-TODAY())</f>
        <v/>
      </c>
      <c r="F701">
        <f>IF(D701="","",IF(E701&lt;0,"VENCIDO",IF(E701&lt;=30,"VENCE EM &lt;= 30 DIAS",IF(E701&lt;=60,"ATENCAO (31-60 DIAS)","OK"))))</f>
        <v/>
      </c>
      <c r="G701" s="13">
        <f>SUMIFS(Movimentacoes!$G:$G,Movimentacoes!$C:$C,$A701,Movimentacoes!$E:$E,$C701,Movimentacoes!$B:$B,"ENTRADA")</f>
        <v/>
      </c>
      <c r="H701" s="13">
        <f>SUMIFS(Movimentacoes!$G:$G,Movimentacoes!$C:$C,$A701,Movimentacoes!$E:$E,$C701,Movimentacoes!$B:$B,"SAIDA_USO")</f>
        <v/>
      </c>
      <c r="I701" s="13">
        <f>SUMIFS(Movimentacoes!$G:$G,Movimentacoes!$C:$C,$A701,Movimentacoes!$E:$E,$C701,Movimentacoes!$B:$B,"SAIDA_DESCARTE")</f>
        <v/>
      </c>
      <c r="J701" s="13">
        <f>G701-H701-I701</f>
        <v/>
      </c>
      <c r="K701">
        <f>IF(A701="","",IF(J701&lt;=IFERROR(VLOOKUP(A701,Cadastro_Produtos!$A:$E,5,FALSE),0),"ABAIXO DO MINIMO","OK"))</f>
        <v/>
      </c>
    </row>
    <row r="702">
      <c r="B702">
        <f>IFERROR(VLOOKUP(A702,Cadastro_Produtos!A:B,2,FALSE),"")</f>
        <v/>
      </c>
      <c r="D702" s="12" t="n"/>
      <c r="E702" s="13">
        <f>IF(D702="","",D702-TODAY())</f>
        <v/>
      </c>
      <c r="F702">
        <f>IF(D702="","",IF(E702&lt;0,"VENCIDO",IF(E702&lt;=30,"VENCE EM &lt;= 30 DIAS",IF(E702&lt;=60,"ATENCAO (31-60 DIAS)","OK"))))</f>
        <v/>
      </c>
      <c r="G702" s="13">
        <f>SUMIFS(Movimentacoes!$G:$G,Movimentacoes!$C:$C,$A702,Movimentacoes!$E:$E,$C702,Movimentacoes!$B:$B,"ENTRADA")</f>
        <v/>
      </c>
      <c r="H702" s="13">
        <f>SUMIFS(Movimentacoes!$G:$G,Movimentacoes!$C:$C,$A702,Movimentacoes!$E:$E,$C702,Movimentacoes!$B:$B,"SAIDA_USO")</f>
        <v/>
      </c>
      <c r="I702" s="13">
        <f>SUMIFS(Movimentacoes!$G:$G,Movimentacoes!$C:$C,$A702,Movimentacoes!$E:$E,$C702,Movimentacoes!$B:$B,"SAIDA_DESCARTE")</f>
        <v/>
      </c>
      <c r="J702" s="13">
        <f>G702-H702-I702</f>
        <v/>
      </c>
      <c r="K702">
        <f>IF(A702="","",IF(J702&lt;=IFERROR(VLOOKUP(A702,Cadastro_Produtos!$A:$E,5,FALSE),0),"ABAIXO DO MINIMO","OK"))</f>
        <v/>
      </c>
    </row>
    <row r="703">
      <c r="B703">
        <f>IFERROR(VLOOKUP(A703,Cadastro_Produtos!A:B,2,FALSE),"")</f>
        <v/>
      </c>
      <c r="D703" s="12" t="n"/>
      <c r="E703" s="13">
        <f>IF(D703="","",D703-TODAY())</f>
        <v/>
      </c>
      <c r="F703">
        <f>IF(D703="","",IF(E703&lt;0,"VENCIDO",IF(E703&lt;=30,"VENCE EM &lt;= 30 DIAS",IF(E703&lt;=60,"ATENCAO (31-60 DIAS)","OK"))))</f>
        <v/>
      </c>
      <c r="G703" s="13">
        <f>SUMIFS(Movimentacoes!$G:$G,Movimentacoes!$C:$C,$A703,Movimentacoes!$E:$E,$C703,Movimentacoes!$B:$B,"ENTRADA")</f>
        <v/>
      </c>
      <c r="H703" s="13">
        <f>SUMIFS(Movimentacoes!$G:$G,Movimentacoes!$C:$C,$A703,Movimentacoes!$E:$E,$C703,Movimentacoes!$B:$B,"SAIDA_USO")</f>
        <v/>
      </c>
      <c r="I703" s="13">
        <f>SUMIFS(Movimentacoes!$G:$G,Movimentacoes!$C:$C,$A703,Movimentacoes!$E:$E,$C703,Movimentacoes!$B:$B,"SAIDA_DESCARTE")</f>
        <v/>
      </c>
      <c r="J703" s="13">
        <f>G703-H703-I703</f>
        <v/>
      </c>
      <c r="K703">
        <f>IF(A703="","",IF(J703&lt;=IFERROR(VLOOKUP(A703,Cadastro_Produtos!$A:$E,5,FALSE),0),"ABAIXO DO MINIMO","OK"))</f>
        <v/>
      </c>
    </row>
    <row r="704">
      <c r="B704">
        <f>IFERROR(VLOOKUP(A704,Cadastro_Produtos!A:B,2,FALSE),"")</f>
        <v/>
      </c>
      <c r="D704" s="12" t="n"/>
      <c r="E704" s="13">
        <f>IF(D704="","",D704-TODAY())</f>
        <v/>
      </c>
      <c r="F704">
        <f>IF(D704="","",IF(E704&lt;0,"VENCIDO",IF(E704&lt;=30,"VENCE EM &lt;= 30 DIAS",IF(E704&lt;=60,"ATENCAO (31-60 DIAS)","OK"))))</f>
        <v/>
      </c>
      <c r="G704" s="13">
        <f>SUMIFS(Movimentacoes!$G:$G,Movimentacoes!$C:$C,$A704,Movimentacoes!$E:$E,$C704,Movimentacoes!$B:$B,"ENTRADA")</f>
        <v/>
      </c>
      <c r="H704" s="13">
        <f>SUMIFS(Movimentacoes!$G:$G,Movimentacoes!$C:$C,$A704,Movimentacoes!$E:$E,$C704,Movimentacoes!$B:$B,"SAIDA_USO")</f>
        <v/>
      </c>
      <c r="I704" s="13">
        <f>SUMIFS(Movimentacoes!$G:$G,Movimentacoes!$C:$C,$A704,Movimentacoes!$E:$E,$C704,Movimentacoes!$B:$B,"SAIDA_DESCARTE")</f>
        <v/>
      </c>
      <c r="J704" s="13">
        <f>G704-H704-I704</f>
        <v/>
      </c>
      <c r="K704">
        <f>IF(A704="","",IF(J704&lt;=IFERROR(VLOOKUP(A704,Cadastro_Produtos!$A:$E,5,FALSE),0),"ABAIXO DO MINIMO","OK"))</f>
        <v/>
      </c>
    </row>
    <row r="705">
      <c r="B705">
        <f>IFERROR(VLOOKUP(A705,Cadastro_Produtos!A:B,2,FALSE),"")</f>
        <v/>
      </c>
      <c r="D705" s="12" t="n"/>
      <c r="E705" s="13">
        <f>IF(D705="","",D705-TODAY())</f>
        <v/>
      </c>
      <c r="F705">
        <f>IF(D705="","",IF(E705&lt;0,"VENCIDO",IF(E705&lt;=30,"VENCE EM &lt;= 30 DIAS",IF(E705&lt;=60,"ATENCAO (31-60 DIAS)","OK"))))</f>
        <v/>
      </c>
      <c r="G705" s="13">
        <f>SUMIFS(Movimentacoes!$G:$G,Movimentacoes!$C:$C,$A705,Movimentacoes!$E:$E,$C705,Movimentacoes!$B:$B,"ENTRADA")</f>
        <v/>
      </c>
      <c r="H705" s="13">
        <f>SUMIFS(Movimentacoes!$G:$G,Movimentacoes!$C:$C,$A705,Movimentacoes!$E:$E,$C705,Movimentacoes!$B:$B,"SAIDA_USO")</f>
        <v/>
      </c>
      <c r="I705" s="13">
        <f>SUMIFS(Movimentacoes!$G:$G,Movimentacoes!$C:$C,$A705,Movimentacoes!$E:$E,$C705,Movimentacoes!$B:$B,"SAIDA_DESCARTE")</f>
        <v/>
      </c>
      <c r="J705" s="13">
        <f>G705-H705-I705</f>
        <v/>
      </c>
      <c r="K705">
        <f>IF(A705="","",IF(J705&lt;=IFERROR(VLOOKUP(A705,Cadastro_Produtos!$A:$E,5,FALSE),0),"ABAIXO DO MINIMO","OK"))</f>
        <v/>
      </c>
    </row>
    <row r="706">
      <c r="B706">
        <f>IFERROR(VLOOKUP(A706,Cadastro_Produtos!A:B,2,FALSE),"")</f>
        <v/>
      </c>
      <c r="D706" s="12" t="n"/>
      <c r="E706" s="13">
        <f>IF(D706="","",D706-TODAY())</f>
        <v/>
      </c>
      <c r="F706">
        <f>IF(D706="","",IF(E706&lt;0,"VENCIDO",IF(E706&lt;=30,"VENCE EM &lt;= 30 DIAS",IF(E706&lt;=60,"ATENCAO (31-60 DIAS)","OK"))))</f>
        <v/>
      </c>
      <c r="G706" s="13">
        <f>SUMIFS(Movimentacoes!$G:$G,Movimentacoes!$C:$C,$A706,Movimentacoes!$E:$E,$C706,Movimentacoes!$B:$B,"ENTRADA")</f>
        <v/>
      </c>
      <c r="H706" s="13">
        <f>SUMIFS(Movimentacoes!$G:$G,Movimentacoes!$C:$C,$A706,Movimentacoes!$E:$E,$C706,Movimentacoes!$B:$B,"SAIDA_USO")</f>
        <v/>
      </c>
      <c r="I706" s="13">
        <f>SUMIFS(Movimentacoes!$G:$G,Movimentacoes!$C:$C,$A706,Movimentacoes!$E:$E,$C706,Movimentacoes!$B:$B,"SAIDA_DESCARTE")</f>
        <v/>
      </c>
      <c r="J706" s="13">
        <f>G706-H706-I706</f>
        <v/>
      </c>
      <c r="K706">
        <f>IF(A706="","",IF(J706&lt;=IFERROR(VLOOKUP(A706,Cadastro_Produtos!$A:$E,5,FALSE),0),"ABAIXO DO MINIMO","OK"))</f>
        <v/>
      </c>
    </row>
    <row r="707">
      <c r="B707">
        <f>IFERROR(VLOOKUP(A707,Cadastro_Produtos!A:B,2,FALSE),"")</f>
        <v/>
      </c>
      <c r="D707" s="12" t="n"/>
      <c r="E707" s="13">
        <f>IF(D707="","",D707-TODAY())</f>
        <v/>
      </c>
      <c r="F707">
        <f>IF(D707="","",IF(E707&lt;0,"VENCIDO",IF(E707&lt;=30,"VENCE EM &lt;= 30 DIAS",IF(E707&lt;=60,"ATENCAO (31-60 DIAS)","OK"))))</f>
        <v/>
      </c>
      <c r="G707" s="13">
        <f>SUMIFS(Movimentacoes!$G:$G,Movimentacoes!$C:$C,$A707,Movimentacoes!$E:$E,$C707,Movimentacoes!$B:$B,"ENTRADA")</f>
        <v/>
      </c>
      <c r="H707" s="13">
        <f>SUMIFS(Movimentacoes!$G:$G,Movimentacoes!$C:$C,$A707,Movimentacoes!$E:$E,$C707,Movimentacoes!$B:$B,"SAIDA_USO")</f>
        <v/>
      </c>
      <c r="I707" s="13">
        <f>SUMIFS(Movimentacoes!$G:$G,Movimentacoes!$C:$C,$A707,Movimentacoes!$E:$E,$C707,Movimentacoes!$B:$B,"SAIDA_DESCARTE")</f>
        <v/>
      </c>
      <c r="J707" s="13">
        <f>G707-H707-I707</f>
        <v/>
      </c>
      <c r="K707">
        <f>IF(A707="","",IF(J707&lt;=IFERROR(VLOOKUP(A707,Cadastro_Produtos!$A:$E,5,FALSE),0),"ABAIXO DO MINIMO","OK"))</f>
        <v/>
      </c>
    </row>
    <row r="708">
      <c r="B708">
        <f>IFERROR(VLOOKUP(A708,Cadastro_Produtos!A:B,2,FALSE),"")</f>
        <v/>
      </c>
      <c r="D708" s="12" t="n"/>
      <c r="E708" s="13">
        <f>IF(D708="","",D708-TODAY())</f>
        <v/>
      </c>
      <c r="F708">
        <f>IF(D708="","",IF(E708&lt;0,"VENCIDO",IF(E708&lt;=30,"VENCE EM &lt;= 30 DIAS",IF(E708&lt;=60,"ATENCAO (31-60 DIAS)","OK"))))</f>
        <v/>
      </c>
      <c r="G708" s="13">
        <f>SUMIFS(Movimentacoes!$G:$G,Movimentacoes!$C:$C,$A708,Movimentacoes!$E:$E,$C708,Movimentacoes!$B:$B,"ENTRADA")</f>
        <v/>
      </c>
      <c r="H708" s="13">
        <f>SUMIFS(Movimentacoes!$G:$G,Movimentacoes!$C:$C,$A708,Movimentacoes!$E:$E,$C708,Movimentacoes!$B:$B,"SAIDA_USO")</f>
        <v/>
      </c>
      <c r="I708" s="13">
        <f>SUMIFS(Movimentacoes!$G:$G,Movimentacoes!$C:$C,$A708,Movimentacoes!$E:$E,$C708,Movimentacoes!$B:$B,"SAIDA_DESCARTE")</f>
        <v/>
      </c>
      <c r="J708" s="13">
        <f>G708-H708-I708</f>
        <v/>
      </c>
      <c r="K708">
        <f>IF(A708="","",IF(J708&lt;=IFERROR(VLOOKUP(A708,Cadastro_Produtos!$A:$E,5,FALSE),0),"ABAIXO DO MINIMO","OK"))</f>
        <v/>
      </c>
    </row>
    <row r="709">
      <c r="B709">
        <f>IFERROR(VLOOKUP(A709,Cadastro_Produtos!A:B,2,FALSE),"")</f>
        <v/>
      </c>
      <c r="D709" s="12" t="n"/>
      <c r="E709" s="13">
        <f>IF(D709="","",D709-TODAY())</f>
        <v/>
      </c>
      <c r="F709">
        <f>IF(D709="","",IF(E709&lt;0,"VENCIDO",IF(E709&lt;=30,"VENCE EM &lt;= 30 DIAS",IF(E709&lt;=60,"ATENCAO (31-60 DIAS)","OK"))))</f>
        <v/>
      </c>
      <c r="G709" s="13">
        <f>SUMIFS(Movimentacoes!$G:$G,Movimentacoes!$C:$C,$A709,Movimentacoes!$E:$E,$C709,Movimentacoes!$B:$B,"ENTRADA")</f>
        <v/>
      </c>
      <c r="H709" s="13">
        <f>SUMIFS(Movimentacoes!$G:$G,Movimentacoes!$C:$C,$A709,Movimentacoes!$E:$E,$C709,Movimentacoes!$B:$B,"SAIDA_USO")</f>
        <v/>
      </c>
      <c r="I709" s="13">
        <f>SUMIFS(Movimentacoes!$G:$G,Movimentacoes!$C:$C,$A709,Movimentacoes!$E:$E,$C709,Movimentacoes!$B:$B,"SAIDA_DESCARTE")</f>
        <v/>
      </c>
      <c r="J709" s="13">
        <f>G709-H709-I709</f>
        <v/>
      </c>
      <c r="K709">
        <f>IF(A709="","",IF(J709&lt;=IFERROR(VLOOKUP(A709,Cadastro_Produtos!$A:$E,5,FALSE),0),"ABAIXO DO MINIMO","OK"))</f>
        <v/>
      </c>
    </row>
    <row r="710">
      <c r="B710">
        <f>IFERROR(VLOOKUP(A710,Cadastro_Produtos!A:B,2,FALSE),"")</f>
        <v/>
      </c>
      <c r="D710" s="12" t="n"/>
      <c r="E710" s="13">
        <f>IF(D710="","",D710-TODAY())</f>
        <v/>
      </c>
      <c r="F710">
        <f>IF(D710="","",IF(E710&lt;0,"VENCIDO",IF(E710&lt;=30,"VENCE EM &lt;= 30 DIAS",IF(E710&lt;=60,"ATENCAO (31-60 DIAS)","OK"))))</f>
        <v/>
      </c>
      <c r="G710" s="13">
        <f>SUMIFS(Movimentacoes!$G:$G,Movimentacoes!$C:$C,$A710,Movimentacoes!$E:$E,$C710,Movimentacoes!$B:$B,"ENTRADA")</f>
        <v/>
      </c>
      <c r="H710" s="13">
        <f>SUMIFS(Movimentacoes!$G:$G,Movimentacoes!$C:$C,$A710,Movimentacoes!$E:$E,$C710,Movimentacoes!$B:$B,"SAIDA_USO")</f>
        <v/>
      </c>
      <c r="I710" s="13">
        <f>SUMIFS(Movimentacoes!$G:$G,Movimentacoes!$C:$C,$A710,Movimentacoes!$E:$E,$C710,Movimentacoes!$B:$B,"SAIDA_DESCARTE")</f>
        <v/>
      </c>
      <c r="J710" s="13">
        <f>G710-H710-I710</f>
        <v/>
      </c>
      <c r="K710">
        <f>IF(A710="","",IF(J710&lt;=IFERROR(VLOOKUP(A710,Cadastro_Produtos!$A:$E,5,FALSE),0),"ABAIXO DO MINIMO","OK"))</f>
        <v/>
      </c>
    </row>
    <row r="711">
      <c r="B711">
        <f>IFERROR(VLOOKUP(A711,Cadastro_Produtos!A:B,2,FALSE),"")</f>
        <v/>
      </c>
      <c r="D711" s="12" t="n"/>
      <c r="E711" s="13">
        <f>IF(D711="","",D711-TODAY())</f>
        <v/>
      </c>
      <c r="F711">
        <f>IF(D711="","",IF(E711&lt;0,"VENCIDO",IF(E711&lt;=30,"VENCE EM &lt;= 30 DIAS",IF(E711&lt;=60,"ATENCAO (31-60 DIAS)","OK"))))</f>
        <v/>
      </c>
      <c r="G711" s="13">
        <f>SUMIFS(Movimentacoes!$G:$G,Movimentacoes!$C:$C,$A711,Movimentacoes!$E:$E,$C711,Movimentacoes!$B:$B,"ENTRADA")</f>
        <v/>
      </c>
      <c r="H711" s="13">
        <f>SUMIFS(Movimentacoes!$G:$G,Movimentacoes!$C:$C,$A711,Movimentacoes!$E:$E,$C711,Movimentacoes!$B:$B,"SAIDA_USO")</f>
        <v/>
      </c>
      <c r="I711" s="13">
        <f>SUMIFS(Movimentacoes!$G:$G,Movimentacoes!$C:$C,$A711,Movimentacoes!$E:$E,$C711,Movimentacoes!$B:$B,"SAIDA_DESCARTE")</f>
        <v/>
      </c>
      <c r="J711" s="13">
        <f>G711-H711-I711</f>
        <v/>
      </c>
      <c r="K711">
        <f>IF(A711="","",IF(J711&lt;=IFERROR(VLOOKUP(A711,Cadastro_Produtos!$A:$E,5,FALSE),0),"ABAIXO DO MINIMO","OK"))</f>
        <v/>
      </c>
    </row>
    <row r="712">
      <c r="B712">
        <f>IFERROR(VLOOKUP(A712,Cadastro_Produtos!A:B,2,FALSE),"")</f>
        <v/>
      </c>
      <c r="D712" s="12" t="n"/>
      <c r="E712" s="13">
        <f>IF(D712="","",D712-TODAY())</f>
        <v/>
      </c>
      <c r="F712">
        <f>IF(D712="","",IF(E712&lt;0,"VENCIDO",IF(E712&lt;=30,"VENCE EM &lt;= 30 DIAS",IF(E712&lt;=60,"ATENCAO (31-60 DIAS)","OK"))))</f>
        <v/>
      </c>
      <c r="G712" s="13">
        <f>SUMIFS(Movimentacoes!$G:$G,Movimentacoes!$C:$C,$A712,Movimentacoes!$E:$E,$C712,Movimentacoes!$B:$B,"ENTRADA")</f>
        <v/>
      </c>
      <c r="H712" s="13">
        <f>SUMIFS(Movimentacoes!$G:$G,Movimentacoes!$C:$C,$A712,Movimentacoes!$E:$E,$C712,Movimentacoes!$B:$B,"SAIDA_USO")</f>
        <v/>
      </c>
      <c r="I712" s="13">
        <f>SUMIFS(Movimentacoes!$G:$G,Movimentacoes!$C:$C,$A712,Movimentacoes!$E:$E,$C712,Movimentacoes!$B:$B,"SAIDA_DESCARTE")</f>
        <v/>
      </c>
      <c r="J712" s="13">
        <f>G712-H712-I712</f>
        <v/>
      </c>
      <c r="K712">
        <f>IF(A712="","",IF(J712&lt;=IFERROR(VLOOKUP(A712,Cadastro_Produtos!$A:$E,5,FALSE),0),"ABAIXO DO MINIMO","OK"))</f>
        <v/>
      </c>
    </row>
    <row r="713">
      <c r="B713">
        <f>IFERROR(VLOOKUP(A713,Cadastro_Produtos!A:B,2,FALSE),"")</f>
        <v/>
      </c>
      <c r="D713" s="12" t="n"/>
      <c r="E713" s="13">
        <f>IF(D713="","",D713-TODAY())</f>
        <v/>
      </c>
      <c r="F713">
        <f>IF(D713="","",IF(E713&lt;0,"VENCIDO",IF(E713&lt;=30,"VENCE EM &lt;= 30 DIAS",IF(E713&lt;=60,"ATENCAO (31-60 DIAS)","OK"))))</f>
        <v/>
      </c>
      <c r="G713" s="13">
        <f>SUMIFS(Movimentacoes!$G:$G,Movimentacoes!$C:$C,$A713,Movimentacoes!$E:$E,$C713,Movimentacoes!$B:$B,"ENTRADA")</f>
        <v/>
      </c>
      <c r="H713" s="13">
        <f>SUMIFS(Movimentacoes!$G:$G,Movimentacoes!$C:$C,$A713,Movimentacoes!$E:$E,$C713,Movimentacoes!$B:$B,"SAIDA_USO")</f>
        <v/>
      </c>
      <c r="I713" s="13">
        <f>SUMIFS(Movimentacoes!$G:$G,Movimentacoes!$C:$C,$A713,Movimentacoes!$E:$E,$C713,Movimentacoes!$B:$B,"SAIDA_DESCARTE")</f>
        <v/>
      </c>
      <c r="J713" s="13">
        <f>G713-H713-I713</f>
        <v/>
      </c>
      <c r="K713">
        <f>IF(A713="","",IF(J713&lt;=IFERROR(VLOOKUP(A713,Cadastro_Produtos!$A:$E,5,FALSE),0),"ABAIXO DO MINIMO","OK"))</f>
        <v/>
      </c>
    </row>
    <row r="714">
      <c r="B714">
        <f>IFERROR(VLOOKUP(A714,Cadastro_Produtos!A:B,2,FALSE),"")</f>
        <v/>
      </c>
      <c r="D714" s="12" t="n"/>
      <c r="E714" s="13">
        <f>IF(D714="","",D714-TODAY())</f>
        <v/>
      </c>
      <c r="F714">
        <f>IF(D714="","",IF(E714&lt;0,"VENCIDO",IF(E714&lt;=30,"VENCE EM &lt;= 30 DIAS",IF(E714&lt;=60,"ATENCAO (31-60 DIAS)","OK"))))</f>
        <v/>
      </c>
      <c r="G714" s="13">
        <f>SUMIFS(Movimentacoes!$G:$G,Movimentacoes!$C:$C,$A714,Movimentacoes!$E:$E,$C714,Movimentacoes!$B:$B,"ENTRADA")</f>
        <v/>
      </c>
      <c r="H714" s="13">
        <f>SUMIFS(Movimentacoes!$G:$G,Movimentacoes!$C:$C,$A714,Movimentacoes!$E:$E,$C714,Movimentacoes!$B:$B,"SAIDA_USO")</f>
        <v/>
      </c>
      <c r="I714" s="13">
        <f>SUMIFS(Movimentacoes!$G:$G,Movimentacoes!$C:$C,$A714,Movimentacoes!$E:$E,$C714,Movimentacoes!$B:$B,"SAIDA_DESCARTE")</f>
        <v/>
      </c>
      <c r="J714" s="13">
        <f>G714-H714-I714</f>
        <v/>
      </c>
      <c r="K714">
        <f>IF(A714="","",IF(J714&lt;=IFERROR(VLOOKUP(A714,Cadastro_Produtos!$A:$E,5,FALSE),0),"ABAIXO DO MINIMO","OK"))</f>
        <v/>
      </c>
    </row>
    <row r="715">
      <c r="B715">
        <f>IFERROR(VLOOKUP(A715,Cadastro_Produtos!A:B,2,FALSE),"")</f>
        <v/>
      </c>
      <c r="D715" s="12" t="n"/>
      <c r="E715" s="13">
        <f>IF(D715="","",D715-TODAY())</f>
        <v/>
      </c>
      <c r="F715">
        <f>IF(D715="","",IF(E715&lt;0,"VENCIDO",IF(E715&lt;=30,"VENCE EM &lt;= 30 DIAS",IF(E715&lt;=60,"ATENCAO (31-60 DIAS)","OK"))))</f>
        <v/>
      </c>
      <c r="G715" s="13">
        <f>SUMIFS(Movimentacoes!$G:$G,Movimentacoes!$C:$C,$A715,Movimentacoes!$E:$E,$C715,Movimentacoes!$B:$B,"ENTRADA")</f>
        <v/>
      </c>
      <c r="H715" s="13">
        <f>SUMIFS(Movimentacoes!$G:$G,Movimentacoes!$C:$C,$A715,Movimentacoes!$E:$E,$C715,Movimentacoes!$B:$B,"SAIDA_USO")</f>
        <v/>
      </c>
      <c r="I715" s="13">
        <f>SUMIFS(Movimentacoes!$G:$G,Movimentacoes!$C:$C,$A715,Movimentacoes!$E:$E,$C715,Movimentacoes!$B:$B,"SAIDA_DESCARTE")</f>
        <v/>
      </c>
      <c r="J715" s="13">
        <f>G715-H715-I715</f>
        <v/>
      </c>
      <c r="K715">
        <f>IF(A715="","",IF(J715&lt;=IFERROR(VLOOKUP(A715,Cadastro_Produtos!$A:$E,5,FALSE),0),"ABAIXO DO MINIMO","OK"))</f>
        <v/>
      </c>
    </row>
    <row r="716">
      <c r="B716">
        <f>IFERROR(VLOOKUP(A716,Cadastro_Produtos!A:B,2,FALSE),"")</f>
        <v/>
      </c>
      <c r="D716" s="12" t="n"/>
      <c r="E716" s="13">
        <f>IF(D716="","",D716-TODAY())</f>
        <v/>
      </c>
      <c r="F716">
        <f>IF(D716="","",IF(E716&lt;0,"VENCIDO",IF(E716&lt;=30,"VENCE EM &lt;= 30 DIAS",IF(E716&lt;=60,"ATENCAO (31-60 DIAS)","OK"))))</f>
        <v/>
      </c>
      <c r="G716" s="13">
        <f>SUMIFS(Movimentacoes!$G:$G,Movimentacoes!$C:$C,$A716,Movimentacoes!$E:$E,$C716,Movimentacoes!$B:$B,"ENTRADA")</f>
        <v/>
      </c>
      <c r="H716" s="13">
        <f>SUMIFS(Movimentacoes!$G:$G,Movimentacoes!$C:$C,$A716,Movimentacoes!$E:$E,$C716,Movimentacoes!$B:$B,"SAIDA_USO")</f>
        <v/>
      </c>
      <c r="I716" s="13">
        <f>SUMIFS(Movimentacoes!$G:$G,Movimentacoes!$C:$C,$A716,Movimentacoes!$E:$E,$C716,Movimentacoes!$B:$B,"SAIDA_DESCARTE")</f>
        <v/>
      </c>
      <c r="J716" s="13">
        <f>G716-H716-I716</f>
        <v/>
      </c>
      <c r="K716">
        <f>IF(A716="","",IF(J716&lt;=IFERROR(VLOOKUP(A716,Cadastro_Produtos!$A:$E,5,FALSE),0),"ABAIXO DO MINIMO","OK"))</f>
        <v/>
      </c>
    </row>
    <row r="717">
      <c r="B717">
        <f>IFERROR(VLOOKUP(A717,Cadastro_Produtos!A:B,2,FALSE),"")</f>
        <v/>
      </c>
      <c r="D717" s="12" t="n"/>
      <c r="E717" s="13">
        <f>IF(D717="","",D717-TODAY())</f>
        <v/>
      </c>
      <c r="F717">
        <f>IF(D717="","",IF(E717&lt;0,"VENCIDO",IF(E717&lt;=30,"VENCE EM &lt;= 30 DIAS",IF(E717&lt;=60,"ATENCAO (31-60 DIAS)","OK"))))</f>
        <v/>
      </c>
      <c r="G717" s="13">
        <f>SUMIFS(Movimentacoes!$G:$G,Movimentacoes!$C:$C,$A717,Movimentacoes!$E:$E,$C717,Movimentacoes!$B:$B,"ENTRADA")</f>
        <v/>
      </c>
      <c r="H717" s="13">
        <f>SUMIFS(Movimentacoes!$G:$G,Movimentacoes!$C:$C,$A717,Movimentacoes!$E:$E,$C717,Movimentacoes!$B:$B,"SAIDA_USO")</f>
        <v/>
      </c>
      <c r="I717" s="13">
        <f>SUMIFS(Movimentacoes!$G:$G,Movimentacoes!$C:$C,$A717,Movimentacoes!$E:$E,$C717,Movimentacoes!$B:$B,"SAIDA_DESCARTE")</f>
        <v/>
      </c>
      <c r="J717" s="13">
        <f>G717-H717-I717</f>
        <v/>
      </c>
      <c r="K717">
        <f>IF(A717="","",IF(J717&lt;=IFERROR(VLOOKUP(A717,Cadastro_Produtos!$A:$E,5,FALSE),0),"ABAIXO DO MINIMO","OK"))</f>
        <v/>
      </c>
    </row>
    <row r="718">
      <c r="B718">
        <f>IFERROR(VLOOKUP(A718,Cadastro_Produtos!A:B,2,FALSE),"")</f>
        <v/>
      </c>
      <c r="D718" s="12" t="n"/>
      <c r="E718" s="13">
        <f>IF(D718="","",D718-TODAY())</f>
        <v/>
      </c>
      <c r="F718">
        <f>IF(D718="","",IF(E718&lt;0,"VENCIDO",IF(E718&lt;=30,"VENCE EM &lt;= 30 DIAS",IF(E718&lt;=60,"ATENCAO (31-60 DIAS)","OK"))))</f>
        <v/>
      </c>
      <c r="G718" s="13">
        <f>SUMIFS(Movimentacoes!$G:$G,Movimentacoes!$C:$C,$A718,Movimentacoes!$E:$E,$C718,Movimentacoes!$B:$B,"ENTRADA")</f>
        <v/>
      </c>
      <c r="H718" s="13">
        <f>SUMIFS(Movimentacoes!$G:$G,Movimentacoes!$C:$C,$A718,Movimentacoes!$E:$E,$C718,Movimentacoes!$B:$B,"SAIDA_USO")</f>
        <v/>
      </c>
      <c r="I718" s="13">
        <f>SUMIFS(Movimentacoes!$G:$G,Movimentacoes!$C:$C,$A718,Movimentacoes!$E:$E,$C718,Movimentacoes!$B:$B,"SAIDA_DESCARTE")</f>
        <v/>
      </c>
      <c r="J718" s="13">
        <f>G718-H718-I718</f>
        <v/>
      </c>
      <c r="K718">
        <f>IF(A718="","",IF(J718&lt;=IFERROR(VLOOKUP(A718,Cadastro_Produtos!$A:$E,5,FALSE),0),"ABAIXO DO MINIMO","OK"))</f>
        <v/>
      </c>
    </row>
    <row r="719">
      <c r="B719">
        <f>IFERROR(VLOOKUP(A719,Cadastro_Produtos!A:B,2,FALSE),"")</f>
        <v/>
      </c>
      <c r="D719" s="12" t="n"/>
      <c r="E719" s="13">
        <f>IF(D719="","",D719-TODAY())</f>
        <v/>
      </c>
      <c r="F719">
        <f>IF(D719="","",IF(E719&lt;0,"VENCIDO",IF(E719&lt;=30,"VENCE EM &lt;= 30 DIAS",IF(E719&lt;=60,"ATENCAO (31-60 DIAS)","OK"))))</f>
        <v/>
      </c>
      <c r="G719" s="13">
        <f>SUMIFS(Movimentacoes!$G:$G,Movimentacoes!$C:$C,$A719,Movimentacoes!$E:$E,$C719,Movimentacoes!$B:$B,"ENTRADA")</f>
        <v/>
      </c>
      <c r="H719" s="13">
        <f>SUMIFS(Movimentacoes!$G:$G,Movimentacoes!$C:$C,$A719,Movimentacoes!$E:$E,$C719,Movimentacoes!$B:$B,"SAIDA_USO")</f>
        <v/>
      </c>
      <c r="I719" s="13">
        <f>SUMIFS(Movimentacoes!$G:$G,Movimentacoes!$C:$C,$A719,Movimentacoes!$E:$E,$C719,Movimentacoes!$B:$B,"SAIDA_DESCARTE")</f>
        <v/>
      </c>
      <c r="J719" s="13">
        <f>G719-H719-I719</f>
        <v/>
      </c>
      <c r="K719">
        <f>IF(A719="","",IF(J719&lt;=IFERROR(VLOOKUP(A719,Cadastro_Produtos!$A:$E,5,FALSE),0),"ABAIXO DO MINIMO","OK"))</f>
        <v/>
      </c>
    </row>
    <row r="720">
      <c r="B720">
        <f>IFERROR(VLOOKUP(A720,Cadastro_Produtos!A:B,2,FALSE),"")</f>
        <v/>
      </c>
      <c r="D720" s="12" t="n"/>
      <c r="E720" s="13">
        <f>IF(D720="","",D720-TODAY())</f>
        <v/>
      </c>
      <c r="F720">
        <f>IF(D720="","",IF(E720&lt;0,"VENCIDO",IF(E720&lt;=30,"VENCE EM &lt;= 30 DIAS",IF(E720&lt;=60,"ATENCAO (31-60 DIAS)","OK"))))</f>
        <v/>
      </c>
      <c r="G720" s="13">
        <f>SUMIFS(Movimentacoes!$G:$G,Movimentacoes!$C:$C,$A720,Movimentacoes!$E:$E,$C720,Movimentacoes!$B:$B,"ENTRADA")</f>
        <v/>
      </c>
      <c r="H720" s="13">
        <f>SUMIFS(Movimentacoes!$G:$G,Movimentacoes!$C:$C,$A720,Movimentacoes!$E:$E,$C720,Movimentacoes!$B:$B,"SAIDA_USO")</f>
        <v/>
      </c>
      <c r="I720" s="13">
        <f>SUMIFS(Movimentacoes!$G:$G,Movimentacoes!$C:$C,$A720,Movimentacoes!$E:$E,$C720,Movimentacoes!$B:$B,"SAIDA_DESCARTE")</f>
        <v/>
      </c>
      <c r="J720" s="13">
        <f>G720-H720-I720</f>
        <v/>
      </c>
      <c r="K720">
        <f>IF(A720="","",IF(J720&lt;=IFERROR(VLOOKUP(A720,Cadastro_Produtos!$A:$E,5,FALSE),0),"ABAIXO DO MINIMO","OK"))</f>
        <v/>
      </c>
    </row>
    <row r="721">
      <c r="B721">
        <f>IFERROR(VLOOKUP(A721,Cadastro_Produtos!A:B,2,FALSE),"")</f>
        <v/>
      </c>
      <c r="D721" s="12" t="n"/>
      <c r="E721" s="13">
        <f>IF(D721="","",D721-TODAY())</f>
        <v/>
      </c>
      <c r="F721">
        <f>IF(D721="","",IF(E721&lt;0,"VENCIDO",IF(E721&lt;=30,"VENCE EM &lt;= 30 DIAS",IF(E721&lt;=60,"ATENCAO (31-60 DIAS)","OK"))))</f>
        <v/>
      </c>
      <c r="G721" s="13">
        <f>SUMIFS(Movimentacoes!$G:$G,Movimentacoes!$C:$C,$A721,Movimentacoes!$E:$E,$C721,Movimentacoes!$B:$B,"ENTRADA")</f>
        <v/>
      </c>
      <c r="H721" s="13">
        <f>SUMIFS(Movimentacoes!$G:$G,Movimentacoes!$C:$C,$A721,Movimentacoes!$E:$E,$C721,Movimentacoes!$B:$B,"SAIDA_USO")</f>
        <v/>
      </c>
      <c r="I721" s="13">
        <f>SUMIFS(Movimentacoes!$G:$G,Movimentacoes!$C:$C,$A721,Movimentacoes!$E:$E,$C721,Movimentacoes!$B:$B,"SAIDA_DESCARTE")</f>
        <v/>
      </c>
      <c r="J721" s="13">
        <f>G721-H721-I721</f>
        <v/>
      </c>
      <c r="K721">
        <f>IF(A721="","",IF(J721&lt;=IFERROR(VLOOKUP(A721,Cadastro_Produtos!$A:$E,5,FALSE),0),"ABAIXO DO MINIMO","OK"))</f>
        <v/>
      </c>
    </row>
    <row r="722">
      <c r="B722">
        <f>IFERROR(VLOOKUP(A722,Cadastro_Produtos!A:B,2,FALSE),"")</f>
        <v/>
      </c>
      <c r="D722" s="12" t="n"/>
      <c r="E722" s="13">
        <f>IF(D722="","",D722-TODAY())</f>
        <v/>
      </c>
      <c r="F722">
        <f>IF(D722="","",IF(E722&lt;0,"VENCIDO",IF(E722&lt;=30,"VENCE EM &lt;= 30 DIAS",IF(E722&lt;=60,"ATENCAO (31-60 DIAS)","OK"))))</f>
        <v/>
      </c>
      <c r="G722" s="13">
        <f>SUMIFS(Movimentacoes!$G:$G,Movimentacoes!$C:$C,$A722,Movimentacoes!$E:$E,$C722,Movimentacoes!$B:$B,"ENTRADA")</f>
        <v/>
      </c>
      <c r="H722" s="13">
        <f>SUMIFS(Movimentacoes!$G:$G,Movimentacoes!$C:$C,$A722,Movimentacoes!$E:$E,$C722,Movimentacoes!$B:$B,"SAIDA_USO")</f>
        <v/>
      </c>
      <c r="I722" s="13">
        <f>SUMIFS(Movimentacoes!$G:$G,Movimentacoes!$C:$C,$A722,Movimentacoes!$E:$E,$C722,Movimentacoes!$B:$B,"SAIDA_DESCARTE")</f>
        <v/>
      </c>
      <c r="J722" s="13">
        <f>G722-H722-I722</f>
        <v/>
      </c>
      <c r="K722">
        <f>IF(A722="","",IF(J722&lt;=IFERROR(VLOOKUP(A722,Cadastro_Produtos!$A:$E,5,FALSE),0),"ABAIXO DO MINIMO","OK"))</f>
        <v/>
      </c>
    </row>
    <row r="723">
      <c r="B723">
        <f>IFERROR(VLOOKUP(A723,Cadastro_Produtos!A:B,2,FALSE),"")</f>
        <v/>
      </c>
      <c r="D723" s="12" t="n"/>
      <c r="E723" s="13">
        <f>IF(D723="","",D723-TODAY())</f>
        <v/>
      </c>
      <c r="F723">
        <f>IF(D723="","",IF(E723&lt;0,"VENCIDO",IF(E723&lt;=30,"VENCE EM &lt;= 30 DIAS",IF(E723&lt;=60,"ATENCAO (31-60 DIAS)","OK"))))</f>
        <v/>
      </c>
      <c r="G723" s="13">
        <f>SUMIFS(Movimentacoes!$G:$G,Movimentacoes!$C:$C,$A723,Movimentacoes!$E:$E,$C723,Movimentacoes!$B:$B,"ENTRADA")</f>
        <v/>
      </c>
      <c r="H723" s="13">
        <f>SUMIFS(Movimentacoes!$G:$G,Movimentacoes!$C:$C,$A723,Movimentacoes!$E:$E,$C723,Movimentacoes!$B:$B,"SAIDA_USO")</f>
        <v/>
      </c>
      <c r="I723" s="13">
        <f>SUMIFS(Movimentacoes!$G:$G,Movimentacoes!$C:$C,$A723,Movimentacoes!$E:$E,$C723,Movimentacoes!$B:$B,"SAIDA_DESCARTE")</f>
        <v/>
      </c>
      <c r="J723" s="13">
        <f>G723-H723-I723</f>
        <v/>
      </c>
      <c r="K723">
        <f>IF(A723="","",IF(J723&lt;=IFERROR(VLOOKUP(A723,Cadastro_Produtos!$A:$E,5,FALSE),0),"ABAIXO DO MINIMO","OK"))</f>
        <v/>
      </c>
    </row>
    <row r="724">
      <c r="B724">
        <f>IFERROR(VLOOKUP(A724,Cadastro_Produtos!A:B,2,FALSE),"")</f>
        <v/>
      </c>
      <c r="D724" s="12" t="n"/>
      <c r="E724" s="13">
        <f>IF(D724="","",D724-TODAY())</f>
        <v/>
      </c>
      <c r="F724">
        <f>IF(D724="","",IF(E724&lt;0,"VENCIDO",IF(E724&lt;=30,"VENCE EM &lt;= 30 DIAS",IF(E724&lt;=60,"ATENCAO (31-60 DIAS)","OK"))))</f>
        <v/>
      </c>
      <c r="G724" s="13">
        <f>SUMIFS(Movimentacoes!$G:$G,Movimentacoes!$C:$C,$A724,Movimentacoes!$E:$E,$C724,Movimentacoes!$B:$B,"ENTRADA")</f>
        <v/>
      </c>
      <c r="H724" s="13">
        <f>SUMIFS(Movimentacoes!$G:$G,Movimentacoes!$C:$C,$A724,Movimentacoes!$E:$E,$C724,Movimentacoes!$B:$B,"SAIDA_USO")</f>
        <v/>
      </c>
      <c r="I724" s="13">
        <f>SUMIFS(Movimentacoes!$G:$G,Movimentacoes!$C:$C,$A724,Movimentacoes!$E:$E,$C724,Movimentacoes!$B:$B,"SAIDA_DESCARTE")</f>
        <v/>
      </c>
      <c r="J724" s="13">
        <f>G724-H724-I724</f>
        <v/>
      </c>
      <c r="K724">
        <f>IF(A724="","",IF(J724&lt;=IFERROR(VLOOKUP(A724,Cadastro_Produtos!$A:$E,5,FALSE),0),"ABAIXO DO MINIMO","OK"))</f>
        <v/>
      </c>
    </row>
    <row r="725">
      <c r="B725">
        <f>IFERROR(VLOOKUP(A725,Cadastro_Produtos!A:B,2,FALSE),"")</f>
        <v/>
      </c>
      <c r="D725" s="12" t="n"/>
      <c r="E725" s="13">
        <f>IF(D725="","",D725-TODAY())</f>
        <v/>
      </c>
      <c r="F725">
        <f>IF(D725="","",IF(E725&lt;0,"VENCIDO",IF(E725&lt;=30,"VENCE EM &lt;= 30 DIAS",IF(E725&lt;=60,"ATENCAO (31-60 DIAS)","OK"))))</f>
        <v/>
      </c>
      <c r="G725" s="13">
        <f>SUMIFS(Movimentacoes!$G:$G,Movimentacoes!$C:$C,$A725,Movimentacoes!$E:$E,$C725,Movimentacoes!$B:$B,"ENTRADA")</f>
        <v/>
      </c>
      <c r="H725" s="13">
        <f>SUMIFS(Movimentacoes!$G:$G,Movimentacoes!$C:$C,$A725,Movimentacoes!$E:$E,$C725,Movimentacoes!$B:$B,"SAIDA_USO")</f>
        <v/>
      </c>
      <c r="I725" s="13">
        <f>SUMIFS(Movimentacoes!$G:$G,Movimentacoes!$C:$C,$A725,Movimentacoes!$E:$E,$C725,Movimentacoes!$B:$B,"SAIDA_DESCARTE")</f>
        <v/>
      </c>
      <c r="J725" s="13">
        <f>G725-H725-I725</f>
        <v/>
      </c>
      <c r="K725">
        <f>IF(A725="","",IF(J725&lt;=IFERROR(VLOOKUP(A725,Cadastro_Produtos!$A:$E,5,FALSE),0),"ABAIXO DO MINIMO","OK"))</f>
        <v/>
      </c>
    </row>
    <row r="726">
      <c r="B726">
        <f>IFERROR(VLOOKUP(A726,Cadastro_Produtos!A:B,2,FALSE),"")</f>
        <v/>
      </c>
      <c r="D726" s="12" t="n"/>
      <c r="E726" s="13">
        <f>IF(D726="","",D726-TODAY())</f>
        <v/>
      </c>
      <c r="F726">
        <f>IF(D726="","",IF(E726&lt;0,"VENCIDO",IF(E726&lt;=30,"VENCE EM &lt;= 30 DIAS",IF(E726&lt;=60,"ATENCAO (31-60 DIAS)","OK"))))</f>
        <v/>
      </c>
      <c r="G726" s="13">
        <f>SUMIFS(Movimentacoes!$G:$G,Movimentacoes!$C:$C,$A726,Movimentacoes!$E:$E,$C726,Movimentacoes!$B:$B,"ENTRADA")</f>
        <v/>
      </c>
      <c r="H726" s="13">
        <f>SUMIFS(Movimentacoes!$G:$G,Movimentacoes!$C:$C,$A726,Movimentacoes!$E:$E,$C726,Movimentacoes!$B:$B,"SAIDA_USO")</f>
        <v/>
      </c>
      <c r="I726" s="13">
        <f>SUMIFS(Movimentacoes!$G:$G,Movimentacoes!$C:$C,$A726,Movimentacoes!$E:$E,$C726,Movimentacoes!$B:$B,"SAIDA_DESCARTE")</f>
        <v/>
      </c>
      <c r="J726" s="13">
        <f>G726-H726-I726</f>
        <v/>
      </c>
      <c r="K726">
        <f>IF(A726="","",IF(J726&lt;=IFERROR(VLOOKUP(A726,Cadastro_Produtos!$A:$E,5,FALSE),0),"ABAIXO DO MINIMO","OK"))</f>
        <v/>
      </c>
    </row>
    <row r="727">
      <c r="B727">
        <f>IFERROR(VLOOKUP(A727,Cadastro_Produtos!A:B,2,FALSE),"")</f>
        <v/>
      </c>
      <c r="D727" s="12" t="n"/>
      <c r="E727" s="13">
        <f>IF(D727="","",D727-TODAY())</f>
        <v/>
      </c>
      <c r="F727">
        <f>IF(D727="","",IF(E727&lt;0,"VENCIDO",IF(E727&lt;=30,"VENCE EM &lt;= 30 DIAS",IF(E727&lt;=60,"ATENCAO (31-60 DIAS)","OK"))))</f>
        <v/>
      </c>
      <c r="G727" s="13">
        <f>SUMIFS(Movimentacoes!$G:$G,Movimentacoes!$C:$C,$A727,Movimentacoes!$E:$E,$C727,Movimentacoes!$B:$B,"ENTRADA")</f>
        <v/>
      </c>
      <c r="H727" s="13">
        <f>SUMIFS(Movimentacoes!$G:$G,Movimentacoes!$C:$C,$A727,Movimentacoes!$E:$E,$C727,Movimentacoes!$B:$B,"SAIDA_USO")</f>
        <v/>
      </c>
      <c r="I727" s="13">
        <f>SUMIFS(Movimentacoes!$G:$G,Movimentacoes!$C:$C,$A727,Movimentacoes!$E:$E,$C727,Movimentacoes!$B:$B,"SAIDA_DESCARTE")</f>
        <v/>
      </c>
      <c r="J727" s="13">
        <f>G727-H727-I727</f>
        <v/>
      </c>
      <c r="K727">
        <f>IF(A727="","",IF(J727&lt;=IFERROR(VLOOKUP(A727,Cadastro_Produtos!$A:$E,5,FALSE),0),"ABAIXO DO MINIMO","OK"))</f>
        <v/>
      </c>
    </row>
    <row r="728">
      <c r="B728">
        <f>IFERROR(VLOOKUP(A728,Cadastro_Produtos!A:B,2,FALSE),"")</f>
        <v/>
      </c>
      <c r="D728" s="12" t="n"/>
      <c r="E728" s="13">
        <f>IF(D728="","",D728-TODAY())</f>
        <v/>
      </c>
      <c r="F728">
        <f>IF(D728="","",IF(E728&lt;0,"VENCIDO",IF(E728&lt;=30,"VENCE EM &lt;= 30 DIAS",IF(E728&lt;=60,"ATENCAO (31-60 DIAS)","OK"))))</f>
        <v/>
      </c>
      <c r="G728" s="13">
        <f>SUMIFS(Movimentacoes!$G:$G,Movimentacoes!$C:$C,$A728,Movimentacoes!$E:$E,$C728,Movimentacoes!$B:$B,"ENTRADA")</f>
        <v/>
      </c>
      <c r="H728" s="13">
        <f>SUMIFS(Movimentacoes!$G:$G,Movimentacoes!$C:$C,$A728,Movimentacoes!$E:$E,$C728,Movimentacoes!$B:$B,"SAIDA_USO")</f>
        <v/>
      </c>
      <c r="I728" s="13">
        <f>SUMIFS(Movimentacoes!$G:$G,Movimentacoes!$C:$C,$A728,Movimentacoes!$E:$E,$C728,Movimentacoes!$B:$B,"SAIDA_DESCARTE")</f>
        <v/>
      </c>
      <c r="J728" s="13">
        <f>G728-H728-I728</f>
        <v/>
      </c>
      <c r="K728">
        <f>IF(A728="","",IF(J728&lt;=IFERROR(VLOOKUP(A728,Cadastro_Produtos!$A:$E,5,FALSE),0),"ABAIXO DO MINIMO","OK"))</f>
        <v/>
      </c>
    </row>
    <row r="729">
      <c r="B729">
        <f>IFERROR(VLOOKUP(A729,Cadastro_Produtos!A:B,2,FALSE),"")</f>
        <v/>
      </c>
      <c r="D729" s="12" t="n"/>
      <c r="E729" s="13">
        <f>IF(D729="","",D729-TODAY())</f>
        <v/>
      </c>
      <c r="F729">
        <f>IF(D729="","",IF(E729&lt;0,"VENCIDO",IF(E729&lt;=30,"VENCE EM &lt;= 30 DIAS",IF(E729&lt;=60,"ATENCAO (31-60 DIAS)","OK"))))</f>
        <v/>
      </c>
      <c r="G729" s="13">
        <f>SUMIFS(Movimentacoes!$G:$G,Movimentacoes!$C:$C,$A729,Movimentacoes!$E:$E,$C729,Movimentacoes!$B:$B,"ENTRADA")</f>
        <v/>
      </c>
      <c r="H729" s="13">
        <f>SUMIFS(Movimentacoes!$G:$G,Movimentacoes!$C:$C,$A729,Movimentacoes!$E:$E,$C729,Movimentacoes!$B:$B,"SAIDA_USO")</f>
        <v/>
      </c>
      <c r="I729" s="13">
        <f>SUMIFS(Movimentacoes!$G:$G,Movimentacoes!$C:$C,$A729,Movimentacoes!$E:$E,$C729,Movimentacoes!$B:$B,"SAIDA_DESCARTE")</f>
        <v/>
      </c>
      <c r="J729" s="13">
        <f>G729-H729-I729</f>
        <v/>
      </c>
      <c r="K729">
        <f>IF(A729="","",IF(J729&lt;=IFERROR(VLOOKUP(A729,Cadastro_Produtos!$A:$E,5,FALSE),0),"ABAIXO DO MINIMO","OK"))</f>
        <v/>
      </c>
    </row>
    <row r="730">
      <c r="B730">
        <f>IFERROR(VLOOKUP(A730,Cadastro_Produtos!A:B,2,FALSE),"")</f>
        <v/>
      </c>
      <c r="D730" s="12" t="n"/>
      <c r="E730" s="13">
        <f>IF(D730="","",D730-TODAY())</f>
        <v/>
      </c>
      <c r="F730">
        <f>IF(D730="","",IF(E730&lt;0,"VENCIDO",IF(E730&lt;=30,"VENCE EM &lt;= 30 DIAS",IF(E730&lt;=60,"ATENCAO (31-60 DIAS)","OK"))))</f>
        <v/>
      </c>
      <c r="G730" s="13">
        <f>SUMIFS(Movimentacoes!$G:$G,Movimentacoes!$C:$C,$A730,Movimentacoes!$E:$E,$C730,Movimentacoes!$B:$B,"ENTRADA")</f>
        <v/>
      </c>
      <c r="H730" s="13">
        <f>SUMIFS(Movimentacoes!$G:$G,Movimentacoes!$C:$C,$A730,Movimentacoes!$E:$E,$C730,Movimentacoes!$B:$B,"SAIDA_USO")</f>
        <v/>
      </c>
      <c r="I730" s="13">
        <f>SUMIFS(Movimentacoes!$G:$G,Movimentacoes!$C:$C,$A730,Movimentacoes!$E:$E,$C730,Movimentacoes!$B:$B,"SAIDA_DESCARTE")</f>
        <v/>
      </c>
      <c r="J730" s="13">
        <f>G730-H730-I730</f>
        <v/>
      </c>
      <c r="K730">
        <f>IF(A730="","",IF(J730&lt;=IFERROR(VLOOKUP(A730,Cadastro_Produtos!$A:$E,5,FALSE),0),"ABAIXO DO MINIMO","OK"))</f>
        <v/>
      </c>
    </row>
    <row r="731">
      <c r="B731">
        <f>IFERROR(VLOOKUP(A731,Cadastro_Produtos!A:B,2,FALSE),"")</f>
        <v/>
      </c>
      <c r="D731" s="12" t="n"/>
      <c r="E731" s="13">
        <f>IF(D731="","",D731-TODAY())</f>
        <v/>
      </c>
      <c r="F731">
        <f>IF(D731="","",IF(E731&lt;0,"VENCIDO",IF(E731&lt;=30,"VENCE EM &lt;= 30 DIAS",IF(E731&lt;=60,"ATENCAO (31-60 DIAS)","OK"))))</f>
        <v/>
      </c>
      <c r="G731" s="13">
        <f>SUMIFS(Movimentacoes!$G:$G,Movimentacoes!$C:$C,$A731,Movimentacoes!$E:$E,$C731,Movimentacoes!$B:$B,"ENTRADA")</f>
        <v/>
      </c>
      <c r="H731" s="13">
        <f>SUMIFS(Movimentacoes!$G:$G,Movimentacoes!$C:$C,$A731,Movimentacoes!$E:$E,$C731,Movimentacoes!$B:$B,"SAIDA_USO")</f>
        <v/>
      </c>
      <c r="I731" s="13">
        <f>SUMIFS(Movimentacoes!$G:$G,Movimentacoes!$C:$C,$A731,Movimentacoes!$E:$E,$C731,Movimentacoes!$B:$B,"SAIDA_DESCARTE")</f>
        <v/>
      </c>
      <c r="J731" s="13">
        <f>G731-H731-I731</f>
        <v/>
      </c>
      <c r="K731">
        <f>IF(A731="","",IF(J731&lt;=IFERROR(VLOOKUP(A731,Cadastro_Produtos!$A:$E,5,FALSE),0),"ABAIXO DO MINIMO","OK"))</f>
        <v/>
      </c>
    </row>
    <row r="732">
      <c r="B732">
        <f>IFERROR(VLOOKUP(A732,Cadastro_Produtos!A:B,2,FALSE),"")</f>
        <v/>
      </c>
      <c r="D732" s="12" t="n"/>
      <c r="E732" s="13">
        <f>IF(D732="","",D732-TODAY())</f>
        <v/>
      </c>
      <c r="F732">
        <f>IF(D732="","",IF(E732&lt;0,"VENCIDO",IF(E732&lt;=30,"VENCE EM &lt;= 30 DIAS",IF(E732&lt;=60,"ATENCAO (31-60 DIAS)","OK"))))</f>
        <v/>
      </c>
      <c r="G732" s="13">
        <f>SUMIFS(Movimentacoes!$G:$G,Movimentacoes!$C:$C,$A732,Movimentacoes!$E:$E,$C732,Movimentacoes!$B:$B,"ENTRADA")</f>
        <v/>
      </c>
      <c r="H732" s="13">
        <f>SUMIFS(Movimentacoes!$G:$G,Movimentacoes!$C:$C,$A732,Movimentacoes!$E:$E,$C732,Movimentacoes!$B:$B,"SAIDA_USO")</f>
        <v/>
      </c>
      <c r="I732" s="13">
        <f>SUMIFS(Movimentacoes!$G:$G,Movimentacoes!$C:$C,$A732,Movimentacoes!$E:$E,$C732,Movimentacoes!$B:$B,"SAIDA_DESCARTE")</f>
        <v/>
      </c>
      <c r="J732" s="13">
        <f>G732-H732-I732</f>
        <v/>
      </c>
      <c r="K732">
        <f>IF(A732="","",IF(J732&lt;=IFERROR(VLOOKUP(A732,Cadastro_Produtos!$A:$E,5,FALSE),0),"ABAIXO DO MINIMO","OK"))</f>
        <v/>
      </c>
    </row>
    <row r="733">
      <c r="B733">
        <f>IFERROR(VLOOKUP(A733,Cadastro_Produtos!A:B,2,FALSE),"")</f>
        <v/>
      </c>
      <c r="D733" s="12" t="n"/>
      <c r="E733" s="13">
        <f>IF(D733="","",D733-TODAY())</f>
        <v/>
      </c>
      <c r="F733">
        <f>IF(D733="","",IF(E733&lt;0,"VENCIDO",IF(E733&lt;=30,"VENCE EM &lt;= 30 DIAS",IF(E733&lt;=60,"ATENCAO (31-60 DIAS)","OK"))))</f>
        <v/>
      </c>
      <c r="G733" s="13">
        <f>SUMIFS(Movimentacoes!$G:$G,Movimentacoes!$C:$C,$A733,Movimentacoes!$E:$E,$C733,Movimentacoes!$B:$B,"ENTRADA")</f>
        <v/>
      </c>
      <c r="H733" s="13">
        <f>SUMIFS(Movimentacoes!$G:$G,Movimentacoes!$C:$C,$A733,Movimentacoes!$E:$E,$C733,Movimentacoes!$B:$B,"SAIDA_USO")</f>
        <v/>
      </c>
      <c r="I733" s="13">
        <f>SUMIFS(Movimentacoes!$G:$G,Movimentacoes!$C:$C,$A733,Movimentacoes!$E:$E,$C733,Movimentacoes!$B:$B,"SAIDA_DESCARTE")</f>
        <v/>
      </c>
      <c r="J733" s="13">
        <f>G733-H733-I733</f>
        <v/>
      </c>
      <c r="K733">
        <f>IF(A733="","",IF(J733&lt;=IFERROR(VLOOKUP(A733,Cadastro_Produtos!$A:$E,5,FALSE),0),"ABAIXO DO MINIMO","OK"))</f>
        <v/>
      </c>
    </row>
    <row r="734">
      <c r="B734">
        <f>IFERROR(VLOOKUP(A734,Cadastro_Produtos!A:B,2,FALSE),"")</f>
        <v/>
      </c>
      <c r="D734" s="12" t="n"/>
      <c r="E734" s="13">
        <f>IF(D734="","",D734-TODAY())</f>
        <v/>
      </c>
      <c r="F734">
        <f>IF(D734="","",IF(E734&lt;0,"VENCIDO",IF(E734&lt;=30,"VENCE EM &lt;= 30 DIAS",IF(E734&lt;=60,"ATENCAO (31-60 DIAS)","OK"))))</f>
        <v/>
      </c>
      <c r="G734" s="13">
        <f>SUMIFS(Movimentacoes!$G:$G,Movimentacoes!$C:$C,$A734,Movimentacoes!$E:$E,$C734,Movimentacoes!$B:$B,"ENTRADA")</f>
        <v/>
      </c>
      <c r="H734" s="13">
        <f>SUMIFS(Movimentacoes!$G:$G,Movimentacoes!$C:$C,$A734,Movimentacoes!$E:$E,$C734,Movimentacoes!$B:$B,"SAIDA_USO")</f>
        <v/>
      </c>
      <c r="I734" s="13">
        <f>SUMIFS(Movimentacoes!$G:$G,Movimentacoes!$C:$C,$A734,Movimentacoes!$E:$E,$C734,Movimentacoes!$B:$B,"SAIDA_DESCARTE")</f>
        <v/>
      </c>
      <c r="J734" s="13">
        <f>G734-H734-I734</f>
        <v/>
      </c>
      <c r="K734">
        <f>IF(A734="","",IF(J734&lt;=IFERROR(VLOOKUP(A734,Cadastro_Produtos!$A:$E,5,FALSE),0),"ABAIXO DO MINIMO","OK"))</f>
        <v/>
      </c>
    </row>
    <row r="735">
      <c r="B735">
        <f>IFERROR(VLOOKUP(A735,Cadastro_Produtos!A:B,2,FALSE),"")</f>
        <v/>
      </c>
      <c r="D735" s="12" t="n"/>
      <c r="E735" s="13">
        <f>IF(D735="","",D735-TODAY())</f>
        <v/>
      </c>
      <c r="F735">
        <f>IF(D735="","",IF(E735&lt;0,"VENCIDO",IF(E735&lt;=30,"VENCE EM &lt;= 30 DIAS",IF(E735&lt;=60,"ATENCAO (31-60 DIAS)","OK"))))</f>
        <v/>
      </c>
      <c r="G735" s="13">
        <f>SUMIFS(Movimentacoes!$G:$G,Movimentacoes!$C:$C,$A735,Movimentacoes!$E:$E,$C735,Movimentacoes!$B:$B,"ENTRADA")</f>
        <v/>
      </c>
      <c r="H735" s="13">
        <f>SUMIFS(Movimentacoes!$G:$G,Movimentacoes!$C:$C,$A735,Movimentacoes!$E:$E,$C735,Movimentacoes!$B:$B,"SAIDA_USO")</f>
        <v/>
      </c>
      <c r="I735" s="13">
        <f>SUMIFS(Movimentacoes!$G:$G,Movimentacoes!$C:$C,$A735,Movimentacoes!$E:$E,$C735,Movimentacoes!$B:$B,"SAIDA_DESCARTE")</f>
        <v/>
      </c>
      <c r="J735" s="13">
        <f>G735-H735-I735</f>
        <v/>
      </c>
      <c r="K735">
        <f>IF(A735="","",IF(J735&lt;=IFERROR(VLOOKUP(A735,Cadastro_Produtos!$A:$E,5,FALSE),0),"ABAIXO DO MINIMO","OK"))</f>
        <v/>
      </c>
    </row>
    <row r="736">
      <c r="B736">
        <f>IFERROR(VLOOKUP(A736,Cadastro_Produtos!A:B,2,FALSE),"")</f>
        <v/>
      </c>
      <c r="D736" s="12" t="n"/>
      <c r="E736" s="13">
        <f>IF(D736="","",D736-TODAY())</f>
        <v/>
      </c>
      <c r="F736">
        <f>IF(D736="","",IF(E736&lt;0,"VENCIDO",IF(E736&lt;=30,"VENCE EM &lt;= 30 DIAS",IF(E736&lt;=60,"ATENCAO (31-60 DIAS)","OK"))))</f>
        <v/>
      </c>
      <c r="G736" s="13">
        <f>SUMIFS(Movimentacoes!$G:$G,Movimentacoes!$C:$C,$A736,Movimentacoes!$E:$E,$C736,Movimentacoes!$B:$B,"ENTRADA")</f>
        <v/>
      </c>
      <c r="H736" s="13">
        <f>SUMIFS(Movimentacoes!$G:$G,Movimentacoes!$C:$C,$A736,Movimentacoes!$E:$E,$C736,Movimentacoes!$B:$B,"SAIDA_USO")</f>
        <v/>
      </c>
      <c r="I736" s="13">
        <f>SUMIFS(Movimentacoes!$G:$G,Movimentacoes!$C:$C,$A736,Movimentacoes!$E:$E,$C736,Movimentacoes!$B:$B,"SAIDA_DESCARTE")</f>
        <v/>
      </c>
      <c r="J736" s="13">
        <f>G736-H736-I736</f>
        <v/>
      </c>
      <c r="K736">
        <f>IF(A736="","",IF(J736&lt;=IFERROR(VLOOKUP(A736,Cadastro_Produtos!$A:$E,5,FALSE),0),"ABAIXO DO MINIMO","OK"))</f>
        <v/>
      </c>
    </row>
    <row r="737">
      <c r="B737">
        <f>IFERROR(VLOOKUP(A737,Cadastro_Produtos!A:B,2,FALSE),"")</f>
        <v/>
      </c>
      <c r="D737" s="12" t="n"/>
      <c r="E737" s="13">
        <f>IF(D737="","",D737-TODAY())</f>
        <v/>
      </c>
      <c r="F737">
        <f>IF(D737="","",IF(E737&lt;0,"VENCIDO",IF(E737&lt;=30,"VENCE EM &lt;= 30 DIAS",IF(E737&lt;=60,"ATENCAO (31-60 DIAS)","OK"))))</f>
        <v/>
      </c>
      <c r="G737" s="13">
        <f>SUMIFS(Movimentacoes!$G:$G,Movimentacoes!$C:$C,$A737,Movimentacoes!$E:$E,$C737,Movimentacoes!$B:$B,"ENTRADA")</f>
        <v/>
      </c>
      <c r="H737" s="13">
        <f>SUMIFS(Movimentacoes!$G:$G,Movimentacoes!$C:$C,$A737,Movimentacoes!$E:$E,$C737,Movimentacoes!$B:$B,"SAIDA_USO")</f>
        <v/>
      </c>
      <c r="I737" s="13">
        <f>SUMIFS(Movimentacoes!$G:$G,Movimentacoes!$C:$C,$A737,Movimentacoes!$E:$E,$C737,Movimentacoes!$B:$B,"SAIDA_DESCARTE")</f>
        <v/>
      </c>
      <c r="J737" s="13">
        <f>G737-H737-I737</f>
        <v/>
      </c>
      <c r="K737">
        <f>IF(A737="","",IF(J737&lt;=IFERROR(VLOOKUP(A737,Cadastro_Produtos!$A:$E,5,FALSE),0),"ABAIXO DO MINIMO","OK"))</f>
        <v/>
      </c>
    </row>
    <row r="738">
      <c r="B738">
        <f>IFERROR(VLOOKUP(A738,Cadastro_Produtos!A:B,2,FALSE),"")</f>
        <v/>
      </c>
      <c r="D738" s="12" t="n"/>
      <c r="E738" s="13">
        <f>IF(D738="","",D738-TODAY())</f>
        <v/>
      </c>
      <c r="F738">
        <f>IF(D738="","",IF(E738&lt;0,"VENCIDO",IF(E738&lt;=30,"VENCE EM &lt;= 30 DIAS",IF(E738&lt;=60,"ATENCAO (31-60 DIAS)","OK"))))</f>
        <v/>
      </c>
      <c r="G738" s="13">
        <f>SUMIFS(Movimentacoes!$G:$G,Movimentacoes!$C:$C,$A738,Movimentacoes!$E:$E,$C738,Movimentacoes!$B:$B,"ENTRADA")</f>
        <v/>
      </c>
      <c r="H738" s="13">
        <f>SUMIFS(Movimentacoes!$G:$G,Movimentacoes!$C:$C,$A738,Movimentacoes!$E:$E,$C738,Movimentacoes!$B:$B,"SAIDA_USO")</f>
        <v/>
      </c>
      <c r="I738" s="13">
        <f>SUMIFS(Movimentacoes!$G:$G,Movimentacoes!$C:$C,$A738,Movimentacoes!$E:$E,$C738,Movimentacoes!$B:$B,"SAIDA_DESCARTE")</f>
        <v/>
      </c>
      <c r="J738" s="13">
        <f>G738-H738-I738</f>
        <v/>
      </c>
      <c r="K738">
        <f>IF(A738="","",IF(J738&lt;=IFERROR(VLOOKUP(A738,Cadastro_Produtos!$A:$E,5,FALSE),0),"ABAIXO DO MINIMO","OK"))</f>
        <v/>
      </c>
    </row>
    <row r="739">
      <c r="B739">
        <f>IFERROR(VLOOKUP(A739,Cadastro_Produtos!A:B,2,FALSE),"")</f>
        <v/>
      </c>
      <c r="D739" s="12" t="n"/>
      <c r="E739" s="13">
        <f>IF(D739="","",D739-TODAY())</f>
        <v/>
      </c>
      <c r="F739">
        <f>IF(D739="","",IF(E739&lt;0,"VENCIDO",IF(E739&lt;=30,"VENCE EM &lt;= 30 DIAS",IF(E739&lt;=60,"ATENCAO (31-60 DIAS)","OK"))))</f>
        <v/>
      </c>
      <c r="G739" s="13">
        <f>SUMIFS(Movimentacoes!$G:$G,Movimentacoes!$C:$C,$A739,Movimentacoes!$E:$E,$C739,Movimentacoes!$B:$B,"ENTRADA")</f>
        <v/>
      </c>
      <c r="H739" s="13">
        <f>SUMIFS(Movimentacoes!$G:$G,Movimentacoes!$C:$C,$A739,Movimentacoes!$E:$E,$C739,Movimentacoes!$B:$B,"SAIDA_USO")</f>
        <v/>
      </c>
      <c r="I739" s="13">
        <f>SUMIFS(Movimentacoes!$G:$G,Movimentacoes!$C:$C,$A739,Movimentacoes!$E:$E,$C739,Movimentacoes!$B:$B,"SAIDA_DESCARTE")</f>
        <v/>
      </c>
      <c r="J739" s="13">
        <f>G739-H739-I739</f>
        <v/>
      </c>
      <c r="K739">
        <f>IF(A739="","",IF(J739&lt;=IFERROR(VLOOKUP(A739,Cadastro_Produtos!$A:$E,5,FALSE),0),"ABAIXO DO MINIMO","OK"))</f>
        <v/>
      </c>
    </row>
    <row r="740">
      <c r="B740">
        <f>IFERROR(VLOOKUP(A740,Cadastro_Produtos!A:B,2,FALSE),"")</f>
        <v/>
      </c>
      <c r="D740" s="12" t="n"/>
      <c r="E740" s="13">
        <f>IF(D740="","",D740-TODAY())</f>
        <v/>
      </c>
      <c r="F740">
        <f>IF(D740="","",IF(E740&lt;0,"VENCIDO",IF(E740&lt;=30,"VENCE EM &lt;= 30 DIAS",IF(E740&lt;=60,"ATENCAO (31-60 DIAS)","OK"))))</f>
        <v/>
      </c>
      <c r="G740" s="13">
        <f>SUMIFS(Movimentacoes!$G:$G,Movimentacoes!$C:$C,$A740,Movimentacoes!$E:$E,$C740,Movimentacoes!$B:$B,"ENTRADA")</f>
        <v/>
      </c>
      <c r="H740" s="13">
        <f>SUMIFS(Movimentacoes!$G:$G,Movimentacoes!$C:$C,$A740,Movimentacoes!$E:$E,$C740,Movimentacoes!$B:$B,"SAIDA_USO")</f>
        <v/>
      </c>
      <c r="I740" s="13">
        <f>SUMIFS(Movimentacoes!$G:$G,Movimentacoes!$C:$C,$A740,Movimentacoes!$E:$E,$C740,Movimentacoes!$B:$B,"SAIDA_DESCARTE")</f>
        <v/>
      </c>
      <c r="J740" s="13">
        <f>G740-H740-I740</f>
        <v/>
      </c>
      <c r="K740">
        <f>IF(A740="","",IF(J740&lt;=IFERROR(VLOOKUP(A740,Cadastro_Produtos!$A:$E,5,FALSE),0),"ABAIXO DO MINIMO","OK"))</f>
        <v/>
      </c>
    </row>
    <row r="741">
      <c r="B741">
        <f>IFERROR(VLOOKUP(A741,Cadastro_Produtos!A:B,2,FALSE),"")</f>
        <v/>
      </c>
      <c r="D741" s="12" t="n"/>
      <c r="E741" s="13">
        <f>IF(D741="","",D741-TODAY())</f>
        <v/>
      </c>
      <c r="F741">
        <f>IF(D741="","",IF(E741&lt;0,"VENCIDO",IF(E741&lt;=30,"VENCE EM &lt;= 30 DIAS",IF(E741&lt;=60,"ATENCAO (31-60 DIAS)","OK"))))</f>
        <v/>
      </c>
      <c r="G741" s="13">
        <f>SUMIFS(Movimentacoes!$G:$G,Movimentacoes!$C:$C,$A741,Movimentacoes!$E:$E,$C741,Movimentacoes!$B:$B,"ENTRADA")</f>
        <v/>
      </c>
      <c r="H741" s="13">
        <f>SUMIFS(Movimentacoes!$G:$G,Movimentacoes!$C:$C,$A741,Movimentacoes!$E:$E,$C741,Movimentacoes!$B:$B,"SAIDA_USO")</f>
        <v/>
      </c>
      <c r="I741" s="13">
        <f>SUMIFS(Movimentacoes!$G:$G,Movimentacoes!$C:$C,$A741,Movimentacoes!$E:$E,$C741,Movimentacoes!$B:$B,"SAIDA_DESCARTE")</f>
        <v/>
      </c>
      <c r="J741" s="13">
        <f>G741-H741-I741</f>
        <v/>
      </c>
      <c r="K741">
        <f>IF(A741="","",IF(J741&lt;=IFERROR(VLOOKUP(A741,Cadastro_Produtos!$A:$E,5,FALSE),0),"ABAIXO DO MINIMO","OK"))</f>
        <v/>
      </c>
    </row>
    <row r="742">
      <c r="B742">
        <f>IFERROR(VLOOKUP(A742,Cadastro_Produtos!A:B,2,FALSE),"")</f>
        <v/>
      </c>
      <c r="D742" s="12" t="n"/>
      <c r="E742" s="13">
        <f>IF(D742="","",D742-TODAY())</f>
        <v/>
      </c>
      <c r="F742">
        <f>IF(D742="","",IF(E742&lt;0,"VENCIDO",IF(E742&lt;=30,"VENCE EM &lt;= 30 DIAS",IF(E742&lt;=60,"ATENCAO (31-60 DIAS)","OK"))))</f>
        <v/>
      </c>
      <c r="G742" s="13">
        <f>SUMIFS(Movimentacoes!$G:$G,Movimentacoes!$C:$C,$A742,Movimentacoes!$E:$E,$C742,Movimentacoes!$B:$B,"ENTRADA")</f>
        <v/>
      </c>
      <c r="H742" s="13">
        <f>SUMIFS(Movimentacoes!$G:$G,Movimentacoes!$C:$C,$A742,Movimentacoes!$E:$E,$C742,Movimentacoes!$B:$B,"SAIDA_USO")</f>
        <v/>
      </c>
      <c r="I742" s="13">
        <f>SUMIFS(Movimentacoes!$G:$G,Movimentacoes!$C:$C,$A742,Movimentacoes!$E:$E,$C742,Movimentacoes!$B:$B,"SAIDA_DESCARTE")</f>
        <v/>
      </c>
      <c r="J742" s="13">
        <f>G742-H742-I742</f>
        <v/>
      </c>
      <c r="K742">
        <f>IF(A742="","",IF(J742&lt;=IFERROR(VLOOKUP(A742,Cadastro_Produtos!$A:$E,5,FALSE),0),"ABAIXO DO MINIMO","OK"))</f>
        <v/>
      </c>
    </row>
    <row r="743">
      <c r="B743">
        <f>IFERROR(VLOOKUP(A743,Cadastro_Produtos!A:B,2,FALSE),"")</f>
        <v/>
      </c>
      <c r="D743" s="12" t="n"/>
      <c r="E743" s="13">
        <f>IF(D743="","",D743-TODAY())</f>
        <v/>
      </c>
      <c r="F743">
        <f>IF(D743="","",IF(E743&lt;0,"VENCIDO",IF(E743&lt;=30,"VENCE EM &lt;= 30 DIAS",IF(E743&lt;=60,"ATENCAO (31-60 DIAS)","OK"))))</f>
        <v/>
      </c>
      <c r="G743" s="13">
        <f>SUMIFS(Movimentacoes!$G:$G,Movimentacoes!$C:$C,$A743,Movimentacoes!$E:$E,$C743,Movimentacoes!$B:$B,"ENTRADA")</f>
        <v/>
      </c>
      <c r="H743" s="13">
        <f>SUMIFS(Movimentacoes!$G:$G,Movimentacoes!$C:$C,$A743,Movimentacoes!$E:$E,$C743,Movimentacoes!$B:$B,"SAIDA_USO")</f>
        <v/>
      </c>
      <c r="I743" s="13">
        <f>SUMIFS(Movimentacoes!$G:$G,Movimentacoes!$C:$C,$A743,Movimentacoes!$E:$E,$C743,Movimentacoes!$B:$B,"SAIDA_DESCARTE")</f>
        <v/>
      </c>
      <c r="J743" s="13">
        <f>G743-H743-I743</f>
        <v/>
      </c>
      <c r="K743">
        <f>IF(A743="","",IF(J743&lt;=IFERROR(VLOOKUP(A743,Cadastro_Produtos!$A:$E,5,FALSE),0),"ABAIXO DO MINIMO","OK"))</f>
        <v/>
      </c>
    </row>
    <row r="744">
      <c r="B744">
        <f>IFERROR(VLOOKUP(A744,Cadastro_Produtos!A:B,2,FALSE),"")</f>
        <v/>
      </c>
      <c r="D744" s="12" t="n"/>
      <c r="E744" s="13">
        <f>IF(D744="","",D744-TODAY())</f>
        <v/>
      </c>
      <c r="F744">
        <f>IF(D744="","",IF(E744&lt;0,"VENCIDO",IF(E744&lt;=30,"VENCE EM &lt;= 30 DIAS",IF(E744&lt;=60,"ATENCAO (31-60 DIAS)","OK"))))</f>
        <v/>
      </c>
      <c r="G744" s="13">
        <f>SUMIFS(Movimentacoes!$G:$G,Movimentacoes!$C:$C,$A744,Movimentacoes!$E:$E,$C744,Movimentacoes!$B:$B,"ENTRADA")</f>
        <v/>
      </c>
      <c r="H744" s="13">
        <f>SUMIFS(Movimentacoes!$G:$G,Movimentacoes!$C:$C,$A744,Movimentacoes!$E:$E,$C744,Movimentacoes!$B:$B,"SAIDA_USO")</f>
        <v/>
      </c>
      <c r="I744" s="13">
        <f>SUMIFS(Movimentacoes!$G:$G,Movimentacoes!$C:$C,$A744,Movimentacoes!$E:$E,$C744,Movimentacoes!$B:$B,"SAIDA_DESCARTE")</f>
        <v/>
      </c>
      <c r="J744" s="13">
        <f>G744-H744-I744</f>
        <v/>
      </c>
      <c r="K744">
        <f>IF(A744="","",IF(J744&lt;=IFERROR(VLOOKUP(A744,Cadastro_Produtos!$A:$E,5,FALSE),0),"ABAIXO DO MINIMO","OK"))</f>
        <v/>
      </c>
    </row>
    <row r="745">
      <c r="B745">
        <f>IFERROR(VLOOKUP(A745,Cadastro_Produtos!A:B,2,FALSE),"")</f>
        <v/>
      </c>
      <c r="D745" s="12" t="n"/>
      <c r="E745" s="13">
        <f>IF(D745="","",D745-TODAY())</f>
        <v/>
      </c>
      <c r="F745">
        <f>IF(D745="","",IF(E745&lt;0,"VENCIDO",IF(E745&lt;=30,"VENCE EM &lt;= 30 DIAS",IF(E745&lt;=60,"ATENCAO (31-60 DIAS)","OK"))))</f>
        <v/>
      </c>
      <c r="G745" s="13">
        <f>SUMIFS(Movimentacoes!$G:$G,Movimentacoes!$C:$C,$A745,Movimentacoes!$E:$E,$C745,Movimentacoes!$B:$B,"ENTRADA")</f>
        <v/>
      </c>
      <c r="H745" s="13">
        <f>SUMIFS(Movimentacoes!$G:$G,Movimentacoes!$C:$C,$A745,Movimentacoes!$E:$E,$C745,Movimentacoes!$B:$B,"SAIDA_USO")</f>
        <v/>
      </c>
      <c r="I745" s="13">
        <f>SUMIFS(Movimentacoes!$G:$G,Movimentacoes!$C:$C,$A745,Movimentacoes!$E:$E,$C745,Movimentacoes!$B:$B,"SAIDA_DESCARTE")</f>
        <v/>
      </c>
      <c r="J745" s="13">
        <f>G745-H745-I745</f>
        <v/>
      </c>
      <c r="K745">
        <f>IF(A745="","",IF(J745&lt;=IFERROR(VLOOKUP(A745,Cadastro_Produtos!$A:$E,5,FALSE),0),"ABAIXO DO MINIMO","OK"))</f>
        <v/>
      </c>
    </row>
    <row r="746">
      <c r="B746">
        <f>IFERROR(VLOOKUP(A746,Cadastro_Produtos!A:B,2,FALSE),"")</f>
        <v/>
      </c>
      <c r="D746" s="12" t="n"/>
      <c r="E746" s="13">
        <f>IF(D746="","",D746-TODAY())</f>
        <v/>
      </c>
      <c r="F746">
        <f>IF(D746="","",IF(E746&lt;0,"VENCIDO",IF(E746&lt;=30,"VENCE EM &lt;= 30 DIAS",IF(E746&lt;=60,"ATENCAO (31-60 DIAS)","OK"))))</f>
        <v/>
      </c>
      <c r="G746" s="13">
        <f>SUMIFS(Movimentacoes!$G:$G,Movimentacoes!$C:$C,$A746,Movimentacoes!$E:$E,$C746,Movimentacoes!$B:$B,"ENTRADA")</f>
        <v/>
      </c>
      <c r="H746" s="13">
        <f>SUMIFS(Movimentacoes!$G:$G,Movimentacoes!$C:$C,$A746,Movimentacoes!$E:$E,$C746,Movimentacoes!$B:$B,"SAIDA_USO")</f>
        <v/>
      </c>
      <c r="I746" s="13">
        <f>SUMIFS(Movimentacoes!$G:$G,Movimentacoes!$C:$C,$A746,Movimentacoes!$E:$E,$C746,Movimentacoes!$B:$B,"SAIDA_DESCARTE")</f>
        <v/>
      </c>
      <c r="J746" s="13">
        <f>G746-H746-I746</f>
        <v/>
      </c>
      <c r="K746">
        <f>IF(A746="","",IF(J746&lt;=IFERROR(VLOOKUP(A746,Cadastro_Produtos!$A:$E,5,FALSE),0),"ABAIXO DO MINIMO","OK"))</f>
        <v/>
      </c>
    </row>
    <row r="747">
      <c r="B747">
        <f>IFERROR(VLOOKUP(A747,Cadastro_Produtos!A:B,2,FALSE),"")</f>
        <v/>
      </c>
      <c r="D747" s="12" t="n"/>
      <c r="E747" s="13">
        <f>IF(D747="","",D747-TODAY())</f>
        <v/>
      </c>
      <c r="F747">
        <f>IF(D747="","",IF(E747&lt;0,"VENCIDO",IF(E747&lt;=30,"VENCE EM &lt;= 30 DIAS",IF(E747&lt;=60,"ATENCAO (31-60 DIAS)","OK"))))</f>
        <v/>
      </c>
      <c r="G747" s="13">
        <f>SUMIFS(Movimentacoes!$G:$G,Movimentacoes!$C:$C,$A747,Movimentacoes!$E:$E,$C747,Movimentacoes!$B:$B,"ENTRADA")</f>
        <v/>
      </c>
      <c r="H747" s="13">
        <f>SUMIFS(Movimentacoes!$G:$G,Movimentacoes!$C:$C,$A747,Movimentacoes!$E:$E,$C747,Movimentacoes!$B:$B,"SAIDA_USO")</f>
        <v/>
      </c>
      <c r="I747" s="13">
        <f>SUMIFS(Movimentacoes!$G:$G,Movimentacoes!$C:$C,$A747,Movimentacoes!$E:$E,$C747,Movimentacoes!$B:$B,"SAIDA_DESCARTE")</f>
        <v/>
      </c>
      <c r="J747" s="13">
        <f>G747-H747-I747</f>
        <v/>
      </c>
      <c r="K747">
        <f>IF(A747="","",IF(J747&lt;=IFERROR(VLOOKUP(A747,Cadastro_Produtos!$A:$E,5,FALSE),0),"ABAIXO DO MINIMO","OK"))</f>
        <v/>
      </c>
    </row>
    <row r="748">
      <c r="B748">
        <f>IFERROR(VLOOKUP(A748,Cadastro_Produtos!A:B,2,FALSE),"")</f>
        <v/>
      </c>
      <c r="D748" s="12" t="n"/>
      <c r="E748" s="13">
        <f>IF(D748="","",D748-TODAY())</f>
        <v/>
      </c>
      <c r="F748">
        <f>IF(D748="","",IF(E748&lt;0,"VENCIDO",IF(E748&lt;=30,"VENCE EM &lt;= 30 DIAS",IF(E748&lt;=60,"ATENCAO (31-60 DIAS)","OK"))))</f>
        <v/>
      </c>
      <c r="G748" s="13">
        <f>SUMIFS(Movimentacoes!$G:$G,Movimentacoes!$C:$C,$A748,Movimentacoes!$E:$E,$C748,Movimentacoes!$B:$B,"ENTRADA")</f>
        <v/>
      </c>
      <c r="H748" s="13">
        <f>SUMIFS(Movimentacoes!$G:$G,Movimentacoes!$C:$C,$A748,Movimentacoes!$E:$E,$C748,Movimentacoes!$B:$B,"SAIDA_USO")</f>
        <v/>
      </c>
      <c r="I748" s="13">
        <f>SUMIFS(Movimentacoes!$G:$G,Movimentacoes!$C:$C,$A748,Movimentacoes!$E:$E,$C748,Movimentacoes!$B:$B,"SAIDA_DESCARTE")</f>
        <v/>
      </c>
      <c r="J748" s="13">
        <f>G748-H748-I748</f>
        <v/>
      </c>
      <c r="K748">
        <f>IF(A748="","",IF(J748&lt;=IFERROR(VLOOKUP(A748,Cadastro_Produtos!$A:$E,5,FALSE),0),"ABAIXO DO MINIMO","OK"))</f>
        <v/>
      </c>
    </row>
    <row r="749">
      <c r="B749">
        <f>IFERROR(VLOOKUP(A749,Cadastro_Produtos!A:B,2,FALSE),"")</f>
        <v/>
      </c>
      <c r="D749" s="12" t="n"/>
      <c r="E749" s="13">
        <f>IF(D749="","",D749-TODAY())</f>
        <v/>
      </c>
      <c r="F749">
        <f>IF(D749="","",IF(E749&lt;0,"VENCIDO",IF(E749&lt;=30,"VENCE EM &lt;= 30 DIAS",IF(E749&lt;=60,"ATENCAO (31-60 DIAS)","OK"))))</f>
        <v/>
      </c>
      <c r="G749" s="13">
        <f>SUMIFS(Movimentacoes!$G:$G,Movimentacoes!$C:$C,$A749,Movimentacoes!$E:$E,$C749,Movimentacoes!$B:$B,"ENTRADA")</f>
        <v/>
      </c>
      <c r="H749" s="13">
        <f>SUMIFS(Movimentacoes!$G:$G,Movimentacoes!$C:$C,$A749,Movimentacoes!$E:$E,$C749,Movimentacoes!$B:$B,"SAIDA_USO")</f>
        <v/>
      </c>
      <c r="I749" s="13">
        <f>SUMIFS(Movimentacoes!$G:$G,Movimentacoes!$C:$C,$A749,Movimentacoes!$E:$E,$C749,Movimentacoes!$B:$B,"SAIDA_DESCARTE")</f>
        <v/>
      </c>
      <c r="J749" s="13">
        <f>G749-H749-I749</f>
        <v/>
      </c>
      <c r="K749">
        <f>IF(A749="","",IF(J749&lt;=IFERROR(VLOOKUP(A749,Cadastro_Produtos!$A:$E,5,FALSE),0),"ABAIXO DO MINIMO","OK"))</f>
        <v/>
      </c>
    </row>
    <row r="750">
      <c r="B750">
        <f>IFERROR(VLOOKUP(A750,Cadastro_Produtos!A:B,2,FALSE),"")</f>
        <v/>
      </c>
      <c r="D750" s="12" t="n"/>
      <c r="E750" s="13">
        <f>IF(D750="","",D750-TODAY())</f>
        <v/>
      </c>
      <c r="F750">
        <f>IF(D750="","",IF(E750&lt;0,"VENCIDO",IF(E750&lt;=30,"VENCE EM &lt;= 30 DIAS",IF(E750&lt;=60,"ATENCAO (31-60 DIAS)","OK"))))</f>
        <v/>
      </c>
      <c r="G750" s="13">
        <f>SUMIFS(Movimentacoes!$G:$G,Movimentacoes!$C:$C,$A750,Movimentacoes!$E:$E,$C750,Movimentacoes!$B:$B,"ENTRADA")</f>
        <v/>
      </c>
      <c r="H750" s="13">
        <f>SUMIFS(Movimentacoes!$G:$G,Movimentacoes!$C:$C,$A750,Movimentacoes!$E:$E,$C750,Movimentacoes!$B:$B,"SAIDA_USO")</f>
        <v/>
      </c>
      <c r="I750" s="13">
        <f>SUMIFS(Movimentacoes!$G:$G,Movimentacoes!$C:$C,$A750,Movimentacoes!$E:$E,$C750,Movimentacoes!$B:$B,"SAIDA_DESCARTE")</f>
        <v/>
      </c>
      <c r="J750" s="13">
        <f>G750-H750-I750</f>
        <v/>
      </c>
      <c r="K750">
        <f>IF(A750="","",IF(J750&lt;=IFERROR(VLOOKUP(A750,Cadastro_Produtos!$A:$E,5,FALSE),0),"ABAIXO DO MINIMO","OK"))</f>
        <v/>
      </c>
    </row>
    <row r="751">
      <c r="B751">
        <f>IFERROR(VLOOKUP(A751,Cadastro_Produtos!A:B,2,FALSE),"")</f>
        <v/>
      </c>
      <c r="D751" s="12" t="n"/>
      <c r="E751" s="13">
        <f>IF(D751="","",D751-TODAY())</f>
        <v/>
      </c>
      <c r="F751">
        <f>IF(D751="","",IF(E751&lt;0,"VENCIDO",IF(E751&lt;=30,"VENCE EM &lt;= 30 DIAS",IF(E751&lt;=60,"ATENCAO (31-60 DIAS)","OK"))))</f>
        <v/>
      </c>
      <c r="G751" s="13">
        <f>SUMIFS(Movimentacoes!$G:$G,Movimentacoes!$C:$C,$A751,Movimentacoes!$E:$E,$C751,Movimentacoes!$B:$B,"ENTRADA")</f>
        <v/>
      </c>
      <c r="H751" s="13">
        <f>SUMIFS(Movimentacoes!$G:$G,Movimentacoes!$C:$C,$A751,Movimentacoes!$E:$E,$C751,Movimentacoes!$B:$B,"SAIDA_USO")</f>
        <v/>
      </c>
      <c r="I751" s="13">
        <f>SUMIFS(Movimentacoes!$G:$G,Movimentacoes!$C:$C,$A751,Movimentacoes!$E:$E,$C751,Movimentacoes!$B:$B,"SAIDA_DESCARTE")</f>
        <v/>
      </c>
      <c r="J751" s="13">
        <f>G751-H751-I751</f>
        <v/>
      </c>
      <c r="K751">
        <f>IF(A751="","",IF(J751&lt;=IFERROR(VLOOKUP(A751,Cadastro_Produtos!$A:$E,5,FALSE),0),"ABAIXO DO MINIMO","OK"))</f>
        <v/>
      </c>
    </row>
    <row r="752">
      <c r="B752">
        <f>IFERROR(VLOOKUP(A752,Cadastro_Produtos!A:B,2,FALSE),"")</f>
        <v/>
      </c>
      <c r="D752" s="12" t="n"/>
      <c r="E752" s="13">
        <f>IF(D752="","",D752-TODAY())</f>
        <v/>
      </c>
      <c r="F752">
        <f>IF(D752="","",IF(E752&lt;0,"VENCIDO",IF(E752&lt;=30,"VENCE EM &lt;= 30 DIAS",IF(E752&lt;=60,"ATENCAO (31-60 DIAS)","OK"))))</f>
        <v/>
      </c>
      <c r="G752" s="13">
        <f>SUMIFS(Movimentacoes!$G:$G,Movimentacoes!$C:$C,$A752,Movimentacoes!$E:$E,$C752,Movimentacoes!$B:$B,"ENTRADA")</f>
        <v/>
      </c>
      <c r="H752" s="13">
        <f>SUMIFS(Movimentacoes!$G:$G,Movimentacoes!$C:$C,$A752,Movimentacoes!$E:$E,$C752,Movimentacoes!$B:$B,"SAIDA_USO")</f>
        <v/>
      </c>
      <c r="I752" s="13">
        <f>SUMIFS(Movimentacoes!$G:$G,Movimentacoes!$C:$C,$A752,Movimentacoes!$E:$E,$C752,Movimentacoes!$B:$B,"SAIDA_DESCARTE")</f>
        <v/>
      </c>
      <c r="J752" s="13">
        <f>G752-H752-I752</f>
        <v/>
      </c>
      <c r="K752">
        <f>IF(A752="","",IF(J752&lt;=IFERROR(VLOOKUP(A752,Cadastro_Produtos!$A:$E,5,FALSE),0),"ABAIXO DO MINIMO","OK"))</f>
        <v/>
      </c>
    </row>
    <row r="753">
      <c r="B753">
        <f>IFERROR(VLOOKUP(A753,Cadastro_Produtos!A:B,2,FALSE),"")</f>
        <v/>
      </c>
      <c r="D753" s="12" t="n"/>
      <c r="E753" s="13">
        <f>IF(D753="","",D753-TODAY())</f>
        <v/>
      </c>
      <c r="F753">
        <f>IF(D753="","",IF(E753&lt;0,"VENCIDO",IF(E753&lt;=30,"VENCE EM &lt;= 30 DIAS",IF(E753&lt;=60,"ATENCAO (31-60 DIAS)","OK"))))</f>
        <v/>
      </c>
      <c r="G753" s="13">
        <f>SUMIFS(Movimentacoes!$G:$G,Movimentacoes!$C:$C,$A753,Movimentacoes!$E:$E,$C753,Movimentacoes!$B:$B,"ENTRADA")</f>
        <v/>
      </c>
      <c r="H753" s="13">
        <f>SUMIFS(Movimentacoes!$G:$G,Movimentacoes!$C:$C,$A753,Movimentacoes!$E:$E,$C753,Movimentacoes!$B:$B,"SAIDA_USO")</f>
        <v/>
      </c>
      <c r="I753" s="13">
        <f>SUMIFS(Movimentacoes!$G:$G,Movimentacoes!$C:$C,$A753,Movimentacoes!$E:$E,$C753,Movimentacoes!$B:$B,"SAIDA_DESCARTE")</f>
        <v/>
      </c>
      <c r="J753" s="13">
        <f>G753-H753-I753</f>
        <v/>
      </c>
      <c r="K753">
        <f>IF(A753="","",IF(J753&lt;=IFERROR(VLOOKUP(A753,Cadastro_Produtos!$A:$E,5,FALSE),0),"ABAIXO DO MINIMO","OK"))</f>
        <v/>
      </c>
    </row>
    <row r="754">
      <c r="B754">
        <f>IFERROR(VLOOKUP(A754,Cadastro_Produtos!A:B,2,FALSE),"")</f>
        <v/>
      </c>
      <c r="D754" s="12" t="n"/>
      <c r="E754" s="13">
        <f>IF(D754="","",D754-TODAY())</f>
        <v/>
      </c>
      <c r="F754">
        <f>IF(D754="","",IF(E754&lt;0,"VENCIDO",IF(E754&lt;=30,"VENCE EM &lt;= 30 DIAS",IF(E754&lt;=60,"ATENCAO (31-60 DIAS)","OK"))))</f>
        <v/>
      </c>
      <c r="G754" s="13">
        <f>SUMIFS(Movimentacoes!$G:$G,Movimentacoes!$C:$C,$A754,Movimentacoes!$E:$E,$C754,Movimentacoes!$B:$B,"ENTRADA")</f>
        <v/>
      </c>
      <c r="H754" s="13">
        <f>SUMIFS(Movimentacoes!$G:$G,Movimentacoes!$C:$C,$A754,Movimentacoes!$E:$E,$C754,Movimentacoes!$B:$B,"SAIDA_USO")</f>
        <v/>
      </c>
      <c r="I754" s="13">
        <f>SUMIFS(Movimentacoes!$G:$G,Movimentacoes!$C:$C,$A754,Movimentacoes!$E:$E,$C754,Movimentacoes!$B:$B,"SAIDA_DESCARTE")</f>
        <v/>
      </c>
      <c r="J754" s="13">
        <f>G754-H754-I754</f>
        <v/>
      </c>
      <c r="K754">
        <f>IF(A754="","",IF(J754&lt;=IFERROR(VLOOKUP(A754,Cadastro_Produtos!$A:$E,5,FALSE),0),"ABAIXO DO MINIMO","OK"))</f>
        <v/>
      </c>
    </row>
    <row r="755">
      <c r="B755">
        <f>IFERROR(VLOOKUP(A755,Cadastro_Produtos!A:B,2,FALSE),"")</f>
        <v/>
      </c>
      <c r="D755" s="12" t="n"/>
      <c r="E755" s="13">
        <f>IF(D755="","",D755-TODAY())</f>
        <v/>
      </c>
      <c r="F755">
        <f>IF(D755="","",IF(E755&lt;0,"VENCIDO",IF(E755&lt;=30,"VENCE EM &lt;= 30 DIAS",IF(E755&lt;=60,"ATENCAO (31-60 DIAS)","OK"))))</f>
        <v/>
      </c>
      <c r="G755" s="13">
        <f>SUMIFS(Movimentacoes!$G:$G,Movimentacoes!$C:$C,$A755,Movimentacoes!$E:$E,$C755,Movimentacoes!$B:$B,"ENTRADA")</f>
        <v/>
      </c>
      <c r="H755" s="13">
        <f>SUMIFS(Movimentacoes!$G:$G,Movimentacoes!$C:$C,$A755,Movimentacoes!$E:$E,$C755,Movimentacoes!$B:$B,"SAIDA_USO")</f>
        <v/>
      </c>
      <c r="I755" s="13">
        <f>SUMIFS(Movimentacoes!$G:$G,Movimentacoes!$C:$C,$A755,Movimentacoes!$E:$E,$C755,Movimentacoes!$B:$B,"SAIDA_DESCARTE")</f>
        <v/>
      </c>
      <c r="J755" s="13">
        <f>G755-H755-I755</f>
        <v/>
      </c>
      <c r="K755">
        <f>IF(A755="","",IF(J755&lt;=IFERROR(VLOOKUP(A755,Cadastro_Produtos!$A:$E,5,FALSE),0),"ABAIXO DO MINIMO","OK"))</f>
        <v/>
      </c>
    </row>
    <row r="756">
      <c r="B756">
        <f>IFERROR(VLOOKUP(A756,Cadastro_Produtos!A:B,2,FALSE),"")</f>
        <v/>
      </c>
      <c r="D756" s="12" t="n"/>
      <c r="E756" s="13">
        <f>IF(D756="","",D756-TODAY())</f>
        <v/>
      </c>
      <c r="F756">
        <f>IF(D756="","",IF(E756&lt;0,"VENCIDO",IF(E756&lt;=30,"VENCE EM &lt;= 30 DIAS",IF(E756&lt;=60,"ATENCAO (31-60 DIAS)","OK"))))</f>
        <v/>
      </c>
      <c r="G756" s="13">
        <f>SUMIFS(Movimentacoes!$G:$G,Movimentacoes!$C:$C,$A756,Movimentacoes!$E:$E,$C756,Movimentacoes!$B:$B,"ENTRADA")</f>
        <v/>
      </c>
      <c r="H756" s="13">
        <f>SUMIFS(Movimentacoes!$G:$G,Movimentacoes!$C:$C,$A756,Movimentacoes!$E:$E,$C756,Movimentacoes!$B:$B,"SAIDA_USO")</f>
        <v/>
      </c>
      <c r="I756" s="13">
        <f>SUMIFS(Movimentacoes!$G:$G,Movimentacoes!$C:$C,$A756,Movimentacoes!$E:$E,$C756,Movimentacoes!$B:$B,"SAIDA_DESCARTE")</f>
        <v/>
      </c>
      <c r="J756" s="13">
        <f>G756-H756-I756</f>
        <v/>
      </c>
      <c r="K756">
        <f>IF(A756="","",IF(J756&lt;=IFERROR(VLOOKUP(A756,Cadastro_Produtos!$A:$E,5,FALSE),0),"ABAIXO DO MINIMO","OK"))</f>
        <v/>
      </c>
    </row>
    <row r="757">
      <c r="B757">
        <f>IFERROR(VLOOKUP(A757,Cadastro_Produtos!A:B,2,FALSE),"")</f>
        <v/>
      </c>
      <c r="D757" s="12" t="n"/>
      <c r="E757" s="13">
        <f>IF(D757="","",D757-TODAY())</f>
        <v/>
      </c>
      <c r="F757">
        <f>IF(D757="","",IF(E757&lt;0,"VENCIDO",IF(E757&lt;=30,"VENCE EM &lt;= 30 DIAS",IF(E757&lt;=60,"ATENCAO (31-60 DIAS)","OK"))))</f>
        <v/>
      </c>
      <c r="G757" s="13">
        <f>SUMIFS(Movimentacoes!$G:$G,Movimentacoes!$C:$C,$A757,Movimentacoes!$E:$E,$C757,Movimentacoes!$B:$B,"ENTRADA")</f>
        <v/>
      </c>
      <c r="H757" s="13">
        <f>SUMIFS(Movimentacoes!$G:$G,Movimentacoes!$C:$C,$A757,Movimentacoes!$E:$E,$C757,Movimentacoes!$B:$B,"SAIDA_USO")</f>
        <v/>
      </c>
      <c r="I757" s="13">
        <f>SUMIFS(Movimentacoes!$G:$G,Movimentacoes!$C:$C,$A757,Movimentacoes!$E:$E,$C757,Movimentacoes!$B:$B,"SAIDA_DESCARTE")</f>
        <v/>
      </c>
      <c r="J757" s="13">
        <f>G757-H757-I757</f>
        <v/>
      </c>
      <c r="K757">
        <f>IF(A757="","",IF(J757&lt;=IFERROR(VLOOKUP(A757,Cadastro_Produtos!$A:$E,5,FALSE),0),"ABAIXO DO MINIMO","OK"))</f>
        <v/>
      </c>
    </row>
    <row r="758">
      <c r="B758">
        <f>IFERROR(VLOOKUP(A758,Cadastro_Produtos!A:B,2,FALSE),"")</f>
        <v/>
      </c>
      <c r="D758" s="12" t="n"/>
      <c r="E758" s="13">
        <f>IF(D758="","",D758-TODAY())</f>
        <v/>
      </c>
      <c r="F758">
        <f>IF(D758="","",IF(E758&lt;0,"VENCIDO",IF(E758&lt;=30,"VENCE EM &lt;= 30 DIAS",IF(E758&lt;=60,"ATENCAO (31-60 DIAS)","OK"))))</f>
        <v/>
      </c>
      <c r="G758" s="13">
        <f>SUMIFS(Movimentacoes!$G:$G,Movimentacoes!$C:$C,$A758,Movimentacoes!$E:$E,$C758,Movimentacoes!$B:$B,"ENTRADA")</f>
        <v/>
      </c>
      <c r="H758" s="13">
        <f>SUMIFS(Movimentacoes!$G:$G,Movimentacoes!$C:$C,$A758,Movimentacoes!$E:$E,$C758,Movimentacoes!$B:$B,"SAIDA_USO")</f>
        <v/>
      </c>
      <c r="I758" s="13">
        <f>SUMIFS(Movimentacoes!$G:$G,Movimentacoes!$C:$C,$A758,Movimentacoes!$E:$E,$C758,Movimentacoes!$B:$B,"SAIDA_DESCARTE")</f>
        <v/>
      </c>
      <c r="J758" s="13">
        <f>G758-H758-I758</f>
        <v/>
      </c>
      <c r="K758">
        <f>IF(A758="","",IF(J758&lt;=IFERROR(VLOOKUP(A758,Cadastro_Produtos!$A:$E,5,FALSE),0),"ABAIXO DO MINIMO","OK"))</f>
        <v/>
      </c>
    </row>
    <row r="759">
      <c r="B759">
        <f>IFERROR(VLOOKUP(A759,Cadastro_Produtos!A:B,2,FALSE),"")</f>
        <v/>
      </c>
      <c r="D759" s="12" t="n"/>
      <c r="E759" s="13">
        <f>IF(D759="","",D759-TODAY())</f>
        <v/>
      </c>
      <c r="F759">
        <f>IF(D759="","",IF(E759&lt;0,"VENCIDO",IF(E759&lt;=30,"VENCE EM &lt;= 30 DIAS",IF(E759&lt;=60,"ATENCAO (31-60 DIAS)","OK"))))</f>
        <v/>
      </c>
      <c r="G759" s="13">
        <f>SUMIFS(Movimentacoes!$G:$G,Movimentacoes!$C:$C,$A759,Movimentacoes!$E:$E,$C759,Movimentacoes!$B:$B,"ENTRADA")</f>
        <v/>
      </c>
      <c r="H759" s="13">
        <f>SUMIFS(Movimentacoes!$G:$G,Movimentacoes!$C:$C,$A759,Movimentacoes!$E:$E,$C759,Movimentacoes!$B:$B,"SAIDA_USO")</f>
        <v/>
      </c>
      <c r="I759" s="13">
        <f>SUMIFS(Movimentacoes!$G:$G,Movimentacoes!$C:$C,$A759,Movimentacoes!$E:$E,$C759,Movimentacoes!$B:$B,"SAIDA_DESCARTE")</f>
        <v/>
      </c>
      <c r="J759" s="13">
        <f>G759-H759-I759</f>
        <v/>
      </c>
      <c r="K759">
        <f>IF(A759="","",IF(J759&lt;=IFERROR(VLOOKUP(A759,Cadastro_Produtos!$A:$E,5,FALSE),0),"ABAIXO DO MINIMO","OK"))</f>
        <v/>
      </c>
    </row>
    <row r="760">
      <c r="B760">
        <f>IFERROR(VLOOKUP(A760,Cadastro_Produtos!A:B,2,FALSE),"")</f>
        <v/>
      </c>
      <c r="D760" s="12" t="n"/>
      <c r="E760" s="13">
        <f>IF(D760="","",D760-TODAY())</f>
        <v/>
      </c>
      <c r="F760">
        <f>IF(D760="","",IF(E760&lt;0,"VENCIDO",IF(E760&lt;=30,"VENCE EM &lt;= 30 DIAS",IF(E760&lt;=60,"ATENCAO (31-60 DIAS)","OK"))))</f>
        <v/>
      </c>
      <c r="G760" s="13">
        <f>SUMIFS(Movimentacoes!$G:$G,Movimentacoes!$C:$C,$A760,Movimentacoes!$E:$E,$C760,Movimentacoes!$B:$B,"ENTRADA")</f>
        <v/>
      </c>
      <c r="H760" s="13">
        <f>SUMIFS(Movimentacoes!$G:$G,Movimentacoes!$C:$C,$A760,Movimentacoes!$E:$E,$C760,Movimentacoes!$B:$B,"SAIDA_USO")</f>
        <v/>
      </c>
      <c r="I760" s="13">
        <f>SUMIFS(Movimentacoes!$G:$G,Movimentacoes!$C:$C,$A760,Movimentacoes!$E:$E,$C760,Movimentacoes!$B:$B,"SAIDA_DESCARTE")</f>
        <v/>
      </c>
      <c r="J760" s="13">
        <f>G760-H760-I760</f>
        <v/>
      </c>
      <c r="K760">
        <f>IF(A760="","",IF(J760&lt;=IFERROR(VLOOKUP(A760,Cadastro_Produtos!$A:$E,5,FALSE),0),"ABAIXO DO MINIMO","OK"))</f>
        <v/>
      </c>
    </row>
    <row r="761">
      <c r="B761">
        <f>IFERROR(VLOOKUP(A761,Cadastro_Produtos!A:B,2,FALSE),"")</f>
        <v/>
      </c>
      <c r="D761" s="12" t="n"/>
      <c r="E761" s="13">
        <f>IF(D761="","",D761-TODAY())</f>
        <v/>
      </c>
      <c r="F761">
        <f>IF(D761="","",IF(E761&lt;0,"VENCIDO",IF(E761&lt;=30,"VENCE EM &lt;= 30 DIAS",IF(E761&lt;=60,"ATENCAO (31-60 DIAS)","OK"))))</f>
        <v/>
      </c>
      <c r="G761" s="13">
        <f>SUMIFS(Movimentacoes!$G:$G,Movimentacoes!$C:$C,$A761,Movimentacoes!$E:$E,$C761,Movimentacoes!$B:$B,"ENTRADA")</f>
        <v/>
      </c>
      <c r="H761" s="13">
        <f>SUMIFS(Movimentacoes!$G:$G,Movimentacoes!$C:$C,$A761,Movimentacoes!$E:$E,$C761,Movimentacoes!$B:$B,"SAIDA_USO")</f>
        <v/>
      </c>
      <c r="I761" s="13">
        <f>SUMIFS(Movimentacoes!$G:$G,Movimentacoes!$C:$C,$A761,Movimentacoes!$E:$E,$C761,Movimentacoes!$B:$B,"SAIDA_DESCARTE")</f>
        <v/>
      </c>
      <c r="J761" s="13">
        <f>G761-H761-I761</f>
        <v/>
      </c>
      <c r="K761">
        <f>IF(A761="","",IF(J761&lt;=IFERROR(VLOOKUP(A761,Cadastro_Produtos!$A:$E,5,FALSE),0),"ABAIXO DO MINIMO","OK"))</f>
        <v/>
      </c>
    </row>
    <row r="762">
      <c r="B762">
        <f>IFERROR(VLOOKUP(A762,Cadastro_Produtos!A:B,2,FALSE),"")</f>
        <v/>
      </c>
      <c r="D762" s="12" t="n"/>
      <c r="E762" s="13">
        <f>IF(D762="","",D762-TODAY())</f>
        <v/>
      </c>
      <c r="F762">
        <f>IF(D762="","",IF(E762&lt;0,"VENCIDO",IF(E762&lt;=30,"VENCE EM &lt;= 30 DIAS",IF(E762&lt;=60,"ATENCAO (31-60 DIAS)","OK"))))</f>
        <v/>
      </c>
      <c r="G762" s="13">
        <f>SUMIFS(Movimentacoes!$G:$G,Movimentacoes!$C:$C,$A762,Movimentacoes!$E:$E,$C762,Movimentacoes!$B:$B,"ENTRADA")</f>
        <v/>
      </c>
      <c r="H762" s="13">
        <f>SUMIFS(Movimentacoes!$G:$G,Movimentacoes!$C:$C,$A762,Movimentacoes!$E:$E,$C762,Movimentacoes!$B:$B,"SAIDA_USO")</f>
        <v/>
      </c>
      <c r="I762" s="13">
        <f>SUMIFS(Movimentacoes!$G:$G,Movimentacoes!$C:$C,$A762,Movimentacoes!$E:$E,$C762,Movimentacoes!$B:$B,"SAIDA_DESCARTE")</f>
        <v/>
      </c>
      <c r="J762" s="13">
        <f>G762-H762-I762</f>
        <v/>
      </c>
      <c r="K762">
        <f>IF(A762="","",IF(J762&lt;=IFERROR(VLOOKUP(A762,Cadastro_Produtos!$A:$E,5,FALSE),0),"ABAIXO DO MINIMO","OK"))</f>
        <v/>
      </c>
    </row>
    <row r="763">
      <c r="B763">
        <f>IFERROR(VLOOKUP(A763,Cadastro_Produtos!A:B,2,FALSE),"")</f>
        <v/>
      </c>
      <c r="D763" s="12" t="n"/>
      <c r="E763" s="13">
        <f>IF(D763="","",D763-TODAY())</f>
        <v/>
      </c>
      <c r="F763">
        <f>IF(D763="","",IF(E763&lt;0,"VENCIDO",IF(E763&lt;=30,"VENCE EM &lt;= 30 DIAS",IF(E763&lt;=60,"ATENCAO (31-60 DIAS)","OK"))))</f>
        <v/>
      </c>
      <c r="G763" s="13">
        <f>SUMIFS(Movimentacoes!$G:$G,Movimentacoes!$C:$C,$A763,Movimentacoes!$E:$E,$C763,Movimentacoes!$B:$B,"ENTRADA")</f>
        <v/>
      </c>
      <c r="H763" s="13">
        <f>SUMIFS(Movimentacoes!$G:$G,Movimentacoes!$C:$C,$A763,Movimentacoes!$E:$E,$C763,Movimentacoes!$B:$B,"SAIDA_USO")</f>
        <v/>
      </c>
      <c r="I763" s="13">
        <f>SUMIFS(Movimentacoes!$G:$G,Movimentacoes!$C:$C,$A763,Movimentacoes!$E:$E,$C763,Movimentacoes!$B:$B,"SAIDA_DESCARTE")</f>
        <v/>
      </c>
      <c r="J763" s="13">
        <f>G763-H763-I763</f>
        <v/>
      </c>
      <c r="K763">
        <f>IF(A763="","",IF(J763&lt;=IFERROR(VLOOKUP(A763,Cadastro_Produtos!$A:$E,5,FALSE),0),"ABAIXO DO MINIMO","OK"))</f>
        <v/>
      </c>
    </row>
    <row r="764">
      <c r="B764">
        <f>IFERROR(VLOOKUP(A764,Cadastro_Produtos!A:B,2,FALSE),"")</f>
        <v/>
      </c>
      <c r="D764" s="12" t="n"/>
      <c r="E764" s="13">
        <f>IF(D764="","",D764-TODAY())</f>
        <v/>
      </c>
      <c r="F764">
        <f>IF(D764="","",IF(E764&lt;0,"VENCIDO",IF(E764&lt;=30,"VENCE EM &lt;= 30 DIAS",IF(E764&lt;=60,"ATENCAO (31-60 DIAS)","OK"))))</f>
        <v/>
      </c>
      <c r="G764" s="13">
        <f>SUMIFS(Movimentacoes!$G:$G,Movimentacoes!$C:$C,$A764,Movimentacoes!$E:$E,$C764,Movimentacoes!$B:$B,"ENTRADA")</f>
        <v/>
      </c>
      <c r="H764" s="13">
        <f>SUMIFS(Movimentacoes!$G:$G,Movimentacoes!$C:$C,$A764,Movimentacoes!$E:$E,$C764,Movimentacoes!$B:$B,"SAIDA_USO")</f>
        <v/>
      </c>
      <c r="I764" s="13">
        <f>SUMIFS(Movimentacoes!$G:$G,Movimentacoes!$C:$C,$A764,Movimentacoes!$E:$E,$C764,Movimentacoes!$B:$B,"SAIDA_DESCARTE")</f>
        <v/>
      </c>
      <c r="J764" s="13">
        <f>G764-H764-I764</f>
        <v/>
      </c>
      <c r="K764">
        <f>IF(A764="","",IF(J764&lt;=IFERROR(VLOOKUP(A764,Cadastro_Produtos!$A:$E,5,FALSE),0),"ABAIXO DO MINIMO","OK"))</f>
        <v/>
      </c>
    </row>
    <row r="765">
      <c r="B765">
        <f>IFERROR(VLOOKUP(A765,Cadastro_Produtos!A:B,2,FALSE),"")</f>
        <v/>
      </c>
      <c r="D765" s="12" t="n"/>
      <c r="E765" s="13">
        <f>IF(D765="","",D765-TODAY())</f>
        <v/>
      </c>
      <c r="F765">
        <f>IF(D765="","",IF(E765&lt;0,"VENCIDO",IF(E765&lt;=30,"VENCE EM &lt;= 30 DIAS",IF(E765&lt;=60,"ATENCAO (31-60 DIAS)","OK"))))</f>
        <v/>
      </c>
      <c r="G765" s="13">
        <f>SUMIFS(Movimentacoes!$G:$G,Movimentacoes!$C:$C,$A765,Movimentacoes!$E:$E,$C765,Movimentacoes!$B:$B,"ENTRADA")</f>
        <v/>
      </c>
      <c r="H765" s="13">
        <f>SUMIFS(Movimentacoes!$G:$G,Movimentacoes!$C:$C,$A765,Movimentacoes!$E:$E,$C765,Movimentacoes!$B:$B,"SAIDA_USO")</f>
        <v/>
      </c>
      <c r="I765" s="13">
        <f>SUMIFS(Movimentacoes!$G:$G,Movimentacoes!$C:$C,$A765,Movimentacoes!$E:$E,$C765,Movimentacoes!$B:$B,"SAIDA_DESCARTE")</f>
        <v/>
      </c>
      <c r="J765" s="13">
        <f>G765-H765-I765</f>
        <v/>
      </c>
      <c r="K765">
        <f>IF(A765="","",IF(J765&lt;=IFERROR(VLOOKUP(A765,Cadastro_Produtos!$A:$E,5,FALSE),0),"ABAIXO DO MINIMO","OK"))</f>
        <v/>
      </c>
    </row>
    <row r="766">
      <c r="B766">
        <f>IFERROR(VLOOKUP(A766,Cadastro_Produtos!A:B,2,FALSE),"")</f>
        <v/>
      </c>
      <c r="D766" s="12" t="n"/>
      <c r="E766" s="13">
        <f>IF(D766="","",D766-TODAY())</f>
        <v/>
      </c>
      <c r="F766">
        <f>IF(D766="","",IF(E766&lt;0,"VENCIDO",IF(E766&lt;=30,"VENCE EM &lt;= 30 DIAS",IF(E766&lt;=60,"ATENCAO (31-60 DIAS)","OK"))))</f>
        <v/>
      </c>
      <c r="G766" s="13">
        <f>SUMIFS(Movimentacoes!$G:$G,Movimentacoes!$C:$C,$A766,Movimentacoes!$E:$E,$C766,Movimentacoes!$B:$B,"ENTRADA")</f>
        <v/>
      </c>
      <c r="H766" s="13">
        <f>SUMIFS(Movimentacoes!$G:$G,Movimentacoes!$C:$C,$A766,Movimentacoes!$E:$E,$C766,Movimentacoes!$B:$B,"SAIDA_USO")</f>
        <v/>
      </c>
      <c r="I766" s="13">
        <f>SUMIFS(Movimentacoes!$G:$G,Movimentacoes!$C:$C,$A766,Movimentacoes!$E:$E,$C766,Movimentacoes!$B:$B,"SAIDA_DESCARTE")</f>
        <v/>
      </c>
      <c r="J766" s="13">
        <f>G766-H766-I766</f>
        <v/>
      </c>
      <c r="K766">
        <f>IF(A766="","",IF(J766&lt;=IFERROR(VLOOKUP(A766,Cadastro_Produtos!$A:$E,5,FALSE),0),"ABAIXO DO MINIMO","OK"))</f>
        <v/>
      </c>
    </row>
    <row r="767">
      <c r="B767">
        <f>IFERROR(VLOOKUP(A767,Cadastro_Produtos!A:B,2,FALSE),"")</f>
        <v/>
      </c>
      <c r="D767" s="12" t="n"/>
      <c r="E767" s="13">
        <f>IF(D767="","",D767-TODAY())</f>
        <v/>
      </c>
      <c r="F767">
        <f>IF(D767="","",IF(E767&lt;0,"VENCIDO",IF(E767&lt;=30,"VENCE EM &lt;= 30 DIAS",IF(E767&lt;=60,"ATENCAO (31-60 DIAS)","OK"))))</f>
        <v/>
      </c>
      <c r="G767" s="13">
        <f>SUMIFS(Movimentacoes!$G:$G,Movimentacoes!$C:$C,$A767,Movimentacoes!$E:$E,$C767,Movimentacoes!$B:$B,"ENTRADA")</f>
        <v/>
      </c>
      <c r="H767" s="13">
        <f>SUMIFS(Movimentacoes!$G:$G,Movimentacoes!$C:$C,$A767,Movimentacoes!$E:$E,$C767,Movimentacoes!$B:$B,"SAIDA_USO")</f>
        <v/>
      </c>
      <c r="I767" s="13">
        <f>SUMIFS(Movimentacoes!$G:$G,Movimentacoes!$C:$C,$A767,Movimentacoes!$E:$E,$C767,Movimentacoes!$B:$B,"SAIDA_DESCARTE")</f>
        <v/>
      </c>
      <c r="J767" s="13">
        <f>G767-H767-I767</f>
        <v/>
      </c>
      <c r="K767">
        <f>IF(A767="","",IF(J767&lt;=IFERROR(VLOOKUP(A767,Cadastro_Produtos!$A:$E,5,FALSE),0),"ABAIXO DO MINIMO","OK"))</f>
        <v/>
      </c>
    </row>
    <row r="768">
      <c r="B768">
        <f>IFERROR(VLOOKUP(A768,Cadastro_Produtos!A:B,2,FALSE),"")</f>
        <v/>
      </c>
      <c r="D768" s="12" t="n"/>
      <c r="E768" s="13">
        <f>IF(D768="","",D768-TODAY())</f>
        <v/>
      </c>
      <c r="F768">
        <f>IF(D768="","",IF(E768&lt;0,"VENCIDO",IF(E768&lt;=30,"VENCE EM &lt;= 30 DIAS",IF(E768&lt;=60,"ATENCAO (31-60 DIAS)","OK"))))</f>
        <v/>
      </c>
      <c r="G768" s="13">
        <f>SUMIFS(Movimentacoes!$G:$G,Movimentacoes!$C:$C,$A768,Movimentacoes!$E:$E,$C768,Movimentacoes!$B:$B,"ENTRADA")</f>
        <v/>
      </c>
      <c r="H768" s="13">
        <f>SUMIFS(Movimentacoes!$G:$G,Movimentacoes!$C:$C,$A768,Movimentacoes!$E:$E,$C768,Movimentacoes!$B:$B,"SAIDA_USO")</f>
        <v/>
      </c>
      <c r="I768" s="13">
        <f>SUMIFS(Movimentacoes!$G:$G,Movimentacoes!$C:$C,$A768,Movimentacoes!$E:$E,$C768,Movimentacoes!$B:$B,"SAIDA_DESCARTE")</f>
        <v/>
      </c>
      <c r="J768" s="13">
        <f>G768-H768-I768</f>
        <v/>
      </c>
      <c r="K768">
        <f>IF(A768="","",IF(J768&lt;=IFERROR(VLOOKUP(A768,Cadastro_Produtos!$A:$E,5,FALSE),0),"ABAIXO DO MINIMO","OK"))</f>
        <v/>
      </c>
    </row>
    <row r="769">
      <c r="B769">
        <f>IFERROR(VLOOKUP(A769,Cadastro_Produtos!A:B,2,FALSE),"")</f>
        <v/>
      </c>
      <c r="D769" s="12" t="n"/>
      <c r="E769" s="13">
        <f>IF(D769="","",D769-TODAY())</f>
        <v/>
      </c>
      <c r="F769">
        <f>IF(D769="","",IF(E769&lt;0,"VENCIDO",IF(E769&lt;=30,"VENCE EM &lt;= 30 DIAS",IF(E769&lt;=60,"ATENCAO (31-60 DIAS)","OK"))))</f>
        <v/>
      </c>
      <c r="G769" s="13">
        <f>SUMIFS(Movimentacoes!$G:$G,Movimentacoes!$C:$C,$A769,Movimentacoes!$E:$E,$C769,Movimentacoes!$B:$B,"ENTRADA")</f>
        <v/>
      </c>
      <c r="H769" s="13">
        <f>SUMIFS(Movimentacoes!$G:$G,Movimentacoes!$C:$C,$A769,Movimentacoes!$E:$E,$C769,Movimentacoes!$B:$B,"SAIDA_USO")</f>
        <v/>
      </c>
      <c r="I769" s="13">
        <f>SUMIFS(Movimentacoes!$G:$G,Movimentacoes!$C:$C,$A769,Movimentacoes!$E:$E,$C769,Movimentacoes!$B:$B,"SAIDA_DESCARTE")</f>
        <v/>
      </c>
      <c r="J769" s="13">
        <f>G769-H769-I769</f>
        <v/>
      </c>
      <c r="K769">
        <f>IF(A769="","",IF(J769&lt;=IFERROR(VLOOKUP(A769,Cadastro_Produtos!$A:$E,5,FALSE),0),"ABAIXO DO MINIMO","OK"))</f>
        <v/>
      </c>
    </row>
    <row r="770">
      <c r="B770">
        <f>IFERROR(VLOOKUP(A770,Cadastro_Produtos!A:B,2,FALSE),"")</f>
        <v/>
      </c>
      <c r="D770" s="12" t="n"/>
      <c r="E770" s="13">
        <f>IF(D770="","",D770-TODAY())</f>
        <v/>
      </c>
      <c r="F770">
        <f>IF(D770="","",IF(E770&lt;0,"VENCIDO",IF(E770&lt;=30,"VENCE EM &lt;= 30 DIAS",IF(E770&lt;=60,"ATENCAO (31-60 DIAS)","OK"))))</f>
        <v/>
      </c>
      <c r="G770" s="13">
        <f>SUMIFS(Movimentacoes!$G:$G,Movimentacoes!$C:$C,$A770,Movimentacoes!$E:$E,$C770,Movimentacoes!$B:$B,"ENTRADA")</f>
        <v/>
      </c>
      <c r="H770" s="13">
        <f>SUMIFS(Movimentacoes!$G:$G,Movimentacoes!$C:$C,$A770,Movimentacoes!$E:$E,$C770,Movimentacoes!$B:$B,"SAIDA_USO")</f>
        <v/>
      </c>
      <c r="I770" s="13">
        <f>SUMIFS(Movimentacoes!$G:$G,Movimentacoes!$C:$C,$A770,Movimentacoes!$E:$E,$C770,Movimentacoes!$B:$B,"SAIDA_DESCARTE")</f>
        <v/>
      </c>
      <c r="J770" s="13">
        <f>G770-H770-I770</f>
        <v/>
      </c>
      <c r="K770">
        <f>IF(A770="","",IF(J770&lt;=IFERROR(VLOOKUP(A770,Cadastro_Produtos!$A:$E,5,FALSE),0),"ABAIXO DO MINIMO","OK"))</f>
        <v/>
      </c>
    </row>
    <row r="771">
      <c r="B771">
        <f>IFERROR(VLOOKUP(A771,Cadastro_Produtos!A:B,2,FALSE),"")</f>
        <v/>
      </c>
      <c r="D771" s="12" t="n"/>
      <c r="E771" s="13">
        <f>IF(D771="","",D771-TODAY())</f>
        <v/>
      </c>
      <c r="F771">
        <f>IF(D771="","",IF(E771&lt;0,"VENCIDO",IF(E771&lt;=30,"VENCE EM &lt;= 30 DIAS",IF(E771&lt;=60,"ATENCAO (31-60 DIAS)","OK"))))</f>
        <v/>
      </c>
      <c r="G771" s="13">
        <f>SUMIFS(Movimentacoes!$G:$G,Movimentacoes!$C:$C,$A771,Movimentacoes!$E:$E,$C771,Movimentacoes!$B:$B,"ENTRADA")</f>
        <v/>
      </c>
      <c r="H771" s="13">
        <f>SUMIFS(Movimentacoes!$G:$G,Movimentacoes!$C:$C,$A771,Movimentacoes!$E:$E,$C771,Movimentacoes!$B:$B,"SAIDA_USO")</f>
        <v/>
      </c>
      <c r="I771" s="13">
        <f>SUMIFS(Movimentacoes!$G:$G,Movimentacoes!$C:$C,$A771,Movimentacoes!$E:$E,$C771,Movimentacoes!$B:$B,"SAIDA_DESCARTE")</f>
        <v/>
      </c>
      <c r="J771" s="13">
        <f>G771-H771-I771</f>
        <v/>
      </c>
      <c r="K771">
        <f>IF(A771="","",IF(J771&lt;=IFERROR(VLOOKUP(A771,Cadastro_Produtos!$A:$E,5,FALSE),0),"ABAIXO DO MINIMO","OK"))</f>
        <v/>
      </c>
    </row>
    <row r="772">
      <c r="B772">
        <f>IFERROR(VLOOKUP(A772,Cadastro_Produtos!A:B,2,FALSE),"")</f>
        <v/>
      </c>
      <c r="D772" s="12" t="n"/>
      <c r="E772" s="13">
        <f>IF(D772="","",D772-TODAY())</f>
        <v/>
      </c>
      <c r="F772">
        <f>IF(D772="","",IF(E772&lt;0,"VENCIDO",IF(E772&lt;=30,"VENCE EM &lt;= 30 DIAS",IF(E772&lt;=60,"ATENCAO (31-60 DIAS)","OK"))))</f>
        <v/>
      </c>
      <c r="G772" s="13">
        <f>SUMIFS(Movimentacoes!$G:$G,Movimentacoes!$C:$C,$A772,Movimentacoes!$E:$E,$C772,Movimentacoes!$B:$B,"ENTRADA")</f>
        <v/>
      </c>
      <c r="H772" s="13">
        <f>SUMIFS(Movimentacoes!$G:$G,Movimentacoes!$C:$C,$A772,Movimentacoes!$E:$E,$C772,Movimentacoes!$B:$B,"SAIDA_USO")</f>
        <v/>
      </c>
      <c r="I772" s="13">
        <f>SUMIFS(Movimentacoes!$G:$G,Movimentacoes!$C:$C,$A772,Movimentacoes!$E:$E,$C772,Movimentacoes!$B:$B,"SAIDA_DESCARTE")</f>
        <v/>
      </c>
      <c r="J772" s="13">
        <f>G772-H772-I772</f>
        <v/>
      </c>
      <c r="K772">
        <f>IF(A772="","",IF(J772&lt;=IFERROR(VLOOKUP(A772,Cadastro_Produtos!$A:$E,5,FALSE),0),"ABAIXO DO MINIMO","OK"))</f>
        <v/>
      </c>
    </row>
    <row r="773">
      <c r="B773">
        <f>IFERROR(VLOOKUP(A773,Cadastro_Produtos!A:B,2,FALSE),"")</f>
        <v/>
      </c>
      <c r="D773" s="12" t="n"/>
      <c r="E773" s="13">
        <f>IF(D773="","",D773-TODAY())</f>
        <v/>
      </c>
      <c r="F773">
        <f>IF(D773="","",IF(E773&lt;0,"VENCIDO",IF(E773&lt;=30,"VENCE EM &lt;= 30 DIAS",IF(E773&lt;=60,"ATENCAO (31-60 DIAS)","OK"))))</f>
        <v/>
      </c>
      <c r="G773" s="13">
        <f>SUMIFS(Movimentacoes!$G:$G,Movimentacoes!$C:$C,$A773,Movimentacoes!$E:$E,$C773,Movimentacoes!$B:$B,"ENTRADA")</f>
        <v/>
      </c>
      <c r="H773" s="13">
        <f>SUMIFS(Movimentacoes!$G:$G,Movimentacoes!$C:$C,$A773,Movimentacoes!$E:$E,$C773,Movimentacoes!$B:$B,"SAIDA_USO")</f>
        <v/>
      </c>
      <c r="I773" s="13">
        <f>SUMIFS(Movimentacoes!$G:$G,Movimentacoes!$C:$C,$A773,Movimentacoes!$E:$E,$C773,Movimentacoes!$B:$B,"SAIDA_DESCARTE")</f>
        <v/>
      </c>
      <c r="J773" s="13">
        <f>G773-H773-I773</f>
        <v/>
      </c>
      <c r="K773">
        <f>IF(A773="","",IF(J773&lt;=IFERROR(VLOOKUP(A773,Cadastro_Produtos!$A:$E,5,FALSE),0),"ABAIXO DO MINIMO","OK"))</f>
        <v/>
      </c>
    </row>
    <row r="774">
      <c r="B774">
        <f>IFERROR(VLOOKUP(A774,Cadastro_Produtos!A:B,2,FALSE),"")</f>
        <v/>
      </c>
      <c r="D774" s="12" t="n"/>
      <c r="E774" s="13">
        <f>IF(D774="","",D774-TODAY())</f>
        <v/>
      </c>
      <c r="F774">
        <f>IF(D774="","",IF(E774&lt;0,"VENCIDO",IF(E774&lt;=30,"VENCE EM &lt;= 30 DIAS",IF(E774&lt;=60,"ATENCAO (31-60 DIAS)","OK"))))</f>
        <v/>
      </c>
      <c r="G774" s="13">
        <f>SUMIFS(Movimentacoes!$G:$G,Movimentacoes!$C:$C,$A774,Movimentacoes!$E:$E,$C774,Movimentacoes!$B:$B,"ENTRADA")</f>
        <v/>
      </c>
      <c r="H774" s="13">
        <f>SUMIFS(Movimentacoes!$G:$G,Movimentacoes!$C:$C,$A774,Movimentacoes!$E:$E,$C774,Movimentacoes!$B:$B,"SAIDA_USO")</f>
        <v/>
      </c>
      <c r="I774" s="13">
        <f>SUMIFS(Movimentacoes!$G:$G,Movimentacoes!$C:$C,$A774,Movimentacoes!$E:$E,$C774,Movimentacoes!$B:$B,"SAIDA_DESCARTE")</f>
        <v/>
      </c>
      <c r="J774" s="13">
        <f>G774-H774-I774</f>
        <v/>
      </c>
      <c r="K774">
        <f>IF(A774="","",IF(J774&lt;=IFERROR(VLOOKUP(A774,Cadastro_Produtos!$A:$E,5,FALSE),0),"ABAIXO DO MINIMO","OK"))</f>
        <v/>
      </c>
    </row>
    <row r="775">
      <c r="B775">
        <f>IFERROR(VLOOKUP(A775,Cadastro_Produtos!A:B,2,FALSE),"")</f>
        <v/>
      </c>
      <c r="D775" s="12" t="n"/>
      <c r="E775" s="13">
        <f>IF(D775="","",D775-TODAY())</f>
        <v/>
      </c>
      <c r="F775">
        <f>IF(D775="","",IF(E775&lt;0,"VENCIDO",IF(E775&lt;=30,"VENCE EM &lt;= 30 DIAS",IF(E775&lt;=60,"ATENCAO (31-60 DIAS)","OK"))))</f>
        <v/>
      </c>
      <c r="G775" s="13">
        <f>SUMIFS(Movimentacoes!$G:$G,Movimentacoes!$C:$C,$A775,Movimentacoes!$E:$E,$C775,Movimentacoes!$B:$B,"ENTRADA")</f>
        <v/>
      </c>
      <c r="H775" s="13">
        <f>SUMIFS(Movimentacoes!$G:$G,Movimentacoes!$C:$C,$A775,Movimentacoes!$E:$E,$C775,Movimentacoes!$B:$B,"SAIDA_USO")</f>
        <v/>
      </c>
      <c r="I775" s="13">
        <f>SUMIFS(Movimentacoes!$G:$G,Movimentacoes!$C:$C,$A775,Movimentacoes!$E:$E,$C775,Movimentacoes!$B:$B,"SAIDA_DESCARTE")</f>
        <v/>
      </c>
      <c r="J775" s="13">
        <f>G775-H775-I775</f>
        <v/>
      </c>
      <c r="K775">
        <f>IF(A775="","",IF(J775&lt;=IFERROR(VLOOKUP(A775,Cadastro_Produtos!$A:$E,5,FALSE),0),"ABAIXO DO MINIMO","OK"))</f>
        <v/>
      </c>
    </row>
    <row r="776">
      <c r="B776">
        <f>IFERROR(VLOOKUP(A776,Cadastro_Produtos!A:B,2,FALSE),"")</f>
        <v/>
      </c>
      <c r="D776" s="12" t="n"/>
      <c r="E776" s="13">
        <f>IF(D776="","",D776-TODAY())</f>
        <v/>
      </c>
      <c r="F776">
        <f>IF(D776="","",IF(E776&lt;0,"VENCIDO",IF(E776&lt;=30,"VENCE EM &lt;= 30 DIAS",IF(E776&lt;=60,"ATENCAO (31-60 DIAS)","OK"))))</f>
        <v/>
      </c>
      <c r="G776" s="13">
        <f>SUMIFS(Movimentacoes!$G:$G,Movimentacoes!$C:$C,$A776,Movimentacoes!$E:$E,$C776,Movimentacoes!$B:$B,"ENTRADA")</f>
        <v/>
      </c>
      <c r="H776" s="13">
        <f>SUMIFS(Movimentacoes!$G:$G,Movimentacoes!$C:$C,$A776,Movimentacoes!$E:$E,$C776,Movimentacoes!$B:$B,"SAIDA_USO")</f>
        <v/>
      </c>
      <c r="I776" s="13">
        <f>SUMIFS(Movimentacoes!$G:$G,Movimentacoes!$C:$C,$A776,Movimentacoes!$E:$E,$C776,Movimentacoes!$B:$B,"SAIDA_DESCARTE")</f>
        <v/>
      </c>
      <c r="J776" s="13">
        <f>G776-H776-I776</f>
        <v/>
      </c>
      <c r="K776">
        <f>IF(A776="","",IF(J776&lt;=IFERROR(VLOOKUP(A776,Cadastro_Produtos!$A:$E,5,FALSE),0),"ABAIXO DO MINIMO","OK"))</f>
        <v/>
      </c>
    </row>
    <row r="777">
      <c r="B777">
        <f>IFERROR(VLOOKUP(A777,Cadastro_Produtos!A:B,2,FALSE),"")</f>
        <v/>
      </c>
      <c r="D777" s="12" t="n"/>
      <c r="E777" s="13">
        <f>IF(D777="","",D777-TODAY())</f>
        <v/>
      </c>
      <c r="F777">
        <f>IF(D777="","",IF(E777&lt;0,"VENCIDO",IF(E777&lt;=30,"VENCE EM &lt;= 30 DIAS",IF(E777&lt;=60,"ATENCAO (31-60 DIAS)","OK"))))</f>
        <v/>
      </c>
      <c r="G777" s="13">
        <f>SUMIFS(Movimentacoes!$G:$G,Movimentacoes!$C:$C,$A777,Movimentacoes!$E:$E,$C777,Movimentacoes!$B:$B,"ENTRADA")</f>
        <v/>
      </c>
      <c r="H777" s="13">
        <f>SUMIFS(Movimentacoes!$G:$G,Movimentacoes!$C:$C,$A777,Movimentacoes!$E:$E,$C777,Movimentacoes!$B:$B,"SAIDA_USO")</f>
        <v/>
      </c>
      <c r="I777" s="13">
        <f>SUMIFS(Movimentacoes!$G:$G,Movimentacoes!$C:$C,$A777,Movimentacoes!$E:$E,$C777,Movimentacoes!$B:$B,"SAIDA_DESCARTE")</f>
        <v/>
      </c>
      <c r="J777" s="13">
        <f>G777-H777-I777</f>
        <v/>
      </c>
      <c r="K777">
        <f>IF(A777="","",IF(J777&lt;=IFERROR(VLOOKUP(A777,Cadastro_Produtos!$A:$E,5,FALSE),0),"ABAIXO DO MINIMO","OK"))</f>
        <v/>
      </c>
    </row>
    <row r="778">
      <c r="B778">
        <f>IFERROR(VLOOKUP(A778,Cadastro_Produtos!A:B,2,FALSE),"")</f>
        <v/>
      </c>
      <c r="D778" s="12" t="n"/>
      <c r="E778" s="13">
        <f>IF(D778="","",D778-TODAY())</f>
        <v/>
      </c>
      <c r="F778">
        <f>IF(D778="","",IF(E778&lt;0,"VENCIDO",IF(E778&lt;=30,"VENCE EM &lt;= 30 DIAS",IF(E778&lt;=60,"ATENCAO (31-60 DIAS)","OK"))))</f>
        <v/>
      </c>
      <c r="G778" s="13">
        <f>SUMIFS(Movimentacoes!$G:$G,Movimentacoes!$C:$C,$A778,Movimentacoes!$E:$E,$C778,Movimentacoes!$B:$B,"ENTRADA")</f>
        <v/>
      </c>
      <c r="H778" s="13">
        <f>SUMIFS(Movimentacoes!$G:$G,Movimentacoes!$C:$C,$A778,Movimentacoes!$E:$E,$C778,Movimentacoes!$B:$B,"SAIDA_USO")</f>
        <v/>
      </c>
      <c r="I778" s="13">
        <f>SUMIFS(Movimentacoes!$G:$G,Movimentacoes!$C:$C,$A778,Movimentacoes!$E:$E,$C778,Movimentacoes!$B:$B,"SAIDA_DESCARTE")</f>
        <v/>
      </c>
      <c r="J778" s="13">
        <f>G778-H778-I778</f>
        <v/>
      </c>
      <c r="K778">
        <f>IF(A778="","",IF(J778&lt;=IFERROR(VLOOKUP(A778,Cadastro_Produtos!$A:$E,5,FALSE),0),"ABAIXO DO MINIMO","OK"))</f>
        <v/>
      </c>
    </row>
    <row r="779">
      <c r="B779">
        <f>IFERROR(VLOOKUP(A779,Cadastro_Produtos!A:B,2,FALSE),"")</f>
        <v/>
      </c>
      <c r="D779" s="12" t="n"/>
      <c r="E779" s="13">
        <f>IF(D779="","",D779-TODAY())</f>
        <v/>
      </c>
      <c r="F779">
        <f>IF(D779="","",IF(E779&lt;0,"VENCIDO",IF(E779&lt;=30,"VENCE EM &lt;= 30 DIAS",IF(E779&lt;=60,"ATENCAO (31-60 DIAS)","OK"))))</f>
        <v/>
      </c>
      <c r="G779" s="13">
        <f>SUMIFS(Movimentacoes!$G:$G,Movimentacoes!$C:$C,$A779,Movimentacoes!$E:$E,$C779,Movimentacoes!$B:$B,"ENTRADA")</f>
        <v/>
      </c>
      <c r="H779" s="13">
        <f>SUMIFS(Movimentacoes!$G:$G,Movimentacoes!$C:$C,$A779,Movimentacoes!$E:$E,$C779,Movimentacoes!$B:$B,"SAIDA_USO")</f>
        <v/>
      </c>
      <c r="I779" s="13">
        <f>SUMIFS(Movimentacoes!$G:$G,Movimentacoes!$C:$C,$A779,Movimentacoes!$E:$E,$C779,Movimentacoes!$B:$B,"SAIDA_DESCARTE")</f>
        <v/>
      </c>
      <c r="J779" s="13">
        <f>G779-H779-I779</f>
        <v/>
      </c>
      <c r="K779">
        <f>IF(A779="","",IF(J779&lt;=IFERROR(VLOOKUP(A779,Cadastro_Produtos!$A:$E,5,FALSE),0),"ABAIXO DO MINIMO","OK"))</f>
        <v/>
      </c>
    </row>
    <row r="780">
      <c r="B780">
        <f>IFERROR(VLOOKUP(A780,Cadastro_Produtos!A:B,2,FALSE),"")</f>
        <v/>
      </c>
      <c r="D780" s="12" t="n"/>
      <c r="E780" s="13">
        <f>IF(D780="","",D780-TODAY())</f>
        <v/>
      </c>
      <c r="F780">
        <f>IF(D780="","",IF(E780&lt;0,"VENCIDO",IF(E780&lt;=30,"VENCE EM &lt;= 30 DIAS",IF(E780&lt;=60,"ATENCAO (31-60 DIAS)","OK"))))</f>
        <v/>
      </c>
      <c r="G780" s="13">
        <f>SUMIFS(Movimentacoes!$G:$G,Movimentacoes!$C:$C,$A780,Movimentacoes!$E:$E,$C780,Movimentacoes!$B:$B,"ENTRADA")</f>
        <v/>
      </c>
      <c r="H780" s="13">
        <f>SUMIFS(Movimentacoes!$G:$G,Movimentacoes!$C:$C,$A780,Movimentacoes!$E:$E,$C780,Movimentacoes!$B:$B,"SAIDA_USO")</f>
        <v/>
      </c>
      <c r="I780" s="13">
        <f>SUMIFS(Movimentacoes!$G:$G,Movimentacoes!$C:$C,$A780,Movimentacoes!$E:$E,$C780,Movimentacoes!$B:$B,"SAIDA_DESCARTE")</f>
        <v/>
      </c>
      <c r="J780" s="13">
        <f>G780-H780-I780</f>
        <v/>
      </c>
      <c r="K780">
        <f>IF(A780="","",IF(J780&lt;=IFERROR(VLOOKUP(A780,Cadastro_Produtos!$A:$E,5,FALSE),0),"ABAIXO DO MINIMO","OK"))</f>
        <v/>
      </c>
    </row>
    <row r="781">
      <c r="B781">
        <f>IFERROR(VLOOKUP(A781,Cadastro_Produtos!A:B,2,FALSE),"")</f>
        <v/>
      </c>
      <c r="D781" s="12" t="n"/>
      <c r="E781" s="13">
        <f>IF(D781="","",D781-TODAY())</f>
        <v/>
      </c>
      <c r="F781">
        <f>IF(D781="","",IF(E781&lt;0,"VENCIDO",IF(E781&lt;=30,"VENCE EM &lt;= 30 DIAS",IF(E781&lt;=60,"ATENCAO (31-60 DIAS)","OK"))))</f>
        <v/>
      </c>
      <c r="G781" s="13">
        <f>SUMIFS(Movimentacoes!$G:$G,Movimentacoes!$C:$C,$A781,Movimentacoes!$E:$E,$C781,Movimentacoes!$B:$B,"ENTRADA")</f>
        <v/>
      </c>
      <c r="H781" s="13">
        <f>SUMIFS(Movimentacoes!$G:$G,Movimentacoes!$C:$C,$A781,Movimentacoes!$E:$E,$C781,Movimentacoes!$B:$B,"SAIDA_USO")</f>
        <v/>
      </c>
      <c r="I781" s="13">
        <f>SUMIFS(Movimentacoes!$G:$G,Movimentacoes!$C:$C,$A781,Movimentacoes!$E:$E,$C781,Movimentacoes!$B:$B,"SAIDA_DESCARTE")</f>
        <v/>
      </c>
      <c r="J781" s="13">
        <f>G781-H781-I781</f>
        <v/>
      </c>
      <c r="K781">
        <f>IF(A781="","",IF(J781&lt;=IFERROR(VLOOKUP(A781,Cadastro_Produtos!$A:$E,5,FALSE),0),"ABAIXO DO MINIMO","OK"))</f>
        <v/>
      </c>
    </row>
    <row r="782">
      <c r="B782">
        <f>IFERROR(VLOOKUP(A782,Cadastro_Produtos!A:B,2,FALSE),"")</f>
        <v/>
      </c>
      <c r="D782" s="12" t="n"/>
      <c r="E782" s="13">
        <f>IF(D782="","",D782-TODAY())</f>
        <v/>
      </c>
      <c r="F782">
        <f>IF(D782="","",IF(E782&lt;0,"VENCIDO",IF(E782&lt;=30,"VENCE EM &lt;= 30 DIAS",IF(E782&lt;=60,"ATENCAO (31-60 DIAS)","OK"))))</f>
        <v/>
      </c>
      <c r="G782" s="13">
        <f>SUMIFS(Movimentacoes!$G:$G,Movimentacoes!$C:$C,$A782,Movimentacoes!$E:$E,$C782,Movimentacoes!$B:$B,"ENTRADA")</f>
        <v/>
      </c>
      <c r="H782" s="13">
        <f>SUMIFS(Movimentacoes!$G:$G,Movimentacoes!$C:$C,$A782,Movimentacoes!$E:$E,$C782,Movimentacoes!$B:$B,"SAIDA_USO")</f>
        <v/>
      </c>
      <c r="I782" s="13">
        <f>SUMIFS(Movimentacoes!$G:$G,Movimentacoes!$C:$C,$A782,Movimentacoes!$E:$E,$C782,Movimentacoes!$B:$B,"SAIDA_DESCARTE")</f>
        <v/>
      </c>
      <c r="J782" s="13">
        <f>G782-H782-I782</f>
        <v/>
      </c>
      <c r="K782">
        <f>IF(A782="","",IF(J782&lt;=IFERROR(VLOOKUP(A782,Cadastro_Produtos!$A:$E,5,FALSE),0),"ABAIXO DO MINIMO","OK"))</f>
        <v/>
      </c>
    </row>
    <row r="783">
      <c r="B783">
        <f>IFERROR(VLOOKUP(A783,Cadastro_Produtos!A:B,2,FALSE),"")</f>
        <v/>
      </c>
      <c r="D783" s="12" t="n"/>
      <c r="E783" s="13">
        <f>IF(D783="","",D783-TODAY())</f>
        <v/>
      </c>
      <c r="F783">
        <f>IF(D783="","",IF(E783&lt;0,"VENCIDO",IF(E783&lt;=30,"VENCE EM &lt;= 30 DIAS",IF(E783&lt;=60,"ATENCAO (31-60 DIAS)","OK"))))</f>
        <v/>
      </c>
      <c r="G783" s="13">
        <f>SUMIFS(Movimentacoes!$G:$G,Movimentacoes!$C:$C,$A783,Movimentacoes!$E:$E,$C783,Movimentacoes!$B:$B,"ENTRADA")</f>
        <v/>
      </c>
      <c r="H783" s="13">
        <f>SUMIFS(Movimentacoes!$G:$G,Movimentacoes!$C:$C,$A783,Movimentacoes!$E:$E,$C783,Movimentacoes!$B:$B,"SAIDA_USO")</f>
        <v/>
      </c>
      <c r="I783" s="13">
        <f>SUMIFS(Movimentacoes!$G:$G,Movimentacoes!$C:$C,$A783,Movimentacoes!$E:$E,$C783,Movimentacoes!$B:$B,"SAIDA_DESCARTE")</f>
        <v/>
      </c>
      <c r="J783" s="13">
        <f>G783-H783-I783</f>
        <v/>
      </c>
      <c r="K783">
        <f>IF(A783="","",IF(J783&lt;=IFERROR(VLOOKUP(A783,Cadastro_Produtos!$A:$E,5,FALSE),0),"ABAIXO DO MINIMO","OK"))</f>
        <v/>
      </c>
    </row>
    <row r="784">
      <c r="B784">
        <f>IFERROR(VLOOKUP(A784,Cadastro_Produtos!A:B,2,FALSE),"")</f>
        <v/>
      </c>
      <c r="D784" s="12" t="n"/>
      <c r="E784" s="13">
        <f>IF(D784="","",D784-TODAY())</f>
        <v/>
      </c>
      <c r="F784">
        <f>IF(D784="","",IF(E784&lt;0,"VENCIDO",IF(E784&lt;=30,"VENCE EM &lt;= 30 DIAS",IF(E784&lt;=60,"ATENCAO (31-60 DIAS)","OK"))))</f>
        <v/>
      </c>
      <c r="G784" s="13">
        <f>SUMIFS(Movimentacoes!$G:$G,Movimentacoes!$C:$C,$A784,Movimentacoes!$E:$E,$C784,Movimentacoes!$B:$B,"ENTRADA")</f>
        <v/>
      </c>
      <c r="H784" s="13">
        <f>SUMIFS(Movimentacoes!$G:$G,Movimentacoes!$C:$C,$A784,Movimentacoes!$E:$E,$C784,Movimentacoes!$B:$B,"SAIDA_USO")</f>
        <v/>
      </c>
      <c r="I784" s="13">
        <f>SUMIFS(Movimentacoes!$G:$G,Movimentacoes!$C:$C,$A784,Movimentacoes!$E:$E,$C784,Movimentacoes!$B:$B,"SAIDA_DESCARTE")</f>
        <v/>
      </c>
      <c r="J784" s="13">
        <f>G784-H784-I784</f>
        <v/>
      </c>
      <c r="K784">
        <f>IF(A784="","",IF(J784&lt;=IFERROR(VLOOKUP(A784,Cadastro_Produtos!$A:$E,5,FALSE),0),"ABAIXO DO MINIMO","OK"))</f>
        <v/>
      </c>
    </row>
    <row r="785">
      <c r="B785">
        <f>IFERROR(VLOOKUP(A785,Cadastro_Produtos!A:B,2,FALSE),"")</f>
        <v/>
      </c>
      <c r="D785" s="12" t="n"/>
      <c r="E785" s="13">
        <f>IF(D785="","",D785-TODAY())</f>
        <v/>
      </c>
      <c r="F785">
        <f>IF(D785="","",IF(E785&lt;0,"VENCIDO",IF(E785&lt;=30,"VENCE EM &lt;= 30 DIAS",IF(E785&lt;=60,"ATENCAO (31-60 DIAS)","OK"))))</f>
        <v/>
      </c>
      <c r="G785" s="13">
        <f>SUMIFS(Movimentacoes!$G:$G,Movimentacoes!$C:$C,$A785,Movimentacoes!$E:$E,$C785,Movimentacoes!$B:$B,"ENTRADA")</f>
        <v/>
      </c>
      <c r="H785" s="13">
        <f>SUMIFS(Movimentacoes!$G:$G,Movimentacoes!$C:$C,$A785,Movimentacoes!$E:$E,$C785,Movimentacoes!$B:$B,"SAIDA_USO")</f>
        <v/>
      </c>
      <c r="I785" s="13">
        <f>SUMIFS(Movimentacoes!$G:$G,Movimentacoes!$C:$C,$A785,Movimentacoes!$E:$E,$C785,Movimentacoes!$B:$B,"SAIDA_DESCARTE")</f>
        <v/>
      </c>
      <c r="J785" s="13">
        <f>G785-H785-I785</f>
        <v/>
      </c>
      <c r="K785">
        <f>IF(A785="","",IF(J785&lt;=IFERROR(VLOOKUP(A785,Cadastro_Produtos!$A:$E,5,FALSE),0),"ABAIXO DO MINIMO","OK"))</f>
        <v/>
      </c>
    </row>
    <row r="786">
      <c r="B786">
        <f>IFERROR(VLOOKUP(A786,Cadastro_Produtos!A:B,2,FALSE),"")</f>
        <v/>
      </c>
      <c r="D786" s="12" t="n"/>
      <c r="E786" s="13">
        <f>IF(D786="","",D786-TODAY())</f>
        <v/>
      </c>
      <c r="F786">
        <f>IF(D786="","",IF(E786&lt;0,"VENCIDO",IF(E786&lt;=30,"VENCE EM &lt;= 30 DIAS",IF(E786&lt;=60,"ATENCAO (31-60 DIAS)","OK"))))</f>
        <v/>
      </c>
      <c r="G786" s="13">
        <f>SUMIFS(Movimentacoes!$G:$G,Movimentacoes!$C:$C,$A786,Movimentacoes!$E:$E,$C786,Movimentacoes!$B:$B,"ENTRADA")</f>
        <v/>
      </c>
      <c r="H786" s="13">
        <f>SUMIFS(Movimentacoes!$G:$G,Movimentacoes!$C:$C,$A786,Movimentacoes!$E:$E,$C786,Movimentacoes!$B:$B,"SAIDA_USO")</f>
        <v/>
      </c>
      <c r="I786" s="13">
        <f>SUMIFS(Movimentacoes!$G:$G,Movimentacoes!$C:$C,$A786,Movimentacoes!$E:$E,$C786,Movimentacoes!$B:$B,"SAIDA_DESCARTE")</f>
        <v/>
      </c>
      <c r="J786" s="13">
        <f>G786-H786-I786</f>
        <v/>
      </c>
      <c r="K786">
        <f>IF(A786="","",IF(J786&lt;=IFERROR(VLOOKUP(A786,Cadastro_Produtos!$A:$E,5,FALSE),0),"ABAIXO DO MINIMO","OK"))</f>
        <v/>
      </c>
    </row>
    <row r="787">
      <c r="B787">
        <f>IFERROR(VLOOKUP(A787,Cadastro_Produtos!A:B,2,FALSE),"")</f>
        <v/>
      </c>
      <c r="D787" s="12" t="n"/>
      <c r="E787" s="13">
        <f>IF(D787="","",D787-TODAY())</f>
        <v/>
      </c>
      <c r="F787">
        <f>IF(D787="","",IF(E787&lt;0,"VENCIDO",IF(E787&lt;=30,"VENCE EM &lt;= 30 DIAS",IF(E787&lt;=60,"ATENCAO (31-60 DIAS)","OK"))))</f>
        <v/>
      </c>
      <c r="G787" s="13">
        <f>SUMIFS(Movimentacoes!$G:$G,Movimentacoes!$C:$C,$A787,Movimentacoes!$E:$E,$C787,Movimentacoes!$B:$B,"ENTRADA")</f>
        <v/>
      </c>
      <c r="H787" s="13">
        <f>SUMIFS(Movimentacoes!$G:$G,Movimentacoes!$C:$C,$A787,Movimentacoes!$E:$E,$C787,Movimentacoes!$B:$B,"SAIDA_USO")</f>
        <v/>
      </c>
      <c r="I787" s="13">
        <f>SUMIFS(Movimentacoes!$G:$G,Movimentacoes!$C:$C,$A787,Movimentacoes!$E:$E,$C787,Movimentacoes!$B:$B,"SAIDA_DESCARTE")</f>
        <v/>
      </c>
      <c r="J787" s="13">
        <f>G787-H787-I787</f>
        <v/>
      </c>
      <c r="K787">
        <f>IF(A787="","",IF(J787&lt;=IFERROR(VLOOKUP(A787,Cadastro_Produtos!$A:$E,5,FALSE),0),"ABAIXO DO MINIMO","OK"))</f>
        <v/>
      </c>
    </row>
    <row r="788">
      <c r="B788">
        <f>IFERROR(VLOOKUP(A788,Cadastro_Produtos!A:B,2,FALSE),"")</f>
        <v/>
      </c>
      <c r="D788" s="12" t="n"/>
      <c r="E788" s="13">
        <f>IF(D788="","",D788-TODAY())</f>
        <v/>
      </c>
      <c r="F788">
        <f>IF(D788="","",IF(E788&lt;0,"VENCIDO",IF(E788&lt;=30,"VENCE EM &lt;= 30 DIAS",IF(E788&lt;=60,"ATENCAO (31-60 DIAS)","OK"))))</f>
        <v/>
      </c>
      <c r="G788" s="13">
        <f>SUMIFS(Movimentacoes!$G:$G,Movimentacoes!$C:$C,$A788,Movimentacoes!$E:$E,$C788,Movimentacoes!$B:$B,"ENTRADA")</f>
        <v/>
      </c>
      <c r="H788" s="13">
        <f>SUMIFS(Movimentacoes!$G:$G,Movimentacoes!$C:$C,$A788,Movimentacoes!$E:$E,$C788,Movimentacoes!$B:$B,"SAIDA_USO")</f>
        <v/>
      </c>
      <c r="I788" s="13">
        <f>SUMIFS(Movimentacoes!$G:$G,Movimentacoes!$C:$C,$A788,Movimentacoes!$E:$E,$C788,Movimentacoes!$B:$B,"SAIDA_DESCARTE")</f>
        <v/>
      </c>
      <c r="J788" s="13">
        <f>G788-H788-I788</f>
        <v/>
      </c>
      <c r="K788">
        <f>IF(A788="","",IF(J788&lt;=IFERROR(VLOOKUP(A788,Cadastro_Produtos!$A:$E,5,FALSE),0),"ABAIXO DO MINIMO","OK"))</f>
        <v/>
      </c>
    </row>
    <row r="789">
      <c r="B789">
        <f>IFERROR(VLOOKUP(A789,Cadastro_Produtos!A:B,2,FALSE),"")</f>
        <v/>
      </c>
      <c r="D789" s="12" t="n"/>
      <c r="E789" s="13">
        <f>IF(D789="","",D789-TODAY())</f>
        <v/>
      </c>
      <c r="F789">
        <f>IF(D789="","",IF(E789&lt;0,"VENCIDO",IF(E789&lt;=30,"VENCE EM &lt;= 30 DIAS",IF(E789&lt;=60,"ATENCAO (31-60 DIAS)","OK"))))</f>
        <v/>
      </c>
      <c r="G789" s="13">
        <f>SUMIFS(Movimentacoes!$G:$G,Movimentacoes!$C:$C,$A789,Movimentacoes!$E:$E,$C789,Movimentacoes!$B:$B,"ENTRADA")</f>
        <v/>
      </c>
      <c r="H789" s="13">
        <f>SUMIFS(Movimentacoes!$G:$G,Movimentacoes!$C:$C,$A789,Movimentacoes!$E:$E,$C789,Movimentacoes!$B:$B,"SAIDA_USO")</f>
        <v/>
      </c>
      <c r="I789" s="13">
        <f>SUMIFS(Movimentacoes!$G:$G,Movimentacoes!$C:$C,$A789,Movimentacoes!$E:$E,$C789,Movimentacoes!$B:$B,"SAIDA_DESCARTE")</f>
        <v/>
      </c>
      <c r="J789" s="13">
        <f>G789-H789-I789</f>
        <v/>
      </c>
      <c r="K789">
        <f>IF(A789="","",IF(J789&lt;=IFERROR(VLOOKUP(A789,Cadastro_Produtos!$A:$E,5,FALSE),0),"ABAIXO DO MINIMO","OK"))</f>
        <v/>
      </c>
    </row>
    <row r="790">
      <c r="B790">
        <f>IFERROR(VLOOKUP(A790,Cadastro_Produtos!A:B,2,FALSE),"")</f>
        <v/>
      </c>
      <c r="D790" s="12" t="n"/>
      <c r="E790" s="13">
        <f>IF(D790="","",D790-TODAY())</f>
        <v/>
      </c>
      <c r="F790">
        <f>IF(D790="","",IF(E790&lt;0,"VENCIDO",IF(E790&lt;=30,"VENCE EM &lt;= 30 DIAS",IF(E790&lt;=60,"ATENCAO (31-60 DIAS)","OK"))))</f>
        <v/>
      </c>
      <c r="G790" s="13">
        <f>SUMIFS(Movimentacoes!$G:$G,Movimentacoes!$C:$C,$A790,Movimentacoes!$E:$E,$C790,Movimentacoes!$B:$B,"ENTRADA")</f>
        <v/>
      </c>
      <c r="H790" s="13">
        <f>SUMIFS(Movimentacoes!$G:$G,Movimentacoes!$C:$C,$A790,Movimentacoes!$E:$E,$C790,Movimentacoes!$B:$B,"SAIDA_USO")</f>
        <v/>
      </c>
      <c r="I790" s="13">
        <f>SUMIFS(Movimentacoes!$G:$G,Movimentacoes!$C:$C,$A790,Movimentacoes!$E:$E,$C790,Movimentacoes!$B:$B,"SAIDA_DESCARTE")</f>
        <v/>
      </c>
      <c r="J790" s="13">
        <f>G790-H790-I790</f>
        <v/>
      </c>
      <c r="K790">
        <f>IF(A790="","",IF(J790&lt;=IFERROR(VLOOKUP(A790,Cadastro_Produtos!$A:$E,5,FALSE),0),"ABAIXO DO MINIMO","OK"))</f>
        <v/>
      </c>
    </row>
    <row r="791">
      <c r="B791">
        <f>IFERROR(VLOOKUP(A791,Cadastro_Produtos!A:B,2,FALSE),"")</f>
        <v/>
      </c>
      <c r="D791" s="12" t="n"/>
      <c r="E791" s="13">
        <f>IF(D791="","",D791-TODAY())</f>
        <v/>
      </c>
      <c r="F791">
        <f>IF(D791="","",IF(E791&lt;0,"VENCIDO",IF(E791&lt;=30,"VENCE EM &lt;= 30 DIAS",IF(E791&lt;=60,"ATENCAO (31-60 DIAS)","OK"))))</f>
        <v/>
      </c>
      <c r="G791" s="13">
        <f>SUMIFS(Movimentacoes!$G:$G,Movimentacoes!$C:$C,$A791,Movimentacoes!$E:$E,$C791,Movimentacoes!$B:$B,"ENTRADA")</f>
        <v/>
      </c>
      <c r="H791" s="13">
        <f>SUMIFS(Movimentacoes!$G:$G,Movimentacoes!$C:$C,$A791,Movimentacoes!$E:$E,$C791,Movimentacoes!$B:$B,"SAIDA_USO")</f>
        <v/>
      </c>
      <c r="I791" s="13">
        <f>SUMIFS(Movimentacoes!$G:$G,Movimentacoes!$C:$C,$A791,Movimentacoes!$E:$E,$C791,Movimentacoes!$B:$B,"SAIDA_DESCARTE")</f>
        <v/>
      </c>
      <c r="J791" s="13">
        <f>G791-H791-I791</f>
        <v/>
      </c>
      <c r="K791">
        <f>IF(A791="","",IF(J791&lt;=IFERROR(VLOOKUP(A791,Cadastro_Produtos!$A:$E,5,FALSE),0),"ABAIXO DO MINIMO","OK"))</f>
        <v/>
      </c>
    </row>
    <row r="792">
      <c r="B792">
        <f>IFERROR(VLOOKUP(A792,Cadastro_Produtos!A:B,2,FALSE),"")</f>
        <v/>
      </c>
      <c r="D792" s="12" t="n"/>
      <c r="E792" s="13">
        <f>IF(D792="","",D792-TODAY())</f>
        <v/>
      </c>
      <c r="F792">
        <f>IF(D792="","",IF(E792&lt;0,"VENCIDO",IF(E792&lt;=30,"VENCE EM &lt;= 30 DIAS",IF(E792&lt;=60,"ATENCAO (31-60 DIAS)","OK"))))</f>
        <v/>
      </c>
      <c r="G792" s="13">
        <f>SUMIFS(Movimentacoes!$G:$G,Movimentacoes!$C:$C,$A792,Movimentacoes!$E:$E,$C792,Movimentacoes!$B:$B,"ENTRADA")</f>
        <v/>
      </c>
      <c r="H792" s="13">
        <f>SUMIFS(Movimentacoes!$G:$G,Movimentacoes!$C:$C,$A792,Movimentacoes!$E:$E,$C792,Movimentacoes!$B:$B,"SAIDA_USO")</f>
        <v/>
      </c>
      <c r="I792" s="13">
        <f>SUMIFS(Movimentacoes!$G:$G,Movimentacoes!$C:$C,$A792,Movimentacoes!$E:$E,$C792,Movimentacoes!$B:$B,"SAIDA_DESCARTE")</f>
        <v/>
      </c>
      <c r="J792" s="13">
        <f>G792-H792-I792</f>
        <v/>
      </c>
      <c r="K792">
        <f>IF(A792="","",IF(J792&lt;=IFERROR(VLOOKUP(A792,Cadastro_Produtos!$A:$E,5,FALSE),0),"ABAIXO DO MINIMO","OK"))</f>
        <v/>
      </c>
    </row>
    <row r="793">
      <c r="B793">
        <f>IFERROR(VLOOKUP(A793,Cadastro_Produtos!A:B,2,FALSE),"")</f>
        <v/>
      </c>
      <c r="D793" s="12" t="n"/>
      <c r="E793" s="13">
        <f>IF(D793="","",D793-TODAY())</f>
        <v/>
      </c>
      <c r="F793">
        <f>IF(D793="","",IF(E793&lt;0,"VENCIDO",IF(E793&lt;=30,"VENCE EM &lt;= 30 DIAS",IF(E793&lt;=60,"ATENCAO (31-60 DIAS)","OK"))))</f>
        <v/>
      </c>
      <c r="G793" s="13">
        <f>SUMIFS(Movimentacoes!$G:$G,Movimentacoes!$C:$C,$A793,Movimentacoes!$E:$E,$C793,Movimentacoes!$B:$B,"ENTRADA")</f>
        <v/>
      </c>
      <c r="H793" s="13">
        <f>SUMIFS(Movimentacoes!$G:$G,Movimentacoes!$C:$C,$A793,Movimentacoes!$E:$E,$C793,Movimentacoes!$B:$B,"SAIDA_USO")</f>
        <v/>
      </c>
      <c r="I793" s="13">
        <f>SUMIFS(Movimentacoes!$G:$G,Movimentacoes!$C:$C,$A793,Movimentacoes!$E:$E,$C793,Movimentacoes!$B:$B,"SAIDA_DESCARTE")</f>
        <v/>
      </c>
      <c r="J793" s="13">
        <f>G793-H793-I793</f>
        <v/>
      </c>
      <c r="K793">
        <f>IF(A793="","",IF(J793&lt;=IFERROR(VLOOKUP(A793,Cadastro_Produtos!$A:$E,5,FALSE),0),"ABAIXO DO MINIMO","OK"))</f>
        <v/>
      </c>
    </row>
    <row r="794">
      <c r="B794">
        <f>IFERROR(VLOOKUP(A794,Cadastro_Produtos!A:B,2,FALSE),"")</f>
        <v/>
      </c>
      <c r="D794" s="12" t="n"/>
      <c r="E794" s="13">
        <f>IF(D794="","",D794-TODAY())</f>
        <v/>
      </c>
      <c r="F794">
        <f>IF(D794="","",IF(E794&lt;0,"VENCIDO",IF(E794&lt;=30,"VENCE EM &lt;= 30 DIAS",IF(E794&lt;=60,"ATENCAO (31-60 DIAS)","OK"))))</f>
        <v/>
      </c>
      <c r="G794" s="13">
        <f>SUMIFS(Movimentacoes!$G:$G,Movimentacoes!$C:$C,$A794,Movimentacoes!$E:$E,$C794,Movimentacoes!$B:$B,"ENTRADA")</f>
        <v/>
      </c>
      <c r="H794" s="13">
        <f>SUMIFS(Movimentacoes!$G:$G,Movimentacoes!$C:$C,$A794,Movimentacoes!$E:$E,$C794,Movimentacoes!$B:$B,"SAIDA_USO")</f>
        <v/>
      </c>
      <c r="I794" s="13">
        <f>SUMIFS(Movimentacoes!$G:$G,Movimentacoes!$C:$C,$A794,Movimentacoes!$E:$E,$C794,Movimentacoes!$B:$B,"SAIDA_DESCARTE")</f>
        <v/>
      </c>
      <c r="J794" s="13">
        <f>G794-H794-I794</f>
        <v/>
      </c>
      <c r="K794">
        <f>IF(A794="","",IF(J794&lt;=IFERROR(VLOOKUP(A794,Cadastro_Produtos!$A:$E,5,FALSE),0),"ABAIXO DO MINIMO","OK"))</f>
        <v/>
      </c>
    </row>
    <row r="795">
      <c r="B795">
        <f>IFERROR(VLOOKUP(A795,Cadastro_Produtos!A:B,2,FALSE),"")</f>
        <v/>
      </c>
      <c r="D795" s="12" t="n"/>
      <c r="E795" s="13">
        <f>IF(D795="","",D795-TODAY())</f>
        <v/>
      </c>
      <c r="F795">
        <f>IF(D795="","",IF(E795&lt;0,"VENCIDO",IF(E795&lt;=30,"VENCE EM &lt;= 30 DIAS",IF(E795&lt;=60,"ATENCAO (31-60 DIAS)","OK"))))</f>
        <v/>
      </c>
      <c r="G795" s="13">
        <f>SUMIFS(Movimentacoes!$G:$G,Movimentacoes!$C:$C,$A795,Movimentacoes!$E:$E,$C795,Movimentacoes!$B:$B,"ENTRADA")</f>
        <v/>
      </c>
      <c r="H795" s="13">
        <f>SUMIFS(Movimentacoes!$G:$G,Movimentacoes!$C:$C,$A795,Movimentacoes!$E:$E,$C795,Movimentacoes!$B:$B,"SAIDA_USO")</f>
        <v/>
      </c>
      <c r="I795" s="13">
        <f>SUMIFS(Movimentacoes!$G:$G,Movimentacoes!$C:$C,$A795,Movimentacoes!$E:$E,$C795,Movimentacoes!$B:$B,"SAIDA_DESCARTE")</f>
        <v/>
      </c>
      <c r="J795" s="13">
        <f>G795-H795-I795</f>
        <v/>
      </c>
      <c r="K795">
        <f>IF(A795="","",IF(J795&lt;=IFERROR(VLOOKUP(A795,Cadastro_Produtos!$A:$E,5,FALSE),0),"ABAIXO DO MINIMO","OK"))</f>
        <v/>
      </c>
    </row>
    <row r="796">
      <c r="B796">
        <f>IFERROR(VLOOKUP(A796,Cadastro_Produtos!A:B,2,FALSE),"")</f>
        <v/>
      </c>
      <c r="D796" s="12" t="n"/>
      <c r="E796" s="13">
        <f>IF(D796="","",D796-TODAY())</f>
        <v/>
      </c>
      <c r="F796">
        <f>IF(D796="","",IF(E796&lt;0,"VENCIDO",IF(E796&lt;=30,"VENCE EM &lt;= 30 DIAS",IF(E796&lt;=60,"ATENCAO (31-60 DIAS)","OK"))))</f>
        <v/>
      </c>
      <c r="G796" s="13">
        <f>SUMIFS(Movimentacoes!$G:$G,Movimentacoes!$C:$C,$A796,Movimentacoes!$E:$E,$C796,Movimentacoes!$B:$B,"ENTRADA")</f>
        <v/>
      </c>
      <c r="H796" s="13">
        <f>SUMIFS(Movimentacoes!$G:$G,Movimentacoes!$C:$C,$A796,Movimentacoes!$E:$E,$C796,Movimentacoes!$B:$B,"SAIDA_USO")</f>
        <v/>
      </c>
      <c r="I796" s="13">
        <f>SUMIFS(Movimentacoes!$G:$G,Movimentacoes!$C:$C,$A796,Movimentacoes!$E:$E,$C796,Movimentacoes!$B:$B,"SAIDA_DESCARTE")</f>
        <v/>
      </c>
      <c r="J796" s="13">
        <f>G796-H796-I796</f>
        <v/>
      </c>
      <c r="K796">
        <f>IF(A796="","",IF(J796&lt;=IFERROR(VLOOKUP(A796,Cadastro_Produtos!$A:$E,5,FALSE),0),"ABAIXO DO MINIMO","OK"))</f>
        <v/>
      </c>
    </row>
    <row r="797">
      <c r="B797">
        <f>IFERROR(VLOOKUP(A797,Cadastro_Produtos!A:B,2,FALSE),"")</f>
        <v/>
      </c>
      <c r="D797" s="12" t="n"/>
      <c r="E797" s="13">
        <f>IF(D797="","",D797-TODAY())</f>
        <v/>
      </c>
      <c r="F797">
        <f>IF(D797="","",IF(E797&lt;0,"VENCIDO",IF(E797&lt;=30,"VENCE EM &lt;= 30 DIAS",IF(E797&lt;=60,"ATENCAO (31-60 DIAS)","OK"))))</f>
        <v/>
      </c>
      <c r="G797" s="13">
        <f>SUMIFS(Movimentacoes!$G:$G,Movimentacoes!$C:$C,$A797,Movimentacoes!$E:$E,$C797,Movimentacoes!$B:$B,"ENTRADA")</f>
        <v/>
      </c>
      <c r="H797" s="13">
        <f>SUMIFS(Movimentacoes!$G:$G,Movimentacoes!$C:$C,$A797,Movimentacoes!$E:$E,$C797,Movimentacoes!$B:$B,"SAIDA_USO")</f>
        <v/>
      </c>
      <c r="I797" s="13">
        <f>SUMIFS(Movimentacoes!$G:$G,Movimentacoes!$C:$C,$A797,Movimentacoes!$E:$E,$C797,Movimentacoes!$B:$B,"SAIDA_DESCARTE")</f>
        <v/>
      </c>
      <c r="J797" s="13">
        <f>G797-H797-I797</f>
        <v/>
      </c>
      <c r="K797">
        <f>IF(A797="","",IF(J797&lt;=IFERROR(VLOOKUP(A797,Cadastro_Produtos!$A:$E,5,FALSE),0),"ABAIXO DO MINIMO","OK"))</f>
        <v/>
      </c>
    </row>
    <row r="798">
      <c r="B798">
        <f>IFERROR(VLOOKUP(A798,Cadastro_Produtos!A:B,2,FALSE),"")</f>
        <v/>
      </c>
      <c r="D798" s="12" t="n"/>
      <c r="E798" s="13">
        <f>IF(D798="","",D798-TODAY())</f>
        <v/>
      </c>
      <c r="F798">
        <f>IF(D798="","",IF(E798&lt;0,"VENCIDO",IF(E798&lt;=30,"VENCE EM &lt;= 30 DIAS",IF(E798&lt;=60,"ATENCAO (31-60 DIAS)","OK"))))</f>
        <v/>
      </c>
      <c r="G798" s="13">
        <f>SUMIFS(Movimentacoes!$G:$G,Movimentacoes!$C:$C,$A798,Movimentacoes!$E:$E,$C798,Movimentacoes!$B:$B,"ENTRADA")</f>
        <v/>
      </c>
      <c r="H798" s="13">
        <f>SUMIFS(Movimentacoes!$G:$G,Movimentacoes!$C:$C,$A798,Movimentacoes!$E:$E,$C798,Movimentacoes!$B:$B,"SAIDA_USO")</f>
        <v/>
      </c>
      <c r="I798" s="13">
        <f>SUMIFS(Movimentacoes!$G:$G,Movimentacoes!$C:$C,$A798,Movimentacoes!$E:$E,$C798,Movimentacoes!$B:$B,"SAIDA_DESCARTE")</f>
        <v/>
      </c>
      <c r="J798" s="13">
        <f>G798-H798-I798</f>
        <v/>
      </c>
      <c r="K798">
        <f>IF(A798="","",IF(J798&lt;=IFERROR(VLOOKUP(A798,Cadastro_Produtos!$A:$E,5,FALSE),0),"ABAIXO DO MINIMO","OK"))</f>
        <v/>
      </c>
    </row>
    <row r="799">
      <c r="B799">
        <f>IFERROR(VLOOKUP(A799,Cadastro_Produtos!A:B,2,FALSE),"")</f>
        <v/>
      </c>
      <c r="D799" s="12" t="n"/>
      <c r="E799" s="13">
        <f>IF(D799="","",D799-TODAY())</f>
        <v/>
      </c>
      <c r="F799">
        <f>IF(D799="","",IF(E799&lt;0,"VENCIDO",IF(E799&lt;=30,"VENCE EM &lt;= 30 DIAS",IF(E799&lt;=60,"ATENCAO (31-60 DIAS)","OK"))))</f>
        <v/>
      </c>
      <c r="G799" s="13">
        <f>SUMIFS(Movimentacoes!$G:$G,Movimentacoes!$C:$C,$A799,Movimentacoes!$E:$E,$C799,Movimentacoes!$B:$B,"ENTRADA")</f>
        <v/>
      </c>
      <c r="H799" s="13">
        <f>SUMIFS(Movimentacoes!$G:$G,Movimentacoes!$C:$C,$A799,Movimentacoes!$E:$E,$C799,Movimentacoes!$B:$B,"SAIDA_USO")</f>
        <v/>
      </c>
      <c r="I799" s="13">
        <f>SUMIFS(Movimentacoes!$G:$G,Movimentacoes!$C:$C,$A799,Movimentacoes!$E:$E,$C799,Movimentacoes!$B:$B,"SAIDA_DESCARTE")</f>
        <v/>
      </c>
      <c r="J799" s="13">
        <f>G799-H799-I799</f>
        <v/>
      </c>
      <c r="K799">
        <f>IF(A799="","",IF(J799&lt;=IFERROR(VLOOKUP(A799,Cadastro_Produtos!$A:$E,5,FALSE),0),"ABAIXO DO MINIMO","OK"))</f>
        <v/>
      </c>
    </row>
    <row r="800">
      <c r="B800">
        <f>IFERROR(VLOOKUP(A800,Cadastro_Produtos!A:B,2,FALSE),"")</f>
        <v/>
      </c>
      <c r="D800" s="12" t="n"/>
      <c r="E800" s="13">
        <f>IF(D800="","",D800-TODAY())</f>
        <v/>
      </c>
      <c r="F800">
        <f>IF(D800="","",IF(E800&lt;0,"VENCIDO",IF(E800&lt;=30,"VENCE EM &lt;= 30 DIAS",IF(E800&lt;=60,"ATENCAO (31-60 DIAS)","OK"))))</f>
        <v/>
      </c>
      <c r="G800" s="13">
        <f>SUMIFS(Movimentacoes!$G:$G,Movimentacoes!$C:$C,$A800,Movimentacoes!$E:$E,$C800,Movimentacoes!$B:$B,"ENTRADA")</f>
        <v/>
      </c>
      <c r="H800" s="13">
        <f>SUMIFS(Movimentacoes!$G:$G,Movimentacoes!$C:$C,$A800,Movimentacoes!$E:$E,$C800,Movimentacoes!$B:$B,"SAIDA_USO")</f>
        <v/>
      </c>
      <c r="I800" s="13">
        <f>SUMIFS(Movimentacoes!$G:$G,Movimentacoes!$C:$C,$A800,Movimentacoes!$E:$E,$C800,Movimentacoes!$B:$B,"SAIDA_DESCARTE")</f>
        <v/>
      </c>
      <c r="J800" s="13">
        <f>G800-H800-I800</f>
        <v/>
      </c>
      <c r="K800">
        <f>IF(A800="","",IF(J800&lt;=IFERROR(VLOOKUP(A800,Cadastro_Produtos!$A:$E,5,FALSE),0),"ABAIXO DO MINIMO","OK"))</f>
        <v/>
      </c>
    </row>
    <row r="801">
      <c r="B801">
        <f>IFERROR(VLOOKUP(A801,Cadastro_Produtos!A:B,2,FALSE),"")</f>
        <v/>
      </c>
      <c r="D801" s="12" t="n"/>
      <c r="E801" s="13">
        <f>IF(D801="","",D801-TODAY())</f>
        <v/>
      </c>
      <c r="F801">
        <f>IF(D801="","",IF(E801&lt;0,"VENCIDO",IF(E801&lt;=30,"VENCE EM &lt;= 30 DIAS",IF(E801&lt;=60,"ATENCAO (31-60 DIAS)","OK"))))</f>
        <v/>
      </c>
      <c r="G801" s="13">
        <f>SUMIFS(Movimentacoes!$G:$G,Movimentacoes!$C:$C,$A801,Movimentacoes!$E:$E,$C801,Movimentacoes!$B:$B,"ENTRADA")</f>
        <v/>
      </c>
      <c r="H801" s="13">
        <f>SUMIFS(Movimentacoes!$G:$G,Movimentacoes!$C:$C,$A801,Movimentacoes!$E:$E,$C801,Movimentacoes!$B:$B,"SAIDA_USO")</f>
        <v/>
      </c>
      <c r="I801" s="13">
        <f>SUMIFS(Movimentacoes!$G:$G,Movimentacoes!$C:$C,$A801,Movimentacoes!$E:$E,$C801,Movimentacoes!$B:$B,"SAIDA_DESCARTE")</f>
        <v/>
      </c>
      <c r="J801" s="13">
        <f>G801-H801-I801</f>
        <v/>
      </c>
      <c r="K801">
        <f>IF(A801="","",IF(J801&lt;=IFERROR(VLOOKUP(A801,Cadastro_Produtos!$A:$E,5,FALSE),0),"ABAIXO DO MINIMO","OK"))</f>
        <v/>
      </c>
    </row>
    <row r="802">
      <c r="B802">
        <f>IFERROR(VLOOKUP(A802,Cadastro_Produtos!A:B,2,FALSE),"")</f>
        <v/>
      </c>
      <c r="D802" s="12" t="n"/>
      <c r="E802" s="13">
        <f>IF(D802="","",D802-TODAY())</f>
        <v/>
      </c>
      <c r="F802">
        <f>IF(D802="","",IF(E802&lt;0,"VENCIDO",IF(E802&lt;=30,"VENCE EM &lt;= 30 DIAS",IF(E802&lt;=60,"ATENCAO (31-60 DIAS)","OK"))))</f>
        <v/>
      </c>
      <c r="G802" s="13">
        <f>SUMIFS(Movimentacoes!$G:$G,Movimentacoes!$C:$C,$A802,Movimentacoes!$E:$E,$C802,Movimentacoes!$B:$B,"ENTRADA")</f>
        <v/>
      </c>
      <c r="H802" s="13">
        <f>SUMIFS(Movimentacoes!$G:$G,Movimentacoes!$C:$C,$A802,Movimentacoes!$E:$E,$C802,Movimentacoes!$B:$B,"SAIDA_USO")</f>
        <v/>
      </c>
      <c r="I802" s="13">
        <f>SUMIFS(Movimentacoes!$G:$G,Movimentacoes!$C:$C,$A802,Movimentacoes!$E:$E,$C802,Movimentacoes!$B:$B,"SAIDA_DESCARTE")</f>
        <v/>
      </c>
      <c r="J802" s="13">
        <f>G802-H802-I802</f>
        <v/>
      </c>
      <c r="K802">
        <f>IF(A802="","",IF(J802&lt;=IFERROR(VLOOKUP(A802,Cadastro_Produtos!$A:$E,5,FALSE),0),"ABAIXO DO MINIMO","OK"))</f>
        <v/>
      </c>
    </row>
    <row r="803">
      <c r="B803">
        <f>IFERROR(VLOOKUP(A803,Cadastro_Produtos!A:B,2,FALSE),"")</f>
        <v/>
      </c>
      <c r="D803" s="12" t="n"/>
      <c r="E803" s="13">
        <f>IF(D803="","",D803-TODAY())</f>
        <v/>
      </c>
      <c r="F803">
        <f>IF(D803="","",IF(E803&lt;0,"VENCIDO",IF(E803&lt;=30,"VENCE EM &lt;= 30 DIAS",IF(E803&lt;=60,"ATENCAO (31-60 DIAS)","OK"))))</f>
        <v/>
      </c>
      <c r="G803" s="13">
        <f>SUMIFS(Movimentacoes!$G:$G,Movimentacoes!$C:$C,$A803,Movimentacoes!$E:$E,$C803,Movimentacoes!$B:$B,"ENTRADA")</f>
        <v/>
      </c>
      <c r="H803" s="13">
        <f>SUMIFS(Movimentacoes!$G:$G,Movimentacoes!$C:$C,$A803,Movimentacoes!$E:$E,$C803,Movimentacoes!$B:$B,"SAIDA_USO")</f>
        <v/>
      </c>
      <c r="I803" s="13">
        <f>SUMIFS(Movimentacoes!$G:$G,Movimentacoes!$C:$C,$A803,Movimentacoes!$E:$E,$C803,Movimentacoes!$B:$B,"SAIDA_DESCARTE")</f>
        <v/>
      </c>
      <c r="J803" s="13">
        <f>G803-H803-I803</f>
        <v/>
      </c>
      <c r="K803">
        <f>IF(A803="","",IF(J803&lt;=IFERROR(VLOOKUP(A803,Cadastro_Produtos!$A:$E,5,FALSE),0),"ABAIXO DO MINIMO","OK"))</f>
        <v/>
      </c>
    </row>
    <row r="804">
      <c r="B804">
        <f>IFERROR(VLOOKUP(A804,Cadastro_Produtos!A:B,2,FALSE),"")</f>
        <v/>
      </c>
      <c r="D804" s="12" t="n"/>
      <c r="E804" s="13">
        <f>IF(D804="","",D804-TODAY())</f>
        <v/>
      </c>
      <c r="F804">
        <f>IF(D804="","",IF(E804&lt;0,"VENCIDO",IF(E804&lt;=30,"VENCE EM &lt;= 30 DIAS",IF(E804&lt;=60,"ATENCAO (31-60 DIAS)","OK"))))</f>
        <v/>
      </c>
      <c r="G804" s="13">
        <f>SUMIFS(Movimentacoes!$G:$G,Movimentacoes!$C:$C,$A804,Movimentacoes!$E:$E,$C804,Movimentacoes!$B:$B,"ENTRADA")</f>
        <v/>
      </c>
      <c r="H804" s="13">
        <f>SUMIFS(Movimentacoes!$G:$G,Movimentacoes!$C:$C,$A804,Movimentacoes!$E:$E,$C804,Movimentacoes!$B:$B,"SAIDA_USO")</f>
        <v/>
      </c>
      <c r="I804" s="13">
        <f>SUMIFS(Movimentacoes!$G:$G,Movimentacoes!$C:$C,$A804,Movimentacoes!$E:$E,$C804,Movimentacoes!$B:$B,"SAIDA_DESCARTE")</f>
        <v/>
      </c>
      <c r="J804" s="13">
        <f>G804-H804-I804</f>
        <v/>
      </c>
      <c r="K804">
        <f>IF(A804="","",IF(J804&lt;=IFERROR(VLOOKUP(A804,Cadastro_Produtos!$A:$E,5,FALSE),0),"ABAIXO DO MINIMO","OK"))</f>
        <v/>
      </c>
    </row>
    <row r="805">
      <c r="B805">
        <f>IFERROR(VLOOKUP(A805,Cadastro_Produtos!A:B,2,FALSE),"")</f>
        <v/>
      </c>
      <c r="D805" s="12" t="n"/>
      <c r="E805" s="13">
        <f>IF(D805="","",D805-TODAY())</f>
        <v/>
      </c>
      <c r="F805">
        <f>IF(D805="","",IF(E805&lt;0,"VENCIDO",IF(E805&lt;=30,"VENCE EM &lt;= 30 DIAS",IF(E805&lt;=60,"ATENCAO (31-60 DIAS)","OK"))))</f>
        <v/>
      </c>
      <c r="G805" s="13">
        <f>SUMIFS(Movimentacoes!$G:$G,Movimentacoes!$C:$C,$A805,Movimentacoes!$E:$E,$C805,Movimentacoes!$B:$B,"ENTRADA")</f>
        <v/>
      </c>
      <c r="H805" s="13">
        <f>SUMIFS(Movimentacoes!$G:$G,Movimentacoes!$C:$C,$A805,Movimentacoes!$E:$E,$C805,Movimentacoes!$B:$B,"SAIDA_USO")</f>
        <v/>
      </c>
      <c r="I805" s="13">
        <f>SUMIFS(Movimentacoes!$G:$G,Movimentacoes!$C:$C,$A805,Movimentacoes!$E:$E,$C805,Movimentacoes!$B:$B,"SAIDA_DESCARTE")</f>
        <v/>
      </c>
      <c r="J805" s="13">
        <f>G805-H805-I805</f>
        <v/>
      </c>
      <c r="K805">
        <f>IF(A805="","",IF(J805&lt;=IFERROR(VLOOKUP(A805,Cadastro_Produtos!$A:$E,5,FALSE),0),"ABAIXO DO MINIMO","OK"))</f>
        <v/>
      </c>
    </row>
    <row r="806">
      <c r="B806">
        <f>IFERROR(VLOOKUP(A806,Cadastro_Produtos!A:B,2,FALSE),"")</f>
        <v/>
      </c>
      <c r="D806" s="12" t="n"/>
      <c r="E806" s="13">
        <f>IF(D806="","",D806-TODAY())</f>
        <v/>
      </c>
      <c r="F806">
        <f>IF(D806="","",IF(E806&lt;0,"VENCIDO",IF(E806&lt;=30,"VENCE EM &lt;= 30 DIAS",IF(E806&lt;=60,"ATENCAO (31-60 DIAS)","OK"))))</f>
        <v/>
      </c>
      <c r="G806" s="13">
        <f>SUMIFS(Movimentacoes!$G:$G,Movimentacoes!$C:$C,$A806,Movimentacoes!$E:$E,$C806,Movimentacoes!$B:$B,"ENTRADA")</f>
        <v/>
      </c>
      <c r="H806" s="13">
        <f>SUMIFS(Movimentacoes!$G:$G,Movimentacoes!$C:$C,$A806,Movimentacoes!$E:$E,$C806,Movimentacoes!$B:$B,"SAIDA_USO")</f>
        <v/>
      </c>
      <c r="I806" s="13">
        <f>SUMIFS(Movimentacoes!$G:$G,Movimentacoes!$C:$C,$A806,Movimentacoes!$E:$E,$C806,Movimentacoes!$B:$B,"SAIDA_DESCARTE")</f>
        <v/>
      </c>
      <c r="J806" s="13">
        <f>G806-H806-I806</f>
        <v/>
      </c>
      <c r="K806">
        <f>IF(A806="","",IF(J806&lt;=IFERROR(VLOOKUP(A806,Cadastro_Produtos!$A:$E,5,FALSE),0),"ABAIXO DO MINIMO","OK"))</f>
        <v/>
      </c>
    </row>
    <row r="807">
      <c r="B807">
        <f>IFERROR(VLOOKUP(A807,Cadastro_Produtos!A:B,2,FALSE),"")</f>
        <v/>
      </c>
      <c r="D807" s="12" t="n"/>
      <c r="E807" s="13">
        <f>IF(D807="","",D807-TODAY())</f>
        <v/>
      </c>
      <c r="F807">
        <f>IF(D807="","",IF(E807&lt;0,"VENCIDO",IF(E807&lt;=30,"VENCE EM &lt;= 30 DIAS",IF(E807&lt;=60,"ATENCAO (31-60 DIAS)","OK"))))</f>
        <v/>
      </c>
      <c r="G807" s="13">
        <f>SUMIFS(Movimentacoes!$G:$G,Movimentacoes!$C:$C,$A807,Movimentacoes!$E:$E,$C807,Movimentacoes!$B:$B,"ENTRADA")</f>
        <v/>
      </c>
      <c r="H807" s="13">
        <f>SUMIFS(Movimentacoes!$G:$G,Movimentacoes!$C:$C,$A807,Movimentacoes!$E:$E,$C807,Movimentacoes!$B:$B,"SAIDA_USO")</f>
        <v/>
      </c>
      <c r="I807" s="13">
        <f>SUMIFS(Movimentacoes!$G:$G,Movimentacoes!$C:$C,$A807,Movimentacoes!$E:$E,$C807,Movimentacoes!$B:$B,"SAIDA_DESCARTE")</f>
        <v/>
      </c>
      <c r="J807" s="13">
        <f>G807-H807-I807</f>
        <v/>
      </c>
      <c r="K807">
        <f>IF(A807="","",IF(J807&lt;=IFERROR(VLOOKUP(A807,Cadastro_Produtos!$A:$E,5,FALSE),0),"ABAIXO DO MINIMO","OK"))</f>
        <v/>
      </c>
    </row>
    <row r="808">
      <c r="B808">
        <f>IFERROR(VLOOKUP(A808,Cadastro_Produtos!A:B,2,FALSE),"")</f>
        <v/>
      </c>
      <c r="D808" s="12" t="n"/>
      <c r="E808" s="13">
        <f>IF(D808="","",D808-TODAY())</f>
        <v/>
      </c>
      <c r="F808">
        <f>IF(D808="","",IF(E808&lt;0,"VENCIDO",IF(E808&lt;=30,"VENCE EM &lt;= 30 DIAS",IF(E808&lt;=60,"ATENCAO (31-60 DIAS)","OK"))))</f>
        <v/>
      </c>
      <c r="G808" s="13">
        <f>SUMIFS(Movimentacoes!$G:$G,Movimentacoes!$C:$C,$A808,Movimentacoes!$E:$E,$C808,Movimentacoes!$B:$B,"ENTRADA")</f>
        <v/>
      </c>
      <c r="H808" s="13">
        <f>SUMIFS(Movimentacoes!$G:$G,Movimentacoes!$C:$C,$A808,Movimentacoes!$E:$E,$C808,Movimentacoes!$B:$B,"SAIDA_USO")</f>
        <v/>
      </c>
      <c r="I808" s="13">
        <f>SUMIFS(Movimentacoes!$G:$G,Movimentacoes!$C:$C,$A808,Movimentacoes!$E:$E,$C808,Movimentacoes!$B:$B,"SAIDA_DESCARTE")</f>
        <v/>
      </c>
      <c r="J808" s="13">
        <f>G808-H808-I808</f>
        <v/>
      </c>
      <c r="K808">
        <f>IF(A808="","",IF(J808&lt;=IFERROR(VLOOKUP(A808,Cadastro_Produtos!$A:$E,5,FALSE),0),"ABAIXO DO MINIMO","OK"))</f>
        <v/>
      </c>
    </row>
    <row r="809">
      <c r="B809">
        <f>IFERROR(VLOOKUP(A809,Cadastro_Produtos!A:B,2,FALSE),"")</f>
        <v/>
      </c>
      <c r="D809" s="12" t="n"/>
      <c r="E809" s="13">
        <f>IF(D809="","",D809-TODAY())</f>
        <v/>
      </c>
      <c r="F809">
        <f>IF(D809="","",IF(E809&lt;0,"VENCIDO",IF(E809&lt;=30,"VENCE EM &lt;= 30 DIAS",IF(E809&lt;=60,"ATENCAO (31-60 DIAS)","OK"))))</f>
        <v/>
      </c>
      <c r="G809" s="13">
        <f>SUMIFS(Movimentacoes!$G:$G,Movimentacoes!$C:$C,$A809,Movimentacoes!$E:$E,$C809,Movimentacoes!$B:$B,"ENTRADA")</f>
        <v/>
      </c>
      <c r="H809" s="13">
        <f>SUMIFS(Movimentacoes!$G:$G,Movimentacoes!$C:$C,$A809,Movimentacoes!$E:$E,$C809,Movimentacoes!$B:$B,"SAIDA_USO")</f>
        <v/>
      </c>
      <c r="I809" s="13">
        <f>SUMIFS(Movimentacoes!$G:$G,Movimentacoes!$C:$C,$A809,Movimentacoes!$E:$E,$C809,Movimentacoes!$B:$B,"SAIDA_DESCARTE")</f>
        <v/>
      </c>
      <c r="J809" s="13">
        <f>G809-H809-I809</f>
        <v/>
      </c>
      <c r="K809">
        <f>IF(A809="","",IF(J809&lt;=IFERROR(VLOOKUP(A809,Cadastro_Produtos!$A:$E,5,FALSE),0),"ABAIXO DO MINIMO","OK"))</f>
        <v/>
      </c>
    </row>
    <row r="810">
      <c r="B810">
        <f>IFERROR(VLOOKUP(A810,Cadastro_Produtos!A:B,2,FALSE),"")</f>
        <v/>
      </c>
      <c r="D810" s="12" t="n"/>
      <c r="E810" s="13">
        <f>IF(D810="","",D810-TODAY())</f>
        <v/>
      </c>
      <c r="F810">
        <f>IF(D810="","",IF(E810&lt;0,"VENCIDO",IF(E810&lt;=30,"VENCE EM &lt;= 30 DIAS",IF(E810&lt;=60,"ATENCAO (31-60 DIAS)","OK"))))</f>
        <v/>
      </c>
      <c r="G810" s="13">
        <f>SUMIFS(Movimentacoes!$G:$G,Movimentacoes!$C:$C,$A810,Movimentacoes!$E:$E,$C810,Movimentacoes!$B:$B,"ENTRADA")</f>
        <v/>
      </c>
      <c r="H810" s="13">
        <f>SUMIFS(Movimentacoes!$G:$G,Movimentacoes!$C:$C,$A810,Movimentacoes!$E:$E,$C810,Movimentacoes!$B:$B,"SAIDA_USO")</f>
        <v/>
      </c>
      <c r="I810" s="13">
        <f>SUMIFS(Movimentacoes!$G:$G,Movimentacoes!$C:$C,$A810,Movimentacoes!$E:$E,$C810,Movimentacoes!$B:$B,"SAIDA_DESCARTE")</f>
        <v/>
      </c>
      <c r="J810" s="13">
        <f>G810-H810-I810</f>
        <v/>
      </c>
      <c r="K810">
        <f>IF(A810="","",IF(J810&lt;=IFERROR(VLOOKUP(A810,Cadastro_Produtos!$A:$E,5,FALSE),0),"ABAIXO DO MINIMO","OK"))</f>
        <v/>
      </c>
    </row>
    <row r="811">
      <c r="B811">
        <f>IFERROR(VLOOKUP(A811,Cadastro_Produtos!A:B,2,FALSE),"")</f>
        <v/>
      </c>
      <c r="D811" s="12" t="n"/>
      <c r="E811" s="13">
        <f>IF(D811="","",D811-TODAY())</f>
        <v/>
      </c>
      <c r="F811">
        <f>IF(D811="","",IF(E811&lt;0,"VENCIDO",IF(E811&lt;=30,"VENCE EM &lt;= 30 DIAS",IF(E811&lt;=60,"ATENCAO (31-60 DIAS)","OK"))))</f>
        <v/>
      </c>
      <c r="G811" s="13">
        <f>SUMIFS(Movimentacoes!$G:$G,Movimentacoes!$C:$C,$A811,Movimentacoes!$E:$E,$C811,Movimentacoes!$B:$B,"ENTRADA")</f>
        <v/>
      </c>
      <c r="H811" s="13">
        <f>SUMIFS(Movimentacoes!$G:$G,Movimentacoes!$C:$C,$A811,Movimentacoes!$E:$E,$C811,Movimentacoes!$B:$B,"SAIDA_USO")</f>
        <v/>
      </c>
      <c r="I811" s="13">
        <f>SUMIFS(Movimentacoes!$G:$G,Movimentacoes!$C:$C,$A811,Movimentacoes!$E:$E,$C811,Movimentacoes!$B:$B,"SAIDA_DESCARTE")</f>
        <v/>
      </c>
      <c r="J811" s="13">
        <f>G811-H811-I811</f>
        <v/>
      </c>
      <c r="K811">
        <f>IF(A811="","",IF(J811&lt;=IFERROR(VLOOKUP(A811,Cadastro_Produtos!$A:$E,5,FALSE),0),"ABAIXO DO MINIMO","OK"))</f>
        <v/>
      </c>
    </row>
    <row r="812">
      <c r="B812">
        <f>IFERROR(VLOOKUP(A812,Cadastro_Produtos!A:B,2,FALSE),"")</f>
        <v/>
      </c>
      <c r="D812" s="12" t="n"/>
      <c r="E812" s="13">
        <f>IF(D812="","",D812-TODAY())</f>
        <v/>
      </c>
      <c r="F812">
        <f>IF(D812="","",IF(E812&lt;0,"VENCIDO",IF(E812&lt;=30,"VENCE EM &lt;= 30 DIAS",IF(E812&lt;=60,"ATENCAO (31-60 DIAS)","OK"))))</f>
        <v/>
      </c>
      <c r="G812" s="13">
        <f>SUMIFS(Movimentacoes!$G:$G,Movimentacoes!$C:$C,$A812,Movimentacoes!$E:$E,$C812,Movimentacoes!$B:$B,"ENTRADA")</f>
        <v/>
      </c>
      <c r="H812" s="13">
        <f>SUMIFS(Movimentacoes!$G:$G,Movimentacoes!$C:$C,$A812,Movimentacoes!$E:$E,$C812,Movimentacoes!$B:$B,"SAIDA_USO")</f>
        <v/>
      </c>
      <c r="I812" s="13">
        <f>SUMIFS(Movimentacoes!$G:$G,Movimentacoes!$C:$C,$A812,Movimentacoes!$E:$E,$C812,Movimentacoes!$B:$B,"SAIDA_DESCARTE")</f>
        <v/>
      </c>
      <c r="J812" s="13">
        <f>G812-H812-I812</f>
        <v/>
      </c>
      <c r="K812">
        <f>IF(A812="","",IF(J812&lt;=IFERROR(VLOOKUP(A812,Cadastro_Produtos!$A:$E,5,FALSE),0),"ABAIXO DO MINIMO","OK"))</f>
        <v/>
      </c>
    </row>
    <row r="813">
      <c r="B813">
        <f>IFERROR(VLOOKUP(A813,Cadastro_Produtos!A:B,2,FALSE),"")</f>
        <v/>
      </c>
      <c r="D813" s="12" t="n"/>
      <c r="E813" s="13">
        <f>IF(D813="","",D813-TODAY())</f>
        <v/>
      </c>
      <c r="F813">
        <f>IF(D813="","",IF(E813&lt;0,"VENCIDO",IF(E813&lt;=30,"VENCE EM &lt;= 30 DIAS",IF(E813&lt;=60,"ATENCAO (31-60 DIAS)","OK"))))</f>
        <v/>
      </c>
      <c r="G813" s="13">
        <f>SUMIFS(Movimentacoes!$G:$G,Movimentacoes!$C:$C,$A813,Movimentacoes!$E:$E,$C813,Movimentacoes!$B:$B,"ENTRADA")</f>
        <v/>
      </c>
      <c r="H813" s="13">
        <f>SUMIFS(Movimentacoes!$G:$G,Movimentacoes!$C:$C,$A813,Movimentacoes!$E:$E,$C813,Movimentacoes!$B:$B,"SAIDA_USO")</f>
        <v/>
      </c>
      <c r="I813" s="13">
        <f>SUMIFS(Movimentacoes!$G:$G,Movimentacoes!$C:$C,$A813,Movimentacoes!$E:$E,$C813,Movimentacoes!$B:$B,"SAIDA_DESCARTE")</f>
        <v/>
      </c>
      <c r="J813" s="13">
        <f>G813-H813-I813</f>
        <v/>
      </c>
      <c r="K813">
        <f>IF(A813="","",IF(J813&lt;=IFERROR(VLOOKUP(A813,Cadastro_Produtos!$A:$E,5,FALSE),0),"ABAIXO DO MINIMO","OK"))</f>
        <v/>
      </c>
    </row>
    <row r="814">
      <c r="B814">
        <f>IFERROR(VLOOKUP(A814,Cadastro_Produtos!A:B,2,FALSE),"")</f>
        <v/>
      </c>
      <c r="D814" s="12" t="n"/>
      <c r="E814" s="13">
        <f>IF(D814="","",D814-TODAY())</f>
        <v/>
      </c>
      <c r="F814">
        <f>IF(D814="","",IF(E814&lt;0,"VENCIDO",IF(E814&lt;=30,"VENCE EM &lt;= 30 DIAS",IF(E814&lt;=60,"ATENCAO (31-60 DIAS)","OK"))))</f>
        <v/>
      </c>
      <c r="G814" s="13">
        <f>SUMIFS(Movimentacoes!$G:$G,Movimentacoes!$C:$C,$A814,Movimentacoes!$E:$E,$C814,Movimentacoes!$B:$B,"ENTRADA")</f>
        <v/>
      </c>
      <c r="H814" s="13">
        <f>SUMIFS(Movimentacoes!$G:$G,Movimentacoes!$C:$C,$A814,Movimentacoes!$E:$E,$C814,Movimentacoes!$B:$B,"SAIDA_USO")</f>
        <v/>
      </c>
      <c r="I814" s="13">
        <f>SUMIFS(Movimentacoes!$G:$G,Movimentacoes!$C:$C,$A814,Movimentacoes!$E:$E,$C814,Movimentacoes!$B:$B,"SAIDA_DESCARTE")</f>
        <v/>
      </c>
      <c r="J814" s="13">
        <f>G814-H814-I814</f>
        <v/>
      </c>
      <c r="K814">
        <f>IF(A814="","",IF(J814&lt;=IFERROR(VLOOKUP(A814,Cadastro_Produtos!$A:$E,5,FALSE),0),"ABAIXO DO MINIMO","OK"))</f>
        <v/>
      </c>
    </row>
    <row r="815">
      <c r="B815">
        <f>IFERROR(VLOOKUP(A815,Cadastro_Produtos!A:B,2,FALSE),"")</f>
        <v/>
      </c>
      <c r="D815" s="12" t="n"/>
      <c r="E815" s="13">
        <f>IF(D815="","",D815-TODAY())</f>
        <v/>
      </c>
      <c r="F815">
        <f>IF(D815="","",IF(E815&lt;0,"VENCIDO",IF(E815&lt;=30,"VENCE EM &lt;= 30 DIAS",IF(E815&lt;=60,"ATENCAO (31-60 DIAS)","OK"))))</f>
        <v/>
      </c>
      <c r="G815" s="13">
        <f>SUMIFS(Movimentacoes!$G:$G,Movimentacoes!$C:$C,$A815,Movimentacoes!$E:$E,$C815,Movimentacoes!$B:$B,"ENTRADA")</f>
        <v/>
      </c>
      <c r="H815" s="13">
        <f>SUMIFS(Movimentacoes!$G:$G,Movimentacoes!$C:$C,$A815,Movimentacoes!$E:$E,$C815,Movimentacoes!$B:$B,"SAIDA_USO")</f>
        <v/>
      </c>
      <c r="I815" s="13">
        <f>SUMIFS(Movimentacoes!$G:$G,Movimentacoes!$C:$C,$A815,Movimentacoes!$E:$E,$C815,Movimentacoes!$B:$B,"SAIDA_DESCARTE")</f>
        <v/>
      </c>
      <c r="J815" s="13">
        <f>G815-H815-I815</f>
        <v/>
      </c>
      <c r="K815">
        <f>IF(A815="","",IF(J815&lt;=IFERROR(VLOOKUP(A815,Cadastro_Produtos!$A:$E,5,FALSE),0),"ABAIXO DO MINIMO","OK"))</f>
        <v/>
      </c>
    </row>
    <row r="816">
      <c r="B816">
        <f>IFERROR(VLOOKUP(A816,Cadastro_Produtos!A:B,2,FALSE),"")</f>
        <v/>
      </c>
      <c r="D816" s="12" t="n"/>
      <c r="E816" s="13">
        <f>IF(D816="","",D816-TODAY())</f>
        <v/>
      </c>
      <c r="F816">
        <f>IF(D816="","",IF(E816&lt;0,"VENCIDO",IF(E816&lt;=30,"VENCE EM &lt;= 30 DIAS",IF(E816&lt;=60,"ATENCAO (31-60 DIAS)","OK"))))</f>
        <v/>
      </c>
      <c r="G816" s="13">
        <f>SUMIFS(Movimentacoes!$G:$G,Movimentacoes!$C:$C,$A816,Movimentacoes!$E:$E,$C816,Movimentacoes!$B:$B,"ENTRADA")</f>
        <v/>
      </c>
      <c r="H816" s="13">
        <f>SUMIFS(Movimentacoes!$G:$G,Movimentacoes!$C:$C,$A816,Movimentacoes!$E:$E,$C816,Movimentacoes!$B:$B,"SAIDA_USO")</f>
        <v/>
      </c>
      <c r="I816" s="13">
        <f>SUMIFS(Movimentacoes!$G:$G,Movimentacoes!$C:$C,$A816,Movimentacoes!$E:$E,$C816,Movimentacoes!$B:$B,"SAIDA_DESCARTE")</f>
        <v/>
      </c>
      <c r="J816" s="13">
        <f>G816-H816-I816</f>
        <v/>
      </c>
      <c r="K816">
        <f>IF(A816="","",IF(J816&lt;=IFERROR(VLOOKUP(A816,Cadastro_Produtos!$A:$E,5,FALSE),0),"ABAIXO DO MINIMO","OK"))</f>
        <v/>
      </c>
    </row>
    <row r="817">
      <c r="B817">
        <f>IFERROR(VLOOKUP(A817,Cadastro_Produtos!A:B,2,FALSE),"")</f>
        <v/>
      </c>
      <c r="D817" s="12" t="n"/>
      <c r="E817" s="13">
        <f>IF(D817="","",D817-TODAY())</f>
        <v/>
      </c>
      <c r="F817">
        <f>IF(D817="","",IF(E817&lt;0,"VENCIDO",IF(E817&lt;=30,"VENCE EM &lt;= 30 DIAS",IF(E817&lt;=60,"ATENCAO (31-60 DIAS)","OK"))))</f>
        <v/>
      </c>
      <c r="G817" s="13">
        <f>SUMIFS(Movimentacoes!$G:$G,Movimentacoes!$C:$C,$A817,Movimentacoes!$E:$E,$C817,Movimentacoes!$B:$B,"ENTRADA")</f>
        <v/>
      </c>
      <c r="H817" s="13">
        <f>SUMIFS(Movimentacoes!$G:$G,Movimentacoes!$C:$C,$A817,Movimentacoes!$E:$E,$C817,Movimentacoes!$B:$B,"SAIDA_USO")</f>
        <v/>
      </c>
      <c r="I817" s="13">
        <f>SUMIFS(Movimentacoes!$G:$G,Movimentacoes!$C:$C,$A817,Movimentacoes!$E:$E,$C817,Movimentacoes!$B:$B,"SAIDA_DESCARTE")</f>
        <v/>
      </c>
      <c r="J817" s="13">
        <f>G817-H817-I817</f>
        <v/>
      </c>
      <c r="K817">
        <f>IF(A817="","",IF(J817&lt;=IFERROR(VLOOKUP(A817,Cadastro_Produtos!$A:$E,5,FALSE),0),"ABAIXO DO MINIMO","OK"))</f>
        <v/>
      </c>
    </row>
    <row r="818">
      <c r="B818">
        <f>IFERROR(VLOOKUP(A818,Cadastro_Produtos!A:B,2,FALSE),"")</f>
        <v/>
      </c>
      <c r="D818" s="12" t="n"/>
      <c r="E818" s="13">
        <f>IF(D818="","",D818-TODAY())</f>
        <v/>
      </c>
      <c r="F818">
        <f>IF(D818="","",IF(E818&lt;0,"VENCIDO",IF(E818&lt;=30,"VENCE EM &lt;= 30 DIAS",IF(E818&lt;=60,"ATENCAO (31-60 DIAS)","OK"))))</f>
        <v/>
      </c>
      <c r="G818" s="13">
        <f>SUMIFS(Movimentacoes!$G:$G,Movimentacoes!$C:$C,$A818,Movimentacoes!$E:$E,$C818,Movimentacoes!$B:$B,"ENTRADA")</f>
        <v/>
      </c>
      <c r="H818" s="13">
        <f>SUMIFS(Movimentacoes!$G:$G,Movimentacoes!$C:$C,$A818,Movimentacoes!$E:$E,$C818,Movimentacoes!$B:$B,"SAIDA_USO")</f>
        <v/>
      </c>
      <c r="I818" s="13">
        <f>SUMIFS(Movimentacoes!$G:$G,Movimentacoes!$C:$C,$A818,Movimentacoes!$E:$E,$C818,Movimentacoes!$B:$B,"SAIDA_DESCARTE")</f>
        <v/>
      </c>
      <c r="J818" s="13">
        <f>G818-H818-I818</f>
        <v/>
      </c>
      <c r="K818">
        <f>IF(A818="","",IF(J818&lt;=IFERROR(VLOOKUP(A818,Cadastro_Produtos!$A:$E,5,FALSE),0),"ABAIXO DO MINIMO","OK"))</f>
        <v/>
      </c>
    </row>
    <row r="819">
      <c r="B819">
        <f>IFERROR(VLOOKUP(A819,Cadastro_Produtos!A:B,2,FALSE),"")</f>
        <v/>
      </c>
      <c r="D819" s="12" t="n"/>
      <c r="E819" s="13">
        <f>IF(D819="","",D819-TODAY())</f>
        <v/>
      </c>
      <c r="F819">
        <f>IF(D819="","",IF(E819&lt;0,"VENCIDO",IF(E819&lt;=30,"VENCE EM &lt;= 30 DIAS",IF(E819&lt;=60,"ATENCAO (31-60 DIAS)","OK"))))</f>
        <v/>
      </c>
      <c r="G819" s="13">
        <f>SUMIFS(Movimentacoes!$G:$G,Movimentacoes!$C:$C,$A819,Movimentacoes!$E:$E,$C819,Movimentacoes!$B:$B,"ENTRADA")</f>
        <v/>
      </c>
      <c r="H819" s="13">
        <f>SUMIFS(Movimentacoes!$G:$G,Movimentacoes!$C:$C,$A819,Movimentacoes!$E:$E,$C819,Movimentacoes!$B:$B,"SAIDA_USO")</f>
        <v/>
      </c>
      <c r="I819" s="13">
        <f>SUMIFS(Movimentacoes!$G:$G,Movimentacoes!$C:$C,$A819,Movimentacoes!$E:$E,$C819,Movimentacoes!$B:$B,"SAIDA_DESCARTE")</f>
        <v/>
      </c>
      <c r="J819" s="13">
        <f>G819-H819-I819</f>
        <v/>
      </c>
      <c r="K819">
        <f>IF(A819="","",IF(J819&lt;=IFERROR(VLOOKUP(A819,Cadastro_Produtos!$A:$E,5,FALSE),0),"ABAIXO DO MINIMO","OK"))</f>
        <v/>
      </c>
    </row>
    <row r="820">
      <c r="B820">
        <f>IFERROR(VLOOKUP(A820,Cadastro_Produtos!A:B,2,FALSE),"")</f>
        <v/>
      </c>
      <c r="D820" s="12" t="n"/>
      <c r="E820" s="13">
        <f>IF(D820="","",D820-TODAY())</f>
        <v/>
      </c>
      <c r="F820">
        <f>IF(D820="","",IF(E820&lt;0,"VENCIDO",IF(E820&lt;=30,"VENCE EM &lt;= 30 DIAS",IF(E820&lt;=60,"ATENCAO (31-60 DIAS)","OK"))))</f>
        <v/>
      </c>
      <c r="G820" s="13">
        <f>SUMIFS(Movimentacoes!$G:$G,Movimentacoes!$C:$C,$A820,Movimentacoes!$E:$E,$C820,Movimentacoes!$B:$B,"ENTRADA")</f>
        <v/>
      </c>
      <c r="H820" s="13">
        <f>SUMIFS(Movimentacoes!$G:$G,Movimentacoes!$C:$C,$A820,Movimentacoes!$E:$E,$C820,Movimentacoes!$B:$B,"SAIDA_USO")</f>
        <v/>
      </c>
      <c r="I820" s="13">
        <f>SUMIFS(Movimentacoes!$G:$G,Movimentacoes!$C:$C,$A820,Movimentacoes!$E:$E,$C820,Movimentacoes!$B:$B,"SAIDA_DESCARTE")</f>
        <v/>
      </c>
      <c r="J820" s="13">
        <f>G820-H820-I820</f>
        <v/>
      </c>
      <c r="K820">
        <f>IF(A820="","",IF(J820&lt;=IFERROR(VLOOKUP(A820,Cadastro_Produtos!$A:$E,5,FALSE),0),"ABAIXO DO MINIMO","OK"))</f>
        <v/>
      </c>
    </row>
    <row r="821">
      <c r="B821">
        <f>IFERROR(VLOOKUP(A821,Cadastro_Produtos!A:B,2,FALSE),"")</f>
        <v/>
      </c>
      <c r="D821" s="12" t="n"/>
      <c r="E821" s="13">
        <f>IF(D821="","",D821-TODAY())</f>
        <v/>
      </c>
      <c r="F821">
        <f>IF(D821="","",IF(E821&lt;0,"VENCIDO",IF(E821&lt;=30,"VENCE EM &lt;= 30 DIAS",IF(E821&lt;=60,"ATENCAO (31-60 DIAS)","OK"))))</f>
        <v/>
      </c>
      <c r="G821" s="13">
        <f>SUMIFS(Movimentacoes!$G:$G,Movimentacoes!$C:$C,$A821,Movimentacoes!$E:$E,$C821,Movimentacoes!$B:$B,"ENTRADA")</f>
        <v/>
      </c>
      <c r="H821" s="13">
        <f>SUMIFS(Movimentacoes!$G:$G,Movimentacoes!$C:$C,$A821,Movimentacoes!$E:$E,$C821,Movimentacoes!$B:$B,"SAIDA_USO")</f>
        <v/>
      </c>
      <c r="I821" s="13">
        <f>SUMIFS(Movimentacoes!$G:$G,Movimentacoes!$C:$C,$A821,Movimentacoes!$E:$E,$C821,Movimentacoes!$B:$B,"SAIDA_DESCARTE")</f>
        <v/>
      </c>
      <c r="J821" s="13">
        <f>G821-H821-I821</f>
        <v/>
      </c>
      <c r="K821">
        <f>IF(A821="","",IF(J821&lt;=IFERROR(VLOOKUP(A821,Cadastro_Produtos!$A:$E,5,FALSE),0),"ABAIXO DO MINIMO","OK"))</f>
        <v/>
      </c>
    </row>
    <row r="822">
      <c r="B822">
        <f>IFERROR(VLOOKUP(A822,Cadastro_Produtos!A:B,2,FALSE),"")</f>
        <v/>
      </c>
      <c r="D822" s="12" t="n"/>
      <c r="E822" s="13">
        <f>IF(D822="","",D822-TODAY())</f>
        <v/>
      </c>
      <c r="F822">
        <f>IF(D822="","",IF(E822&lt;0,"VENCIDO",IF(E822&lt;=30,"VENCE EM &lt;= 30 DIAS",IF(E822&lt;=60,"ATENCAO (31-60 DIAS)","OK"))))</f>
        <v/>
      </c>
      <c r="G822" s="13">
        <f>SUMIFS(Movimentacoes!$G:$G,Movimentacoes!$C:$C,$A822,Movimentacoes!$E:$E,$C822,Movimentacoes!$B:$B,"ENTRADA")</f>
        <v/>
      </c>
      <c r="H822" s="13">
        <f>SUMIFS(Movimentacoes!$G:$G,Movimentacoes!$C:$C,$A822,Movimentacoes!$E:$E,$C822,Movimentacoes!$B:$B,"SAIDA_USO")</f>
        <v/>
      </c>
      <c r="I822" s="13">
        <f>SUMIFS(Movimentacoes!$G:$G,Movimentacoes!$C:$C,$A822,Movimentacoes!$E:$E,$C822,Movimentacoes!$B:$B,"SAIDA_DESCARTE")</f>
        <v/>
      </c>
      <c r="J822" s="13">
        <f>G822-H822-I822</f>
        <v/>
      </c>
      <c r="K822">
        <f>IF(A822="","",IF(J822&lt;=IFERROR(VLOOKUP(A822,Cadastro_Produtos!$A:$E,5,FALSE),0),"ABAIXO DO MINIMO","OK"))</f>
        <v/>
      </c>
    </row>
    <row r="823">
      <c r="B823">
        <f>IFERROR(VLOOKUP(A823,Cadastro_Produtos!A:B,2,FALSE),"")</f>
        <v/>
      </c>
      <c r="D823" s="12" t="n"/>
      <c r="E823" s="13">
        <f>IF(D823="","",D823-TODAY())</f>
        <v/>
      </c>
      <c r="F823">
        <f>IF(D823="","",IF(E823&lt;0,"VENCIDO",IF(E823&lt;=30,"VENCE EM &lt;= 30 DIAS",IF(E823&lt;=60,"ATENCAO (31-60 DIAS)","OK"))))</f>
        <v/>
      </c>
      <c r="G823" s="13">
        <f>SUMIFS(Movimentacoes!$G:$G,Movimentacoes!$C:$C,$A823,Movimentacoes!$E:$E,$C823,Movimentacoes!$B:$B,"ENTRADA")</f>
        <v/>
      </c>
      <c r="H823" s="13">
        <f>SUMIFS(Movimentacoes!$G:$G,Movimentacoes!$C:$C,$A823,Movimentacoes!$E:$E,$C823,Movimentacoes!$B:$B,"SAIDA_USO")</f>
        <v/>
      </c>
      <c r="I823" s="13">
        <f>SUMIFS(Movimentacoes!$G:$G,Movimentacoes!$C:$C,$A823,Movimentacoes!$E:$E,$C823,Movimentacoes!$B:$B,"SAIDA_DESCARTE")</f>
        <v/>
      </c>
      <c r="J823" s="13">
        <f>G823-H823-I823</f>
        <v/>
      </c>
      <c r="K823">
        <f>IF(A823="","",IF(J823&lt;=IFERROR(VLOOKUP(A823,Cadastro_Produtos!$A:$E,5,FALSE),0),"ABAIXO DO MINIMO","OK"))</f>
        <v/>
      </c>
    </row>
    <row r="824">
      <c r="B824">
        <f>IFERROR(VLOOKUP(A824,Cadastro_Produtos!A:B,2,FALSE),"")</f>
        <v/>
      </c>
      <c r="D824" s="12" t="n"/>
      <c r="E824" s="13">
        <f>IF(D824="","",D824-TODAY())</f>
        <v/>
      </c>
      <c r="F824">
        <f>IF(D824="","",IF(E824&lt;0,"VENCIDO",IF(E824&lt;=30,"VENCE EM &lt;= 30 DIAS",IF(E824&lt;=60,"ATENCAO (31-60 DIAS)","OK"))))</f>
        <v/>
      </c>
      <c r="G824" s="13">
        <f>SUMIFS(Movimentacoes!$G:$G,Movimentacoes!$C:$C,$A824,Movimentacoes!$E:$E,$C824,Movimentacoes!$B:$B,"ENTRADA")</f>
        <v/>
      </c>
      <c r="H824" s="13">
        <f>SUMIFS(Movimentacoes!$G:$G,Movimentacoes!$C:$C,$A824,Movimentacoes!$E:$E,$C824,Movimentacoes!$B:$B,"SAIDA_USO")</f>
        <v/>
      </c>
      <c r="I824" s="13">
        <f>SUMIFS(Movimentacoes!$G:$G,Movimentacoes!$C:$C,$A824,Movimentacoes!$E:$E,$C824,Movimentacoes!$B:$B,"SAIDA_DESCARTE")</f>
        <v/>
      </c>
      <c r="J824" s="13">
        <f>G824-H824-I824</f>
        <v/>
      </c>
      <c r="K824">
        <f>IF(A824="","",IF(J824&lt;=IFERROR(VLOOKUP(A824,Cadastro_Produtos!$A:$E,5,FALSE),0),"ABAIXO DO MINIMO","OK"))</f>
        <v/>
      </c>
    </row>
    <row r="825">
      <c r="B825">
        <f>IFERROR(VLOOKUP(A825,Cadastro_Produtos!A:B,2,FALSE),"")</f>
        <v/>
      </c>
      <c r="D825" s="12" t="n"/>
      <c r="E825" s="13">
        <f>IF(D825="","",D825-TODAY())</f>
        <v/>
      </c>
      <c r="F825">
        <f>IF(D825="","",IF(E825&lt;0,"VENCIDO",IF(E825&lt;=30,"VENCE EM &lt;= 30 DIAS",IF(E825&lt;=60,"ATENCAO (31-60 DIAS)","OK"))))</f>
        <v/>
      </c>
      <c r="G825" s="13">
        <f>SUMIFS(Movimentacoes!$G:$G,Movimentacoes!$C:$C,$A825,Movimentacoes!$E:$E,$C825,Movimentacoes!$B:$B,"ENTRADA")</f>
        <v/>
      </c>
      <c r="H825" s="13">
        <f>SUMIFS(Movimentacoes!$G:$G,Movimentacoes!$C:$C,$A825,Movimentacoes!$E:$E,$C825,Movimentacoes!$B:$B,"SAIDA_USO")</f>
        <v/>
      </c>
      <c r="I825" s="13">
        <f>SUMIFS(Movimentacoes!$G:$G,Movimentacoes!$C:$C,$A825,Movimentacoes!$E:$E,$C825,Movimentacoes!$B:$B,"SAIDA_DESCARTE")</f>
        <v/>
      </c>
      <c r="J825" s="13">
        <f>G825-H825-I825</f>
        <v/>
      </c>
      <c r="K825">
        <f>IF(A825="","",IF(J825&lt;=IFERROR(VLOOKUP(A825,Cadastro_Produtos!$A:$E,5,FALSE),0),"ABAIXO DO MINIMO","OK"))</f>
        <v/>
      </c>
    </row>
    <row r="826">
      <c r="B826">
        <f>IFERROR(VLOOKUP(A826,Cadastro_Produtos!A:B,2,FALSE),"")</f>
        <v/>
      </c>
      <c r="D826" s="12" t="n"/>
      <c r="E826" s="13">
        <f>IF(D826="","",D826-TODAY())</f>
        <v/>
      </c>
      <c r="F826">
        <f>IF(D826="","",IF(E826&lt;0,"VENCIDO",IF(E826&lt;=30,"VENCE EM &lt;= 30 DIAS",IF(E826&lt;=60,"ATENCAO (31-60 DIAS)","OK"))))</f>
        <v/>
      </c>
      <c r="G826" s="13">
        <f>SUMIFS(Movimentacoes!$G:$G,Movimentacoes!$C:$C,$A826,Movimentacoes!$E:$E,$C826,Movimentacoes!$B:$B,"ENTRADA")</f>
        <v/>
      </c>
      <c r="H826" s="13">
        <f>SUMIFS(Movimentacoes!$G:$G,Movimentacoes!$C:$C,$A826,Movimentacoes!$E:$E,$C826,Movimentacoes!$B:$B,"SAIDA_USO")</f>
        <v/>
      </c>
      <c r="I826" s="13">
        <f>SUMIFS(Movimentacoes!$G:$G,Movimentacoes!$C:$C,$A826,Movimentacoes!$E:$E,$C826,Movimentacoes!$B:$B,"SAIDA_DESCARTE")</f>
        <v/>
      </c>
      <c r="J826" s="13">
        <f>G826-H826-I826</f>
        <v/>
      </c>
      <c r="K826">
        <f>IF(A826="","",IF(J826&lt;=IFERROR(VLOOKUP(A826,Cadastro_Produtos!$A:$E,5,FALSE),0),"ABAIXO DO MINIMO","OK"))</f>
        <v/>
      </c>
    </row>
    <row r="827">
      <c r="B827">
        <f>IFERROR(VLOOKUP(A827,Cadastro_Produtos!A:B,2,FALSE),"")</f>
        <v/>
      </c>
      <c r="D827" s="12" t="n"/>
      <c r="E827" s="13">
        <f>IF(D827="","",D827-TODAY())</f>
        <v/>
      </c>
      <c r="F827">
        <f>IF(D827="","",IF(E827&lt;0,"VENCIDO",IF(E827&lt;=30,"VENCE EM &lt;= 30 DIAS",IF(E827&lt;=60,"ATENCAO (31-60 DIAS)","OK"))))</f>
        <v/>
      </c>
      <c r="G827" s="13">
        <f>SUMIFS(Movimentacoes!$G:$G,Movimentacoes!$C:$C,$A827,Movimentacoes!$E:$E,$C827,Movimentacoes!$B:$B,"ENTRADA")</f>
        <v/>
      </c>
      <c r="H827" s="13">
        <f>SUMIFS(Movimentacoes!$G:$G,Movimentacoes!$C:$C,$A827,Movimentacoes!$E:$E,$C827,Movimentacoes!$B:$B,"SAIDA_USO")</f>
        <v/>
      </c>
      <c r="I827" s="13">
        <f>SUMIFS(Movimentacoes!$G:$G,Movimentacoes!$C:$C,$A827,Movimentacoes!$E:$E,$C827,Movimentacoes!$B:$B,"SAIDA_DESCARTE")</f>
        <v/>
      </c>
      <c r="J827" s="13">
        <f>G827-H827-I827</f>
        <v/>
      </c>
      <c r="K827">
        <f>IF(A827="","",IF(J827&lt;=IFERROR(VLOOKUP(A827,Cadastro_Produtos!$A:$E,5,FALSE),0),"ABAIXO DO MINIMO","OK"))</f>
        <v/>
      </c>
    </row>
    <row r="828">
      <c r="B828">
        <f>IFERROR(VLOOKUP(A828,Cadastro_Produtos!A:B,2,FALSE),"")</f>
        <v/>
      </c>
      <c r="D828" s="12" t="n"/>
      <c r="E828" s="13">
        <f>IF(D828="","",D828-TODAY())</f>
        <v/>
      </c>
      <c r="F828">
        <f>IF(D828="","",IF(E828&lt;0,"VENCIDO",IF(E828&lt;=30,"VENCE EM &lt;= 30 DIAS",IF(E828&lt;=60,"ATENCAO (31-60 DIAS)","OK"))))</f>
        <v/>
      </c>
      <c r="G828" s="13">
        <f>SUMIFS(Movimentacoes!$G:$G,Movimentacoes!$C:$C,$A828,Movimentacoes!$E:$E,$C828,Movimentacoes!$B:$B,"ENTRADA")</f>
        <v/>
      </c>
      <c r="H828" s="13">
        <f>SUMIFS(Movimentacoes!$G:$G,Movimentacoes!$C:$C,$A828,Movimentacoes!$E:$E,$C828,Movimentacoes!$B:$B,"SAIDA_USO")</f>
        <v/>
      </c>
      <c r="I828" s="13">
        <f>SUMIFS(Movimentacoes!$G:$G,Movimentacoes!$C:$C,$A828,Movimentacoes!$E:$E,$C828,Movimentacoes!$B:$B,"SAIDA_DESCARTE")</f>
        <v/>
      </c>
      <c r="J828" s="13">
        <f>G828-H828-I828</f>
        <v/>
      </c>
      <c r="K828">
        <f>IF(A828="","",IF(J828&lt;=IFERROR(VLOOKUP(A828,Cadastro_Produtos!$A:$E,5,FALSE),0),"ABAIXO DO MINIMO","OK"))</f>
        <v/>
      </c>
    </row>
    <row r="829">
      <c r="B829">
        <f>IFERROR(VLOOKUP(A829,Cadastro_Produtos!A:B,2,FALSE),"")</f>
        <v/>
      </c>
      <c r="D829" s="12" t="n"/>
      <c r="E829" s="13">
        <f>IF(D829="","",D829-TODAY())</f>
        <v/>
      </c>
      <c r="F829">
        <f>IF(D829="","",IF(E829&lt;0,"VENCIDO",IF(E829&lt;=30,"VENCE EM &lt;= 30 DIAS",IF(E829&lt;=60,"ATENCAO (31-60 DIAS)","OK"))))</f>
        <v/>
      </c>
      <c r="G829" s="13">
        <f>SUMIFS(Movimentacoes!$G:$G,Movimentacoes!$C:$C,$A829,Movimentacoes!$E:$E,$C829,Movimentacoes!$B:$B,"ENTRADA")</f>
        <v/>
      </c>
      <c r="H829" s="13">
        <f>SUMIFS(Movimentacoes!$G:$G,Movimentacoes!$C:$C,$A829,Movimentacoes!$E:$E,$C829,Movimentacoes!$B:$B,"SAIDA_USO")</f>
        <v/>
      </c>
      <c r="I829" s="13">
        <f>SUMIFS(Movimentacoes!$G:$G,Movimentacoes!$C:$C,$A829,Movimentacoes!$E:$E,$C829,Movimentacoes!$B:$B,"SAIDA_DESCARTE")</f>
        <v/>
      </c>
      <c r="J829" s="13">
        <f>G829-H829-I829</f>
        <v/>
      </c>
      <c r="K829">
        <f>IF(A829="","",IF(J829&lt;=IFERROR(VLOOKUP(A829,Cadastro_Produtos!$A:$E,5,FALSE),0),"ABAIXO DO MINIMO","OK"))</f>
        <v/>
      </c>
    </row>
    <row r="830">
      <c r="B830">
        <f>IFERROR(VLOOKUP(A830,Cadastro_Produtos!A:B,2,FALSE),"")</f>
        <v/>
      </c>
      <c r="D830" s="12" t="n"/>
      <c r="E830" s="13">
        <f>IF(D830="","",D830-TODAY())</f>
        <v/>
      </c>
      <c r="F830">
        <f>IF(D830="","",IF(E830&lt;0,"VENCIDO",IF(E830&lt;=30,"VENCE EM &lt;= 30 DIAS",IF(E830&lt;=60,"ATENCAO (31-60 DIAS)","OK"))))</f>
        <v/>
      </c>
      <c r="G830" s="13">
        <f>SUMIFS(Movimentacoes!$G:$G,Movimentacoes!$C:$C,$A830,Movimentacoes!$E:$E,$C830,Movimentacoes!$B:$B,"ENTRADA")</f>
        <v/>
      </c>
      <c r="H830" s="13">
        <f>SUMIFS(Movimentacoes!$G:$G,Movimentacoes!$C:$C,$A830,Movimentacoes!$E:$E,$C830,Movimentacoes!$B:$B,"SAIDA_USO")</f>
        <v/>
      </c>
      <c r="I830" s="13">
        <f>SUMIFS(Movimentacoes!$G:$G,Movimentacoes!$C:$C,$A830,Movimentacoes!$E:$E,$C830,Movimentacoes!$B:$B,"SAIDA_DESCARTE")</f>
        <v/>
      </c>
      <c r="J830" s="13">
        <f>G830-H830-I830</f>
        <v/>
      </c>
      <c r="K830">
        <f>IF(A830="","",IF(J830&lt;=IFERROR(VLOOKUP(A830,Cadastro_Produtos!$A:$E,5,FALSE),0),"ABAIXO DO MINIMO","OK"))</f>
        <v/>
      </c>
    </row>
    <row r="831">
      <c r="B831">
        <f>IFERROR(VLOOKUP(A831,Cadastro_Produtos!A:B,2,FALSE),"")</f>
        <v/>
      </c>
      <c r="D831" s="12" t="n"/>
      <c r="E831" s="13">
        <f>IF(D831="","",D831-TODAY())</f>
        <v/>
      </c>
      <c r="F831">
        <f>IF(D831="","",IF(E831&lt;0,"VENCIDO",IF(E831&lt;=30,"VENCE EM &lt;= 30 DIAS",IF(E831&lt;=60,"ATENCAO (31-60 DIAS)","OK"))))</f>
        <v/>
      </c>
      <c r="G831" s="13">
        <f>SUMIFS(Movimentacoes!$G:$G,Movimentacoes!$C:$C,$A831,Movimentacoes!$E:$E,$C831,Movimentacoes!$B:$B,"ENTRADA")</f>
        <v/>
      </c>
      <c r="H831" s="13">
        <f>SUMIFS(Movimentacoes!$G:$G,Movimentacoes!$C:$C,$A831,Movimentacoes!$E:$E,$C831,Movimentacoes!$B:$B,"SAIDA_USO")</f>
        <v/>
      </c>
      <c r="I831" s="13">
        <f>SUMIFS(Movimentacoes!$G:$G,Movimentacoes!$C:$C,$A831,Movimentacoes!$E:$E,$C831,Movimentacoes!$B:$B,"SAIDA_DESCARTE")</f>
        <v/>
      </c>
      <c r="J831" s="13">
        <f>G831-H831-I831</f>
        <v/>
      </c>
      <c r="K831">
        <f>IF(A831="","",IF(J831&lt;=IFERROR(VLOOKUP(A831,Cadastro_Produtos!$A:$E,5,FALSE),0),"ABAIXO DO MINIMO","OK"))</f>
        <v/>
      </c>
    </row>
    <row r="832">
      <c r="B832">
        <f>IFERROR(VLOOKUP(A832,Cadastro_Produtos!A:B,2,FALSE),"")</f>
        <v/>
      </c>
      <c r="D832" s="12" t="n"/>
      <c r="E832" s="13">
        <f>IF(D832="","",D832-TODAY())</f>
        <v/>
      </c>
      <c r="F832">
        <f>IF(D832="","",IF(E832&lt;0,"VENCIDO",IF(E832&lt;=30,"VENCE EM &lt;= 30 DIAS",IF(E832&lt;=60,"ATENCAO (31-60 DIAS)","OK"))))</f>
        <v/>
      </c>
      <c r="G832" s="13">
        <f>SUMIFS(Movimentacoes!$G:$G,Movimentacoes!$C:$C,$A832,Movimentacoes!$E:$E,$C832,Movimentacoes!$B:$B,"ENTRADA")</f>
        <v/>
      </c>
      <c r="H832" s="13">
        <f>SUMIFS(Movimentacoes!$G:$G,Movimentacoes!$C:$C,$A832,Movimentacoes!$E:$E,$C832,Movimentacoes!$B:$B,"SAIDA_USO")</f>
        <v/>
      </c>
      <c r="I832" s="13">
        <f>SUMIFS(Movimentacoes!$G:$G,Movimentacoes!$C:$C,$A832,Movimentacoes!$E:$E,$C832,Movimentacoes!$B:$B,"SAIDA_DESCARTE")</f>
        <v/>
      </c>
      <c r="J832" s="13">
        <f>G832-H832-I832</f>
        <v/>
      </c>
      <c r="K832">
        <f>IF(A832="","",IF(J832&lt;=IFERROR(VLOOKUP(A832,Cadastro_Produtos!$A:$E,5,FALSE),0),"ABAIXO DO MINIMO","OK"))</f>
        <v/>
      </c>
    </row>
    <row r="833">
      <c r="B833">
        <f>IFERROR(VLOOKUP(A833,Cadastro_Produtos!A:B,2,FALSE),"")</f>
        <v/>
      </c>
      <c r="D833" s="12" t="n"/>
      <c r="E833" s="13">
        <f>IF(D833="","",D833-TODAY())</f>
        <v/>
      </c>
      <c r="F833">
        <f>IF(D833="","",IF(E833&lt;0,"VENCIDO",IF(E833&lt;=30,"VENCE EM &lt;= 30 DIAS",IF(E833&lt;=60,"ATENCAO (31-60 DIAS)","OK"))))</f>
        <v/>
      </c>
      <c r="G833" s="13">
        <f>SUMIFS(Movimentacoes!$G:$G,Movimentacoes!$C:$C,$A833,Movimentacoes!$E:$E,$C833,Movimentacoes!$B:$B,"ENTRADA")</f>
        <v/>
      </c>
      <c r="H833" s="13">
        <f>SUMIFS(Movimentacoes!$G:$G,Movimentacoes!$C:$C,$A833,Movimentacoes!$E:$E,$C833,Movimentacoes!$B:$B,"SAIDA_USO")</f>
        <v/>
      </c>
      <c r="I833" s="13">
        <f>SUMIFS(Movimentacoes!$G:$G,Movimentacoes!$C:$C,$A833,Movimentacoes!$E:$E,$C833,Movimentacoes!$B:$B,"SAIDA_DESCARTE")</f>
        <v/>
      </c>
      <c r="J833" s="13">
        <f>G833-H833-I833</f>
        <v/>
      </c>
      <c r="K833">
        <f>IF(A833="","",IF(J833&lt;=IFERROR(VLOOKUP(A833,Cadastro_Produtos!$A:$E,5,FALSE),0),"ABAIXO DO MINIMO","OK"))</f>
        <v/>
      </c>
    </row>
    <row r="834">
      <c r="B834">
        <f>IFERROR(VLOOKUP(A834,Cadastro_Produtos!A:B,2,FALSE),"")</f>
        <v/>
      </c>
      <c r="D834" s="12" t="n"/>
      <c r="E834" s="13">
        <f>IF(D834="","",D834-TODAY())</f>
        <v/>
      </c>
      <c r="F834">
        <f>IF(D834="","",IF(E834&lt;0,"VENCIDO",IF(E834&lt;=30,"VENCE EM &lt;= 30 DIAS",IF(E834&lt;=60,"ATENCAO (31-60 DIAS)","OK"))))</f>
        <v/>
      </c>
      <c r="G834" s="13">
        <f>SUMIFS(Movimentacoes!$G:$G,Movimentacoes!$C:$C,$A834,Movimentacoes!$E:$E,$C834,Movimentacoes!$B:$B,"ENTRADA")</f>
        <v/>
      </c>
      <c r="H834" s="13">
        <f>SUMIFS(Movimentacoes!$G:$G,Movimentacoes!$C:$C,$A834,Movimentacoes!$E:$E,$C834,Movimentacoes!$B:$B,"SAIDA_USO")</f>
        <v/>
      </c>
      <c r="I834" s="13">
        <f>SUMIFS(Movimentacoes!$G:$G,Movimentacoes!$C:$C,$A834,Movimentacoes!$E:$E,$C834,Movimentacoes!$B:$B,"SAIDA_DESCARTE")</f>
        <v/>
      </c>
      <c r="J834" s="13">
        <f>G834-H834-I834</f>
        <v/>
      </c>
      <c r="K834">
        <f>IF(A834="","",IF(J834&lt;=IFERROR(VLOOKUP(A834,Cadastro_Produtos!$A:$E,5,FALSE),0),"ABAIXO DO MINIMO","OK"))</f>
        <v/>
      </c>
    </row>
    <row r="835">
      <c r="B835">
        <f>IFERROR(VLOOKUP(A835,Cadastro_Produtos!A:B,2,FALSE),"")</f>
        <v/>
      </c>
      <c r="D835" s="12" t="n"/>
      <c r="E835" s="13">
        <f>IF(D835="","",D835-TODAY())</f>
        <v/>
      </c>
      <c r="F835">
        <f>IF(D835="","",IF(E835&lt;0,"VENCIDO",IF(E835&lt;=30,"VENCE EM &lt;= 30 DIAS",IF(E835&lt;=60,"ATENCAO (31-60 DIAS)","OK"))))</f>
        <v/>
      </c>
      <c r="G835" s="13">
        <f>SUMIFS(Movimentacoes!$G:$G,Movimentacoes!$C:$C,$A835,Movimentacoes!$E:$E,$C835,Movimentacoes!$B:$B,"ENTRADA")</f>
        <v/>
      </c>
      <c r="H835" s="13">
        <f>SUMIFS(Movimentacoes!$G:$G,Movimentacoes!$C:$C,$A835,Movimentacoes!$E:$E,$C835,Movimentacoes!$B:$B,"SAIDA_USO")</f>
        <v/>
      </c>
      <c r="I835" s="13">
        <f>SUMIFS(Movimentacoes!$G:$G,Movimentacoes!$C:$C,$A835,Movimentacoes!$E:$E,$C835,Movimentacoes!$B:$B,"SAIDA_DESCARTE")</f>
        <v/>
      </c>
      <c r="J835" s="13">
        <f>G835-H835-I835</f>
        <v/>
      </c>
      <c r="K835">
        <f>IF(A835="","",IF(J835&lt;=IFERROR(VLOOKUP(A835,Cadastro_Produtos!$A:$E,5,FALSE),0),"ABAIXO DO MINIMO","OK"))</f>
        <v/>
      </c>
    </row>
    <row r="836">
      <c r="B836">
        <f>IFERROR(VLOOKUP(A836,Cadastro_Produtos!A:B,2,FALSE),"")</f>
        <v/>
      </c>
      <c r="D836" s="12" t="n"/>
      <c r="E836" s="13">
        <f>IF(D836="","",D836-TODAY())</f>
        <v/>
      </c>
      <c r="F836">
        <f>IF(D836="","",IF(E836&lt;0,"VENCIDO",IF(E836&lt;=30,"VENCE EM &lt;= 30 DIAS",IF(E836&lt;=60,"ATENCAO (31-60 DIAS)","OK"))))</f>
        <v/>
      </c>
      <c r="G836" s="13">
        <f>SUMIFS(Movimentacoes!$G:$G,Movimentacoes!$C:$C,$A836,Movimentacoes!$E:$E,$C836,Movimentacoes!$B:$B,"ENTRADA")</f>
        <v/>
      </c>
      <c r="H836" s="13">
        <f>SUMIFS(Movimentacoes!$G:$G,Movimentacoes!$C:$C,$A836,Movimentacoes!$E:$E,$C836,Movimentacoes!$B:$B,"SAIDA_USO")</f>
        <v/>
      </c>
      <c r="I836" s="13">
        <f>SUMIFS(Movimentacoes!$G:$G,Movimentacoes!$C:$C,$A836,Movimentacoes!$E:$E,$C836,Movimentacoes!$B:$B,"SAIDA_DESCARTE")</f>
        <v/>
      </c>
      <c r="J836" s="13">
        <f>G836-H836-I836</f>
        <v/>
      </c>
      <c r="K836">
        <f>IF(A836="","",IF(J836&lt;=IFERROR(VLOOKUP(A836,Cadastro_Produtos!$A:$E,5,FALSE),0),"ABAIXO DO MINIMO","OK"))</f>
        <v/>
      </c>
    </row>
    <row r="837">
      <c r="B837">
        <f>IFERROR(VLOOKUP(A837,Cadastro_Produtos!A:B,2,FALSE),"")</f>
        <v/>
      </c>
      <c r="D837" s="12" t="n"/>
      <c r="E837" s="13">
        <f>IF(D837="","",D837-TODAY())</f>
        <v/>
      </c>
      <c r="F837">
        <f>IF(D837="","",IF(E837&lt;0,"VENCIDO",IF(E837&lt;=30,"VENCE EM &lt;= 30 DIAS",IF(E837&lt;=60,"ATENCAO (31-60 DIAS)","OK"))))</f>
        <v/>
      </c>
      <c r="G837" s="13">
        <f>SUMIFS(Movimentacoes!$G:$G,Movimentacoes!$C:$C,$A837,Movimentacoes!$E:$E,$C837,Movimentacoes!$B:$B,"ENTRADA")</f>
        <v/>
      </c>
      <c r="H837" s="13">
        <f>SUMIFS(Movimentacoes!$G:$G,Movimentacoes!$C:$C,$A837,Movimentacoes!$E:$E,$C837,Movimentacoes!$B:$B,"SAIDA_USO")</f>
        <v/>
      </c>
      <c r="I837" s="13">
        <f>SUMIFS(Movimentacoes!$G:$G,Movimentacoes!$C:$C,$A837,Movimentacoes!$E:$E,$C837,Movimentacoes!$B:$B,"SAIDA_DESCARTE")</f>
        <v/>
      </c>
      <c r="J837" s="13">
        <f>G837-H837-I837</f>
        <v/>
      </c>
      <c r="K837">
        <f>IF(A837="","",IF(J837&lt;=IFERROR(VLOOKUP(A837,Cadastro_Produtos!$A:$E,5,FALSE),0),"ABAIXO DO MINIMO","OK"))</f>
        <v/>
      </c>
    </row>
    <row r="838">
      <c r="B838">
        <f>IFERROR(VLOOKUP(A838,Cadastro_Produtos!A:B,2,FALSE),"")</f>
        <v/>
      </c>
      <c r="D838" s="12" t="n"/>
      <c r="E838" s="13">
        <f>IF(D838="","",D838-TODAY())</f>
        <v/>
      </c>
      <c r="F838">
        <f>IF(D838="","",IF(E838&lt;0,"VENCIDO",IF(E838&lt;=30,"VENCE EM &lt;= 30 DIAS",IF(E838&lt;=60,"ATENCAO (31-60 DIAS)","OK"))))</f>
        <v/>
      </c>
      <c r="G838" s="13">
        <f>SUMIFS(Movimentacoes!$G:$G,Movimentacoes!$C:$C,$A838,Movimentacoes!$E:$E,$C838,Movimentacoes!$B:$B,"ENTRADA")</f>
        <v/>
      </c>
      <c r="H838" s="13">
        <f>SUMIFS(Movimentacoes!$G:$G,Movimentacoes!$C:$C,$A838,Movimentacoes!$E:$E,$C838,Movimentacoes!$B:$B,"SAIDA_USO")</f>
        <v/>
      </c>
      <c r="I838" s="13">
        <f>SUMIFS(Movimentacoes!$G:$G,Movimentacoes!$C:$C,$A838,Movimentacoes!$E:$E,$C838,Movimentacoes!$B:$B,"SAIDA_DESCARTE")</f>
        <v/>
      </c>
      <c r="J838" s="13">
        <f>G838-H838-I838</f>
        <v/>
      </c>
      <c r="K838">
        <f>IF(A838="","",IF(J838&lt;=IFERROR(VLOOKUP(A838,Cadastro_Produtos!$A:$E,5,FALSE),0),"ABAIXO DO MINIMO","OK"))</f>
        <v/>
      </c>
    </row>
    <row r="839">
      <c r="B839">
        <f>IFERROR(VLOOKUP(A839,Cadastro_Produtos!A:B,2,FALSE),"")</f>
        <v/>
      </c>
      <c r="D839" s="12" t="n"/>
      <c r="E839" s="13">
        <f>IF(D839="","",D839-TODAY())</f>
        <v/>
      </c>
      <c r="F839">
        <f>IF(D839="","",IF(E839&lt;0,"VENCIDO",IF(E839&lt;=30,"VENCE EM &lt;= 30 DIAS",IF(E839&lt;=60,"ATENCAO (31-60 DIAS)","OK"))))</f>
        <v/>
      </c>
      <c r="G839" s="13">
        <f>SUMIFS(Movimentacoes!$G:$G,Movimentacoes!$C:$C,$A839,Movimentacoes!$E:$E,$C839,Movimentacoes!$B:$B,"ENTRADA")</f>
        <v/>
      </c>
      <c r="H839" s="13">
        <f>SUMIFS(Movimentacoes!$G:$G,Movimentacoes!$C:$C,$A839,Movimentacoes!$E:$E,$C839,Movimentacoes!$B:$B,"SAIDA_USO")</f>
        <v/>
      </c>
      <c r="I839" s="13">
        <f>SUMIFS(Movimentacoes!$G:$G,Movimentacoes!$C:$C,$A839,Movimentacoes!$E:$E,$C839,Movimentacoes!$B:$B,"SAIDA_DESCARTE")</f>
        <v/>
      </c>
      <c r="J839" s="13">
        <f>G839-H839-I839</f>
        <v/>
      </c>
      <c r="K839">
        <f>IF(A839="","",IF(J839&lt;=IFERROR(VLOOKUP(A839,Cadastro_Produtos!$A:$E,5,FALSE),0),"ABAIXO DO MINIMO","OK"))</f>
        <v/>
      </c>
    </row>
    <row r="840">
      <c r="B840">
        <f>IFERROR(VLOOKUP(A840,Cadastro_Produtos!A:B,2,FALSE),"")</f>
        <v/>
      </c>
      <c r="D840" s="12" t="n"/>
      <c r="E840" s="13">
        <f>IF(D840="","",D840-TODAY())</f>
        <v/>
      </c>
      <c r="F840">
        <f>IF(D840="","",IF(E840&lt;0,"VENCIDO",IF(E840&lt;=30,"VENCE EM &lt;= 30 DIAS",IF(E840&lt;=60,"ATENCAO (31-60 DIAS)","OK"))))</f>
        <v/>
      </c>
      <c r="G840" s="13">
        <f>SUMIFS(Movimentacoes!$G:$G,Movimentacoes!$C:$C,$A840,Movimentacoes!$E:$E,$C840,Movimentacoes!$B:$B,"ENTRADA")</f>
        <v/>
      </c>
      <c r="H840" s="13">
        <f>SUMIFS(Movimentacoes!$G:$G,Movimentacoes!$C:$C,$A840,Movimentacoes!$E:$E,$C840,Movimentacoes!$B:$B,"SAIDA_USO")</f>
        <v/>
      </c>
      <c r="I840" s="13">
        <f>SUMIFS(Movimentacoes!$G:$G,Movimentacoes!$C:$C,$A840,Movimentacoes!$E:$E,$C840,Movimentacoes!$B:$B,"SAIDA_DESCARTE")</f>
        <v/>
      </c>
      <c r="J840" s="13">
        <f>G840-H840-I840</f>
        <v/>
      </c>
      <c r="K840">
        <f>IF(A840="","",IF(J840&lt;=IFERROR(VLOOKUP(A840,Cadastro_Produtos!$A:$E,5,FALSE),0),"ABAIXO DO MINIMO","OK"))</f>
        <v/>
      </c>
    </row>
    <row r="841">
      <c r="B841">
        <f>IFERROR(VLOOKUP(A841,Cadastro_Produtos!A:B,2,FALSE),"")</f>
        <v/>
      </c>
      <c r="D841" s="12" t="n"/>
      <c r="E841" s="13">
        <f>IF(D841="","",D841-TODAY())</f>
        <v/>
      </c>
      <c r="F841">
        <f>IF(D841="","",IF(E841&lt;0,"VENCIDO",IF(E841&lt;=30,"VENCE EM &lt;= 30 DIAS",IF(E841&lt;=60,"ATENCAO (31-60 DIAS)","OK"))))</f>
        <v/>
      </c>
      <c r="G841" s="13">
        <f>SUMIFS(Movimentacoes!$G:$G,Movimentacoes!$C:$C,$A841,Movimentacoes!$E:$E,$C841,Movimentacoes!$B:$B,"ENTRADA")</f>
        <v/>
      </c>
      <c r="H841" s="13">
        <f>SUMIFS(Movimentacoes!$G:$G,Movimentacoes!$C:$C,$A841,Movimentacoes!$E:$E,$C841,Movimentacoes!$B:$B,"SAIDA_USO")</f>
        <v/>
      </c>
      <c r="I841" s="13">
        <f>SUMIFS(Movimentacoes!$G:$G,Movimentacoes!$C:$C,$A841,Movimentacoes!$E:$E,$C841,Movimentacoes!$B:$B,"SAIDA_DESCARTE")</f>
        <v/>
      </c>
      <c r="J841" s="13">
        <f>G841-H841-I841</f>
        <v/>
      </c>
      <c r="K841">
        <f>IF(A841="","",IF(J841&lt;=IFERROR(VLOOKUP(A841,Cadastro_Produtos!$A:$E,5,FALSE),0),"ABAIXO DO MINIMO","OK"))</f>
        <v/>
      </c>
    </row>
    <row r="842">
      <c r="B842">
        <f>IFERROR(VLOOKUP(A842,Cadastro_Produtos!A:B,2,FALSE),"")</f>
        <v/>
      </c>
      <c r="D842" s="12" t="n"/>
      <c r="E842" s="13">
        <f>IF(D842="","",D842-TODAY())</f>
        <v/>
      </c>
      <c r="F842">
        <f>IF(D842="","",IF(E842&lt;0,"VENCIDO",IF(E842&lt;=30,"VENCE EM &lt;= 30 DIAS",IF(E842&lt;=60,"ATENCAO (31-60 DIAS)","OK"))))</f>
        <v/>
      </c>
      <c r="G842" s="13">
        <f>SUMIFS(Movimentacoes!$G:$G,Movimentacoes!$C:$C,$A842,Movimentacoes!$E:$E,$C842,Movimentacoes!$B:$B,"ENTRADA")</f>
        <v/>
      </c>
      <c r="H842" s="13">
        <f>SUMIFS(Movimentacoes!$G:$G,Movimentacoes!$C:$C,$A842,Movimentacoes!$E:$E,$C842,Movimentacoes!$B:$B,"SAIDA_USO")</f>
        <v/>
      </c>
      <c r="I842" s="13">
        <f>SUMIFS(Movimentacoes!$G:$G,Movimentacoes!$C:$C,$A842,Movimentacoes!$E:$E,$C842,Movimentacoes!$B:$B,"SAIDA_DESCARTE")</f>
        <v/>
      </c>
      <c r="J842" s="13">
        <f>G842-H842-I842</f>
        <v/>
      </c>
      <c r="K842">
        <f>IF(A842="","",IF(J842&lt;=IFERROR(VLOOKUP(A842,Cadastro_Produtos!$A:$E,5,FALSE),0),"ABAIXO DO MINIMO","OK"))</f>
        <v/>
      </c>
    </row>
    <row r="843">
      <c r="B843">
        <f>IFERROR(VLOOKUP(A843,Cadastro_Produtos!A:B,2,FALSE),"")</f>
        <v/>
      </c>
      <c r="D843" s="12" t="n"/>
      <c r="E843" s="13">
        <f>IF(D843="","",D843-TODAY())</f>
        <v/>
      </c>
      <c r="F843">
        <f>IF(D843="","",IF(E843&lt;0,"VENCIDO",IF(E843&lt;=30,"VENCE EM &lt;= 30 DIAS",IF(E843&lt;=60,"ATENCAO (31-60 DIAS)","OK"))))</f>
        <v/>
      </c>
      <c r="G843" s="13">
        <f>SUMIFS(Movimentacoes!$G:$G,Movimentacoes!$C:$C,$A843,Movimentacoes!$E:$E,$C843,Movimentacoes!$B:$B,"ENTRADA")</f>
        <v/>
      </c>
      <c r="H843" s="13">
        <f>SUMIFS(Movimentacoes!$G:$G,Movimentacoes!$C:$C,$A843,Movimentacoes!$E:$E,$C843,Movimentacoes!$B:$B,"SAIDA_USO")</f>
        <v/>
      </c>
      <c r="I843" s="13">
        <f>SUMIFS(Movimentacoes!$G:$G,Movimentacoes!$C:$C,$A843,Movimentacoes!$E:$E,$C843,Movimentacoes!$B:$B,"SAIDA_DESCARTE")</f>
        <v/>
      </c>
      <c r="J843" s="13">
        <f>G843-H843-I843</f>
        <v/>
      </c>
      <c r="K843">
        <f>IF(A843="","",IF(J843&lt;=IFERROR(VLOOKUP(A843,Cadastro_Produtos!$A:$E,5,FALSE),0),"ABAIXO DO MINIMO","OK"))</f>
        <v/>
      </c>
    </row>
    <row r="844">
      <c r="B844">
        <f>IFERROR(VLOOKUP(A844,Cadastro_Produtos!A:B,2,FALSE),"")</f>
        <v/>
      </c>
      <c r="D844" s="12" t="n"/>
      <c r="E844" s="13">
        <f>IF(D844="","",D844-TODAY())</f>
        <v/>
      </c>
      <c r="F844">
        <f>IF(D844="","",IF(E844&lt;0,"VENCIDO",IF(E844&lt;=30,"VENCE EM &lt;= 30 DIAS",IF(E844&lt;=60,"ATENCAO (31-60 DIAS)","OK"))))</f>
        <v/>
      </c>
      <c r="G844" s="13">
        <f>SUMIFS(Movimentacoes!$G:$G,Movimentacoes!$C:$C,$A844,Movimentacoes!$E:$E,$C844,Movimentacoes!$B:$B,"ENTRADA")</f>
        <v/>
      </c>
      <c r="H844" s="13">
        <f>SUMIFS(Movimentacoes!$G:$G,Movimentacoes!$C:$C,$A844,Movimentacoes!$E:$E,$C844,Movimentacoes!$B:$B,"SAIDA_USO")</f>
        <v/>
      </c>
      <c r="I844" s="13">
        <f>SUMIFS(Movimentacoes!$G:$G,Movimentacoes!$C:$C,$A844,Movimentacoes!$E:$E,$C844,Movimentacoes!$B:$B,"SAIDA_DESCARTE")</f>
        <v/>
      </c>
      <c r="J844" s="13">
        <f>G844-H844-I844</f>
        <v/>
      </c>
      <c r="K844">
        <f>IF(A844="","",IF(J844&lt;=IFERROR(VLOOKUP(A844,Cadastro_Produtos!$A:$E,5,FALSE),0),"ABAIXO DO MINIMO","OK"))</f>
        <v/>
      </c>
    </row>
    <row r="845">
      <c r="B845">
        <f>IFERROR(VLOOKUP(A845,Cadastro_Produtos!A:B,2,FALSE),"")</f>
        <v/>
      </c>
      <c r="D845" s="12" t="n"/>
      <c r="E845" s="13">
        <f>IF(D845="","",D845-TODAY())</f>
        <v/>
      </c>
      <c r="F845">
        <f>IF(D845="","",IF(E845&lt;0,"VENCIDO",IF(E845&lt;=30,"VENCE EM &lt;= 30 DIAS",IF(E845&lt;=60,"ATENCAO (31-60 DIAS)","OK"))))</f>
        <v/>
      </c>
      <c r="G845" s="13">
        <f>SUMIFS(Movimentacoes!$G:$G,Movimentacoes!$C:$C,$A845,Movimentacoes!$E:$E,$C845,Movimentacoes!$B:$B,"ENTRADA")</f>
        <v/>
      </c>
      <c r="H845" s="13">
        <f>SUMIFS(Movimentacoes!$G:$G,Movimentacoes!$C:$C,$A845,Movimentacoes!$E:$E,$C845,Movimentacoes!$B:$B,"SAIDA_USO")</f>
        <v/>
      </c>
      <c r="I845" s="13">
        <f>SUMIFS(Movimentacoes!$G:$G,Movimentacoes!$C:$C,$A845,Movimentacoes!$E:$E,$C845,Movimentacoes!$B:$B,"SAIDA_DESCARTE")</f>
        <v/>
      </c>
      <c r="J845" s="13">
        <f>G845-H845-I845</f>
        <v/>
      </c>
      <c r="K845">
        <f>IF(A845="","",IF(J845&lt;=IFERROR(VLOOKUP(A845,Cadastro_Produtos!$A:$E,5,FALSE),0),"ABAIXO DO MINIMO","OK"))</f>
        <v/>
      </c>
    </row>
    <row r="846">
      <c r="B846">
        <f>IFERROR(VLOOKUP(A846,Cadastro_Produtos!A:B,2,FALSE),"")</f>
        <v/>
      </c>
      <c r="D846" s="12" t="n"/>
      <c r="E846" s="13">
        <f>IF(D846="","",D846-TODAY())</f>
        <v/>
      </c>
      <c r="F846">
        <f>IF(D846="","",IF(E846&lt;0,"VENCIDO",IF(E846&lt;=30,"VENCE EM &lt;= 30 DIAS",IF(E846&lt;=60,"ATENCAO (31-60 DIAS)","OK"))))</f>
        <v/>
      </c>
      <c r="G846" s="13">
        <f>SUMIFS(Movimentacoes!$G:$G,Movimentacoes!$C:$C,$A846,Movimentacoes!$E:$E,$C846,Movimentacoes!$B:$B,"ENTRADA")</f>
        <v/>
      </c>
      <c r="H846" s="13">
        <f>SUMIFS(Movimentacoes!$G:$G,Movimentacoes!$C:$C,$A846,Movimentacoes!$E:$E,$C846,Movimentacoes!$B:$B,"SAIDA_USO")</f>
        <v/>
      </c>
      <c r="I846" s="13">
        <f>SUMIFS(Movimentacoes!$G:$G,Movimentacoes!$C:$C,$A846,Movimentacoes!$E:$E,$C846,Movimentacoes!$B:$B,"SAIDA_DESCARTE")</f>
        <v/>
      </c>
      <c r="J846" s="13">
        <f>G846-H846-I846</f>
        <v/>
      </c>
      <c r="K846">
        <f>IF(A846="","",IF(J846&lt;=IFERROR(VLOOKUP(A846,Cadastro_Produtos!$A:$E,5,FALSE),0),"ABAIXO DO MINIMO","OK"))</f>
        <v/>
      </c>
    </row>
    <row r="847">
      <c r="B847">
        <f>IFERROR(VLOOKUP(A847,Cadastro_Produtos!A:B,2,FALSE),"")</f>
        <v/>
      </c>
      <c r="D847" s="12" t="n"/>
      <c r="E847" s="13">
        <f>IF(D847="","",D847-TODAY())</f>
        <v/>
      </c>
      <c r="F847">
        <f>IF(D847="","",IF(E847&lt;0,"VENCIDO",IF(E847&lt;=30,"VENCE EM &lt;= 30 DIAS",IF(E847&lt;=60,"ATENCAO (31-60 DIAS)","OK"))))</f>
        <v/>
      </c>
      <c r="G847" s="13">
        <f>SUMIFS(Movimentacoes!$G:$G,Movimentacoes!$C:$C,$A847,Movimentacoes!$E:$E,$C847,Movimentacoes!$B:$B,"ENTRADA")</f>
        <v/>
      </c>
      <c r="H847" s="13">
        <f>SUMIFS(Movimentacoes!$G:$G,Movimentacoes!$C:$C,$A847,Movimentacoes!$E:$E,$C847,Movimentacoes!$B:$B,"SAIDA_USO")</f>
        <v/>
      </c>
      <c r="I847" s="13">
        <f>SUMIFS(Movimentacoes!$G:$G,Movimentacoes!$C:$C,$A847,Movimentacoes!$E:$E,$C847,Movimentacoes!$B:$B,"SAIDA_DESCARTE")</f>
        <v/>
      </c>
      <c r="J847" s="13">
        <f>G847-H847-I847</f>
        <v/>
      </c>
      <c r="K847">
        <f>IF(A847="","",IF(J847&lt;=IFERROR(VLOOKUP(A847,Cadastro_Produtos!$A:$E,5,FALSE),0),"ABAIXO DO MINIMO","OK"))</f>
        <v/>
      </c>
    </row>
    <row r="848">
      <c r="B848">
        <f>IFERROR(VLOOKUP(A848,Cadastro_Produtos!A:B,2,FALSE),"")</f>
        <v/>
      </c>
      <c r="D848" s="12" t="n"/>
      <c r="E848" s="13">
        <f>IF(D848="","",D848-TODAY())</f>
        <v/>
      </c>
      <c r="F848">
        <f>IF(D848="","",IF(E848&lt;0,"VENCIDO",IF(E848&lt;=30,"VENCE EM &lt;= 30 DIAS",IF(E848&lt;=60,"ATENCAO (31-60 DIAS)","OK"))))</f>
        <v/>
      </c>
      <c r="G848" s="13">
        <f>SUMIFS(Movimentacoes!$G:$G,Movimentacoes!$C:$C,$A848,Movimentacoes!$E:$E,$C848,Movimentacoes!$B:$B,"ENTRADA")</f>
        <v/>
      </c>
      <c r="H848" s="13">
        <f>SUMIFS(Movimentacoes!$G:$G,Movimentacoes!$C:$C,$A848,Movimentacoes!$E:$E,$C848,Movimentacoes!$B:$B,"SAIDA_USO")</f>
        <v/>
      </c>
      <c r="I848" s="13">
        <f>SUMIFS(Movimentacoes!$G:$G,Movimentacoes!$C:$C,$A848,Movimentacoes!$E:$E,$C848,Movimentacoes!$B:$B,"SAIDA_DESCARTE")</f>
        <v/>
      </c>
      <c r="J848" s="13">
        <f>G848-H848-I848</f>
        <v/>
      </c>
      <c r="K848">
        <f>IF(A848="","",IF(J848&lt;=IFERROR(VLOOKUP(A848,Cadastro_Produtos!$A:$E,5,FALSE),0),"ABAIXO DO MINIMO","OK"))</f>
        <v/>
      </c>
    </row>
    <row r="849">
      <c r="B849">
        <f>IFERROR(VLOOKUP(A849,Cadastro_Produtos!A:B,2,FALSE),"")</f>
        <v/>
      </c>
      <c r="D849" s="12" t="n"/>
      <c r="E849" s="13">
        <f>IF(D849="","",D849-TODAY())</f>
        <v/>
      </c>
      <c r="F849">
        <f>IF(D849="","",IF(E849&lt;0,"VENCIDO",IF(E849&lt;=30,"VENCE EM &lt;= 30 DIAS",IF(E849&lt;=60,"ATENCAO (31-60 DIAS)","OK"))))</f>
        <v/>
      </c>
      <c r="G849" s="13">
        <f>SUMIFS(Movimentacoes!$G:$G,Movimentacoes!$C:$C,$A849,Movimentacoes!$E:$E,$C849,Movimentacoes!$B:$B,"ENTRADA")</f>
        <v/>
      </c>
      <c r="H849" s="13">
        <f>SUMIFS(Movimentacoes!$G:$G,Movimentacoes!$C:$C,$A849,Movimentacoes!$E:$E,$C849,Movimentacoes!$B:$B,"SAIDA_USO")</f>
        <v/>
      </c>
      <c r="I849" s="13">
        <f>SUMIFS(Movimentacoes!$G:$G,Movimentacoes!$C:$C,$A849,Movimentacoes!$E:$E,$C849,Movimentacoes!$B:$B,"SAIDA_DESCARTE")</f>
        <v/>
      </c>
      <c r="J849" s="13">
        <f>G849-H849-I849</f>
        <v/>
      </c>
      <c r="K849">
        <f>IF(A849="","",IF(J849&lt;=IFERROR(VLOOKUP(A849,Cadastro_Produtos!$A:$E,5,FALSE),0),"ABAIXO DO MINIMO","OK"))</f>
        <v/>
      </c>
    </row>
    <row r="850">
      <c r="B850">
        <f>IFERROR(VLOOKUP(A850,Cadastro_Produtos!A:B,2,FALSE),"")</f>
        <v/>
      </c>
      <c r="D850" s="12" t="n"/>
      <c r="E850" s="13">
        <f>IF(D850="","",D850-TODAY())</f>
        <v/>
      </c>
      <c r="F850">
        <f>IF(D850="","",IF(E850&lt;0,"VENCIDO",IF(E850&lt;=30,"VENCE EM &lt;= 30 DIAS",IF(E850&lt;=60,"ATENCAO (31-60 DIAS)","OK"))))</f>
        <v/>
      </c>
      <c r="G850" s="13">
        <f>SUMIFS(Movimentacoes!$G:$G,Movimentacoes!$C:$C,$A850,Movimentacoes!$E:$E,$C850,Movimentacoes!$B:$B,"ENTRADA")</f>
        <v/>
      </c>
      <c r="H850" s="13">
        <f>SUMIFS(Movimentacoes!$G:$G,Movimentacoes!$C:$C,$A850,Movimentacoes!$E:$E,$C850,Movimentacoes!$B:$B,"SAIDA_USO")</f>
        <v/>
      </c>
      <c r="I850" s="13">
        <f>SUMIFS(Movimentacoes!$G:$G,Movimentacoes!$C:$C,$A850,Movimentacoes!$E:$E,$C850,Movimentacoes!$B:$B,"SAIDA_DESCARTE")</f>
        <v/>
      </c>
      <c r="J850" s="13">
        <f>G850-H850-I850</f>
        <v/>
      </c>
      <c r="K850">
        <f>IF(A850="","",IF(J850&lt;=IFERROR(VLOOKUP(A850,Cadastro_Produtos!$A:$E,5,FALSE),0),"ABAIXO DO MINIMO","OK"))</f>
        <v/>
      </c>
    </row>
    <row r="851">
      <c r="B851">
        <f>IFERROR(VLOOKUP(A851,Cadastro_Produtos!A:B,2,FALSE),"")</f>
        <v/>
      </c>
      <c r="D851" s="12" t="n"/>
      <c r="E851" s="13">
        <f>IF(D851="","",D851-TODAY())</f>
        <v/>
      </c>
      <c r="F851">
        <f>IF(D851="","",IF(E851&lt;0,"VENCIDO",IF(E851&lt;=30,"VENCE EM &lt;= 30 DIAS",IF(E851&lt;=60,"ATENCAO (31-60 DIAS)","OK"))))</f>
        <v/>
      </c>
      <c r="G851" s="13">
        <f>SUMIFS(Movimentacoes!$G:$G,Movimentacoes!$C:$C,$A851,Movimentacoes!$E:$E,$C851,Movimentacoes!$B:$B,"ENTRADA")</f>
        <v/>
      </c>
      <c r="H851" s="13">
        <f>SUMIFS(Movimentacoes!$G:$G,Movimentacoes!$C:$C,$A851,Movimentacoes!$E:$E,$C851,Movimentacoes!$B:$B,"SAIDA_USO")</f>
        <v/>
      </c>
      <c r="I851" s="13">
        <f>SUMIFS(Movimentacoes!$G:$G,Movimentacoes!$C:$C,$A851,Movimentacoes!$E:$E,$C851,Movimentacoes!$B:$B,"SAIDA_DESCARTE")</f>
        <v/>
      </c>
      <c r="J851" s="13">
        <f>G851-H851-I851</f>
        <v/>
      </c>
      <c r="K851">
        <f>IF(A851="","",IF(J851&lt;=IFERROR(VLOOKUP(A851,Cadastro_Produtos!$A:$E,5,FALSE),0),"ABAIXO DO MINIMO","OK"))</f>
        <v/>
      </c>
    </row>
    <row r="852">
      <c r="B852">
        <f>IFERROR(VLOOKUP(A852,Cadastro_Produtos!A:B,2,FALSE),"")</f>
        <v/>
      </c>
      <c r="D852" s="12" t="n"/>
      <c r="E852" s="13">
        <f>IF(D852="","",D852-TODAY())</f>
        <v/>
      </c>
      <c r="F852">
        <f>IF(D852="","",IF(E852&lt;0,"VENCIDO",IF(E852&lt;=30,"VENCE EM &lt;= 30 DIAS",IF(E852&lt;=60,"ATENCAO (31-60 DIAS)","OK"))))</f>
        <v/>
      </c>
      <c r="G852" s="13">
        <f>SUMIFS(Movimentacoes!$G:$G,Movimentacoes!$C:$C,$A852,Movimentacoes!$E:$E,$C852,Movimentacoes!$B:$B,"ENTRADA")</f>
        <v/>
      </c>
      <c r="H852" s="13">
        <f>SUMIFS(Movimentacoes!$G:$G,Movimentacoes!$C:$C,$A852,Movimentacoes!$E:$E,$C852,Movimentacoes!$B:$B,"SAIDA_USO")</f>
        <v/>
      </c>
      <c r="I852" s="13">
        <f>SUMIFS(Movimentacoes!$G:$G,Movimentacoes!$C:$C,$A852,Movimentacoes!$E:$E,$C852,Movimentacoes!$B:$B,"SAIDA_DESCARTE")</f>
        <v/>
      </c>
      <c r="J852" s="13">
        <f>G852-H852-I852</f>
        <v/>
      </c>
      <c r="K852">
        <f>IF(A852="","",IF(J852&lt;=IFERROR(VLOOKUP(A852,Cadastro_Produtos!$A:$E,5,FALSE),0),"ABAIXO DO MINIMO","OK"))</f>
        <v/>
      </c>
    </row>
    <row r="853">
      <c r="B853">
        <f>IFERROR(VLOOKUP(A853,Cadastro_Produtos!A:B,2,FALSE),"")</f>
        <v/>
      </c>
      <c r="D853" s="12" t="n"/>
      <c r="E853" s="13">
        <f>IF(D853="","",D853-TODAY())</f>
        <v/>
      </c>
      <c r="F853">
        <f>IF(D853="","",IF(E853&lt;0,"VENCIDO",IF(E853&lt;=30,"VENCE EM &lt;= 30 DIAS",IF(E853&lt;=60,"ATENCAO (31-60 DIAS)","OK"))))</f>
        <v/>
      </c>
      <c r="G853" s="13">
        <f>SUMIFS(Movimentacoes!$G:$G,Movimentacoes!$C:$C,$A853,Movimentacoes!$E:$E,$C853,Movimentacoes!$B:$B,"ENTRADA")</f>
        <v/>
      </c>
      <c r="H853" s="13">
        <f>SUMIFS(Movimentacoes!$G:$G,Movimentacoes!$C:$C,$A853,Movimentacoes!$E:$E,$C853,Movimentacoes!$B:$B,"SAIDA_USO")</f>
        <v/>
      </c>
      <c r="I853" s="13">
        <f>SUMIFS(Movimentacoes!$G:$G,Movimentacoes!$C:$C,$A853,Movimentacoes!$E:$E,$C853,Movimentacoes!$B:$B,"SAIDA_DESCARTE")</f>
        <v/>
      </c>
      <c r="J853" s="13">
        <f>G853-H853-I853</f>
        <v/>
      </c>
      <c r="K853">
        <f>IF(A853="","",IF(J853&lt;=IFERROR(VLOOKUP(A853,Cadastro_Produtos!$A:$E,5,FALSE),0),"ABAIXO DO MINIMO","OK"))</f>
        <v/>
      </c>
    </row>
    <row r="854">
      <c r="B854">
        <f>IFERROR(VLOOKUP(A854,Cadastro_Produtos!A:B,2,FALSE),"")</f>
        <v/>
      </c>
      <c r="D854" s="12" t="n"/>
      <c r="E854" s="13">
        <f>IF(D854="","",D854-TODAY())</f>
        <v/>
      </c>
      <c r="F854">
        <f>IF(D854="","",IF(E854&lt;0,"VENCIDO",IF(E854&lt;=30,"VENCE EM &lt;= 30 DIAS",IF(E854&lt;=60,"ATENCAO (31-60 DIAS)","OK"))))</f>
        <v/>
      </c>
      <c r="G854" s="13">
        <f>SUMIFS(Movimentacoes!$G:$G,Movimentacoes!$C:$C,$A854,Movimentacoes!$E:$E,$C854,Movimentacoes!$B:$B,"ENTRADA")</f>
        <v/>
      </c>
      <c r="H854" s="13">
        <f>SUMIFS(Movimentacoes!$G:$G,Movimentacoes!$C:$C,$A854,Movimentacoes!$E:$E,$C854,Movimentacoes!$B:$B,"SAIDA_USO")</f>
        <v/>
      </c>
      <c r="I854" s="13">
        <f>SUMIFS(Movimentacoes!$G:$G,Movimentacoes!$C:$C,$A854,Movimentacoes!$E:$E,$C854,Movimentacoes!$B:$B,"SAIDA_DESCARTE")</f>
        <v/>
      </c>
      <c r="J854" s="13">
        <f>G854-H854-I854</f>
        <v/>
      </c>
      <c r="K854">
        <f>IF(A854="","",IF(J854&lt;=IFERROR(VLOOKUP(A854,Cadastro_Produtos!$A:$E,5,FALSE),0),"ABAIXO DO MINIMO","OK"))</f>
        <v/>
      </c>
    </row>
    <row r="855">
      <c r="B855">
        <f>IFERROR(VLOOKUP(A855,Cadastro_Produtos!A:B,2,FALSE),"")</f>
        <v/>
      </c>
      <c r="D855" s="12" t="n"/>
      <c r="E855" s="13">
        <f>IF(D855="","",D855-TODAY())</f>
        <v/>
      </c>
      <c r="F855">
        <f>IF(D855="","",IF(E855&lt;0,"VENCIDO",IF(E855&lt;=30,"VENCE EM &lt;= 30 DIAS",IF(E855&lt;=60,"ATENCAO (31-60 DIAS)","OK"))))</f>
        <v/>
      </c>
      <c r="G855" s="13">
        <f>SUMIFS(Movimentacoes!$G:$G,Movimentacoes!$C:$C,$A855,Movimentacoes!$E:$E,$C855,Movimentacoes!$B:$B,"ENTRADA")</f>
        <v/>
      </c>
      <c r="H855" s="13">
        <f>SUMIFS(Movimentacoes!$G:$G,Movimentacoes!$C:$C,$A855,Movimentacoes!$E:$E,$C855,Movimentacoes!$B:$B,"SAIDA_USO")</f>
        <v/>
      </c>
      <c r="I855" s="13">
        <f>SUMIFS(Movimentacoes!$G:$G,Movimentacoes!$C:$C,$A855,Movimentacoes!$E:$E,$C855,Movimentacoes!$B:$B,"SAIDA_DESCARTE")</f>
        <v/>
      </c>
      <c r="J855" s="13">
        <f>G855-H855-I855</f>
        <v/>
      </c>
      <c r="K855">
        <f>IF(A855="","",IF(J855&lt;=IFERROR(VLOOKUP(A855,Cadastro_Produtos!$A:$E,5,FALSE),0),"ABAIXO DO MINIMO","OK"))</f>
        <v/>
      </c>
    </row>
    <row r="856">
      <c r="B856">
        <f>IFERROR(VLOOKUP(A856,Cadastro_Produtos!A:B,2,FALSE),"")</f>
        <v/>
      </c>
      <c r="D856" s="12" t="n"/>
      <c r="E856" s="13">
        <f>IF(D856="","",D856-TODAY())</f>
        <v/>
      </c>
      <c r="F856">
        <f>IF(D856="","",IF(E856&lt;0,"VENCIDO",IF(E856&lt;=30,"VENCE EM &lt;= 30 DIAS",IF(E856&lt;=60,"ATENCAO (31-60 DIAS)","OK"))))</f>
        <v/>
      </c>
      <c r="G856" s="13">
        <f>SUMIFS(Movimentacoes!$G:$G,Movimentacoes!$C:$C,$A856,Movimentacoes!$E:$E,$C856,Movimentacoes!$B:$B,"ENTRADA")</f>
        <v/>
      </c>
      <c r="H856" s="13">
        <f>SUMIFS(Movimentacoes!$G:$G,Movimentacoes!$C:$C,$A856,Movimentacoes!$E:$E,$C856,Movimentacoes!$B:$B,"SAIDA_USO")</f>
        <v/>
      </c>
      <c r="I856" s="13">
        <f>SUMIFS(Movimentacoes!$G:$G,Movimentacoes!$C:$C,$A856,Movimentacoes!$E:$E,$C856,Movimentacoes!$B:$B,"SAIDA_DESCARTE")</f>
        <v/>
      </c>
      <c r="J856" s="13">
        <f>G856-H856-I856</f>
        <v/>
      </c>
      <c r="K856">
        <f>IF(A856="","",IF(J856&lt;=IFERROR(VLOOKUP(A856,Cadastro_Produtos!$A:$E,5,FALSE),0),"ABAIXO DO MINIMO","OK"))</f>
        <v/>
      </c>
    </row>
    <row r="857">
      <c r="B857">
        <f>IFERROR(VLOOKUP(A857,Cadastro_Produtos!A:B,2,FALSE),"")</f>
        <v/>
      </c>
      <c r="D857" s="12" t="n"/>
      <c r="E857" s="13">
        <f>IF(D857="","",D857-TODAY())</f>
        <v/>
      </c>
      <c r="F857">
        <f>IF(D857="","",IF(E857&lt;0,"VENCIDO",IF(E857&lt;=30,"VENCE EM &lt;= 30 DIAS",IF(E857&lt;=60,"ATENCAO (31-60 DIAS)","OK"))))</f>
        <v/>
      </c>
      <c r="G857" s="13">
        <f>SUMIFS(Movimentacoes!$G:$G,Movimentacoes!$C:$C,$A857,Movimentacoes!$E:$E,$C857,Movimentacoes!$B:$B,"ENTRADA")</f>
        <v/>
      </c>
      <c r="H857" s="13">
        <f>SUMIFS(Movimentacoes!$G:$G,Movimentacoes!$C:$C,$A857,Movimentacoes!$E:$E,$C857,Movimentacoes!$B:$B,"SAIDA_USO")</f>
        <v/>
      </c>
      <c r="I857" s="13">
        <f>SUMIFS(Movimentacoes!$G:$G,Movimentacoes!$C:$C,$A857,Movimentacoes!$E:$E,$C857,Movimentacoes!$B:$B,"SAIDA_DESCARTE")</f>
        <v/>
      </c>
      <c r="J857" s="13">
        <f>G857-H857-I857</f>
        <v/>
      </c>
      <c r="K857">
        <f>IF(A857="","",IF(J857&lt;=IFERROR(VLOOKUP(A857,Cadastro_Produtos!$A:$E,5,FALSE),0),"ABAIXO DO MINIMO","OK"))</f>
        <v/>
      </c>
    </row>
    <row r="858">
      <c r="B858">
        <f>IFERROR(VLOOKUP(A858,Cadastro_Produtos!A:B,2,FALSE),"")</f>
        <v/>
      </c>
      <c r="D858" s="12" t="n"/>
      <c r="E858" s="13">
        <f>IF(D858="","",D858-TODAY())</f>
        <v/>
      </c>
      <c r="F858">
        <f>IF(D858="","",IF(E858&lt;0,"VENCIDO",IF(E858&lt;=30,"VENCE EM &lt;= 30 DIAS",IF(E858&lt;=60,"ATENCAO (31-60 DIAS)","OK"))))</f>
        <v/>
      </c>
      <c r="G858" s="13">
        <f>SUMIFS(Movimentacoes!$G:$G,Movimentacoes!$C:$C,$A858,Movimentacoes!$E:$E,$C858,Movimentacoes!$B:$B,"ENTRADA")</f>
        <v/>
      </c>
      <c r="H858" s="13">
        <f>SUMIFS(Movimentacoes!$G:$G,Movimentacoes!$C:$C,$A858,Movimentacoes!$E:$E,$C858,Movimentacoes!$B:$B,"SAIDA_USO")</f>
        <v/>
      </c>
      <c r="I858" s="13">
        <f>SUMIFS(Movimentacoes!$G:$G,Movimentacoes!$C:$C,$A858,Movimentacoes!$E:$E,$C858,Movimentacoes!$B:$B,"SAIDA_DESCARTE")</f>
        <v/>
      </c>
      <c r="J858" s="13">
        <f>G858-H858-I858</f>
        <v/>
      </c>
      <c r="K858">
        <f>IF(A858="","",IF(J858&lt;=IFERROR(VLOOKUP(A858,Cadastro_Produtos!$A:$E,5,FALSE),0),"ABAIXO DO MINIMO","OK"))</f>
        <v/>
      </c>
    </row>
    <row r="859">
      <c r="B859">
        <f>IFERROR(VLOOKUP(A859,Cadastro_Produtos!A:B,2,FALSE),"")</f>
        <v/>
      </c>
      <c r="D859" s="12" t="n"/>
      <c r="E859" s="13">
        <f>IF(D859="","",D859-TODAY())</f>
        <v/>
      </c>
      <c r="F859">
        <f>IF(D859="","",IF(E859&lt;0,"VENCIDO",IF(E859&lt;=30,"VENCE EM &lt;= 30 DIAS",IF(E859&lt;=60,"ATENCAO (31-60 DIAS)","OK"))))</f>
        <v/>
      </c>
      <c r="G859" s="13">
        <f>SUMIFS(Movimentacoes!$G:$G,Movimentacoes!$C:$C,$A859,Movimentacoes!$E:$E,$C859,Movimentacoes!$B:$B,"ENTRADA")</f>
        <v/>
      </c>
      <c r="H859" s="13">
        <f>SUMIFS(Movimentacoes!$G:$G,Movimentacoes!$C:$C,$A859,Movimentacoes!$E:$E,$C859,Movimentacoes!$B:$B,"SAIDA_USO")</f>
        <v/>
      </c>
      <c r="I859" s="13">
        <f>SUMIFS(Movimentacoes!$G:$G,Movimentacoes!$C:$C,$A859,Movimentacoes!$E:$E,$C859,Movimentacoes!$B:$B,"SAIDA_DESCARTE")</f>
        <v/>
      </c>
      <c r="J859" s="13">
        <f>G859-H859-I859</f>
        <v/>
      </c>
      <c r="K859">
        <f>IF(A859="","",IF(J859&lt;=IFERROR(VLOOKUP(A859,Cadastro_Produtos!$A:$E,5,FALSE),0),"ABAIXO DO MINIMO","OK"))</f>
        <v/>
      </c>
    </row>
    <row r="860">
      <c r="B860">
        <f>IFERROR(VLOOKUP(A860,Cadastro_Produtos!A:B,2,FALSE),"")</f>
        <v/>
      </c>
      <c r="D860" s="12" t="n"/>
      <c r="E860" s="13">
        <f>IF(D860="","",D860-TODAY())</f>
        <v/>
      </c>
      <c r="F860">
        <f>IF(D860="","",IF(E860&lt;0,"VENCIDO",IF(E860&lt;=30,"VENCE EM &lt;= 30 DIAS",IF(E860&lt;=60,"ATENCAO (31-60 DIAS)","OK"))))</f>
        <v/>
      </c>
      <c r="G860" s="13">
        <f>SUMIFS(Movimentacoes!$G:$G,Movimentacoes!$C:$C,$A860,Movimentacoes!$E:$E,$C860,Movimentacoes!$B:$B,"ENTRADA")</f>
        <v/>
      </c>
      <c r="H860" s="13">
        <f>SUMIFS(Movimentacoes!$G:$G,Movimentacoes!$C:$C,$A860,Movimentacoes!$E:$E,$C860,Movimentacoes!$B:$B,"SAIDA_USO")</f>
        <v/>
      </c>
      <c r="I860" s="13">
        <f>SUMIFS(Movimentacoes!$G:$G,Movimentacoes!$C:$C,$A860,Movimentacoes!$E:$E,$C860,Movimentacoes!$B:$B,"SAIDA_DESCARTE")</f>
        <v/>
      </c>
      <c r="J860" s="13">
        <f>G860-H860-I860</f>
        <v/>
      </c>
      <c r="K860">
        <f>IF(A860="","",IF(J860&lt;=IFERROR(VLOOKUP(A860,Cadastro_Produtos!$A:$E,5,FALSE),0),"ABAIXO DO MINIMO","OK"))</f>
        <v/>
      </c>
    </row>
    <row r="861">
      <c r="B861">
        <f>IFERROR(VLOOKUP(A861,Cadastro_Produtos!A:B,2,FALSE),"")</f>
        <v/>
      </c>
      <c r="D861" s="12" t="n"/>
      <c r="E861" s="13">
        <f>IF(D861="","",D861-TODAY())</f>
        <v/>
      </c>
      <c r="F861">
        <f>IF(D861="","",IF(E861&lt;0,"VENCIDO",IF(E861&lt;=30,"VENCE EM &lt;= 30 DIAS",IF(E861&lt;=60,"ATENCAO (31-60 DIAS)","OK"))))</f>
        <v/>
      </c>
      <c r="G861" s="13">
        <f>SUMIFS(Movimentacoes!$G:$G,Movimentacoes!$C:$C,$A861,Movimentacoes!$E:$E,$C861,Movimentacoes!$B:$B,"ENTRADA")</f>
        <v/>
      </c>
      <c r="H861" s="13">
        <f>SUMIFS(Movimentacoes!$G:$G,Movimentacoes!$C:$C,$A861,Movimentacoes!$E:$E,$C861,Movimentacoes!$B:$B,"SAIDA_USO")</f>
        <v/>
      </c>
      <c r="I861" s="13">
        <f>SUMIFS(Movimentacoes!$G:$G,Movimentacoes!$C:$C,$A861,Movimentacoes!$E:$E,$C861,Movimentacoes!$B:$B,"SAIDA_DESCARTE")</f>
        <v/>
      </c>
      <c r="J861" s="13">
        <f>G861-H861-I861</f>
        <v/>
      </c>
      <c r="K861">
        <f>IF(A861="","",IF(J861&lt;=IFERROR(VLOOKUP(A861,Cadastro_Produtos!$A:$E,5,FALSE),0),"ABAIXO DO MINIMO","OK"))</f>
        <v/>
      </c>
    </row>
    <row r="862">
      <c r="B862">
        <f>IFERROR(VLOOKUP(A862,Cadastro_Produtos!A:B,2,FALSE),"")</f>
        <v/>
      </c>
      <c r="D862" s="12" t="n"/>
      <c r="E862" s="13">
        <f>IF(D862="","",D862-TODAY())</f>
        <v/>
      </c>
      <c r="F862">
        <f>IF(D862="","",IF(E862&lt;0,"VENCIDO",IF(E862&lt;=30,"VENCE EM &lt;= 30 DIAS",IF(E862&lt;=60,"ATENCAO (31-60 DIAS)","OK"))))</f>
        <v/>
      </c>
      <c r="G862" s="13">
        <f>SUMIFS(Movimentacoes!$G:$G,Movimentacoes!$C:$C,$A862,Movimentacoes!$E:$E,$C862,Movimentacoes!$B:$B,"ENTRADA")</f>
        <v/>
      </c>
      <c r="H862" s="13">
        <f>SUMIFS(Movimentacoes!$G:$G,Movimentacoes!$C:$C,$A862,Movimentacoes!$E:$E,$C862,Movimentacoes!$B:$B,"SAIDA_USO")</f>
        <v/>
      </c>
      <c r="I862" s="13">
        <f>SUMIFS(Movimentacoes!$G:$G,Movimentacoes!$C:$C,$A862,Movimentacoes!$E:$E,$C862,Movimentacoes!$B:$B,"SAIDA_DESCARTE")</f>
        <v/>
      </c>
      <c r="J862" s="13">
        <f>G862-H862-I862</f>
        <v/>
      </c>
      <c r="K862">
        <f>IF(A862="","",IF(J862&lt;=IFERROR(VLOOKUP(A862,Cadastro_Produtos!$A:$E,5,FALSE),0),"ABAIXO DO MINIMO","OK"))</f>
        <v/>
      </c>
    </row>
    <row r="863">
      <c r="B863">
        <f>IFERROR(VLOOKUP(A863,Cadastro_Produtos!A:B,2,FALSE),"")</f>
        <v/>
      </c>
      <c r="D863" s="12" t="n"/>
      <c r="E863" s="13">
        <f>IF(D863="","",D863-TODAY())</f>
        <v/>
      </c>
      <c r="F863">
        <f>IF(D863="","",IF(E863&lt;0,"VENCIDO",IF(E863&lt;=30,"VENCE EM &lt;= 30 DIAS",IF(E863&lt;=60,"ATENCAO (31-60 DIAS)","OK"))))</f>
        <v/>
      </c>
      <c r="G863" s="13">
        <f>SUMIFS(Movimentacoes!$G:$G,Movimentacoes!$C:$C,$A863,Movimentacoes!$E:$E,$C863,Movimentacoes!$B:$B,"ENTRADA")</f>
        <v/>
      </c>
      <c r="H863" s="13">
        <f>SUMIFS(Movimentacoes!$G:$G,Movimentacoes!$C:$C,$A863,Movimentacoes!$E:$E,$C863,Movimentacoes!$B:$B,"SAIDA_USO")</f>
        <v/>
      </c>
      <c r="I863" s="13">
        <f>SUMIFS(Movimentacoes!$G:$G,Movimentacoes!$C:$C,$A863,Movimentacoes!$E:$E,$C863,Movimentacoes!$B:$B,"SAIDA_DESCARTE")</f>
        <v/>
      </c>
      <c r="J863" s="13">
        <f>G863-H863-I863</f>
        <v/>
      </c>
      <c r="K863">
        <f>IF(A863="","",IF(J863&lt;=IFERROR(VLOOKUP(A863,Cadastro_Produtos!$A:$E,5,FALSE),0),"ABAIXO DO MINIMO","OK"))</f>
        <v/>
      </c>
    </row>
    <row r="864">
      <c r="B864">
        <f>IFERROR(VLOOKUP(A864,Cadastro_Produtos!A:B,2,FALSE),"")</f>
        <v/>
      </c>
      <c r="D864" s="12" t="n"/>
      <c r="E864" s="13">
        <f>IF(D864="","",D864-TODAY())</f>
        <v/>
      </c>
      <c r="F864">
        <f>IF(D864="","",IF(E864&lt;0,"VENCIDO",IF(E864&lt;=30,"VENCE EM &lt;= 30 DIAS",IF(E864&lt;=60,"ATENCAO (31-60 DIAS)","OK"))))</f>
        <v/>
      </c>
      <c r="G864" s="13">
        <f>SUMIFS(Movimentacoes!$G:$G,Movimentacoes!$C:$C,$A864,Movimentacoes!$E:$E,$C864,Movimentacoes!$B:$B,"ENTRADA")</f>
        <v/>
      </c>
      <c r="H864" s="13">
        <f>SUMIFS(Movimentacoes!$G:$G,Movimentacoes!$C:$C,$A864,Movimentacoes!$E:$E,$C864,Movimentacoes!$B:$B,"SAIDA_USO")</f>
        <v/>
      </c>
      <c r="I864" s="13">
        <f>SUMIFS(Movimentacoes!$G:$G,Movimentacoes!$C:$C,$A864,Movimentacoes!$E:$E,$C864,Movimentacoes!$B:$B,"SAIDA_DESCARTE")</f>
        <v/>
      </c>
      <c r="J864" s="13">
        <f>G864-H864-I864</f>
        <v/>
      </c>
      <c r="K864">
        <f>IF(A864="","",IF(J864&lt;=IFERROR(VLOOKUP(A864,Cadastro_Produtos!$A:$E,5,FALSE),0),"ABAIXO DO MINIMO","OK"))</f>
        <v/>
      </c>
    </row>
    <row r="865">
      <c r="B865">
        <f>IFERROR(VLOOKUP(A865,Cadastro_Produtos!A:B,2,FALSE),"")</f>
        <v/>
      </c>
      <c r="D865" s="12" t="n"/>
      <c r="E865" s="13">
        <f>IF(D865="","",D865-TODAY())</f>
        <v/>
      </c>
      <c r="F865">
        <f>IF(D865="","",IF(E865&lt;0,"VENCIDO",IF(E865&lt;=30,"VENCE EM &lt;= 30 DIAS",IF(E865&lt;=60,"ATENCAO (31-60 DIAS)","OK"))))</f>
        <v/>
      </c>
      <c r="G865" s="13">
        <f>SUMIFS(Movimentacoes!$G:$G,Movimentacoes!$C:$C,$A865,Movimentacoes!$E:$E,$C865,Movimentacoes!$B:$B,"ENTRADA")</f>
        <v/>
      </c>
      <c r="H865" s="13">
        <f>SUMIFS(Movimentacoes!$G:$G,Movimentacoes!$C:$C,$A865,Movimentacoes!$E:$E,$C865,Movimentacoes!$B:$B,"SAIDA_USO")</f>
        <v/>
      </c>
      <c r="I865" s="13">
        <f>SUMIFS(Movimentacoes!$G:$G,Movimentacoes!$C:$C,$A865,Movimentacoes!$E:$E,$C865,Movimentacoes!$B:$B,"SAIDA_DESCARTE")</f>
        <v/>
      </c>
      <c r="J865" s="13">
        <f>G865-H865-I865</f>
        <v/>
      </c>
      <c r="K865">
        <f>IF(A865="","",IF(J865&lt;=IFERROR(VLOOKUP(A865,Cadastro_Produtos!$A:$E,5,FALSE),0),"ABAIXO DO MINIMO","OK"))</f>
        <v/>
      </c>
    </row>
    <row r="866">
      <c r="B866">
        <f>IFERROR(VLOOKUP(A866,Cadastro_Produtos!A:B,2,FALSE),"")</f>
        <v/>
      </c>
      <c r="D866" s="12" t="n"/>
      <c r="E866" s="13">
        <f>IF(D866="","",D866-TODAY())</f>
        <v/>
      </c>
      <c r="F866">
        <f>IF(D866="","",IF(E866&lt;0,"VENCIDO",IF(E866&lt;=30,"VENCE EM &lt;= 30 DIAS",IF(E866&lt;=60,"ATENCAO (31-60 DIAS)","OK"))))</f>
        <v/>
      </c>
      <c r="G866" s="13">
        <f>SUMIFS(Movimentacoes!$G:$G,Movimentacoes!$C:$C,$A866,Movimentacoes!$E:$E,$C866,Movimentacoes!$B:$B,"ENTRADA")</f>
        <v/>
      </c>
      <c r="H866" s="13">
        <f>SUMIFS(Movimentacoes!$G:$G,Movimentacoes!$C:$C,$A866,Movimentacoes!$E:$E,$C866,Movimentacoes!$B:$B,"SAIDA_USO")</f>
        <v/>
      </c>
      <c r="I866" s="13">
        <f>SUMIFS(Movimentacoes!$G:$G,Movimentacoes!$C:$C,$A866,Movimentacoes!$E:$E,$C866,Movimentacoes!$B:$B,"SAIDA_DESCARTE")</f>
        <v/>
      </c>
      <c r="J866" s="13">
        <f>G866-H866-I866</f>
        <v/>
      </c>
      <c r="K866">
        <f>IF(A866="","",IF(J866&lt;=IFERROR(VLOOKUP(A866,Cadastro_Produtos!$A:$E,5,FALSE),0),"ABAIXO DO MINIMO","OK"))</f>
        <v/>
      </c>
    </row>
    <row r="867">
      <c r="B867">
        <f>IFERROR(VLOOKUP(A867,Cadastro_Produtos!A:B,2,FALSE),"")</f>
        <v/>
      </c>
      <c r="D867" s="12" t="n"/>
      <c r="E867" s="13">
        <f>IF(D867="","",D867-TODAY())</f>
        <v/>
      </c>
      <c r="F867">
        <f>IF(D867="","",IF(E867&lt;0,"VENCIDO",IF(E867&lt;=30,"VENCE EM &lt;= 30 DIAS",IF(E867&lt;=60,"ATENCAO (31-60 DIAS)","OK"))))</f>
        <v/>
      </c>
      <c r="G867" s="13">
        <f>SUMIFS(Movimentacoes!$G:$G,Movimentacoes!$C:$C,$A867,Movimentacoes!$E:$E,$C867,Movimentacoes!$B:$B,"ENTRADA")</f>
        <v/>
      </c>
      <c r="H867" s="13">
        <f>SUMIFS(Movimentacoes!$G:$G,Movimentacoes!$C:$C,$A867,Movimentacoes!$E:$E,$C867,Movimentacoes!$B:$B,"SAIDA_USO")</f>
        <v/>
      </c>
      <c r="I867" s="13">
        <f>SUMIFS(Movimentacoes!$G:$G,Movimentacoes!$C:$C,$A867,Movimentacoes!$E:$E,$C867,Movimentacoes!$B:$B,"SAIDA_DESCARTE")</f>
        <v/>
      </c>
      <c r="J867" s="13">
        <f>G867-H867-I867</f>
        <v/>
      </c>
      <c r="K867">
        <f>IF(A867="","",IF(J867&lt;=IFERROR(VLOOKUP(A867,Cadastro_Produtos!$A:$E,5,FALSE),0),"ABAIXO DO MINIMO","OK"))</f>
        <v/>
      </c>
    </row>
    <row r="868">
      <c r="B868">
        <f>IFERROR(VLOOKUP(A868,Cadastro_Produtos!A:B,2,FALSE),"")</f>
        <v/>
      </c>
      <c r="D868" s="12" t="n"/>
      <c r="E868" s="13">
        <f>IF(D868="","",D868-TODAY())</f>
        <v/>
      </c>
      <c r="F868">
        <f>IF(D868="","",IF(E868&lt;0,"VENCIDO",IF(E868&lt;=30,"VENCE EM &lt;= 30 DIAS",IF(E868&lt;=60,"ATENCAO (31-60 DIAS)","OK"))))</f>
        <v/>
      </c>
      <c r="G868" s="13">
        <f>SUMIFS(Movimentacoes!$G:$G,Movimentacoes!$C:$C,$A868,Movimentacoes!$E:$E,$C868,Movimentacoes!$B:$B,"ENTRADA")</f>
        <v/>
      </c>
      <c r="H868" s="13">
        <f>SUMIFS(Movimentacoes!$G:$G,Movimentacoes!$C:$C,$A868,Movimentacoes!$E:$E,$C868,Movimentacoes!$B:$B,"SAIDA_USO")</f>
        <v/>
      </c>
      <c r="I868" s="13">
        <f>SUMIFS(Movimentacoes!$G:$G,Movimentacoes!$C:$C,$A868,Movimentacoes!$E:$E,$C868,Movimentacoes!$B:$B,"SAIDA_DESCARTE")</f>
        <v/>
      </c>
      <c r="J868" s="13">
        <f>G868-H868-I868</f>
        <v/>
      </c>
      <c r="K868">
        <f>IF(A868="","",IF(J868&lt;=IFERROR(VLOOKUP(A868,Cadastro_Produtos!$A:$E,5,FALSE),0),"ABAIXO DO MINIMO","OK"))</f>
        <v/>
      </c>
    </row>
    <row r="869">
      <c r="B869">
        <f>IFERROR(VLOOKUP(A869,Cadastro_Produtos!A:B,2,FALSE),"")</f>
        <v/>
      </c>
      <c r="D869" s="12" t="n"/>
      <c r="E869" s="13">
        <f>IF(D869="","",D869-TODAY())</f>
        <v/>
      </c>
      <c r="F869">
        <f>IF(D869="","",IF(E869&lt;0,"VENCIDO",IF(E869&lt;=30,"VENCE EM &lt;= 30 DIAS",IF(E869&lt;=60,"ATENCAO (31-60 DIAS)","OK"))))</f>
        <v/>
      </c>
      <c r="G869" s="13">
        <f>SUMIFS(Movimentacoes!$G:$G,Movimentacoes!$C:$C,$A869,Movimentacoes!$E:$E,$C869,Movimentacoes!$B:$B,"ENTRADA")</f>
        <v/>
      </c>
      <c r="H869" s="13">
        <f>SUMIFS(Movimentacoes!$G:$G,Movimentacoes!$C:$C,$A869,Movimentacoes!$E:$E,$C869,Movimentacoes!$B:$B,"SAIDA_USO")</f>
        <v/>
      </c>
      <c r="I869" s="13">
        <f>SUMIFS(Movimentacoes!$G:$G,Movimentacoes!$C:$C,$A869,Movimentacoes!$E:$E,$C869,Movimentacoes!$B:$B,"SAIDA_DESCARTE")</f>
        <v/>
      </c>
      <c r="J869" s="13">
        <f>G869-H869-I869</f>
        <v/>
      </c>
      <c r="K869">
        <f>IF(A869="","",IF(J869&lt;=IFERROR(VLOOKUP(A869,Cadastro_Produtos!$A:$E,5,FALSE),0),"ABAIXO DO MINIMO","OK"))</f>
        <v/>
      </c>
    </row>
    <row r="870">
      <c r="B870">
        <f>IFERROR(VLOOKUP(A870,Cadastro_Produtos!A:B,2,FALSE),"")</f>
        <v/>
      </c>
      <c r="D870" s="12" t="n"/>
      <c r="E870" s="13">
        <f>IF(D870="","",D870-TODAY())</f>
        <v/>
      </c>
      <c r="F870">
        <f>IF(D870="","",IF(E870&lt;0,"VENCIDO",IF(E870&lt;=30,"VENCE EM &lt;= 30 DIAS",IF(E870&lt;=60,"ATENCAO (31-60 DIAS)","OK"))))</f>
        <v/>
      </c>
      <c r="G870" s="13">
        <f>SUMIFS(Movimentacoes!$G:$G,Movimentacoes!$C:$C,$A870,Movimentacoes!$E:$E,$C870,Movimentacoes!$B:$B,"ENTRADA")</f>
        <v/>
      </c>
      <c r="H870" s="13">
        <f>SUMIFS(Movimentacoes!$G:$G,Movimentacoes!$C:$C,$A870,Movimentacoes!$E:$E,$C870,Movimentacoes!$B:$B,"SAIDA_USO")</f>
        <v/>
      </c>
      <c r="I870" s="13">
        <f>SUMIFS(Movimentacoes!$G:$G,Movimentacoes!$C:$C,$A870,Movimentacoes!$E:$E,$C870,Movimentacoes!$B:$B,"SAIDA_DESCARTE")</f>
        <v/>
      </c>
      <c r="J870" s="13">
        <f>G870-H870-I870</f>
        <v/>
      </c>
      <c r="K870">
        <f>IF(A870="","",IF(J870&lt;=IFERROR(VLOOKUP(A870,Cadastro_Produtos!$A:$E,5,FALSE),0),"ABAIXO DO MINIMO","OK"))</f>
        <v/>
      </c>
    </row>
    <row r="871">
      <c r="B871">
        <f>IFERROR(VLOOKUP(A871,Cadastro_Produtos!A:B,2,FALSE),"")</f>
        <v/>
      </c>
      <c r="D871" s="12" t="n"/>
      <c r="E871" s="13">
        <f>IF(D871="","",D871-TODAY())</f>
        <v/>
      </c>
      <c r="F871">
        <f>IF(D871="","",IF(E871&lt;0,"VENCIDO",IF(E871&lt;=30,"VENCE EM &lt;= 30 DIAS",IF(E871&lt;=60,"ATENCAO (31-60 DIAS)","OK"))))</f>
        <v/>
      </c>
      <c r="G871" s="13">
        <f>SUMIFS(Movimentacoes!$G:$G,Movimentacoes!$C:$C,$A871,Movimentacoes!$E:$E,$C871,Movimentacoes!$B:$B,"ENTRADA")</f>
        <v/>
      </c>
      <c r="H871" s="13">
        <f>SUMIFS(Movimentacoes!$G:$G,Movimentacoes!$C:$C,$A871,Movimentacoes!$E:$E,$C871,Movimentacoes!$B:$B,"SAIDA_USO")</f>
        <v/>
      </c>
      <c r="I871" s="13">
        <f>SUMIFS(Movimentacoes!$G:$G,Movimentacoes!$C:$C,$A871,Movimentacoes!$E:$E,$C871,Movimentacoes!$B:$B,"SAIDA_DESCARTE")</f>
        <v/>
      </c>
      <c r="J871" s="13">
        <f>G871-H871-I871</f>
        <v/>
      </c>
      <c r="K871">
        <f>IF(A871="","",IF(J871&lt;=IFERROR(VLOOKUP(A871,Cadastro_Produtos!$A:$E,5,FALSE),0),"ABAIXO DO MINIMO","OK"))</f>
        <v/>
      </c>
    </row>
    <row r="872">
      <c r="B872">
        <f>IFERROR(VLOOKUP(A872,Cadastro_Produtos!A:B,2,FALSE),"")</f>
        <v/>
      </c>
      <c r="D872" s="12" t="n"/>
      <c r="E872" s="13">
        <f>IF(D872="","",D872-TODAY())</f>
        <v/>
      </c>
      <c r="F872">
        <f>IF(D872="","",IF(E872&lt;0,"VENCIDO",IF(E872&lt;=30,"VENCE EM &lt;= 30 DIAS",IF(E872&lt;=60,"ATENCAO (31-60 DIAS)","OK"))))</f>
        <v/>
      </c>
      <c r="G872" s="13">
        <f>SUMIFS(Movimentacoes!$G:$G,Movimentacoes!$C:$C,$A872,Movimentacoes!$E:$E,$C872,Movimentacoes!$B:$B,"ENTRADA")</f>
        <v/>
      </c>
      <c r="H872" s="13">
        <f>SUMIFS(Movimentacoes!$G:$G,Movimentacoes!$C:$C,$A872,Movimentacoes!$E:$E,$C872,Movimentacoes!$B:$B,"SAIDA_USO")</f>
        <v/>
      </c>
      <c r="I872" s="13">
        <f>SUMIFS(Movimentacoes!$G:$G,Movimentacoes!$C:$C,$A872,Movimentacoes!$E:$E,$C872,Movimentacoes!$B:$B,"SAIDA_DESCARTE")</f>
        <v/>
      </c>
      <c r="J872" s="13">
        <f>G872-H872-I872</f>
        <v/>
      </c>
      <c r="K872">
        <f>IF(A872="","",IF(J872&lt;=IFERROR(VLOOKUP(A872,Cadastro_Produtos!$A:$E,5,FALSE),0),"ABAIXO DO MINIMO","OK"))</f>
        <v/>
      </c>
    </row>
    <row r="873">
      <c r="B873">
        <f>IFERROR(VLOOKUP(A873,Cadastro_Produtos!A:B,2,FALSE),"")</f>
        <v/>
      </c>
      <c r="D873" s="12" t="n"/>
      <c r="E873" s="13">
        <f>IF(D873="","",D873-TODAY())</f>
        <v/>
      </c>
      <c r="F873">
        <f>IF(D873="","",IF(E873&lt;0,"VENCIDO",IF(E873&lt;=30,"VENCE EM &lt;= 30 DIAS",IF(E873&lt;=60,"ATENCAO (31-60 DIAS)","OK"))))</f>
        <v/>
      </c>
      <c r="G873" s="13">
        <f>SUMIFS(Movimentacoes!$G:$G,Movimentacoes!$C:$C,$A873,Movimentacoes!$E:$E,$C873,Movimentacoes!$B:$B,"ENTRADA")</f>
        <v/>
      </c>
      <c r="H873" s="13">
        <f>SUMIFS(Movimentacoes!$G:$G,Movimentacoes!$C:$C,$A873,Movimentacoes!$E:$E,$C873,Movimentacoes!$B:$B,"SAIDA_USO")</f>
        <v/>
      </c>
      <c r="I873" s="13">
        <f>SUMIFS(Movimentacoes!$G:$G,Movimentacoes!$C:$C,$A873,Movimentacoes!$E:$E,$C873,Movimentacoes!$B:$B,"SAIDA_DESCARTE")</f>
        <v/>
      </c>
      <c r="J873" s="13">
        <f>G873-H873-I873</f>
        <v/>
      </c>
      <c r="K873">
        <f>IF(A873="","",IF(J873&lt;=IFERROR(VLOOKUP(A873,Cadastro_Produtos!$A:$E,5,FALSE),0),"ABAIXO DO MINIMO","OK"))</f>
        <v/>
      </c>
    </row>
    <row r="874">
      <c r="B874">
        <f>IFERROR(VLOOKUP(A874,Cadastro_Produtos!A:B,2,FALSE),"")</f>
        <v/>
      </c>
      <c r="D874" s="12" t="n"/>
      <c r="E874" s="13">
        <f>IF(D874="","",D874-TODAY())</f>
        <v/>
      </c>
      <c r="F874">
        <f>IF(D874="","",IF(E874&lt;0,"VENCIDO",IF(E874&lt;=30,"VENCE EM &lt;= 30 DIAS",IF(E874&lt;=60,"ATENCAO (31-60 DIAS)","OK"))))</f>
        <v/>
      </c>
      <c r="G874" s="13">
        <f>SUMIFS(Movimentacoes!$G:$G,Movimentacoes!$C:$C,$A874,Movimentacoes!$E:$E,$C874,Movimentacoes!$B:$B,"ENTRADA")</f>
        <v/>
      </c>
      <c r="H874" s="13">
        <f>SUMIFS(Movimentacoes!$G:$G,Movimentacoes!$C:$C,$A874,Movimentacoes!$E:$E,$C874,Movimentacoes!$B:$B,"SAIDA_USO")</f>
        <v/>
      </c>
      <c r="I874" s="13">
        <f>SUMIFS(Movimentacoes!$G:$G,Movimentacoes!$C:$C,$A874,Movimentacoes!$E:$E,$C874,Movimentacoes!$B:$B,"SAIDA_DESCARTE")</f>
        <v/>
      </c>
      <c r="J874" s="13">
        <f>G874-H874-I874</f>
        <v/>
      </c>
      <c r="K874">
        <f>IF(A874="","",IF(J874&lt;=IFERROR(VLOOKUP(A874,Cadastro_Produtos!$A:$E,5,FALSE),0),"ABAIXO DO MINIMO","OK"))</f>
        <v/>
      </c>
    </row>
    <row r="875">
      <c r="B875">
        <f>IFERROR(VLOOKUP(A875,Cadastro_Produtos!A:B,2,FALSE),"")</f>
        <v/>
      </c>
      <c r="D875" s="12" t="n"/>
      <c r="E875" s="13">
        <f>IF(D875="","",D875-TODAY())</f>
        <v/>
      </c>
      <c r="F875">
        <f>IF(D875="","",IF(E875&lt;0,"VENCIDO",IF(E875&lt;=30,"VENCE EM &lt;= 30 DIAS",IF(E875&lt;=60,"ATENCAO (31-60 DIAS)","OK"))))</f>
        <v/>
      </c>
      <c r="G875" s="13">
        <f>SUMIFS(Movimentacoes!$G:$G,Movimentacoes!$C:$C,$A875,Movimentacoes!$E:$E,$C875,Movimentacoes!$B:$B,"ENTRADA")</f>
        <v/>
      </c>
      <c r="H875" s="13">
        <f>SUMIFS(Movimentacoes!$G:$G,Movimentacoes!$C:$C,$A875,Movimentacoes!$E:$E,$C875,Movimentacoes!$B:$B,"SAIDA_USO")</f>
        <v/>
      </c>
      <c r="I875" s="13">
        <f>SUMIFS(Movimentacoes!$G:$G,Movimentacoes!$C:$C,$A875,Movimentacoes!$E:$E,$C875,Movimentacoes!$B:$B,"SAIDA_DESCARTE")</f>
        <v/>
      </c>
      <c r="J875" s="13">
        <f>G875-H875-I875</f>
        <v/>
      </c>
      <c r="K875">
        <f>IF(A875="","",IF(J875&lt;=IFERROR(VLOOKUP(A875,Cadastro_Produtos!$A:$E,5,FALSE),0),"ABAIXO DO MINIMO","OK"))</f>
        <v/>
      </c>
    </row>
    <row r="876">
      <c r="B876">
        <f>IFERROR(VLOOKUP(A876,Cadastro_Produtos!A:B,2,FALSE),"")</f>
        <v/>
      </c>
      <c r="D876" s="12" t="n"/>
      <c r="E876" s="13">
        <f>IF(D876="","",D876-TODAY())</f>
        <v/>
      </c>
      <c r="F876">
        <f>IF(D876="","",IF(E876&lt;0,"VENCIDO",IF(E876&lt;=30,"VENCE EM &lt;= 30 DIAS",IF(E876&lt;=60,"ATENCAO (31-60 DIAS)","OK"))))</f>
        <v/>
      </c>
      <c r="G876" s="13">
        <f>SUMIFS(Movimentacoes!$G:$G,Movimentacoes!$C:$C,$A876,Movimentacoes!$E:$E,$C876,Movimentacoes!$B:$B,"ENTRADA")</f>
        <v/>
      </c>
      <c r="H876" s="13">
        <f>SUMIFS(Movimentacoes!$G:$G,Movimentacoes!$C:$C,$A876,Movimentacoes!$E:$E,$C876,Movimentacoes!$B:$B,"SAIDA_USO")</f>
        <v/>
      </c>
      <c r="I876" s="13">
        <f>SUMIFS(Movimentacoes!$G:$G,Movimentacoes!$C:$C,$A876,Movimentacoes!$E:$E,$C876,Movimentacoes!$B:$B,"SAIDA_DESCARTE")</f>
        <v/>
      </c>
      <c r="J876" s="13">
        <f>G876-H876-I876</f>
        <v/>
      </c>
      <c r="K876">
        <f>IF(A876="","",IF(J876&lt;=IFERROR(VLOOKUP(A876,Cadastro_Produtos!$A:$E,5,FALSE),0),"ABAIXO DO MINIMO","OK"))</f>
        <v/>
      </c>
    </row>
    <row r="877">
      <c r="B877">
        <f>IFERROR(VLOOKUP(A877,Cadastro_Produtos!A:B,2,FALSE),"")</f>
        <v/>
      </c>
      <c r="D877" s="12" t="n"/>
      <c r="E877" s="13">
        <f>IF(D877="","",D877-TODAY())</f>
        <v/>
      </c>
      <c r="F877">
        <f>IF(D877="","",IF(E877&lt;0,"VENCIDO",IF(E877&lt;=30,"VENCE EM &lt;= 30 DIAS",IF(E877&lt;=60,"ATENCAO (31-60 DIAS)","OK"))))</f>
        <v/>
      </c>
      <c r="G877" s="13">
        <f>SUMIFS(Movimentacoes!$G:$G,Movimentacoes!$C:$C,$A877,Movimentacoes!$E:$E,$C877,Movimentacoes!$B:$B,"ENTRADA")</f>
        <v/>
      </c>
      <c r="H877" s="13">
        <f>SUMIFS(Movimentacoes!$G:$G,Movimentacoes!$C:$C,$A877,Movimentacoes!$E:$E,$C877,Movimentacoes!$B:$B,"SAIDA_USO")</f>
        <v/>
      </c>
      <c r="I877" s="13">
        <f>SUMIFS(Movimentacoes!$G:$G,Movimentacoes!$C:$C,$A877,Movimentacoes!$E:$E,$C877,Movimentacoes!$B:$B,"SAIDA_DESCARTE")</f>
        <v/>
      </c>
      <c r="J877" s="13">
        <f>G877-H877-I877</f>
        <v/>
      </c>
      <c r="K877">
        <f>IF(A877="","",IF(J877&lt;=IFERROR(VLOOKUP(A877,Cadastro_Produtos!$A:$E,5,FALSE),0),"ABAIXO DO MINIMO","OK"))</f>
        <v/>
      </c>
    </row>
    <row r="878">
      <c r="B878">
        <f>IFERROR(VLOOKUP(A878,Cadastro_Produtos!A:B,2,FALSE),"")</f>
        <v/>
      </c>
      <c r="D878" s="12" t="n"/>
      <c r="E878" s="13">
        <f>IF(D878="","",D878-TODAY())</f>
        <v/>
      </c>
      <c r="F878">
        <f>IF(D878="","",IF(E878&lt;0,"VENCIDO",IF(E878&lt;=30,"VENCE EM &lt;= 30 DIAS",IF(E878&lt;=60,"ATENCAO (31-60 DIAS)","OK"))))</f>
        <v/>
      </c>
      <c r="G878" s="13">
        <f>SUMIFS(Movimentacoes!$G:$G,Movimentacoes!$C:$C,$A878,Movimentacoes!$E:$E,$C878,Movimentacoes!$B:$B,"ENTRADA")</f>
        <v/>
      </c>
      <c r="H878" s="13">
        <f>SUMIFS(Movimentacoes!$G:$G,Movimentacoes!$C:$C,$A878,Movimentacoes!$E:$E,$C878,Movimentacoes!$B:$B,"SAIDA_USO")</f>
        <v/>
      </c>
      <c r="I878" s="13">
        <f>SUMIFS(Movimentacoes!$G:$G,Movimentacoes!$C:$C,$A878,Movimentacoes!$E:$E,$C878,Movimentacoes!$B:$B,"SAIDA_DESCARTE")</f>
        <v/>
      </c>
      <c r="J878" s="13">
        <f>G878-H878-I878</f>
        <v/>
      </c>
      <c r="K878">
        <f>IF(A878="","",IF(J878&lt;=IFERROR(VLOOKUP(A878,Cadastro_Produtos!$A:$E,5,FALSE),0),"ABAIXO DO MINIMO","OK"))</f>
        <v/>
      </c>
    </row>
    <row r="879">
      <c r="B879">
        <f>IFERROR(VLOOKUP(A879,Cadastro_Produtos!A:B,2,FALSE),"")</f>
        <v/>
      </c>
      <c r="D879" s="12" t="n"/>
      <c r="E879" s="13">
        <f>IF(D879="","",D879-TODAY())</f>
        <v/>
      </c>
      <c r="F879">
        <f>IF(D879="","",IF(E879&lt;0,"VENCIDO",IF(E879&lt;=30,"VENCE EM &lt;= 30 DIAS",IF(E879&lt;=60,"ATENCAO (31-60 DIAS)","OK"))))</f>
        <v/>
      </c>
      <c r="G879" s="13">
        <f>SUMIFS(Movimentacoes!$G:$G,Movimentacoes!$C:$C,$A879,Movimentacoes!$E:$E,$C879,Movimentacoes!$B:$B,"ENTRADA")</f>
        <v/>
      </c>
      <c r="H879" s="13">
        <f>SUMIFS(Movimentacoes!$G:$G,Movimentacoes!$C:$C,$A879,Movimentacoes!$E:$E,$C879,Movimentacoes!$B:$B,"SAIDA_USO")</f>
        <v/>
      </c>
      <c r="I879" s="13">
        <f>SUMIFS(Movimentacoes!$G:$G,Movimentacoes!$C:$C,$A879,Movimentacoes!$E:$E,$C879,Movimentacoes!$B:$B,"SAIDA_DESCARTE")</f>
        <v/>
      </c>
      <c r="J879" s="13">
        <f>G879-H879-I879</f>
        <v/>
      </c>
      <c r="K879">
        <f>IF(A879="","",IF(J879&lt;=IFERROR(VLOOKUP(A879,Cadastro_Produtos!$A:$E,5,FALSE),0),"ABAIXO DO MINIMO","OK"))</f>
        <v/>
      </c>
    </row>
    <row r="880">
      <c r="B880">
        <f>IFERROR(VLOOKUP(A880,Cadastro_Produtos!A:B,2,FALSE),"")</f>
        <v/>
      </c>
      <c r="D880" s="12" t="n"/>
      <c r="E880" s="13">
        <f>IF(D880="","",D880-TODAY())</f>
        <v/>
      </c>
      <c r="F880">
        <f>IF(D880="","",IF(E880&lt;0,"VENCIDO",IF(E880&lt;=30,"VENCE EM &lt;= 30 DIAS",IF(E880&lt;=60,"ATENCAO (31-60 DIAS)","OK"))))</f>
        <v/>
      </c>
      <c r="G880" s="13">
        <f>SUMIFS(Movimentacoes!$G:$G,Movimentacoes!$C:$C,$A880,Movimentacoes!$E:$E,$C880,Movimentacoes!$B:$B,"ENTRADA")</f>
        <v/>
      </c>
      <c r="H880" s="13">
        <f>SUMIFS(Movimentacoes!$G:$G,Movimentacoes!$C:$C,$A880,Movimentacoes!$E:$E,$C880,Movimentacoes!$B:$B,"SAIDA_USO")</f>
        <v/>
      </c>
      <c r="I880" s="13">
        <f>SUMIFS(Movimentacoes!$G:$G,Movimentacoes!$C:$C,$A880,Movimentacoes!$E:$E,$C880,Movimentacoes!$B:$B,"SAIDA_DESCARTE")</f>
        <v/>
      </c>
      <c r="J880" s="13">
        <f>G880-H880-I880</f>
        <v/>
      </c>
      <c r="K880">
        <f>IF(A880="","",IF(J880&lt;=IFERROR(VLOOKUP(A880,Cadastro_Produtos!$A:$E,5,FALSE),0),"ABAIXO DO MINIMO","OK"))</f>
        <v/>
      </c>
    </row>
    <row r="881">
      <c r="B881">
        <f>IFERROR(VLOOKUP(A881,Cadastro_Produtos!A:B,2,FALSE),"")</f>
        <v/>
      </c>
      <c r="D881" s="12" t="n"/>
      <c r="E881" s="13">
        <f>IF(D881="","",D881-TODAY())</f>
        <v/>
      </c>
      <c r="F881">
        <f>IF(D881="","",IF(E881&lt;0,"VENCIDO",IF(E881&lt;=30,"VENCE EM &lt;= 30 DIAS",IF(E881&lt;=60,"ATENCAO (31-60 DIAS)","OK"))))</f>
        <v/>
      </c>
      <c r="G881" s="13">
        <f>SUMIFS(Movimentacoes!$G:$G,Movimentacoes!$C:$C,$A881,Movimentacoes!$E:$E,$C881,Movimentacoes!$B:$B,"ENTRADA")</f>
        <v/>
      </c>
      <c r="H881" s="13">
        <f>SUMIFS(Movimentacoes!$G:$G,Movimentacoes!$C:$C,$A881,Movimentacoes!$E:$E,$C881,Movimentacoes!$B:$B,"SAIDA_USO")</f>
        <v/>
      </c>
      <c r="I881" s="13">
        <f>SUMIFS(Movimentacoes!$G:$G,Movimentacoes!$C:$C,$A881,Movimentacoes!$E:$E,$C881,Movimentacoes!$B:$B,"SAIDA_DESCARTE")</f>
        <v/>
      </c>
      <c r="J881" s="13">
        <f>G881-H881-I881</f>
        <v/>
      </c>
      <c r="K881">
        <f>IF(A881="","",IF(J881&lt;=IFERROR(VLOOKUP(A881,Cadastro_Produtos!$A:$E,5,FALSE),0),"ABAIXO DO MINIMO","OK"))</f>
        <v/>
      </c>
    </row>
    <row r="882">
      <c r="B882">
        <f>IFERROR(VLOOKUP(A882,Cadastro_Produtos!A:B,2,FALSE),"")</f>
        <v/>
      </c>
      <c r="D882" s="12" t="n"/>
      <c r="E882" s="13">
        <f>IF(D882="","",D882-TODAY())</f>
        <v/>
      </c>
      <c r="F882">
        <f>IF(D882="","",IF(E882&lt;0,"VENCIDO",IF(E882&lt;=30,"VENCE EM &lt;= 30 DIAS",IF(E882&lt;=60,"ATENCAO (31-60 DIAS)","OK"))))</f>
        <v/>
      </c>
      <c r="G882" s="13">
        <f>SUMIFS(Movimentacoes!$G:$G,Movimentacoes!$C:$C,$A882,Movimentacoes!$E:$E,$C882,Movimentacoes!$B:$B,"ENTRADA")</f>
        <v/>
      </c>
      <c r="H882" s="13">
        <f>SUMIFS(Movimentacoes!$G:$G,Movimentacoes!$C:$C,$A882,Movimentacoes!$E:$E,$C882,Movimentacoes!$B:$B,"SAIDA_USO")</f>
        <v/>
      </c>
      <c r="I882" s="13">
        <f>SUMIFS(Movimentacoes!$G:$G,Movimentacoes!$C:$C,$A882,Movimentacoes!$E:$E,$C882,Movimentacoes!$B:$B,"SAIDA_DESCARTE")</f>
        <v/>
      </c>
      <c r="J882" s="13">
        <f>G882-H882-I882</f>
        <v/>
      </c>
      <c r="K882">
        <f>IF(A882="","",IF(J882&lt;=IFERROR(VLOOKUP(A882,Cadastro_Produtos!$A:$E,5,FALSE),0),"ABAIXO DO MINIMO","OK"))</f>
        <v/>
      </c>
    </row>
    <row r="883">
      <c r="B883">
        <f>IFERROR(VLOOKUP(A883,Cadastro_Produtos!A:B,2,FALSE),"")</f>
        <v/>
      </c>
      <c r="D883" s="12" t="n"/>
      <c r="E883" s="13">
        <f>IF(D883="","",D883-TODAY())</f>
        <v/>
      </c>
      <c r="F883">
        <f>IF(D883="","",IF(E883&lt;0,"VENCIDO",IF(E883&lt;=30,"VENCE EM &lt;= 30 DIAS",IF(E883&lt;=60,"ATENCAO (31-60 DIAS)","OK"))))</f>
        <v/>
      </c>
      <c r="G883" s="13">
        <f>SUMIFS(Movimentacoes!$G:$G,Movimentacoes!$C:$C,$A883,Movimentacoes!$E:$E,$C883,Movimentacoes!$B:$B,"ENTRADA")</f>
        <v/>
      </c>
      <c r="H883" s="13">
        <f>SUMIFS(Movimentacoes!$G:$G,Movimentacoes!$C:$C,$A883,Movimentacoes!$E:$E,$C883,Movimentacoes!$B:$B,"SAIDA_USO")</f>
        <v/>
      </c>
      <c r="I883" s="13">
        <f>SUMIFS(Movimentacoes!$G:$G,Movimentacoes!$C:$C,$A883,Movimentacoes!$E:$E,$C883,Movimentacoes!$B:$B,"SAIDA_DESCARTE")</f>
        <v/>
      </c>
      <c r="J883" s="13">
        <f>G883-H883-I883</f>
        <v/>
      </c>
      <c r="K883">
        <f>IF(A883="","",IF(J883&lt;=IFERROR(VLOOKUP(A883,Cadastro_Produtos!$A:$E,5,FALSE),0),"ABAIXO DO MINIMO","OK"))</f>
        <v/>
      </c>
    </row>
    <row r="884">
      <c r="B884">
        <f>IFERROR(VLOOKUP(A884,Cadastro_Produtos!A:B,2,FALSE),"")</f>
        <v/>
      </c>
      <c r="D884" s="12" t="n"/>
      <c r="E884" s="13">
        <f>IF(D884="","",D884-TODAY())</f>
        <v/>
      </c>
      <c r="F884">
        <f>IF(D884="","",IF(E884&lt;0,"VENCIDO",IF(E884&lt;=30,"VENCE EM &lt;= 30 DIAS",IF(E884&lt;=60,"ATENCAO (31-60 DIAS)","OK"))))</f>
        <v/>
      </c>
      <c r="G884" s="13">
        <f>SUMIFS(Movimentacoes!$G:$G,Movimentacoes!$C:$C,$A884,Movimentacoes!$E:$E,$C884,Movimentacoes!$B:$B,"ENTRADA")</f>
        <v/>
      </c>
      <c r="H884" s="13">
        <f>SUMIFS(Movimentacoes!$G:$G,Movimentacoes!$C:$C,$A884,Movimentacoes!$E:$E,$C884,Movimentacoes!$B:$B,"SAIDA_USO")</f>
        <v/>
      </c>
      <c r="I884" s="13">
        <f>SUMIFS(Movimentacoes!$G:$G,Movimentacoes!$C:$C,$A884,Movimentacoes!$E:$E,$C884,Movimentacoes!$B:$B,"SAIDA_DESCARTE")</f>
        <v/>
      </c>
      <c r="J884" s="13">
        <f>G884-H884-I884</f>
        <v/>
      </c>
      <c r="K884">
        <f>IF(A884="","",IF(J884&lt;=IFERROR(VLOOKUP(A884,Cadastro_Produtos!$A:$E,5,FALSE),0),"ABAIXO DO MINIMO","OK"))</f>
        <v/>
      </c>
    </row>
    <row r="885">
      <c r="B885">
        <f>IFERROR(VLOOKUP(A885,Cadastro_Produtos!A:B,2,FALSE),"")</f>
        <v/>
      </c>
      <c r="D885" s="12" t="n"/>
      <c r="E885" s="13">
        <f>IF(D885="","",D885-TODAY())</f>
        <v/>
      </c>
      <c r="F885">
        <f>IF(D885="","",IF(E885&lt;0,"VENCIDO",IF(E885&lt;=30,"VENCE EM &lt;= 30 DIAS",IF(E885&lt;=60,"ATENCAO (31-60 DIAS)","OK"))))</f>
        <v/>
      </c>
      <c r="G885" s="13">
        <f>SUMIFS(Movimentacoes!$G:$G,Movimentacoes!$C:$C,$A885,Movimentacoes!$E:$E,$C885,Movimentacoes!$B:$B,"ENTRADA")</f>
        <v/>
      </c>
      <c r="H885" s="13">
        <f>SUMIFS(Movimentacoes!$G:$G,Movimentacoes!$C:$C,$A885,Movimentacoes!$E:$E,$C885,Movimentacoes!$B:$B,"SAIDA_USO")</f>
        <v/>
      </c>
      <c r="I885" s="13">
        <f>SUMIFS(Movimentacoes!$G:$G,Movimentacoes!$C:$C,$A885,Movimentacoes!$E:$E,$C885,Movimentacoes!$B:$B,"SAIDA_DESCARTE")</f>
        <v/>
      </c>
      <c r="J885" s="13">
        <f>G885-H885-I885</f>
        <v/>
      </c>
      <c r="K885">
        <f>IF(A885="","",IF(J885&lt;=IFERROR(VLOOKUP(A885,Cadastro_Produtos!$A:$E,5,FALSE),0),"ABAIXO DO MINIMO","OK"))</f>
        <v/>
      </c>
    </row>
    <row r="886">
      <c r="B886">
        <f>IFERROR(VLOOKUP(A886,Cadastro_Produtos!A:B,2,FALSE),"")</f>
        <v/>
      </c>
      <c r="D886" s="12" t="n"/>
      <c r="E886" s="13">
        <f>IF(D886="","",D886-TODAY())</f>
        <v/>
      </c>
      <c r="F886">
        <f>IF(D886="","",IF(E886&lt;0,"VENCIDO",IF(E886&lt;=30,"VENCE EM &lt;= 30 DIAS",IF(E886&lt;=60,"ATENCAO (31-60 DIAS)","OK"))))</f>
        <v/>
      </c>
      <c r="G886" s="13">
        <f>SUMIFS(Movimentacoes!$G:$G,Movimentacoes!$C:$C,$A886,Movimentacoes!$E:$E,$C886,Movimentacoes!$B:$B,"ENTRADA")</f>
        <v/>
      </c>
      <c r="H886" s="13">
        <f>SUMIFS(Movimentacoes!$G:$G,Movimentacoes!$C:$C,$A886,Movimentacoes!$E:$E,$C886,Movimentacoes!$B:$B,"SAIDA_USO")</f>
        <v/>
      </c>
      <c r="I886" s="13">
        <f>SUMIFS(Movimentacoes!$G:$G,Movimentacoes!$C:$C,$A886,Movimentacoes!$E:$E,$C886,Movimentacoes!$B:$B,"SAIDA_DESCARTE")</f>
        <v/>
      </c>
      <c r="J886" s="13">
        <f>G886-H886-I886</f>
        <v/>
      </c>
      <c r="K886">
        <f>IF(A886="","",IF(J886&lt;=IFERROR(VLOOKUP(A886,Cadastro_Produtos!$A:$E,5,FALSE),0),"ABAIXO DO MINIMO","OK"))</f>
        <v/>
      </c>
    </row>
    <row r="887">
      <c r="B887">
        <f>IFERROR(VLOOKUP(A887,Cadastro_Produtos!A:B,2,FALSE),"")</f>
        <v/>
      </c>
      <c r="D887" s="12" t="n"/>
      <c r="E887" s="13">
        <f>IF(D887="","",D887-TODAY())</f>
        <v/>
      </c>
      <c r="F887">
        <f>IF(D887="","",IF(E887&lt;0,"VENCIDO",IF(E887&lt;=30,"VENCE EM &lt;= 30 DIAS",IF(E887&lt;=60,"ATENCAO (31-60 DIAS)","OK"))))</f>
        <v/>
      </c>
      <c r="G887" s="13">
        <f>SUMIFS(Movimentacoes!$G:$G,Movimentacoes!$C:$C,$A887,Movimentacoes!$E:$E,$C887,Movimentacoes!$B:$B,"ENTRADA")</f>
        <v/>
      </c>
      <c r="H887" s="13">
        <f>SUMIFS(Movimentacoes!$G:$G,Movimentacoes!$C:$C,$A887,Movimentacoes!$E:$E,$C887,Movimentacoes!$B:$B,"SAIDA_USO")</f>
        <v/>
      </c>
      <c r="I887" s="13">
        <f>SUMIFS(Movimentacoes!$G:$G,Movimentacoes!$C:$C,$A887,Movimentacoes!$E:$E,$C887,Movimentacoes!$B:$B,"SAIDA_DESCARTE")</f>
        <v/>
      </c>
      <c r="J887" s="13">
        <f>G887-H887-I887</f>
        <v/>
      </c>
      <c r="K887">
        <f>IF(A887="","",IF(J887&lt;=IFERROR(VLOOKUP(A887,Cadastro_Produtos!$A:$E,5,FALSE),0),"ABAIXO DO MINIMO","OK"))</f>
        <v/>
      </c>
    </row>
    <row r="888">
      <c r="B888">
        <f>IFERROR(VLOOKUP(A888,Cadastro_Produtos!A:B,2,FALSE),"")</f>
        <v/>
      </c>
      <c r="D888" s="12" t="n"/>
      <c r="E888" s="13">
        <f>IF(D888="","",D888-TODAY())</f>
        <v/>
      </c>
      <c r="F888">
        <f>IF(D888="","",IF(E888&lt;0,"VENCIDO",IF(E888&lt;=30,"VENCE EM &lt;= 30 DIAS",IF(E888&lt;=60,"ATENCAO (31-60 DIAS)","OK"))))</f>
        <v/>
      </c>
      <c r="G888" s="13">
        <f>SUMIFS(Movimentacoes!$G:$G,Movimentacoes!$C:$C,$A888,Movimentacoes!$E:$E,$C888,Movimentacoes!$B:$B,"ENTRADA")</f>
        <v/>
      </c>
      <c r="H888" s="13">
        <f>SUMIFS(Movimentacoes!$G:$G,Movimentacoes!$C:$C,$A888,Movimentacoes!$E:$E,$C888,Movimentacoes!$B:$B,"SAIDA_USO")</f>
        <v/>
      </c>
      <c r="I888" s="13">
        <f>SUMIFS(Movimentacoes!$G:$G,Movimentacoes!$C:$C,$A888,Movimentacoes!$E:$E,$C888,Movimentacoes!$B:$B,"SAIDA_DESCARTE")</f>
        <v/>
      </c>
      <c r="J888" s="13">
        <f>G888-H888-I888</f>
        <v/>
      </c>
      <c r="K888">
        <f>IF(A888="","",IF(J888&lt;=IFERROR(VLOOKUP(A888,Cadastro_Produtos!$A:$E,5,FALSE),0),"ABAIXO DO MINIMO","OK"))</f>
        <v/>
      </c>
    </row>
    <row r="889">
      <c r="B889">
        <f>IFERROR(VLOOKUP(A889,Cadastro_Produtos!A:B,2,FALSE),"")</f>
        <v/>
      </c>
      <c r="D889" s="12" t="n"/>
      <c r="E889" s="13">
        <f>IF(D889="","",D889-TODAY())</f>
        <v/>
      </c>
      <c r="F889">
        <f>IF(D889="","",IF(E889&lt;0,"VENCIDO",IF(E889&lt;=30,"VENCE EM &lt;= 30 DIAS",IF(E889&lt;=60,"ATENCAO (31-60 DIAS)","OK"))))</f>
        <v/>
      </c>
      <c r="G889" s="13">
        <f>SUMIFS(Movimentacoes!$G:$G,Movimentacoes!$C:$C,$A889,Movimentacoes!$E:$E,$C889,Movimentacoes!$B:$B,"ENTRADA")</f>
        <v/>
      </c>
      <c r="H889" s="13">
        <f>SUMIFS(Movimentacoes!$G:$G,Movimentacoes!$C:$C,$A889,Movimentacoes!$E:$E,$C889,Movimentacoes!$B:$B,"SAIDA_USO")</f>
        <v/>
      </c>
      <c r="I889" s="13">
        <f>SUMIFS(Movimentacoes!$G:$G,Movimentacoes!$C:$C,$A889,Movimentacoes!$E:$E,$C889,Movimentacoes!$B:$B,"SAIDA_DESCARTE")</f>
        <v/>
      </c>
      <c r="J889" s="13">
        <f>G889-H889-I889</f>
        <v/>
      </c>
      <c r="K889">
        <f>IF(A889="","",IF(J889&lt;=IFERROR(VLOOKUP(A889,Cadastro_Produtos!$A:$E,5,FALSE),0),"ABAIXO DO MINIMO","OK"))</f>
        <v/>
      </c>
    </row>
    <row r="890">
      <c r="B890">
        <f>IFERROR(VLOOKUP(A890,Cadastro_Produtos!A:B,2,FALSE),"")</f>
        <v/>
      </c>
      <c r="D890" s="12" t="n"/>
      <c r="E890" s="13">
        <f>IF(D890="","",D890-TODAY())</f>
        <v/>
      </c>
      <c r="F890">
        <f>IF(D890="","",IF(E890&lt;0,"VENCIDO",IF(E890&lt;=30,"VENCE EM &lt;= 30 DIAS",IF(E890&lt;=60,"ATENCAO (31-60 DIAS)","OK"))))</f>
        <v/>
      </c>
      <c r="G890" s="13">
        <f>SUMIFS(Movimentacoes!$G:$G,Movimentacoes!$C:$C,$A890,Movimentacoes!$E:$E,$C890,Movimentacoes!$B:$B,"ENTRADA")</f>
        <v/>
      </c>
      <c r="H890" s="13">
        <f>SUMIFS(Movimentacoes!$G:$G,Movimentacoes!$C:$C,$A890,Movimentacoes!$E:$E,$C890,Movimentacoes!$B:$B,"SAIDA_USO")</f>
        <v/>
      </c>
      <c r="I890" s="13">
        <f>SUMIFS(Movimentacoes!$G:$G,Movimentacoes!$C:$C,$A890,Movimentacoes!$E:$E,$C890,Movimentacoes!$B:$B,"SAIDA_DESCARTE")</f>
        <v/>
      </c>
      <c r="J890" s="13">
        <f>G890-H890-I890</f>
        <v/>
      </c>
      <c r="K890">
        <f>IF(A890="","",IF(J890&lt;=IFERROR(VLOOKUP(A890,Cadastro_Produtos!$A:$E,5,FALSE),0),"ABAIXO DO MINIMO","OK"))</f>
        <v/>
      </c>
    </row>
    <row r="891">
      <c r="B891">
        <f>IFERROR(VLOOKUP(A891,Cadastro_Produtos!A:B,2,FALSE),"")</f>
        <v/>
      </c>
      <c r="D891" s="12" t="n"/>
      <c r="E891" s="13">
        <f>IF(D891="","",D891-TODAY())</f>
        <v/>
      </c>
      <c r="F891">
        <f>IF(D891="","",IF(E891&lt;0,"VENCIDO",IF(E891&lt;=30,"VENCE EM &lt;= 30 DIAS",IF(E891&lt;=60,"ATENCAO (31-60 DIAS)","OK"))))</f>
        <v/>
      </c>
      <c r="G891" s="13">
        <f>SUMIFS(Movimentacoes!$G:$G,Movimentacoes!$C:$C,$A891,Movimentacoes!$E:$E,$C891,Movimentacoes!$B:$B,"ENTRADA")</f>
        <v/>
      </c>
      <c r="H891" s="13">
        <f>SUMIFS(Movimentacoes!$G:$G,Movimentacoes!$C:$C,$A891,Movimentacoes!$E:$E,$C891,Movimentacoes!$B:$B,"SAIDA_USO")</f>
        <v/>
      </c>
      <c r="I891" s="13">
        <f>SUMIFS(Movimentacoes!$G:$G,Movimentacoes!$C:$C,$A891,Movimentacoes!$E:$E,$C891,Movimentacoes!$B:$B,"SAIDA_DESCARTE")</f>
        <v/>
      </c>
      <c r="J891" s="13">
        <f>G891-H891-I891</f>
        <v/>
      </c>
      <c r="K891">
        <f>IF(A891="","",IF(J891&lt;=IFERROR(VLOOKUP(A891,Cadastro_Produtos!$A:$E,5,FALSE),0),"ABAIXO DO MINIMO","OK"))</f>
        <v/>
      </c>
    </row>
    <row r="892">
      <c r="B892">
        <f>IFERROR(VLOOKUP(A892,Cadastro_Produtos!A:B,2,FALSE),"")</f>
        <v/>
      </c>
      <c r="D892" s="12" t="n"/>
      <c r="E892" s="13">
        <f>IF(D892="","",D892-TODAY())</f>
        <v/>
      </c>
      <c r="F892">
        <f>IF(D892="","",IF(E892&lt;0,"VENCIDO",IF(E892&lt;=30,"VENCE EM &lt;= 30 DIAS",IF(E892&lt;=60,"ATENCAO (31-60 DIAS)","OK"))))</f>
        <v/>
      </c>
      <c r="G892" s="13">
        <f>SUMIFS(Movimentacoes!$G:$G,Movimentacoes!$C:$C,$A892,Movimentacoes!$E:$E,$C892,Movimentacoes!$B:$B,"ENTRADA")</f>
        <v/>
      </c>
      <c r="H892" s="13">
        <f>SUMIFS(Movimentacoes!$G:$G,Movimentacoes!$C:$C,$A892,Movimentacoes!$E:$E,$C892,Movimentacoes!$B:$B,"SAIDA_USO")</f>
        <v/>
      </c>
      <c r="I892" s="13">
        <f>SUMIFS(Movimentacoes!$G:$G,Movimentacoes!$C:$C,$A892,Movimentacoes!$E:$E,$C892,Movimentacoes!$B:$B,"SAIDA_DESCARTE")</f>
        <v/>
      </c>
      <c r="J892" s="13">
        <f>G892-H892-I892</f>
        <v/>
      </c>
      <c r="K892">
        <f>IF(A892="","",IF(J892&lt;=IFERROR(VLOOKUP(A892,Cadastro_Produtos!$A:$E,5,FALSE),0),"ABAIXO DO MINIMO","OK"))</f>
        <v/>
      </c>
    </row>
    <row r="893">
      <c r="B893">
        <f>IFERROR(VLOOKUP(A893,Cadastro_Produtos!A:B,2,FALSE),"")</f>
        <v/>
      </c>
      <c r="D893" s="12" t="n"/>
      <c r="E893" s="13">
        <f>IF(D893="","",D893-TODAY())</f>
        <v/>
      </c>
      <c r="F893">
        <f>IF(D893="","",IF(E893&lt;0,"VENCIDO",IF(E893&lt;=30,"VENCE EM &lt;= 30 DIAS",IF(E893&lt;=60,"ATENCAO (31-60 DIAS)","OK"))))</f>
        <v/>
      </c>
      <c r="G893" s="13">
        <f>SUMIFS(Movimentacoes!$G:$G,Movimentacoes!$C:$C,$A893,Movimentacoes!$E:$E,$C893,Movimentacoes!$B:$B,"ENTRADA")</f>
        <v/>
      </c>
      <c r="H893" s="13">
        <f>SUMIFS(Movimentacoes!$G:$G,Movimentacoes!$C:$C,$A893,Movimentacoes!$E:$E,$C893,Movimentacoes!$B:$B,"SAIDA_USO")</f>
        <v/>
      </c>
      <c r="I893" s="13">
        <f>SUMIFS(Movimentacoes!$G:$G,Movimentacoes!$C:$C,$A893,Movimentacoes!$E:$E,$C893,Movimentacoes!$B:$B,"SAIDA_DESCARTE")</f>
        <v/>
      </c>
      <c r="J893" s="13">
        <f>G893-H893-I893</f>
        <v/>
      </c>
      <c r="K893">
        <f>IF(A893="","",IF(J893&lt;=IFERROR(VLOOKUP(A893,Cadastro_Produtos!$A:$E,5,FALSE),0),"ABAIXO DO MINIMO","OK"))</f>
        <v/>
      </c>
    </row>
    <row r="894">
      <c r="B894">
        <f>IFERROR(VLOOKUP(A894,Cadastro_Produtos!A:B,2,FALSE),"")</f>
        <v/>
      </c>
      <c r="D894" s="12" t="n"/>
      <c r="E894" s="13">
        <f>IF(D894="","",D894-TODAY())</f>
        <v/>
      </c>
      <c r="F894">
        <f>IF(D894="","",IF(E894&lt;0,"VENCIDO",IF(E894&lt;=30,"VENCE EM &lt;= 30 DIAS",IF(E894&lt;=60,"ATENCAO (31-60 DIAS)","OK"))))</f>
        <v/>
      </c>
      <c r="G894" s="13">
        <f>SUMIFS(Movimentacoes!$G:$G,Movimentacoes!$C:$C,$A894,Movimentacoes!$E:$E,$C894,Movimentacoes!$B:$B,"ENTRADA")</f>
        <v/>
      </c>
      <c r="H894" s="13">
        <f>SUMIFS(Movimentacoes!$G:$G,Movimentacoes!$C:$C,$A894,Movimentacoes!$E:$E,$C894,Movimentacoes!$B:$B,"SAIDA_USO")</f>
        <v/>
      </c>
      <c r="I894" s="13">
        <f>SUMIFS(Movimentacoes!$G:$G,Movimentacoes!$C:$C,$A894,Movimentacoes!$E:$E,$C894,Movimentacoes!$B:$B,"SAIDA_DESCARTE")</f>
        <v/>
      </c>
      <c r="J894" s="13">
        <f>G894-H894-I894</f>
        <v/>
      </c>
      <c r="K894">
        <f>IF(A894="","",IF(J894&lt;=IFERROR(VLOOKUP(A894,Cadastro_Produtos!$A:$E,5,FALSE),0),"ABAIXO DO MINIMO","OK"))</f>
        <v/>
      </c>
    </row>
    <row r="895">
      <c r="B895">
        <f>IFERROR(VLOOKUP(A895,Cadastro_Produtos!A:B,2,FALSE),"")</f>
        <v/>
      </c>
      <c r="D895" s="12" t="n"/>
      <c r="E895" s="13">
        <f>IF(D895="","",D895-TODAY())</f>
        <v/>
      </c>
      <c r="F895">
        <f>IF(D895="","",IF(E895&lt;0,"VENCIDO",IF(E895&lt;=30,"VENCE EM &lt;= 30 DIAS",IF(E895&lt;=60,"ATENCAO (31-60 DIAS)","OK"))))</f>
        <v/>
      </c>
      <c r="G895" s="13">
        <f>SUMIFS(Movimentacoes!$G:$G,Movimentacoes!$C:$C,$A895,Movimentacoes!$E:$E,$C895,Movimentacoes!$B:$B,"ENTRADA")</f>
        <v/>
      </c>
      <c r="H895" s="13">
        <f>SUMIFS(Movimentacoes!$G:$G,Movimentacoes!$C:$C,$A895,Movimentacoes!$E:$E,$C895,Movimentacoes!$B:$B,"SAIDA_USO")</f>
        <v/>
      </c>
      <c r="I895" s="13">
        <f>SUMIFS(Movimentacoes!$G:$G,Movimentacoes!$C:$C,$A895,Movimentacoes!$E:$E,$C895,Movimentacoes!$B:$B,"SAIDA_DESCARTE")</f>
        <v/>
      </c>
      <c r="J895" s="13">
        <f>G895-H895-I895</f>
        <v/>
      </c>
      <c r="K895">
        <f>IF(A895="","",IF(J895&lt;=IFERROR(VLOOKUP(A895,Cadastro_Produtos!$A:$E,5,FALSE),0),"ABAIXO DO MINIMO","OK"))</f>
        <v/>
      </c>
    </row>
    <row r="896">
      <c r="B896">
        <f>IFERROR(VLOOKUP(A896,Cadastro_Produtos!A:B,2,FALSE),"")</f>
        <v/>
      </c>
      <c r="D896" s="12" t="n"/>
      <c r="E896" s="13">
        <f>IF(D896="","",D896-TODAY())</f>
        <v/>
      </c>
      <c r="F896">
        <f>IF(D896="","",IF(E896&lt;0,"VENCIDO",IF(E896&lt;=30,"VENCE EM &lt;= 30 DIAS",IF(E896&lt;=60,"ATENCAO (31-60 DIAS)","OK"))))</f>
        <v/>
      </c>
      <c r="G896" s="13">
        <f>SUMIFS(Movimentacoes!$G:$G,Movimentacoes!$C:$C,$A896,Movimentacoes!$E:$E,$C896,Movimentacoes!$B:$B,"ENTRADA")</f>
        <v/>
      </c>
      <c r="H896" s="13">
        <f>SUMIFS(Movimentacoes!$G:$G,Movimentacoes!$C:$C,$A896,Movimentacoes!$E:$E,$C896,Movimentacoes!$B:$B,"SAIDA_USO")</f>
        <v/>
      </c>
      <c r="I896" s="13">
        <f>SUMIFS(Movimentacoes!$G:$G,Movimentacoes!$C:$C,$A896,Movimentacoes!$E:$E,$C896,Movimentacoes!$B:$B,"SAIDA_DESCARTE")</f>
        <v/>
      </c>
      <c r="J896" s="13">
        <f>G896-H896-I896</f>
        <v/>
      </c>
      <c r="K896">
        <f>IF(A896="","",IF(J896&lt;=IFERROR(VLOOKUP(A896,Cadastro_Produtos!$A:$E,5,FALSE),0),"ABAIXO DO MINIMO","OK"))</f>
        <v/>
      </c>
    </row>
    <row r="897">
      <c r="B897">
        <f>IFERROR(VLOOKUP(A897,Cadastro_Produtos!A:B,2,FALSE),"")</f>
        <v/>
      </c>
      <c r="D897" s="12" t="n"/>
      <c r="E897" s="13">
        <f>IF(D897="","",D897-TODAY())</f>
        <v/>
      </c>
      <c r="F897">
        <f>IF(D897="","",IF(E897&lt;0,"VENCIDO",IF(E897&lt;=30,"VENCE EM &lt;= 30 DIAS",IF(E897&lt;=60,"ATENCAO (31-60 DIAS)","OK"))))</f>
        <v/>
      </c>
      <c r="G897" s="13">
        <f>SUMIFS(Movimentacoes!$G:$G,Movimentacoes!$C:$C,$A897,Movimentacoes!$E:$E,$C897,Movimentacoes!$B:$B,"ENTRADA")</f>
        <v/>
      </c>
      <c r="H897" s="13">
        <f>SUMIFS(Movimentacoes!$G:$G,Movimentacoes!$C:$C,$A897,Movimentacoes!$E:$E,$C897,Movimentacoes!$B:$B,"SAIDA_USO")</f>
        <v/>
      </c>
      <c r="I897" s="13">
        <f>SUMIFS(Movimentacoes!$G:$G,Movimentacoes!$C:$C,$A897,Movimentacoes!$E:$E,$C897,Movimentacoes!$B:$B,"SAIDA_DESCARTE")</f>
        <v/>
      </c>
      <c r="J897" s="13">
        <f>G897-H897-I897</f>
        <v/>
      </c>
      <c r="K897">
        <f>IF(A897="","",IF(J897&lt;=IFERROR(VLOOKUP(A897,Cadastro_Produtos!$A:$E,5,FALSE),0),"ABAIXO DO MINIMO","OK"))</f>
        <v/>
      </c>
    </row>
    <row r="898">
      <c r="B898">
        <f>IFERROR(VLOOKUP(A898,Cadastro_Produtos!A:B,2,FALSE),"")</f>
        <v/>
      </c>
      <c r="D898" s="12" t="n"/>
      <c r="E898" s="13">
        <f>IF(D898="","",D898-TODAY())</f>
        <v/>
      </c>
      <c r="F898">
        <f>IF(D898="","",IF(E898&lt;0,"VENCIDO",IF(E898&lt;=30,"VENCE EM &lt;= 30 DIAS",IF(E898&lt;=60,"ATENCAO (31-60 DIAS)","OK"))))</f>
        <v/>
      </c>
      <c r="G898" s="13">
        <f>SUMIFS(Movimentacoes!$G:$G,Movimentacoes!$C:$C,$A898,Movimentacoes!$E:$E,$C898,Movimentacoes!$B:$B,"ENTRADA")</f>
        <v/>
      </c>
      <c r="H898" s="13">
        <f>SUMIFS(Movimentacoes!$G:$G,Movimentacoes!$C:$C,$A898,Movimentacoes!$E:$E,$C898,Movimentacoes!$B:$B,"SAIDA_USO")</f>
        <v/>
      </c>
      <c r="I898" s="13">
        <f>SUMIFS(Movimentacoes!$G:$G,Movimentacoes!$C:$C,$A898,Movimentacoes!$E:$E,$C898,Movimentacoes!$B:$B,"SAIDA_DESCARTE")</f>
        <v/>
      </c>
      <c r="J898" s="13">
        <f>G898-H898-I898</f>
        <v/>
      </c>
      <c r="K898">
        <f>IF(A898="","",IF(J898&lt;=IFERROR(VLOOKUP(A898,Cadastro_Produtos!$A:$E,5,FALSE),0),"ABAIXO DO MINIMO","OK"))</f>
        <v/>
      </c>
    </row>
    <row r="899">
      <c r="B899">
        <f>IFERROR(VLOOKUP(A899,Cadastro_Produtos!A:B,2,FALSE),"")</f>
        <v/>
      </c>
      <c r="D899" s="12" t="n"/>
      <c r="E899" s="13">
        <f>IF(D899="","",D899-TODAY())</f>
        <v/>
      </c>
      <c r="F899">
        <f>IF(D899="","",IF(E899&lt;0,"VENCIDO",IF(E899&lt;=30,"VENCE EM &lt;= 30 DIAS",IF(E899&lt;=60,"ATENCAO (31-60 DIAS)","OK"))))</f>
        <v/>
      </c>
      <c r="G899" s="13">
        <f>SUMIFS(Movimentacoes!$G:$G,Movimentacoes!$C:$C,$A899,Movimentacoes!$E:$E,$C899,Movimentacoes!$B:$B,"ENTRADA")</f>
        <v/>
      </c>
      <c r="H899" s="13">
        <f>SUMIFS(Movimentacoes!$G:$G,Movimentacoes!$C:$C,$A899,Movimentacoes!$E:$E,$C899,Movimentacoes!$B:$B,"SAIDA_USO")</f>
        <v/>
      </c>
      <c r="I899" s="13">
        <f>SUMIFS(Movimentacoes!$G:$G,Movimentacoes!$C:$C,$A899,Movimentacoes!$E:$E,$C899,Movimentacoes!$B:$B,"SAIDA_DESCARTE")</f>
        <v/>
      </c>
      <c r="J899" s="13">
        <f>G899-H899-I899</f>
        <v/>
      </c>
      <c r="K899">
        <f>IF(A899="","",IF(J899&lt;=IFERROR(VLOOKUP(A899,Cadastro_Produtos!$A:$E,5,FALSE),0),"ABAIXO DO MINIMO","OK"))</f>
        <v/>
      </c>
    </row>
    <row r="900">
      <c r="B900">
        <f>IFERROR(VLOOKUP(A900,Cadastro_Produtos!A:B,2,FALSE),"")</f>
        <v/>
      </c>
      <c r="D900" s="12" t="n"/>
      <c r="E900" s="13">
        <f>IF(D900="","",D900-TODAY())</f>
        <v/>
      </c>
      <c r="F900">
        <f>IF(D900="","",IF(E900&lt;0,"VENCIDO",IF(E900&lt;=30,"VENCE EM &lt;= 30 DIAS",IF(E900&lt;=60,"ATENCAO (31-60 DIAS)","OK"))))</f>
        <v/>
      </c>
      <c r="G900" s="13">
        <f>SUMIFS(Movimentacoes!$G:$G,Movimentacoes!$C:$C,$A900,Movimentacoes!$E:$E,$C900,Movimentacoes!$B:$B,"ENTRADA")</f>
        <v/>
      </c>
      <c r="H900" s="13">
        <f>SUMIFS(Movimentacoes!$G:$G,Movimentacoes!$C:$C,$A900,Movimentacoes!$E:$E,$C900,Movimentacoes!$B:$B,"SAIDA_USO")</f>
        <v/>
      </c>
      <c r="I900" s="13">
        <f>SUMIFS(Movimentacoes!$G:$G,Movimentacoes!$C:$C,$A900,Movimentacoes!$E:$E,$C900,Movimentacoes!$B:$B,"SAIDA_DESCARTE")</f>
        <v/>
      </c>
      <c r="J900" s="13">
        <f>G900-H900-I900</f>
        <v/>
      </c>
      <c r="K900">
        <f>IF(A900="","",IF(J900&lt;=IFERROR(VLOOKUP(A900,Cadastro_Produtos!$A:$E,5,FALSE),0),"ABAIXO DO MINIMO","OK"))</f>
        <v/>
      </c>
    </row>
    <row r="901">
      <c r="B901">
        <f>IFERROR(VLOOKUP(A901,Cadastro_Produtos!A:B,2,FALSE),"")</f>
        <v/>
      </c>
      <c r="D901" s="12" t="n"/>
      <c r="E901" s="13">
        <f>IF(D901="","",D901-TODAY())</f>
        <v/>
      </c>
      <c r="F901">
        <f>IF(D901="","",IF(E901&lt;0,"VENCIDO",IF(E901&lt;=30,"VENCE EM &lt;= 30 DIAS",IF(E901&lt;=60,"ATENCAO (31-60 DIAS)","OK"))))</f>
        <v/>
      </c>
      <c r="G901" s="13">
        <f>SUMIFS(Movimentacoes!$G:$G,Movimentacoes!$C:$C,$A901,Movimentacoes!$E:$E,$C901,Movimentacoes!$B:$B,"ENTRADA")</f>
        <v/>
      </c>
      <c r="H901" s="13">
        <f>SUMIFS(Movimentacoes!$G:$G,Movimentacoes!$C:$C,$A901,Movimentacoes!$E:$E,$C901,Movimentacoes!$B:$B,"SAIDA_USO")</f>
        <v/>
      </c>
      <c r="I901" s="13">
        <f>SUMIFS(Movimentacoes!$G:$G,Movimentacoes!$C:$C,$A901,Movimentacoes!$E:$E,$C901,Movimentacoes!$B:$B,"SAIDA_DESCARTE")</f>
        <v/>
      </c>
      <c r="J901" s="13">
        <f>G901-H901-I901</f>
        <v/>
      </c>
      <c r="K901">
        <f>IF(A901="","",IF(J901&lt;=IFERROR(VLOOKUP(A901,Cadastro_Produtos!$A:$E,5,FALSE),0),"ABAIXO DO MINIMO","OK"))</f>
        <v/>
      </c>
    </row>
    <row r="902">
      <c r="B902">
        <f>IFERROR(VLOOKUP(A902,Cadastro_Produtos!A:B,2,FALSE),"")</f>
        <v/>
      </c>
      <c r="D902" s="12" t="n"/>
      <c r="E902" s="13">
        <f>IF(D902="","",D902-TODAY())</f>
        <v/>
      </c>
      <c r="F902">
        <f>IF(D902="","",IF(E902&lt;0,"VENCIDO",IF(E902&lt;=30,"VENCE EM &lt;= 30 DIAS",IF(E902&lt;=60,"ATENCAO (31-60 DIAS)","OK"))))</f>
        <v/>
      </c>
      <c r="G902" s="13">
        <f>SUMIFS(Movimentacoes!$G:$G,Movimentacoes!$C:$C,$A902,Movimentacoes!$E:$E,$C902,Movimentacoes!$B:$B,"ENTRADA")</f>
        <v/>
      </c>
      <c r="H902" s="13">
        <f>SUMIFS(Movimentacoes!$G:$G,Movimentacoes!$C:$C,$A902,Movimentacoes!$E:$E,$C902,Movimentacoes!$B:$B,"SAIDA_USO")</f>
        <v/>
      </c>
      <c r="I902" s="13">
        <f>SUMIFS(Movimentacoes!$G:$G,Movimentacoes!$C:$C,$A902,Movimentacoes!$E:$E,$C902,Movimentacoes!$B:$B,"SAIDA_DESCARTE")</f>
        <v/>
      </c>
      <c r="J902" s="13">
        <f>G902-H902-I902</f>
        <v/>
      </c>
      <c r="K902">
        <f>IF(A902="","",IF(J902&lt;=IFERROR(VLOOKUP(A902,Cadastro_Produtos!$A:$E,5,FALSE),0),"ABAIXO DO MINIMO","OK"))</f>
        <v/>
      </c>
    </row>
    <row r="903">
      <c r="B903">
        <f>IFERROR(VLOOKUP(A903,Cadastro_Produtos!A:B,2,FALSE),"")</f>
        <v/>
      </c>
      <c r="D903" s="12" t="n"/>
      <c r="E903" s="13">
        <f>IF(D903="","",D903-TODAY())</f>
        <v/>
      </c>
      <c r="F903">
        <f>IF(D903="","",IF(E903&lt;0,"VENCIDO",IF(E903&lt;=30,"VENCE EM &lt;= 30 DIAS",IF(E903&lt;=60,"ATENCAO (31-60 DIAS)","OK"))))</f>
        <v/>
      </c>
      <c r="G903" s="13">
        <f>SUMIFS(Movimentacoes!$G:$G,Movimentacoes!$C:$C,$A903,Movimentacoes!$E:$E,$C903,Movimentacoes!$B:$B,"ENTRADA")</f>
        <v/>
      </c>
      <c r="H903" s="13">
        <f>SUMIFS(Movimentacoes!$G:$G,Movimentacoes!$C:$C,$A903,Movimentacoes!$E:$E,$C903,Movimentacoes!$B:$B,"SAIDA_USO")</f>
        <v/>
      </c>
      <c r="I903" s="13">
        <f>SUMIFS(Movimentacoes!$G:$G,Movimentacoes!$C:$C,$A903,Movimentacoes!$E:$E,$C903,Movimentacoes!$B:$B,"SAIDA_DESCARTE")</f>
        <v/>
      </c>
      <c r="J903" s="13">
        <f>G903-H903-I903</f>
        <v/>
      </c>
      <c r="K903">
        <f>IF(A903="","",IF(J903&lt;=IFERROR(VLOOKUP(A903,Cadastro_Produtos!$A:$E,5,FALSE),0),"ABAIXO DO MINIMO","OK"))</f>
        <v/>
      </c>
    </row>
    <row r="904">
      <c r="B904">
        <f>IFERROR(VLOOKUP(A904,Cadastro_Produtos!A:B,2,FALSE),"")</f>
        <v/>
      </c>
      <c r="D904" s="12" t="n"/>
      <c r="E904" s="13">
        <f>IF(D904="","",D904-TODAY())</f>
        <v/>
      </c>
      <c r="F904">
        <f>IF(D904="","",IF(E904&lt;0,"VENCIDO",IF(E904&lt;=30,"VENCE EM &lt;= 30 DIAS",IF(E904&lt;=60,"ATENCAO (31-60 DIAS)","OK"))))</f>
        <v/>
      </c>
      <c r="G904" s="13">
        <f>SUMIFS(Movimentacoes!$G:$G,Movimentacoes!$C:$C,$A904,Movimentacoes!$E:$E,$C904,Movimentacoes!$B:$B,"ENTRADA")</f>
        <v/>
      </c>
      <c r="H904" s="13">
        <f>SUMIFS(Movimentacoes!$G:$G,Movimentacoes!$C:$C,$A904,Movimentacoes!$E:$E,$C904,Movimentacoes!$B:$B,"SAIDA_USO")</f>
        <v/>
      </c>
      <c r="I904" s="13">
        <f>SUMIFS(Movimentacoes!$G:$G,Movimentacoes!$C:$C,$A904,Movimentacoes!$E:$E,$C904,Movimentacoes!$B:$B,"SAIDA_DESCARTE")</f>
        <v/>
      </c>
      <c r="J904" s="13">
        <f>G904-H904-I904</f>
        <v/>
      </c>
      <c r="K904">
        <f>IF(A904="","",IF(J904&lt;=IFERROR(VLOOKUP(A904,Cadastro_Produtos!$A:$E,5,FALSE),0),"ABAIXO DO MINIMO","OK"))</f>
        <v/>
      </c>
    </row>
    <row r="905">
      <c r="B905">
        <f>IFERROR(VLOOKUP(A905,Cadastro_Produtos!A:B,2,FALSE),"")</f>
        <v/>
      </c>
      <c r="D905" s="12" t="n"/>
      <c r="E905" s="13">
        <f>IF(D905="","",D905-TODAY())</f>
        <v/>
      </c>
      <c r="F905">
        <f>IF(D905="","",IF(E905&lt;0,"VENCIDO",IF(E905&lt;=30,"VENCE EM &lt;= 30 DIAS",IF(E905&lt;=60,"ATENCAO (31-60 DIAS)","OK"))))</f>
        <v/>
      </c>
      <c r="G905" s="13">
        <f>SUMIFS(Movimentacoes!$G:$G,Movimentacoes!$C:$C,$A905,Movimentacoes!$E:$E,$C905,Movimentacoes!$B:$B,"ENTRADA")</f>
        <v/>
      </c>
      <c r="H905" s="13">
        <f>SUMIFS(Movimentacoes!$G:$G,Movimentacoes!$C:$C,$A905,Movimentacoes!$E:$E,$C905,Movimentacoes!$B:$B,"SAIDA_USO")</f>
        <v/>
      </c>
      <c r="I905" s="13">
        <f>SUMIFS(Movimentacoes!$G:$G,Movimentacoes!$C:$C,$A905,Movimentacoes!$E:$E,$C905,Movimentacoes!$B:$B,"SAIDA_DESCARTE")</f>
        <v/>
      </c>
      <c r="J905" s="13">
        <f>G905-H905-I905</f>
        <v/>
      </c>
      <c r="K905">
        <f>IF(A905="","",IF(J905&lt;=IFERROR(VLOOKUP(A905,Cadastro_Produtos!$A:$E,5,FALSE),0),"ABAIXO DO MINIMO","OK"))</f>
        <v/>
      </c>
    </row>
    <row r="906">
      <c r="B906">
        <f>IFERROR(VLOOKUP(A906,Cadastro_Produtos!A:B,2,FALSE),"")</f>
        <v/>
      </c>
      <c r="D906" s="12" t="n"/>
      <c r="E906" s="13">
        <f>IF(D906="","",D906-TODAY())</f>
        <v/>
      </c>
      <c r="F906">
        <f>IF(D906="","",IF(E906&lt;0,"VENCIDO",IF(E906&lt;=30,"VENCE EM &lt;= 30 DIAS",IF(E906&lt;=60,"ATENCAO (31-60 DIAS)","OK"))))</f>
        <v/>
      </c>
      <c r="G906" s="13">
        <f>SUMIFS(Movimentacoes!$G:$G,Movimentacoes!$C:$C,$A906,Movimentacoes!$E:$E,$C906,Movimentacoes!$B:$B,"ENTRADA")</f>
        <v/>
      </c>
      <c r="H906" s="13">
        <f>SUMIFS(Movimentacoes!$G:$G,Movimentacoes!$C:$C,$A906,Movimentacoes!$E:$E,$C906,Movimentacoes!$B:$B,"SAIDA_USO")</f>
        <v/>
      </c>
      <c r="I906" s="13">
        <f>SUMIFS(Movimentacoes!$G:$G,Movimentacoes!$C:$C,$A906,Movimentacoes!$E:$E,$C906,Movimentacoes!$B:$B,"SAIDA_DESCARTE")</f>
        <v/>
      </c>
      <c r="J906" s="13">
        <f>G906-H906-I906</f>
        <v/>
      </c>
      <c r="K906">
        <f>IF(A906="","",IF(J906&lt;=IFERROR(VLOOKUP(A906,Cadastro_Produtos!$A:$E,5,FALSE),0),"ABAIXO DO MINIMO","OK"))</f>
        <v/>
      </c>
    </row>
    <row r="907">
      <c r="B907">
        <f>IFERROR(VLOOKUP(A907,Cadastro_Produtos!A:B,2,FALSE),"")</f>
        <v/>
      </c>
      <c r="D907" s="12" t="n"/>
      <c r="E907" s="13">
        <f>IF(D907="","",D907-TODAY())</f>
        <v/>
      </c>
      <c r="F907">
        <f>IF(D907="","",IF(E907&lt;0,"VENCIDO",IF(E907&lt;=30,"VENCE EM &lt;= 30 DIAS",IF(E907&lt;=60,"ATENCAO (31-60 DIAS)","OK"))))</f>
        <v/>
      </c>
      <c r="G907" s="13">
        <f>SUMIFS(Movimentacoes!$G:$G,Movimentacoes!$C:$C,$A907,Movimentacoes!$E:$E,$C907,Movimentacoes!$B:$B,"ENTRADA")</f>
        <v/>
      </c>
      <c r="H907" s="13">
        <f>SUMIFS(Movimentacoes!$G:$G,Movimentacoes!$C:$C,$A907,Movimentacoes!$E:$E,$C907,Movimentacoes!$B:$B,"SAIDA_USO")</f>
        <v/>
      </c>
      <c r="I907" s="13">
        <f>SUMIFS(Movimentacoes!$G:$G,Movimentacoes!$C:$C,$A907,Movimentacoes!$E:$E,$C907,Movimentacoes!$B:$B,"SAIDA_DESCARTE")</f>
        <v/>
      </c>
      <c r="J907" s="13">
        <f>G907-H907-I907</f>
        <v/>
      </c>
      <c r="K907">
        <f>IF(A907="","",IF(J907&lt;=IFERROR(VLOOKUP(A907,Cadastro_Produtos!$A:$E,5,FALSE),0),"ABAIXO DO MINIMO","OK"))</f>
        <v/>
      </c>
    </row>
    <row r="908">
      <c r="B908">
        <f>IFERROR(VLOOKUP(A908,Cadastro_Produtos!A:B,2,FALSE),"")</f>
        <v/>
      </c>
      <c r="D908" s="12" t="n"/>
      <c r="E908" s="13">
        <f>IF(D908="","",D908-TODAY())</f>
        <v/>
      </c>
      <c r="F908">
        <f>IF(D908="","",IF(E908&lt;0,"VENCIDO",IF(E908&lt;=30,"VENCE EM &lt;= 30 DIAS",IF(E908&lt;=60,"ATENCAO (31-60 DIAS)","OK"))))</f>
        <v/>
      </c>
      <c r="G908" s="13">
        <f>SUMIFS(Movimentacoes!$G:$G,Movimentacoes!$C:$C,$A908,Movimentacoes!$E:$E,$C908,Movimentacoes!$B:$B,"ENTRADA")</f>
        <v/>
      </c>
      <c r="H908" s="13">
        <f>SUMIFS(Movimentacoes!$G:$G,Movimentacoes!$C:$C,$A908,Movimentacoes!$E:$E,$C908,Movimentacoes!$B:$B,"SAIDA_USO")</f>
        <v/>
      </c>
      <c r="I908" s="13">
        <f>SUMIFS(Movimentacoes!$G:$G,Movimentacoes!$C:$C,$A908,Movimentacoes!$E:$E,$C908,Movimentacoes!$B:$B,"SAIDA_DESCARTE")</f>
        <v/>
      </c>
      <c r="J908" s="13">
        <f>G908-H908-I908</f>
        <v/>
      </c>
      <c r="K908">
        <f>IF(A908="","",IF(J908&lt;=IFERROR(VLOOKUP(A908,Cadastro_Produtos!$A:$E,5,FALSE),0),"ABAIXO DO MINIMO","OK"))</f>
        <v/>
      </c>
    </row>
    <row r="909">
      <c r="B909">
        <f>IFERROR(VLOOKUP(A909,Cadastro_Produtos!A:B,2,FALSE),"")</f>
        <v/>
      </c>
      <c r="D909" s="12" t="n"/>
      <c r="E909" s="13">
        <f>IF(D909="","",D909-TODAY())</f>
        <v/>
      </c>
      <c r="F909">
        <f>IF(D909="","",IF(E909&lt;0,"VENCIDO",IF(E909&lt;=30,"VENCE EM &lt;= 30 DIAS",IF(E909&lt;=60,"ATENCAO (31-60 DIAS)","OK"))))</f>
        <v/>
      </c>
      <c r="G909" s="13">
        <f>SUMIFS(Movimentacoes!$G:$G,Movimentacoes!$C:$C,$A909,Movimentacoes!$E:$E,$C909,Movimentacoes!$B:$B,"ENTRADA")</f>
        <v/>
      </c>
      <c r="H909" s="13">
        <f>SUMIFS(Movimentacoes!$G:$G,Movimentacoes!$C:$C,$A909,Movimentacoes!$E:$E,$C909,Movimentacoes!$B:$B,"SAIDA_USO")</f>
        <v/>
      </c>
      <c r="I909" s="13">
        <f>SUMIFS(Movimentacoes!$G:$G,Movimentacoes!$C:$C,$A909,Movimentacoes!$E:$E,$C909,Movimentacoes!$B:$B,"SAIDA_DESCARTE")</f>
        <v/>
      </c>
      <c r="J909" s="13">
        <f>G909-H909-I909</f>
        <v/>
      </c>
      <c r="K909">
        <f>IF(A909="","",IF(J909&lt;=IFERROR(VLOOKUP(A909,Cadastro_Produtos!$A:$E,5,FALSE),0),"ABAIXO DO MINIMO","OK"))</f>
        <v/>
      </c>
    </row>
    <row r="910">
      <c r="B910">
        <f>IFERROR(VLOOKUP(A910,Cadastro_Produtos!A:B,2,FALSE),"")</f>
        <v/>
      </c>
      <c r="D910" s="12" t="n"/>
      <c r="E910" s="13">
        <f>IF(D910="","",D910-TODAY())</f>
        <v/>
      </c>
      <c r="F910">
        <f>IF(D910="","",IF(E910&lt;0,"VENCIDO",IF(E910&lt;=30,"VENCE EM &lt;= 30 DIAS",IF(E910&lt;=60,"ATENCAO (31-60 DIAS)","OK"))))</f>
        <v/>
      </c>
      <c r="G910" s="13">
        <f>SUMIFS(Movimentacoes!$G:$G,Movimentacoes!$C:$C,$A910,Movimentacoes!$E:$E,$C910,Movimentacoes!$B:$B,"ENTRADA")</f>
        <v/>
      </c>
      <c r="H910" s="13">
        <f>SUMIFS(Movimentacoes!$G:$G,Movimentacoes!$C:$C,$A910,Movimentacoes!$E:$E,$C910,Movimentacoes!$B:$B,"SAIDA_USO")</f>
        <v/>
      </c>
      <c r="I910" s="13">
        <f>SUMIFS(Movimentacoes!$G:$G,Movimentacoes!$C:$C,$A910,Movimentacoes!$E:$E,$C910,Movimentacoes!$B:$B,"SAIDA_DESCARTE")</f>
        <v/>
      </c>
      <c r="J910" s="13">
        <f>G910-H910-I910</f>
        <v/>
      </c>
      <c r="K910">
        <f>IF(A910="","",IF(J910&lt;=IFERROR(VLOOKUP(A910,Cadastro_Produtos!$A:$E,5,FALSE),0),"ABAIXO DO MINIMO","OK"))</f>
        <v/>
      </c>
    </row>
    <row r="911">
      <c r="B911">
        <f>IFERROR(VLOOKUP(A911,Cadastro_Produtos!A:B,2,FALSE),"")</f>
        <v/>
      </c>
      <c r="D911" s="12" t="n"/>
      <c r="E911" s="13">
        <f>IF(D911="","",D911-TODAY())</f>
        <v/>
      </c>
      <c r="F911">
        <f>IF(D911="","",IF(E911&lt;0,"VENCIDO",IF(E911&lt;=30,"VENCE EM &lt;= 30 DIAS",IF(E911&lt;=60,"ATENCAO (31-60 DIAS)","OK"))))</f>
        <v/>
      </c>
      <c r="G911" s="13">
        <f>SUMIFS(Movimentacoes!$G:$G,Movimentacoes!$C:$C,$A911,Movimentacoes!$E:$E,$C911,Movimentacoes!$B:$B,"ENTRADA")</f>
        <v/>
      </c>
      <c r="H911" s="13">
        <f>SUMIFS(Movimentacoes!$G:$G,Movimentacoes!$C:$C,$A911,Movimentacoes!$E:$E,$C911,Movimentacoes!$B:$B,"SAIDA_USO")</f>
        <v/>
      </c>
      <c r="I911" s="13">
        <f>SUMIFS(Movimentacoes!$G:$G,Movimentacoes!$C:$C,$A911,Movimentacoes!$E:$E,$C911,Movimentacoes!$B:$B,"SAIDA_DESCARTE")</f>
        <v/>
      </c>
      <c r="J911" s="13">
        <f>G911-H911-I911</f>
        <v/>
      </c>
      <c r="K911">
        <f>IF(A911="","",IF(J911&lt;=IFERROR(VLOOKUP(A911,Cadastro_Produtos!$A:$E,5,FALSE),0),"ABAIXO DO MINIMO","OK"))</f>
        <v/>
      </c>
    </row>
    <row r="912">
      <c r="B912">
        <f>IFERROR(VLOOKUP(A912,Cadastro_Produtos!A:B,2,FALSE),"")</f>
        <v/>
      </c>
      <c r="D912" s="12" t="n"/>
      <c r="E912" s="13">
        <f>IF(D912="","",D912-TODAY())</f>
        <v/>
      </c>
      <c r="F912">
        <f>IF(D912="","",IF(E912&lt;0,"VENCIDO",IF(E912&lt;=30,"VENCE EM &lt;= 30 DIAS",IF(E912&lt;=60,"ATENCAO (31-60 DIAS)","OK"))))</f>
        <v/>
      </c>
      <c r="G912" s="13">
        <f>SUMIFS(Movimentacoes!$G:$G,Movimentacoes!$C:$C,$A912,Movimentacoes!$E:$E,$C912,Movimentacoes!$B:$B,"ENTRADA")</f>
        <v/>
      </c>
      <c r="H912" s="13">
        <f>SUMIFS(Movimentacoes!$G:$G,Movimentacoes!$C:$C,$A912,Movimentacoes!$E:$E,$C912,Movimentacoes!$B:$B,"SAIDA_USO")</f>
        <v/>
      </c>
      <c r="I912" s="13">
        <f>SUMIFS(Movimentacoes!$G:$G,Movimentacoes!$C:$C,$A912,Movimentacoes!$E:$E,$C912,Movimentacoes!$B:$B,"SAIDA_DESCARTE")</f>
        <v/>
      </c>
      <c r="J912" s="13">
        <f>G912-H912-I912</f>
        <v/>
      </c>
      <c r="K912">
        <f>IF(A912="","",IF(J912&lt;=IFERROR(VLOOKUP(A912,Cadastro_Produtos!$A:$E,5,FALSE),0),"ABAIXO DO MINIMO","OK"))</f>
        <v/>
      </c>
    </row>
    <row r="913">
      <c r="B913">
        <f>IFERROR(VLOOKUP(A913,Cadastro_Produtos!A:B,2,FALSE),"")</f>
        <v/>
      </c>
      <c r="D913" s="12" t="n"/>
      <c r="E913" s="13">
        <f>IF(D913="","",D913-TODAY())</f>
        <v/>
      </c>
      <c r="F913">
        <f>IF(D913="","",IF(E913&lt;0,"VENCIDO",IF(E913&lt;=30,"VENCE EM &lt;= 30 DIAS",IF(E913&lt;=60,"ATENCAO (31-60 DIAS)","OK"))))</f>
        <v/>
      </c>
      <c r="G913" s="13">
        <f>SUMIFS(Movimentacoes!$G:$G,Movimentacoes!$C:$C,$A913,Movimentacoes!$E:$E,$C913,Movimentacoes!$B:$B,"ENTRADA")</f>
        <v/>
      </c>
      <c r="H913" s="13">
        <f>SUMIFS(Movimentacoes!$G:$G,Movimentacoes!$C:$C,$A913,Movimentacoes!$E:$E,$C913,Movimentacoes!$B:$B,"SAIDA_USO")</f>
        <v/>
      </c>
      <c r="I913" s="13">
        <f>SUMIFS(Movimentacoes!$G:$G,Movimentacoes!$C:$C,$A913,Movimentacoes!$E:$E,$C913,Movimentacoes!$B:$B,"SAIDA_DESCARTE")</f>
        <v/>
      </c>
      <c r="J913" s="13">
        <f>G913-H913-I913</f>
        <v/>
      </c>
      <c r="K913">
        <f>IF(A913="","",IF(J913&lt;=IFERROR(VLOOKUP(A913,Cadastro_Produtos!$A:$E,5,FALSE),0),"ABAIXO DO MINIMO","OK"))</f>
        <v/>
      </c>
    </row>
    <row r="914">
      <c r="B914">
        <f>IFERROR(VLOOKUP(A914,Cadastro_Produtos!A:B,2,FALSE),"")</f>
        <v/>
      </c>
      <c r="D914" s="12" t="n"/>
      <c r="E914" s="13">
        <f>IF(D914="","",D914-TODAY())</f>
        <v/>
      </c>
      <c r="F914">
        <f>IF(D914="","",IF(E914&lt;0,"VENCIDO",IF(E914&lt;=30,"VENCE EM &lt;= 30 DIAS",IF(E914&lt;=60,"ATENCAO (31-60 DIAS)","OK"))))</f>
        <v/>
      </c>
      <c r="G914" s="13">
        <f>SUMIFS(Movimentacoes!$G:$G,Movimentacoes!$C:$C,$A914,Movimentacoes!$E:$E,$C914,Movimentacoes!$B:$B,"ENTRADA")</f>
        <v/>
      </c>
      <c r="H914" s="13">
        <f>SUMIFS(Movimentacoes!$G:$G,Movimentacoes!$C:$C,$A914,Movimentacoes!$E:$E,$C914,Movimentacoes!$B:$B,"SAIDA_USO")</f>
        <v/>
      </c>
      <c r="I914" s="13">
        <f>SUMIFS(Movimentacoes!$G:$G,Movimentacoes!$C:$C,$A914,Movimentacoes!$E:$E,$C914,Movimentacoes!$B:$B,"SAIDA_DESCARTE")</f>
        <v/>
      </c>
      <c r="J914" s="13">
        <f>G914-H914-I914</f>
        <v/>
      </c>
      <c r="K914">
        <f>IF(A914="","",IF(J914&lt;=IFERROR(VLOOKUP(A914,Cadastro_Produtos!$A:$E,5,FALSE),0),"ABAIXO DO MINIMO","OK"))</f>
        <v/>
      </c>
    </row>
    <row r="915">
      <c r="B915">
        <f>IFERROR(VLOOKUP(A915,Cadastro_Produtos!A:B,2,FALSE),"")</f>
        <v/>
      </c>
      <c r="D915" s="12" t="n"/>
      <c r="E915" s="13">
        <f>IF(D915="","",D915-TODAY())</f>
        <v/>
      </c>
      <c r="F915">
        <f>IF(D915="","",IF(E915&lt;0,"VENCIDO",IF(E915&lt;=30,"VENCE EM &lt;= 30 DIAS",IF(E915&lt;=60,"ATENCAO (31-60 DIAS)","OK"))))</f>
        <v/>
      </c>
      <c r="G915" s="13">
        <f>SUMIFS(Movimentacoes!$G:$G,Movimentacoes!$C:$C,$A915,Movimentacoes!$E:$E,$C915,Movimentacoes!$B:$B,"ENTRADA")</f>
        <v/>
      </c>
      <c r="H915" s="13">
        <f>SUMIFS(Movimentacoes!$G:$G,Movimentacoes!$C:$C,$A915,Movimentacoes!$E:$E,$C915,Movimentacoes!$B:$B,"SAIDA_USO")</f>
        <v/>
      </c>
      <c r="I915" s="13">
        <f>SUMIFS(Movimentacoes!$G:$G,Movimentacoes!$C:$C,$A915,Movimentacoes!$E:$E,$C915,Movimentacoes!$B:$B,"SAIDA_DESCARTE")</f>
        <v/>
      </c>
      <c r="J915" s="13">
        <f>G915-H915-I915</f>
        <v/>
      </c>
      <c r="K915">
        <f>IF(A915="","",IF(J915&lt;=IFERROR(VLOOKUP(A915,Cadastro_Produtos!$A:$E,5,FALSE),0),"ABAIXO DO MINIMO","OK"))</f>
        <v/>
      </c>
    </row>
    <row r="916">
      <c r="B916">
        <f>IFERROR(VLOOKUP(A916,Cadastro_Produtos!A:B,2,FALSE),"")</f>
        <v/>
      </c>
      <c r="D916" s="12" t="n"/>
      <c r="E916" s="13">
        <f>IF(D916="","",D916-TODAY())</f>
        <v/>
      </c>
      <c r="F916">
        <f>IF(D916="","",IF(E916&lt;0,"VENCIDO",IF(E916&lt;=30,"VENCE EM &lt;= 30 DIAS",IF(E916&lt;=60,"ATENCAO (31-60 DIAS)","OK"))))</f>
        <v/>
      </c>
      <c r="G916" s="13">
        <f>SUMIFS(Movimentacoes!$G:$G,Movimentacoes!$C:$C,$A916,Movimentacoes!$E:$E,$C916,Movimentacoes!$B:$B,"ENTRADA")</f>
        <v/>
      </c>
      <c r="H916" s="13">
        <f>SUMIFS(Movimentacoes!$G:$G,Movimentacoes!$C:$C,$A916,Movimentacoes!$E:$E,$C916,Movimentacoes!$B:$B,"SAIDA_USO")</f>
        <v/>
      </c>
      <c r="I916" s="13">
        <f>SUMIFS(Movimentacoes!$G:$G,Movimentacoes!$C:$C,$A916,Movimentacoes!$E:$E,$C916,Movimentacoes!$B:$B,"SAIDA_DESCARTE")</f>
        <v/>
      </c>
      <c r="J916" s="13">
        <f>G916-H916-I916</f>
        <v/>
      </c>
      <c r="K916">
        <f>IF(A916="","",IF(J916&lt;=IFERROR(VLOOKUP(A916,Cadastro_Produtos!$A:$E,5,FALSE),0),"ABAIXO DO MINIMO","OK"))</f>
        <v/>
      </c>
    </row>
    <row r="917">
      <c r="B917">
        <f>IFERROR(VLOOKUP(A917,Cadastro_Produtos!A:B,2,FALSE),"")</f>
        <v/>
      </c>
      <c r="D917" s="12" t="n"/>
      <c r="E917" s="13">
        <f>IF(D917="","",D917-TODAY())</f>
        <v/>
      </c>
      <c r="F917">
        <f>IF(D917="","",IF(E917&lt;0,"VENCIDO",IF(E917&lt;=30,"VENCE EM &lt;= 30 DIAS",IF(E917&lt;=60,"ATENCAO (31-60 DIAS)","OK"))))</f>
        <v/>
      </c>
      <c r="G917" s="13">
        <f>SUMIFS(Movimentacoes!$G:$G,Movimentacoes!$C:$C,$A917,Movimentacoes!$E:$E,$C917,Movimentacoes!$B:$B,"ENTRADA")</f>
        <v/>
      </c>
      <c r="H917" s="13">
        <f>SUMIFS(Movimentacoes!$G:$G,Movimentacoes!$C:$C,$A917,Movimentacoes!$E:$E,$C917,Movimentacoes!$B:$B,"SAIDA_USO")</f>
        <v/>
      </c>
      <c r="I917" s="13">
        <f>SUMIFS(Movimentacoes!$G:$G,Movimentacoes!$C:$C,$A917,Movimentacoes!$E:$E,$C917,Movimentacoes!$B:$B,"SAIDA_DESCARTE")</f>
        <v/>
      </c>
      <c r="J917" s="13">
        <f>G917-H917-I917</f>
        <v/>
      </c>
      <c r="K917">
        <f>IF(A917="","",IF(J917&lt;=IFERROR(VLOOKUP(A917,Cadastro_Produtos!$A:$E,5,FALSE),0),"ABAIXO DO MINIMO","OK"))</f>
        <v/>
      </c>
    </row>
    <row r="918">
      <c r="B918">
        <f>IFERROR(VLOOKUP(A918,Cadastro_Produtos!A:B,2,FALSE),"")</f>
        <v/>
      </c>
      <c r="D918" s="12" t="n"/>
      <c r="E918" s="13">
        <f>IF(D918="","",D918-TODAY())</f>
        <v/>
      </c>
      <c r="F918">
        <f>IF(D918="","",IF(E918&lt;0,"VENCIDO",IF(E918&lt;=30,"VENCE EM &lt;= 30 DIAS",IF(E918&lt;=60,"ATENCAO (31-60 DIAS)","OK"))))</f>
        <v/>
      </c>
      <c r="G918" s="13">
        <f>SUMIFS(Movimentacoes!$G:$G,Movimentacoes!$C:$C,$A918,Movimentacoes!$E:$E,$C918,Movimentacoes!$B:$B,"ENTRADA")</f>
        <v/>
      </c>
      <c r="H918" s="13">
        <f>SUMIFS(Movimentacoes!$G:$G,Movimentacoes!$C:$C,$A918,Movimentacoes!$E:$E,$C918,Movimentacoes!$B:$B,"SAIDA_USO")</f>
        <v/>
      </c>
      <c r="I918" s="13">
        <f>SUMIFS(Movimentacoes!$G:$G,Movimentacoes!$C:$C,$A918,Movimentacoes!$E:$E,$C918,Movimentacoes!$B:$B,"SAIDA_DESCARTE")</f>
        <v/>
      </c>
      <c r="J918" s="13">
        <f>G918-H918-I918</f>
        <v/>
      </c>
      <c r="K918">
        <f>IF(A918="","",IF(J918&lt;=IFERROR(VLOOKUP(A918,Cadastro_Produtos!$A:$E,5,FALSE),0),"ABAIXO DO MINIMO","OK"))</f>
        <v/>
      </c>
    </row>
    <row r="919">
      <c r="B919">
        <f>IFERROR(VLOOKUP(A919,Cadastro_Produtos!A:B,2,FALSE),"")</f>
        <v/>
      </c>
      <c r="D919" s="12" t="n"/>
      <c r="E919" s="13">
        <f>IF(D919="","",D919-TODAY())</f>
        <v/>
      </c>
      <c r="F919">
        <f>IF(D919="","",IF(E919&lt;0,"VENCIDO",IF(E919&lt;=30,"VENCE EM &lt;= 30 DIAS",IF(E919&lt;=60,"ATENCAO (31-60 DIAS)","OK"))))</f>
        <v/>
      </c>
      <c r="G919" s="13">
        <f>SUMIFS(Movimentacoes!$G:$G,Movimentacoes!$C:$C,$A919,Movimentacoes!$E:$E,$C919,Movimentacoes!$B:$B,"ENTRADA")</f>
        <v/>
      </c>
      <c r="H919" s="13">
        <f>SUMIFS(Movimentacoes!$G:$G,Movimentacoes!$C:$C,$A919,Movimentacoes!$E:$E,$C919,Movimentacoes!$B:$B,"SAIDA_USO")</f>
        <v/>
      </c>
      <c r="I919" s="13">
        <f>SUMIFS(Movimentacoes!$G:$G,Movimentacoes!$C:$C,$A919,Movimentacoes!$E:$E,$C919,Movimentacoes!$B:$B,"SAIDA_DESCARTE")</f>
        <v/>
      </c>
      <c r="J919" s="13">
        <f>G919-H919-I919</f>
        <v/>
      </c>
      <c r="K919">
        <f>IF(A919="","",IF(J919&lt;=IFERROR(VLOOKUP(A919,Cadastro_Produtos!$A:$E,5,FALSE),0),"ABAIXO DO MINIMO","OK"))</f>
        <v/>
      </c>
    </row>
    <row r="920">
      <c r="B920">
        <f>IFERROR(VLOOKUP(A920,Cadastro_Produtos!A:B,2,FALSE),"")</f>
        <v/>
      </c>
      <c r="D920" s="12" t="n"/>
      <c r="E920" s="13">
        <f>IF(D920="","",D920-TODAY())</f>
        <v/>
      </c>
      <c r="F920">
        <f>IF(D920="","",IF(E920&lt;0,"VENCIDO",IF(E920&lt;=30,"VENCE EM &lt;= 30 DIAS",IF(E920&lt;=60,"ATENCAO (31-60 DIAS)","OK"))))</f>
        <v/>
      </c>
      <c r="G920" s="13">
        <f>SUMIFS(Movimentacoes!$G:$G,Movimentacoes!$C:$C,$A920,Movimentacoes!$E:$E,$C920,Movimentacoes!$B:$B,"ENTRADA")</f>
        <v/>
      </c>
      <c r="H920" s="13">
        <f>SUMIFS(Movimentacoes!$G:$G,Movimentacoes!$C:$C,$A920,Movimentacoes!$E:$E,$C920,Movimentacoes!$B:$B,"SAIDA_USO")</f>
        <v/>
      </c>
      <c r="I920" s="13">
        <f>SUMIFS(Movimentacoes!$G:$G,Movimentacoes!$C:$C,$A920,Movimentacoes!$E:$E,$C920,Movimentacoes!$B:$B,"SAIDA_DESCARTE")</f>
        <v/>
      </c>
      <c r="J920" s="13">
        <f>G920-H920-I920</f>
        <v/>
      </c>
      <c r="K920">
        <f>IF(A920="","",IF(J920&lt;=IFERROR(VLOOKUP(A920,Cadastro_Produtos!$A:$E,5,FALSE),0),"ABAIXO DO MINIMO","OK"))</f>
        <v/>
      </c>
    </row>
    <row r="921">
      <c r="B921">
        <f>IFERROR(VLOOKUP(A921,Cadastro_Produtos!A:B,2,FALSE),"")</f>
        <v/>
      </c>
      <c r="D921" s="12" t="n"/>
      <c r="E921" s="13">
        <f>IF(D921="","",D921-TODAY())</f>
        <v/>
      </c>
      <c r="F921">
        <f>IF(D921="","",IF(E921&lt;0,"VENCIDO",IF(E921&lt;=30,"VENCE EM &lt;= 30 DIAS",IF(E921&lt;=60,"ATENCAO (31-60 DIAS)","OK"))))</f>
        <v/>
      </c>
      <c r="G921" s="13">
        <f>SUMIFS(Movimentacoes!$G:$G,Movimentacoes!$C:$C,$A921,Movimentacoes!$E:$E,$C921,Movimentacoes!$B:$B,"ENTRADA")</f>
        <v/>
      </c>
      <c r="H921" s="13">
        <f>SUMIFS(Movimentacoes!$G:$G,Movimentacoes!$C:$C,$A921,Movimentacoes!$E:$E,$C921,Movimentacoes!$B:$B,"SAIDA_USO")</f>
        <v/>
      </c>
      <c r="I921" s="13">
        <f>SUMIFS(Movimentacoes!$G:$G,Movimentacoes!$C:$C,$A921,Movimentacoes!$E:$E,$C921,Movimentacoes!$B:$B,"SAIDA_DESCARTE")</f>
        <v/>
      </c>
      <c r="J921" s="13">
        <f>G921-H921-I921</f>
        <v/>
      </c>
      <c r="K921">
        <f>IF(A921="","",IF(J921&lt;=IFERROR(VLOOKUP(A921,Cadastro_Produtos!$A:$E,5,FALSE),0),"ABAIXO DO MINIMO","OK"))</f>
        <v/>
      </c>
    </row>
    <row r="922">
      <c r="B922">
        <f>IFERROR(VLOOKUP(A922,Cadastro_Produtos!A:B,2,FALSE),"")</f>
        <v/>
      </c>
      <c r="D922" s="12" t="n"/>
      <c r="E922" s="13">
        <f>IF(D922="","",D922-TODAY())</f>
        <v/>
      </c>
      <c r="F922">
        <f>IF(D922="","",IF(E922&lt;0,"VENCIDO",IF(E922&lt;=30,"VENCE EM &lt;= 30 DIAS",IF(E922&lt;=60,"ATENCAO (31-60 DIAS)","OK"))))</f>
        <v/>
      </c>
      <c r="G922" s="13">
        <f>SUMIFS(Movimentacoes!$G:$G,Movimentacoes!$C:$C,$A922,Movimentacoes!$E:$E,$C922,Movimentacoes!$B:$B,"ENTRADA")</f>
        <v/>
      </c>
      <c r="H922" s="13">
        <f>SUMIFS(Movimentacoes!$G:$G,Movimentacoes!$C:$C,$A922,Movimentacoes!$E:$E,$C922,Movimentacoes!$B:$B,"SAIDA_USO")</f>
        <v/>
      </c>
      <c r="I922" s="13">
        <f>SUMIFS(Movimentacoes!$G:$G,Movimentacoes!$C:$C,$A922,Movimentacoes!$E:$E,$C922,Movimentacoes!$B:$B,"SAIDA_DESCARTE")</f>
        <v/>
      </c>
      <c r="J922" s="13">
        <f>G922-H922-I922</f>
        <v/>
      </c>
      <c r="K922">
        <f>IF(A922="","",IF(J922&lt;=IFERROR(VLOOKUP(A922,Cadastro_Produtos!$A:$E,5,FALSE),0),"ABAIXO DO MINIMO","OK"))</f>
        <v/>
      </c>
    </row>
    <row r="923">
      <c r="B923">
        <f>IFERROR(VLOOKUP(A923,Cadastro_Produtos!A:B,2,FALSE),"")</f>
        <v/>
      </c>
      <c r="D923" s="12" t="n"/>
      <c r="E923" s="13">
        <f>IF(D923="","",D923-TODAY())</f>
        <v/>
      </c>
      <c r="F923">
        <f>IF(D923="","",IF(E923&lt;0,"VENCIDO",IF(E923&lt;=30,"VENCE EM &lt;= 30 DIAS",IF(E923&lt;=60,"ATENCAO (31-60 DIAS)","OK"))))</f>
        <v/>
      </c>
      <c r="G923" s="13">
        <f>SUMIFS(Movimentacoes!$G:$G,Movimentacoes!$C:$C,$A923,Movimentacoes!$E:$E,$C923,Movimentacoes!$B:$B,"ENTRADA")</f>
        <v/>
      </c>
      <c r="H923" s="13">
        <f>SUMIFS(Movimentacoes!$G:$G,Movimentacoes!$C:$C,$A923,Movimentacoes!$E:$E,$C923,Movimentacoes!$B:$B,"SAIDA_USO")</f>
        <v/>
      </c>
      <c r="I923" s="13">
        <f>SUMIFS(Movimentacoes!$G:$G,Movimentacoes!$C:$C,$A923,Movimentacoes!$E:$E,$C923,Movimentacoes!$B:$B,"SAIDA_DESCARTE")</f>
        <v/>
      </c>
      <c r="J923" s="13">
        <f>G923-H923-I923</f>
        <v/>
      </c>
      <c r="K923">
        <f>IF(A923="","",IF(J923&lt;=IFERROR(VLOOKUP(A923,Cadastro_Produtos!$A:$E,5,FALSE),0),"ABAIXO DO MINIMO","OK"))</f>
        <v/>
      </c>
    </row>
    <row r="924">
      <c r="B924">
        <f>IFERROR(VLOOKUP(A924,Cadastro_Produtos!A:B,2,FALSE),"")</f>
        <v/>
      </c>
      <c r="D924" s="12" t="n"/>
      <c r="E924" s="13">
        <f>IF(D924="","",D924-TODAY())</f>
        <v/>
      </c>
      <c r="F924">
        <f>IF(D924="","",IF(E924&lt;0,"VENCIDO",IF(E924&lt;=30,"VENCE EM &lt;= 30 DIAS",IF(E924&lt;=60,"ATENCAO (31-60 DIAS)","OK"))))</f>
        <v/>
      </c>
      <c r="G924" s="13">
        <f>SUMIFS(Movimentacoes!$G:$G,Movimentacoes!$C:$C,$A924,Movimentacoes!$E:$E,$C924,Movimentacoes!$B:$B,"ENTRADA")</f>
        <v/>
      </c>
      <c r="H924" s="13">
        <f>SUMIFS(Movimentacoes!$G:$G,Movimentacoes!$C:$C,$A924,Movimentacoes!$E:$E,$C924,Movimentacoes!$B:$B,"SAIDA_USO")</f>
        <v/>
      </c>
      <c r="I924" s="13">
        <f>SUMIFS(Movimentacoes!$G:$G,Movimentacoes!$C:$C,$A924,Movimentacoes!$E:$E,$C924,Movimentacoes!$B:$B,"SAIDA_DESCARTE")</f>
        <v/>
      </c>
      <c r="J924" s="13">
        <f>G924-H924-I924</f>
        <v/>
      </c>
      <c r="K924">
        <f>IF(A924="","",IF(J924&lt;=IFERROR(VLOOKUP(A924,Cadastro_Produtos!$A:$E,5,FALSE),0),"ABAIXO DO MINIMO","OK"))</f>
        <v/>
      </c>
    </row>
    <row r="925">
      <c r="B925">
        <f>IFERROR(VLOOKUP(A925,Cadastro_Produtos!A:B,2,FALSE),"")</f>
        <v/>
      </c>
      <c r="D925" s="12" t="n"/>
      <c r="E925" s="13">
        <f>IF(D925="","",D925-TODAY())</f>
        <v/>
      </c>
      <c r="F925">
        <f>IF(D925="","",IF(E925&lt;0,"VENCIDO",IF(E925&lt;=30,"VENCE EM &lt;= 30 DIAS",IF(E925&lt;=60,"ATENCAO (31-60 DIAS)","OK"))))</f>
        <v/>
      </c>
      <c r="G925" s="13">
        <f>SUMIFS(Movimentacoes!$G:$G,Movimentacoes!$C:$C,$A925,Movimentacoes!$E:$E,$C925,Movimentacoes!$B:$B,"ENTRADA")</f>
        <v/>
      </c>
      <c r="H925" s="13">
        <f>SUMIFS(Movimentacoes!$G:$G,Movimentacoes!$C:$C,$A925,Movimentacoes!$E:$E,$C925,Movimentacoes!$B:$B,"SAIDA_USO")</f>
        <v/>
      </c>
      <c r="I925" s="13">
        <f>SUMIFS(Movimentacoes!$G:$G,Movimentacoes!$C:$C,$A925,Movimentacoes!$E:$E,$C925,Movimentacoes!$B:$B,"SAIDA_DESCARTE")</f>
        <v/>
      </c>
      <c r="J925" s="13">
        <f>G925-H925-I925</f>
        <v/>
      </c>
      <c r="K925">
        <f>IF(A925="","",IF(J925&lt;=IFERROR(VLOOKUP(A925,Cadastro_Produtos!$A:$E,5,FALSE),0),"ABAIXO DO MINIMO","OK"))</f>
        <v/>
      </c>
    </row>
    <row r="926">
      <c r="B926">
        <f>IFERROR(VLOOKUP(A926,Cadastro_Produtos!A:B,2,FALSE),"")</f>
        <v/>
      </c>
      <c r="D926" s="12" t="n"/>
      <c r="E926" s="13">
        <f>IF(D926="","",D926-TODAY())</f>
        <v/>
      </c>
      <c r="F926">
        <f>IF(D926="","",IF(E926&lt;0,"VENCIDO",IF(E926&lt;=30,"VENCE EM &lt;= 30 DIAS",IF(E926&lt;=60,"ATENCAO (31-60 DIAS)","OK"))))</f>
        <v/>
      </c>
      <c r="G926" s="13">
        <f>SUMIFS(Movimentacoes!$G:$G,Movimentacoes!$C:$C,$A926,Movimentacoes!$E:$E,$C926,Movimentacoes!$B:$B,"ENTRADA")</f>
        <v/>
      </c>
      <c r="H926" s="13">
        <f>SUMIFS(Movimentacoes!$G:$G,Movimentacoes!$C:$C,$A926,Movimentacoes!$E:$E,$C926,Movimentacoes!$B:$B,"SAIDA_USO")</f>
        <v/>
      </c>
      <c r="I926" s="13">
        <f>SUMIFS(Movimentacoes!$G:$G,Movimentacoes!$C:$C,$A926,Movimentacoes!$E:$E,$C926,Movimentacoes!$B:$B,"SAIDA_DESCARTE")</f>
        <v/>
      </c>
      <c r="J926" s="13">
        <f>G926-H926-I926</f>
        <v/>
      </c>
      <c r="K926">
        <f>IF(A926="","",IF(J926&lt;=IFERROR(VLOOKUP(A926,Cadastro_Produtos!$A:$E,5,FALSE),0),"ABAIXO DO MINIMO","OK"))</f>
        <v/>
      </c>
    </row>
    <row r="927">
      <c r="B927">
        <f>IFERROR(VLOOKUP(A927,Cadastro_Produtos!A:B,2,FALSE),"")</f>
        <v/>
      </c>
      <c r="D927" s="12" t="n"/>
      <c r="E927" s="13">
        <f>IF(D927="","",D927-TODAY())</f>
        <v/>
      </c>
      <c r="F927">
        <f>IF(D927="","",IF(E927&lt;0,"VENCIDO",IF(E927&lt;=30,"VENCE EM &lt;= 30 DIAS",IF(E927&lt;=60,"ATENCAO (31-60 DIAS)","OK"))))</f>
        <v/>
      </c>
      <c r="G927" s="13">
        <f>SUMIFS(Movimentacoes!$G:$G,Movimentacoes!$C:$C,$A927,Movimentacoes!$E:$E,$C927,Movimentacoes!$B:$B,"ENTRADA")</f>
        <v/>
      </c>
      <c r="H927" s="13">
        <f>SUMIFS(Movimentacoes!$G:$G,Movimentacoes!$C:$C,$A927,Movimentacoes!$E:$E,$C927,Movimentacoes!$B:$B,"SAIDA_USO")</f>
        <v/>
      </c>
      <c r="I927" s="13">
        <f>SUMIFS(Movimentacoes!$G:$G,Movimentacoes!$C:$C,$A927,Movimentacoes!$E:$E,$C927,Movimentacoes!$B:$B,"SAIDA_DESCARTE")</f>
        <v/>
      </c>
      <c r="J927" s="13">
        <f>G927-H927-I927</f>
        <v/>
      </c>
      <c r="K927">
        <f>IF(A927="","",IF(J927&lt;=IFERROR(VLOOKUP(A927,Cadastro_Produtos!$A:$E,5,FALSE),0),"ABAIXO DO MINIMO","OK"))</f>
        <v/>
      </c>
    </row>
    <row r="928">
      <c r="B928">
        <f>IFERROR(VLOOKUP(A928,Cadastro_Produtos!A:B,2,FALSE),"")</f>
        <v/>
      </c>
      <c r="D928" s="12" t="n"/>
      <c r="E928" s="13">
        <f>IF(D928="","",D928-TODAY())</f>
        <v/>
      </c>
      <c r="F928">
        <f>IF(D928="","",IF(E928&lt;0,"VENCIDO",IF(E928&lt;=30,"VENCE EM &lt;= 30 DIAS",IF(E928&lt;=60,"ATENCAO (31-60 DIAS)","OK"))))</f>
        <v/>
      </c>
      <c r="G928" s="13">
        <f>SUMIFS(Movimentacoes!$G:$G,Movimentacoes!$C:$C,$A928,Movimentacoes!$E:$E,$C928,Movimentacoes!$B:$B,"ENTRADA")</f>
        <v/>
      </c>
      <c r="H928" s="13">
        <f>SUMIFS(Movimentacoes!$G:$G,Movimentacoes!$C:$C,$A928,Movimentacoes!$E:$E,$C928,Movimentacoes!$B:$B,"SAIDA_USO")</f>
        <v/>
      </c>
      <c r="I928" s="13">
        <f>SUMIFS(Movimentacoes!$G:$G,Movimentacoes!$C:$C,$A928,Movimentacoes!$E:$E,$C928,Movimentacoes!$B:$B,"SAIDA_DESCARTE")</f>
        <v/>
      </c>
      <c r="J928" s="13">
        <f>G928-H928-I928</f>
        <v/>
      </c>
      <c r="K928">
        <f>IF(A928="","",IF(J928&lt;=IFERROR(VLOOKUP(A928,Cadastro_Produtos!$A:$E,5,FALSE),0),"ABAIXO DO MINIMO","OK"))</f>
        <v/>
      </c>
    </row>
    <row r="929">
      <c r="B929">
        <f>IFERROR(VLOOKUP(A929,Cadastro_Produtos!A:B,2,FALSE),"")</f>
        <v/>
      </c>
      <c r="D929" s="12" t="n"/>
      <c r="E929" s="13">
        <f>IF(D929="","",D929-TODAY())</f>
        <v/>
      </c>
      <c r="F929">
        <f>IF(D929="","",IF(E929&lt;0,"VENCIDO",IF(E929&lt;=30,"VENCE EM &lt;= 30 DIAS",IF(E929&lt;=60,"ATENCAO (31-60 DIAS)","OK"))))</f>
        <v/>
      </c>
      <c r="G929" s="13">
        <f>SUMIFS(Movimentacoes!$G:$G,Movimentacoes!$C:$C,$A929,Movimentacoes!$E:$E,$C929,Movimentacoes!$B:$B,"ENTRADA")</f>
        <v/>
      </c>
      <c r="H929" s="13">
        <f>SUMIFS(Movimentacoes!$G:$G,Movimentacoes!$C:$C,$A929,Movimentacoes!$E:$E,$C929,Movimentacoes!$B:$B,"SAIDA_USO")</f>
        <v/>
      </c>
      <c r="I929" s="13">
        <f>SUMIFS(Movimentacoes!$G:$G,Movimentacoes!$C:$C,$A929,Movimentacoes!$E:$E,$C929,Movimentacoes!$B:$B,"SAIDA_DESCARTE")</f>
        <v/>
      </c>
      <c r="J929" s="13">
        <f>G929-H929-I929</f>
        <v/>
      </c>
      <c r="K929">
        <f>IF(A929="","",IF(J929&lt;=IFERROR(VLOOKUP(A929,Cadastro_Produtos!$A:$E,5,FALSE),0),"ABAIXO DO MINIMO","OK"))</f>
        <v/>
      </c>
    </row>
    <row r="930">
      <c r="B930">
        <f>IFERROR(VLOOKUP(A930,Cadastro_Produtos!A:B,2,FALSE),"")</f>
        <v/>
      </c>
      <c r="D930" s="12" t="n"/>
      <c r="E930" s="13">
        <f>IF(D930="","",D930-TODAY())</f>
        <v/>
      </c>
      <c r="F930">
        <f>IF(D930="","",IF(E930&lt;0,"VENCIDO",IF(E930&lt;=30,"VENCE EM &lt;= 30 DIAS",IF(E930&lt;=60,"ATENCAO (31-60 DIAS)","OK"))))</f>
        <v/>
      </c>
      <c r="G930" s="13">
        <f>SUMIFS(Movimentacoes!$G:$G,Movimentacoes!$C:$C,$A930,Movimentacoes!$E:$E,$C930,Movimentacoes!$B:$B,"ENTRADA")</f>
        <v/>
      </c>
      <c r="H930" s="13">
        <f>SUMIFS(Movimentacoes!$G:$G,Movimentacoes!$C:$C,$A930,Movimentacoes!$E:$E,$C930,Movimentacoes!$B:$B,"SAIDA_USO")</f>
        <v/>
      </c>
      <c r="I930" s="13">
        <f>SUMIFS(Movimentacoes!$G:$G,Movimentacoes!$C:$C,$A930,Movimentacoes!$E:$E,$C930,Movimentacoes!$B:$B,"SAIDA_DESCARTE")</f>
        <v/>
      </c>
      <c r="J930" s="13">
        <f>G930-H930-I930</f>
        <v/>
      </c>
      <c r="K930">
        <f>IF(A930="","",IF(J930&lt;=IFERROR(VLOOKUP(A930,Cadastro_Produtos!$A:$E,5,FALSE),0),"ABAIXO DO MINIMO","OK"))</f>
        <v/>
      </c>
    </row>
    <row r="931">
      <c r="B931">
        <f>IFERROR(VLOOKUP(A931,Cadastro_Produtos!A:B,2,FALSE),"")</f>
        <v/>
      </c>
      <c r="D931" s="12" t="n"/>
      <c r="E931" s="13">
        <f>IF(D931="","",D931-TODAY())</f>
        <v/>
      </c>
      <c r="F931">
        <f>IF(D931="","",IF(E931&lt;0,"VENCIDO",IF(E931&lt;=30,"VENCE EM &lt;= 30 DIAS",IF(E931&lt;=60,"ATENCAO (31-60 DIAS)","OK"))))</f>
        <v/>
      </c>
      <c r="G931" s="13">
        <f>SUMIFS(Movimentacoes!$G:$G,Movimentacoes!$C:$C,$A931,Movimentacoes!$E:$E,$C931,Movimentacoes!$B:$B,"ENTRADA")</f>
        <v/>
      </c>
      <c r="H931" s="13">
        <f>SUMIFS(Movimentacoes!$G:$G,Movimentacoes!$C:$C,$A931,Movimentacoes!$E:$E,$C931,Movimentacoes!$B:$B,"SAIDA_USO")</f>
        <v/>
      </c>
      <c r="I931" s="13">
        <f>SUMIFS(Movimentacoes!$G:$G,Movimentacoes!$C:$C,$A931,Movimentacoes!$E:$E,$C931,Movimentacoes!$B:$B,"SAIDA_DESCARTE")</f>
        <v/>
      </c>
      <c r="J931" s="13">
        <f>G931-H931-I931</f>
        <v/>
      </c>
      <c r="K931">
        <f>IF(A931="","",IF(J931&lt;=IFERROR(VLOOKUP(A931,Cadastro_Produtos!$A:$E,5,FALSE),0),"ABAIXO DO MINIMO","OK"))</f>
        <v/>
      </c>
    </row>
    <row r="932">
      <c r="B932">
        <f>IFERROR(VLOOKUP(A932,Cadastro_Produtos!A:B,2,FALSE),"")</f>
        <v/>
      </c>
      <c r="D932" s="12" t="n"/>
      <c r="E932" s="13">
        <f>IF(D932="","",D932-TODAY())</f>
        <v/>
      </c>
      <c r="F932">
        <f>IF(D932="","",IF(E932&lt;0,"VENCIDO",IF(E932&lt;=30,"VENCE EM &lt;= 30 DIAS",IF(E932&lt;=60,"ATENCAO (31-60 DIAS)","OK"))))</f>
        <v/>
      </c>
      <c r="G932" s="13">
        <f>SUMIFS(Movimentacoes!$G:$G,Movimentacoes!$C:$C,$A932,Movimentacoes!$E:$E,$C932,Movimentacoes!$B:$B,"ENTRADA")</f>
        <v/>
      </c>
      <c r="H932" s="13">
        <f>SUMIFS(Movimentacoes!$G:$G,Movimentacoes!$C:$C,$A932,Movimentacoes!$E:$E,$C932,Movimentacoes!$B:$B,"SAIDA_USO")</f>
        <v/>
      </c>
      <c r="I932" s="13">
        <f>SUMIFS(Movimentacoes!$G:$G,Movimentacoes!$C:$C,$A932,Movimentacoes!$E:$E,$C932,Movimentacoes!$B:$B,"SAIDA_DESCARTE")</f>
        <v/>
      </c>
      <c r="J932" s="13">
        <f>G932-H932-I932</f>
        <v/>
      </c>
      <c r="K932">
        <f>IF(A932="","",IF(J932&lt;=IFERROR(VLOOKUP(A932,Cadastro_Produtos!$A:$E,5,FALSE),0),"ABAIXO DO MINIMO","OK"))</f>
        <v/>
      </c>
    </row>
    <row r="933">
      <c r="B933">
        <f>IFERROR(VLOOKUP(A933,Cadastro_Produtos!A:B,2,FALSE),"")</f>
        <v/>
      </c>
      <c r="D933" s="12" t="n"/>
      <c r="E933" s="13">
        <f>IF(D933="","",D933-TODAY())</f>
        <v/>
      </c>
      <c r="F933">
        <f>IF(D933="","",IF(E933&lt;0,"VENCIDO",IF(E933&lt;=30,"VENCE EM &lt;= 30 DIAS",IF(E933&lt;=60,"ATENCAO (31-60 DIAS)","OK"))))</f>
        <v/>
      </c>
      <c r="G933" s="13">
        <f>SUMIFS(Movimentacoes!$G:$G,Movimentacoes!$C:$C,$A933,Movimentacoes!$E:$E,$C933,Movimentacoes!$B:$B,"ENTRADA")</f>
        <v/>
      </c>
      <c r="H933" s="13">
        <f>SUMIFS(Movimentacoes!$G:$G,Movimentacoes!$C:$C,$A933,Movimentacoes!$E:$E,$C933,Movimentacoes!$B:$B,"SAIDA_USO")</f>
        <v/>
      </c>
      <c r="I933" s="13">
        <f>SUMIFS(Movimentacoes!$G:$G,Movimentacoes!$C:$C,$A933,Movimentacoes!$E:$E,$C933,Movimentacoes!$B:$B,"SAIDA_DESCARTE")</f>
        <v/>
      </c>
      <c r="J933" s="13">
        <f>G933-H933-I933</f>
        <v/>
      </c>
      <c r="K933">
        <f>IF(A933="","",IF(J933&lt;=IFERROR(VLOOKUP(A933,Cadastro_Produtos!$A:$E,5,FALSE),0),"ABAIXO DO MINIMO","OK"))</f>
        <v/>
      </c>
    </row>
    <row r="934">
      <c r="B934">
        <f>IFERROR(VLOOKUP(A934,Cadastro_Produtos!A:B,2,FALSE),"")</f>
        <v/>
      </c>
      <c r="D934" s="12" t="n"/>
      <c r="E934" s="13">
        <f>IF(D934="","",D934-TODAY())</f>
        <v/>
      </c>
      <c r="F934">
        <f>IF(D934="","",IF(E934&lt;0,"VENCIDO",IF(E934&lt;=30,"VENCE EM &lt;= 30 DIAS",IF(E934&lt;=60,"ATENCAO (31-60 DIAS)","OK"))))</f>
        <v/>
      </c>
      <c r="G934" s="13">
        <f>SUMIFS(Movimentacoes!$G:$G,Movimentacoes!$C:$C,$A934,Movimentacoes!$E:$E,$C934,Movimentacoes!$B:$B,"ENTRADA")</f>
        <v/>
      </c>
      <c r="H934" s="13">
        <f>SUMIFS(Movimentacoes!$G:$G,Movimentacoes!$C:$C,$A934,Movimentacoes!$E:$E,$C934,Movimentacoes!$B:$B,"SAIDA_USO")</f>
        <v/>
      </c>
      <c r="I934" s="13">
        <f>SUMIFS(Movimentacoes!$G:$G,Movimentacoes!$C:$C,$A934,Movimentacoes!$E:$E,$C934,Movimentacoes!$B:$B,"SAIDA_DESCARTE")</f>
        <v/>
      </c>
      <c r="J934" s="13">
        <f>G934-H934-I934</f>
        <v/>
      </c>
      <c r="K934">
        <f>IF(A934="","",IF(J934&lt;=IFERROR(VLOOKUP(A934,Cadastro_Produtos!$A:$E,5,FALSE),0),"ABAIXO DO MINIMO","OK"))</f>
        <v/>
      </c>
    </row>
    <row r="935">
      <c r="B935">
        <f>IFERROR(VLOOKUP(A935,Cadastro_Produtos!A:B,2,FALSE),"")</f>
        <v/>
      </c>
      <c r="D935" s="12" t="n"/>
      <c r="E935" s="13">
        <f>IF(D935="","",D935-TODAY())</f>
        <v/>
      </c>
      <c r="F935">
        <f>IF(D935="","",IF(E935&lt;0,"VENCIDO",IF(E935&lt;=30,"VENCE EM &lt;= 30 DIAS",IF(E935&lt;=60,"ATENCAO (31-60 DIAS)","OK"))))</f>
        <v/>
      </c>
      <c r="G935" s="13">
        <f>SUMIFS(Movimentacoes!$G:$G,Movimentacoes!$C:$C,$A935,Movimentacoes!$E:$E,$C935,Movimentacoes!$B:$B,"ENTRADA")</f>
        <v/>
      </c>
      <c r="H935" s="13">
        <f>SUMIFS(Movimentacoes!$G:$G,Movimentacoes!$C:$C,$A935,Movimentacoes!$E:$E,$C935,Movimentacoes!$B:$B,"SAIDA_USO")</f>
        <v/>
      </c>
      <c r="I935" s="13">
        <f>SUMIFS(Movimentacoes!$G:$G,Movimentacoes!$C:$C,$A935,Movimentacoes!$E:$E,$C935,Movimentacoes!$B:$B,"SAIDA_DESCARTE")</f>
        <v/>
      </c>
      <c r="J935" s="13">
        <f>G935-H935-I935</f>
        <v/>
      </c>
      <c r="K935">
        <f>IF(A935="","",IF(J935&lt;=IFERROR(VLOOKUP(A935,Cadastro_Produtos!$A:$E,5,FALSE),0),"ABAIXO DO MINIMO","OK"))</f>
        <v/>
      </c>
    </row>
    <row r="936">
      <c r="B936">
        <f>IFERROR(VLOOKUP(A936,Cadastro_Produtos!A:B,2,FALSE),"")</f>
        <v/>
      </c>
      <c r="D936" s="12" t="n"/>
      <c r="E936" s="13">
        <f>IF(D936="","",D936-TODAY())</f>
        <v/>
      </c>
      <c r="F936">
        <f>IF(D936="","",IF(E936&lt;0,"VENCIDO",IF(E936&lt;=30,"VENCE EM &lt;= 30 DIAS",IF(E936&lt;=60,"ATENCAO (31-60 DIAS)","OK"))))</f>
        <v/>
      </c>
      <c r="G936" s="13">
        <f>SUMIFS(Movimentacoes!$G:$G,Movimentacoes!$C:$C,$A936,Movimentacoes!$E:$E,$C936,Movimentacoes!$B:$B,"ENTRADA")</f>
        <v/>
      </c>
      <c r="H936" s="13">
        <f>SUMIFS(Movimentacoes!$G:$G,Movimentacoes!$C:$C,$A936,Movimentacoes!$E:$E,$C936,Movimentacoes!$B:$B,"SAIDA_USO")</f>
        <v/>
      </c>
      <c r="I936" s="13">
        <f>SUMIFS(Movimentacoes!$G:$G,Movimentacoes!$C:$C,$A936,Movimentacoes!$E:$E,$C936,Movimentacoes!$B:$B,"SAIDA_DESCARTE")</f>
        <v/>
      </c>
      <c r="J936" s="13">
        <f>G936-H936-I936</f>
        <v/>
      </c>
      <c r="K936">
        <f>IF(A936="","",IF(J936&lt;=IFERROR(VLOOKUP(A936,Cadastro_Produtos!$A:$E,5,FALSE),0),"ABAIXO DO MINIMO","OK"))</f>
        <v/>
      </c>
    </row>
    <row r="937">
      <c r="B937">
        <f>IFERROR(VLOOKUP(A937,Cadastro_Produtos!A:B,2,FALSE),"")</f>
        <v/>
      </c>
      <c r="D937" s="12" t="n"/>
      <c r="E937" s="13">
        <f>IF(D937="","",D937-TODAY())</f>
        <v/>
      </c>
      <c r="F937">
        <f>IF(D937="","",IF(E937&lt;0,"VENCIDO",IF(E937&lt;=30,"VENCE EM &lt;= 30 DIAS",IF(E937&lt;=60,"ATENCAO (31-60 DIAS)","OK"))))</f>
        <v/>
      </c>
      <c r="G937" s="13">
        <f>SUMIFS(Movimentacoes!$G:$G,Movimentacoes!$C:$C,$A937,Movimentacoes!$E:$E,$C937,Movimentacoes!$B:$B,"ENTRADA")</f>
        <v/>
      </c>
      <c r="H937" s="13">
        <f>SUMIFS(Movimentacoes!$G:$G,Movimentacoes!$C:$C,$A937,Movimentacoes!$E:$E,$C937,Movimentacoes!$B:$B,"SAIDA_USO")</f>
        <v/>
      </c>
      <c r="I937" s="13">
        <f>SUMIFS(Movimentacoes!$G:$G,Movimentacoes!$C:$C,$A937,Movimentacoes!$E:$E,$C937,Movimentacoes!$B:$B,"SAIDA_DESCARTE")</f>
        <v/>
      </c>
      <c r="J937" s="13">
        <f>G937-H937-I937</f>
        <v/>
      </c>
      <c r="K937">
        <f>IF(A937="","",IF(J937&lt;=IFERROR(VLOOKUP(A937,Cadastro_Produtos!$A:$E,5,FALSE),0),"ABAIXO DO MINIMO","OK"))</f>
        <v/>
      </c>
    </row>
    <row r="938">
      <c r="B938">
        <f>IFERROR(VLOOKUP(A938,Cadastro_Produtos!A:B,2,FALSE),"")</f>
        <v/>
      </c>
      <c r="D938" s="12" t="n"/>
      <c r="E938" s="13">
        <f>IF(D938="","",D938-TODAY())</f>
        <v/>
      </c>
      <c r="F938">
        <f>IF(D938="","",IF(E938&lt;0,"VENCIDO",IF(E938&lt;=30,"VENCE EM &lt;= 30 DIAS",IF(E938&lt;=60,"ATENCAO (31-60 DIAS)","OK"))))</f>
        <v/>
      </c>
      <c r="G938" s="13">
        <f>SUMIFS(Movimentacoes!$G:$G,Movimentacoes!$C:$C,$A938,Movimentacoes!$E:$E,$C938,Movimentacoes!$B:$B,"ENTRADA")</f>
        <v/>
      </c>
      <c r="H938" s="13">
        <f>SUMIFS(Movimentacoes!$G:$G,Movimentacoes!$C:$C,$A938,Movimentacoes!$E:$E,$C938,Movimentacoes!$B:$B,"SAIDA_USO")</f>
        <v/>
      </c>
      <c r="I938" s="13">
        <f>SUMIFS(Movimentacoes!$G:$G,Movimentacoes!$C:$C,$A938,Movimentacoes!$E:$E,$C938,Movimentacoes!$B:$B,"SAIDA_DESCARTE")</f>
        <v/>
      </c>
      <c r="J938" s="13">
        <f>G938-H938-I938</f>
        <v/>
      </c>
      <c r="K938">
        <f>IF(A938="","",IF(J938&lt;=IFERROR(VLOOKUP(A938,Cadastro_Produtos!$A:$E,5,FALSE),0),"ABAIXO DO MINIMO","OK"))</f>
        <v/>
      </c>
    </row>
    <row r="939">
      <c r="B939">
        <f>IFERROR(VLOOKUP(A939,Cadastro_Produtos!A:B,2,FALSE),"")</f>
        <v/>
      </c>
      <c r="D939" s="12" t="n"/>
      <c r="E939" s="13">
        <f>IF(D939="","",D939-TODAY())</f>
        <v/>
      </c>
      <c r="F939">
        <f>IF(D939="","",IF(E939&lt;0,"VENCIDO",IF(E939&lt;=30,"VENCE EM &lt;= 30 DIAS",IF(E939&lt;=60,"ATENCAO (31-60 DIAS)","OK"))))</f>
        <v/>
      </c>
      <c r="G939" s="13">
        <f>SUMIFS(Movimentacoes!$G:$G,Movimentacoes!$C:$C,$A939,Movimentacoes!$E:$E,$C939,Movimentacoes!$B:$B,"ENTRADA")</f>
        <v/>
      </c>
      <c r="H939" s="13">
        <f>SUMIFS(Movimentacoes!$G:$G,Movimentacoes!$C:$C,$A939,Movimentacoes!$E:$E,$C939,Movimentacoes!$B:$B,"SAIDA_USO")</f>
        <v/>
      </c>
      <c r="I939" s="13">
        <f>SUMIFS(Movimentacoes!$G:$G,Movimentacoes!$C:$C,$A939,Movimentacoes!$E:$E,$C939,Movimentacoes!$B:$B,"SAIDA_DESCARTE")</f>
        <v/>
      </c>
      <c r="J939" s="13">
        <f>G939-H939-I939</f>
        <v/>
      </c>
      <c r="K939">
        <f>IF(A939="","",IF(J939&lt;=IFERROR(VLOOKUP(A939,Cadastro_Produtos!$A:$E,5,FALSE),0),"ABAIXO DO MINIMO","OK"))</f>
        <v/>
      </c>
    </row>
    <row r="940">
      <c r="B940">
        <f>IFERROR(VLOOKUP(A940,Cadastro_Produtos!A:B,2,FALSE),"")</f>
        <v/>
      </c>
      <c r="D940" s="12" t="n"/>
      <c r="E940" s="13">
        <f>IF(D940="","",D940-TODAY())</f>
        <v/>
      </c>
      <c r="F940">
        <f>IF(D940="","",IF(E940&lt;0,"VENCIDO",IF(E940&lt;=30,"VENCE EM &lt;= 30 DIAS",IF(E940&lt;=60,"ATENCAO (31-60 DIAS)","OK"))))</f>
        <v/>
      </c>
      <c r="G940" s="13">
        <f>SUMIFS(Movimentacoes!$G:$G,Movimentacoes!$C:$C,$A940,Movimentacoes!$E:$E,$C940,Movimentacoes!$B:$B,"ENTRADA")</f>
        <v/>
      </c>
      <c r="H940" s="13">
        <f>SUMIFS(Movimentacoes!$G:$G,Movimentacoes!$C:$C,$A940,Movimentacoes!$E:$E,$C940,Movimentacoes!$B:$B,"SAIDA_USO")</f>
        <v/>
      </c>
      <c r="I940" s="13">
        <f>SUMIFS(Movimentacoes!$G:$G,Movimentacoes!$C:$C,$A940,Movimentacoes!$E:$E,$C940,Movimentacoes!$B:$B,"SAIDA_DESCARTE")</f>
        <v/>
      </c>
      <c r="J940" s="13">
        <f>G940-H940-I940</f>
        <v/>
      </c>
      <c r="K940">
        <f>IF(A940="","",IF(J940&lt;=IFERROR(VLOOKUP(A940,Cadastro_Produtos!$A:$E,5,FALSE),0),"ABAIXO DO MINIMO","OK"))</f>
        <v/>
      </c>
    </row>
    <row r="941">
      <c r="B941">
        <f>IFERROR(VLOOKUP(A941,Cadastro_Produtos!A:B,2,FALSE),"")</f>
        <v/>
      </c>
      <c r="D941" s="12" t="n"/>
      <c r="E941" s="13">
        <f>IF(D941="","",D941-TODAY())</f>
        <v/>
      </c>
      <c r="F941">
        <f>IF(D941="","",IF(E941&lt;0,"VENCIDO",IF(E941&lt;=30,"VENCE EM &lt;= 30 DIAS",IF(E941&lt;=60,"ATENCAO (31-60 DIAS)","OK"))))</f>
        <v/>
      </c>
      <c r="G941" s="13">
        <f>SUMIFS(Movimentacoes!$G:$G,Movimentacoes!$C:$C,$A941,Movimentacoes!$E:$E,$C941,Movimentacoes!$B:$B,"ENTRADA")</f>
        <v/>
      </c>
      <c r="H941" s="13">
        <f>SUMIFS(Movimentacoes!$G:$G,Movimentacoes!$C:$C,$A941,Movimentacoes!$E:$E,$C941,Movimentacoes!$B:$B,"SAIDA_USO")</f>
        <v/>
      </c>
      <c r="I941" s="13">
        <f>SUMIFS(Movimentacoes!$G:$G,Movimentacoes!$C:$C,$A941,Movimentacoes!$E:$E,$C941,Movimentacoes!$B:$B,"SAIDA_DESCARTE")</f>
        <v/>
      </c>
      <c r="J941" s="13">
        <f>G941-H941-I941</f>
        <v/>
      </c>
      <c r="K941">
        <f>IF(A941="","",IF(J941&lt;=IFERROR(VLOOKUP(A941,Cadastro_Produtos!$A:$E,5,FALSE),0),"ABAIXO DO MINIMO","OK"))</f>
        <v/>
      </c>
    </row>
    <row r="942">
      <c r="B942">
        <f>IFERROR(VLOOKUP(A942,Cadastro_Produtos!A:B,2,FALSE),"")</f>
        <v/>
      </c>
      <c r="D942" s="12" t="n"/>
      <c r="E942" s="13">
        <f>IF(D942="","",D942-TODAY())</f>
        <v/>
      </c>
      <c r="F942">
        <f>IF(D942="","",IF(E942&lt;0,"VENCIDO",IF(E942&lt;=30,"VENCE EM &lt;= 30 DIAS",IF(E942&lt;=60,"ATENCAO (31-60 DIAS)","OK"))))</f>
        <v/>
      </c>
      <c r="G942" s="13">
        <f>SUMIFS(Movimentacoes!$G:$G,Movimentacoes!$C:$C,$A942,Movimentacoes!$E:$E,$C942,Movimentacoes!$B:$B,"ENTRADA")</f>
        <v/>
      </c>
      <c r="H942" s="13">
        <f>SUMIFS(Movimentacoes!$G:$G,Movimentacoes!$C:$C,$A942,Movimentacoes!$E:$E,$C942,Movimentacoes!$B:$B,"SAIDA_USO")</f>
        <v/>
      </c>
      <c r="I942" s="13">
        <f>SUMIFS(Movimentacoes!$G:$G,Movimentacoes!$C:$C,$A942,Movimentacoes!$E:$E,$C942,Movimentacoes!$B:$B,"SAIDA_DESCARTE")</f>
        <v/>
      </c>
      <c r="J942" s="13">
        <f>G942-H942-I942</f>
        <v/>
      </c>
      <c r="K942">
        <f>IF(A942="","",IF(J942&lt;=IFERROR(VLOOKUP(A942,Cadastro_Produtos!$A:$E,5,FALSE),0),"ABAIXO DO MINIMO","OK"))</f>
        <v/>
      </c>
    </row>
    <row r="943">
      <c r="B943">
        <f>IFERROR(VLOOKUP(A943,Cadastro_Produtos!A:B,2,FALSE),"")</f>
        <v/>
      </c>
      <c r="D943" s="12" t="n"/>
      <c r="E943" s="13">
        <f>IF(D943="","",D943-TODAY())</f>
        <v/>
      </c>
      <c r="F943">
        <f>IF(D943="","",IF(E943&lt;0,"VENCIDO",IF(E943&lt;=30,"VENCE EM &lt;= 30 DIAS",IF(E943&lt;=60,"ATENCAO (31-60 DIAS)","OK"))))</f>
        <v/>
      </c>
      <c r="G943" s="13">
        <f>SUMIFS(Movimentacoes!$G:$G,Movimentacoes!$C:$C,$A943,Movimentacoes!$E:$E,$C943,Movimentacoes!$B:$B,"ENTRADA")</f>
        <v/>
      </c>
      <c r="H943" s="13">
        <f>SUMIFS(Movimentacoes!$G:$G,Movimentacoes!$C:$C,$A943,Movimentacoes!$E:$E,$C943,Movimentacoes!$B:$B,"SAIDA_USO")</f>
        <v/>
      </c>
      <c r="I943" s="13">
        <f>SUMIFS(Movimentacoes!$G:$G,Movimentacoes!$C:$C,$A943,Movimentacoes!$E:$E,$C943,Movimentacoes!$B:$B,"SAIDA_DESCARTE")</f>
        <v/>
      </c>
      <c r="J943" s="13">
        <f>G943-H943-I943</f>
        <v/>
      </c>
      <c r="K943">
        <f>IF(A943="","",IF(J943&lt;=IFERROR(VLOOKUP(A943,Cadastro_Produtos!$A:$E,5,FALSE),0),"ABAIXO DO MINIMO","OK"))</f>
        <v/>
      </c>
    </row>
    <row r="944">
      <c r="B944">
        <f>IFERROR(VLOOKUP(A944,Cadastro_Produtos!A:B,2,FALSE),"")</f>
        <v/>
      </c>
      <c r="D944" s="12" t="n"/>
      <c r="E944" s="13">
        <f>IF(D944="","",D944-TODAY())</f>
        <v/>
      </c>
      <c r="F944">
        <f>IF(D944="","",IF(E944&lt;0,"VENCIDO",IF(E944&lt;=30,"VENCE EM &lt;= 30 DIAS",IF(E944&lt;=60,"ATENCAO (31-60 DIAS)","OK"))))</f>
        <v/>
      </c>
      <c r="G944" s="13">
        <f>SUMIFS(Movimentacoes!$G:$G,Movimentacoes!$C:$C,$A944,Movimentacoes!$E:$E,$C944,Movimentacoes!$B:$B,"ENTRADA")</f>
        <v/>
      </c>
      <c r="H944" s="13">
        <f>SUMIFS(Movimentacoes!$G:$G,Movimentacoes!$C:$C,$A944,Movimentacoes!$E:$E,$C944,Movimentacoes!$B:$B,"SAIDA_USO")</f>
        <v/>
      </c>
      <c r="I944" s="13">
        <f>SUMIFS(Movimentacoes!$G:$G,Movimentacoes!$C:$C,$A944,Movimentacoes!$E:$E,$C944,Movimentacoes!$B:$B,"SAIDA_DESCARTE")</f>
        <v/>
      </c>
      <c r="J944" s="13">
        <f>G944-H944-I944</f>
        <v/>
      </c>
      <c r="K944">
        <f>IF(A944="","",IF(J944&lt;=IFERROR(VLOOKUP(A944,Cadastro_Produtos!$A:$E,5,FALSE),0),"ABAIXO DO MINIMO","OK"))</f>
        <v/>
      </c>
    </row>
    <row r="945">
      <c r="B945">
        <f>IFERROR(VLOOKUP(A945,Cadastro_Produtos!A:B,2,FALSE),"")</f>
        <v/>
      </c>
      <c r="D945" s="12" t="n"/>
      <c r="E945" s="13">
        <f>IF(D945="","",D945-TODAY())</f>
        <v/>
      </c>
      <c r="F945">
        <f>IF(D945="","",IF(E945&lt;0,"VENCIDO",IF(E945&lt;=30,"VENCE EM &lt;= 30 DIAS",IF(E945&lt;=60,"ATENCAO (31-60 DIAS)","OK"))))</f>
        <v/>
      </c>
      <c r="G945" s="13">
        <f>SUMIFS(Movimentacoes!$G:$G,Movimentacoes!$C:$C,$A945,Movimentacoes!$E:$E,$C945,Movimentacoes!$B:$B,"ENTRADA")</f>
        <v/>
      </c>
      <c r="H945" s="13">
        <f>SUMIFS(Movimentacoes!$G:$G,Movimentacoes!$C:$C,$A945,Movimentacoes!$E:$E,$C945,Movimentacoes!$B:$B,"SAIDA_USO")</f>
        <v/>
      </c>
      <c r="I945" s="13">
        <f>SUMIFS(Movimentacoes!$G:$G,Movimentacoes!$C:$C,$A945,Movimentacoes!$E:$E,$C945,Movimentacoes!$B:$B,"SAIDA_DESCARTE")</f>
        <v/>
      </c>
      <c r="J945" s="13">
        <f>G945-H945-I945</f>
        <v/>
      </c>
      <c r="K945">
        <f>IF(A945="","",IF(J945&lt;=IFERROR(VLOOKUP(A945,Cadastro_Produtos!$A:$E,5,FALSE),0),"ABAIXO DO MINIMO","OK"))</f>
        <v/>
      </c>
    </row>
    <row r="946">
      <c r="B946">
        <f>IFERROR(VLOOKUP(A946,Cadastro_Produtos!A:B,2,FALSE),"")</f>
        <v/>
      </c>
      <c r="D946" s="12" t="n"/>
      <c r="E946" s="13">
        <f>IF(D946="","",D946-TODAY())</f>
        <v/>
      </c>
      <c r="F946">
        <f>IF(D946="","",IF(E946&lt;0,"VENCIDO",IF(E946&lt;=30,"VENCE EM &lt;= 30 DIAS",IF(E946&lt;=60,"ATENCAO (31-60 DIAS)","OK"))))</f>
        <v/>
      </c>
      <c r="G946" s="13">
        <f>SUMIFS(Movimentacoes!$G:$G,Movimentacoes!$C:$C,$A946,Movimentacoes!$E:$E,$C946,Movimentacoes!$B:$B,"ENTRADA")</f>
        <v/>
      </c>
      <c r="H946" s="13">
        <f>SUMIFS(Movimentacoes!$G:$G,Movimentacoes!$C:$C,$A946,Movimentacoes!$E:$E,$C946,Movimentacoes!$B:$B,"SAIDA_USO")</f>
        <v/>
      </c>
      <c r="I946" s="13">
        <f>SUMIFS(Movimentacoes!$G:$G,Movimentacoes!$C:$C,$A946,Movimentacoes!$E:$E,$C946,Movimentacoes!$B:$B,"SAIDA_DESCARTE")</f>
        <v/>
      </c>
      <c r="J946" s="13">
        <f>G946-H946-I946</f>
        <v/>
      </c>
      <c r="K946">
        <f>IF(A946="","",IF(J946&lt;=IFERROR(VLOOKUP(A946,Cadastro_Produtos!$A:$E,5,FALSE),0),"ABAIXO DO MINIMO","OK"))</f>
        <v/>
      </c>
    </row>
    <row r="947">
      <c r="B947">
        <f>IFERROR(VLOOKUP(A947,Cadastro_Produtos!A:B,2,FALSE),"")</f>
        <v/>
      </c>
      <c r="D947" s="12" t="n"/>
      <c r="E947" s="13">
        <f>IF(D947="","",D947-TODAY())</f>
        <v/>
      </c>
      <c r="F947">
        <f>IF(D947="","",IF(E947&lt;0,"VENCIDO",IF(E947&lt;=30,"VENCE EM &lt;= 30 DIAS",IF(E947&lt;=60,"ATENCAO (31-60 DIAS)","OK"))))</f>
        <v/>
      </c>
      <c r="G947" s="13">
        <f>SUMIFS(Movimentacoes!$G:$G,Movimentacoes!$C:$C,$A947,Movimentacoes!$E:$E,$C947,Movimentacoes!$B:$B,"ENTRADA")</f>
        <v/>
      </c>
      <c r="H947" s="13">
        <f>SUMIFS(Movimentacoes!$G:$G,Movimentacoes!$C:$C,$A947,Movimentacoes!$E:$E,$C947,Movimentacoes!$B:$B,"SAIDA_USO")</f>
        <v/>
      </c>
      <c r="I947" s="13">
        <f>SUMIFS(Movimentacoes!$G:$G,Movimentacoes!$C:$C,$A947,Movimentacoes!$E:$E,$C947,Movimentacoes!$B:$B,"SAIDA_DESCARTE")</f>
        <v/>
      </c>
      <c r="J947" s="13">
        <f>G947-H947-I947</f>
        <v/>
      </c>
      <c r="K947">
        <f>IF(A947="","",IF(J947&lt;=IFERROR(VLOOKUP(A947,Cadastro_Produtos!$A:$E,5,FALSE),0),"ABAIXO DO MINIMO","OK"))</f>
        <v/>
      </c>
    </row>
    <row r="948">
      <c r="B948">
        <f>IFERROR(VLOOKUP(A948,Cadastro_Produtos!A:B,2,FALSE),"")</f>
        <v/>
      </c>
      <c r="D948" s="12" t="n"/>
      <c r="E948" s="13">
        <f>IF(D948="","",D948-TODAY())</f>
        <v/>
      </c>
      <c r="F948">
        <f>IF(D948="","",IF(E948&lt;0,"VENCIDO",IF(E948&lt;=30,"VENCE EM &lt;= 30 DIAS",IF(E948&lt;=60,"ATENCAO (31-60 DIAS)","OK"))))</f>
        <v/>
      </c>
      <c r="G948" s="13">
        <f>SUMIFS(Movimentacoes!$G:$G,Movimentacoes!$C:$C,$A948,Movimentacoes!$E:$E,$C948,Movimentacoes!$B:$B,"ENTRADA")</f>
        <v/>
      </c>
      <c r="H948" s="13">
        <f>SUMIFS(Movimentacoes!$G:$G,Movimentacoes!$C:$C,$A948,Movimentacoes!$E:$E,$C948,Movimentacoes!$B:$B,"SAIDA_USO")</f>
        <v/>
      </c>
      <c r="I948" s="13">
        <f>SUMIFS(Movimentacoes!$G:$G,Movimentacoes!$C:$C,$A948,Movimentacoes!$E:$E,$C948,Movimentacoes!$B:$B,"SAIDA_DESCARTE")</f>
        <v/>
      </c>
      <c r="J948" s="13">
        <f>G948-H948-I948</f>
        <v/>
      </c>
      <c r="K948">
        <f>IF(A948="","",IF(J948&lt;=IFERROR(VLOOKUP(A948,Cadastro_Produtos!$A:$E,5,FALSE),0),"ABAIXO DO MINIMO","OK"))</f>
        <v/>
      </c>
    </row>
    <row r="949">
      <c r="B949">
        <f>IFERROR(VLOOKUP(A949,Cadastro_Produtos!A:B,2,FALSE),"")</f>
        <v/>
      </c>
      <c r="D949" s="12" t="n"/>
      <c r="E949" s="13">
        <f>IF(D949="","",D949-TODAY())</f>
        <v/>
      </c>
      <c r="F949">
        <f>IF(D949="","",IF(E949&lt;0,"VENCIDO",IF(E949&lt;=30,"VENCE EM &lt;= 30 DIAS",IF(E949&lt;=60,"ATENCAO (31-60 DIAS)","OK"))))</f>
        <v/>
      </c>
      <c r="G949" s="13">
        <f>SUMIFS(Movimentacoes!$G:$G,Movimentacoes!$C:$C,$A949,Movimentacoes!$E:$E,$C949,Movimentacoes!$B:$B,"ENTRADA")</f>
        <v/>
      </c>
      <c r="H949" s="13">
        <f>SUMIFS(Movimentacoes!$G:$G,Movimentacoes!$C:$C,$A949,Movimentacoes!$E:$E,$C949,Movimentacoes!$B:$B,"SAIDA_USO")</f>
        <v/>
      </c>
      <c r="I949" s="13">
        <f>SUMIFS(Movimentacoes!$G:$G,Movimentacoes!$C:$C,$A949,Movimentacoes!$E:$E,$C949,Movimentacoes!$B:$B,"SAIDA_DESCARTE")</f>
        <v/>
      </c>
      <c r="J949" s="13">
        <f>G949-H949-I949</f>
        <v/>
      </c>
      <c r="K949">
        <f>IF(A949="","",IF(J949&lt;=IFERROR(VLOOKUP(A949,Cadastro_Produtos!$A:$E,5,FALSE),0),"ABAIXO DO MINIMO","OK"))</f>
        <v/>
      </c>
    </row>
    <row r="950">
      <c r="B950">
        <f>IFERROR(VLOOKUP(A950,Cadastro_Produtos!A:B,2,FALSE),"")</f>
        <v/>
      </c>
      <c r="D950" s="12" t="n"/>
      <c r="E950" s="13">
        <f>IF(D950="","",D950-TODAY())</f>
        <v/>
      </c>
      <c r="F950">
        <f>IF(D950="","",IF(E950&lt;0,"VENCIDO",IF(E950&lt;=30,"VENCE EM &lt;= 30 DIAS",IF(E950&lt;=60,"ATENCAO (31-60 DIAS)","OK"))))</f>
        <v/>
      </c>
      <c r="G950" s="13">
        <f>SUMIFS(Movimentacoes!$G:$G,Movimentacoes!$C:$C,$A950,Movimentacoes!$E:$E,$C950,Movimentacoes!$B:$B,"ENTRADA")</f>
        <v/>
      </c>
      <c r="H950" s="13">
        <f>SUMIFS(Movimentacoes!$G:$G,Movimentacoes!$C:$C,$A950,Movimentacoes!$E:$E,$C950,Movimentacoes!$B:$B,"SAIDA_USO")</f>
        <v/>
      </c>
      <c r="I950" s="13">
        <f>SUMIFS(Movimentacoes!$G:$G,Movimentacoes!$C:$C,$A950,Movimentacoes!$E:$E,$C950,Movimentacoes!$B:$B,"SAIDA_DESCARTE")</f>
        <v/>
      </c>
      <c r="J950" s="13">
        <f>G950-H950-I950</f>
        <v/>
      </c>
      <c r="K950">
        <f>IF(A950="","",IF(J950&lt;=IFERROR(VLOOKUP(A950,Cadastro_Produtos!$A:$E,5,FALSE),0),"ABAIXO DO MINIMO","OK"))</f>
        <v/>
      </c>
    </row>
    <row r="951">
      <c r="B951">
        <f>IFERROR(VLOOKUP(A951,Cadastro_Produtos!A:B,2,FALSE),"")</f>
        <v/>
      </c>
      <c r="D951" s="12" t="n"/>
      <c r="E951" s="13">
        <f>IF(D951="","",D951-TODAY())</f>
        <v/>
      </c>
      <c r="F951">
        <f>IF(D951="","",IF(E951&lt;0,"VENCIDO",IF(E951&lt;=30,"VENCE EM &lt;= 30 DIAS",IF(E951&lt;=60,"ATENCAO (31-60 DIAS)","OK"))))</f>
        <v/>
      </c>
      <c r="G951" s="13">
        <f>SUMIFS(Movimentacoes!$G:$G,Movimentacoes!$C:$C,$A951,Movimentacoes!$E:$E,$C951,Movimentacoes!$B:$B,"ENTRADA")</f>
        <v/>
      </c>
      <c r="H951" s="13">
        <f>SUMIFS(Movimentacoes!$G:$G,Movimentacoes!$C:$C,$A951,Movimentacoes!$E:$E,$C951,Movimentacoes!$B:$B,"SAIDA_USO")</f>
        <v/>
      </c>
      <c r="I951" s="13">
        <f>SUMIFS(Movimentacoes!$G:$G,Movimentacoes!$C:$C,$A951,Movimentacoes!$E:$E,$C951,Movimentacoes!$B:$B,"SAIDA_DESCARTE")</f>
        <v/>
      </c>
      <c r="J951" s="13">
        <f>G951-H951-I951</f>
        <v/>
      </c>
      <c r="K951">
        <f>IF(A951="","",IF(J951&lt;=IFERROR(VLOOKUP(A951,Cadastro_Produtos!$A:$E,5,FALSE),0),"ABAIXO DO MINIMO","OK"))</f>
        <v/>
      </c>
    </row>
    <row r="952">
      <c r="B952">
        <f>IFERROR(VLOOKUP(A952,Cadastro_Produtos!A:B,2,FALSE),"")</f>
        <v/>
      </c>
      <c r="D952" s="12" t="n"/>
      <c r="E952" s="13">
        <f>IF(D952="","",D952-TODAY())</f>
        <v/>
      </c>
      <c r="F952">
        <f>IF(D952="","",IF(E952&lt;0,"VENCIDO",IF(E952&lt;=30,"VENCE EM &lt;= 30 DIAS",IF(E952&lt;=60,"ATENCAO (31-60 DIAS)","OK"))))</f>
        <v/>
      </c>
      <c r="G952" s="13">
        <f>SUMIFS(Movimentacoes!$G:$G,Movimentacoes!$C:$C,$A952,Movimentacoes!$E:$E,$C952,Movimentacoes!$B:$B,"ENTRADA")</f>
        <v/>
      </c>
      <c r="H952" s="13">
        <f>SUMIFS(Movimentacoes!$G:$G,Movimentacoes!$C:$C,$A952,Movimentacoes!$E:$E,$C952,Movimentacoes!$B:$B,"SAIDA_USO")</f>
        <v/>
      </c>
      <c r="I952" s="13">
        <f>SUMIFS(Movimentacoes!$G:$G,Movimentacoes!$C:$C,$A952,Movimentacoes!$E:$E,$C952,Movimentacoes!$B:$B,"SAIDA_DESCARTE")</f>
        <v/>
      </c>
      <c r="J952" s="13">
        <f>G952-H952-I952</f>
        <v/>
      </c>
      <c r="K952">
        <f>IF(A952="","",IF(J952&lt;=IFERROR(VLOOKUP(A952,Cadastro_Produtos!$A:$E,5,FALSE),0),"ABAIXO DO MINIMO","OK"))</f>
        <v/>
      </c>
    </row>
    <row r="953">
      <c r="B953">
        <f>IFERROR(VLOOKUP(A953,Cadastro_Produtos!A:B,2,FALSE),"")</f>
        <v/>
      </c>
      <c r="D953" s="12" t="n"/>
      <c r="E953" s="13">
        <f>IF(D953="","",D953-TODAY())</f>
        <v/>
      </c>
      <c r="F953">
        <f>IF(D953="","",IF(E953&lt;0,"VENCIDO",IF(E953&lt;=30,"VENCE EM &lt;= 30 DIAS",IF(E953&lt;=60,"ATENCAO (31-60 DIAS)","OK"))))</f>
        <v/>
      </c>
      <c r="G953" s="13">
        <f>SUMIFS(Movimentacoes!$G:$G,Movimentacoes!$C:$C,$A953,Movimentacoes!$E:$E,$C953,Movimentacoes!$B:$B,"ENTRADA")</f>
        <v/>
      </c>
      <c r="H953" s="13">
        <f>SUMIFS(Movimentacoes!$G:$G,Movimentacoes!$C:$C,$A953,Movimentacoes!$E:$E,$C953,Movimentacoes!$B:$B,"SAIDA_USO")</f>
        <v/>
      </c>
      <c r="I953" s="13">
        <f>SUMIFS(Movimentacoes!$G:$G,Movimentacoes!$C:$C,$A953,Movimentacoes!$E:$E,$C953,Movimentacoes!$B:$B,"SAIDA_DESCARTE")</f>
        <v/>
      </c>
      <c r="J953" s="13">
        <f>G953-H953-I953</f>
        <v/>
      </c>
      <c r="K953">
        <f>IF(A953="","",IF(J953&lt;=IFERROR(VLOOKUP(A953,Cadastro_Produtos!$A:$E,5,FALSE),0),"ABAIXO DO MINIMO","OK"))</f>
        <v/>
      </c>
    </row>
    <row r="954">
      <c r="B954">
        <f>IFERROR(VLOOKUP(A954,Cadastro_Produtos!A:B,2,FALSE),"")</f>
        <v/>
      </c>
      <c r="D954" s="12" t="n"/>
      <c r="E954" s="13">
        <f>IF(D954="","",D954-TODAY())</f>
        <v/>
      </c>
      <c r="F954">
        <f>IF(D954="","",IF(E954&lt;0,"VENCIDO",IF(E954&lt;=30,"VENCE EM &lt;= 30 DIAS",IF(E954&lt;=60,"ATENCAO (31-60 DIAS)","OK"))))</f>
        <v/>
      </c>
      <c r="G954" s="13">
        <f>SUMIFS(Movimentacoes!$G:$G,Movimentacoes!$C:$C,$A954,Movimentacoes!$E:$E,$C954,Movimentacoes!$B:$B,"ENTRADA")</f>
        <v/>
      </c>
      <c r="H954" s="13">
        <f>SUMIFS(Movimentacoes!$G:$G,Movimentacoes!$C:$C,$A954,Movimentacoes!$E:$E,$C954,Movimentacoes!$B:$B,"SAIDA_USO")</f>
        <v/>
      </c>
      <c r="I954" s="13">
        <f>SUMIFS(Movimentacoes!$G:$G,Movimentacoes!$C:$C,$A954,Movimentacoes!$E:$E,$C954,Movimentacoes!$B:$B,"SAIDA_DESCARTE")</f>
        <v/>
      </c>
      <c r="J954" s="13">
        <f>G954-H954-I954</f>
        <v/>
      </c>
      <c r="K954">
        <f>IF(A954="","",IF(J954&lt;=IFERROR(VLOOKUP(A954,Cadastro_Produtos!$A:$E,5,FALSE),0),"ABAIXO DO MINIMO","OK"))</f>
        <v/>
      </c>
    </row>
    <row r="955">
      <c r="B955">
        <f>IFERROR(VLOOKUP(A955,Cadastro_Produtos!A:B,2,FALSE),"")</f>
        <v/>
      </c>
      <c r="D955" s="12" t="n"/>
      <c r="E955" s="13">
        <f>IF(D955="","",D955-TODAY())</f>
        <v/>
      </c>
      <c r="F955">
        <f>IF(D955="","",IF(E955&lt;0,"VENCIDO",IF(E955&lt;=30,"VENCE EM &lt;= 30 DIAS",IF(E955&lt;=60,"ATENCAO (31-60 DIAS)","OK"))))</f>
        <v/>
      </c>
      <c r="G955" s="13">
        <f>SUMIFS(Movimentacoes!$G:$G,Movimentacoes!$C:$C,$A955,Movimentacoes!$E:$E,$C955,Movimentacoes!$B:$B,"ENTRADA")</f>
        <v/>
      </c>
      <c r="H955" s="13">
        <f>SUMIFS(Movimentacoes!$G:$G,Movimentacoes!$C:$C,$A955,Movimentacoes!$E:$E,$C955,Movimentacoes!$B:$B,"SAIDA_USO")</f>
        <v/>
      </c>
      <c r="I955" s="13">
        <f>SUMIFS(Movimentacoes!$G:$G,Movimentacoes!$C:$C,$A955,Movimentacoes!$E:$E,$C955,Movimentacoes!$B:$B,"SAIDA_DESCARTE")</f>
        <v/>
      </c>
      <c r="J955" s="13">
        <f>G955-H955-I955</f>
        <v/>
      </c>
      <c r="K955">
        <f>IF(A955="","",IF(J955&lt;=IFERROR(VLOOKUP(A955,Cadastro_Produtos!$A:$E,5,FALSE),0),"ABAIXO DO MINIMO","OK"))</f>
        <v/>
      </c>
    </row>
    <row r="956">
      <c r="B956">
        <f>IFERROR(VLOOKUP(A956,Cadastro_Produtos!A:B,2,FALSE),"")</f>
        <v/>
      </c>
      <c r="D956" s="12" t="n"/>
      <c r="E956" s="13">
        <f>IF(D956="","",D956-TODAY())</f>
        <v/>
      </c>
      <c r="F956">
        <f>IF(D956="","",IF(E956&lt;0,"VENCIDO",IF(E956&lt;=30,"VENCE EM &lt;= 30 DIAS",IF(E956&lt;=60,"ATENCAO (31-60 DIAS)","OK"))))</f>
        <v/>
      </c>
      <c r="G956" s="13">
        <f>SUMIFS(Movimentacoes!$G:$G,Movimentacoes!$C:$C,$A956,Movimentacoes!$E:$E,$C956,Movimentacoes!$B:$B,"ENTRADA")</f>
        <v/>
      </c>
      <c r="H956" s="13">
        <f>SUMIFS(Movimentacoes!$G:$G,Movimentacoes!$C:$C,$A956,Movimentacoes!$E:$E,$C956,Movimentacoes!$B:$B,"SAIDA_USO")</f>
        <v/>
      </c>
      <c r="I956" s="13">
        <f>SUMIFS(Movimentacoes!$G:$G,Movimentacoes!$C:$C,$A956,Movimentacoes!$E:$E,$C956,Movimentacoes!$B:$B,"SAIDA_DESCARTE")</f>
        <v/>
      </c>
      <c r="J956" s="13">
        <f>G956-H956-I956</f>
        <v/>
      </c>
      <c r="K956">
        <f>IF(A956="","",IF(J956&lt;=IFERROR(VLOOKUP(A956,Cadastro_Produtos!$A:$E,5,FALSE),0),"ABAIXO DO MINIMO","OK"))</f>
        <v/>
      </c>
    </row>
    <row r="957">
      <c r="B957">
        <f>IFERROR(VLOOKUP(A957,Cadastro_Produtos!A:B,2,FALSE),"")</f>
        <v/>
      </c>
      <c r="D957" s="12" t="n"/>
      <c r="E957" s="13">
        <f>IF(D957="","",D957-TODAY())</f>
        <v/>
      </c>
      <c r="F957">
        <f>IF(D957="","",IF(E957&lt;0,"VENCIDO",IF(E957&lt;=30,"VENCE EM &lt;= 30 DIAS",IF(E957&lt;=60,"ATENCAO (31-60 DIAS)","OK"))))</f>
        <v/>
      </c>
      <c r="G957" s="13">
        <f>SUMIFS(Movimentacoes!$G:$G,Movimentacoes!$C:$C,$A957,Movimentacoes!$E:$E,$C957,Movimentacoes!$B:$B,"ENTRADA")</f>
        <v/>
      </c>
      <c r="H957" s="13">
        <f>SUMIFS(Movimentacoes!$G:$G,Movimentacoes!$C:$C,$A957,Movimentacoes!$E:$E,$C957,Movimentacoes!$B:$B,"SAIDA_USO")</f>
        <v/>
      </c>
      <c r="I957" s="13">
        <f>SUMIFS(Movimentacoes!$G:$G,Movimentacoes!$C:$C,$A957,Movimentacoes!$E:$E,$C957,Movimentacoes!$B:$B,"SAIDA_DESCARTE")</f>
        <v/>
      </c>
      <c r="J957" s="13">
        <f>G957-H957-I957</f>
        <v/>
      </c>
      <c r="K957">
        <f>IF(A957="","",IF(J957&lt;=IFERROR(VLOOKUP(A957,Cadastro_Produtos!$A:$E,5,FALSE),0),"ABAIXO DO MINIMO","OK"))</f>
        <v/>
      </c>
    </row>
    <row r="958">
      <c r="B958">
        <f>IFERROR(VLOOKUP(A958,Cadastro_Produtos!A:B,2,FALSE),"")</f>
        <v/>
      </c>
      <c r="D958" s="12" t="n"/>
      <c r="E958" s="13">
        <f>IF(D958="","",D958-TODAY())</f>
        <v/>
      </c>
      <c r="F958">
        <f>IF(D958="","",IF(E958&lt;0,"VENCIDO",IF(E958&lt;=30,"VENCE EM &lt;= 30 DIAS",IF(E958&lt;=60,"ATENCAO (31-60 DIAS)","OK"))))</f>
        <v/>
      </c>
      <c r="G958" s="13">
        <f>SUMIFS(Movimentacoes!$G:$G,Movimentacoes!$C:$C,$A958,Movimentacoes!$E:$E,$C958,Movimentacoes!$B:$B,"ENTRADA")</f>
        <v/>
      </c>
      <c r="H958" s="13">
        <f>SUMIFS(Movimentacoes!$G:$G,Movimentacoes!$C:$C,$A958,Movimentacoes!$E:$E,$C958,Movimentacoes!$B:$B,"SAIDA_USO")</f>
        <v/>
      </c>
      <c r="I958" s="13">
        <f>SUMIFS(Movimentacoes!$G:$G,Movimentacoes!$C:$C,$A958,Movimentacoes!$E:$E,$C958,Movimentacoes!$B:$B,"SAIDA_DESCARTE")</f>
        <v/>
      </c>
      <c r="J958" s="13">
        <f>G958-H958-I958</f>
        <v/>
      </c>
      <c r="K958">
        <f>IF(A958="","",IF(J958&lt;=IFERROR(VLOOKUP(A958,Cadastro_Produtos!$A:$E,5,FALSE),0),"ABAIXO DO MINIMO","OK"))</f>
        <v/>
      </c>
    </row>
    <row r="959">
      <c r="B959">
        <f>IFERROR(VLOOKUP(A959,Cadastro_Produtos!A:B,2,FALSE),"")</f>
        <v/>
      </c>
      <c r="D959" s="12" t="n"/>
      <c r="E959" s="13">
        <f>IF(D959="","",D959-TODAY())</f>
        <v/>
      </c>
      <c r="F959">
        <f>IF(D959="","",IF(E959&lt;0,"VENCIDO",IF(E959&lt;=30,"VENCE EM &lt;= 30 DIAS",IF(E959&lt;=60,"ATENCAO (31-60 DIAS)","OK"))))</f>
        <v/>
      </c>
      <c r="G959" s="13">
        <f>SUMIFS(Movimentacoes!$G:$G,Movimentacoes!$C:$C,$A959,Movimentacoes!$E:$E,$C959,Movimentacoes!$B:$B,"ENTRADA")</f>
        <v/>
      </c>
      <c r="H959" s="13">
        <f>SUMIFS(Movimentacoes!$G:$G,Movimentacoes!$C:$C,$A959,Movimentacoes!$E:$E,$C959,Movimentacoes!$B:$B,"SAIDA_USO")</f>
        <v/>
      </c>
      <c r="I959" s="13">
        <f>SUMIFS(Movimentacoes!$G:$G,Movimentacoes!$C:$C,$A959,Movimentacoes!$E:$E,$C959,Movimentacoes!$B:$B,"SAIDA_DESCARTE")</f>
        <v/>
      </c>
      <c r="J959" s="13">
        <f>G959-H959-I959</f>
        <v/>
      </c>
      <c r="K959">
        <f>IF(A959="","",IF(J959&lt;=IFERROR(VLOOKUP(A959,Cadastro_Produtos!$A:$E,5,FALSE),0),"ABAIXO DO MINIMO","OK"))</f>
        <v/>
      </c>
    </row>
    <row r="960">
      <c r="B960">
        <f>IFERROR(VLOOKUP(A960,Cadastro_Produtos!A:B,2,FALSE),"")</f>
        <v/>
      </c>
      <c r="D960" s="12" t="n"/>
      <c r="E960" s="13">
        <f>IF(D960="","",D960-TODAY())</f>
        <v/>
      </c>
      <c r="F960">
        <f>IF(D960="","",IF(E960&lt;0,"VENCIDO",IF(E960&lt;=30,"VENCE EM &lt;= 30 DIAS",IF(E960&lt;=60,"ATENCAO (31-60 DIAS)","OK"))))</f>
        <v/>
      </c>
      <c r="G960" s="13">
        <f>SUMIFS(Movimentacoes!$G:$G,Movimentacoes!$C:$C,$A960,Movimentacoes!$E:$E,$C960,Movimentacoes!$B:$B,"ENTRADA")</f>
        <v/>
      </c>
      <c r="H960" s="13">
        <f>SUMIFS(Movimentacoes!$G:$G,Movimentacoes!$C:$C,$A960,Movimentacoes!$E:$E,$C960,Movimentacoes!$B:$B,"SAIDA_USO")</f>
        <v/>
      </c>
      <c r="I960" s="13">
        <f>SUMIFS(Movimentacoes!$G:$G,Movimentacoes!$C:$C,$A960,Movimentacoes!$E:$E,$C960,Movimentacoes!$B:$B,"SAIDA_DESCARTE")</f>
        <v/>
      </c>
      <c r="J960" s="13">
        <f>G960-H960-I960</f>
        <v/>
      </c>
      <c r="K960">
        <f>IF(A960="","",IF(J960&lt;=IFERROR(VLOOKUP(A960,Cadastro_Produtos!$A:$E,5,FALSE),0),"ABAIXO DO MINIMO","OK"))</f>
        <v/>
      </c>
    </row>
    <row r="961">
      <c r="B961">
        <f>IFERROR(VLOOKUP(A961,Cadastro_Produtos!A:B,2,FALSE),"")</f>
        <v/>
      </c>
      <c r="D961" s="12" t="n"/>
      <c r="E961" s="13">
        <f>IF(D961="","",D961-TODAY())</f>
        <v/>
      </c>
      <c r="F961">
        <f>IF(D961="","",IF(E961&lt;0,"VENCIDO",IF(E961&lt;=30,"VENCE EM &lt;= 30 DIAS",IF(E961&lt;=60,"ATENCAO (31-60 DIAS)","OK"))))</f>
        <v/>
      </c>
      <c r="G961" s="13">
        <f>SUMIFS(Movimentacoes!$G:$G,Movimentacoes!$C:$C,$A961,Movimentacoes!$E:$E,$C961,Movimentacoes!$B:$B,"ENTRADA")</f>
        <v/>
      </c>
      <c r="H961" s="13">
        <f>SUMIFS(Movimentacoes!$G:$G,Movimentacoes!$C:$C,$A961,Movimentacoes!$E:$E,$C961,Movimentacoes!$B:$B,"SAIDA_USO")</f>
        <v/>
      </c>
      <c r="I961" s="13">
        <f>SUMIFS(Movimentacoes!$G:$G,Movimentacoes!$C:$C,$A961,Movimentacoes!$E:$E,$C961,Movimentacoes!$B:$B,"SAIDA_DESCARTE")</f>
        <v/>
      </c>
      <c r="J961" s="13">
        <f>G961-H961-I961</f>
        <v/>
      </c>
      <c r="K961">
        <f>IF(A961="","",IF(J961&lt;=IFERROR(VLOOKUP(A961,Cadastro_Produtos!$A:$E,5,FALSE),0),"ABAIXO DO MINIMO","OK"))</f>
        <v/>
      </c>
    </row>
    <row r="962">
      <c r="B962">
        <f>IFERROR(VLOOKUP(A962,Cadastro_Produtos!A:B,2,FALSE),"")</f>
        <v/>
      </c>
      <c r="D962" s="12" t="n"/>
      <c r="E962" s="13">
        <f>IF(D962="","",D962-TODAY())</f>
        <v/>
      </c>
      <c r="F962">
        <f>IF(D962="","",IF(E962&lt;0,"VENCIDO",IF(E962&lt;=30,"VENCE EM &lt;= 30 DIAS",IF(E962&lt;=60,"ATENCAO (31-60 DIAS)","OK"))))</f>
        <v/>
      </c>
      <c r="G962" s="13">
        <f>SUMIFS(Movimentacoes!$G:$G,Movimentacoes!$C:$C,$A962,Movimentacoes!$E:$E,$C962,Movimentacoes!$B:$B,"ENTRADA")</f>
        <v/>
      </c>
      <c r="H962" s="13">
        <f>SUMIFS(Movimentacoes!$G:$G,Movimentacoes!$C:$C,$A962,Movimentacoes!$E:$E,$C962,Movimentacoes!$B:$B,"SAIDA_USO")</f>
        <v/>
      </c>
      <c r="I962" s="13">
        <f>SUMIFS(Movimentacoes!$G:$G,Movimentacoes!$C:$C,$A962,Movimentacoes!$E:$E,$C962,Movimentacoes!$B:$B,"SAIDA_DESCARTE")</f>
        <v/>
      </c>
      <c r="J962" s="13">
        <f>G962-H962-I962</f>
        <v/>
      </c>
      <c r="K962">
        <f>IF(A962="","",IF(J962&lt;=IFERROR(VLOOKUP(A962,Cadastro_Produtos!$A:$E,5,FALSE),0),"ABAIXO DO MINIMO","OK"))</f>
        <v/>
      </c>
    </row>
    <row r="963">
      <c r="B963">
        <f>IFERROR(VLOOKUP(A963,Cadastro_Produtos!A:B,2,FALSE),"")</f>
        <v/>
      </c>
      <c r="D963" s="12" t="n"/>
      <c r="E963" s="13">
        <f>IF(D963="","",D963-TODAY())</f>
        <v/>
      </c>
      <c r="F963">
        <f>IF(D963="","",IF(E963&lt;0,"VENCIDO",IF(E963&lt;=30,"VENCE EM &lt;= 30 DIAS",IF(E963&lt;=60,"ATENCAO (31-60 DIAS)","OK"))))</f>
        <v/>
      </c>
      <c r="G963" s="13">
        <f>SUMIFS(Movimentacoes!$G:$G,Movimentacoes!$C:$C,$A963,Movimentacoes!$E:$E,$C963,Movimentacoes!$B:$B,"ENTRADA")</f>
        <v/>
      </c>
      <c r="H963" s="13">
        <f>SUMIFS(Movimentacoes!$G:$G,Movimentacoes!$C:$C,$A963,Movimentacoes!$E:$E,$C963,Movimentacoes!$B:$B,"SAIDA_USO")</f>
        <v/>
      </c>
      <c r="I963" s="13">
        <f>SUMIFS(Movimentacoes!$G:$G,Movimentacoes!$C:$C,$A963,Movimentacoes!$E:$E,$C963,Movimentacoes!$B:$B,"SAIDA_DESCARTE")</f>
        <v/>
      </c>
      <c r="J963" s="13">
        <f>G963-H963-I963</f>
        <v/>
      </c>
      <c r="K963">
        <f>IF(A963="","",IF(J963&lt;=IFERROR(VLOOKUP(A963,Cadastro_Produtos!$A:$E,5,FALSE),0),"ABAIXO DO MINIMO","OK"))</f>
        <v/>
      </c>
    </row>
    <row r="964">
      <c r="B964">
        <f>IFERROR(VLOOKUP(A964,Cadastro_Produtos!A:B,2,FALSE),"")</f>
        <v/>
      </c>
      <c r="D964" s="12" t="n"/>
      <c r="E964" s="13">
        <f>IF(D964="","",D964-TODAY())</f>
        <v/>
      </c>
      <c r="F964">
        <f>IF(D964="","",IF(E964&lt;0,"VENCIDO",IF(E964&lt;=30,"VENCE EM &lt;= 30 DIAS",IF(E964&lt;=60,"ATENCAO (31-60 DIAS)","OK"))))</f>
        <v/>
      </c>
      <c r="G964" s="13">
        <f>SUMIFS(Movimentacoes!$G:$G,Movimentacoes!$C:$C,$A964,Movimentacoes!$E:$E,$C964,Movimentacoes!$B:$B,"ENTRADA")</f>
        <v/>
      </c>
      <c r="H964" s="13">
        <f>SUMIFS(Movimentacoes!$G:$G,Movimentacoes!$C:$C,$A964,Movimentacoes!$E:$E,$C964,Movimentacoes!$B:$B,"SAIDA_USO")</f>
        <v/>
      </c>
      <c r="I964" s="13">
        <f>SUMIFS(Movimentacoes!$G:$G,Movimentacoes!$C:$C,$A964,Movimentacoes!$E:$E,$C964,Movimentacoes!$B:$B,"SAIDA_DESCARTE")</f>
        <v/>
      </c>
      <c r="J964" s="13">
        <f>G964-H964-I964</f>
        <v/>
      </c>
      <c r="K964">
        <f>IF(A964="","",IF(J964&lt;=IFERROR(VLOOKUP(A964,Cadastro_Produtos!$A:$E,5,FALSE),0),"ABAIXO DO MINIMO","OK"))</f>
        <v/>
      </c>
    </row>
    <row r="965">
      <c r="B965">
        <f>IFERROR(VLOOKUP(A965,Cadastro_Produtos!A:B,2,FALSE),"")</f>
        <v/>
      </c>
      <c r="D965" s="12" t="n"/>
      <c r="E965" s="13">
        <f>IF(D965="","",D965-TODAY())</f>
        <v/>
      </c>
      <c r="F965">
        <f>IF(D965="","",IF(E965&lt;0,"VENCIDO",IF(E965&lt;=30,"VENCE EM &lt;= 30 DIAS",IF(E965&lt;=60,"ATENCAO (31-60 DIAS)","OK"))))</f>
        <v/>
      </c>
      <c r="G965" s="13">
        <f>SUMIFS(Movimentacoes!$G:$G,Movimentacoes!$C:$C,$A965,Movimentacoes!$E:$E,$C965,Movimentacoes!$B:$B,"ENTRADA")</f>
        <v/>
      </c>
      <c r="H965" s="13">
        <f>SUMIFS(Movimentacoes!$G:$G,Movimentacoes!$C:$C,$A965,Movimentacoes!$E:$E,$C965,Movimentacoes!$B:$B,"SAIDA_USO")</f>
        <v/>
      </c>
      <c r="I965" s="13">
        <f>SUMIFS(Movimentacoes!$G:$G,Movimentacoes!$C:$C,$A965,Movimentacoes!$E:$E,$C965,Movimentacoes!$B:$B,"SAIDA_DESCARTE")</f>
        <v/>
      </c>
      <c r="J965" s="13">
        <f>G965-H965-I965</f>
        <v/>
      </c>
      <c r="K965">
        <f>IF(A965="","",IF(J965&lt;=IFERROR(VLOOKUP(A965,Cadastro_Produtos!$A:$E,5,FALSE),0),"ABAIXO DO MINIMO","OK"))</f>
        <v/>
      </c>
    </row>
    <row r="966">
      <c r="B966">
        <f>IFERROR(VLOOKUP(A966,Cadastro_Produtos!A:B,2,FALSE),"")</f>
        <v/>
      </c>
      <c r="D966" s="12" t="n"/>
      <c r="E966" s="13">
        <f>IF(D966="","",D966-TODAY())</f>
        <v/>
      </c>
      <c r="F966">
        <f>IF(D966="","",IF(E966&lt;0,"VENCIDO",IF(E966&lt;=30,"VENCE EM &lt;= 30 DIAS",IF(E966&lt;=60,"ATENCAO (31-60 DIAS)","OK"))))</f>
        <v/>
      </c>
      <c r="G966" s="13">
        <f>SUMIFS(Movimentacoes!$G:$G,Movimentacoes!$C:$C,$A966,Movimentacoes!$E:$E,$C966,Movimentacoes!$B:$B,"ENTRADA")</f>
        <v/>
      </c>
      <c r="H966" s="13">
        <f>SUMIFS(Movimentacoes!$G:$G,Movimentacoes!$C:$C,$A966,Movimentacoes!$E:$E,$C966,Movimentacoes!$B:$B,"SAIDA_USO")</f>
        <v/>
      </c>
      <c r="I966" s="13">
        <f>SUMIFS(Movimentacoes!$G:$G,Movimentacoes!$C:$C,$A966,Movimentacoes!$E:$E,$C966,Movimentacoes!$B:$B,"SAIDA_DESCARTE")</f>
        <v/>
      </c>
      <c r="J966" s="13">
        <f>G966-H966-I966</f>
        <v/>
      </c>
      <c r="K966">
        <f>IF(A966="","",IF(J966&lt;=IFERROR(VLOOKUP(A966,Cadastro_Produtos!$A:$E,5,FALSE),0),"ABAIXO DO MINIMO","OK"))</f>
        <v/>
      </c>
    </row>
    <row r="967">
      <c r="B967">
        <f>IFERROR(VLOOKUP(A967,Cadastro_Produtos!A:B,2,FALSE),"")</f>
        <v/>
      </c>
      <c r="D967" s="12" t="n"/>
      <c r="E967" s="13">
        <f>IF(D967="","",D967-TODAY())</f>
        <v/>
      </c>
      <c r="F967">
        <f>IF(D967="","",IF(E967&lt;0,"VENCIDO",IF(E967&lt;=30,"VENCE EM &lt;= 30 DIAS",IF(E967&lt;=60,"ATENCAO (31-60 DIAS)","OK"))))</f>
        <v/>
      </c>
      <c r="G967" s="13">
        <f>SUMIFS(Movimentacoes!$G:$G,Movimentacoes!$C:$C,$A967,Movimentacoes!$E:$E,$C967,Movimentacoes!$B:$B,"ENTRADA")</f>
        <v/>
      </c>
      <c r="H967" s="13">
        <f>SUMIFS(Movimentacoes!$G:$G,Movimentacoes!$C:$C,$A967,Movimentacoes!$E:$E,$C967,Movimentacoes!$B:$B,"SAIDA_USO")</f>
        <v/>
      </c>
      <c r="I967" s="13">
        <f>SUMIFS(Movimentacoes!$G:$G,Movimentacoes!$C:$C,$A967,Movimentacoes!$E:$E,$C967,Movimentacoes!$B:$B,"SAIDA_DESCARTE")</f>
        <v/>
      </c>
      <c r="J967" s="13">
        <f>G967-H967-I967</f>
        <v/>
      </c>
      <c r="K967">
        <f>IF(A967="","",IF(J967&lt;=IFERROR(VLOOKUP(A967,Cadastro_Produtos!$A:$E,5,FALSE),0),"ABAIXO DO MINIMO","OK"))</f>
        <v/>
      </c>
    </row>
    <row r="968">
      <c r="B968">
        <f>IFERROR(VLOOKUP(A968,Cadastro_Produtos!A:B,2,FALSE),"")</f>
        <v/>
      </c>
      <c r="D968" s="12" t="n"/>
      <c r="E968" s="13">
        <f>IF(D968="","",D968-TODAY())</f>
        <v/>
      </c>
      <c r="F968">
        <f>IF(D968="","",IF(E968&lt;0,"VENCIDO",IF(E968&lt;=30,"VENCE EM &lt;= 30 DIAS",IF(E968&lt;=60,"ATENCAO (31-60 DIAS)","OK"))))</f>
        <v/>
      </c>
      <c r="G968" s="13">
        <f>SUMIFS(Movimentacoes!$G:$G,Movimentacoes!$C:$C,$A968,Movimentacoes!$E:$E,$C968,Movimentacoes!$B:$B,"ENTRADA")</f>
        <v/>
      </c>
      <c r="H968" s="13">
        <f>SUMIFS(Movimentacoes!$G:$G,Movimentacoes!$C:$C,$A968,Movimentacoes!$E:$E,$C968,Movimentacoes!$B:$B,"SAIDA_USO")</f>
        <v/>
      </c>
      <c r="I968" s="13">
        <f>SUMIFS(Movimentacoes!$G:$G,Movimentacoes!$C:$C,$A968,Movimentacoes!$E:$E,$C968,Movimentacoes!$B:$B,"SAIDA_DESCARTE")</f>
        <v/>
      </c>
      <c r="J968" s="13">
        <f>G968-H968-I968</f>
        <v/>
      </c>
      <c r="K968">
        <f>IF(A968="","",IF(J968&lt;=IFERROR(VLOOKUP(A968,Cadastro_Produtos!$A:$E,5,FALSE),0),"ABAIXO DO MINIMO","OK"))</f>
        <v/>
      </c>
    </row>
    <row r="969">
      <c r="B969">
        <f>IFERROR(VLOOKUP(A969,Cadastro_Produtos!A:B,2,FALSE),"")</f>
        <v/>
      </c>
      <c r="D969" s="12" t="n"/>
      <c r="E969" s="13">
        <f>IF(D969="","",D969-TODAY())</f>
        <v/>
      </c>
      <c r="F969">
        <f>IF(D969="","",IF(E969&lt;0,"VENCIDO",IF(E969&lt;=30,"VENCE EM &lt;= 30 DIAS",IF(E969&lt;=60,"ATENCAO (31-60 DIAS)","OK"))))</f>
        <v/>
      </c>
      <c r="G969" s="13">
        <f>SUMIFS(Movimentacoes!$G:$G,Movimentacoes!$C:$C,$A969,Movimentacoes!$E:$E,$C969,Movimentacoes!$B:$B,"ENTRADA")</f>
        <v/>
      </c>
      <c r="H969" s="13">
        <f>SUMIFS(Movimentacoes!$G:$G,Movimentacoes!$C:$C,$A969,Movimentacoes!$E:$E,$C969,Movimentacoes!$B:$B,"SAIDA_USO")</f>
        <v/>
      </c>
      <c r="I969" s="13">
        <f>SUMIFS(Movimentacoes!$G:$G,Movimentacoes!$C:$C,$A969,Movimentacoes!$E:$E,$C969,Movimentacoes!$B:$B,"SAIDA_DESCARTE")</f>
        <v/>
      </c>
      <c r="J969" s="13">
        <f>G969-H969-I969</f>
        <v/>
      </c>
      <c r="K969">
        <f>IF(A969="","",IF(J969&lt;=IFERROR(VLOOKUP(A969,Cadastro_Produtos!$A:$E,5,FALSE),0),"ABAIXO DO MINIMO","OK"))</f>
        <v/>
      </c>
    </row>
    <row r="970">
      <c r="B970">
        <f>IFERROR(VLOOKUP(A970,Cadastro_Produtos!A:B,2,FALSE),"")</f>
        <v/>
      </c>
      <c r="D970" s="12" t="n"/>
      <c r="E970" s="13">
        <f>IF(D970="","",D970-TODAY())</f>
        <v/>
      </c>
      <c r="F970">
        <f>IF(D970="","",IF(E970&lt;0,"VENCIDO",IF(E970&lt;=30,"VENCE EM &lt;= 30 DIAS",IF(E970&lt;=60,"ATENCAO (31-60 DIAS)","OK"))))</f>
        <v/>
      </c>
      <c r="G970" s="13">
        <f>SUMIFS(Movimentacoes!$G:$G,Movimentacoes!$C:$C,$A970,Movimentacoes!$E:$E,$C970,Movimentacoes!$B:$B,"ENTRADA")</f>
        <v/>
      </c>
      <c r="H970" s="13">
        <f>SUMIFS(Movimentacoes!$G:$G,Movimentacoes!$C:$C,$A970,Movimentacoes!$E:$E,$C970,Movimentacoes!$B:$B,"SAIDA_USO")</f>
        <v/>
      </c>
      <c r="I970" s="13">
        <f>SUMIFS(Movimentacoes!$G:$G,Movimentacoes!$C:$C,$A970,Movimentacoes!$E:$E,$C970,Movimentacoes!$B:$B,"SAIDA_DESCARTE")</f>
        <v/>
      </c>
      <c r="J970" s="13">
        <f>G970-H970-I970</f>
        <v/>
      </c>
      <c r="K970">
        <f>IF(A970="","",IF(J970&lt;=IFERROR(VLOOKUP(A970,Cadastro_Produtos!$A:$E,5,FALSE),0),"ABAIXO DO MINIMO","OK"))</f>
        <v/>
      </c>
    </row>
    <row r="971">
      <c r="B971">
        <f>IFERROR(VLOOKUP(A971,Cadastro_Produtos!A:B,2,FALSE),"")</f>
        <v/>
      </c>
      <c r="D971" s="12" t="n"/>
      <c r="E971" s="13">
        <f>IF(D971="","",D971-TODAY())</f>
        <v/>
      </c>
      <c r="F971">
        <f>IF(D971="","",IF(E971&lt;0,"VENCIDO",IF(E971&lt;=30,"VENCE EM &lt;= 30 DIAS",IF(E971&lt;=60,"ATENCAO (31-60 DIAS)","OK"))))</f>
        <v/>
      </c>
      <c r="G971" s="13">
        <f>SUMIFS(Movimentacoes!$G:$G,Movimentacoes!$C:$C,$A971,Movimentacoes!$E:$E,$C971,Movimentacoes!$B:$B,"ENTRADA")</f>
        <v/>
      </c>
      <c r="H971" s="13">
        <f>SUMIFS(Movimentacoes!$G:$G,Movimentacoes!$C:$C,$A971,Movimentacoes!$E:$E,$C971,Movimentacoes!$B:$B,"SAIDA_USO")</f>
        <v/>
      </c>
      <c r="I971" s="13">
        <f>SUMIFS(Movimentacoes!$G:$G,Movimentacoes!$C:$C,$A971,Movimentacoes!$E:$E,$C971,Movimentacoes!$B:$B,"SAIDA_DESCARTE")</f>
        <v/>
      </c>
      <c r="J971" s="13">
        <f>G971-H971-I971</f>
        <v/>
      </c>
      <c r="K971">
        <f>IF(A971="","",IF(J971&lt;=IFERROR(VLOOKUP(A971,Cadastro_Produtos!$A:$E,5,FALSE),0),"ABAIXO DO MINIMO","OK"))</f>
        <v/>
      </c>
    </row>
    <row r="972">
      <c r="B972">
        <f>IFERROR(VLOOKUP(A972,Cadastro_Produtos!A:B,2,FALSE),"")</f>
        <v/>
      </c>
      <c r="D972" s="12" t="n"/>
      <c r="E972" s="13">
        <f>IF(D972="","",D972-TODAY())</f>
        <v/>
      </c>
      <c r="F972">
        <f>IF(D972="","",IF(E972&lt;0,"VENCIDO",IF(E972&lt;=30,"VENCE EM &lt;= 30 DIAS",IF(E972&lt;=60,"ATENCAO (31-60 DIAS)","OK"))))</f>
        <v/>
      </c>
      <c r="G972" s="13">
        <f>SUMIFS(Movimentacoes!$G:$G,Movimentacoes!$C:$C,$A972,Movimentacoes!$E:$E,$C972,Movimentacoes!$B:$B,"ENTRADA")</f>
        <v/>
      </c>
      <c r="H972" s="13">
        <f>SUMIFS(Movimentacoes!$G:$G,Movimentacoes!$C:$C,$A972,Movimentacoes!$E:$E,$C972,Movimentacoes!$B:$B,"SAIDA_USO")</f>
        <v/>
      </c>
      <c r="I972" s="13">
        <f>SUMIFS(Movimentacoes!$G:$G,Movimentacoes!$C:$C,$A972,Movimentacoes!$E:$E,$C972,Movimentacoes!$B:$B,"SAIDA_DESCARTE")</f>
        <v/>
      </c>
      <c r="J972" s="13">
        <f>G972-H972-I972</f>
        <v/>
      </c>
      <c r="K972">
        <f>IF(A972="","",IF(J972&lt;=IFERROR(VLOOKUP(A972,Cadastro_Produtos!$A:$E,5,FALSE),0),"ABAIXO DO MINIMO","OK"))</f>
        <v/>
      </c>
    </row>
    <row r="973">
      <c r="B973">
        <f>IFERROR(VLOOKUP(A973,Cadastro_Produtos!A:B,2,FALSE),"")</f>
        <v/>
      </c>
      <c r="D973" s="12" t="n"/>
      <c r="E973" s="13">
        <f>IF(D973="","",D973-TODAY())</f>
        <v/>
      </c>
      <c r="F973">
        <f>IF(D973="","",IF(E973&lt;0,"VENCIDO",IF(E973&lt;=30,"VENCE EM &lt;= 30 DIAS",IF(E973&lt;=60,"ATENCAO (31-60 DIAS)","OK"))))</f>
        <v/>
      </c>
      <c r="G973" s="13">
        <f>SUMIFS(Movimentacoes!$G:$G,Movimentacoes!$C:$C,$A973,Movimentacoes!$E:$E,$C973,Movimentacoes!$B:$B,"ENTRADA")</f>
        <v/>
      </c>
      <c r="H973" s="13">
        <f>SUMIFS(Movimentacoes!$G:$G,Movimentacoes!$C:$C,$A973,Movimentacoes!$E:$E,$C973,Movimentacoes!$B:$B,"SAIDA_USO")</f>
        <v/>
      </c>
      <c r="I973" s="13">
        <f>SUMIFS(Movimentacoes!$G:$G,Movimentacoes!$C:$C,$A973,Movimentacoes!$E:$E,$C973,Movimentacoes!$B:$B,"SAIDA_DESCARTE")</f>
        <v/>
      </c>
      <c r="J973" s="13">
        <f>G973-H973-I973</f>
        <v/>
      </c>
      <c r="K973">
        <f>IF(A973="","",IF(J973&lt;=IFERROR(VLOOKUP(A973,Cadastro_Produtos!$A:$E,5,FALSE),0),"ABAIXO DO MINIMO","OK"))</f>
        <v/>
      </c>
    </row>
    <row r="974">
      <c r="B974">
        <f>IFERROR(VLOOKUP(A974,Cadastro_Produtos!A:B,2,FALSE),"")</f>
        <v/>
      </c>
      <c r="D974" s="12" t="n"/>
      <c r="E974" s="13">
        <f>IF(D974="","",D974-TODAY())</f>
        <v/>
      </c>
      <c r="F974">
        <f>IF(D974="","",IF(E974&lt;0,"VENCIDO",IF(E974&lt;=30,"VENCE EM &lt;= 30 DIAS",IF(E974&lt;=60,"ATENCAO (31-60 DIAS)","OK"))))</f>
        <v/>
      </c>
      <c r="G974" s="13">
        <f>SUMIFS(Movimentacoes!$G:$G,Movimentacoes!$C:$C,$A974,Movimentacoes!$E:$E,$C974,Movimentacoes!$B:$B,"ENTRADA")</f>
        <v/>
      </c>
      <c r="H974" s="13">
        <f>SUMIFS(Movimentacoes!$G:$G,Movimentacoes!$C:$C,$A974,Movimentacoes!$E:$E,$C974,Movimentacoes!$B:$B,"SAIDA_USO")</f>
        <v/>
      </c>
      <c r="I974" s="13">
        <f>SUMIFS(Movimentacoes!$G:$G,Movimentacoes!$C:$C,$A974,Movimentacoes!$E:$E,$C974,Movimentacoes!$B:$B,"SAIDA_DESCARTE")</f>
        <v/>
      </c>
      <c r="J974" s="13">
        <f>G974-H974-I974</f>
        <v/>
      </c>
      <c r="K974">
        <f>IF(A974="","",IF(J974&lt;=IFERROR(VLOOKUP(A974,Cadastro_Produtos!$A:$E,5,FALSE),0),"ABAIXO DO MINIMO","OK"))</f>
        <v/>
      </c>
    </row>
    <row r="975">
      <c r="B975">
        <f>IFERROR(VLOOKUP(A975,Cadastro_Produtos!A:B,2,FALSE),"")</f>
        <v/>
      </c>
      <c r="D975" s="12" t="n"/>
      <c r="E975" s="13">
        <f>IF(D975="","",D975-TODAY())</f>
        <v/>
      </c>
      <c r="F975">
        <f>IF(D975="","",IF(E975&lt;0,"VENCIDO",IF(E975&lt;=30,"VENCE EM &lt;= 30 DIAS",IF(E975&lt;=60,"ATENCAO (31-60 DIAS)","OK"))))</f>
        <v/>
      </c>
      <c r="G975" s="13">
        <f>SUMIFS(Movimentacoes!$G:$G,Movimentacoes!$C:$C,$A975,Movimentacoes!$E:$E,$C975,Movimentacoes!$B:$B,"ENTRADA")</f>
        <v/>
      </c>
      <c r="H975" s="13">
        <f>SUMIFS(Movimentacoes!$G:$G,Movimentacoes!$C:$C,$A975,Movimentacoes!$E:$E,$C975,Movimentacoes!$B:$B,"SAIDA_USO")</f>
        <v/>
      </c>
      <c r="I975" s="13">
        <f>SUMIFS(Movimentacoes!$G:$G,Movimentacoes!$C:$C,$A975,Movimentacoes!$E:$E,$C975,Movimentacoes!$B:$B,"SAIDA_DESCARTE")</f>
        <v/>
      </c>
      <c r="J975" s="13">
        <f>G975-H975-I975</f>
        <v/>
      </c>
      <c r="K975">
        <f>IF(A975="","",IF(J975&lt;=IFERROR(VLOOKUP(A975,Cadastro_Produtos!$A:$E,5,FALSE),0),"ABAIXO DO MINIMO","OK"))</f>
        <v/>
      </c>
    </row>
    <row r="976">
      <c r="B976">
        <f>IFERROR(VLOOKUP(A976,Cadastro_Produtos!A:B,2,FALSE),"")</f>
        <v/>
      </c>
      <c r="D976" s="12" t="n"/>
      <c r="E976" s="13">
        <f>IF(D976="","",D976-TODAY())</f>
        <v/>
      </c>
      <c r="F976">
        <f>IF(D976="","",IF(E976&lt;0,"VENCIDO",IF(E976&lt;=30,"VENCE EM &lt;= 30 DIAS",IF(E976&lt;=60,"ATENCAO (31-60 DIAS)","OK"))))</f>
        <v/>
      </c>
      <c r="G976" s="13">
        <f>SUMIFS(Movimentacoes!$G:$G,Movimentacoes!$C:$C,$A976,Movimentacoes!$E:$E,$C976,Movimentacoes!$B:$B,"ENTRADA")</f>
        <v/>
      </c>
      <c r="H976" s="13">
        <f>SUMIFS(Movimentacoes!$G:$G,Movimentacoes!$C:$C,$A976,Movimentacoes!$E:$E,$C976,Movimentacoes!$B:$B,"SAIDA_USO")</f>
        <v/>
      </c>
      <c r="I976" s="13">
        <f>SUMIFS(Movimentacoes!$G:$G,Movimentacoes!$C:$C,$A976,Movimentacoes!$E:$E,$C976,Movimentacoes!$B:$B,"SAIDA_DESCARTE")</f>
        <v/>
      </c>
      <c r="J976" s="13">
        <f>G976-H976-I976</f>
        <v/>
      </c>
      <c r="K976">
        <f>IF(A976="","",IF(J976&lt;=IFERROR(VLOOKUP(A976,Cadastro_Produtos!$A:$E,5,FALSE),0),"ABAIXO DO MINIMO","OK"))</f>
        <v/>
      </c>
    </row>
    <row r="977">
      <c r="B977">
        <f>IFERROR(VLOOKUP(A977,Cadastro_Produtos!A:B,2,FALSE),"")</f>
        <v/>
      </c>
      <c r="D977" s="12" t="n"/>
      <c r="E977" s="13">
        <f>IF(D977="","",D977-TODAY())</f>
        <v/>
      </c>
      <c r="F977">
        <f>IF(D977="","",IF(E977&lt;0,"VENCIDO",IF(E977&lt;=30,"VENCE EM &lt;= 30 DIAS",IF(E977&lt;=60,"ATENCAO (31-60 DIAS)","OK"))))</f>
        <v/>
      </c>
      <c r="G977" s="13">
        <f>SUMIFS(Movimentacoes!$G:$G,Movimentacoes!$C:$C,$A977,Movimentacoes!$E:$E,$C977,Movimentacoes!$B:$B,"ENTRADA")</f>
        <v/>
      </c>
      <c r="H977" s="13">
        <f>SUMIFS(Movimentacoes!$G:$G,Movimentacoes!$C:$C,$A977,Movimentacoes!$E:$E,$C977,Movimentacoes!$B:$B,"SAIDA_USO")</f>
        <v/>
      </c>
      <c r="I977" s="13">
        <f>SUMIFS(Movimentacoes!$G:$G,Movimentacoes!$C:$C,$A977,Movimentacoes!$E:$E,$C977,Movimentacoes!$B:$B,"SAIDA_DESCARTE")</f>
        <v/>
      </c>
      <c r="J977" s="13">
        <f>G977-H977-I977</f>
        <v/>
      </c>
      <c r="K977">
        <f>IF(A977="","",IF(J977&lt;=IFERROR(VLOOKUP(A977,Cadastro_Produtos!$A:$E,5,FALSE),0),"ABAIXO DO MINIMO","OK"))</f>
        <v/>
      </c>
    </row>
    <row r="978">
      <c r="B978">
        <f>IFERROR(VLOOKUP(A978,Cadastro_Produtos!A:B,2,FALSE),"")</f>
        <v/>
      </c>
      <c r="D978" s="12" t="n"/>
      <c r="E978" s="13">
        <f>IF(D978="","",D978-TODAY())</f>
        <v/>
      </c>
      <c r="F978">
        <f>IF(D978="","",IF(E978&lt;0,"VENCIDO",IF(E978&lt;=30,"VENCE EM &lt;= 30 DIAS",IF(E978&lt;=60,"ATENCAO (31-60 DIAS)","OK"))))</f>
        <v/>
      </c>
      <c r="G978" s="13">
        <f>SUMIFS(Movimentacoes!$G:$G,Movimentacoes!$C:$C,$A978,Movimentacoes!$E:$E,$C978,Movimentacoes!$B:$B,"ENTRADA")</f>
        <v/>
      </c>
      <c r="H978" s="13">
        <f>SUMIFS(Movimentacoes!$G:$G,Movimentacoes!$C:$C,$A978,Movimentacoes!$E:$E,$C978,Movimentacoes!$B:$B,"SAIDA_USO")</f>
        <v/>
      </c>
      <c r="I978" s="13">
        <f>SUMIFS(Movimentacoes!$G:$G,Movimentacoes!$C:$C,$A978,Movimentacoes!$E:$E,$C978,Movimentacoes!$B:$B,"SAIDA_DESCARTE")</f>
        <v/>
      </c>
      <c r="J978" s="13">
        <f>G978-H978-I978</f>
        <v/>
      </c>
      <c r="K978">
        <f>IF(A978="","",IF(J978&lt;=IFERROR(VLOOKUP(A978,Cadastro_Produtos!$A:$E,5,FALSE),0),"ABAIXO DO MINIMO","OK"))</f>
        <v/>
      </c>
    </row>
    <row r="979">
      <c r="B979">
        <f>IFERROR(VLOOKUP(A979,Cadastro_Produtos!A:B,2,FALSE),"")</f>
        <v/>
      </c>
      <c r="D979" s="12" t="n"/>
      <c r="E979" s="13">
        <f>IF(D979="","",D979-TODAY())</f>
        <v/>
      </c>
      <c r="F979">
        <f>IF(D979="","",IF(E979&lt;0,"VENCIDO",IF(E979&lt;=30,"VENCE EM &lt;= 30 DIAS",IF(E979&lt;=60,"ATENCAO (31-60 DIAS)","OK"))))</f>
        <v/>
      </c>
      <c r="G979" s="13">
        <f>SUMIFS(Movimentacoes!$G:$G,Movimentacoes!$C:$C,$A979,Movimentacoes!$E:$E,$C979,Movimentacoes!$B:$B,"ENTRADA")</f>
        <v/>
      </c>
      <c r="H979" s="13">
        <f>SUMIFS(Movimentacoes!$G:$G,Movimentacoes!$C:$C,$A979,Movimentacoes!$E:$E,$C979,Movimentacoes!$B:$B,"SAIDA_USO")</f>
        <v/>
      </c>
      <c r="I979" s="13">
        <f>SUMIFS(Movimentacoes!$G:$G,Movimentacoes!$C:$C,$A979,Movimentacoes!$E:$E,$C979,Movimentacoes!$B:$B,"SAIDA_DESCARTE")</f>
        <v/>
      </c>
      <c r="J979" s="13">
        <f>G979-H979-I979</f>
        <v/>
      </c>
      <c r="K979">
        <f>IF(A979="","",IF(J979&lt;=IFERROR(VLOOKUP(A979,Cadastro_Produtos!$A:$E,5,FALSE),0),"ABAIXO DO MINIMO","OK"))</f>
        <v/>
      </c>
    </row>
    <row r="980">
      <c r="B980">
        <f>IFERROR(VLOOKUP(A980,Cadastro_Produtos!A:B,2,FALSE),"")</f>
        <v/>
      </c>
      <c r="D980" s="12" t="n"/>
      <c r="E980" s="13">
        <f>IF(D980="","",D980-TODAY())</f>
        <v/>
      </c>
      <c r="F980">
        <f>IF(D980="","",IF(E980&lt;0,"VENCIDO",IF(E980&lt;=30,"VENCE EM &lt;= 30 DIAS",IF(E980&lt;=60,"ATENCAO (31-60 DIAS)","OK"))))</f>
        <v/>
      </c>
      <c r="G980" s="13">
        <f>SUMIFS(Movimentacoes!$G:$G,Movimentacoes!$C:$C,$A980,Movimentacoes!$E:$E,$C980,Movimentacoes!$B:$B,"ENTRADA")</f>
        <v/>
      </c>
      <c r="H980" s="13">
        <f>SUMIFS(Movimentacoes!$G:$G,Movimentacoes!$C:$C,$A980,Movimentacoes!$E:$E,$C980,Movimentacoes!$B:$B,"SAIDA_USO")</f>
        <v/>
      </c>
      <c r="I980" s="13">
        <f>SUMIFS(Movimentacoes!$G:$G,Movimentacoes!$C:$C,$A980,Movimentacoes!$E:$E,$C980,Movimentacoes!$B:$B,"SAIDA_DESCARTE")</f>
        <v/>
      </c>
      <c r="J980" s="13">
        <f>G980-H980-I980</f>
        <v/>
      </c>
      <c r="K980">
        <f>IF(A980="","",IF(J980&lt;=IFERROR(VLOOKUP(A980,Cadastro_Produtos!$A:$E,5,FALSE),0),"ABAIXO DO MINIMO","OK"))</f>
        <v/>
      </c>
    </row>
    <row r="981">
      <c r="B981">
        <f>IFERROR(VLOOKUP(A981,Cadastro_Produtos!A:B,2,FALSE),"")</f>
        <v/>
      </c>
      <c r="D981" s="12" t="n"/>
      <c r="E981" s="13">
        <f>IF(D981="","",D981-TODAY())</f>
        <v/>
      </c>
      <c r="F981">
        <f>IF(D981="","",IF(E981&lt;0,"VENCIDO",IF(E981&lt;=30,"VENCE EM &lt;= 30 DIAS",IF(E981&lt;=60,"ATENCAO (31-60 DIAS)","OK"))))</f>
        <v/>
      </c>
      <c r="G981" s="13">
        <f>SUMIFS(Movimentacoes!$G:$G,Movimentacoes!$C:$C,$A981,Movimentacoes!$E:$E,$C981,Movimentacoes!$B:$B,"ENTRADA")</f>
        <v/>
      </c>
      <c r="H981" s="13">
        <f>SUMIFS(Movimentacoes!$G:$G,Movimentacoes!$C:$C,$A981,Movimentacoes!$E:$E,$C981,Movimentacoes!$B:$B,"SAIDA_USO")</f>
        <v/>
      </c>
      <c r="I981" s="13">
        <f>SUMIFS(Movimentacoes!$G:$G,Movimentacoes!$C:$C,$A981,Movimentacoes!$E:$E,$C981,Movimentacoes!$B:$B,"SAIDA_DESCARTE")</f>
        <v/>
      </c>
      <c r="J981" s="13">
        <f>G981-H981-I981</f>
        <v/>
      </c>
      <c r="K981">
        <f>IF(A981="","",IF(J981&lt;=IFERROR(VLOOKUP(A981,Cadastro_Produtos!$A:$E,5,FALSE),0),"ABAIXO DO MINIMO","OK"))</f>
        <v/>
      </c>
    </row>
    <row r="982">
      <c r="B982">
        <f>IFERROR(VLOOKUP(A982,Cadastro_Produtos!A:B,2,FALSE),"")</f>
        <v/>
      </c>
      <c r="D982" s="12" t="n"/>
      <c r="E982" s="13">
        <f>IF(D982="","",D982-TODAY())</f>
        <v/>
      </c>
      <c r="F982">
        <f>IF(D982="","",IF(E982&lt;0,"VENCIDO",IF(E982&lt;=30,"VENCE EM &lt;= 30 DIAS",IF(E982&lt;=60,"ATENCAO (31-60 DIAS)","OK"))))</f>
        <v/>
      </c>
      <c r="G982" s="13">
        <f>SUMIFS(Movimentacoes!$G:$G,Movimentacoes!$C:$C,$A982,Movimentacoes!$E:$E,$C982,Movimentacoes!$B:$B,"ENTRADA")</f>
        <v/>
      </c>
      <c r="H982" s="13">
        <f>SUMIFS(Movimentacoes!$G:$G,Movimentacoes!$C:$C,$A982,Movimentacoes!$E:$E,$C982,Movimentacoes!$B:$B,"SAIDA_USO")</f>
        <v/>
      </c>
      <c r="I982" s="13">
        <f>SUMIFS(Movimentacoes!$G:$G,Movimentacoes!$C:$C,$A982,Movimentacoes!$E:$E,$C982,Movimentacoes!$B:$B,"SAIDA_DESCARTE")</f>
        <v/>
      </c>
      <c r="J982" s="13">
        <f>G982-H982-I982</f>
        <v/>
      </c>
      <c r="K982">
        <f>IF(A982="","",IF(J982&lt;=IFERROR(VLOOKUP(A982,Cadastro_Produtos!$A:$E,5,FALSE),0),"ABAIXO DO MINIMO","OK"))</f>
        <v/>
      </c>
    </row>
    <row r="983">
      <c r="B983">
        <f>IFERROR(VLOOKUP(A983,Cadastro_Produtos!A:B,2,FALSE),"")</f>
        <v/>
      </c>
      <c r="D983" s="12" t="n"/>
      <c r="E983" s="13">
        <f>IF(D983="","",D983-TODAY())</f>
        <v/>
      </c>
      <c r="F983">
        <f>IF(D983="","",IF(E983&lt;0,"VENCIDO",IF(E983&lt;=30,"VENCE EM &lt;= 30 DIAS",IF(E983&lt;=60,"ATENCAO (31-60 DIAS)","OK"))))</f>
        <v/>
      </c>
      <c r="G983" s="13">
        <f>SUMIFS(Movimentacoes!$G:$G,Movimentacoes!$C:$C,$A983,Movimentacoes!$E:$E,$C983,Movimentacoes!$B:$B,"ENTRADA")</f>
        <v/>
      </c>
      <c r="H983" s="13">
        <f>SUMIFS(Movimentacoes!$G:$G,Movimentacoes!$C:$C,$A983,Movimentacoes!$E:$E,$C983,Movimentacoes!$B:$B,"SAIDA_USO")</f>
        <v/>
      </c>
      <c r="I983" s="13">
        <f>SUMIFS(Movimentacoes!$G:$G,Movimentacoes!$C:$C,$A983,Movimentacoes!$E:$E,$C983,Movimentacoes!$B:$B,"SAIDA_DESCARTE")</f>
        <v/>
      </c>
      <c r="J983" s="13">
        <f>G983-H983-I983</f>
        <v/>
      </c>
      <c r="K983">
        <f>IF(A983="","",IF(J983&lt;=IFERROR(VLOOKUP(A983,Cadastro_Produtos!$A:$E,5,FALSE),0),"ABAIXO DO MINIMO","OK"))</f>
        <v/>
      </c>
    </row>
    <row r="984">
      <c r="B984">
        <f>IFERROR(VLOOKUP(A984,Cadastro_Produtos!A:B,2,FALSE),"")</f>
        <v/>
      </c>
      <c r="D984" s="12" t="n"/>
      <c r="E984" s="13">
        <f>IF(D984="","",D984-TODAY())</f>
        <v/>
      </c>
      <c r="F984">
        <f>IF(D984="","",IF(E984&lt;0,"VENCIDO",IF(E984&lt;=30,"VENCE EM &lt;= 30 DIAS",IF(E984&lt;=60,"ATENCAO (31-60 DIAS)","OK"))))</f>
        <v/>
      </c>
      <c r="G984" s="13">
        <f>SUMIFS(Movimentacoes!$G:$G,Movimentacoes!$C:$C,$A984,Movimentacoes!$E:$E,$C984,Movimentacoes!$B:$B,"ENTRADA")</f>
        <v/>
      </c>
      <c r="H984" s="13">
        <f>SUMIFS(Movimentacoes!$G:$G,Movimentacoes!$C:$C,$A984,Movimentacoes!$E:$E,$C984,Movimentacoes!$B:$B,"SAIDA_USO")</f>
        <v/>
      </c>
      <c r="I984" s="13">
        <f>SUMIFS(Movimentacoes!$G:$G,Movimentacoes!$C:$C,$A984,Movimentacoes!$E:$E,$C984,Movimentacoes!$B:$B,"SAIDA_DESCARTE")</f>
        <v/>
      </c>
      <c r="J984" s="13">
        <f>G984-H984-I984</f>
        <v/>
      </c>
      <c r="K984">
        <f>IF(A984="","",IF(J984&lt;=IFERROR(VLOOKUP(A984,Cadastro_Produtos!$A:$E,5,FALSE),0),"ABAIXO DO MINIMO","OK"))</f>
        <v/>
      </c>
    </row>
    <row r="985">
      <c r="B985">
        <f>IFERROR(VLOOKUP(A985,Cadastro_Produtos!A:B,2,FALSE),"")</f>
        <v/>
      </c>
      <c r="D985" s="12" t="n"/>
      <c r="E985" s="13">
        <f>IF(D985="","",D985-TODAY())</f>
        <v/>
      </c>
      <c r="F985">
        <f>IF(D985="","",IF(E985&lt;0,"VENCIDO",IF(E985&lt;=30,"VENCE EM &lt;= 30 DIAS",IF(E985&lt;=60,"ATENCAO (31-60 DIAS)","OK"))))</f>
        <v/>
      </c>
      <c r="G985" s="13">
        <f>SUMIFS(Movimentacoes!$G:$G,Movimentacoes!$C:$C,$A985,Movimentacoes!$E:$E,$C985,Movimentacoes!$B:$B,"ENTRADA")</f>
        <v/>
      </c>
      <c r="H985" s="13">
        <f>SUMIFS(Movimentacoes!$G:$G,Movimentacoes!$C:$C,$A985,Movimentacoes!$E:$E,$C985,Movimentacoes!$B:$B,"SAIDA_USO")</f>
        <v/>
      </c>
      <c r="I985" s="13">
        <f>SUMIFS(Movimentacoes!$G:$G,Movimentacoes!$C:$C,$A985,Movimentacoes!$E:$E,$C985,Movimentacoes!$B:$B,"SAIDA_DESCARTE")</f>
        <v/>
      </c>
      <c r="J985" s="13">
        <f>G985-H985-I985</f>
        <v/>
      </c>
      <c r="K985">
        <f>IF(A985="","",IF(J985&lt;=IFERROR(VLOOKUP(A985,Cadastro_Produtos!$A:$E,5,FALSE),0),"ABAIXO DO MINIMO","OK"))</f>
        <v/>
      </c>
    </row>
    <row r="986">
      <c r="B986">
        <f>IFERROR(VLOOKUP(A986,Cadastro_Produtos!A:B,2,FALSE),"")</f>
        <v/>
      </c>
      <c r="D986" s="12" t="n"/>
      <c r="E986" s="13">
        <f>IF(D986="","",D986-TODAY())</f>
        <v/>
      </c>
      <c r="F986">
        <f>IF(D986="","",IF(E986&lt;0,"VENCIDO",IF(E986&lt;=30,"VENCE EM &lt;= 30 DIAS",IF(E986&lt;=60,"ATENCAO (31-60 DIAS)","OK"))))</f>
        <v/>
      </c>
      <c r="G986" s="13">
        <f>SUMIFS(Movimentacoes!$G:$G,Movimentacoes!$C:$C,$A986,Movimentacoes!$E:$E,$C986,Movimentacoes!$B:$B,"ENTRADA")</f>
        <v/>
      </c>
      <c r="H986" s="13">
        <f>SUMIFS(Movimentacoes!$G:$G,Movimentacoes!$C:$C,$A986,Movimentacoes!$E:$E,$C986,Movimentacoes!$B:$B,"SAIDA_USO")</f>
        <v/>
      </c>
      <c r="I986" s="13">
        <f>SUMIFS(Movimentacoes!$G:$G,Movimentacoes!$C:$C,$A986,Movimentacoes!$E:$E,$C986,Movimentacoes!$B:$B,"SAIDA_DESCARTE")</f>
        <v/>
      </c>
      <c r="J986" s="13">
        <f>G986-H986-I986</f>
        <v/>
      </c>
      <c r="K986">
        <f>IF(A986="","",IF(J986&lt;=IFERROR(VLOOKUP(A986,Cadastro_Produtos!$A:$E,5,FALSE),0),"ABAIXO DO MINIMO","OK"))</f>
        <v/>
      </c>
    </row>
    <row r="987">
      <c r="B987">
        <f>IFERROR(VLOOKUP(A987,Cadastro_Produtos!A:B,2,FALSE),"")</f>
        <v/>
      </c>
      <c r="D987" s="12" t="n"/>
      <c r="E987" s="13">
        <f>IF(D987="","",D987-TODAY())</f>
        <v/>
      </c>
      <c r="F987">
        <f>IF(D987="","",IF(E987&lt;0,"VENCIDO",IF(E987&lt;=30,"VENCE EM &lt;= 30 DIAS",IF(E987&lt;=60,"ATENCAO (31-60 DIAS)","OK"))))</f>
        <v/>
      </c>
      <c r="G987" s="13">
        <f>SUMIFS(Movimentacoes!$G:$G,Movimentacoes!$C:$C,$A987,Movimentacoes!$E:$E,$C987,Movimentacoes!$B:$B,"ENTRADA")</f>
        <v/>
      </c>
      <c r="H987" s="13">
        <f>SUMIFS(Movimentacoes!$G:$G,Movimentacoes!$C:$C,$A987,Movimentacoes!$E:$E,$C987,Movimentacoes!$B:$B,"SAIDA_USO")</f>
        <v/>
      </c>
      <c r="I987" s="13">
        <f>SUMIFS(Movimentacoes!$G:$G,Movimentacoes!$C:$C,$A987,Movimentacoes!$E:$E,$C987,Movimentacoes!$B:$B,"SAIDA_DESCARTE")</f>
        <v/>
      </c>
      <c r="J987" s="13">
        <f>G987-H987-I987</f>
        <v/>
      </c>
      <c r="K987">
        <f>IF(A987="","",IF(J987&lt;=IFERROR(VLOOKUP(A987,Cadastro_Produtos!$A:$E,5,FALSE),0),"ABAIXO DO MINIMO","OK"))</f>
        <v/>
      </c>
    </row>
    <row r="988">
      <c r="B988">
        <f>IFERROR(VLOOKUP(A988,Cadastro_Produtos!A:B,2,FALSE),"")</f>
        <v/>
      </c>
      <c r="D988" s="12" t="n"/>
      <c r="E988" s="13">
        <f>IF(D988="","",D988-TODAY())</f>
        <v/>
      </c>
      <c r="F988">
        <f>IF(D988="","",IF(E988&lt;0,"VENCIDO",IF(E988&lt;=30,"VENCE EM &lt;= 30 DIAS",IF(E988&lt;=60,"ATENCAO (31-60 DIAS)","OK"))))</f>
        <v/>
      </c>
      <c r="G988" s="13">
        <f>SUMIFS(Movimentacoes!$G:$G,Movimentacoes!$C:$C,$A988,Movimentacoes!$E:$E,$C988,Movimentacoes!$B:$B,"ENTRADA")</f>
        <v/>
      </c>
      <c r="H988" s="13">
        <f>SUMIFS(Movimentacoes!$G:$G,Movimentacoes!$C:$C,$A988,Movimentacoes!$E:$E,$C988,Movimentacoes!$B:$B,"SAIDA_USO")</f>
        <v/>
      </c>
      <c r="I988" s="13">
        <f>SUMIFS(Movimentacoes!$G:$G,Movimentacoes!$C:$C,$A988,Movimentacoes!$E:$E,$C988,Movimentacoes!$B:$B,"SAIDA_DESCARTE")</f>
        <v/>
      </c>
      <c r="J988" s="13">
        <f>G988-H988-I988</f>
        <v/>
      </c>
      <c r="K988">
        <f>IF(A988="","",IF(J988&lt;=IFERROR(VLOOKUP(A988,Cadastro_Produtos!$A:$E,5,FALSE),0),"ABAIXO DO MINIMO","OK"))</f>
        <v/>
      </c>
    </row>
    <row r="989">
      <c r="B989">
        <f>IFERROR(VLOOKUP(A989,Cadastro_Produtos!A:B,2,FALSE),"")</f>
        <v/>
      </c>
      <c r="D989" s="12" t="n"/>
      <c r="E989" s="13">
        <f>IF(D989="","",D989-TODAY())</f>
        <v/>
      </c>
      <c r="F989">
        <f>IF(D989="","",IF(E989&lt;0,"VENCIDO",IF(E989&lt;=30,"VENCE EM &lt;= 30 DIAS",IF(E989&lt;=60,"ATENCAO (31-60 DIAS)","OK"))))</f>
        <v/>
      </c>
      <c r="G989" s="13">
        <f>SUMIFS(Movimentacoes!$G:$G,Movimentacoes!$C:$C,$A989,Movimentacoes!$E:$E,$C989,Movimentacoes!$B:$B,"ENTRADA")</f>
        <v/>
      </c>
      <c r="H989" s="13">
        <f>SUMIFS(Movimentacoes!$G:$G,Movimentacoes!$C:$C,$A989,Movimentacoes!$E:$E,$C989,Movimentacoes!$B:$B,"SAIDA_USO")</f>
        <v/>
      </c>
      <c r="I989" s="13">
        <f>SUMIFS(Movimentacoes!$G:$G,Movimentacoes!$C:$C,$A989,Movimentacoes!$E:$E,$C989,Movimentacoes!$B:$B,"SAIDA_DESCARTE")</f>
        <v/>
      </c>
      <c r="J989" s="13">
        <f>G989-H989-I989</f>
        <v/>
      </c>
      <c r="K989">
        <f>IF(A989="","",IF(J989&lt;=IFERROR(VLOOKUP(A989,Cadastro_Produtos!$A:$E,5,FALSE),0),"ABAIXO DO MINIMO","OK"))</f>
        <v/>
      </c>
    </row>
    <row r="990">
      <c r="B990">
        <f>IFERROR(VLOOKUP(A990,Cadastro_Produtos!A:B,2,FALSE),"")</f>
        <v/>
      </c>
      <c r="D990" s="12" t="n"/>
      <c r="E990" s="13">
        <f>IF(D990="","",D990-TODAY())</f>
        <v/>
      </c>
      <c r="F990">
        <f>IF(D990="","",IF(E990&lt;0,"VENCIDO",IF(E990&lt;=30,"VENCE EM &lt;= 30 DIAS",IF(E990&lt;=60,"ATENCAO (31-60 DIAS)","OK"))))</f>
        <v/>
      </c>
      <c r="G990" s="13">
        <f>SUMIFS(Movimentacoes!$G:$G,Movimentacoes!$C:$C,$A990,Movimentacoes!$E:$E,$C990,Movimentacoes!$B:$B,"ENTRADA")</f>
        <v/>
      </c>
      <c r="H990" s="13">
        <f>SUMIFS(Movimentacoes!$G:$G,Movimentacoes!$C:$C,$A990,Movimentacoes!$E:$E,$C990,Movimentacoes!$B:$B,"SAIDA_USO")</f>
        <v/>
      </c>
      <c r="I990" s="13">
        <f>SUMIFS(Movimentacoes!$G:$G,Movimentacoes!$C:$C,$A990,Movimentacoes!$E:$E,$C990,Movimentacoes!$B:$B,"SAIDA_DESCARTE")</f>
        <v/>
      </c>
      <c r="J990" s="13">
        <f>G990-H990-I990</f>
        <v/>
      </c>
      <c r="K990">
        <f>IF(A990="","",IF(J990&lt;=IFERROR(VLOOKUP(A990,Cadastro_Produtos!$A:$E,5,FALSE),0),"ABAIXO DO MINIMO","OK"))</f>
        <v/>
      </c>
    </row>
    <row r="991">
      <c r="B991">
        <f>IFERROR(VLOOKUP(A991,Cadastro_Produtos!A:B,2,FALSE),"")</f>
        <v/>
      </c>
      <c r="D991" s="12" t="n"/>
      <c r="E991" s="13">
        <f>IF(D991="","",D991-TODAY())</f>
        <v/>
      </c>
      <c r="F991">
        <f>IF(D991="","",IF(E991&lt;0,"VENCIDO",IF(E991&lt;=30,"VENCE EM &lt;= 30 DIAS",IF(E991&lt;=60,"ATENCAO (31-60 DIAS)","OK"))))</f>
        <v/>
      </c>
      <c r="G991" s="13">
        <f>SUMIFS(Movimentacoes!$G:$G,Movimentacoes!$C:$C,$A991,Movimentacoes!$E:$E,$C991,Movimentacoes!$B:$B,"ENTRADA")</f>
        <v/>
      </c>
      <c r="H991" s="13">
        <f>SUMIFS(Movimentacoes!$G:$G,Movimentacoes!$C:$C,$A991,Movimentacoes!$E:$E,$C991,Movimentacoes!$B:$B,"SAIDA_USO")</f>
        <v/>
      </c>
      <c r="I991" s="13">
        <f>SUMIFS(Movimentacoes!$G:$G,Movimentacoes!$C:$C,$A991,Movimentacoes!$E:$E,$C991,Movimentacoes!$B:$B,"SAIDA_DESCARTE")</f>
        <v/>
      </c>
      <c r="J991" s="13">
        <f>G991-H991-I991</f>
        <v/>
      </c>
      <c r="K991">
        <f>IF(A991="","",IF(J991&lt;=IFERROR(VLOOKUP(A991,Cadastro_Produtos!$A:$E,5,FALSE),0),"ABAIXO DO MINIMO","OK"))</f>
        <v/>
      </c>
    </row>
    <row r="992">
      <c r="B992">
        <f>IFERROR(VLOOKUP(A992,Cadastro_Produtos!A:B,2,FALSE),"")</f>
        <v/>
      </c>
      <c r="D992" s="12" t="n"/>
      <c r="E992" s="13">
        <f>IF(D992="","",D992-TODAY())</f>
        <v/>
      </c>
      <c r="F992">
        <f>IF(D992="","",IF(E992&lt;0,"VENCIDO",IF(E992&lt;=30,"VENCE EM &lt;= 30 DIAS",IF(E992&lt;=60,"ATENCAO (31-60 DIAS)","OK"))))</f>
        <v/>
      </c>
      <c r="G992" s="13">
        <f>SUMIFS(Movimentacoes!$G:$G,Movimentacoes!$C:$C,$A992,Movimentacoes!$E:$E,$C992,Movimentacoes!$B:$B,"ENTRADA")</f>
        <v/>
      </c>
      <c r="H992" s="13">
        <f>SUMIFS(Movimentacoes!$G:$G,Movimentacoes!$C:$C,$A992,Movimentacoes!$E:$E,$C992,Movimentacoes!$B:$B,"SAIDA_USO")</f>
        <v/>
      </c>
      <c r="I992" s="13">
        <f>SUMIFS(Movimentacoes!$G:$G,Movimentacoes!$C:$C,$A992,Movimentacoes!$E:$E,$C992,Movimentacoes!$B:$B,"SAIDA_DESCARTE")</f>
        <v/>
      </c>
      <c r="J992" s="13">
        <f>G992-H992-I992</f>
        <v/>
      </c>
      <c r="K992">
        <f>IF(A992="","",IF(J992&lt;=IFERROR(VLOOKUP(A992,Cadastro_Produtos!$A:$E,5,FALSE),0),"ABAIXO DO MINIMO","OK"))</f>
        <v/>
      </c>
    </row>
    <row r="993">
      <c r="B993">
        <f>IFERROR(VLOOKUP(A993,Cadastro_Produtos!A:B,2,FALSE),"")</f>
        <v/>
      </c>
      <c r="D993" s="12" t="n"/>
      <c r="E993" s="13">
        <f>IF(D993="","",D993-TODAY())</f>
        <v/>
      </c>
      <c r="F993">
        <f>IF(D993="","",IF(E993&lt;0,"VENCIDO",IF(E993&lt;=30,"VENCE EM &lt;= 30 DIAS",IF(E993&lt;=60,"ATENCAO (31-60 DIAS)","OK"))))</f>
        <v/>
      </c>
      <c r="G993" s="13">
        <f>SUMIFS(Movimentacoes!$G:$G,Movimentacoes!$C:$C,$A993,Movimentacoes!$E:$E,$C993,Movimentacoes!$B:$B,"ENTRADA")</f>
        <v/>
      </c>
      <c r="H993" s="13">
        <f>SUMIFS(Movimentacoes!$G:$G,Movimentacoes!$C:$C,$A993,Movimentacoes!$E:$E,$C993,Movimentacoes!$B:$B,"SAIDA_USO")</f>
        <v/>
      </c>
      <c r="I993" s="13">
        <f>SUMIFS(Movimentacoes!$G:$G,Movimentacoes!$C:$C,$A993,Movimentacoes!$E:$E,$C993,Movimentacoes!$B:$B,"SAIDA_DESCARTE")</f>
        <v/>
      </c>
      <c r="J993" s="13">
        <f>G993-H993-I993</f>
        <v/>
      </c>
      <c r="K993">
        <f>IF(A993="","",IF(J993&lt;=IFERROR(VLOOKUP(A993,Cadastro_Produtos!$A:$E,5,FALSE),0),"ABAIXO DO MINIMO","OK"))</f>
        <v/>
      </c>
    </row>
    <row r="994">
      <c r="B994">
        <f>IFERROR(VLOOKUP(A994,Cadastro_Produtos!A:B,2,FALSE),"")</f>
        <v/>
      </c>
      <c r="D994" s="12" t="n"/>
      <c r="E994" s="13">
        <f>IF(D994="","",D994-TODAY())</f>
        <v/>
      </c>
      <c r="F994">
        <f>IF(D994="","",IF(E994&lt;0,"VENCIDO",IF(E994&lt;=30,"VENCE EM &lt;= 30 DIAS",IF(E994&lt;=60,"ATENCAO (31-60 DIAS)","OK"))))</f>
        <v/>
      </c>
      <c r="G994" s="13">
        <f>SUMIFS(Movimentacoes!$G:$G,Movimentacoes!$C:$C,$A994,Movimentacoes!$E:$E,$C994,Movimentacoes!$B:$B,"ENTRADA")</f>
        <v/>
      </c>
      <c r="H994" s="13">
        <f>SUMIFS(Movimentacoes!$G:$G,Movimentacoes!$C:$C,$A994,Movimentacoes!$E:$E,$C994,Movimentacoes!$B:$B,"SAIDA_USO")</f>
        <v/>
      </c>
      <c r="I994" s="13">
        <f>SUMIFS(Movimentacoes!$G:$G,Movimentacoes!$C:$C,$A994,Movimentacoes!$E:$E,$C994,Movimentacoes!$B:$B,"SAIDA_DESCARTE")</f>
        <v/>
      </c>
      <c r="J994" s="13">
        <f>G994-H994-I994</f>
        <v/>
      </c>
      <c r="K994">
        <f>IF(A994="","",IF(J994&lt;=IFERROR(VLOOKUP(A994,Cadastro_Produtos!$A:$E,5,FALSE),0),"ABAIXO DO MINIMO","OK"))</f>
        <v/>
      </c>
    </row>
    <row r="995">
      <c r="B995">
        <f>IFERROR(VLOOKUP(A995,Cadastro_Produtos!A:B,2,FALSE),"")</f>
        <v/>
      </c>
      <c r="D995" s="12" t="n"/>
      <c r="E995" s="13">
        <f>IF(D995="","",D995-TODAY())</f>
        <v/>
      </c>
      <c r="F995">
        <f>IF(D995="","",IF(E995&lt;0,"VENCIDO",IF(E995&lt;=30,"VENCE EM &lt;= 30 DIAS",IF(E995&lt;=60,"ATENCAO (31-60 DIAS)","OK"))))</f>
        <v/>
      </c>
      <c r="G995" s="13">
        <f>SUMIFS(Movimentacoes!$G:$G,Movimentacoes!$C:$C,$A995,Movimentacoes!$E:$E,$C995,Movimentacoes!$B:$B,"ENTRADA")</f>
        <v/>
      </c>
      <c r="H995" s="13">
        <f>SUMIFS(Movimentacoes!$G:$G,Movimentacoes!$C:$C,$A995,Movimentacoes!$E:$E,$C995,Movimentacoes!$B:$B,"SAIDA_USO")</f>
        <v/>
      </c>
      <c r="I995" s="13">
        <f>SUMIFS(Movimentacoes!$G:$G,Movimentacoes!$C:$C,$A995,Movimentacoes!$E:$E,$C995,Movimentacoes!$B:$B,"SAIDA_DESCARTE")</f>
        <v/>
      </c>
      <c r="J995" s="13">
        <f>G995-H995-I995</f>
        <v/>
      </c>
      <c r="K995">
        <f>IF(A995="","",IF(J995&lt;=IFERROR(VLOOKUP(A995,Cadastro_Produtos!$A:$E,5,FALSE),0),"ABAIXO DO MINIMO","OK"))</f>
        <v/>
      </c>
    </row>
    <row r="996">
      <c r="B996">
        <f>IFERROR(VLOOKUP(A996,Cadastro_Produtos!A:B,2,FALSE),"")</f>
        <v/>
      </c>
      <c r="D996" s="12" t="n"/>
      <c r="E996" s="13">
        <f>IF(D996="","",D996-TODAY())</f>
        <v/>
      </c>
      <c r="F996">
        <f>IF(D996="","",IF(E996&lt;0,"VENCIDO",IF(E996&lt;=30,"VENCE EM &lt;= 30 DIAS",IF(E996&lt;=60,"ATENCAO (31-60 DIAS)","OK"))))</f>
        <v/>
      </c>
      <c r="G996" s="13">
        <f>SUMIFS(Movimentacoes!$G:$G,Movimentacoes!$C:$C,$A996,Movimentacoes!$E:$E,$C996,Movimentacoes!$B:$B,"ENTRADA")</f>
        <v/>
      </c>
      <c r="H996" s="13">
        <f>SUMIFS(Movimentacoes!$G:$G,Movimentacoes!$C:$C,$A996,Movimentacoes!$E:$E,$C996,Movimentacoes!$B:$B,"SAIDA_USO")</f>
        <v/>
      </c>
      <c r="I996" s="13">
        <f>SUMIFS(Movimentacoes!$G:$G,Movimentacoes!$C:$C,$A996,Movimentacoes!$E:$E,$C996,Movimentacoes!$B:$B,"SAIDA_DESCARTE")</f>
        <v/>
      </c>
      <c r="J996" s="13">
        <f>G996-H996-I996</f>
        <v/>
      </c>
      <c r="K996">
        <f>IF(A996="","",IF(J996&lt;=IFERROR(VLOOKUP(A996,Cadastro_Produtos!$A:$E,5,FALSE),0),"ABAIXO DO MINIMO","OK"))</f>
        <v/>
      </c>
    </row>
    <row r="997">
      <c r="B997">
        <f>IFERROR(VLOOKUP(A997,Cadastro_Produtos!A:B,2,FALSE),"")</f>
        <v/>
      </c>
      <c r="D997" s="12" t="n"/>
      <c r="E997" s="13">
        <f>IF(D997="","",D997-TODAY())</f>
        <v/>
      </c>
      <c r="F997">
        <f>IF(D997="","",IF(E997&lt;0,"VENCIDO",IF(E997&lt;=30,"VENCE EM &lt;= 30 DIAS",IF(E997&lt;=60,"ATENCAO (31-60 DIAS)","OK"))))</f>
        <v/>
      </c>
      <c r="G997" s="13">
        <f>SUMIFS(Movimentacoes!$G:$G,Movimentacoes!$C:$C,$A997,Movimentacoes!$E:$E,$C997,Movimentacoes!$B:$B,"ENTRADA")</f>
        <v/>
      </c>
      <c r="H997" s="13">
        <f>SUMIFS(Movimentacoes!$G:$G,Movimentacoes!$C:$C,$A997,Movimentacoes!$E:$E,$C997,Movimentacoes!$B:$B,"SAIDA_USO")</f>
        <v/>
      </c>
      <c r="I997" s="13">
        <f>SUMIFS(Movimentacoes!$G:$G,Movimentacoes!$C:$C,$A997,Movimentacoes!$E:$E,$C997,Movimentacoes!$B:$B,"SAIDA_DESCARTE")</f>
        <v/>
      </c>
      <c r="J997" s="13">
        <f>G997-H997-I997</f>
        <v/>
      </c>
      <c r="K997">
        <f>IF(A997="","",IF(J997&lt;=IFERROR(VLOOKUP(A997,Cadastro_Produtos!$A:$E,5,FALSE),0),"ABAIXO DO MINIMO","OK"))</f>
        <v/>
      </c>
    </row>
    <row r="998">
      <c r="B998">
        <f>IFERROR(VLOOKUP(A998,Cadastro_Produtos!A:B,2,FALSE),"")</f>
        <v/>
      </c>
      <c r="D998" s="12" t="n"/>
      <c r="E998" s="13">
        <f>IF(D998="","",D998-TODAY())</f>
        <v/>
      </c>
      <c r="F998">
        <f>IF(D998="","",IF(E998&lt;0,"VENCIDO",IF(E998&lt;=30,"VENCE EM &lt;= 30 DIAS",IF(E998&lt;=60,"ATENCAO (31-60 DIAS)","OK"))))</f>
        <v/>
      </c>
      <c r="G998" s="13">
        <f>SUMIFS(Movimentacoes!$G:$G,Movimentacoes!$C:$C,$A998,Movimentacoes!$E:$E,$C998,Movimentacoes!$B:$B,"ENTRADA")</f>
        <v/>
      </c>
      <c r="H998" s="13">
        <f>SUMIFS(Movimentacoes!$G:$G,Movimentacoes!$C:$C,$A998,Movimentacoes!$E:$E,$C998,Movimentacoes!$B:$B,"SAIDA_USO")</f>
        <v/>
      </c>
      <c r="I998" s="13">
        <f>SUMIFS(Movimentacoes!$G:$G,Movimentacoes!$C:$C,$A998,Movimentacoes!$E:$E,$C998,Movimentacoes!$B:$B,"SAIDA_DESCARTE")</f>
        <v/>
      </c>
      <c r="J998" s="13">
        <f>G998-H998-I998</f>
        <v/>
      </c>
      <c r="K998">
        <f>IF(A998="","",IF(J998&lt;=IFERROR(VLOOKUP(A998,Cadastro_Produtos!$A:$E,5,FALSE),0),"ABAIXO DO MINIMO","OK"))</f>
        <v/>
      </c>
    </row>
    <row r="999">
      <c r="B999">
        <f>IFERROR(VLOOKUP(A999,Cadastro_Produtos!A:B,2,FALSE),"")</f>
        <v/>
      </c>
      <c r="D999" s="12" t="n"/>
      <c r="E999" s="13">
        <f>IF(D999="","",D999-TODAY())</f>
        <v/>
      </c>
      <c r="F999">
        <f>IF(D999="","",IF(E999&lt;0,"VENCIDO",IF(E999&lt;=30,"VENCE EM &lt;= 30 DIAS",IF(E999&lt;=60,"ATENCAO (31-60 DIAS)","OK"))))</f>
        <v/>
      </c>
      <c r="G999" s="13">
        <f>SUMIFS(Movimentacoes!$G:$G,Movimentacoes!$C:$C,$A999,Movimentacoes!$E:$E,$C999,Movimentacoes!$B:$B,"ENTRADA")</f>
        <v/>
      </c>
      <c r="H999" s="13">
        <f>SUMIFS(Movimentacoes!$G:$G,Movimentacoes!$C:$C,$A999,Movimentacoes!$E:$E,$C999,Movimentacoes!$B:$B,"SAIDA_USO")</f>
        <v/>
      </c>
      <c r="I999" s="13">
        <f>SUMIFS(Movimentacoes!$G:$G,Movimentacoes!$C:$C,$A999,Movimentacoes!$E:$E,$C999,Movimentacoes!$B:$B,"SAIDA_DESCARTE")</f>
        <v/>
      </c>
      <c r="J999" s="13">
        <f>G999-H999-I999</f>
        <v/>
      </c>
      <c r="K999">
        <f>IF(A999="","",IF(J999&lt;=IFERROR(VLOOKUP(A999,Cadastro_Produtos!$A:$E,5,FALSE),0),"ABAIXO DO MINIMO","OK"))</f>
        <v/>
      </c>
    </row>
    <row r="1000">
      <c r="B1000">
        <f>IFERROR(VLOOKUP(A1000,Cadastro_Produtos!A:B,2,FALSE),"")</f>
        <v/>
      </c>
      <c r="D1000" s="12" t="n"/>
      <c r="E1000" s="13">
        <f>IF(D1000="","",D1000-TODAY())</f>
        <v/>
      </c>
      <c r="F1000">
        <f>IF(D1000="","",IF(E1000&lt;0,"VENCIDO",IF(E1000&lt;=30,"VENCE EM &lt;= 30 DIAS",IF(E1000&lt;=60,"ATENCAO (31-60 DIAS)","OK"))))</f>
        <v/>
      </c>
      <c r="G1000" s="13">
        <f>SUMIFS(Movimentacoes!$G:$G,Movimentacoes!$C:$C,$A1000,Movimentacoes!$E:$E,$C1000,Movimentacoes!$B:$B,"ENTRADA")</f>
        <v/>
      </c>
      <c r="H1000" s="13">
        <f>SUMIFS(Movimentacoes!$G:$G,Movimentacoes!$C:$C,$A1000,Movimentacoes!$E:$E,$C1000,Movimentacoes!$B:$B,"SAIDA_USO")</f>
        <v/>
      </c>
      <c r="I1000" s="13">
        <f>SUMIFS(Movimentacoes!$G:$G,Movimentacoes!$C:$C,$A1000,Movimentacoes!$E:$E,$C1000,Movimentacoes!$B:$B,"SAIDA_DESCARTE")</f>
        <v/>
      </c>
      <c r="J1000" s="13">
        <f>G1000-H1000-I1000</f>
        <v/>
      </c>
      <c r="K1000">
        <f>IF(A1000="","",IF(J1000&lt;=IFERROR(VLOOKUP(A1000,Cadastro_Produtos!$A:$E,5,FALSE),0),"ABAIXO DO MINIMO","OK"))</f>
        <v/>
      </c>
    </row>
    <row r="1001">
      <c r="B1001">
        <f>IFERROR(VLOOKUP(A1001,Cadastro_Produtos!A:B,2,FALSE),"")</f>
        <v/>
      </c>
      <c r="D1001" s="12" t="n"/>
      <c r="E1001" s="13">
        <f>IF(D1001="","",D1001-TODAY())</f>
        <v/>
      </c>
      <c r="F1001">
        <f>IF(D1001="","",IF(E1001&lt;0,"VENCIDO",IF(E1001&lt;=30,"VENCE EM &lt;= 30 DIAS",IF(E1001&lt;=60,"ATENCAO (31-60 DIAS)","OK"))))</f>
        <v/>
      </c>
      <c r="G1001" s="13">
        <f>SUMIFS(Movimentacoes!$G:$G,Movimentacoes!$C:$C,$A1001,Movimentacoes!$E:$E,$C1001,Movimentacoes!$B:$B,"ENTRADA")</f>
        <v/>
      </c>
      <c r="H1001" s="13">
        <f>SUMIFS(Movimentacoes!$G:$G,Movimentacoes!$C:$C,$A1001,Movimentacoes!$E:$E,$C1001,Movimentacoes!$B:$B,"SAIDA_USO")</f>
        <v/>
      </c>
      <c r="I1001" s="13">
        <f>SUMIFS(Movimentacoes!$G:$G,Movimentacoes!$C:$C,$A1001,Movimentacoes!$E:$E,$C1001,Movimentacoes!$B:$B,"SAIDA_DESCARTE")</f>
        <v/>
      </c>
      <c r="J1001" s="13">
        <f>G1001-H1001-I1001</f>
        <v/>
      </c>
      <c r="K1001">
        <f>IF(A1001="","",IF(J1001&lt;=IFERROR(VLOOKUP(A1001,Cadastro_Produtos!$A:$E,5,FALSE),0),"ABAIXO DO MINIMO","OK"))</f>
        <v/>
      </c>
    </row>
    <row r="1002">
      <c r="B1002">
        <f>IFERROR(VLOOKUP(A1002,Cadastro_Produtos!A:B,2,FALSE),"")</f>
        <v/>
      </c>
      <c r="D1002" s="12" t="n"/>
      <c r="E1002" s="13">
        <f>IF(D1002="","",D1002-TODAY())</f>
        <v/>
      </c>
      <c r="F1002">
        <f>IF(D1002="","",IF(E1002&lt;0,"VENCIDO",IF(E1002&lt;=30,"VENCE EM &lt;= 30 DIAS",IF(E1002&lt;=60,"ATENCAO (31-60 DIAS)","OK"))))</f>
        <v/>
      </c>
      <c r="G1002" s="13">
        <f>SUMIFS(Movimentacoes!$G:$G,Movimentacoes!$C:$C,$A1002,Movimentacoes!$E:$E,$C1002,Movimentacoes!$B:$B,"ENTRADA")</f>
        <v/>
      </c>
      <c r="H1002" s="13">
        <f>SUMIFS(Movimentacoes!$G:$G,Movimentacoes!$C:$C,$A1002,Movimentacoes!$E:$E,$C1002,Movimentacoes!$B:$B,"SAIDA_USO")</f>
        <v/>
      </c>
      <c r="I1002" s="13">
        <f>SUMIFS(Movimentacoes!$G:$G,Movimentacoes!$C:$C,$A1002,Movimentacoes!$E:$E,$C1002,Movimentacoes!$B:$B,"SAIDA_DESCARTE")</f>
        <v/>
      </c>
      <c r="J1002" s="13">
        <f>G1002-H1002-I1002</f>
        <v/>
      </c>
      <c r="K1002">
        <f>IF(A1002="","",IF(J1002&lt;=IFERROR(VLOOKUP(A1002,Cadastro_Produtos!$A:$E,5,FALSE),0),"ABAIXO DO MINIMO","OK"))</f>
        <v/>
      </c>
    </row>
    <row r="1003">
      <c r="B1003">
        <f>IFERROR(VLOOKUP(A1003,Cadastro_Produtos!A:B,2,FALSE),"")</f>
        <v/>
      </c>
      <c r="D1003" s="12" t="n"/>
      <c r="E1003" s="13">
        <f>IF(D1003="","",D1003-TODAY())</f>
        <v/>
      </c>
      <c r="F1003">
        <f>IF(D1003="","",IF(E1003&lt;0,"VENCIDO",IF(E1003&lt;=30,"VENCE EM &lt;= 30 DIAS",IF(E1003&lt;=60,"ATENCAO (31-60 DIAS)","OK"))))</f>
        <v/>
      </c>
      <c r="G1003" s="13">
        <f>SUMIFS(Movimentacoes!$G:$G,Movimentacoes!$C:$C,$A1003,Movimentacoes!$E:$E,$C1003,Movimentacoes!$B:$B,"ENTRADA")</f>
        <v/>
      </c>
      <c r="H1003" s="13">
        <f>SUMIFS(Movimentacoes!$G:$G,Movimentacoes!$C:$C,$A1003,Movimentacoes!$E:$E,$C1003,Movimentacoes!$B:$B,"SAIDA_USO")</f>
        <v/>
      </c>
      <c r="I1003" s="13">
        <f>SUMIFS(Movimentacoes!$G:$G,Movimentacoes!$C:$C,$A1003,Movimentacoes!$E:$E,$C1003,Movimentacoes!$B:$B,"SAIDA_DESCARTE")</f>
        <v/>
      </c>
      <c r="J1003" s="13">
        <f>G1003-H1003-I1003</f>
        <v/>
      </c>
      <c r="K1003">
        <f>IF(A1003="","",IF(J1003&lt;=IFERROR(VLOOKUP(A1003,Cadastro_Produtos!$A:$E,5,FALSE),0),"ABAIXO DO MINIMO","OK"))</f>
        <v/>
      </c>
    </row>
    <row r="1004">
      <c r="B1004">
        <f>IFERROR(VLOOKUP(A1004,Cadastro_Produtos!A:B,2,FALSE),"")</f>
        <v/>
      </c>
      <c r="D1004" s="12" t="n"/>
      <c r="E1004" s="13">
        <f>IF(D1004="","",D1004-TODAY())</f>
        <v/>
      </c>
      <c r="F1004">
        <f>IF(D1004="","",IF(E1004&lt;0,"VENCIDO",IF(E1004&lt;=30,"VENCE EM &lt;= 30 DIAS",IF(E1004&lt;=60,"ATENCAO (31-60 DIAS)","OK"))))</f>
        <v/>
      </c>
      <c r="G1004" s="13">
        <f>SUMIFS(Movimentacoes!$G:$G,Movimentacoes!$C:$C,$A1004,Movimentacoes!$E:$E,$C1004,Movimentacoes!$B:$B,"ENTRADA")</f>
        <v/>
      </c>
      <c r="H1004" s="13">
        <f>SUMIFS(Movimentacoes!$G:$G,Movimentacoes!$C:$C,$A1004,Movimentacoes!$E:$E,$C1004,Movimentacoes!$B:$B,"SAIDA_USO")</f>
        <v/>
      </c>
      <c r="I1004" s="13">
        <f>SUMIFS(Movimentacoes!$G:$G,Movimentacoes!$C:$C,$A1004,Movimentacoes!$E:$E,$C1004,Movimentacoes!$B:$B,"SAIDA_DESCARTE")</f>
        <v/>
      </c>
      <c r="J1004" s="13">
        <f>G1004-H1004-I1004</f>
        <v/>
      </c>
      <c r="K1004">
        <f>IF(A1004="","",IF(J1004&lt;=IFERROR(VLOOKUP(A1004,Cadastro_Produtos!$A:$E,5,FALSE),0),"ABAIXO DO MINIMO","OK"))</f>
        <v/>
      </c>
    </row>
    <row r="1005">
      <c r="B1005">
        <f>IFERROR(VLOOKUP(A1005,Cadastro_Produtos!A:B,2,FALSE),"")</f>
        <v/>
      </c>
      <c r="D1005" s="12" t="n"/>
      <c r="E1005" s="13">
        <f>IF(D1005="","",D1005-TODAY())</f>
        <v/>
      </c>
      <c r="F1005">
        <f>IF(D1005="","",IF(E1005&lt;0,"VENCIDO",IF(E1005&lt;=30,"VENCE EM &lt;= 30 DIAS",IF(E1005&lt;=60,"ATENCAO (31-60 DIAS)","OK"))))</f>
        <v/>
      </c>
      <c r="G1005" s="13">
        <f>SUMIFS(Movimentacoes!$G:$G,Movimentacoes!$C:$C,$A1005,Movimentacoes!$E:$E,$C1005,Movimentacoes!$B:$B,"ENTRADA")</f>
        <v/>
      </c>
      <c r="H1005" s="13">
        <f>SUMIFS(Movimentacoes!$G:$G,Movimentacoes!$C:$C,$A1005,Movimentacoes!$E:$E,$C1005,Movimentacoes!$B:$B,"SAIDA_USO")</f>
        <v/>
      </c>
      <c r="I1005" s="13">
        <f>SUMIFS(Movimentacoes!$G:$G,Movimentacoes!$C:$C,$A1005,Movimentacoes!$E:$E,$C1005,Movimentacoes!$B:$B,"SAIDA_DESCARTE")</f>
        <v/>
      </c>
      <c r="J1005" s="13">
        <f>G1005-H1005-I1005</f>
        <v/>
      </c>
      <c r="K1005">
        <f>IF(A1005="","",IF(J1005&lt;=IFERROR(VLOOKUP(A1005,Cadastro_Produtos!$A:$E,5,FALSE),0),"ABAIXO DO MINIMO","OK"))</f>
        <v/>
      </c>
    </row>
    <row r="1006">
      <c r="B1006">
        <f>IFERROR(VLOOKUP(A1006,Cadastro_Produtos!A:B,2,FALSE),"")</f>
        <v/>
      </c>
      <c r="D1006" s="12" t="n"/>
      <c r="E1006" s="13">
        <f>IF(D1006="","",D1006-TODAY())</f>
        <v/>
      </c>
      <c r="F1006">
        <f>IF(D1006="","",IF(E1006&lt;0,"VENCIDO",IF(E1006&lt;=30,"VENCE EM &lt;= 30 DIAS",IF(E1006&lt;=60,"ATENCAO (31-60 DIAS)","OK"))))</f>
        <v/>
      </c>
      <c r="G1006" s="13">
        <f>SUMIFS(Movimentacoes!$G:$G,Movimentacoes!$C:$C,$A1006,Movimentacoes!$E:$E,$C1006,Movimentacoes!$B:$B,"ENTRADA")</f>
        <v/>
      </c>
      <c r="H1006" s="13">
        <f>SUMIFS(Movimentacoes!$G:$G,Movimentacoes!$C:$C,$A1006,Movimentacoes!$E:$E,$C1006,Movimentacoes!$B:$B,"SAIDA_USO")</f>
        <v/>
      </c>
      <c r="I1006" s="13">
        <f>SUMIFS(Movimentacoes!$G:$G,Movimentacoes!$C:$C,$A1006,Movimentacoes!$E:$E,$C1006,Movimentacoes!$B:$B,"SAIDA_DESCARTE")</f>
        <v/>
      </c>
      <c r="J1006" s="13">
        <f>G1006-H1006-I1006</f>
        <v/>
      </c>
      <c r="K1006">
        <f>IF(A1006="","",IF(J1006&lt;=IFERROR(VLOOKUP(A1006,Cadastro_Produtos!$A:$E,5,FALSE),0),"ABAIXO DO MINIMO","OK"))</f>
        <v/>
      </c>
    </row>
    <row r="1007">
      <c r="B1007">
        <f>IFERROR(VLOOKUP(A1007,Cadastro_Produtos!A:B,2,FALSE),"")</f>
        <v/>
      </c>
      <c r="D1007" s="12" t="n"/>
      <c r="E1007" s="13">
        <f>IF(D1007="","",D1007-TODAY())</f>
        <v/>
      </c>
      <c r="F1007">
        <f>IF(D1007="","",IF(E1007&lt;0,"VENCIDO",IF(E1007&lt;=30,"VENCE EM &lt;= 30 DIAS",IF(E1007&lt;=60,"ATENCAO (31-60 DIAS)","OK"))))</f>
        <v/>
      </c>
      <c r="G1007" s="13">
        <f>SUMIFS(Movimentacoes!$G:$G,Movimentacoes!$C:$C,$A1007,Movimentacoes!$E:$E,$C1007,Movimentacoes!$B:$B,"ENTRADA")</f>
        <v/>
      </c>
      <c r="H1007" s="13">
        <f>SUMIFS(Movimentacoes!$G:$G,Movimentacoes!$C:$C,$A1007,Movimentacoes!$E:$E,$C1007,Movimentacoes!$B:$B,"SAIDA_USO")</f>
        <v/>
      </c>
      <c r="I1007" s="13">
        <f>SUMIFS(Movimentacoes!$G:$G,Movimentacoes!$C:$C,$A1007,Movimentacoes!$E:$E,$C1007,Movimentacoes!$B:$B,"SAIDA_DESCARTE")</f>
        <v/>
      </c>
      <c r="J1007" s="13">
        <f>G1007-H1007-I1007</f>
        <v/>
      </c>
      <c r="K1007">
        <f>IF(A1007="","",IF(J1007&lt;=IFERROR(VLOOKUP(A1007,Cadastro_Produtos!$A:$E,5,FALSE),0),"ABAIXO DO MINIMO","OK"))</f>
        <v/>
      </c>
    </row>
    <row r="1008">
      <c r="B1008">
        <f>IFERROR(VLOOKUP(A1008,Cadastro_Produtos!A:B,2,FALSE),"")</f>
        <v/>
      </c>
      <c r="D1008" s="12" t="n"/>
      <c r="E1008" s="13">
        <f>IF(D1008="","",D1008-TODAY())</f>
        <v/>
      </c>
      <c r="F1008">
        <f>IF(D1008="","",IF(E1008&lt;0,"VENCIDO",IF(E1008&lt;=30,"VENCE EM &lt;= 30 DIAS",IF(E1008&lt;=60,"ATENCAO (31-60 DIAS)","OK"))))</f>
        <v/>
      </c>
      <c r="G1008" s="13">
        <f>SUMIFS(Movimentacoes!$G:$G,Movimentacoes!$C:$C,$A1008,Movimentacoes!$E:$E,$C1008,Movimentacoes!$B:$B,"ENTRADA")</f>
        <v/>
      </c>
      <c r="H1008" s="13">
        <f>SUMIFS(Movimentacoes!$G:$G,Movimentacoes!$C:$C,$A1008,Movimentacoes!$E:$E,$C1008,Movimentacoes!$B:$B,"SAIDA_USO")</f>
        <v/>
      </c>
      <c r="I1008" s="13">
        <f>SUMIFS(Movimentacoes!$G:$G,Movimentacoes!$C:$C,$A1008,Movimentacoes!$E:$E,$C1008,Movimentacoes!$B:$B,"SAIDA_DESCARTE")</f>
        <v/>
      </c>
      <c r="J1008" s="13">
        <f>G1008-H1008-I1008</f>
        <v/>
      </c>
      <c r="K1008">
        <f>IF(A1008="","",IF(J1008&lt;=IFERROR(VLOOKUP(A1008,Cadastro_Produtos!$A:$E,5,FALSE),0),"ABAIXO DO MINIMO","OK"))</f>
        <v/>
      </c>
    </row>
    <row r="1009">
      <c r="B1009">
        <f>IFERROR(VLOOKUP(A1009,Cadastro_Produtos!A:B,2,FALSE),"")</f>
        <v/>
      </c>
      <c r="D1009" s="12" t="n"/>
      <c r="E1009" s="13">
        <f>IF(D1009="","",D1009-TODAY())</f>
        <v/>
      </c>
      <c r="F1009">
        <f>IF(D1009="","",IF(E1009&lt;0,"VENCIDO",IF(E1009&lt;=30,"VENCE EM &lt;= 30 DIAS",IF(E1009&lt;=60,"ATENCAO (31-60 DIAS)","OK"))))</f>
        <v/>
      </c>
      <c r="G1009" s="13">
        <f>SUMIFS(Movimentacoes!$G:$G,Movimentacoes!$C:$C,$A1009,Movimentacoes!$E:$E,$C1009,Movimentacoes!$B:$B,"ENTRADA")</f>
        <v/>
      </c>
      <c r="H1009" s="13">
        <f>SUMIFS(Movimentacoes!$G:$G,Movimentacoes!$C:$C,$A1009,Movimentacoes!$E:$E,$C1009,Movimentacoes!$B:$B,"SAIDA_USO")</f>
        <v/>
      </c>
      <c r="I1009" s="13">
        <f>SUMIFS(Movimentacoes!$G:$G,Movimentacoes!$C:$C,$A1009,Movimentacoes!$E:$E,$C1009,Movimentacoes!$B:$B,"SAIDA_DESCARTE")</f>
        <v/>
      </c>
      <c r="J1009" s="13">
        <f>G1009-H1009-I1009</f>
        <v/>
      </c>
      <c r="K1009">
        <f>IF(A1009="","",IF(J1009&lt;=IFERROR(VLOOKUP(A1009,Cadastro_Produtos!$A:$E,5,FALSE),0),"ABAIXO DO MINIMO","OK"))</f>
        <v/>
      </c>
    </row>
    <row r="1010">
      <c r="B1010">
        <f>IFERROR(VLOOKUP(A1010,Cadastro_Produtos!A:B,2,FALSE),"")</f>
        <v/>
      </c>
      <c r="D1010" s="12" t="n"/>
      <c r="E1010" s="13">
        <f>IF(D1010="","",D1010-TODAY())</f>
        <v/>
      </c>
      <c r="F1010">
        <f>IF(D1010="","",IF(E1010&lt;0,"VENCIDO",IF(E1010&lt;=30,"VENCE EM &lt;= 30 DIAS",IF(E1010&lt;=60,"ATENCAO (31-60 DIAS)","OK"))))</f>
        <v/>
      </c>
      <c r="G1010" s="13">
        <f>SUMIFS(Movimentacoes!$G:$G,Movimentacoes!$C:$C,$A1010,Movimentacoes!$E:$E,$C1010,Movimentacoes!$B:$B,"ENTRADA")</f>
        <v/>
      </c>
      <c r="H1010" s="13">
        <f>SUMIFS(Movimentacoes!$G:$G,Movimentacoes!$C:$C,$A1010,Movimentacoes!$E:$E,$C1010,Movimentacoes!$B:$B,"SAIDA_USO")</f>
        <v/>
      </c>
      <c r="I1010" s="13">
        <f>SUMIFS(Movimentacoes!$G:$G,Movimentacoes!$C:$C,$A1010,Movimentacoes!$E:$E,$C1010,Movimentacoes!$B:$B,"SAIDA_DESCARTE")</f>
        <v/>
      </c>
      <c r="J1010" s="13">
        <f>G1010-H1010-I1010</f>
        <v/>
      </c>
      <c r="K1010">
        <f>IF(A1010="","",IF(J1010&lt;=IFERROR(VLOOKUP(A1010,Cadastro_Produtos!$A:$E,5,FALSE),0),"ABAIXO DO MINIMO","OK"))</f>
        <v/>
      </c>
    </row>
    <row r="1011">
      <c r="B1011">
        <f>IFERROR(VLOOKUP(A1011,Cadastro_Produtos!A:B,2,FALSE),"")</f>
        <v/>
      </c>
      <c r="D1011" s="12" t="n"/>
      <c r="E1011" s="13">
        <f>IF(D1011="","",D1011-TODAY())</f>
        <v/>
      </c>
      <c r="F1011">
        <f>IF(D1011="","",IF(E1011&lt;0,"VENCIDO",IF(E1011&lt;=30,"VENCE EM &lt;= 30 DIAS",IF(E1011&lt;=60,"ATENCAO (31-60 DIAS)","OK"))))</f>
        <v/>
      </c>
      <c r="G1011" s="13">
        <f>SUMIFS(Movimentacoes!$G:$G,Movimentacoes!$C:$C,$A1011,Movimentacoes!$E:$E,$C1011,Movimentacoes!$B:$B,"ENTRADA")</f>
        <v/>
      </c>
      <c r="H1011" s="13">
        <f>SUMIFS(Movimentacoes!$G:$G,Movimentacoes!$C:$C,$A1011,Movimentacoes!$E:$E,$C1011,Movimentacoes!$B:$B,"SAIDA_USO")</f>
        <v/>
      </c>
      <c r="I1011" s="13">
        <f>SUMIFS(Movimentacoes!$G:$G,Movimentacoes!$C:$C,$A1011,Movimentacoes!$E:$E,$C1011,Movimentacoes!$B:$B,"SAIDA_DESCARTE")</f>
        <v/>
      </c>
      <c r="J1011" s="13">
        <f>G1011-H1011-I1011</f>
        <v/>
      </c>
      <c r="K1011">
        <f>IF(A1011="","",IF(J1011&lt;=IFERROR(VLOOKUP(A1011,Cadastro_Produtos!$A:$E,5,FALSE),0),"ABAIXO DO MINIMO","OK"))</f>
        <v/>
      </c>
    </row>
    <row r="1012">
      <c r="B1012">
        <f>IFERROR(VLOOKUP(A1012,Cadastro_Produtos!A:B,2,FALSE),"")</f>
        <v/>
      </c>
      <c r="D1012" s="12" t="n"/>
      <c r="E1012" s="13">
        <f>IF(D1012="","",D1012-TODAY())</f>
        <v/>
      </c>
      <c r="F1012">
        <f>IF(D1012="","",IF(E1012&lt;0,"VENCIDO",IF(E1012&lt;=30,"VENCE EM &lt;= 30 DIAS",IF(E1012&lt;=60,"ATENCAO (31-60 DIAS)","OK"))))</f>
        <v/>
      </c>
      <c r="G1012" s="13">
        <f>SUMIFS(Movimentacoes!$G:$G,Movimentacoes!$C:$C,$A1012,Movimentacoes!$E:$E,$C1012,Movimentacoes!$B:$B,"ENTRADA")</f>
        <v/>
      </c>
      <c r="H1012" s="13">
        <f>SUMIFS(Movimentacoes!$G:$G,Movimentacoes!$C:$C,$A1012,Movimentacoes!$E:$E,$C1012,Movimentacoes!$B:$B,"SAIDA_USO")</f>
        <v/>
      </c>
      <c r="I1012" s="13">
        <f>SUMIFS(Movimentacoes!$G:$G,Movimentacoes!$C:$C,$A1012,Movimentacoes!$E:$E,$C1012,Movimentacoes!$B:$B,"SAIDA_DESCARTE")</f>
        <v/>
      </c>
      <c r="J1012" s="13">
        <f>G1012-H1012-I1012</f>
        <v/>
      </c>
      <c r="K1012">
        <f>IF(A1012="","",IF(J1012&lt;=IFERROR(VLOOKUP(A1012,Cadastro_Produtos!$A:$E,5,FALSE),0),"ABAIXO DO MINIMO","OK"))</f>
        <v/>
      </c>
    </row>
    <row r="1013">
      <c r="B1013">
        <f>IFERROR(VLOOKUP(A1013,Cadastro_Produtos!A:B,2,FALSE),"")</f>
        <v/>
      </c>
      <c r="D1013" s="12" t="n"/>
      <c r="E1013" s="13">
        <f>IF(D1013="","",D1013-TODAY())</f>
        <v/>
      </c>
      <c r="F1013">
        <f>IF(D1013="","",IF(E1013&lt;0,"VENCIDO",IF(E1013&lt;=30,"VENCE EM &lt;= 30 DIAS",IF(E1013&lt;=60,"ATENCAO (31-60 DIAS)","OK"))))</f>
        <v/>
      </c>
      <c r="G1013" s="13">
        <f>SUMIFS(Movimentacoes!$G:$G,Movimentacoes!$C:$C,$A1013,Movimentacoes!$E:$E,$C1013,Movimentacoes!$B:$B,"ENTRADA")</f>
        <v/>
      </c>
      <c r="H1013" s="13">
        <f>SUMIFS(Movimentacoes!$G:$G,Movimentacoes!$C:$C,$A1013,Movimentacoes!$E:$E,$C1013,Movimentacoes!$B:$B,"SAIDA_USO")</f>
        <v/>
      </c>
      <c r="I1013" s="13">
        <f>SUMIFS(Movimentacoes!$G:$G,Movimentacoes!$C:$C,$A1013,Movimentacoes!$E:$E,$C1013,Movimentacoes!$B:$B,"SAIDA_DESCARTE")</f>
        <v/>
      </c>
      <c r="J1013" s="13">
        <f>G1013-H1013-I1013</f>
        <v/>
      </c>
      <c r="K1013">
        <f>IF(A1013="","",IF(J1013&lt;=IFERROR(VLOOKUP(A1013,Cadastro_Produtos!$A:$E,5,FALSE),0),"ABAIXO DO MINIMO","OK"))</f>
        <v/>
      </c>
    </row>
    <row r="1014">
      <c r="B1014">
        <f>IFERROR(VLOOKUP(A1014,Cadastro_Produtos!A:B,2,FALSE),"")</f>
        <v/>
      </c>
      <c r="D1014" s="12" t="n"/>
      <c r="E1014" s="13">
        <f>IF(D1014="","",D1014-TODAY())</f>
        <v/>
      </c>
      <c r="F1014">
        <f>IF(D1014="","",IF(E1014&lt;0,"VENCIDO",IF(E1014&lt;=30,"VENCE EM &lt;= 30 DIAS",IF(E1014&lt;=60,"ATENCAO (31-60 DIAS)","OK"))))</f>
        <v/>
      </c>
      <c r="G1014" s="13">
        <f>SUMIFS(Movimentacoes!$G:$G,Movimentacoes!$C:$C,$A1014,Movimentacoes!$E:$E,$C1014,Movimentacoes!$B:$B,"ENTRADA")</f>
        <v/>
      </c>
      <c r="H1014" s="13">
        <f>SUMIFS(Movimentacoes!$G:$G,Movimentacoes!$C:$C,$A1014,Movimentacoes!$E:$E,$C1014,Movimentacoes!$B:$B,"SAIDA_USO")</f>
        <v/>
      </c>
      <c r="I1014" s="13">
        <f>SUMIFS(Movimentacoes!$G:$G,Movimentacoes!$C:$C,$A1014,Movimentacoes!$E:$E,$C1014,Movimentacoes!$B:$B,"SAIDA_DESCARTE")</f>
        <v/>
      </c>
      <c r="J1014" s="13">
        <f>G1014-H1014-I1014</f>
        <v/>
      </c>
      <c r="K1014">
        <f>IF(A1014="","",IF(J1014&lt;=IFERROR(VLOOKUP(A1014,Cadastro_Produtos!$A:$E,5,FALSE),0),"ABAIXO DO MINIMO","OK"))</f>
        <v/>
      </c>
    </row>
    <row r="1015">
      <c r="B1015">
        <f>IFERROR(VLOOKUP(A1015,Cadastro_Produtos!A:B,2,FALSE),"")</f>
        <v/>
      </c>
      <c r="D1015" s="12" t="n"/>
      <c r="E1015" s="13">
        <f>IF(D1015="","",D1015-TODAY())</f>
        <v/>
      </c>
      <c r="F1015">
        <f>IF(D1015="","",IF(E1015&lt;0,"VENCIDO",IF(E1015&lt;=30,"VENCE EM &lt;= 30 DIAS",IF(E1015&lt;=60,"ATENCAO (31-60 DIAS)","OK"))))</f>
        <v/>
      </c>
      <c r="G1015" s="13">
        <f>SUMIFS(Movimentacoes!$G:$G,Movimentacoes!$C:$C,$A1015,Movimentacoes!$E:$E,$C1015,Movimentacoes!$B:$B,"ENTRADA")</f>
        <v/>
      </c>
      <c r="H1015" s="13">
        <f>SUMIFS(Movimentacoes!$G:$G,Movimentacoes!$C:$C,$A1015,Movimentacoes!$E:$E,$C1015,Movimentacoes!$B:$B,"SAIDA_USO")</f>
        <v/>
      </c>
      <c r="I1015" s="13">
        <f>SUMIFS(Movimentacoes!$G:$G,Movimentacoes!$C:$C,$A1015,Movimentacoes!$E:$E,$C1015,Movimentacoes!$B:$B,"SAIDA_DESCARTE")</f>
        <v/>
      </c>
      <c r="J1015" s="13">
        <f>G1015-H1015-I1015</f>
        <v/>
      </c>
      <c r="K1015">
        <f>IF(A1015="","",IF(J1015&lt;=IFERROR(VLOOKUP(A1015,Cadastro_Produtos!$A:$E,5,FALSE),0),"ABAIXO DO MINIMO","OK"))</f>
        <v/>
      </c>
    </row>
    <row r="1016">
      <c r="B1016">
        <f>IFERROR(VLOOKUP(A1016,Cadastro_Produtos!A:B,2,FALSE),"")</f>
        <v/>
      </c>
      <c r="D1016" s="12" t="n"/>
      <c r="E1016" s="13">
        <f>IF(D1016="","",D1016-TODAY())</f>
        <v/>
      </c>
      <c r="F1016">
        <f>IF(D1016="","",IF(E1016&lt;0,"VENCIDO",IF(E1016&lt;=30,"VENCE EM &lt;= 30 DIAS",IF(E1016&lt;=60,"ATENCAO (31-60 DIAS)","OK"))))</f>
        <v/>
      </c>
      <c r="G1016" s="13">
        <f>SUMIFS(Movimentacoes!$G:$G,Movimentacoes!$C:$C,$A1016,Movimentacoes!$E:$E,$C1016,Movimentacoes!$B:$B,"ENTRADA")</f>
        <v/>
      </c>
      <c r="H1016" s="13">
        <f>SUMIFS(Movimentacoes!$G:$G,Movimentacoes!$C:$C,$A1016,Movimentacoes!$E:$E,$C1016,Movimentacoes!$B:$B,"SAIDA_USO")</f>
        <v/>
      </c>
      <c r="I1016" s="13">
        <f>SUMIFS(Movimentacoes!$G:$G,Movimentacoes!$C:$C,$A1016,Movimentacoes!$E:$E,$C1016,Movimentacoes!$B:$B,"SAIDA_DESCARTE")</f>
        <v/>
      </c>
      <c r="J1016" s="13">
        <f>G1016-H1016-I1016</f>
        <v/>
      </c>
      <c r="K1016">
        <f>IF(A1016="","",IF(J1016&lt;=IFERROR(VLOOKUP(A1016,Cadastro_Produtos!$A:$E,5,FALSE),0),"ABAIXO DO MINIMO","OK"))</f>
        <v/>
      </c>
    </row>
    <row r="1017">
      <c r="B1017">
        <f>IFERROR(VLOOKUP(A1017,Cadastro_Produtos!A:B,2,FALSE),"")</f>
        <v/>
      </c>
      <c r="D1017" s="12" t="n"/>
      <c r="E1017" s="13">
        <f>IF(D1017="","",D1017-TODAY())</f>
        <v/>
      </c>
      <c r="F1017">
        <f>IF(D1017="","",IF(E1017&lt;0,"VENCIDO",IF(E1017&lt;=30,"VENCE EM &lt;= 30 DIAS",IF(E1017&lt;=60,"ATENCAO (31-60 DIAS)","OK"))))</f>
        <v/>
      </c>
      <c r="G1017" s="13">
        <f>SUMIFS(Movimentacoes!$G:$G,Movimentacoes!$C:$C,$A1017,Movimentacoes!$E:$E,$C1017,Movimentacoes!$B:$B,"ENTRADA")</f>
        <v/>
      </c>
      <c r="H1017" s="13">
        <f>SUMIFS(Movimentacoes!$G:$G,Movimentacoes!$C:$C,$A1017,Movimentacoes!$E:$E,$C1017,Movimentacoes!$B:$B,"SAIDA_USO")</f>
        <v/>
      </c>
      <c r="I1017" s="13">
        <f>SUMIFS(Movimentacoes!$G:$G,Movimentacoes!$C:$C,$A1017,Movimentacoes!$E:$E,$C1017,Movimentacoes!$B:$B,"SAIDA_DESCARTE")</f>
        <v/>
      </c>
      <c r="J1017" s="13">
        <f>G1017-H1017-I1017</f>
        <v/>
      </c>
      <c r="K1017">
        <f>IF(A1017="","",IF(J1017&lt;=IFERROR(VLOOKUP(A1017,Cadastro_Produtos!$A:$E,5,FALSE),0),"ABAIXO DO MINIMO","OK"))</f>
        <v/>
      </c>
    </row>
    <row r="1018">
      <c r="B1018">
        <f>IFERROR(VLOOKUP(A1018,Cadastro_Produtos!A:B,2,FALSE),"")</f>
        <v/>
      </c>
      <c r="D1018" s="12" t="n"/>
      <c r="E1018" s="13">
        <f>IF(D1018="","",D1018-TODAY())</f>
        <v/>
      </c>
      <c r="F1018">
        <f>IF(D1018="","",IF(E1018&lt;0,"VENCIDO",IF(E1018&lt;=30,"VENCE EM &lt;= 30 DIAS",IF(E1018&lt;=60,"ATENCAO (31-60 DIAS)","OK"))))</f>
        <v/>
      </c>
      <c r="G1018" s="13">
        <f>SUMIFS(Movimentacoes!$G:$G,Movimentacoes!$C:$C,$A1018,Movimentacoes!$E:$E,$C1018,Movimentacoes!$B:$B,"ENTRADA")</f>
        <v/>
      </c>
      <c r="H1018" s="13">
        <f>SUMIFS(Movimentacoes!$G:$G,Movimentacoes!$C:$C,$A1018,Movimentacoes!$E:$E,$C1018,Movimentacoes!$B:$B,"SAIDA_USO")</f>
        <v/>
      </c>
      <c r="I1018" s="13">
        <f>SUMIFS(Movimentacoes!$G:$G,Movimentacoes!$C:$C,$A1018,Movimentacoes!$E:$E,$C1018,Movimentacoes!$B:$B,"SAIDA_DESCARTE")</f>
        <v/>
      </c>
      <c r="J1018" s="13">
        <f>G1018-H1018-I1018</f>
        <v/>
      </c>
      <c r="K1018">
        <f>IF(A1018="","",IF(J1018&lt;=IFERROR(VLOOKUP(A1018,Cadastro_Produtos!$A:$E,5,FALSE),0),"ABAIXO DO MINIMO","OK"))</f>
        <v/>
      </c>
    </row>
    <row r="1019">
      <c r="B1019">
        <f>IFERROR(VLOOKUP(A1019,Cadastro_Produtos!A:B,2,FALSE),"")</f>
        <v/>
      </c>
      <c r="D1019" s="12" t="n"/>
      <c r="E1019" s="13">
        <f>IF(D1019="","",D1019-TODAY())</f>
        <v/>
      </c>
      <c r="F1019">
        <f>IF(D1019="","",IF(E1019&lt;0,"VENCIDO",IF(E1019&lt;=30,"VENCE EM &lt;= 30 DIAS",IF(E1019&lt;=60,"ATENCAO (31-60 DIAS)","OK"))))</f>
        <v/>
      </c>
      <c r="G1019" s="13">
        <f>SUMIFS(Movimentacoes!$G:$G,Movimentacoes!$C:$C,$A1019,Movimentacoes!$E:$E,$C1019,Movimentacoes!$B:$B,"ENTRADA")</f>
        <v/>
      </c>
      <c r="H1019" s="13">
        <f>SUMIFS(Movimentacoes!$G:$G,Movimentacoes!$C:$C,$A1019,Movimentacoes!$E:$E,$C1019,Movimentacoes!$B:$B,"SAIDA_USO")</f>
        <v/>
      </c>
      <c r="I1019" s="13">
        <f>SUMIFS(Movimentacoes!$G:$G,Movimentacoes!$C:$C,$A1019,Movimentacoes!$E:$E,$C1019,Movimentacoes!$B:$B,"SAIDA_DESCARTE")</f>
        <v/>
      </c>
      <c r="J1019" s="13">
        <f>G1019-H1019-I1019</f>
        <v/>
      </c>
      <c r="K1019">
        <f>IF(A1019="","",IF(J1019&lt;=IFERROR(VLOOKUP(A1019,Cadastro_Produtos!$A:$E,5,FALSE),0),"ABAIXO DO MINIMO","OK"))</f>
        <v/>
      </c>
    </row>
    <row r="1020">
      <c r="B1020">
        <f>IFERROR(VLOOKUP(A1020,Cadastro_Produtos!A:B,2,FALSE),"")</f>
        <v/>
      </c>
      <c r="D1020" s="12" t="n"/>
      <c r="E1020" s="13">
        <f>IF(D1020="","",D1020-TODAY())</f>
        <v/>
      </c>
      <c r="F1020">
        <f>IF(D1020="","",IF(E1020&lt;0,"VENCIDO",IF(E1020&lt;=30,"VENCE EM &lt;= 30 DIAS",IF(E1020&lt;=60,"ATENCAO (31-60 DIAS)","OK"))))</f>
        <v/>
      </c>
      <c r="G1020" s="13">
        <f>SUMIFS(Movimentacoes!$G:$G,Movimentacoes!$C:$C,$A1020,Movimentacoes!$E:$E,$C1020,Movimentacoes!$B:$B,"ENTRADA")</f>
        <v/>
      </c>
      <c r="H1020" s="13">
        <f>SUMIFS(Movimentacoes!$G:$G,Movimentacoes!$C:$C,$A1020,Movimentacoes!$E:$E,$C1020,Movimentacoes!$B:$B,"SAIDA_USO")</f>
        <v/>
      </c>
      <c r="I1020" s="13">
        <f>SUMIFS(Movimentacoes!$G:$G,Movimentacoes!$C:$C,$A1020,Movimentacoes!$E:$E,$C1020,Movimentacoes!$B:$B,"SAIDA_DESCARTE")</f>
        <v/>
      </c>
      <c r="J1020" s="13">
        <f>G1020-H1020-I1020</f>
        <v/>
      </c>
      <c r="K1020">
        <f>IF(A1020="","",IF(J1020&lt;=IFERROR(VLOOKUP(A1020,Cadastro_Produtos!$A:$E,5,FALSE),0),"ABAIXO DO MINIMO","OK"))</f>
        <v/>
      </c>
    </row>
    <row r="1021">
      <c r="B1021">
        <f>IFERROR(VLOOKUP(A1021,Cadastro_Produtos!A:B,2,FALSE),"")</f>
        <v/>
      </c>
      <c r="D1021" s="12" t="n"/>
      <c r="E1021" s="13">
        <f>IF(D1021="","",D1021-TODAY())</f>
        <v/>
      </c>
      <c r="F1021">
        <f>IF(D1021="","",IF(E1021&lt;0,"VENCIDO",IF(E1021&lt;=30,"VENCE EM &lt;= 30 DIAS",IF(E1021&lt;=60,"ATENCAO (31-60 DIAS)","OK"))))</f>
        <v/>
      </c>
      <c r="G1021" s="13">
        <f>SUMIFS(Movimentacoes!$G:$G,Movimentacoes!$C:$C,$A1021,Movimentacoes!$E:$E,$C1021,Movimentacoes!$B:$B,"ENTRADA")</f>
        <v/>
      </c>
      <c r="H1021" s="13">
        <f>SUMIFS(Movimentacoes!$G:$G,Movimentacoes!$C:$C,$A1021,Movimentacoes!$E:$E,$C1021,Movimentacoes!$B:$B,"SAIDA_USO")</f>
        <v/>
      </c>
      <c r="I1021" s="13">
        <f>SUMIFS(Movimentacoes!$G:$G,Movimentacoes!$C:$C,$A1021,Movimentacoes!$E:$E,$C1021,Movimentacoes!$B:$B,"SAIDA_DESCARTE")</f>
        <v/>
      </c>
      <c r="J1021" s="13">
        <f>G1021-H1021-I1021</f>
        <v/>
      </c>
      <c r="K1021">
        <f>IF(A1021="","",IF(J1021&lt;=IFERROR(VLOOKUP(A1021,Cadastro_Produtos!$A:$E,5,FALSE),0),"ABAIXO DO MINIMO","OK"))</f>
        <v/>
      </c>
    </row>
    <row r="1022">
      <c r="B1022">
        <f>IFERROR(VLOOKUP(A1022,Cadastro_Produtos!A:B,2,FALSE),"")</f>
        <v/>
      </c>
      <c r="D1022" s="12" t="n"/>
      <c r="E1022" s="13">
        <f>IF(D1022="","",D1022-TODAY())</f>
        <v/>
      </c>
      <c r="F1022">
        <f>IF(D1022="","",IF(E1022&lt;0,"VENCIDO",IF(E1022&lt;=30,"VENCE EM &lt;= 30 DIAS",IF(E1022&lt;=60,"ATENCAO (31-60 DIAS)","OK"))))</f>
        <v/>
      </c>
      <c r="G1022" s="13">
        <f>SUMIFS(Movimentacoes!$G:$G,Movimentacoes!$C:$C,$A1022,Movimentacoes!$E:$E,$C1022,Movimentacoes!$B:$B,"ENTRADA")</f>
        <v/>
      </c>
      <c r="H1022" s="13">
        <f>SUMIFS(Movimentacoes!$G:$G,Movimentacoes!$C:$C,$A1022,Movimentacoes!$E:$E,$C1022,Movimentacoes!$B:$B,"SAIDA_USO")</f>
        <v/>
      </c>
      <c r="I1022" s="13">
        <f>SUMIFS(Movimentacoes!$G:$G,Movimentacoes!$C:$C,$A1022,Movimentacoes!$E:$E,$C1022,Movimentacoes!$B:$B,"SAIDA_DESCARTE")</f>
        <v/>
      </c>
      <c r="J1022" s="13">
        <f>G1022-H1022-I1022</f>
        <v/>
      </c>
      <c r="K1022">
        <f>IF(A1022="","",IF(J1022&lt;=IFERROR(VLOOKUP(A1022,Cadastro_Produtos!$A:$E,5,FALSE),0),"ABAIXO DO MINIMO","OK"))</f>
        <v/>
      </c>
    </row>
    <row r="1023">
      <c r="B1023">
        <f>IFERROR(VLOOKUP(A1023,Cadastro_Produtos!A:B,2,FALSE),"")</f>
        <v/>
      </c>
      <c r="D1023" s="12" t="n"/>
      <c r="E1023" s="13">
        <f>IF(D1023="","",D1023-TODAY())</f>
        <v/>
      </c>
      <c r="F1023">
        <f>IF(D1023="","",IF(E1023&lt;0,"VENCIDO",IF(E1023&lt;=30,"VENCE EM &lt;= 30 DIAS",IF(E1023&lt;=60,"ATENCAO (31-60 DIAS)","OK"))))</f>
        <v/>
      </c>
      <c r="G1023" s="13">
        <f>SUMIFS(Movimentacoes!$G:$G,Movimentacoes!$C:$C,$A1023,Movimentacoes!$E:$E,$C1023,Movimentacoes!$B:$B,"ENTRADA")</f>
        <v/>
      </c>
      <c r="H1023" s="13">
        <f>SUMIFS(Movimentacoes!$G:$G,Movimentacoes!$C:$C,$A1023,Movimentacoes!$E:$E,$C1023,Movimentacoes!$B:$B,"SAIDA_USO")</f>
        <v/>
      </c>
      <c r="I1023" s="13">
        <f>SUMIFS(Movimentacoes!$G:$G,Movimentacoes!$C:$C,$A1023,Movimentacoes!$E:$E,$C1023,Movimentacoes!$B:$B,"SAIDA_DESCARTE")</f>
        <v/>
      </c>
      <c r="J1023" s="13">
        <f>G1023-H1023-I1023</f>
        <v/>
      </c>
      <c r="K1023">
        <f>IF(A1023="","",IF(J1023&lt;=IFERROR(VLOOKUP(A1023,Cadastro_Produtos!$A:$E,5,FALSE),0),"ABAIXO DO MINIMO","OK"))</f>
        <v/>
      </c>
    </row>
    <row r="1024">
      <c r="B1024">
        <f>IFERROR(VLOOKUP(A1024,Cadastro_Produtos!A:B,2,FALSE),"")</f>
        <v/>
      </c>
      <c r="D1024" s="12" t="n"/>
      <c r="E1024" s="13">
        <f>IF(D1024="","",D1024-TODAY())</f>
        <v/>
      </c>
      <c r="F1024">
        <f>IF(D1024="","",IF(E1024&lt;0,"VENCIDO",IF(E1024&lt;=30,"VENCE EM &lt;= 30 DIAS",IF(E1024&lt;=60,"ATENCAO (31-60 DIAS)","OK"))))</f>
        <v/>
      </c>
      <c r="G1024" s="13">
        <f>SUMIFS(Movimentacoes!$G:$G,Movimentacoes!$C:$C,$A1024,Movimentacoes!$E:$E,$C1024,Movimentacoes!$B:$B,"ENTRADA")</f>
        <v/>
      </c>
      <c r="H1024" s="13">
        <f>SUMIFS(Movimentacoes!$G:$G,Movimentacoes!$C:$C,$A1024,Movimentacoes!$E:$E,$C1024,Movimentacoes!$B:$B,"SAIDA_USO")</f>
        <v/>
      </c>
      <c r="I1024" s="13">
        <f>SUMIFS(Movimentacoes!$G:$G,Movimentacoes!$C:$C,$A1024,Movimentacoes!$E:$E,$C1024,Movimentacoes!$B:$B,"SAIDA_DESCARTE")</f>
        <v/>
      </c>
      <c r="J1024" s="13">
        <f>G1024-H1024-I1024</f>
        <v/>
      </c>
      <c r="K1024">
        <f>IF(A1024="","",IF(J1024&lt;=IFERROR(VLOOKUP(A1024,Cadastro_Produtos!$A:$E,5,FALSE),0),"ABAIXO DO MINIMO","OK"))</f>
        <v/>
      </c>
    </row>
    <row r="1025">
      <c r="B1025">
        <f>IFERROR(VLOOKUP(A1025,Cadastro_Produtos!A:B,2,FALSE),"")</f>
        <v/>
      </c>
      <c r="D1025" s="12" t="n"/>
      <c r="E1025" s="13">
        <f>IF(D1025="","",D1025-TODAY())</f>
        <v/>
      </c>
      <c r="F1025">
        <f>IF(D1025="","",IF(E1025&lt;0,"VENCIDO",IF(E1025&lt;=30,"VENCE EM &lt;= 30 DIAS",IF(E1025&lt;=60,"ATENCAO (31-60 DIAS)","OK"))))</f>
        <v/>
      </c>
      <c r="G1025" s="13">
        <f>SUMIFS(Movimentacoes!$G:$G,Movimentacoes!$C:$C,$A1025,Movimentacoes!$E:$E,$C1025,Movimentacoes!$B:$B,"ENTRADA")</f>
        <v/>
      </c>
      <c r="H1025" s="13">
        <f>SUMIFS(Movimentacoes!$G:$G,Movimentacoes!$C:$C,$A1025,Movimentacoes!$E:$E,$C1025,Movimentacoes!$B:$B,"SAIDA_USO")</f>
        <v/>
      </c>
      <c r="I1025" s="13">
        <f>SUMIFS(Movimentacoes!$G:$G,Movimentacoes!$C:$C,$A1025,Movimentacoes!$E:$E,$C1025,Movimentacoes!$B:$B,"SAIDA_DESCARTE")</f>
        <v/>
      </c>
      <c r="J1025" s="13">
        <f>G1025-H1025-I1025</f>
        <v/>
      </c>
      <c r="K1025">
        <f>IF(A1025="","",IF(J1025&lt;=IFERROR(VLOOKUP(A1025,Cadastro_Produtos!$A:$E,5,FALSE),0),"ABAIXO DO MINIMO","OK"))</f>
        <v/>
      </c>
    </row>
    <row r="1026">
      <c r="B1026">
        <f>IFERROR(VLOOKUP(A1026,Cadastro_Produtos!A:B,2,FALSE),"")</f>
        <v/>
      </c>
      <c r="D1026" s="12" t="n"/>
      <c r="E1026" s="13">
        <f>IF(D1026="","",D1026-TODAY())</f>
        <v/>
      </c>
      <c r="F1026">
        <f>IF(D1026="","",IF(E1026&lt;0,"VENCIDO",IF(E1026&lt;=30,"VENCE EM &lt;= 30 DIAS",IF(E1026&lt;=60,"ATENCAO (31-60 DIAS)","OK"))))</f>
        <v/>
      </c>
      <c r="G1026" s="13">
        <f>SUMIFS(Movimentacoes!$G:$G,Movimentacoes!$C:$C,$A1026,Movimentacoes!$E:$E,$C1026,Movimentacoes!$B:$B,"ENTRADA")</f>
        <v/>
      </c>
      <c r="H1026" s="13">
        <f>SUMIFS(Movimentacoes!$G:$G,Movimentacoes!$C:$C,$A1026,Movimentacoes!$E:$E,$C1026,Movimentacoes!$B:$B,"SAIDA_USO")</f>
        <v/>
      </c>
      <c r="I1026" s="13">
        <f>SUMIFS(Movimentacoes!$G:$G,Movimentacoes!$C:$C,$A1026,Movimentacoes!$E:$E,$C1026,Movimentacoes!$B:$B,"SAIDA_DESCARTE")</f>
        <v/>
      </c>
      <c r="J1026" s="13">
        <f>G1026-H1026-I1026</f>
        <v/>
      </c>
      <c r="K1026">
        <f>IF(A1026="","",IF(J1026&lt;=IFERROR(VLOOKUP(A1026,Cadastro_Produtos!$A:$E,5,FALSE),0),"ABAIXO DO MINIMO","OK"))</f>
        <v/>
      </c>
    </row>
    <row r="1027">
      <c r="B1027">
        <f>IFERROR(VLOOKUP(A1027,Cadastro_Produtos!A:B,2,FALSE),"")</f>
        <v/>
      </c>
      <c r="D1027" s="12" t="n"/>
      <c r="E1027" s="13">
        <f>IF(D1027="","",D1027-TODAY())</f>
        <v/>
      </c>
      <c r="F1027">
        <f>IF(D1027="","",IF(E1027&lt;0,"VENCIDO",IF(E1027&lt;=30,"VENCE EM &lt;= 30 DIAS",IF(E1027&lt;=60,"ATENCAO (31-60 DIAS)","OK"))))</f>
        <v/>
      </c>
      <c r="G1027" s="13">
        <f>SUMIFS(Movimentacoes!$G:$G,Movimentacoes!$C:$C,$A1027,Movimentacoes!$E:$E,$C1027,Movimentacoes!$B:$B,"ENTRADA")</f>
        <v/>
      </c>
      <c r="H1027" s="13">
        <f>SUMIFS(Movimentacoes!$G:$G,Movimentacoes!$C:$C,$A1027,Movimentacoes!$E:$E,$C1027,Movimentacoes!$B:$B,"SAIDA_USO")</f>
        <v/>
      </c>
      <c r="I1027" s="13">
        <f>SUMIFS(Movimentacoes!$G:$G,Movimentacoes!$C:$C,$A1027,Movimentacoes!$E:$E,$C1027,Movimentacoes!$B:$B,"SAIDA_DESCARTE")</f>
        <v/>
      </c>
      <c r="J1027" s="13">
        <f>G1027-H1027-I1027</f>
        <v/>
      </c>
      <c r="K1027">
        <f>IF(A1027="","",IF(J1027&lt;=IFERROR(VLOOKUP(A1027,Cadastro_Produtos!$A:$E,5,FALSE),0),"ABAIXO DO MINIMO","OK"))</f>
        <v/>
      </c>
    </row>
    <row r="1028">
      <c r="B1028">
        <f>IFERROR(VLOOKUP(A1028,Cadastro_Produtos!A:B,2,FALSE),"")</f>
        <v/>
      </c>
      <c r="D1028" s="12" t="n"/>
      <c r="E1028" s="13">
        <f>IF(D1028="","",D1028-TODAY())</f>
        <v/>
      </c>
      <c r="F1028">
        <f>IF(D1028="","",IF(E1028&lt;0,"VENCIDO",IF(E1028&lt;=30,"VENCE EM &lt;= 30 DIAS",IF(E1028&lt;=60,"ATENCAO (31-60 DIAS)","OK"))))</f>
        <v/>
      </c>
      <c r="G1028" s="13">
        <f>SUMIFS(Movimentacoes!$G:$G,Movimentacoes!$C:$C,$A1028,Movimentacoes!$E:$E,$C1028,Movimentacoes!$B:$B,"ENTRADA")</f>
        <v/>
      </c>
      <c r="H1028" s="13">
        <f>SUMIFS(Movimentacoes!$G:$G,Movimentacoes!$C:$C,$A1028,Movimentacoes!$E:$E,$C1028,Movimentacoes!$B:$B,"SAIDA_USO")</f>
        <v/>
      </c>
      <c r="I1028" s="13">
        <f>SUMIFS(Movimentacoes!$G:$G,Movimentacoes!$C:$C,$A1028,Movimentacoes!$E:$E,$C1028,Movimentacoes!$B:$B,"SAIDA_DESCARTE")</f>
        <v/>
      </c>
      <c r="J1028" s="13">
        <f>G1028-H1028-I1028</f>
        <v/>
      </c>
      <c r="K1028">
        <f>IF(A1028="","",IF(J1028&lt;=IFERROR(VLOOKUP(A1028,Cadastro_Produtos!$A:$E,5,FALSE),0),"ABAIXO DO MINIMO","OK"))</f>
        <v/>
      </c>
    </row>
    <row r="1029">
      <c r="B1029">
        <f>IFERROR(VLOOKUP(A1029,Cadastro_Produtos!A:B,2,FALSE),"")</f>
        <v/>
      </c>
      <c r="D1029" s="12" t="n"/>
      <c r="E1029" s="13">
        <f>IF(D1029="","",D1029-TODAY())</f>
        <v/>
      </c>
      <c r="F1029">
        <f>IF(D1029="","",IF(E1029&lt;0,"VENCIDO",IF(E1029&lt;=30,"VENCE EM &lt;= 30 DIAS",IF(E1029&lt;=60,"ATENCAO (31-60 DIAS)","OK"))))</f>
        <v/>
      </c>
      <c r="G1029" s="13">
        <f>SUMIFS(Movimentacoes!$G:$G,Movimentacoes!$C:$C,$A1029,Movimentacoes!$E:$E,$C1029,Movimentacoes!$B:$B,"ENTRADA")</f>
        <v/>
      </c>
      <c r="H1029" s="13">
        <f>SUMIFS(Movimentacoes!$G:$G,Movimentacoes!$C:$C,$A1029,Movimentacoes!$E:$E,$C1029,Movimentacoes!$B:$B,"SAIDA_USO")</f>
        <v/>
      </c>
      <c r="I1029" s="13">
        <f>SUMIFS(Movimentacoes!$G:$G,Movimentacoes!$C:$C,$A1029,Movimentacoes!$E:$E,$C1029,Movimentacoes!$B:$B,"SAIDA_DESCARTE")</f>
        <v/>
      </c>
      <c r="J1029" s="13">
        <f>G1029-H1029-I1029</f>
        <v/>
      </c>
      <c r="K1029">
        <f>IF(A1029="","",IF(J1029&lt;=IFERROR(VLOOKUP(A1029,Cadastro_Produtos!$A:$E,5,FALSE),0),"ABAIXO DO MINIMO","OK"))</f>
        <v/>
      </c>
    </row>
    <row r="1030">
      <c r="B1030">
        <f>IFERROR(VLOOKUP(A1030,Cadastro_Produtos!A:B,2,FALSE),"")</f>
        <v/>
      </c>
      <c r="D1030" s="12" t="n"/>
      <c r="E1030" s="13">
        <f>IF(D1030="","",D1030-TODAY())</f>
        <v/>
      </c>
      <c r="F1030">
        <f>IF(D1030="","",IF(E1030&lt;0,"VENCIDO",IF(E1030&lt;=30,"VENCE EM &lt;= 30 DIAS",IF(E1030&lt;=60,"ATENCAO (31-60 DIAS)","OK"))))</f>
        <v/>
      </c>
      <c r="G1030" s="13">
        <f>SUMIFS(Movimentacoes!$G:$G,Movimentacoes!$C:$C,$A1030,Movimentacoes!$E:$E,$C1030,Movimentacoes!$B:$B,"ENTRADA")</f>
        <v/>
      </c>
      <c r="H1030" s="13">
        <f>SUMIFS(Movimentacoes!$G:$G,Movimentacoes!$C:$C,$A1030,Movimentacoes!$E:$E,$C1030,Movimentacoes!$B:$B,"SAIDA_USO")</f>
        <v/>
      </c>
      <c r="I1030" s="13">
        <f>SUMIFS(Movimentacoes!$G:$G,Movimentacoes!$C:$C,$A1030,Movimentacoes!$E:$E,$C1030,Movimentacoes!$B:$B,"SAIDA_DESCARTE")</f>
        <v/>
      </c>
      <c r="J1030" s="13">
        <f>G1030-H1030-I1030</f>
        <v/>
      </c>
      <c r="K1030">
        <f>IF(A1030="","",IF(J1030&lt;=IFERROR(VLOOKUP(A1030,Cadastro_Produtos!$A:$E,5,FALSE),0),"ABAIXO DO MINIMO","OK"))</f>
        <v/>
      </c>
    </row>
    <row r="1031">
      <c r="B1031">
        <f>IFERROR(VLOOKUP(A1031,Cadastro_Produtos!A:B,2,FALSE),"")</f>
        <v/>
      </c>
      <c r="D1031" s="12" t="n"/>
      <c r="E1031" s="13">
        <f>IF(D1031="","",D1031-TODAY())</f>
        <v/>
      </c>
      <c r="F1031">
        <f>IF(D1031="","",IF(E1031&lt;0,"VENCIDO",IF(E1031&lt;=30,"VENCE EM &lt;= 30 DIAS",IF(E1031&lt;=60,"ATENCAO (31-60 DIAS)","OK"))))</f>
        <v/>
      </c>
      <c r="G1031" s="13">
        <f>SUMIFS(Movimentacoes!$G:$G,Movimentacoes!$C:$C,$A1031,Movimentacoes!$E:$E,$C1031,Movimentacoes!$B:$B,"ENTRADA")</f>
        <v/>
      </c>
      <c r="H1031" s="13">
        <f>SUMIFS(Movimentacoes!$G:$G,Movimentacoes!$C:$C,$A1031,Movimentacoes!$E:$E,$C1031,Movimentacoes!$B:$B,"SAIDA_USO")</f>
        <v/>
      </c>
      <c r="I1031" s="13">
        <f>SUMIFS(Movimentacoes!$G:$G,Movimentacoes!$C:$C,$A1031,Movimentacoes!$E:$E,$C1031,Movimentacoes!$B:$B,"SAIDA_DESCARTE")</f>
        <v/>
      </c>
      <c r="J1031" s="13">
        <f>G1031-H1031-I1031</f>
        <v/>
      </c>
      <c r="K1031">
        <f>IF(A1031="","",IF(J1031&lt;=IFERROR(VLOOKUP(A1031,Cadastro_Produtos!$A:$E,5,FALSE),0),"ABAIXO DO MINIMO","OK"))</f>
        <v/>
      </c>
    </row>
    <row r="1032">
      <c r="B1032">
        <f>IFERROR(VLOOKUP(A1032,Cadastro_Produtos!A:B,2,FALSE),"")</f>
        <v/>
      </c>
      <c r="D1032" s="12" t="n"/>
      <c r="E1032" s="13">
        <f>IF(D1032="","",D1032-TODAY())</f>
        <v/>
      </c>
      <c r="F1032">
        <f>IF(D1032="","",IF(E1032&lt;0,"VENCIDO",IF(E1032&lt;=30,"VENCE EM &lt;= 30 DIAS",IF(E1032&lt;=60,"ATENCAO (31-60 DIAS)","OK"))))</f>
        <v/>
      </c>
      <c r="G1032" s="13">
        <f>SUMIFS(Movimentacoes!$G:$G,Movimentacoes!$C:$C,$A1032,Movimentacoes!$E:$E,$C1032,Movimentacoes!$B:$B,"ENTRADA")</f>
        <v/>
      </c>
      <c r="H1032" s="13">
        <f>SUMIFS(Movimentacoes!$G:$G,Movimentacoes!$C:$C,$A1032,Movimentacoes!$E:$E,$C1032,Movimentacoes!$B:$B,"SAIDA_USO")</f>
        <v/>
      </c>
      <c r="I1032" s="13">
        <f>SUMIFS(Movimentacoes!$G:$G,Movimentacoes!$C:$C,$A1032,Movimentacoes!$E:$E,$C1032,Movimentacoes!$B:$B,"SAIDA_DESCARTE")</f>
        <v/>
      </c>
      <c r="J1032" s="13">
        <f>G1032-H1032-I1032</f>
        <v/>
      </c>
      <c r="K1032">
        <f>IF(A1032="","",IF(J1032&lt;=IFERROR(VLOOKUP(A1032,Cadastro_Produtos!$A:$E,5,FALSE),0),"ABAIXO DO MINIMO","OK"))</f>
        <v/>
      </c>
    </row>
    <row r="1033">
      <c r="B1033">
        <f>IFERROR(VLOOKUP(A1033,Cadastro_Produtos!A:B,2,FALSE),"")</f>
        <v/>
      </c>
      <c r="D1033" s="12" t="n"/>
      <c r="E1033" s="13">
        <f>IF(D1033="","",D1033-TODAY())</f>
        <v/>
      </c>
      <c r="F1033">
        <f>IF(D1033="","",IF(E1033&lt;0,"VENCIDO",IF(E1033&lt;=30,"VENCE EM &lt;= 30 DIAS",IF(E1033&lt;=60,"ATENCAO (31-60 DIAS)","OK"))))</f>
        <v/>
      </c>
      <c r="G1033" s="13">
        <f>SUMIFS(Movimentacoes!$G:$G,Movimentacoes!$C:$C,$A1033,Movimentacoes!$E:$E,$C1033,Movimentacoes!$B:$B,"ENTRADA")</f>
        <v/>
      </c>
      <c r="H1033" s="13">
        <f>SUMIFS(Movimentacoes!$G:$G,Movimentacoes!$C:$C,$A1033,Movimentacoes!$E:$E,$C1033,Movimentacoes!$B:$B,"SAIDA_USO")</f>
        <v/>
      </c>
      <c r="I1033" s="13">
        <f>SUMIFS(Movimentacoes!$G:$G,Movimentacoes!$C:$C,$A1033,Movimentacoes!$E:$E,$C1033,Movimentacoes!$B:$B,"SAIDA_DESCARTE")</f>
        <v/>
      </c>
      <c r="J1033" s="13">
        <f>G1033-H1033-I1033</f>
        <v/>
      </c>
      <c r="K1033">
        <f>IF(A1033="","",IF(J1033&lt;=IFERROR(VLOOKUP(A1033,Cadastro_Produtos!$A:$E,5,FALSE),0),"ABAIXO DO MINIMO","OK"))</f>
        <v/>
      </c>
    </row>
    <row r="1034">
      <c r="B1034">
        <f>IFERROR(VLOOKUP(A1034,Cadastro_Produtos!A:B,2,FALSE),"")</f>
        <v/>
      </c>
      <c r="D1034" s="12" t="n"/>
      <c r="E1034" s="13">
        <f>IF(D1034="","",D1034-TODAY())</f>
        <v/>
      </c>
      <c r="F1034">
        <f>IF(D1034="","",IF(E1034&lt;0,"VENCIDO",IF(E1034&lt;=30,"VENCE EM &lt;= 30 DIAS",IF(E1034&lt;=60,"ATENCAO (31-60 DIAS)","OK"))))</f>
        <v/>
      </c>
      <c r="G1034" s="13">
        <f>SUMIFS(Movimentacoes!$G:$G,Movimentacoes!$C:$C,$A1034,Movimentacoes!$E:$E,$C1034,Movimentacoes!$B:$B,"ENTRADA")</f>
        <v/>
      </c>
      <c r="H1034" s="13">
        <f>SUMIFS(Movimentacoes!$G:$G,Movimentacoes!$C:$C,$A1034,Movimentacoes!$E:$E,$C1034,Movimentacoes!$B:$B,"SAIDA_USO")</f>
        <v/>
      </c>
      <c r="I1034" s="13">
        <f>SUMIFS(Movimentacoes!$G:$G,Movimentacoes!$C:$C,$A1034,Movimentacoes!$E:$E,$C1034,Movimentacoes!$B:$B,"SAIDA_DESCARTE")</f>
        <v/>
      </c>
      <c r="J1034" s="13">
        <f>G1034-H1034-I1034</f>
        <v/>
      </c>
      <c r="K1034">
        <f>IF(A1034="","",IF(J1034&lt;=IFERROR(VLOOKUP(A1034,Cadastro_Produtos!$A:$E,5,FALSE),0),"ABAIXO DO MINIMO","OK"))</f>
        <v/>
      </c>
    </row>
    <row r="1035">
      <c r="B1035">
        <f>IFERROR(VLOOKUP(A1035,Cadastro_Produtos!A:B,2,FALSE),"")</f>
        <v/>
      </c>
      <c r="D1035" s="12" t="n"/>
      <c r="E1035" s="13">
        <f>IF(D1035="","",D1035-TODAY())</f>
        <v/>
      </c>
      <c r="F1035">
        <f>IF(D1035="","",IF(E1035&lt;0,"VENCIDO",IF(E1035&lt;=30,"VENCE EM &lt;= 30 DIAS",IF(E1035&lt;=60,"ATENCAO (31-60 DIAS)","OK"))))</f>
        <v/>
      </c>
      <c r="G1035" s="13">
        <f>SUMIFS(Movimentacoes!$G:$G,Movimentacoes!$C:$C,$A1035,Movimentacoes!$E:$E,$C1035,Movimentacoes!$B:$B,"ENTRADA")</f>
        <v/>
      </c>
      <c r="H1035" s="13">
        <f>SUMIFS(Movimentacoes!$G:$G,Movimentacoes!$C:$C,$A1035,Movimentacoes!$E:$E,$C1035,Movimentacoes!$B:$B,"SAIDA_USO")</f>
        <v/>
      </c>
      <c r="I1035" s="13">
        <f>SUMIFS(Movimentacoes!$G:$G,Movimentacoes!$C:$C,$A1035,Movimentacoes!$E:$E,$C1035,Movimentacoes!$B:$B,"SAIDA_DESCARTE")</f>
        <v/>
      </c>
      <c r="J1035" s="13">
        <f>G1035-H1035-I1035</f>
        <v/>
      </c>
      <c r="K1035">
        <f>IF(A1035="","",IF(J1035&lt;=IFERROR(VLOOKUP(A1035,Cadastro_Produtos!$A:$E,5,FALSE),0),"ABAIXO DO MINIMO","OK"))</f>
        <v/>
      </c>
    </row>
    <row r="1036">
      <c r="B1036">
        <f>IFERROR(VLOOKUP(A1036,Cadastro_Produtos!A:B,2,FALSE),"")</f>
        <v/>
      </c>
      <c r="D1036" s="12" t="n"/>
      <c r="E1036" s="13">
        <f>IF(D1036="","",D1036-TODAY())</f>
        <v/>
      </c>
      <c r="F1036">
        <f>IF(D1036="","",IF(E1036&lt;0,"VENCIDO",IF(E1036&lt;=30,"VENCE EM &lt;= 30 DIAS",IF(E1036&lt;=60,"ATENCAO (31-60 DIAS)","OK"))))</f>
        <v/>
      </c>
      <c r="G1036" s="13">
        <f>SUMIFS(Movimentacoes!$G:$G,Movimentacoes!$C:$C,$A1036,Movimentacoes!$E:$E,$C1036,Movimentacoes!$B:$B,"ENTRADA")</f>
        <v/>
      </c>
      <c r="H1036" s="13">
        <f>SUMIFS(Movimentacoes!$G:$G,Movimentacoes!$C:$C,$A1036,Movimentacoes!$E:$E,$C1036,Movimentacoes!$B:$B,"SAIDA_USO")</f>
        <v/>
      </c>
      <c r="I1036" s="13">
        <f>SUMIFS(Movimentacoes!$G:$G,Movimentacoes!$C:$C,$A1036,Movimentacoes!$E:$E,$C1036,Movimentacoes!$B:$B,"SAIDA_DESCARTE")</f>
        <v/>
      </c>
      <c r="J1036" s="13">
        <f>G1036-H1036-I1036</f>
        <v/>
      </c>
      <c r="K1036">
        <f>IF(A1036="","",IF(J1036&lt;=IFERROR(VLOOKUP(A1036,Cadastro_Produtos!$A:$E,5,FALSE),0),"ABAIXO DO MINIMO","OK"))</f>
        <v/>
      </c>
    </row>
    <row r="1037">
      <c r="B1037">
        <f>IFERROR(VLOOKUP(A1037,Cadastro_Produtos!A:B,2,FALSE),"")</f>
        <v/>
      </c>
      <c r="D1037" s="12" t="n"/>
      <c r="E1037" s="13">
        <f>IF(D1037="","",D1037-TODAY())</f>
        <v/>
      </c>
      <c r="F1037">
        <f>IF(D1037="","",IF(E1037&lt;0,"VENCIDO",IF(E1037&lt;=30,"VENCE EM &lt;= 30 DIAS",IF(E1037&lt;=60,"ATENCAO (31-60 DIAS)","OK"))))</f>
        <v/>
      </c>
      <c r="G1037" s="13">
        <f>SUMIFS(Movimentacoes!$G:$G,Movimentacoes!$C:$C,$A1037,Movimentacoes!$E:$E,$C1037,Movimentacoes!$B:$B,"ENTRADA")</f>
        <v/>
      </c>
      <c r="H1037" s="13">
        <f>SUMIFS(Movimentacoes!$G:$G,Movimentacoes!$C:$C,$A1037,Movimentacoes!$E:$E,$C1037,Movimentacoes!$B:$B,"SAIDA_USO")</f>
        <v/>
      </c>
      <c r="I1037" s="13">
        <f>SUMIFS(Movimentacoes!$G:$G,Movimentacoes!$C:$C,$A1037,Movimentacoes!$E:$E,$C1037,Movimentacoes!$B:$B,"SAIDA_DESCARTE")</f>
        <v/>
      </c>
      <c r="J1037" s="13">
        <f>G1037-H1037-I1037</f>
        <v/>
      </c>
      <c r="K1037">
        <f>IF(A1037="","",IF(J1037&lt;=IFERROR(VLOOKUP(A1037,Cadastro_Produtos!$A:$E,5,FALSE),0),"ABAIXO DO MINIMO","OK"))</f>
        <v/>
      </c>
    </row>
    <row r="1038">
      <c r="B1038">
        <f>IFERROR(VLOOKUP(A1038,Cadastro_Produtos!A:B,2,FALSE),"")</f>
        <v/>
      </c>
      <c r="D1038" s="12" t="n"/>
      <c r="E1038" s="13">
        <f>IF(D1038="","",D1038-TODAY())</f>
        <v/>
      </c>
      <c r="F1038">
        <f>IF(D1038="","",IF(E1038&lt;0,"VENCIDO",IF(E1038&lt;=30,"VENCE EM &lt;= 30 DIAS",IF(E1038&lt;=60,"ATENCAO (31-60 DIAS)","OK"))))</f>
        <v/>
      </c>
      <c r="G1038" s="13">
        <f>SUMIFS(Movimentacoes!$G:$G,Movimentacoes!$C:$C,$A1038,Movimentacoes!$E:$E,$C1038,Movimentacoes!$B:$B,"ENTRADA")</f>
        <v/>
      </c>
      <c r="H1038" s="13">
        <f>SUMIFS(Movimentacoes!$G:$G,Movimentacoes!$C:$C,$A1038,Movimentacoes!$E:$E,$C1038,Movimentacoes!$B:$B,"SAIDA_USO")</f>
        <v/>
      </c>
      <c r="I1038" s="13">
        <f>SUMIFS(Movimentacoes!$G:$G,Movimentacoes!$C:$C,$A1038,Movimentacoes!$E:$E,$C1038,Movimentacoes!$B:$B,"SAIDA_DESCARTE")</f>
        <v/>
      </c>
      <c r="J1038" s="13">
        <f>G1038-H1038-I1038</f>
        <v/>
      </c>
      <c r="K1038">
        <f>IF(A1038="","",IF(J1038&lt;=IFERROR(VLOOKUP(A1038,Cadastro_Produtos!$A:$E,5,FALSE),0),"ABAIXO DO MINIMO","OK"))</f>
        <v/>
      </c>
    </row>
    <row r="1039">
      <c r="B1039">
        <f>IFERROR(VLOOKUP(A1039,Cadastro_Produtos!A:B,2,FALSE),"")</f>
        <v/>
      </c>
      <c r="D1039" s="12" t="n"/>
      <c r="E1039" s="13">
        <f>IF(D1039="","",D1039-TODAY())</f>
        <v/>
      </c>
      <c r="F1039">
        <f>IF(D1039="","",IF(E1039&lt;0,"VENCIDO",IF(E1039&lt;=30,"VENCE EM &lt;= 30 DIAS",IF(E1039&lt;=60,"ATENCAO (31-60 DIAS)","OK"))))</f>
        <v/>
      </c>
      <c r="G1039" s="13">
        <f>SUMIFS(Movimentacoes!$G:$G,Movimentacoes!$C:$C,$A1039,Movimentacoes!$E:$E,$C1039,Movimentacoes!$B:$B,"ENTRADA")</f>
        <v/>
      </c>
      <c r="H1039" s="13">
        <f>SUMIFS(Movimentacoes!$G:$G,Movimentacoes!$C:$C,$A1039,Movimentacoes!$E:$E,$C1039,Movimentacoes!$B:$B,"SAIDA_USO")</f>
        <v/>
      </c>
      <c r="I1039" s="13">
        <f>SUMIFS(Movimentacoes!$G:$G,Movimentacoes!$C:$C,$A1039,Movimentacoes!$E:$E,$C1039,Movimentacoes!$B:$B,"SAIDA_DESCARTE")</f>
        <v/>
      </c>
      <c r="J1039" s="13">
        <f>G1039-H1039-I1039</f>
        <v/>
      </c>
      <c r="K1039">
        <f>IF(A1039="","",IF(J1039&lt;=IFERROR(VLOOKUP(A1039,Cadastro_Produtos!$A:$E,5,FALSE),0),"ABAIXO DO MINIMO","OK"))</f>
        <v/>
      </c>
    </row>
    <row r="1040">
      <c r="B1040">
        <f>IFERROR(VLOOKUP(A1040,Cadastro_Produtos!A:B,2,FALSE),"")</f>
        <v/>
      </c>
      <c r="D1040" s="12" t="n"/>
      <c r="E1040" s="13">
        <f>IF(D1040="","",D1040-TODAY())</f>
        <v/>
      </c>
      <c r="F1040">
        <f>IF(D1040="","",IF(E1040&lt;0,"VENCIDO",IF(E1040&lt;=30,"VENCE EM &lt;= 30 DIAS",IF(E1040&lt;=60,"ATENCAO (31-60 DIAS)","OK"))))</f>
        <v/>
      </c>
      <c r="G1040" s="13">
        <f>SUMIFS(Movimentacoes!$G:$G,Movimentacoes!$C:$C,$A1040,Movimentacoes!$E:$E,$C1040,Movimentacoes!$B:$B,"ENTRADA")</f>
        <v/>
      </c>
      <c r="H1040" s="13">
        <f>SUMIFS(Movimentacoes!$G:$G,Movimentacoes!$C:$C,$A1040,Movimentacoes!$E:$E,$C1040,Movimentacoes!$B:$B,"SAIDA_USO")</f>
        <v/>
      </c>
      <c r="I1040" s="13">
        <f>SUMIFS(Movimentacoes!$G:$G,Movimentacoes!$C:$C,$A1040,Movimentacoes!$E:$E,$C1040,Movimentacoes!$B:$B,"SAIDA_DESCARTE")</f>
        <v/>
      </c>
      <c r="J1040" s="13">
        <f>G1040-H1040-I1040</f>
        <v/>
      </c>
      <c r="K1040">
        <f>IF(A1040="","",IF(J1040&lt;=IFERROR(VLOOKUP(A1040,Cadastro_Produtos!$A:$E,5,FALSE),0),"ABAIXO DO MINIMO","OK"))</f>
        <v/>
      </c>
    </row>
    <row r="1041">
      <c r="B1041">
        <f>IFERROR(VLOOKUP(A1041,Cadastro_Produtos!A:B,2,FALSE),"")</f>
        <v/>
      </c>
      <c r="D1041" s="12" t="n"/>
      <c r="E1041" s="13">
        <f>IF(D1041="","",D1041-TODAY())</f>
        <v/>
      </c>
      <c r="F1041">
        <f>IF(D1041="","",IF(E1041&lt;0,"VENCIDO",IF(E1041&lt;=30,"VENCE EM &lt;= 30 DIAS",IF(E1041&lt;=60,"ATENCAO (31-60 DIAS)","OK"))))</f>
        <v/>
      </c>
      <c r="G1041" s="13">
        <f>SUMIFS(Movimentacoes!$G:$G,Movimentacoes!$C:$C,$A1041,Movimentacoes!$E:$E,$C1041,Movimentacoes!$B:$B,"ENTRADA")</f>
        <v/>
      </c>
      <c r="H1041" s="13">
        <f>SUMIFS(Movimentacoes!$G:$G,Movimentacoes!$C:$C,$A1041,Movimentacoes!$E:$E,$C1041,Movimentacoes!$B:$B,"SAIDA_USO")</f>
        <v/>
      </c>
      <c r="I1041" s="13">
        <f>SUMIFS(Movimentacoes!$G:$G,Movimentacoes!$C:$C,$A1041,Movimentacoes!$E:$E,$C1041,Movimentacoes!$B:$B,"SAIDA_DESCARTE")</f>
        <v/>
      </c>
      <c r="J1041" s="13">
        <f>G1041-H1041-I1041</f>
        <v/>
      </c>
      <c r="K1041">
        <f>IF(A1041="","",IF(J1041&lt;=IFERROR(VLOOKUP(A1041,Cadastro_Produtos!$A:$E,5,FALSE),0),"ABAIXO DO MINIMO","OK"))</f>
        <v/>
      </c>
    </row>
    <row r="1042">
      <c r="B1042">
        <f>IFERROR(VLOOKUP(A1042,Cadastro_Produtos!A:B,2,FALSE),"")</f>
        <v/>
      </c>
      <c r="D1042" s="12" t="n"/>
      <c r="E1042" s="13">
        <f>IF(D1042="","",D1042-TODAY())</f>
        <v/>
      </c>
      <c r="F1042">
        <f>IF(D1042="","",IF(E1042&lt;0,"VENCIDO",IF(E1042&lt;=30,"VENCE EM &lt;= 30 DIAS",IF(E1042&lt;=60,"ATENCAO (31-60 DIAS)","OK"))))</f>
        <v/>
      </c>
      <c r="G1042" s="13">
        <f>SUMIFS(Movimentacoes!$G:$G,Movimentacoes!$C:$C,$A1042,Movimentacoes!$E:$E,$C1042,Movimentacoes!$B:$B,"ENTRADA")</f>
        <v/>
      </c>
      <c r="H1042" s="13">
        <f>SUMIFS(Movimentacoes!$G:$G,Movimentacoes!$C:$C,$A1042,Movimentacoes!$E:$E,$C1042,Movimentacoes!$B:$B,"SAIDA_USO")</f>
        <v/>
      </c>
      <c r="I1042" s="13">
        <f>SUMIFS(Movimentacoes!$G:$G,Movimentacoes!$C:$C,$A1042,Movimentacoes!$E:$E,$C1042,Movimentacoes!$B:$B,"SAIDA_DESCARTE")</f>
        <v/>
      </c>
      <c r="J1042" s="13">
        <f>G1042-H1042-I1042</f>
        <v/>
      </c>
      <c r="K1042">
        <f>IF(A1042="","",IF(J1042&lt;=IFERROR(VLOOKUP(A1042,Cadastro_Produtos!$A:$E,5,FALSE),0),"ABAIXO DO MINIMO","OK"))</f>
        <v/>
      </c>
    </row>
    <row r="1043">
      <c r="B1043">
        <f>IFERROR(VLOOKUP(A1043,Cadastro_Produtos!A:B,2,FALSE),"")</f>
        <v/>
      </c>
      <c r="D1043" s="12" t="n"/>
      <c r="E1043" s="13">
        <f>IF(D1043="","",D1043-TODAY())</f>
        <v/>
      </c>
      <c r="F1043">
        <f>IF(D1043="","",IF(E1043&lt;0,"VENCIDO",IF(E1043&lt;=30,"VENCE EM &lt;= 30 DIAS",IF(E1043&lt;=60,"ATENCAO (31-60 DIAS)","OK"))))</f>
        <v/>
      </c>
      <c r="G1043" s="13">
        <f>SUMIFS(Movimentacoes!$G:$G,Movimentacoes!$C:$C,$A1043,Movimentacoes!$E:$E,$C1043,Movimentacoes!$B:$B,"ENTRADA")</f>
        <v/>
      </c>
      <c r="H1043" s="13">
        <f>SUMIFS(Movimentacoes!$G:$G,Movimentacoes!$C:$C,$A1043,Movimentacoes!$E:$E,$C1043,Movimentacoes!$B:$B,"SAIDA_USO")</f>
        <v/>
      </c>
      <c r="I1043" s="13">
        <f>SUMIFS(Movimentacoes!$G:$G,Movimentacoes!$C:$C,$A1043,Movimentacoes!$E:$E,$C1043,Movimentacoes!$B:$B,"SAIDA_DESCARTE")</f>
        <v/>
      </c>
      <c r="J1043" s="13">
        <f>G1043-H1043-I1043</f>
        <v/>
      </c>
      <c r="K1043">
        <f>IF(A1043="","",IF(J1043&lt;=IFERROR(VLOOKUP(A1043,Cadastro_Produtos!$A:$E,5,FALSE),0),"ABAIXO DO MINIMO","OK"))</f>
        <v/>
      </c>
    </row>
    <row r="1044">
      <c r="B1044">
        <f>IFERROR(VLOOKUP(A1044,Cadastro_Produtos!A:B,2,FALSE),"")</f>
        <v/>
      </c>
      <c r="D1044" s="12" t="n"/>
      <c r="E1044" s="13">
        <f>IF(D1044="","",D1044-TODAY())</f>
        <v/>
      </c>
      <c r="F1044">
        <f>IF(D1044="","",IF(E1044&lt;0,"VENCIDO",IF(E1044&lt;=30,"VENCE EM &lt;= 30 DIAS",IF(E1044&lt;=60,"ATENCAO (31-60 DIAS)","OK"))))</f>
        <v/>
      </c>
      <c r="G1044" s="13">
        <f>SUMIFS(Movimentacoes!$G:$G,Movimentacoes!$C:$C,$A1044,Movimentacoes!$E:$E,$C1044,Movimentacoes!$B:$B,"ENTRADA")</f>
        <v/>
      </c>
      <c r="H1044" s="13">
        <f>SUMIFS(Movimentacoes!$G:$G,Movimentacoes!$C:$C,$A1044,Movimentacoes!$E:$E,$C1044,Movimentacoes!$B:$B,"SAIDA_USO")</f>
        <v/>
      </c>
      <c r="I1044" s="13">
        <f>SUMIFS(Movimentacoes!$G:$G,Movimentacoes!$C:$C,$A1044,Movimentacoes!$E:$E,$C1044,Movimentacoes!$B:$B,"SAIDA_DESCARTE")</f>
        <v/>
      </c>
      <c r="J1044" s="13">
        <f>G1044-H1044-I1044</f>
        <v/>
      </c>
      <c r="K1044">
        <f>IF(A1044="","",IF(J1044&lt;=IFERROR(VLOOKUP(A1044,Cadastro_Produtos!$A:$E,5,FALSE),0),"ABAIXO DO MINIMO","OK"))</f>
        <v/>
      </c>
    </row>
    <row r="1045">
      <c r="B1045">
        <f>IFERROR(VLOOKUP(A1045,Cadastro_Produtos!A:B,2,FALSE),"")</f>
        <v/>
      </c>
      <c r="D1045" s="12" t="n"/>
      <c r="E1045" s="13">
        <f>IF(D1045="","",D1045-TODAY())</f>
        <v/>
      </c>
      <c r="F1045">
        <f>IF(D1045="","",IF(E1045&lt;0,"VENCIDO",IF(E1045&lt;=30,"VENCE EM &lt;= 30 DIAS",IF(E1045&lt;=60,"ATENCAO (31-60 DIAS)","OK"))))</f>
        <v/>
      </c>
      <c r="G1045" s="13">
        <f>SUMIFS(Movimentacoes!$G:$G,Movimentacoes!$C:$C,$A1045,Movimentacoes!$E:$E,$C1045,Movimentacoes!$B:$B,"ENTRADA")</f>
        <v/>
      </c>
      <c r="H1045" s="13">
        <f>SUMIFS(Movimentacoes!$G:$G,Movimentacoes!$C:$C,$A1045,Movimentacoes!$E:$E,$C1045,Movimentacoes!$B:$B,"SAIDA_USO")</f>
        <v/>
      </c>
      <c r="I1045" s="13">
        <f>SUMIFS(Movimentacoes!$G:$G,Movimentacoes!$C:$C,$A1045,Movimentacoes!$E:$E,$C1045,Movimentacoes!$B:$B,"SAIDA_DESCARTE")</f>
        <v/>
      </c>
      <c r="J1045" s="13">
        <f>G1045-H1045-I1045</f>
        <v/>
      </c>
      <c r="K1045">
        <f>IF(A1045="","",IF(J1045&lt;=IFERROR(VLOOKUP(A1045,Cadastro_Produtos!$A:$E,5,FALSE),0),"ABAIXO DO MINIMO","OK"))</f>
        <v/>
      </c>
    </row>
    <row r="1046">
      <c r="B1046">
        <f>IFERROR(VLOOKUP(A1046,Cadastro_Produtos!A:B,2,FALSE),"")</f>
        <v/>
      </c>
      <c r="D1046" s="12" t="n"/>
      <c r="E1046" s="13">
        <f>IF(D1046="","",D1046-TODAY())</f>
        <v/>
      </c>
      <c r="F1046">
        <f>IF(D1046="","",IF(E1046&lt;0,"VENCIDO",IF(E1046&lt;=30,"VENCE EM &lt;= 30 DIAS",IF(E1046&lt;=60,"ATENCAO (31-60 DIAS)","OK"))))</f>
        <v/>
      </c>
      <c r="G1046" s="13">
        <f>SUMIFS(Movimentacoes!$G:$G,Movimentacoes!$C:$C,$A1046,Movimentacoes!$E:$E,$C1046,Movimentacoes!$B:$B,"ENTRADA")</f>
        <v/>
      </c>
      <c r="H1046" s="13">
        <f>SUMIFS(Movimentacoes!$G:$G,Movimentacoes!$C:$C,$A1046,Movimentacoes!$E:$E,$C1046,Movimentacoes!$B:$B,"SAIDA_USO")</f>
        <v/>
      </c>
      <c r="I1046" s="13">
        <f>SUMIFS(Movimentacoes!$G:$G,Movimentacoes!$C:$C,$A1046,Movimentacoes!$E:$E,$C1046,Movimentacoes!$B:$B,"SAIDA_DESCARTE")</f>
        <v/>
      </c>
      <c r="J1046" s="13">
        <f>G1046-H1046-I1046</f>
        <v/>
      </c>
      <c r="K1046">
        <f>IF(A1046="","",IF(J1046&lt;=IFERROR(VLOOKUP(A1046,Cadastro_Produtos!$A:$E,5,FALSE),0),"ABAIXO DO MINIMO","OK"))</f>
        <v/>
      </c>
    </row>
    <row r="1047">
      <c r="B1047">
        <f>IFERROR(VLOOKUP(A1047,Cadastro_Produtos!A:B,2,FALSE),"")</f>
        <v/>
      </c>
      <c r="D1047" s="12" t="n"/>
      <c r="E1047" s="13">
        <f>IF(D1047="","",D1047-TODAY())</f>
        <v/>
      </c>
      <c r="F1047">
        <f>IF(D1047="","",IF(E1047&lt;0,"VENCIDO",IF(E1047&lt;=30,"VENCE EM &lt;= 30 DIAS",IF(E1047&lt;=60,"ATENCAO (31-60 DIAS)","OK"))))</f>
        <v/>
      </c>
      <c r="G1047" s="13">
        <f>SUMIFS(Movimentacoes!$G:$G,Movimentacoes!$C:$C,$A1047,Movimentacoes!$E:$E,$C1047,Movimentacoes!$B:$B,"ENTRADA")</f>
        <v/>
      </c>
      <c r="H1047" s="13">
        <f>SUMIFS(Movimentacoes!$G:$G,Movimentacoes!$C:$C,$A1047,Movimentacoes!$E:$E,$C1047,Movimentacoes!$B:$B,"SAIDA_USO")</f>
        <v/>
      </c>
      <c r="I1047" s="13">
        <f>SUMIFS(Movimentacoes!$G:$G,Movimentacoes!$C:$C,$A1047,Movimentacoes!$E:$E,$C1047,Movimentacoes!$B:$B,"SAIDA_DESCARTE")</f>
        <v/>
      </c>
      <c r="J1047" s="13">
        <f>G1047-H1047-I1047</f>
        <v/>
      </c>
      <c r="K1047">
        <f>IF(A1047="","",IF(J1047&lt;=IFERROR(VLOOKUP(A1047,Cadastro_Produtos!$A:$E,5,FALSE),0),"ABAIXO DO MINIMO","OK"))</f>
        <v/>
      </c>
    </row>
    <row r="1048">
      <c r="B1048">
        <f>IFERROR(VLOOKUP(A1048,Cadastro_Produtos!A:B,2,FALSE),"")</f>
        <v/>
      </c>
      <c r="D1048" s="12" t="n"/>
      <c r="E1048" s="13">
        <f>IF(D1048="","",D1048-TODAY())</f>
        <v/>
      </c>
      <c r="F1048">
        <f>IF(D1048="","",IF(E1048&lt;0,"VENCIDO",IF(E1048&lt;=30,"VENCE EM &lt;= 30 DIAS",IF(E1048&lt;=60,"ATENCAO (31-60 DIAS)","OK"))))</f>
        <v/>
      </c>
      <c r="G1048" s="13">
        <f>SUMIFS(Movimentacoes!$G:$G,Movimentacoes!$C:$C,$A1048,Movimentacoes!$E:$E,$C1048,Movimentacoes!$B:$B,"ENTRADA")</f>
        <v/>
      </c>
      <c r="H1048" s="13">
        <f>SUMIFS(Movimentacoes!$G:$G,Movimentacoes!$C:$C,$A1048,Movimentacoes!$E:$E,$C1048,Movimentacoes!$B:$B,"SAIDA_USO")</f>
        <v/>
      </c>
      <c r="I1048" s="13">
        <f>SUMIFS(Movimentacoes!$G:$G,Movimentacoes!$C:$C,$A1048,Movimentacoes!$E:$E,$C1048,Movimentacoes!$B:$B,"SAIDA_DESCARTE")</f>
        <v/>
      </c>
      <c r="J1048" s="13">
        <f>G1048-H1048-I1048</f>
        <v/>
      </c>
      <c r="K1048">
        <f>IF(A1048="","",IF(J1048&lt;=IFERROR(VLOOKUP(A1048,Cadastro_Produtos!$A:$E,5,FALSE),0),"ABAIXO DO MINIMO","OK"))</f>
        <v/>
      </c>
    </row>
    <row r="1049">
      <c r="B1049">
        <f>IFERROR(VLOOKUP(A1049,Cadastro_Produtos!A:B,2,FALSE),"")</f>
        <v/>
      </c>
      <c r="D1049" s="12" t="n"/>
      <c r="E1049" s="13">
        <f>IF(D1049="","",D1049-TODAY())</f>
        <v/>
      </c>
      <c r="F1049">
        <f>IF(D1049="","",IF(E1049&lt;0,"VENCIDO",IF(E1049&lt;=30,"VENCE EM &lt;= 30 DIAS",IF(E1049&lt;=60,"ATENCAO (31-60 DIAS)","OK"))))</f>
        <v/>
      </c>
      <c r="G1049" s="13">
        <f>SUMIFS(Movimentacoes!$G:$G,Movimentacoes!$C:$C,$A1049,Movimentacoes!$E:$E,$C1049,Movimentacoes!$B:$B,"ENTRADA")</f>
        <v/>
      </c>
      <c r="H1049" s="13">
        <f>SUMIFS(Movimentacoes!$G:$G,Movimentacoes!$C:$C,$A1049,Movimentacoes!$E:$E,$C1049,Movimentacoes!$B:$B,"SAIDA_USO")</f>
        <v/>
      </c>
      <c r="I1049" s="13">
        <f>SUMIFS(Movimentacoes!$G:$G,Movimentacoes!$C:$C,$A1049,Movimentacoes!$E:$E,$C1049,Movimentacoes!$B:$B,"SAIDA_DESCARTE")</f>
        <v/>
      </c>
      <c r="J1049" s="13">
        <f>G1049-H1049-I1049</f>
        <v/>
      </c>
      <c r="K1049">
        <f>IF(A1049="","",IF(J1049&lt;=IFERROR(VLOOKUP(A1049,Cadastro_Produtos!$A:$E,5,FALSE),0),"ABAIXO DO MINIMO","OK"))</f>
        <v/>
      </c>
    </row>
    <row r="1050">
      <c r="B1050">
        <f>IFERROR(VLOOKUP(A1050,Cadastro_Produtos!A:B,2,FALSE),"")</f>
        <v/>
      </c>
      <c r="D1050" s="12" t="n"/>
      <c r="E1050" s="13">
        <f>IF(D1050="","",D1050-TODAY())</f>
        <v/>
      </c>
      <c r="F1050">
        <f>IF(D1050="","",IF(E1050&lt;0,"VENCIDO",IF(E1050&lt;=30,"VENCE EM &lt;= 30 DIAS",IF(E1050&lt;=60,"ATENCAO (31-60 DIAS)","OK"))))</f>
        <v/>
      </c>
      <c r="G1050" s="13">
        <f>SUMIFS(Movimentacoes!$G:$G,Movimentacoes!$C:$C,$A1050,Movimentacoes!$E:$E,$C1050,Movimentacoes!$B:$B,"ENTRADA")</f>
        <v/>
      </c>
      <c r="H1050" s="13">
        <f>SUMIFS(Movimentacoes!$G:$G,Movimentacoes!$C:$C,$A1050,Movimentacoes!$E:$E,$C1050,Movimentacoes!$B:$B,"SAIDA_USO")</f>
        <v/>
      </c>
      <c r="I1050" s="13">
        <f>SUMIFS(Movimentacoes!$G:$G,Movimentacoes!$C:$C,$A1050,Movimentacoes!$E:$E,$C1050,Movimentacoes!$B:$B,"SAIDA_DESCARTE")</f>
        <v/>
      </c>
      <c r="J1050" s="13">
        <f>G1050-H1050-I1050</f>
        <v/>
      </c>
      <c r="K1050">
        <f>IF(A1050="","",IF(J1050&lt;=IFERROR(VLOOKUP(A1050,Cadastro_Produtos!$A:$E,5,FALSE),0),"ABAIXO DO MINIMO","OK"))</f>
        <v/>
      </c>
    </row>
    <row r="1051">
      <c r="B1051">
        <f>IFERROR(VLOOKUP(A1051,Cadastro_Produtos!A:B,2,FALSE),"")</f>
        <v/>
      </c>
      <c r="D1051" s="12" t="n"/>
      <c r="E1051" s="13">
        <f>IF(D1051="","",D1051-TODAY())</f>
        <v/>
      </c>
      <c r="F1051">
        <f>IF(D1051="","",IF(E1051&lt;0,"VENCIDO",IF(E1051&lt;=30,"VENCE EM &lt;= 30 DIAS",IF(E1051&lt;=60,"ATENCAO (31-60 DIAS)","OK"))))</f>
        <v/>
      </c>
      <c r="G1051" s="13">
        <f>SUMIFS(Movimentacoes!$G:$G,Movimentacoes!$C:$C,$A1051,Movimentacoes!$E:$E,$C1051,Movimentacoes!$B:$B,"ENTRADA")</f>
        <v/>
      </c>
      <c r="H1051" s="13">
        <f>SUMIFS(Movimentacoes!$G:$G,Movimentacoes!$C:$C,$A1051,Movimentacoes!$E:$E,$C1051,Movimentacoes!$B:$B,"SAIDA_USO")</f>
        <v/>
      </c>
      <c r="I1051" s="13">
        <f>SUMIFS(Movimentacoes!$G:$G,Movimentacoes!$C:$C,$A1051,Movimentacoes!$E:$E,$C1051,Movimentacoes!$B:$B,"SAIDA_DESCARTE")</f>
        <v/>
      </c>
      <c r="J1051" s="13">
        <f>G1051-H1051-I1051</f>
        <v/>
      </c>
      <c r="K1051">
        <f>IF(A1051="","",IF(J1051&lt;=IFERROR(VLOOKUP(A1051,Cadastro_Produtos!$A:$E,5,FALSE),0),"ABAIXO DO MINIMO","OK"))</f>
        <v/>
      </c>
    </row>
    <row r="1052">
      <c r="B1052">
        <f>IFERROR(VLOOKUP(A1052,Cadastro_Produtos!A:B,2,FALSE),"")</f>
        <v/>
      </c>
      <c r="D1052" s="12" t="n"/>
      <c r="E1052" s="13">
        <f>IF(D1052="","",D1052-TODAY())</f>
        <v/>
      </c>
      <c r="F1052">
        <f>IF(D1052="","",IF(E1052&lt;0,"VENCIDO",IF(E1052&lt;=30,"VENCE EM &lt;= 30 DIAS",IF(E1052&lt;=60,"ATENCAO (31-60 DIAS)","OK"))))</f>
        <v/>
      </c>
      <c r="G1052" s="13">
        <f>SUMIFS(Movimentacoes!$G:$G,Movimentacoes!$C:$C,$A1052,Movimentacoes!$E:$E,$C1052,Movimentacoes!$B:$B,"ENTRADA")</f>
        <v/>
      </c>
      <c r="H1052" s="13">
        <f>SUMIFS(Movimentacoes!$G:$G,Movimentacoes!$C:$C,$A1052,Movimentacoes!$E:$E,$C1052,Movimentacoes!$B:$B,"SAIDA_USO")</f>
        <v/>
      </c>
      <c r="I1052" s="13">
        <f>SUMIFS(Movimentacoes!$G:$G,Movimentacoes!$C:$C,$A1052,Movimentacoes!$E:$E,$C1052,Movimentacoes!$B:$B,"SAIDA_DESCARTE")</f>
        <v/>
      </c>
      <c r="J1052" s="13">
        <f>G1052-H1052-I1052</f>
        <v/>
      </c>
      <c r="K1052">
        <f>IF(A1052="","",IF(J1052&lt;=IFERROR(VLOOKUP(A1052,Cadastro_Produtos!$A:$E,5,FALSE),0),"ABAIXO DO MINIMO","OK"))</f>
        <v/>
      </c>
    </row>
    <row r="1053">
      <c r="B1053">
        <f>IFERROR(VLOOKUP(A1053,Cadastro_Produtos!A:B,2,FALSE),"")</f>
        <v/>
      </c>
      <c r="D1053" s="12" t="n"/>
      <c r="E1053" s="13">
        <f>IF(D1053="","",D1053-TODAY())</f>
        <v/>
      </c>
      <c r="F1053">
        <f>IF(D1053="","",IF(E1053&lt;0,"VENCIDO",IF(E1053&lt;=30,"VENCE EM &lt;= 30 DIAS",IF(E1053&lt;=60,"ATENCAO (31-60 DIAS)","OK"))))</f>
        <v/>
      </c>
      <c r="G1053" s="13">
        <f>SUMIFS(Movimentacoes!$G:$G,Movimentacoes!$C:$C,$A1053,Movimentacoes!$E:$E,$C1053,Movimentacoes!$B:$B,"ENTRADA")</f>
        <v/>
      </c>
      <c r="H1053" s="13">
        <f>SUMIFS(Movimentacoes!$G:$G,Movimentacoes!$C:$C,$A1053,Movimentacoes!$E:$E,$C1053,Movimentacoes!$B:$B,"SAIDA_USO")</f>
        <v/>
      </c>
      <c r="I1053" s="13">
        <f>SUMIFS(Movimentacoes!$G:$G,Movimentacoes!$C:$C,$A1053,Movimentacoes!$E:$E,$C1053,Movimentacoes!$B:$B,"SAIDA_DESCARTE")</f>
        <v/>
      </c>
      <c r="J1053" s="13">
        <f>G1053-H1053-I1053</f>
        <v/>
      </c>
      <c r="K1053">
        <f>IF(A1053="","",IF(J1053&lt;=IFERROR(VLOOKUP(A1053,Cadastro_Produtos!$A:$E,5,FALSE),0),"ABAIXO DO MINIMO","OK"))</f>
        <v/>
      </c>
    </row>
    <row r="1054">
      <c r="B1054">
        <f>IFERROR(VLOOKUP(A1054,Cadastro_Produtos!A:B,2,FALSE),"")</f>
        <v/>
      </c>
      <c r="D1054" s="12" t="n"/>
      <c r="E1054" s="13">
        <f>IF(D1054="","",D1054-TODAY())</f>
        <v/>
      </c>
      <c r="F1054">
        <f>IF(D1054="","",IF(E1054&lt;0,"VENCIDO",IF(E1054&lt;=30,"VENCE EM &lt;= 30 DIAS",IF(E1054&lt;=60,"ATENCAO (31-60 DIAS)","OK"))))</f>
        <v/>
      </c>
      <c r="G1054" s="13">
        <f>SUMIFS(Movimentacoes!$G:$G,Movimentacoes!$C:$C,$A1054,Movimentacoes!$E:$E,$C1054,Movimentacoes!$B:$B,"ENTRADA")</f>
        <v/>
      </c>
      <c r="H1054" s="13">
        <f>SUMIFS(Movimentacoes!$G:$G,Movimentacoes!$C:$C,$A1054,Movimentacoes!$E:$E,$C1054,Movimentacoes!$B:$B,"SAIDA_USO")</f>
        <v/>
      </c>
      <c r="I1054" s="13">
        <f>SUMIFS(Movimentacoes!$G:$G,Movimentacoes!$C:$C,$A1054,Movimentacoes!$E:$E,$C1054,Movimentacoes!$B:$B,"SAIDA_DESCARTE")</f>
        <v/>
      </c>
      <c r="J1054" s="13">
        <f>G1054-H1054-I1054</f>
        <v/>
      </c>
      <c r="K1054">
        <f>IF(A1054="","",IF(J1054&lt;=IFERROR(VLOOKUP(A1054,Cadastro_Produtos!$A:$E,5,FALSE),0),"ABAIXO DO MINIMO","OK"))</f>
        <v/>
      </c>
    </row>
    <row r="1055">
      <c r="B1055">
        <f>IFERROR(VLOOKUP(A1055,Cadastro_Produtos!A:B,2,FALSE),"")</f>
        <v/>
      </c>
      <c r="D1055" s="12" t="n"/>
      <c r="E1055" s="13">
        <f>IF(D1055="","",D1055-TODAY())</f>
        <v/>
      </c>
      <c r="F1055">
        <f>IF(D1055="","",IF(E1055&lt;0,"VENCIDO",IF(E1055&lt;=30,"VENCE EM &lt;= 30 DIAS",IF(E1055&lt;=60,"ATENCAO (31-60 DIAS)","OK"))))</f>
        <v/>
      </c>
      <c r="G1055" s="13">
        <f>SUMIFS(Movimentacoes!$G:$G,Movimentacoes!$C:$C,$A1055,Movimentacoes!$E:$E,$C1055,Movimentacoes!$B:$B,"ENTRADA")</f>
        <v/>
      </c>
      <c r="H1055" s="13">
        <f>SUMIFS(Movimentacoes!$G:$G,Movimentacoes!$C:$C,$A1055,Movimentacoes!$E:$E,$C1055,Movimentacoes!$B:$B,"SAIDA_USO")</f>
        <v/>
      </c>
      <c r="I1055" s="13">
        <f>SUMIFS(Movimentacoes!$G:$G,Movimentacoes!$C:$C,$A1055,Movimentacoes!$E:$E,$C1055,Movimentacoes!$B:$B,"SAIDA_DESCARTE")</f>
        <v/>
      </c>
      <c r="J1055" s="13">
        <f>G1055-H1055-I1055</f>
        <v/>
      </c>
      <c r="K1055">
        <f>IF(A1055="","",IF(J1055&lt;=IFERROR(VLOOKUP(A1055,Cadastro_Produtos!$A:$E,5,FALSE),0),"ABAIXO DO MINIMO","OK"))</f>
        <v/>
      </c>
    </row>
    <row r="1056">
      <c r="B1056">
        <f>IFERROR(VLOOKUP(A1056,Cadastro_Produtos!A:B,2,FALSE),"")</f>
        <v/>
      </c>
      <c r="D1056" s="12" t="n"/>
      <c r="E1056" s="13">
        <f>IF(D1056="","",D1056-TODAY())</f>
        <v/>
      </c>
      <c r="F1056">
        <f>IF(D1056="","",IF(E1056&lt;0,"VENCIDO",IF(E1056&lt;=30,"VENCE EM &lt;= 30 DIAS",IF(E1056&lt;=60,"ATENCAO (31-60 DIAS)","OK"))))</f>
        <v/>
      </c>
      <c r="G1056" s="13">
        <f>SUMIFS(Movimentacoes!$G:$G,Movimentacoes!$C:$C,$A1056,Movimentacoes!$E:$E,$C1056,Movimentacoes!$B:$B,"ENTRADA")</f>
        <v/>
      </c>
      <c r="H1056" s="13">
        <f>SUMIFS(Movimentacoes!$G:$G,Movimentacoes!$C:$C,$A1056,Movimentacoes!$E:$E,$C1056,Movimentacoes!$B:$B,"SAIDA_USO")</f>
        <v/>
      </c>
      <c r="I1056" s="13">
        <f>SUMIFS(Movimentacoes!$G:$G,Movimentacoes!$C:$C,$A1056,Movimentacoes!$E:$E,$C1056,Movimentacoes!$B:$B,"SAIDA_DESCARTE")</f>
        <v/>
      </c>
      <c r="J1056" s="13">
        <f>G1056-H1056-I1056</f>
        <v/>
      </c>
      <c r="K1056">
        <f>IF(A1056="","",IF(J1056&lt;=IFERROR(VLOOKUP(A1056,Cadastro_Produtos!$A:$E,5,FALSE),0),"ABAIXO DO MINIMO","OK"))</f>
        <v/>
      </c>
    </row>
    <row r="1057">
      <c r="B1057">
        <f>IFERROR(VLOOKUP(A1057,Cadastro_Produtos!A:B,2,FALSE),"")</f>
        <v/>
      </c>
      <c r="D1057" s="12" t="n"/>
      <c r="E1057" s="13">
        <f>IF(D1057="","",D1057-TODAY())</f>
        <v/>
      </c>
      <c r="F1057">
        <f>IF(D1057="","",IF(E1057&lt;0,"VENCIDO",IF(E1057&lt;=30,"VENCE EM &lt;= 30 DIAS",IF(E1057&lt;=60,"ATENCAO (31-60 DIAS)","OK"))))</f>
        <v/>
      </c>
      <c r="G1057" s="13">
        <f>SUMIFS(Movimentacoes!$G:$G,Movimentacoes!$C:$C,$A1057,Movimentacoes!$E:$E,$C1057,Movimentacoes!$B:$B,"ENTRADA")</f>
        <v/>
      </c>
      <c r="H1057" s="13">
        <f>SUMIFS(Movimentacoes!$G:$G,Movimentacoes!$C:$C,$A1057,Movimentacoes!$E:$E,$C1057,Movimentacoes!$B:$B,"SAIDA_USO")</f>
        <v/>
      </c>
      <c r="I1057" s="13">
        <f>SUMIFS(Movimentacoes!$G:$G,Movimentacoes!$C:$C,$A1057,Movimentacoes!$E:$E,$C1057,Movimentacoes!$B:$B,"SAIDA_DESCARTE")</f>
        <v/>
      </c>
      <c r="J1057" s="13">
        <f>G1057-H1057-I1057</f>
        <v/>
      </c>
      <c r="K1057">
        <f>IF(A1057="","",IF(J1057&lt;=IFERROR(VLOOKUP(A1057,Cadastro_Produtos!$A:$E,5,FALSE),0),"ABAIXO DO MINIMO","OK"))</f>
        <v/>
      </c>
    </row>
    <row r="1058">
      <c r="B1058">
        <f>IFERROR(VLOOKUP(A1058,Cadastro_Produtos!A:B,2,FALSE),"")</f>
        <v/>
      </c>
      <c r="D1058" s="12" t="n"/>
      <c r="E1058" s="13">
        <f>IF(D1058="","",D1058-TODAY())</f>
        <v/>
      </c>
      <c r="F1058">
        <f>IF(D1058="","",IF(E1058&lt;0,"VENCIDO",IF(E1058&lt;=30,"VENCE EM &lt;= 30 DIAS",IF(E1058&lt;=60,"ATENCAO (31-60 DIAS)","OK"))))</f>
        <v/>
      </c>
      <c r="G1058" s="13">
        <f>SUMIFS(Movimentacoes!$G:$G,Movimentacoes!$C:$C,$A1058,Movimentacoes!$E:$E,$C1058,Movimentacoes!$B:$B,"ENTRADA")</f>
        <v/>
      </c>
      <c r="H1058" s="13">
        <f>SUMIFS(Movimentacoes!$G:$G,Movimentacoes!$C:$C,$A1058,Movimentacoes!$E:$E,$C1058,Movimentacoes!$B:$B,"SAIDA_USO")</f>
        <v/>
      </c>
      <c r="I1058" s="13">
        <f>SUMIFS(Movimentacoes!$G:$G,Movimentacoes!$C:$C,$A1058,Movimentacoes!$E:$E,$C1058,Movimentacoes!$B:$B,"SAIDA_DESCARTE")</f>
        <v/>
      </c>
      <c r="J1058" s="13">
        <f>G1058-H1058-I1058</f>
        <v/>
      </c>
      <c r="K1058">
        <f>IF(A1058="","",IF(J1058&lt;=IFERROR(VLOOKUP(A1058,Cadastro_Produtos!$A:$E,5,FALSE),0),"ABAIXO DO MINIMO","OK"))</f>
        <v/>
      </c>
    </row>
    <row r="1059">
      <c r="B1059">
        <f>IFERROR(VLOOKUP(A1059,Cadastro_Produtos!A:B,2,FALSE),"")</f>
        <v/>
      </c>
      <c r="D1059" s="12" t="n"/>
      <c r="E1059" s="13">
        <f>IF(D1059="","",D1059-TODAY())</f>
        <v/>
      </c>
      <c r="F1059">
        <f>IF(D1059="","",IF(E1059&lt;0,"VENCIDO",IF(E1059&lt;=30,"VENCE EM &lt;= 30 DIAS",IF(E1059&lt;=60,"ATENCAO (31-60 DIAS)","OK"))))</f>
        <v/>
      </c>
      <c r="G1059" s="13">
        <f>SUMIFS(Movimentacoes!$G:$G,Movimentacoes!$C:$C,$A1059,Movimentacoes!$E:$E,$C1059,Movimentacoes!$B:$B,"ENTRADA")</f>
        <v/>
      </c>
      <c r="H1059" s="13">
        <f>SUMIFS(Movimentacoes!$G:$G,Movimentacoes!$C:$C,$A1059,Movimentacoes!$E:$E,$C1059,Movimentacoes!$B:$B,"SAIDA_USO")</f>
        <v/>
      </c>
      <c r="I1059" s="13">
        <f>SUMIFS(Movimentacoes!$G:$G,Movimentacoes!$C:$C,$A1059,Movimentacoes!$E:$E,$C1059,Movimentacoes!$B:$B,"SAIDA_DESCARTE")</f>
        <v/>
      </c>
      <c r="J1059" s="13">
        <f>G1059-H1059-I1059</f>
        <v/>
      </c>
      <c r="K1059">
        <f>IF(A1059="","",IF(J1059&lt;=IFERROR(VLOOKUP(A1059,Cadastro_Produtos!$A:$E,5,FALSE),0),"ABAIXO DO MINIMO","OK"))</f>
        <v/>
      </c>
    </row>
    <row r="1060">
      <c r="B1060">
        <f>IFERROR(VLOOKUP(A1060,Cadastro_Produtos!A:B,2,FALSE),"")</f>
        <v/>
      </c>
      <c r="D1060" s="12" t="n"/>
      <c r="E1060" s="13">
        <f>IF(D1060="","",D1060-TODAY())</f>
        <v/>
      </c>
      <c r="F1060">
        <f>IF(D1060="","",IF(E1060&lt;0,"VENCIDO",IF(E1060&lt;=30,"VENCE EM &lt;= 30 DIAS",IF(E1060&lt;=60,"ATENCAO (31-60 DIAS)","OK"))))</f>
        <v/>
      </c>
      <c r="G1060" s="13">
        <f>SUMIFS(Movimentacoes!$G:$G,Movimentacoes!$C:$C,$A1060,Movimentacoes!$E:$E,$C1060,Movimentacoes!$B:$B,"ENTRADA")</f>
        <v/>
      </c>
      <c r="H1060" s="13">
        <f>SUMIFS(Movimentacoes!$G:$G,Movimentacoes!$C:$C,$A1060,Movimentacoes!$E:$E,$C1060,Movimentacoes!$B:$B,"SAIDA_USO")</f>
        <v/>
      </c>
      <c r="I1060" s="13">
        <f>SUMIFS(Movimentacoes!$G:$G,Movimentacoes!$C:$C,$A1060,Movimentacoes!$E:$E,$C1060,Movimentacoes!$B:$B,"SAIDA_DESCARTE")</f>
        <v/>
      </c>
      <c r="J1060" s="13">
        <f>G1060-H1060-I1060</f>
        <v/>
      </c>
      <c r="K1060">
        <f>IF(A1060="","",IF(J1060&lt;=IFERROR(VLOOKUP(A1060,Cadastro_Produtos!$A:$E,5,FALSE),0),"ABAIXO DO MINIMO","OK"))</f>
        <v/>
      </c>
    </row>
    <row r="1061">
      <c r="B1061">
        <f>IFERROR(VLOOKUP(A1061,Cadastro_Produtos!A:B,2,FALSE),"")</f>
        <v/>
      </c>
      <c r="D1061" s="12" t="n"/>
      <c r="E1061" s="13">
        <f>IF(D1061="","",D1061-TODAY())</f>
        <v/>
      </c>
      <c r="F1061">
        <f>IF(D1061="","",IF(E1061&lt;0,"VENCIDO",IF(E1061&lt;=30,"VENCE EM &lt;= 30 DIAS",IF(E1061&lt;=60,"ATENCAO (31-60 DIAS)","OK"))))</f>
        <v/>
      </c>
      <c r="G1061" s="13">
        <f>SUMIFS(Movimentacoes!$G:$G,Movimentacoes!$C:$C,$A1061,Movimentacoes!$E:$E,$C1061,Movimentacoes!$B:$B,"ENTRADA")</f>
        <v/>
      </c>
      <c r="H1061" s="13">
        <f>SUMIFS(Movimentacoes!$G:$G,Movimentacoes!$C:$C,$A1061,Movimentacoes!$E:$E,$C1061,Movimentacoes!$B:$B,"SAIDA_USO")</f>
        <v/>
      </c>
      <c r="I1061" s="13">
        <f>SUMIFS(Movimentacoes!$G:$G,Movimentacoes!$C:$C,$A1061,Movimentacoes!$E:$E,$C1061,Movimentacoes!$B:$B,"SAIDA_DESCARTE")</f>
        <v/>
      </c>
      <c r="J1061" s="13">
        <f>G1061-H1061-I1061</f>
        <v/>
      </c>
      <c r="K1061">
        <f>IF(A1061="","",IF(J1061&lt;=IFERROR(VLOOKUP(A1061,Cadastro_Produtos!$A:$E,5,FALSE),0),"ABAIXO DO MINIMO","OK"))</f>
        <v/>
      </c>
    </row>
    <row r="1062">
      <c r="B1062">
        <f>IFERROR(VLOOKUP(A1062,Cadastro_Produtos!A:B,2,FALSE),"")</f>
        <v/>
      </c>
      <c r="D1062" s="12" t="n"/>
      <c r="E1062" s="13">
        <f>IF(D1062="","",D1062-TODAY())</f>
        <v/>
      </c>
      <c r="F1062">
        <f>IF(D1062="","",IF(E1062&lt;0,"VENCIDO",IF(E1062&lt;=30,"VENCE EM &lt;= 30 DIAS",IF(E1062&lt;=60,"ATENCAO (31-60 DIAS)","OK"))))</f>
        <v/>
      </c>
      <c r="G1062" s="13">
        <f>SUMIFS(Movimentacoes!$G:$G,Movimentacoes!$C:$C,$A1062,Movimentacoes!$E:$E,$C1062,Movimentacoes!$B:$B,"ENTRADA")</f>
        <v/>
      </c>
      <c r="H1062" s="13">
        <f>SUMIFS(Movimentacoes!$G:$G,Movimentacoes!$C:$C,$A1062,Movimentacoes!$E:$E,$C1062,Movimentacoes!$B:$B,"SAIDA_USO")</f>
        <v/>
      </c>
      <c r="I1062" s="13">
        <f>SUMIFS(Movimentacoes!$G:$G,Movimentacoes!$C:$C,$A1062,Movimentacoes!$E:$E,$C1062,Movimentacoes!$B:$B,"SAIDA_DESCARTE")</f>
        <v/>
      </c>
      <c r="J1062" s="13">
        <f>G1062-H1062-I1062</f>
        <v/>
      </c>
      <c r="K1062">
        <f>IF(A1062="","",IF(J1062&lt;=IFERROR(VLOOKUP(A1062,Cadastro_Produtos!$A:$E,5,FALSE),0),"ABAIXO DO MINIMO","OK"))</f>
        <v/>
      </c>
    </row>
    <row r="1063">
      <c r="B1063">
        <f>IFERROR(VLOOKUP(A1063,Cadastro_Produtos!A:B,2,FALSE),"")</f>
        <v/>
      </c>
      <c r="D1063" s="12" t="n"/>
      <c r="E1063" s="13">
        <f>IF(D1063="","",D1063-TODAY())</f>
        <v/>
      </c>
      <c r="F1063">
        <f>IF(D1063="","",IF(E1063&lt;0,"VENCIDO",IF(E1063&lt;=30,"VENCE EM &lt;= 30 DIAS",IF(E1063&lt;=60,"ATENCAO (31-60 DIAS)","OK"))))</f>
        <v/>
      </c>
      <c r="G1063" s="13">
        <f>SUMIFS(Movimentacoes!$G:$G,Movimentacoes!$C:$C,$A1063,Movimentacoes!$E:$E,$C1063,Movimentacoes!$B:$B,"ENTRADA")</f>
        <v/>
      </c>
      <c r="H1063" s="13">
        <f>SUMIFS(Movimentacoes!$G:$G,Movimentacoes!$C:$C,$A1063,Movimentacoes!$E:$E,$C1063,Movimentacoes!$B:$B,"SAIDA_USO")</f>
        <v/>
      </c>
      <c r="I1063" s="13">
        <f>SUMIFS(Movimentacoes!$G:$G,Movimentacoes!$C:$C,$A1063,Movimentacoes!$E:$E,$C1063,Movimentacoes!$B:$B,"SAIDA_DESCARTE")</f>
        <v/>
      </c>
      <c r="J1063" s="13">
        <f>G1063-H1063-I1063</f>
        <v/>
      </c>
      <c r="K1063">
        <f>IF(A1063="","",IF(J1063&lt;=IFERROR(VLOOKUP(A1063,Cadastro_Produtos!$A:$E,5,FALSE),0),"ABAIXO DO MINIMO","OK"))</f>
        <v/>
      </c>
    </row>
    <row r="1064">
      <c r="B1064">
        <f>IFERROR(VLOOKUP(A1064,Cadastro_Produtos!A:B,2,FALSE),"")</f>
        <v/>
      </c>
      <c r="D1064" s="12" t="n"/>
      <c r="E1064" s="13">
        <f>IF(D1064="","",D1064-TODAY())</f>
        <v/>
      </c>
      <c r="F1064">
        <f>IF(D1064="","",IF(E1064&lt;0,"VENCIDO",IF(E1064&lt;=30,"VENCE EM &lt;= 30 DIAS",IF(E1064&lt;=60,"ATENCAO (31-60 DIAS)","OK"))))</f>
        <v/>
      </c>
      <c r="G1064" s="13">
        <f>SUMIFS(Movimentacoes!$G:$G,Movimentacoes!$C:$C,$A1064,Movimentacoes!$E:$E,$C1064,Movimentacoes!$B:$B,"ENTRADA")</f>
        <v/>
      </c>
      <c r="H1064" s="13">
        <f>SUMIFS(Movimentacoes!$G:$G,Movimentacoes!$C:$C,$A1064,Movimentacoes!$E:$E,$C1064,Movimentacoes!$B:$B,"SAIDA_USO")</f>
        <v/>
      </c>
      <c r="I1064" s="13">
        <f>SUMIFS(Movimentacoes!$G:$G,Movimentacoes!$C:$C,$A1064,Movimentacoes!$E:$E,$C1064,Movimentacoes!$B:$B,"SAIDA_DESCARTE")</f>
        <v/>
      </c>
      <c r="J1064" s="13">
        <f>G1064-H1064-I1064</f>
        <v/>
      </c>
      <c r="K1064">
        <f>IF(A1064="","",IF(J1064&lt;=IFERROR(VLOOKUP(A1064,Cadastro_Produtos!$A:$E,5,FALSE),0),"ABAIXO DO MINIMO","OK"))</f>
        <v/>
      </c>
    </row>
    <row r="1065">
      <c r="B1065">
        <f>IFERROR(VLOOKUP(A1065,Cadastro_Produtos!A:B,2,FALSE),"")</f>
        <v/>
      </c>
      <c r="D1065" s="12" t="n"/>
      <c r="E1065" s="13">
        <f>IF(D1065="","",D1065-TODAY())</f>
        <v/>
      </c>
      <c r="F1065">
        <f>IF(D1065="","",IF(E1065&lt;0,"VENCIDO",IF(E1065&lt;=30,"VENCE EM &lt;= 30 DIAS",IF(E1065&lt;=60,"ATENCAO (31-60 DIAS)","OK"))))</f>
        <v/>
      </c>
      <c r="G1065" s="13">
        <f>SUMIFS(Movimentacoes!$G:$G,Movimentacoes!$C:$C,$A1065,Movimentacoes!$E:$E,$C1065,Movimentacoes!$B:$B,"ENTRADA")</f>
        <v/>
      </c>
      <c r="H1065" s="13">
        <f>SUMIFS(Movimentacoes!$G:$G,Movimentacoes!$C:$C,$A1065,Movimentacoes!$E:$E,$C1065,Movimentacoes!$B:$B,"SAIDA_USO")</f>
        <v/>
      </c>
      <c r="I1065" s="13">
        <f>SUMIFS(Movimentacoes!$G:$G,Movimentacoes!$C:$C,$A1065,Movimentacoes!$E:$E,$C1065,Movimentacoes!$B:$B,"SAIDA_DESCARTE")</f>
        <v/>
      </c>
      <c r="J1065" s="13">
        <f>G1065-H1065-I1065</f>
        <v/>
      </c>
      <c r="K1065">
        <f>IF(A1065="","",IF(J1065&lt;=IFERROR(VLOOKUP(A1065,Cadastro_Produtos!$A:$E,5,FALSE),0),"ABAIXO DO MINIMO","OK"))</f>
        <v/>
      </c>
    </row>
    <row r="1066">
      <c r="B1066">
        <f>IFERROR(VLOOKUP(A1066,Cadastro_Produtos!A:B,2,FALSE),"")</f>
        <v/>
      </c>
      <c r="D1066" s="12" t="n"/>
      <c r="E1066" s="13">
        <f>IF(D1066="","",D1066-TODAY())</f>
        <v/>
      </c>
      <c r="F1066">
        <f>IF(D1066="","",IF(E1066&lt;0,"VENCIDO",IF(E1066&lt;=30,"VENCE EM &lt;= 30 DIAS",IF(E1066&lt;=60,"ATENCAO (31-60 DIAS)","OK"))))</f>
        <v/>
      </c>
      <c r="G1066" s="13">
        <f>SUMIFS(Movimentacoes!$G:$G,Movimentacoes!$C:$C,$A1066,Movimentacoes!$E:$E,$C1066,Movimentacoes!$B:$B,"ENTRADA")</f>
        <v/>
      </c>
      <c r="H1066" s="13">
        <f>SUMIFS(Movimentacoes!$G:$G,Movimentacoes!$C:$C,$A1066,Movimentacoes!$E:$E,$C1066,Movimentacoes!$B:$B,"SAIDA_USO")</f>
        <v/>
      </c>
      <c r="I1066" s="13">
        <f>SUMIFS(Movimentacoes!$G:$G,Movimentacoes!$C:$C,$A1066,Movimentacoes!$E:$E,$C1066,Movimentacoes!$B:$B,"SAIDA_DESCARTE")</f>
        <v/>
      </c>
      <c r="J1066" s="13">
        <f>G1066-H1066-I1066</f>
        <v/>
      </c>
      <c r="K1066">
        <f>IF(A1066="","",IF(J1066&lt;=IFERROR(VLOOKUP(A1066,Cadastro_Produtos!$A:$E,5,FALSE),0),"ABAIXO DO MINIMO","OK"))</f>
        <v/>
      </c>
    </row>
    <row r="1067">
      <c r="B1067">
        <f>IFERROR(VLOOKUP(A1067,Cadastro_Produtos!A:B,2,FALSE),"")</f>
        <v/>
      </c>
      <c r="D1067" s="12" t="n"/>
      <c r="E1067" s="13">
        <f>IF(D1067="","",D1067-TODAY())</f>
        <v/>
      </c>
      <c r="F1067">
        <f>IF(D1067="","",IF(E1067&lt;0,"VENCIDO",IF(E1067&lt;=30,"VENCE EM &lt;= 30 DIAS",IF(E1067&lt;=60,"ATENCAO (31-60 DIAS)","OK"))))</f>
        <v/>
      </c>
      <c r="G1067" s="13">
        <f>SUMIFS(Movimentacoes!$G:$G,Movimentacoes!$C:$C,$A1067,Movimentacoes!$E:$E,$C1067,Movimentacoes!$B:$B,"ENTRADA")</f>
        <v/>
      </c>
      <c r="H1067" s="13">
        <f>SUMIFS(Movimentacoes!$G:$G,Movimentacoes!$C:$C,$A1067,Movimentacoes!$E:$E,$C1067,Movimentacoes!$B:$B,"SAIDA_USO")</f>
        <v/>
      </c>
      <c r="I1067" s="13">
        <f>SUMIFS(Movimentacoes!$G:$G,Movimentacoes!$C:$C,$A1067,Movimentacoes!$E:$E,$C1067,Movimentacoes!$B:$B,"SAIDA_DESCARTE")</f>
        <v/>
      </c>
      <c r="J1067" s="13">
        <f>G1067-H1067-I1067</f>
        <v/>
      </c>
      <c r="K1067">
        <f>IF(A1067="","",IF(J1067&lt;=IFERROR(VLOOKUP(A1067,Cadastro_Produtos!$A:$E,5,FALSE),0),"ABAIXO DO MINIMO","OK"))</f>
        <v/>
      </c>
    </row>
    <row r="1068">
      <c r="B1068">
        <f>IFERROR(VLOOKUP(A1068,Cadastro_Produtos!A:B,2,FALSE),"")</f>
        <v/>
      </c>
      <c r="D1068" s="12" t="n"/>
      <c r="E1068" s="13">
        <f>IF(D1068="","",D1068-TODAY())</f>
        <v/>
      </c>
      <c r="F1068">
        <f>IF(D1068="","",IF(E1068&lt;0,"VENCIDO",IF(E1068&lt;=30,"VENCE EM &lt;= 30 DIAS",IF(E1068&lt;=60,"ATENCAO (31-60 DIAS)","OK"))))</f>
        <v/>
      </c>
      <c r="G1068" s="13">
        <f>SUMIFS(Movimentacoes!$G:$G,Movimentacoes!$C:$C,$A1068,Movimentacoes!$E:$E,$C1068,Movimentacoes!$B:$B,"ENTRADA")</f>
        <v/>
      </c>
      <c r="H1068" s="13">
        <f>SUMIFS(Movimentacoes!$G:$G,Movimentacoes!$C:$C,$A1068,Movimentacoes!$E:$E,$C1068,Movimentacoes!$B:$B,"SAIDA_USO")</f>
        <v/>
      </c>
      <c r="I1068" s="13">
        <f>SUMIFS(Movimentacoes!$G:$G,Movimentacoes!$C:$C,$A1068,Movimentacoes!$E:$E,$C1068,Movimentacoes!$B:$B,"SAIDA_DESCARTE")</f>
        <v/>
      </c>
      <c r="J1068" s="13">
        <f>G1068-H1068-I1068</f>
        <v/>
      </c>
      <c r="K1068">
        <f>IF(A1068="","",IF(J1068&lt;=IFERROR(VLOOKUP(A1068,Cadastro_Produtos!$A:$E,5,FALSE),0),"ABAIXO DO MINIMO","OK"))</f>
        <v/>
      </c>
    </row>
    <row r="1069">
      <c r="B1069">
        <f>IFERROR(VLOOKUP(A1069,Cadastro_Produtos!A:B,2,FALSE),"")</f>
        <v/>
      </c>
      <c r="D1069" s="12" t="n"/>
      <c r="E1069" s="13">
        <f>IF(D1069="","",D1069-TODAY())</f>
        <v/>
      </c>
      <c r="F1069">
        <f>IF(D1069="","",IF(E1069&lt;0,"VENCIDO",IF(E1069&lt;=30,"VENCE EM &lt;= 30 DIAS",IF(E1069&lt;=60,"ATENCAO (31-60 DIAS)","OK"))))</f>
        <v/>
      </c>
      <c r="G1069" s="13">
        <f>SUMIFS(Movimentacoes!$G:$G,Movimentacoes!$C:$C,$A1069,Movimentacoes!$E:$E,$C1069,Movimentacoes!$B:$B,"ENTRADA")</f>
        <v/>
      </c>
      <c r="H1069" s="13">
        <f>SUMIFS(Movimentacoes!$G:$G,Movimentacoes!$C:$C,$A1069,Movimentacoes!$E:$E,$C1069,Movimentacoes!$B:$B,"SAIDA_USO")</f>
        <v/>
      </c>
      <c r="I1069" s="13">
        <f>SUMIFS(Movimentacoes!$G:$G,Movimentacoes!$C:$C,$A1069,Movimentacoes!$E:$E,$C1069,Movimentacoes!$B:$B,"SAIDA_DESCARTE")</f>
        <v/>
      </c>
      <c r="J1069" s="13">
        <f>G1069-H1069-I1069</f>
        <v/>
      </c>
      <c r="K1069">
        <f>IF(A1069="","",IF(J1069&lt;=IFERROR(VLOOKUP(A1069,Cadastro_Produtos!$A:$E,5,FALSE),0),"ABAIXO DO MINIMO","OK"))</f>
        <v/>
      </c>
    </row>
    <row r="1070">
      <c r="B1070">
        <f>IFERROR(VLOOKUP(A1070,Cadastro_Produtos!A:B,2,FALSE),"")</f>
        <v/>
      </c>
      <c r="D1070" s="12" t="n"/>
      <c r="E1070" s="13">
        <f>IF(D1070="","",D1070-TODAY())</f>
        <v/>
      </c>
      <c r="F1070">
        <f>IF(D1070="","",IF(E1070&lt;0,"VENCIDO",IF(E1070&lt;=30,"VENCE EM &lt;= 30 DIAS",IF(E1070&lt;=60,"ATENCAO (31-60 DIAS)","OK"))))</f>
        <v/>
      </c>
      <c r="G1070" s="13">
        <f>SUMIFS(Movimentacoes!$G:$G,Movimentacoes!$C:$C,$A1070,Movimentacoes!$E:$E,$C1070,Movimentacoes!$B:$B,"ENTRADA")</f>
        <v/>
      </c>
      <c r="H1070" s="13">
        <f>SUMIFS(Movimentacoes!$G:$G,Movimentacoes!$C:$C,$A1070,Movimentacoes!$E:$E,$C1070,Movimentacoes!$B:$B,"SAIDA_USO")</f>
        <v/>
      </c>
      <c r="I1070" s="13">
        <f>SUMIFS(Movimentacoes!$G:$G,Movimentacoes!$C:$C,$A1070,Movimentacoes!$E:$E,$C1070,Movimentacoes!$B:$B,"SAIDA_DESCARTE")</f>
        <v/>
      </c>
      <c r="J1070" s="13">
        <f>G1070-H1070-I1070</f>
        <v/>
      </c>
      <c r="K1070">
        <f>IF(A1070="","",IF(J1070&lt;=IFERROR(VLOOKUP(A1070,Cadastro_Produtos!$A:$E,5,FALSE),0),"ABAIXO DO MINIMO","OK"))</f>
        <v/>
      </c>
    </row>
    <row r="1071">
      <c r="B1071">
        <f>IFERROR(VLOOKUP(A1071,Cadastro_Produtos!A:B,2,FALSE),"")</f>
        <v/>
      </c>
      <c r="D1071" s="12" t="n"/>
      <c r="E1071" s="13">
        <f>IF(D1071="","",D1071-TODAY())</f>
        <v/>
      </c>
      <c r="F1071">
        <f>IF(D1071="","",IF(E1071&lt;0,"VENCIDO",IF(E1071&lt;=30,"VENCE EM &lt;= 30 DIAS",IF(E1071&lt;=60,"ATENCAO (31-60 DIAS)","OK"))))</f>
        <v/>
      </c>
      <c r="G1071" s="13">
        <f>SUMIFS(Movimentacoes!$G:$G,Movimentacoes!$C:$C,$A1071,Movimentacoes!$E:$E,$C1071,Movimentacoes!$B:$B,"ENTRADA")</f>
        <v/>
      </c>
      <c r="H1071" s="13">
        <f>SUMIFS(Movimentacoes!$G:$G,Movimentacoes!$C:$C,$A1071,Movimentacoes!$E:$E,$C1071,Movimentacoes!$B:$B,"SAIDA_USO")</f>
        <v/>
      </c>
      <c r="I1071" s="13">
        <f>SUMIFS(Movimentacoes!$G:$G,Movimentacoes!$C:$C,$A1071,Movimentacoes!$E:$E,$C1071,Movimentacoes!$B:$B,"SAIDA_DESCARTE")</f>
        <v/>
      </c>
      <c r="J1071" s="13">
        <f>G1071-H1071-I1071</f>
        <v/>
      </c>
      <c r="K1071">
        <f>IF(A1071="","",IF(J1071&lt;=IFERROR(VLOOKUP(A1071,Cadastro_Produtos!$A:$E,5,FALSE),0),"ABAIXO DO MINIMO","OK"))</f>
        <v/>
      </c>
    </row>
    <row r="1072">
      <c r="B1072">
        <f>IFERROR(VLOOKUP(A1072,Cadastro_Produtos!A:B,2,FALSE),"")</f>
        <v/>
      </c>
      <c r="D1072" s="12" t="n"/>
      <c r="E1072" s="13">
        <f>IF(D1072="","",D1072-TODAY())</f>
        <v/>
      </c>
      <c r="F1072">
        <f>IF(D1072="","",IF(E1072&lt;0,"VENCIDO",IF(E1072&lt;=30,"VENCE EM &lt;= 30 DIAS",IF(E1072&lt;=60,"ATENCAO (31-60 DIAS)","OK"))))</f>
        <v/>
      </c>
      <c r="G1072" s="13">
        <f>SUMIFS(Movimentacoes!$G:$G,Movimentacoes!$C:$C,$A1072,Movimentacoes!$E:$E,$C1072,Movimentacoes!$B:$B,"ENTRADA")</f>
        <v/>
      </c>
      <c r="H1072" s="13">
        <f>SUMIFS(Movimentacoes!$G:$G,Movimentacoes!$C:$C,$A1072,Movimentacoes!$E:$E,$C1072,Movimentacoes!$B:$B,"SAIDA_USO")</f>
        <v/>
      </c>
      <c r="I1072" s="13">
        <f>SUMIFS(Movimentacoes!$G:$G,Movimentacoes!$C:$C,$A1072,Movimentacoes!$E:$E,$C1072,Movimentacoes!$B:$B,"SAIDA_DESCARTE")</f>
        <v/>
      </c>
      <c r="J1072" s="13">
        <f>G1072-H1072-I1072</f>
        <v/>
      </c>
      <c r="K1072">
        <f>IF(A1072="","",IF(J1072&lt;=IFERROR(VLOOKUP(A1072,Cadastro_Produtos!$A:$E,5,FALSE),0),"ABAIXO DO MINIMO","OK"))</f>
        <v/>
      </c>
    </row>
    <row r="1073">
      <c r="B1073">
        <f>IFERROR(VLOOKUP(A1073,Cadastro_Produtos!A:B,2,FALSE),"")</f>
        <v/>
      </c>
      <c r="D1073" s="12" t="n"/>
      <c r="E1073" s="13">
        <f>IF(D1073="","",D1073-TODAY())</f>
        <v/>
      </c>
      <c r="F1073">
        <f>IF(D1073="","",IF(E1073&lt;0,"VENCIDO",IF(E1073&lt;=30,"VENCE EM &lt;= 30 DIAS",IF(E1073&lt;=60,"ATENCAO (31-60 DIAS)","OK"))))</f>
        <v/>
      </c>
      <c r="G1073" s="13">
        <f>SUMIFS(Movimentacoes!$G:$G,Movimentacoes!$C:$C,$A1073,Movimentacoes!$E:$E,$C1073,Movimentacoes!$B:$B,"ENTRADA")</f>
        <v/>
      </c>
      <c r="H1073" s="13">
        <f>SUMIFS(Movimentacoes!$G:$G,Movimentacoes!$C:$C,$A1073,Movimentacoes!$E:$E,$C1073,Movimentacoes!$B:$B,"SAIDA_USO")</f>
        <v/>
      </c>
      <c r="I1073" s="13">
        <f>SUMIFS(Movimentacoes!$G:$G,Movimentacoes!$C:$C,$A1073,Movimentacoes!$E:$E,$C1073,Movimentacoes!$B:$B,"SAIDA_DESCARTE")</f>
        <v/>
      </c>
      <c r="J1073" s="13">
        <f>G1073-H1073-I1073</f>
        <v/>
      </c>
      <c r="K1073">
        <f>IF(A1073="","",IF(J1073&lt;=IFERROR(VLOOKUP(A1073,Cadastro_Produtos!$A:$E,5,FALSE),0),"ABAIXO DO MINIMO","OK"))</f>
        <v/>
      </c>
    </row>
    <row r="1074">
      <c r="B1074">
        <f>IFERROR(VLOOKUP(A1074,Cadastro_Produtos!A:B,2,FALSE),"")</f>
        <v/>
      </c>
      <c r="D1074" s="12" t="n"/>
      <c r="E1074" s="13">
        <f>IF(D1074="","",D1074-TODAY())</f>
        <v/>
      </c>
      <c r="F1074">
        <f>IF(D1074="","",IF(E1074&lt;0,"VENCIDO",IF(E1074&lt;=30,"VENCE EM &lt;= 30 DIAS",IF(E1074&lt;=60,"ATENCAO (31-60 DIAS)","OK"))))</f>
        <v/>
      </c>
      <c r="G1074" s="13">
        <f>SUMIFS(Movimentacoes!$G:$G,Movimentacoes!$C:$C,$A1074,Movimentacoes!$E:$E,$C1074,Movimentacoes!$B:$B,"ENTRADA")</f>
        <v/>
      </c>
      <c r="H1074" s="13">
        <f>SUMIFS(Movimentacoes!$G:$G,Movimentacoes!$C:$C,$A1074,Movimentacoes!$E:$E,$C1074,Movimentacoes!$B:$B,"SAIDA_USO")</f>
        <v/>
      </c>
      <c r="I1074" s="13">
        <f>SUMIFS(Movimentacoes!$G:$G,Movimentacoes!$C:$C,$A1074,Movimentacoes!$E:$E,$C1074,Movimentacoes!$B:$B,"SAIDA_DESCARTE")</f>
        <v/>
      </c>
      <c r="J1074" s="13">
        <f>G1074-H1074-I1074</f>
        <v/>
      </c>
      <c r="K1074">
        <f>IF(A1074="","",IF(J1074&lt;=IFERROR(VLOOKUP(A1074,Cadastro_Produtos!$A:$E,5,FALSE),0),"ABAIXO DO MINIMO","OK"))</f>
        <v/>
      </c>
    </row>
    <row r="1075">
      <c r="B1075">
        <f>IFERROR(VLOOKUP(A1075,Cadastro_Produtos!A:B,2,FALSE),"")</f>
        <v/>
      </c>
      <c r="D1075" s="12" t="n"/>
      <c r="E1075" s="13">
        <f>IF(D1075="","",D1075-TODAY())</f>
        <v/>
      </c>
      <c r="F1075">
        <f>IF(D1075="","",IF(E1075&lt;0,"VENCIDO",IF(E1075&lt;=30,"VENCE EM &lt;= 30 DIAS",IF(E1075&lt;=60,"ATENCAO (31-60 DIAS)","OK"))))</f>
        <v/>
      </c>
      <c r="G1075" s="13">
        <f>SUMIFS(Movimentacoes!$G:$G,Movimentacoes!$C:$C,$A1075,Movimentacoes!$E:$E,$C1075,Movimentacoes!$B:$B,"ENTRADA")</f>
        <v/>
      </c>
      <c r="H1075" s="13">
        <f>SUMIFS(Movimentacoes!$G:$G,Movimentacoes!$C:$C,$A1075,Movimentacoes!$E:$E,$C1075,Movimentacoes!$B:$B,"SAIDA_USO")</f>
        <v/>
      </c>
      <c r="I1075" s="13">
        <f>SUMIFS(Movimentacoes!$G:$G,Movimentacoes!$C:$C,$A1075,Movimentacoes!$E:$E,$C1075,Movimentacoes!$B:$B,"SAIDA_DESCARTE")</f>
        <v/>
      </c>
      <c r="J1075" s="13">
        <f>G1075-H1075-I1075</f>
        <v/>
      </c>
      <c r="K1075">
        <f>IF(A1075="","",IF(J1075&lt;=IFERROR(VLOOKUP(A1075,Cadastro_Produtos!$A:$E,5,FALSE),0),"ABAIXO DO MINIMO","OK"))</f>
        <v/>
      </c>
    </row>
    <row r="1076">
      <c r="B1076">
        <f>IFERROR(VLOOKUP(A1076,Cadastro_Produtos!A:B,2,FALSE),"")</f>
        <v/>
      </c>
      <c r="D1076" s="12" t="n"/>
      <c r="E1076" s="13">
        <f>IF(D1076="","",D1076-TODAY())</f>
        <v/>
      </c>
      <c r="F1076">
        <f>IF(D1076="","",IF(E1076&lt;0,"VENCIDO",IF(E1076&lt;=30,"VENCE EM &lt;= 30 DIAS",IF(E1076&lt;=60,"ATENCAO (31-60 DIAS)","OK"))))</f>
        <v/>
      </c>
      <c r="G1076" s="13">
        <f>SUMIFS(Movimentacoes!$G:$G,Movimentacoes!$C:$C,$A1076,Movimentacoes!$E:$E,$C1076,Movimentacoes!$B:$B,"ENTRADA")</f>
        <v/>
      </c>
      <c r="H1076" s="13">
        <f>SUMIFS(Movimentacoes!$G:$G,Movimentacoes!$C:$C,$A1076,Movimentacoes!$E:$E,$C1076,Movimentacoes!$B:$B,"SAIDA_USO")</f>
        <v/>
      </c>
      <c r="I1076" s="13">
        <f>SUMIFS(Movimentacoes!$G:$G,Movimentacoes!$C:$C,$A1076,Movimentacoes!$E:$E,$C1076,Movimentacoes!$B:$B,"SAIDA_DESCARTE")</f>
        <v/>
      </c>
      <c r="J1076" s="13">
        <f>G1076-H1076-I1076</f>
        <v/>
      </c>
      <c r="K1076">
        <f>IF(A1076="","",IF(J1076&lt;=IFERROR(VLOOKUP(A1076,Cadastro_Produtos!$A:$E,5,FALSE),0),"ABAIXO DO MINIMO","OK"))</f>
        <v/>
      </c>
    </row>
    <row r="1077">
      <c r="B1077">
        <f>IFERROR(VLOOKUP(A1077,Cadastro_Produtos!A:B,2,FALSE),"")</f>
        <v/>
      </c>
      <c r="D1077" s="12" t="n"/>
      <c r="E1077" s="13">
        <f>IF(D1077="","",D1077-TODAY())</f>
        <v/>
      </c>
      <c r="F1077">
        <f>IF(D1077="","",IF(E1077&lt;0,"VENCIDO",IF(E1077&lt;=30,"VENCE EM &lt;= 30 DIAS",IF(E1077&lt;=60,"ATENCAO (31-60 DIAS)","OK"))))</f>
        <v/>
      </c>
      <c r="G1077" s="13">
        <f>SUMIFS(Movimentacoes!$G:$G,Movimentacoes!$C:$C,$A1077,Movimentacoes!$E:$E,$C1077,Movimentacoes!$B:$B,"ENTRADA")</f>
        <v/>
      </c>
      <c r="H1077" s="13">
        <f>SUMIFS(Movimentacoes!$G:$G,Movimentacoes!$C:$C,$A1077,Movimentacoes!$E:$E,$C1077,Movimentacoes!$B:$B,"SAIDA_USO")</f>
        <v/>
      </c>
      <c r="I1077" s="13">
        <f>SUMIFS(Movimentacoes!$G:$G,Movimentacoes!$C:$C,$A1077,Movimentacoes!$E:$E,$C1077,Movimentacoes!$B:$B,"SAIDA_DESCARTE")</f>
        <v/>
      </c>
      <c r="J1077" s="13">
        <f>G1077-H1077-I1077</f>
        <v/>
      </c>
      <c r="K1077">
        <f>IF(A1077="","",IF(J1077&lt;=IFERROR(VLOOKUP(A1077,Cadastro_Produtos!$A:$E,5,FALSE),0),"ABAIXO DO MINIMO","OK"))</f>
        <v/>
      </c>
    </row>
    <row r="1078">
      <c r="B1078">
        <f>IFERROR(VLOOKUP(A1078,Cadastro_Produtos!A:B,2,FALSE),"")</f>
        <v/>
      </c>
      <c r="D1078" s="12" t="n"/>
      <c r="E1078" s="13">
        <f>IF(D1078="","",D1078-TODAY())</f>
        <v/>
      </c>
      <c r="F1078">
        <f>IF(D1078="","",IF(E1078&lt;0,"VENCIDO",IF(E1078&lt;=30,"VENCE EM &lt;= 30 DIAS",IF(E1078&lt;=60,"ATENCAO (31-60 DIAS)","OK"))))</f>
        <v/>
      </c>
      <c r="G1078" s="13">
        <f>SUMIFS(Movimentacoes!$G:$G,Movimentacoes!$C:$C,$A1078,Movimentacoes!$E:$E,$C1078,Movimentacoes!$B:$B,"ENTRADA")</f>
        <v/>
      </c>
      <c r="H1078" s="13">
        <f>SUMIFS(Movimentacoes!$G:$G,Movimentacoes!$C:$C,$A1078,Movimentacoes!$E:$E,$C1078,Movimentacoes!$B:$B,"SAIDA_USO")</f>
        <v/>
      </c>
      <c r="I1078" s="13">
        <f>SUMIFS(Movimentacoes!$G:$G,Movimentacoes!$C:$C,$A1078,Movimentacoes!$E:$E,$C1078,Movimentacoes!$B:$B,"SAIDA_DESCARTE")</f>
        <v/>
      </c>
      <c r="J1078" s="13">
        <f>G1078-H1078-I1078</f>
        <v/>
      </c>
      <c r="K1078">
        <f>IF(A1078="","",IF(J1078&lt;=IFERROR(VLOOKUP(A1078,Cadastro_Produtos!$A:$E,5,FALSE),0),"ABAIXO DO MINIMO","OK"))</f>
        <v/>
      </c>
    </row>
    <row r="1079">
      <c r="B1079">
        <f>IFERROR(VLOOKUP(A1079,Cadastro_Produtos!A:B,2,FALSE),"")</f>
        <v/>
      </c>
      <c r="D1079" s="12" t="n"/>
      <c r="E1079" s="13">
        <f>IF(D1079="","",D1079-TODAY())</f>
        <v/>
      </c>
      <c r="F1079">
        <f>IF(D1079="","",IF(E1079&lt;0,"VENCIDO",IF(E1079&lt;=30,"VENCE EM &lt;= 30 DIAS",IF(E1079&lt;=60,"ATENCAO (31-60 DIAS)","OK"))))</f>
        <v/>
      </c>
      <c r="G1079" s="13">
        <f>SUMIFS(Movimentacoes!$G:$G,Movimentacoes!$C:$C,$A1079,Movimentacoes!$E:$E,$C1079,Movimentacoes!$B:$B,"ENTRADA")</f>
        <v/>
      </c>
      <c r="H1079" s="13">
        <f>SUMIFS(Movimentacoes!$G:$G,Movimentacoes!$C:$C,$A1079,Movimentacoes!$E:$E,$C1079,Movimentacoes!$B:$B,"SAIDA_USO")</f>
        <v/>
      </c>
      <c r="I1079" s="13">
        <f>SUMIFS(Movimentacoes!$G:$G,Movimentacoes!$C:$C,$A1079,Movimentacoes!$E:$E,$C1079,Movimentacoes!$B:$B,"SAIDA_DESCARTE")</f>
        <v/>
      </c>
      <c r="J1079" s="13">
        <f>G1079-H1079-I1079</f>
        <v/>
      </c>
      <c r="K1079">
        <f>IF(A1079="","",IF(J1079&lt;=IFERROR(VLOOKUP(A1079,Cadastro_Produtos!$A:$E,5,FALSE),0),"ABAIXO DO MINIMO","OK"))</f>
        <v/>
      </c>
    </row>
    <row r="1080">
      <c r="B1080">
        <f>IFERROR(VLOOKUP(A1080,Cadastro_Produtos!A:B,2,FALSE),"")</f>
        <v/>
      </c>
      <c r="D1080" s="12" t="n"/>
      <c r="E1080" s="13">
        <f>IF(D1080="","",D1080-TODAY())</f>
        <v/>
      </c>
      <c r="F1080">
        <f>IF(D1080="","",IF(E1080&lt;0,"VENCIDO",IF(E1080&lt;=30,"VENCE EM &lt;= 30 DIAS",IF(E1080&lt;=60,"ATENCAO (31-60 DIAS)","OK"))))</f>
        <v/>
      </c>
      <c r="G1080" s="13">
        <f>SUMIFS(Movimentacoes!$G:$G,Movimentacoes!$C:$C,$A1080,Movimentacoes!$E:$E,$C1080,Movimentacoes!$B:$B,"ENTRADA")</f>
        <v/>
      </c>
      <c r="H1080" s="13">
        <f>SUMIFS(Movimentacoes!$G:$G,Movimentacoes!$C:$C,$A1080,Movimentacoes!$E:$E,$C1080,Movimentacoes!$B:$B,"SAIDA_USO")</f>
        <v/>
      </c>
      <c r="I1080" s="13">
        <f>SUMIFS(Movimentacoes!$G:$G,Movimentacoes!$C:$C,$A1080,Movimentacoes!$E:$E,$C1080,Movimentacoes!$B:$B,"SAIDA_DESCARTE")</f>
        <v/>
      </c>
      <c r="J1080" s="13">
        <f>G1080-H1080-I1080</f>
        <v/>
      </c>
      <c r="K1080">
        <f>IF(A1080="","",IF(J1080&lt;=IFERROR(VLOOKUP(A1080,Cadastro_Produtos!$A:$E,5,FALSE),0),"ABAIXO DO MINIMO","OK"))</f>
        <v/>
      </c>
    </row>
    <row r="1081">
      <c r="B1081">
        <f>IFERROR(VLOOKUP(A1081,Cadastro_Produtos!A:B,2,FALSE),"")</f>
        <v/>
      </c>
      <c r="D1081" s="12" t="n"/>
      <c r="E1081" s="13">
        <f>IF(D1081="","",D1081-TODAY())</f>
        <v/>
      </c>
      <c r="F1081">
        <f>IF(D1081="","",IF(E1081&lt;0,"VENCIDO",IF(E1081&lt;=30,"VENCE EM &lt;= 30 DIAS",IF(E1081&lt;=60,"ATENCAO (31-60 DIAS)","OK"))))</f>
        <v/>
      </c>
      <c r="G1081" s="13">
        <f>SUMIFS(Movimentacoes!$G:$G,Movimentacoes!$C:$C,$A1081,Movimentacoes!$E:$E,$C1081,Movimentacoes!$B:$B,"ENTRADA")</f>
        <v/>
      </c>
      <c r="H1081" s="13">
        <f>SUMIFS(Movimentacoes!$G:$G,Movimentacoes!$C:$C,$A1081,Movimentacoes!$E:$E,$C1081,Movimentacoes!$B:$B,"SAIDA_USO")</f>
        <v/>
      </c>
      <c r="I1081" s="13">
        <f>SUMIFS(Movimentacoes!$G:$G,Movimentacoes!$C:$C,$A1081,Movimentacoes!$E:$E,$C1081,Movimentacoes!$B:$B,"SAIDA_DESCARTE")</f>
        <v/>
      </c>
      <c r="J1081" s="13">
        <f>G1081-H1081-I1081</f>
        <v/>
      </c>
      <c r="K1081">
        <f>IF(A1081="","",IF(J1081&lt;=IFERROR(VLOOKUP(A1081,Cadastro_Produtos!$A:$E,5,FALSE),0),"ABAIXO DO MINIMO","OK"))</f>
        <v/>
      </c>
    </row>
    <row r="1082">
      <c r="B1082">
        <f>IFERROR(VLOOKUP(A1082,Cadastro_Produtos!A:B,2,FALSE),"")</f>
        <v/>
      </c>
      <c r="D1082" s="12" t="n"/>
      <c r="E1082" s="13">
        <f>IF(D1082="","",D1082-TODAY())</f>
        <v/>
      </c>
      <c r="F1082">
        <f>IF(D1082="","",IF(E1082&lt;0,"VENCIDO",IF(E1082&lt;=30,"VENCE EM &lt;= 30 DIAS",IF(E1082&lt;=60,"ATENCAO (31-60 DIAS)","OK"))))</f>
        <v/>
      </c>
      <c r="G1082" s="13">
        <f>SUMIFS(Movimentacoes!$G:$G,Movimentacoes!$C:$C,$A1082,Movimentacoes!$E:$E,$C1082,Movimentacoes!$B:$B,"ENTRADA")</f>
        <v/>
      </c>
      <c r="H1082" s="13">
        <f>SUMIFS(Movimentacoes!$G:$G,Movimentacoes!$C:$C,$A1082,Movimentacoes!$E:$E,$C1082,Movimentacoes!$B:$B,"SAIDA_USO")</f>
        <v/>
      </c>
      <c r="I1082" s="13">
        <f>SUMIFS(Movimentacoes!$G:$G,Movimentacoes!$C:$C,$A1082,Movimentacoes!$E:$E,$C1082,Movimentacoes!$B:$B,"SAIDA_DESCARTE")</f>
        <v/>
      </c>
      <c r="J1082" s="13">
        <f>G1082-H1082-I1082</f>
        <v/>
      </c>
      <c r="K1082">
        <f>IF(A1082="","",IF(J1082&lt;=IFERROR(VLOOKUP(A1082,Cadastro_Produtos!$A:$E,5,FALSE),0),"ABAIXO DO MINIMO","OK"))</f>
        <v/>
      </c>
    </row>
    <row r="1083">
      <c r="B1083">
        <f>IFERROR(VLOOKUP(A1083,Cadastro_Produtos!A:B,2,FALSE),"")</f>
        <v/>
      </c>
      <c r="D1083" s="12" t="n"/>
      <c r="E1083" s="13">
        <f>IF(D1083="","",D1083-TODAY())</f>
        <v/>
      </c>
      <c r="F1083">
        <f>IF(D1083="","",IF(E1083&lt;0,"VENCIDO",IF(E1083&lt;=30,"VENCE EM &lt;= 30 DIAS",IF(E1083&lt;=60,"ATENCAO (31-60 DIAS)","OK"))))</f>
        <v/>
      </c>
      <c r="G1083" s="13">
        <f>SUMIFS(Movimentacoes!$G:$G,Movimentacoes!$C:$C,$A1083,Movimentacoes!$E:$E,$C1083,Movimentacoes!$B:$B,"ENTRADA")</f>
        <v/>
      </c>
      <c r="H1083" s="13">
        <f>SUMIFS(Movimentacoes!$G:$G,Movimentacoes!$C:$C,$A1083,Movimentacoes!$E:$E,$C1083,Movimentacoes!$B:$B,"SAIDA_USO")</f>
        <v/>
      </c>
      <c r="I1083" s="13">
        <f>SUMIFS(Movimentacoes!$G:$G,Movimentacoes!$C:$C,$A1083,Movimentacoes!$E:$E,$C1083,Movimentacoes!$B:$B,"SAIDA_DESCARTE")</f>
        <v/>
      </c>
      <c r="J1083" s="13">
        <f>G1083-H1083-I1083</f>
        <v/>
      </c>
      <c r="K1083">
        <f>IF(A1083="","",IF(J1083&lt;=IFERROR(VLOOKUP(A1083,Cadastro_Produtos!$A:$E,5,FALSE),0),"ABAIXO DO MINIMO","OK"))</f>
        <v/>
      </c>
    </row>
    <row r="1084">
      <c r="B1084">
        <f>IFERROR(VLOOKUP(A1084,Cadastro_Produtos!A:B,2,FALSE),"")</f>
        <v/>
      </c>
      <c r="D1084" s="12" t="n"/>
      <c r="E1084" s="13">
        <f>IF(D1084="","",D1084-TODAY())</f>
        <v/>
      </c>
      <c r="F1084">
        <f>IF(D1084="","",IF(E1084&lt;0,"VENCIDO",IF(E1084&lt;=30,"VENCE EM &lt;= 30 DIAS",IF(E1084&lt;=60,"ATENCAO (31-60 DIAS)","OK"))))</f>
        <v/>
      </c>
      <c r="G1084" s="13">
        <f>SUMIFS(Movimentacoes!$G:$G,Movimentacoes!$C:$C,$A1084,Movimentacoes!$E:$E,$C1084,Movimentacoes!$B:$B,"ENTRADA")</f>
        <v/>
      </c>
      <c r="H1084" s="13">
        <f>SUMIFS(Movimentacoes!$G:$G,Movimentacoes!$C:$C,$A1084,Movimentacoes!$E:$E,$C1084,Movimentacoes!$B:$B,"SAIDA_USO")</f>
        <v/>
      </c>
      <c r="I1084" s="13">
        <f>SUMIFS(Movimentacoes!$G:$G,Movimentacoes!$C:$C,$A1084,Movimentacoes!$E:$E,$C1084,Movimentacoes!$B:$B,"SAIDA_DESCARTE")</f>
        <v/>
      </c>
      <c r="J1084" s="13">
        <f>G1084-H1084-I1084</f>
        <v/>
      </c>
      <c r="K1084">
        <f>IF(A1084="","",IF(J1084&lt;=IFERROR(VLOOKUP(A1084,Cadastro_Produtos!$A:$E,5,FALSE),0),"ABAIXO DO MINIMO","OK"))</f>
        <v/>
      </c>
    </row>
    <row r="1085">
      <c r="B1085">
        <f>IFERROR(VLOOKUP(A1085,Cadastro_Produtos!A:B,2,FALSE),"")</f>
        <v/>
      </c>
      <c r="D1085" s="12" t="n"/>
      <c r="E1085" s="13">
        <f>IF(D1085="","",D1085-TODAY())</f>
        <v/>
      </c>
      <c r="F1085">
        <f>IF(D1085="","",IF(E1085&lt;0,"VENCIDO",IF(E1085&lt;=30,"VENCE EM &lt;= 30 DIAS",IF(E1085&lt;=60,"ATENCAO (31-60 DIAS)","OK"))))</f>
        <v/>
      </c>
      <c r="G1085" s="13">
        <f>SUMIFS(Movimentacoes!$G:$G,Movimentacoes!$C:$C,$A1085,Movimentacoes!$E:$E,$C1085,Movimentacoes!$B:$B,"ENTRADA")</f>
        <v/>
      </c>
      <c r="H1085" s="13">
        <f>SUMIFS(Movimentacoes!$G:$G,Movimentacoes!$C:$C,$A1085,Movimentacoes!$E:$E,$C1085,Movimentacoes!$B:$B,"SAIDA_USO")</f>
        <v/>
      </c>
      <c r="I1085" s="13">
        <f>SUMIFS(Movimentacoes!$G:$G,Movimentacoes!$C:$C,$A1085,Movimentacoes!$E:$E,$C1085,Movimentacoes!$B:$B,"SAIDA_DESCARTE")</f>
        <v/>
      </c>
      <c r="J1085" s="13">
        <f>G1085-H1085-I1085</f>
        <v/>
      </c>
      <c r="K1085">
        <f>IF(A1085="","",IF(J1085&lt;=IFERROR(VLOOKUP(A1085,Cadastro_Produtos!$A:$E,5,FALSE),0),"ABAIXO DO MINIMO","OK"))</f>
        <v/>
      </c>
    </row>
    <row r="1086">
      <c r="B1086">
        <f>IFERROR(VLOOKUP(A1086,Cadastro_Produtos!A:B,2,FALSE),"")</f>
        <v/>
      </c>
      <c r="D1086" s="12" t="n"/>
      <c r="E1086" s="13">
        <f>IF(D1086="","",D1086-TODAY())</f>
        <v/>
      </c>
      <c r="F1086">
        <f>IF(D1086="","",IF(E1086&lt;0,"VENCIDO",IF(E1086&lt;=30,"VENCE EM &lt;= 30 DIAS",IF(E1086&lt;=60,"ATENCAO (31-60 DIAS)","OK"))))</f>
        <v/>
      </c>
      <c r="G1086" s="13">
        <f>SUMIFS(Movimentacoes!$G:$G,Movimentacoes!$C:$C,$A1086,Movimentacoes!$E:$E,$C1086,Movimentacoes!$B:$B,"ENTRADA")</f>
        <v/>
      </c>
      <c r="H1086" s="13">
        <f>SUMIFS(Movimentacoes!$G:$G,Movimentacoes!$C:$C,$A1086,Movimentacoes!$E:$E,$C1086,Movimentacoes!$B:$B,"SAIDA_USO")</f>
        <v/>
      </c>
      <c r="I1086" s="13">
        <f>SUMIFS(Movimentacoes!$G:$G,Movimentacoes!$C:$C,$A1086,Movimentacoes!$E:$E,$C1086,Movimentacoes!$B:$B,"SAIDA_DESCARTE")</f>
        <v/>
      </c>
      <c r="J1086" s="13">
        <f>G1086-H1086-I1086</f>
        <v/>
      </c>
      <c r="K1086">
        <f>IF(A1086="","",IF(J1086&lt;=IFERROR(VLOOKUP(A1086,Cadastro_Produtos!$A:$E,5,FALSE),0),"ABAIXO DO MINIMO","OK"))</f>
        <v/>
      </c>
    </row>
    <row r="1087">
      <c r="B1087">
        <f>IFERROR(VLOOKUP(A1087,Cadastro_Produtos!A:B,2,FALSE),"")</f>
        <v/>
      </c>
      <c r="D1087" s="12" t="n"/>
      <c r="E1087" s="13">
        <f>IF(D1087="","",D1087-TODAY())</f>
        <v/>
      </c>
      <c r="F1087">
        <f>IF(D1087="","",IF(E1087&lt;0,"VENCIDO",IF(E1087&lt;=30,"VENCE EM &lt;= 30 DIAS",IF(E1087&lt;=60,"ATENCAO (31-60 DIAS)","OK"))))</f>
        <v/>
      </c>
      <c r="G1087" s="13">
        <f>SUMIFS(Movimentacoes!$G:$G,Movimentacoes!$C:$C,$A1087,Movimentacoes!$E:$E,$C1087,Movimentacoes!$B:$B,"ENTRADA")</f>
        <v/>
      </c>
      <c r="H1087" s="13">
        <f>SUMIFS(Movimentacoes!$G:$G,Movimentacoes!$C:$C,$A1087,Movimentacoes!$E:$E,$C1087,Movimentacoes!$B:$B,"SAIDA_USO")</f>
        <v/>
      </c>
      <c r="I1087" s="13">
        <f>SUMIFS(Movimentacoes!$G:$G,Movimentacoes!$C:$C,$A1087,Movimentacoes!$E:$E,$C1087,Movimentacoes!$B:$B,"SAIDA_DESCARTE")</f>
        <v/>
      </c>
      <c r="J1087" s="13">
        <f>G1087-H1087-I1087</f>
        <v/>
      </c>
      <c r="K1087">
        <f>IF(A1087="","",IF(J1087&lt;=IFERROR(VLOOKUP(A1087,Cadastro_Produtos!$A:$E,5,FALSE),0),"ABAIXO DO MINIMO","OK"))</f>
        <v/>
      </c>
    </row>
    <row r="1088">
      <c r="B1088">
        <f>IFERROR(VLOOKUP(A1088,Cadastro_Produtos!A:B,2,FALSE),"")</f>
        <v/>
      </c>
      <c r="D1088" s="12" t="n"/>
      <c r="E1088" s="13">
        <f>IF(D1088="","",D1088-TODAY())</f>
        <v/>
      </c>
      <c r="F1088">
        <f>IF(D1088="","",IF(E1088&lt;0,"VENCIDO",IF(E1088&lt;=30,"VENCE EM &lt;= 30 DIAS",IF(E1088&lt;=60,"ATENCAO (31-60 DIAS)","OK"))))</f>
        <v/>
      </c>
      <c r="G1088" s="13">
        <f>SUMIFS(Movimentacoes!$G:$G,Movimentacoes!$C:$C,$A1088,Movimentacoes!$E:$E,$C1088,Movimentacoes!$B:$B,"ENTRADA")</f>
        <v/>
      </c>
      <c r="H1088" s="13">
        <f>SUMIFS(Movimentacoes!$G:$G,Movimentacoes!$C:$C,$A1088,Movimentacoes!$E:$E,$C1088,Movimentacoes!$B:$B,"SAIDA_USO")</f>
        <v/>
      </c>
      <c r="I1088" s="13">
        <f>SUMIFS(Movimentacoes!$G:$G,Movimentacoes!$C:$C,$A1088,Movimentacoes!$E:$E,$C1088,Movimentacoes!$B:$B,"SAIDA_DESCARTE")</f>
        <v/>
      </c>
      <c r="J1088" s="13">
        <f>G1088-H1088-I1088</f>
        <v/>
      </c>
      <c r="K1088">
        <f>IF(A1088="","",IF(J1088&lt;=IFERROR(VLOOKUP(A1088,Cadastro_Produtos!$A:$E,5,FALSE),0),"ABAIXO DO MINIMO","OK"))</f>
        <v/>
      </c>
    </row>
    <row r="1089">
      <c r="B1089">
        <f>IFERROR(VLOOKUP(A1089,Cadastro_Produtos!A:B,2,FALSE),"")</f>
        <v/>
      </c>
      <c r="D1089" s="12" t="n"/>
      <c r="E1089" s="13">
        <f>IF(D1089="","",D1089-TODAY())</f>
        <v/>
      </c>
      <c r="F1089">
        <f>IF(D1089="","",IF(E1089&lt;0,"VENCIDO",IF(E1089&lt;=30,"VENCE EM &lt;= 30 DIAS",IF(E1089&lt;=60,"ATENCAO (31-60 DIAS)","OK"))))</f>
        <v/>
      </c>
      <c r="G1089" s="13">
        <f>SUMIFS(Movimentacoes!$G:$G,Movimentacoes!$C:$C,$A1089,Movimentacoes!$E:$E,$C1089,Movimentacoes!$B:$B,"ENTRADA")</f>
        <v/>
      </c>
      <c r="H1089" s="13">
        <f>SUMIFS(Movimentacoes!$G:$G,Movimentacoes!$C:$C,$A1089,Movimentacoes!$E:$E,$C1089,Movimentacoes!$B:$B,"SAIDA_USO")</f>
        <v/>
      </c>
      <c r="I1089" s="13">
        <f>SUMIFS(Movimentacoes!$G:$G,Movimentacoes!$C:$C,$A1089,Movimentacoes!$E:$E,$C1089,Movimentacoes!$B:$B,"SAIDA_DESCARTE")</f>
        <v/>
      </c>
      <c r="J1089" s="13">
        <f>G1089-H1089-I1089</f>
        <v/>
      </c>
      <c r="K1089">
        <f>IF(A1089="","",IF(J1089&lt;=IFERROR(VLOOKUP(A1089,Cadastro_Produtos!$A:$E,5,FALSE),0),"ABAIXO DO MINIMO","OK"))</f>
        <v/>
      </c>
    </row>
    <row r="1090">
      <c r="B1090">
        <f>IFERROR(VLOOKUP(A1090,Cadastro_Produtos!A:B,2,FALSE),"")</f>
        <v/>
      </c>
      <c r="D1090" s="12" t="n"/>
      <c r="E1090" s="13">
        <f>IF(D1090="","",D1090-TODAY())</f>
        <v/>
      </c>
      <c r="F1090">
        <f>IF(D1090="","",IF(E1090&lt;0,"VENCIDO",IF(E1090&lt;=30,"VENCE EM &lt;= 30 DIAS",IF(E1090&lt;=60,"ATENCAO (31-60 DIAS)","OK"))))</f>
        <v/>
      </c>
      <c r="G1090" s="13">
        <f>SUMIFS(Movimentacoes!$G:$G,Movimentacoes!$C:$C,$A1090,Movimentacoes!$E:$E,$C1090,Movimentacoes!$B:$B,"ENTRADA")</f>
        <v/>
      </c>
      <c r="H1090" s="13">
        <f>SUMIFS(Movimentacoes!$G:$G,Movimentacoes!$C:$C,$A1090,Movimentacoes!$E:$E,$C1090,Movimentacoes!$B:$B,"SAIDA_USO")</f>
        <v/>
      </c>
      <c r="I1090" s="13">
        <f>SUMIFS(Movimentacoes!$G:$G,Movimentacoes!$C:$C,$A1090,Movimentacoes!$E:$E,$C1090,Movimentacoes!$B:$B,"SAIDA_DESCARTE")</f>
        <v/>
      </c>
      <c r="J1090" s="13">
        <f>G1090-H1090-I1090</f>
        <v/>
      </c>
      <c r="K1090">
        <f>IF(A1090="","",IF(J1090&lt;=IFERROR(VLOOKUP(A1090,Cadastro_Produtos!$A:$E,5,FALSE),0),"ABAIXO DO MINIMO","OK"))</f>
        <v/>
      </c>
    </row>
    <row r="1091">
      <c r="B1091">
        <f>IFERROR(VLOOKUP(A1091,Cadastro_Produtos!A:B,2,FALSE),"")</f>
        <v/>
      </c>
      <c r="D1091" s="12" t="n"/>
      <c r="E1091" s="13">
        <f>IF(D1091="","",D1091-TODAY())</f>
        <v/>
      </c>
      <c r="F1091">
        <f>IF(D1091="","",IF(E1091&lt;0,"VENCIDO",IF(E1091&lt;=30,"VENCE EM &lt;= 30 DIAS",IF(E1091&lt;=60,"ATENCAO (31-60 DIAS)","OK"))))</f>
        <v/>
      </c>
      <c r="G1091" s="13">
        <f>SUMIFS(Movimentacoes!$G:$G,Movimentacoes!$C:$C,$A1091,Movimentacoes!$E:$E,$C1091,Movimentacoes!$B:$B,"ENTRADA")</f>
        <v/>
      </c>
      <c r="H1091" s="13">
        <f>SUMIFS(Movimentacoes!$G:$G,Movimentacoes!$C:$C,$A1091,Movimentacoes!$E:$E,$C1091,Movimentacoes!$B:$B,"SAIDA_USO")</f>
        <v/>
      </c>
      <c r="I1091" s="13">
        <f>SUMIFS(Movimentacoes!$G:$G,Movimentacoes!$C:$C,$A1091,Movimentacoes!$E:$E,$C1091,Movimentacoes!$B:$B,"SAIDA_DESCARTE")</f>
        <v/>
      </c>
      <c r="J1091" s="13">
        <f>G1091-H1091-I1091</f>
        <v/>
      </c>
      <c r="K1091">
        <f>IF(A1091="","",IF(J1091&lt;=IFERROR(VLOOKUP(A1091,Cadastro_Produtos!$A:$E,5,FALSE),0),"ABAIXO DO MINIMO","OK"))</f>
        <v/>
      </c>
    </row>
    <row r="1092">
      <c r="B1092">
        <f>IFERROR(VLOOKUP(A1092,Cadastro_Produtos!A:B,2,FALSE),"")</f>
        <v/>
      </c>
      <c r="D1092" s="12" t="n"/>
      <c r="E1092" s="13">
        <f>IF(D1092="","",D1092-TODAY())</f>
        <v/>
      </c>
      <c r="F1092">
        <f>IF(D1092="","",IF(E1092&lt;0,"VENCIDO",IF(E1092&lt;=30,"VENCE EM &lt;= 30 DIAS",IF(E1092&lt;=60,"ATENCAO (31-60 DIAS)","OK"))))</f>
        <v/>
      </c>
      <c r="G1092" s="13">
        <f>SUMIFS(Movimentacoes!$G:$G,Movimentacoes!$C:$C,$A1092,Movimentacoes!$E:$E,$C1092,Movimentacoes!$B:$B,"ENTRADA")</f>
        <v/>
      </c>
      <c r="H1092" s="13">
        <f>SUMIFS(Movimentacoes!$G:$G,Movimentacoes!$C:$C,$A1092,Movimentacoes!$E:$E,$C1092,Movimentacoes!$B:$B,"SAIDA_USO")</f>
        <v/>
      </c>
      <c r="I1092" s="13">
        <f>SUMIFS(Movimentacoes!$G:$G,Movimentacoes!$C:$C,$A1092,Movimentacoes!$E:$E,$C1092,Movimentacoes!$B:$B,"SAIDA_DESCARTE")</f>
        <v/>
      </c>
      <c r="J1092" s="13">
        <f>G1092-H1092-I1092</f>
        <v/>
      </c>
      <c r="K1092">
        <f>IF(A1092="","",IF(J1092&lt;=IFERROR(VLOOKUP(A1092,Cadastro_Produtos!$A:$E,5,FALSE),0),"ABAIXO DO MINIMO","OK"))</f>
        <v/>
      </c>
    </row>
    <row r="1093">
      <c r="B1093">
        <f>IFERROR(VLOOKUP(A1093,Cadastro_Produtos!A:B,2,FALSE),"")</f>
        <v/>
      </c>
      <c r="D1093" s="12" t="n"/>
      <c r="E1093" s="13">
        <f>IF(D1093="","",D1093-TODAY())</f>
        <v/>
      </c>
      <c r="F1093">
        <f>IF(D1093="","",IF(E1093&lt;0,"VENCIDO",IF(E1093&lt;=30,"VENCE EM &lt;= 30 DIAS",IF(E1093&lt;=60,"ATENCAO (31-60 DIAS)","OK"))))</f>
        <v/>
      </c>
      <c r="G1093" s="13">
        <f>SUMIFS(Movimentacoes!$G:$G,Movimentacoes!$C:$C,$A1093,Movimentacoes!$E:$E,$C1093,Movimentacoes!$B:$B,"ENTRADA")</f>
        <v/>
      </c>
      <c r="H1093" s="13">
        <f>SUMIFS(Movimentacoes!$G:$G,Movimentacoes!$C:$C,$A1093,Movimentacoes!$E:$E,$C1093,Movimentacoes!$B:$B,"SAIDA_USO")</f>
        <v/>
      </c>
      <c r="I1093" s="13">
        <f>SUMIFS(Movimentacoes!$G:$G,Movimentacoes!$C:$C,$A1093,Movimentacoes!$E:$E,$C1093,Movimentacoes!$B:$B,"SAIDA_DESCARTE")</f>
        <v/>
      </c>
      <c r="J1093" s="13">
        <f>G1093-H1093-I1093</f>
        <v/>
      </c>
      <c r="K1093">
        <f>IF(A1093="","",IF(J1093&lt;=IFERROR(VLOOKUP(A1093,Cadastro_Produtos!$A:$E,5,FALSE),0),"ABAIXO DO MINIMO","OK"))</f>
        <v/>
      </c>
    </row>
    <row r="1094">
      <c r="B1094">
        <f>IFERROR(VLOOKUP(A1094,Cadastro_Produtos!A:B,2,FALSE),"")</f>
        <v/>
      </c>
      <c r="D1094" s="12" t="n"/>
      <c r="E1094" s="13">
        <f>IF(D1094="","",D1094-TODAY())</f>
        <v/>
      </c>
      <c r="F1094">
        <f>IF(D1094="","",IF(E1094&lt;0,"VENCIDO",IF(E1094&lt;=30,"VENCE EM &lt;= 30 DIAS",IF(E1094&lt;=60,"ATENCAO (31-60 DIAS)","OK"))))</f>
        <v/>
      </c>
      <c r="G1094" s="13">
        <f>SUMIFS(Movimentacoes!$G:$G,Movimentacoes!$C:$C,$A1094,Movimentacoes!$E:$E,$C1094,Movimentacoes!$B:$B,"ENTRADA")</f>
        <v/>
      </c>
      <c r="H1094" s="13">
        <f>SUMIFS(Movimentacoes!$G:$G,Movimentacoes!$C:$C,$A1094,Movimentacoes!$E:$E,$C1094,Movimentacoes!$B:$B,"SAIDA_USO")</f>
        <v/>
      </c>
      <c r="I1094" s="13">
        <f>SUMIFS(Movimentacoes!$G:$G,Movimentacoes!$C:$C,$A1094,Movimentacoes!$E:$E,$C1094,Movimentacoes!$B:$B,"SAIDA_DESCARTE")</f>
        <v/>
      </c>
      <c r="J1094" s="13">
        <f>G1094-H1094-I1094</f>
        <v/>
      </c>
      <c r="K1094">
        <f>IF(A1094="","",IF(J1094&lt;=IFERROR(VLOOKUP(A1094,Cadastro_Produtos!$A:$E,5,FALSE),0),"ABAIXO DO MINIMO","OK"))</f>
        <v/>
      </c>
    </row>
    <row r="1095">
      <c r="B1095">
        <f>IFERROR(VLOOKUP(A1095,Cadastro_Produtos!A:B,2,FALSE),"")</f>
        <v/>
      </c>
      <c r="D1095" s="12" t="n"/>
      <c r="E1095" s="13">
        <f>IF(D1095="","",D1095-TODAY())</f>
        <v/>
      </c>
      <c r="F1095">
        <f>IF(D1095="","",IF(E1095&lt;0,"VENCIDO",IF(E1095&lt;=30,"VENCE EM &lt;= 30 DIAS",IF(E1095&lt;=60,"ATENCAO (31-60 DIAS)","OK"))))</f>
        <v/>
      </c>
      <c r="G1095" s="13">
        <f>SUMIFS(Movimentacoes!$G:$G,Movimentacoes!$C:$C,$A1095,Movimentacoes!$E:$E,$C1095,Movimentacoes!$B:$B,"ENTRADA")</f>
        <v/>
      </c>
      <c r="H1095" s="13">
        <f>SUMIFS(Movimentacoes!$G:$G,Movimentacoes!$C:$C,$A1095,Movimentacoes!$E:$E,$C1095,Movimentacoes!$B:$B,"SAIDA_USO")</f>
        <v/>
      </c>
      <c r="I1095" s="13">
        <f>SUMIFS(Movimentacoes!$G:$G,Movimentacoes!$C:$C,$A1095,Movimentacoes!$E:$E,$C1095,Movimentacoes!$B:$B,"SAIDA_DESCARTE")</f>
        <v/>
      </c>
      <c r="J1095" s="13">
        <f>G1095-H1095-I1095</f>
        <v/>
      </c>
      <c r="K1095">
        <f>IF(A1095="","",IF(J1095&lt;=IFERROR(VLOOKUP(A1095,Cadastro_Produtos!$A:$E,5,FALSE),0),"ABAIXO DO MINIMO","OK"))</f>
        <v/>
      </c>
    </row>
    <row r="1096">
      <c r="B1096">
        <f>IFERROR(VLOOKUP(A1096,Cadastro_Produtos!A:B,2,FALSE),"")</f>
        <v/>
      </c>
      <c r="D1096" s="12" t="n"/>
      <c r="E1096" s="13">
        <f>IF(D1096="","",D1096-TODAY())</f>
        <v/>
      </c>
      <c r="F1096">
        <f>IF(D1096="","",IF(E1096&lt;0,"VENCIDO",IF(E1096&lt;=30,"VENCE EM &lt;= 30 DIAS",IF(E1096&lt;=60,"ATENCAO (31-60 DIAS)","OK"))))</f>
        <v/>
      </c>
      <c r="G1096" s="13">
        <f>SUMIFS(Movimentacoes!$G:$G,Movimentacoes!$C:$C,$A1096,Movimentacoes!$E:$E,$C1096,Movimentacoes!$B:$B,"ENTRADA")</f>
        <v/>
      </c>
      <c r="H1096" s="13">
        <f>SUMIFS(Movimentacoes!$G:$G,Movimentacoes!$C:$C,$A1096,Movimentacoes!$E:$E,$C1096,Movimentacoes!$B:$B,"SAIDA_USO")</f>
        <v/>
      </c>
      <c r="I1096" s="13">
        <f>SUMIFS(Movimentacoes!$G:$G,Movimentacoes!$C:$C,$A1096,Movimentacoes!$E:$E,$C1096,Movimentacoes!$B:$B,"SAIDA_DESCARTE")</f>
        <v/>
      </c>
      <c r="J1096" s="13">
        <f>G1096-H1096-I1096</f>
        <v/>
      </c>
      <c r="K1096">
        <f>IF(A1096="","",IF(J1096&lt;=IFERROR(VLOOKUP(A1096,Cadastro_Produtos!$A:$E,5,FALSE),0),"ABAIXO DO MINIMO","OK"))</f>
        <v/>
      </c>
    </row>
    <row r="1097">
      <c r="B1097">
        <f>IFERROR(VLOOKUP(A1097,Cadastro_Produtos!A:B,2,FALSE),"")</f>
        <v/>
      </c>
      <c r="D1097" s="12" t="n"/>
      <c r="E1097" s="13">
        <f>IF(D1097="","",D1097-TODAY())</f>
        <v/>
      </c>
      <c r="F1097">
        <f>IF(D1097="","",IF(E1097&lt;0,"VENCIDO",IF(E1097&lt;=30,"VENCE EM &lt;= 30 DIAS",IF(E1097&lt;=60,"ATENCAO (31-60 DIAS)","OK"))))</f>
        <v/>
      </c>
      <c r="G1097" s="13">
        <f>SUMIFS(Movimentacoes!$G:$G,Movimentacoes!$C:$C,$A1097,Movimentacoes!$E:$E,$C1097,Movimentacoes!$B:$B,"ENTRADA")</f>
        <v/>
      </c>
      <c r="H1097" s="13">
        <f>SUMIFS(Movimentacoes!$G:$G,Movimentacoes!$C:$C,$A1097,Movimentacoes!$E:$E,$C1097,Movimentacoes!$B:$B,"SAIDA_USO")</f>
        <v/>
      </c>
      <c r="I1097" s="13">
        <f>SUMIFS(Movimentacoes!$G:$G,Movimentacoes!$C:$C,$A1097,Movimentacoes!$E:$E,$C1097,Movimentacoes!$B:$B,"SAIDA_DESCARTE")</f>
        <v/>
      </c>
      <c r="J1097" s="13">
        <f>G1097-H1097-I1097</f>
        <v/>
      </c>
      <c r="K1097">
        <f>IF(A1097="","",IF(J1097&lt;=IFERROR(VLOOKUP(A1097,Cadastro_Produtos!$A:$E,5,FALSE),0),"ABAIXO DO MINIMO","OK"))</f>
        <v/>
      </c>
    </row>
    <row r="1098">
      <c r="B1098">
        <f>IFERROR(VLOOKUP(A1098,Cadastro_Produtos!A:B,2,FALSE),"")</f>
        <v/>
      </c>
      <c r="D1098" s="12" t="n"/>
      <c r="E1098" s="13">
        <f>IF(D1098="","",D1098-TODAY())</f>
        <v/>
      </c>
      <c r="F1098">
        <f>IF(D1098="","",IF(E1098&lt;0,"VENCIDO",IF(E1098&lt;=30,"VENCE EM &lt;= 30 DIAS",IF(E1098&lt;=60,"ATENCAO (31-60 DIAS)","OK"))))</f>
        <v/>
      </c>
      <c r="G1098" s="13">
        <f>SUMIFS(Movimentacoes!$G:$G,Movimentacoes!$C:$C,$A1098,Movimentacoes!$E:$E,$C1098,Movimentacoes!$B:$B,"ENTRADA")</f>
        <v/>
      </c>
      <c r="H1098" s="13">
        <f>SUMIFS(Movimentacoes!$G:$G,Movimentacoes!$C:$C,$A1098,Movimentacoes!$E:$E,$C1098,Movimentacoes!$B:$B,"SAIDA_USO")</f>
        <v/>
      </c>
      <c r="I1098" s="13">
        <f>SUMIFS(Movimentacoes!$G:$G,Movimentacoes!$C:$C,$A1098,Movimentacoes!$E:$E,$C1098,Movimentacoes!$B:$B,"SAIDA_DESCARTE")</f>
        <v/>
      </c>
      <c r="J1098" s="13">
        <f>G1098-H1098-I1098</f>
        <v/>
      </c>
      <c r="K1098">
        <f>IF(A1098="","",IF(J1098&lt;=IFERROR(VLOOKUP(A1098,Cadastro_Produtos!$A:$E,5,FALSE),0),"ABAIXO DO MINIMO","OK"))</f>
        <v/>
      </c>
    </row>
    <row r="1099">
      <c r="B1099">
        <f>IFERROR(VLOOKUP(A1099,Cadastro_Produtos!A:B,2,FALSE),"")</f>
        <v/>
      </c>
      <c r="D1099" s="12" t="n"/>
      <c r="E1099" s="13">
        <f>IF(D1099="","",D1099-TODAY())</f>
        <v/>
      </c>
      <c r="F1099">
        <f>IF(D1099="","",IF(E1099&lt;0,"VENCIDO",IF(E1099&lt;=30,"VENCE EM &lt;= 30 DIAS",IF(E1099&lt;=60,"ATENCAO (31-60 DIAS)","OK"))))</f>
        <v/>
      </c>
      <c r="G1099" s="13">
        <f>SUMIFS(Movimentacoes!$G:$G,Movimentacoes!$C:$C,$A1099,Movimentacoes!$E:$E,$C1099,Movimentacoes!$B:$B,"ENTRADA")</f>
        <v/>
      </c>
      <c r="H1099" s="13">
        <f>SUMIFS(Movimentacoes!$G:$G,Movimentacoes!$C:$C,$A1099,Movimentacoes!$E:$E,$C1099,Movimentacoes!$B:$B,"SAIDA_USO")</f>
        <v/>
      </c>
      <c r="I1099" s="13">
        <f>SUMIFS(Movimentacoes!$G:$G,Movimentacoes!$C:$C,$A1099,Movimentacoes!$E:$E,$C1099,Movimentacoes!$B:$B,"SAIDA_DESCARTE")</f>
        <v/>
      </c>
      <c r="J1099" s="13">
        <f>G1099-H1099-I1099</f>
        <v/>
      </c>
      <c r="K1099">
        <f>IF(A1099="","",IF(J1099&lt;=IFERROR(VLOOKUP(A1099,Cadastro_Produtos!$A:$E,5,FALSE),0),"ABAIXO DO MINIMO","OK"))</f>
        <v/>
      </c>
    </row>
    <row r="1100">
      <c r="B1100">
        <f>IFERROR(VLOOKUP(A1100,Cadastro_Produtos!A:B,2,FALSE),"")</f>
        <v/>
      </c>
      <c r="D1100" s="12" t="n"/>
      <c r="E1100" s="13">
        <f>IF(D1100="","",D1100-TODAY())</f>
        <v/>
      </c>
      <c r="F1100">
        <f>IF(D1100="","",IF(E1100&lt;0,"VENCIDO",IF(E1100&lt;=30,"VENCE EM &lt;= 30 DIAS",IF(E1100&lt;=60,"ATENCAO (31-60 DIAS)","OK"))))</f>
        <v/>
      </c>
      <c r="G1100" s="13">
        <f>SUMIFS(Movimentacoes!$G:$G,Movimentacoes!$C:$C,$A1100,Movimentacoes!$E:$E,$C1100,Movimentacoes!$B:$B,"ENTRADA")</f>
        <v/>
      </c>
      <c r="H1100" s="13">
        <f>SUMIFS(Movimentacoes!$G:$G,Movimentacoes!$C:$C,$A1100,Movimentacoes!$E:$E,$C1100,Movimentacoes!$B:$B,"SAIDA_USO")</f>
        <v/>
      </c>
      <c r="I1100" s="13">
        <f>SUMIFS(Movimentacoes!$G:$G,Movimentacoes!$C:$C,$A1100,Movimentacoes!$E:$E,$C1100,Movimentacoes!$B:$B,"SAIDA_DESCARTE")</f>
        <v/>
      </c>
      <c r="J1100" s="13">
        <f>G1100-H1100-I1100</f>
        <v/>
      </c>
      <c r="K1100">
        <f>IF(A1100="","",IF(J1100&lt;=IFERROR(VLOOKUP(A1100,Cadastro_Produtos!$A:$E,5,FALSE),0),"ABAIXO DO MINIMO","OK"))</f>
        <v/>
      </c>
    </row>
    <row r="1101">
      <c r="B1101">
        <f>IFERROR(VLOOKUP(A1101,Cadastro_Produtos!A:B,2,FALSE),"")</f>
        <v/>
      </c>
      <c r="D1101" s="12" t="n"/>
      <c r="E1101" s="13">
        <f>IF(D1101="","",D1101-TODAY())</f>
        <v/>
      </c>
      <c r="F1101">
        <f>IF(D1101="","",IF(E1101&lt;0,"VENCIDO",IF(E1101&lt;=30,"VENCE EM &lt;= 30 DIAS",IF(E1101&lt;=60,"ATENCAO (31-60 DIAS)","OK"))))</f>
        <v/>
      </c>
      <c r="G1101" s="13">
        <f>SUMIFS(Movimentacoes!$G:$G,Movimentacoes!$C:$C,$A1101,Movimentacoes!$E:$E,$C1101,Movimentacoes!$B:$B,"ENTRADA")</f>
        <v/>
      </c>
      <c r="H1101" s="13">
        <f>SUMIFS(Movimentacoes!$G:$G,Movimentacoes!$C:$C,$A1101,Movimentacoes!$E:$E,$C1101,Movimentacoes!$B:$B,"SAIDA_USO")</f>
        <v/>
      </c>
      <c r="I1101" s="13">
        <f>SUMIFS(Movimentacoes!$G:$G,Movimentacoes!$C:$C,$A1101,Movimentacoes!$E:$E,$C1101,Movimentacoes!$B:$B,"SAIDA_DESCARTE")</f>
        <v/>
      </c>
      <c r="J1101" s="13">
        <f>G1101-H1101-I1101</f>
        <v/>
      </c>
      <c r="K1101">
        <f>IF(A1101="","",IF(J1101&lt;=IFERROR(VLOOKUP(A1101,Cadastro_Produtos!$A:$E,5,FALSE),0),"ABAIXO DO MINIMO","OK"))</f>
        <v/>
      </c>
    </row>
    <row r="1102">
      <c r="B1102">
        <f>IFERROR(VLOOKUP(A1102,Cadastro_Produtos!A:B,2,FALSE),"")</f>
        <v/>
      </c>
      <c r="D1102" s="12" t="n"/>
      <c r="E1102" s="13">
        <f>IF(D1102="","",D1102-TODAY())</f>
        <v/>
      </c>
      <c r="F1102">
        <f>IF(D1102="","",IF(E1102&lt;0,"VENCIDO",IF(E1102&lt;=30,"VENCE EM &lt;= 30 DIAS",IF(E1102&lt;=60,"ATENCAO (31-60 DIAS)","OK"))))</f>
        <v/>
      </c>
      <c r="G1102" s="13">
        <f>SUMIFS(Movimentacoes!$G:$G,Movimentacoes!$C:$C,$A1102,Movimentacoes!$E:$E,$C1102,Movimentacoes!$B:$B,"ENTRADA")</f>
        <v/>
      </c>
      <c r="H1102" s="13">
        <f>SUMIFS(Movimentacoes!$G:$G,Movimentacoes!$C:$C,$A1102,Movimentacoes!$E:$E,$C1102,Movimentacoes!$B:$B,"SAIDA_USO")</f>
        <v/>
      </c>
      <c r="I1102" s="13">
        <f>SUMIFS(Movimentacoes!$G:$G,Movimentacoes!$C:$C,$A1102,Movimentacoes!$E:$E,$C1102,Movimentacoes!$B:$B,"SAIDA_DESCARTE")</f>
        <v/>
      </c>
      <c r="J1102" s="13">
        <f>G1102-H1102-I1102</f>
        <v/>
      </c>
      <c r="K1102">
        <f>IF(A1102="","",IF(J1102&lt;=IFERROR(VLOOKUP(A1102,Cadastro_Produtos!$A:$E,5,FALSE),0),"ABAIXO DO MINIMO","OK"))</f>
        <v/>
      </c>
    </row>
    <row r="1103">
      <c r="B1103">
        <f>IFERROR(VLOOKUP(A1103,Cadastro_Produtos!A:B,2,FALSE),"")</f>
        <v/>
      </c>
      <c r="D1103" s="12" t="n"/>
      <c r="E1103" s="13">
        <f>IF(D1103="","",D1103-TODAY())</f>
        <v/>
      </c>
      <c r="F1103">
        <f>IF(D1103="","",IF(E1103&lt;0,"VENCIDO",IF(E1103&lt;=30,"VENCE EM &lt;= 30 DIAS",IF(E1103&lt;=60,"ATENCAO (31-60 DIAS)","OK"))))</f>
        <v/>
      </c>
      <c r="G1103" s="13">
        <f>SUMIFS(Movimentacoes!$G:$G,Movimentacoes!$C:$C,$A1103,Movimentacoes!$E:$E,$C1103,Movimentacoes!$B:$B,"ENTRADA")</f>
        <v/>
      </c>
      <c r="H1103" s="13">
        <f>SUMIFS(Movimentacoes!$G:$G,Movimentacoes!$C:$C,$A1103,Movimentacoes!$E:$E,$C1103,Movimentacoes!$B:$B,"SAIDA_USO")</f>
        <v/>
      </c>
      <c r="I1103" s="13">
        <f>SUMIFS(Movimentacoes!$G:$G,Movimentacoes!$C:$C,$A1103,Movimentacoes!$E:$E,$C1103,Movimentacoes!$B:$B,"SAIDA_DESCARTE")</f>
        <v/>
      </c>
      <c r="J1103" s="13">
        <f>G1103-H1103-I1103</f>
        <v/>
      </c>
      <c r="K1103">
        <f>IF(A1103="","",IF(J1103&lt;=IFERROR(VLOOKUP(A1103,Cadastro_Produtos!$A:$E,5,FALSE),0),"ABAIXO DO MINIMO","OK"))</f>
        <v/>
      </c>
    </row>
    <row r="1104">
      <c r="B1104">
        <f>IFERROR(VLOOKUP(A1104,Cadastro_Produtos!A:B,2,FALSE),"")</f>
        <v/>
      </c>
      <c r="D1104" s="12" t="n"/>
      <c r="E1104" s="13">
        <f>IF(D1104="","",D1104-TODAY())</f>
        <v/>
      </c>
      <c r="F1104">
        <f>IF(D1104="","",IF(E1104&lt;0,"VENCIDO",IF(E1104&lt;=30,"VENCE EM &lt;= 30 DIAS",IF(E1104&lt;=60,"ATENCAO (31-60 DIAS)","OK"))))</f>
        <v/>
      </c>
      <c r="G1104" s="13">
        <f>SUMIFS(Movimentacoes!$G:$G,Movimentacoes!$C:$C,$A1104,Movimentacoes!$E:$E,$C1104,Movimentacoes!$B:$B,"ENTRADA")</f>
        <v/>
      </c>
      <c r="H1104" s="13">
        <f>SUMIFS(Movimentacoes!$G:$G,Movimentacoes!$C:$C,$A1104,Movimentacoes!$E:$E,$C1104,Movimentacoes!$B:$B,"SAIDA_USO")</f>
        <v/>
      </c>
      <c r="I1104" s="13">
        <f>SUMIFS(Movimentacoes!$G:$G,Movimentacoes!$C:$C,$A1104,Movimentacoes!$E:$E,$C1104,Movimentacoes!$B:$B,"SAIDA_DESCARTE")</f>
        <v/>
      </c>
      <c r="J1104" s="13">
        <f>G1104-H1104-I1104</f>
        <v/>
      </c>
      <c r="K1104">
        <f>IF(A1104="","",IF(J1104&lt;=IFERROR(VLOOKUP(A1104,Cadastro_Produtos!$A:$E,5,FALSE),0),"ABAIXO DO MINIMO","OK"))</f>
        <v/>
      </c>
    </row>
    <row r="1105">
      <c r="B1105">
        <f>IFERROR(VLOOKUP(A1105,Cadastro_Produtos!A:B,2,FALSE),"")</f>
        <v/>
      </c>
      <c r="D1105" s="12" t="n"/>
      <c r="E1105" s="13">
        <f>IF(D1105="","",D1105-TODAY())</f>
        <v/>
      </c>
      <c r="F1105">
        <f>IF(D1105="","",IF(E1105&lt;0,"VENCIDO",IF(E1105&lt;=30,"VENCE EM &lt;= 30 DIAS",IF(E1105&lt;=60,"ATENCAO (31-60 DIAS)","OK"))))</f>
        <v/>
      </c>
      <c r="G1105" s="13">
        <f>SUMIFS(Movimentacoes!$G:$G,Movimentacoes!$C:$C,$A1105,Movimentacoes!$E:$E,$C1105,Movimentacoes!$B:$B,"ENTRADA")</f>
        <v/>
      </c>
      <c r="H1105" s="13">
        <f>SUMIFS(Movimentacoes!$G:$G,Movimentacoes!$C:$C,$A1105,Movimentacoes!$E:$E,$C1105,Movimentacoes!$B:$B,"SAIDA_USO")</f>
        <v/>
      </c>
      <c r="I1105" s="13">
        <f>SUMIFS(Movimentacoes!$G:$G,Movimentacoes!$C:$C,$A1105,Movimentacoes!$E:$E,$C1105,Movimentacoes!$B:$B,"SAIDA_DESCARTE")</f>
        <v/>
      </c>
      <c r="J1105" s="13">
        <f>G1105-H1105-I1105</f>
        <v/>
      </c>
      <c r="K1105">
        <f>IF(A1105="","",IF(J1105&lt;=IFERROR(VLOOKUP(A1105,Cadastro_Produtos!$A:$E,5,FALSE),0),"ABAIXO DO MINIMO","OK"))</f>
        <v/>
      </c>
    </row>
    <row r="1106">
      <c r="B1106">
        <f>IFERROR(VLOOKUP(A1106,Cadastro_Produtos!A:B,2,FALSE),"")</f>
        <v/>
      </c>
      <c r="D1106" s="12" t="n"/>
      <c r="E1106" s="13">
        <f>IF(D1106="","",D1106-TODAY())</f>
        <v/>
      </c>
      <c r="F1106">
        <f>IF(D1106="","",IF(E1106&lt;0,"VENCIDO",IF(E1106&lt;=30,"VENCE EM &lt;= 30 DIAS",IF(E1106&lt;=60,"ATENCAO (31-60 DIAS)","OK"))))</f>
        <v/>
      </c>
      <c r="G1106" s="13">
        <f>SUMIFS(Movimentacoes!$G:$G,Movimentacoes!$C:$C,$A1106,Movimentacoes!$E:$E,$C1106,Movimentacoes!$B:$B,"ENTRADA")</f>
        <v/>
      </c>
      <c r="H1106" s="13">
        <f>SUMIFS(Movimentacoes!$G:$G,Movimentacoes!$C:$C,$A1106,Movimentacoes!$E:$E,$C1106,Movimentacoes!$B:$B,"SAIDA_USO")</f>
        <v/>
      </c>
      <c r="I1106" s="13">
        <f>SUMIFS(Movimentacoes!$G:$G,Movimentacoes!$C:$C,$A1106,Movimentacoes!$E:$E,$C1106,Movimentacoes!$B:$B,"SAIDA_DESCARTE")</f>
        <v/>
      </c>
      <c r="J1106" s="13">
        <f>G1106-H1106-I1106</f>
        <v/>
      </c>
      <c r="K1106">
        <f>IF(A1106="","",IF(J1106&lt;=IFERROR(VLOOKUP(A1106,Cadastro_Produtos!$A:$E,5,FALSE),0),"ABAIXO DO MINIMO","OK"))</f>
        <v/>
      </c>
    </row>
    <row r="1107">
      <c r="B1107">
        <f>IFERROR(VLOOKUP(A1107,Cadastro_Produtos!A:B,2,FALSE),"")</f>
        <v/>
      </c>
      <c r="D1107" s="12" t="n"/>
      <c r="E1107" s="13">
        <f>IF(D1107="","",D1107-TODAY())</f>
        <v/>
      </c>
      <c r="F1107">
        <f>IF(D1107="","",IF(E1107&lt;0,"VENCIDO",IF(E1107&lt;=30,"VENCE EM &lt;= 30 DIAS",IF(E1107&lt;=60,"ATENCAO (31-60 DIAS)","OK"))))</f>
        <v/>
      </c>
      <c r="G1107" s="13">
        <f>SUMIFS(Movimentacoes!$G:$G,Movimentacoes!$C:$C,$A1107,Movimentacoes!$E:$E,$C1107,Movimentacoes!$B:$B,"ENTRADA")</f>
        <v/>
      </c>
      <c r="H1107" s="13">
        <f>SUMIFS(Movimentacoes!$G:$G,Movimentacoes!$C:$C,$A1107,Movimentacoes!$E:$E,$C1107,Movimentacoes!$B:$B,"SAIDA_USO")</f>
        <v/>
      </c>
      <c r="I1107" s="13">
        <f>SUMIFS(Movimentacoes!$G:$G,Movimentacoes!$C:$C,$A1107,Movimentacoes!$E:$E,$C1107,Movimentacoes!$B:$B,"SAIDA_DESCARTE")</f>
        <v/>
      </c>
      <c r="J1107" s="13">
        <f>G1107-H1107-I1107</f>
        <v/>
      </c>
      <c r="K1107">
        <f>IF(A1107="","",IF(J1107&lt;=IFERROR(VLOOKUP(A1107,Cadastro_Produtos!$A:$E,5,FALSE),0),"ABAIXO DO MINIMO","OK"))</f>
        <v/>
      </c>
    </row>
    <row r="1108">
      <c r="B1108">
        <f>IFERROR(VLOOKUP(A1108,Cadastro_Produtos!A:B,2,FALSE),"")</f>
        <v/>
      </c>
      <c r="D1108" s="12" t="n"/>
      <c r="E1108" s="13">
        <f>IF(D1108="","",D1108-TODAY())</f>
        <v/>
      </c>
      <c r="F1108">
        <f>IF(D1108="","",IF(E1108&lt;0,"VENCIDO",IF(E1108&lt;=30,"VENCE EM &lt;= 30 DIAS",IF(E1108&lt;=60,"ATENCAO (31-60 DIAS)","OK"))))</f>
        <v/>
      </c>
      <c r="G1108" s="13">
        <f>SUMIFS(Movimentacoes!$G:$G,Movimentacoes!$C:$C,$A1108,Movimentacoes!$E:$E,$C1108,Movimentacoes!$B:$B,"ENTRADA")</f>
        <v/>
      </c>
      <c r="H1108" s="13">
        <f>SUMIFS(Movimentacoes!$G:$G,Movimentacoes!$C:$C,$A1108,Movimentacoes!$E:$E,$C1108,Movimentacoes!$B:$B,"SAIDA_USO")</f>
        <v/>
      </c>
      <c r="I1108" s="13">
        <f>SUMIFS(Movimentacoes!$G:$G,Movimentacoes!$C:$C,$A1108,Movimentacoes!$E:$E,$C1108,Movimentacoes!$B:$B,"SAIDA_DESCARTE")</f>
        <v/>
      </c>
      <c r="J1108" s="13">
        <f>G1108-H1108-I1108</f>
        <v/>
      </c>
      <c r="K1108">
        <f>IF(A1108="","",IF(J1108&lt;=IFERROR(VLOOKUP(A1108,Cadastro_Produtos!$A:$E,5,FALSE),0),"ABAIXO DO MINIMO","OK"))</f>
        <v/>
      </c>
    </row>
    <row r="1109">
      <c r="B1109">
        <f>IFERROR(VLOOKUP(A1109,Cadastro_Produtos!A:B,2,FALSE),"")</f>
        <v/>
      </c>
      <c r="D1109" s="12" t="n"/>
      <c r="E1109" s="13">
        <f>IF(D1109="","",D1109-TODAY())</f>
        <v/>
      </c>
      <c r="F1109">
        <f>IF(D1109="","",IF(E1109&lt;0,"VENCIDO",IF(E1109&lt;=30,"VENCE EM &lt;= 30 DIAS",IF(E1109&lt;=60,"ATENCAO (31-60 DIAS)","OK"))))</f>
        <v/>
      </c>
      <c r="G1109" s="13">
        <f>SUMIFS(Movimentacoes!$G:$G,Movimentacoes!$C:$C,$A1109,Movimentacoes!$E:$E,$C1109,Movimentacoes!$B:$B,"ENTRADA")</f>
        <v/>
      </c>
      <c r="H1109" s="13">
        <f>SUMIFS(Movimentacoes!$G:$G,Movimentacoes!$C:$C,$A1109,Movimentacoes!$E:$E,$C1109,Movimentacoes!$B:$B,"SAIDA_USO")</f>
        <v/>
      </c>
      <c r="I1109" s="13">
        <f>SUMIFS(Movimentacoes!$G:$G,Movimentacoes!$C:$C,$A1109,Movimentacoes!$E:$E,$C1109,Movimentacoes!$B:$B,"SAIDA_DESCARTE")</f>
        <v/>
      </c>
      <c r="J1109" s="13">
        <f>G1109-H1109-I1109</f>
        <v/>
      </c>
      <c r="K1109">
        <f>IF(A1109="","",IF(J1109&lt;=IFERROR(VLOOKUP(A1109,Cadastro_Produtos!$A:$E,5,FALSE),0),"ABAIXO DO MINIMO","OK"))</f>
        <v/>
      </c>
    </row>
    <row r="1110">
      <c r="B1110">
        <f>IFERROR(VLOOKUP(A1110,Cadastro_Produtos!A:B,2,FALSE),"")</f>
        <v/>
      </c>
      <c r="D1110" s="12" t="n"/>
      <c r="E1110" s="13">
        <f>IF(D1110="","",D1110-TODAY())</f>
        <v/>
      </c>
      <c r="F1110">
        <f>IF(D1110="","",IF(E1110&lt;0,"VENCIDO",IF(E1110&lt;=30,"VENCE EM &lt;= 30 DIAS",IF(E1110&lt;=60,"ATENCAO (31-60 DIAS)","OK"))))</f>
        <v/>
      </c>
      <c r="G1110" s="13">
        <f>SUMIFS(Movimentacoes!$G:$G,Movimentacoes!$C:$C,$A1110,Movimentacoes!$E:$E,$C1110,Movimentacoes!$B:$B,"ENTRADA")</f>
        <v/>
      </c>
      <c r="H1110" s="13">
        <f>SUMIFS(Movimentacoes!$G:$G,Movimentacoes!$C:$C,$A1110,Movimentacoes!$E:$E,$C1110,Movimentacoes!$B:$B,"SAIDA_USO")</f>
        <v/>
      </c>
      <c r="I1110" s="13">
        <f>SUMIFS(Movimentacoes!$G:$G,Movimentacoes!$C:$C,$A1110,Movimentacoes!$E:$E,$C1110,Movimentacoes!$B:$B,"SAIDA_DESCARTE")</f>
        <v/>
      </c>
      <c r="J1110" s="13">
        <f>G1110-H1110-I1110</f>
        <v/>
      </c>
      <c r="K1110">
        <f>IF(A1110="","",IF(J1110&lt;=IFERROR(VLOOKUP(A1110,Cadastro_Produtos!$A:$E,5,FALSE),0),"ABAIXO DO MINIMO","OK"))</f>
        <v/>
      </c>
    </row>
    <row r="1111">
      <c r="B1111">
        <f>IFERROR(VLOOKUP(A1111,Cadastro_Produtos!A:B,2,FALSE),"")</f>
        <v/>
      </c>
      <c r="D1111" s="12" t="n"/>
      <c r="E1111" s="13">
        <f>IF(D1111="","",D1111-TODAY())</f>
        <v/>
      </c>
      <c r="F1111">
        <f>IF(D1111="","",IF(E1111&lt;0,"VENCIDO",IF(E1111&lt;=30,"VENCE EM &lt;= 30 DIAS",IF(E1111&lt;=60,"ATENCAO (31-60 DIAS)","OK"))))</f>
        <v/>
      </c>
      <c r="G1111" s="13">
        <f>SUMIFS(Movimentacoes!$G:$G,Movimentacoes!$C:$C,$A1111,Movimentacoes!$E:$E,$C1111,Movimentacoes!$B:$B,"ENTRADA")</f>
        <v/>
      </c>
      <c r="H1111" s="13">
        <f>SUMIFS(Movimentacoes!$G:$G,Movimentacoes!$C:$C,$A1111,Movimentacoes!$E:$E,$C1111,Movimentacoes!$B:$B,"SAIDA_USO")</f>
        <v/>
      </c>
      <c r="I1111" s="13">
        <f>SUMIFS(Movimentacoes!$G:$G,Movimentacoes!$C:$C,$A1111,Movimentacoes!$E:$E,$C1111,Movimentacoes!$B:$B,"SAIDA_DESCARTE")</f>
        <v/>
      </c>
      <c r="J1111" s="13">
        <f>G1111-H1111-I1111</f>
        <v/>
      </c>
      <c r="K1111">
        <f>IF(A1111="","",IF(J1111&lt;=IFERROR(VLOOKUP(A1111,Cadastro_Produtos!$A:$E,5,FALSE),0),"ABAIXO DO MINIMO","OK"))</f>
        <v/>
      </c>
    </row>
    <row r="1112">
      <c r="B1112">
        <f>IFERROR(VLOOKUP(A1112,Cadastro_Produtos!A:B,2,FALSE),"")</f>
        <v/>
      </c>
      <c r="D1112" s="12" t="n"/>
      <c r="E1112" s="13">
        <f>IF(D1112="","",D1112-TODAY())</f>
        <v/>
      </c>
      <c r="F1112">
        <f>IF(D1112="","",IF(E1112&lt;0,"VENCIDO",IF(E1112&lt;=30,"VENCE EM &lt;= 30 DIAS",IF(E1112&lt;=60,"ATENCAO (31-60 DIAS)","OK"))))</f>
        <v/>
      </c>
      <c r="G1112" s="13">
        <f>SUMIFS(Movimentacoes!$G:$G,Movimentacoes!$C:$C,$A1112,Movimentacoes!$E:$E,$C1112,Movimentacoes!$B:$B,"ENTRADA")</f>
        <v/>
      </c>
      <c r="H1112" s="13">
        <f>SUMIFS(Movimentacoes!$G:$G,Movimentacoes!$C:$C,$A1112,Movimentacoes!$E:$E,$C1112,Movimentacoes!$B:$B,"SAIDA_USO")</f>
        <v/>
      </c>
      <c r="I1112" s="13">
        <f>SUMIFS(Movimentacoes!$G:$G,Movimentacoes!$C:$C,$A1112,Movimentacoes!$E:$E,$C1112,Movimentacoes!$B:$B,"SAIDA_DESCARTE")</f>
        <v/>
      </c>
      <c r="J1112" s="13">
        <f>G1112-H1112-I1112</f>
        <v/>
      </c>
      <c r="K1112">
        <f>IF(A1112="","",IF(J1112&lt;=IFERROR(VLOOKUP(A1112,Cadastro_Produtos!$A:$E,5,FALSE),0),"ABAIXO DO MINIMO","OK"))</f>
        <v/>
      </c>
    </row>
    <row r="1113">
      <c r="B1113">
        <f>IFERROR(VLOOKUP(A1113,Cadastro_Produtos!A:B,2,FALSE),"")</f>
        <v/>
      </c>
      <c r="D1113" s="12" t="n"/>
      <c r="E1113" s="13">
        <f>IF(D1113="","",D1113-TODAY())</f>
        <v/>
      </c>
      <c r="F1113">
        <f>IF(D1113="","",IF(E1113&lt;0,"VENCIDO",IF(E1113&lt;=30,"VENCE EM &lt;= 30 DIAS",IF(E1113&lt;=60,"ATENCAO (31-60 DIAS)","OK"))))</f>
        <v/>
      </c>
      <c r="G1113" s="13">
        <f>SUMIFS(Movimentacoes!$G:$G,Movimentacoes!$C:$C,$A1113,Movimentacoes!$E:$E,$C1113,Movimentacoes!$B:$B,"ENTRADA")</f>
        <v/>
      </c>
      <c r="H1113" s="13">
        <f>SUMIFS(Movimentacoes!$G:$G,Movimentacoes!$C:$C,$A1113,Movimentacoes!$E:$E,$C1113,Movimentacoes!$B:$B,"SAIDA_USO")</f>
        <v/>
      </c>
      <c r="I1113" s="13">
        <f>SUMIFS(Movimentacoes!$G:$G,Movimentacoes!$C:$C,$A1113,Movimentacoes!$E:$E,$C1113,Movimentacoes!$B:$B,"SAIDA_DESCARTE")</f>
        <v/>
      </c>
      <c r="J1113" s="13">
        <f>G1113-H1113-I1113</f>
        <v/>
      </c>
      <c r="K1113">
        <f>IF(A1113="","",IF(J1113&lt;=IFERROR(VLOOKUP(A1113,Cadastro_Produtos!$A:$E,5,FALSE),0),"ABAIXO DO MINIMO","OK"))</f>
        <v/>
      </c>
    </row>
    <row r="1114">
      <c r="B1114">
        <f>IFERROR(VLOOKUP(A1114,Cadastro_Produtos!A:B,2,FALSE),"")</f>
        <v/>
      </c>
      <c r="D1114" s="12" t="n"/>
      <c r="E1114" s="13">
        <f>IF(D1114="","",D1114-TODAY())</f>
        <v/>
      </c>
      <c r="F1114">
        <f>IF(D1114="","",IF(E1114&lt;0,"VENCIDO",IF(E1114&lt;=30,"VENCE EM &lt;= 30 DIAS",IF(E1114&lt;=60,"ATENCAO (31-60 DIAS)","OK"))))</f>
        <v/>
      </c>
      <c r="G1114" s="13">
        <f>SUMIFS(Movimentacoes!$G:$G,Movimentacoes!$C:$C,$A1114,Movimentacoes!$E:$E,$C1114,Movimentacoes!$B:$B,"ENTRADA")</f>
        <v/>
      </c>
      <c r="H1114" s="13">
        <f>SUMIFS(Movimentacoes!$G:$G,Movimentacoes!$C:$C,$A1114,Movimentacoes!$E:$E,$C1114,Movimentacoes!$B:$B,"SAIDA_USO")</f>
        <v/>
      </c>
      <c r="I1114" s="13">
        <f>SUMIFS(Movimentacoes!$G:$G,Movimentacoes!$C:$C,$A1114,Movimentacoes!$E:$E,$C1114,Movimentacoes!$B:$B,"SAIDA_DESCARTE")</f>
        <v/>
      </c>
      <c r="J1114" s="13">
        <f>G1114-H1114-I1114</f>
        <v/>
      </c>
      <c r="K1114">
        <f>IF(A1114="","",IF(J1114&lt;=IFERROR(VLOOKUP(A1114,Cadastro_Produtos!$A:$E,5,FALSE),0),"ABAIXO DO MINIMO","OK"))</f>
        <v/>
      </c>
    </row>
    <row r="1115">
      <c r="B1115">
        <f>IFERROR(VLOOKUP(A1115,Cadastro_Produtos!A:B,2,FALSE),"")</f>
        <v/>
      </c>
      <c r="D1115" s="12" t="n"/>
      <c r="E1115" s="13">
        <f>IF(D1115="","",D1115-TODAY())</f>
        <v/>
      </c>
      <c r="F1115">
        <f>IF(D1115="","",IF(E1115&lt;0,"VENCIDO",IF(E1115&lt;=30,"VENCE EM &lt;= 30 DIAS",IF(E1115&lt;=60,"ATENCAO (31-60 DIAS)","OK"))))</f>
        <v/>
      </c>
      <c r="G1115" s="13">
        <f>SUMIFS(Movimentacoes!$G:$G,Movimentacoes!$C:$C,$A1115,Movimentacoes!$E:$E,$C1115,Movimentacoes!$B:$B,"ENTRADA")</f>
        <v/>
      </c>
      <c r="H1115" s="13">
        <f>SUMIFS(Movimentacoes!$G:$G,Movimentacoes!$C:$C,$A1115,Movimentacoes!$E:$E,$C1115,Movimentacoes!$B:$B,"SAIDA_USO")</f>
        <v/>
      </c>
      <c r="I1115" s="13">
        <f>SUMIFS(Movimentacoes!$G:$G,Movimentacoes!$C:$C,$A1115,Movimentacoes!$E:$E,$C1115,Movimentacoes!$B:$B,"SAIDA_DESCARTE")</f>
        <v/>
      </c>
      <c r="J1115" s="13">
        <f>G1115-H1115-I1115</f>
        <v/>
      </c>
      <c r="K1115">
        <f>IF(A1115="","",IF(J1115&lt;=IFERROR(VLOOKUP(A1115,Cadastro_Produtos!$A:$E,5,FALSE),0),"ABAIXO DO MINIMO","OK"))</f>
        <v/>
      </c>
    </row>
    <row r="1116">
      <c r="B1116">
        <f>IFERROR(VLOOKUP(A1116,Cadastro_Produtos!A:B,2,FALSE),"")</f>
        <v/>
      </c>
      <c r="D1116" s="12" t="n"/>
      <c r="E1116" s="13">
        <f>IF(D1116="","",D1116-TODAY())</f>
        <v/>
      </c>
      <c r="F1116">
        <f>IF(D1116="","",IF(E1116&lt;0,"VENCIDO",IF(E1116&lt;=30,"VENCE EM &lt;= 30 DIAS",IF(E1116&lt;=60,"ATENCAO (31-60 DIAS)","OK"))))</f>
        <v/>
      </c>
      <c r="G1116" s="13">
        <f>SUMIFS(Movimentacoes!$G:$G,Movimentacoes!$C:$C,$A1116,Movimentacoes!$E:$E,$C1116,Movimentacoes!$B:$B,"ENTRADA")</f>
        <v/>
      </c>
      <c r="H1116" s="13">
        <f>SUMIFS(Movimentacoes!$G:$G,Movimentacoes!$C:$C,$A1116,Movimentacoes!$E:$E,$C1116,Movimentacoes!$B:$B,"SAIDA_USO")</f>
        <v/>
      </c>
      <c r="I1116" s="13">
        <f>SUMIFS(Movimentacoes!$G:$G,Movimentacoes!$C:$C,$A1116,Movimentacoes!$E:$E,$C1116,Movimentacoes!$B:$B,"SAIDA_DESCARTE")</f>
        <v/>
      </c>
      <c r="J1116" s="13">
        <f>G1116-H1116-I1116</f>
        <v/>
      </c>
      <c r="K1116">
        <f>IF(A1116="","",IF(J1116&lt;=IFERROR(VLOOKUP(A1116,Cadastro_Produtos!$A:$E,5,FALSE),0),"ABAIXO DO MINIMO","OK"))</f>
        <v/>
      </c>
    </row>
    <row r="1117">
      <c r="B1117">
        <f>IFERROR(VLOOKUP(A1117,Cadastro_Produtos!A:B,2,FALSE),"")</f>
        <v/>
      </c>
      <c r="D1117" s="12" t="n"/>
      <c r="E1117" s="13">
        <f>IF(D1117="","",D1117-TODAY())</f>
        <v/>
      </c>
      <c r="F1117">
        <f>IF(D1117="","",IF(E1117&lt;0,"VENCIDO",IF(E1117&lt;=30,"VENCE EM &lt;= 30 DIAS",IF(E1117&lt;=60,"ATENCAO (31-60 DIAS)","OK"))))</f>
        <v/>
      </c>
      <c r="G1117" s="13">
        <f>SUMIFS(Movimentacoes!$G:$G,Movimentacoes!$C:$C,$A1117,Movimentacoes!$E:$E,$C1117,Movimentacoes!$B:$B,"ENTRADA")</f>
        <v/>
      </c>
      <c r="H1117" s="13">
        <f>SUMIFS(Movimentacoes!$G:$G,Movimentacoes!$C:$C,$A1117,Movimentacoes!$E:$E,$C1117,Movimentacoes!$B:$B,"SAIDA_USO")</f>
        <v/>
      </c>
      <c r="I1117" s="13">
        <f>SUMIFS(Movimentacoes!$G:$G,Movimentacoes!$C:$C,$A1117,Movimentacoes!$E:$E,$C1117,Movimentacoes!$B:$B,"SAIDA_DESCARTE")</f>
        <v/>
      </c>
      <c r="J1117" s="13">
        <f>G1117-H1117-I1117</f>
        <v/>
      </c>
      <c r="K1117">
        <f>IF(A1117="","",IF(J1117&lt;=IFERROR(VLOOKUP(A1117,Cadastro_Produtos!$A:$E,5,FALSE),0),"ABAIXO DO MINIMO","OK"))</f>
        <v/>
      </c>
    </row>
    <row r="1118">
      <c r="B1118">
        <f>IFERROR(VLOOKUP(A1118,Cadastro_Produtos!A:B,2,FALSE),"")</f>
        <v/>
      </c>
      <c r="D1118" s="12" t="n"/>
      <c r="E1118" s="13">
        <f>IF(D1118="","",D1118-TODAY())</f>
        <v/>
      </c>
      <c r="F1118">
        <f>IF(D1118="","",IF(E1118&lt;0,"VENCIDO",IF(E1118&lt;=30,"VENCE EM &lt;= 30 DIAS",IF(E1118&lt;=60,"ATENCAO (31-60 DIAS)","OK"))))</f>
        <v/>
      </c>
      <c r="G1118" s="13">
        <f>SUMIFS(Movimentacoes!$G:$G,Movimentacoes!$C:$C,$A1118,Movimentacoes!$E:$E,$C1118,Movimentacoes!$B:$B,"ENTRADA")</f>
        <v/>
      </c>
      <c r="H1118" s="13">
        <f>SUMIFS(Movimentacoes!$G:$G,Movimentacoes!$C:$C,$A1118,Movimentacoes!$E:$E,$C1118,Movimentacoes!$B:$B,"SAIDA_USO")</f>
        <v/>
      </c>
      <c r="I1118" s="13">
        <f>SUMIFS(Movimentacoes!$G:$G,Movimentacoes!$C:$C,$A1118,Movimentacoes!$E:$E,$C1118,Movimentacoes!$B:$B,"SAIDA_DESCARTE")</f>
        <v/>
      </c>
      <c r="J1118" s="13">
        <f>G1118-H1118-I1118</f>
        <v/>
      </c>
      <c r="K1118">
        <f>IF(A1118="","",IF(J1118&lt;=IFERROR(VLOOKUP(A1118,Cadastro_Produtos!$A:$E,5,FALSE),0),"ABAIXO DO MINIMO","OK"))</f>
        <v/>
      </c>
    </row>
    <row r="1119">
      <c r="B1119">
        <f>IFERROR(VLOOKUP(A1119,Cadastro_Produtos!A:B,2,FALSE),"")</f>
        <v/>
      </c>
      <c r="D1119" s="12" t="n"/>
      <c r="E1119" s="13">
        <f>IF(D1119="","",D1119-TODAY())</f>
        <v/>
      </c>
      <c r="F1119">
        <f>IF(D1119="","",IF(E1119&lt;0,"VENCIDO",IF(E1119&lt;=30,"VENCE EM &lt;= 30 DIAS",IF(E1119&lt;=60,"ATENCAO (31-60 DIAS)","OK"))))</f>
        <v/>
      </c>
      <c r="G1119" s="13">
        <f>SUMIFS(Movimentacoes!$G:$G,Movimentacoes!$C:$C,$A1119,Movimentacoes!$E:$E,$C1119,Movimentacoes!$B:$B,"ENTRADA")</f>
        <v/>
      </c>
      <c r="H1119" s="13">
        <f>SUMIFS(Movimentacoes!$G:$G,Movimentacoes!$C:$C,$A1119,Movimentacoes!$E:$E,$C1119,Movimentacoes!$B:$B,"SAIDA_USO")</f>
        <v/>
      </c>
      <c r="I1119" s="13">
        <f>SUMIFS(Movimentacoes!$G:$G,Movimentacoes!$C:$C,$A1119,Movimentacoes!$E:$E,$C1119,Movimentacoes!$B:$B,"SAIDA_DESCARTE")</f>
        <v/>
      </c>
      <c r="J1119" s="13">
        <f>G1119-H1119-I1119</f>
        <v/>
      </c>
      <c r="K1119">
        <f>IF(A1119="","",IF(J1119&lt;=IFERROR(VLOOKUP(A1119,Cadastro_Produtos!$A:$E,5,FALSE),0),"ABAIXO DO MINIMO","OK"))</f>
        <v/>
      </c>
    </row>
    <row r="1120">
      <c r="B1120">
        <f>IFERROR(VLOOKUP(A1120,Cadastro_Produtos!A:B,2,FALSE),"")</f>
        <v/>
      </c>
      <c r="D1120" s="12" t="n"/>
      <c r="E1120" s="13">
        <f>IF(D1120="","",D1120-TODAY())</f>
        <v/>
      </c>
      <c r="F1120">
        <f>IF(D1120="","",IF(E1120&lt;0,"VENCIDO",IF(E1120&lt;=30,"VENCE EM &lt;= 30 DIAS",IF(E1120&lt;=60,"ATENCAO (31-60 DIAS)","OK"))))</f>
        <v/>
      </c>
      <c r="G1120" s="13">
        <f>SUMIFS(Movimentacoes!$G:$G,Movimentacoes!$C:$C,$A1120,Movimentacoes!$E:$E,$C1120,Movimentacoes!$B:$B,"ENTRADA")</f>
        <v/>
      </c>
      <c r="H1120" s="13">
        <f>SUMIFS(Movimentacoes!$G:$G,Movimentacoes!$C:$C,$A1120,Movimentacoes!$E:$E,$C1120,Movimentacoes!$B:$B,"SAIDA_USO")</f>
        <v/>
      </c>
      <c r="I1120" s="13">
        <f>SUMIFS(Movimentacoes!$G:$G,Movimentacoes!$C:$C,$A1120,Movimentacoes!$E:$E,$C1120,Movimentacoes!$B:$B,"SAIDA_DESCARTE")</f>
        <v/>
      </c>
      <c r="J1120" s="13">
        <f>G1120-H1120-I1120</f>
        <v/>
      </c>
      <c r="K1120">
        <f>IF(A1120="","",IF(J1120&lt;=IFERROR(VLOOKUP(A1120,Cadastro_Produtos!$A:$E,5,FALSE),0),"ABAIXO DO MINIMO","OK"))</f>
        <v/>
      </c>
    </row>
    <row r="1121">
      <c r="B1121">
        <f>IFERROR(VLOOKUP(A1121,Cadastro_Produtos!A:B,2,FALSE),"")</f>
        <v/>
      </c>
      <c r="D1121" s="12" t="n"/>
      <c r="E1121" s="13">
        <f>IF(D1121="","",D1121-TODAY())</f>
        <v/>
      </c>
      <c r="F1121">
        <f>IF(D1121="","",IF(E1121&lt;0,"VENCIDO",IF(E1121&lt;=30,"VENCE EM &lt;= 30 DIAS",IF(E1121&lt;=60,"ATENCAO (31-60 DIAS)","OK"))))</f>
        <v/>
      </c>
      <c r="G1121" s="13">
        <f>SUMIFS(Movimentacoes!$G:$G,Movimentacoes!$C:$C,$A1121,Movimentacoes!$E:$E,$C1121,Movimentacoes!$B:$B,"ENTRADA")</f>
        <v/>
      </c>
      <c r="H1121" s="13">
        <f>SUMIFS(Movimentacoes!$G:$G,Movimentacoes!$C:$C,$A1121,Movimentacoes!$E:$E,$C1121,Movimentacoes!$B:$B,"SAIDA_USO")</f>
        <v/>
      </c>
      <c r="I1121" s="13">
        <f>SUMIFS(Movimentacoes!$G:$G,Movimentacoes!$C:$C,$A1121,Movimentacoes!$E:$E,$C1121,Movimentacoes!$B:$B,"SAIDA_DESCARTE")</f>
        <v/>
      </c>
      <c r="J1121" s="13">
        <f>G1121-H1121-I1121</f>
        <v/>
      </c>
      <c r="K1121">
        <f>IF(A1121="","",IF(J1121&lt;=IFERROR(VLOOKUP(A1121,Cadastro_Produtos!$A:$E,5,FALSE),0),"ABAIXO DO MINIMO","OK"))</f>
        <v/>
      </c>
    </row>
    <row r="1122">
      <c r="B1122">
        <f>IFERROR(VLOOKUP(A1122,Cadastro_Produtos!A:B,2,FALSE),"")</f>
        <v/>
      </c>
      <c r="D1122" s="12" t="n"/>
      <c r="E1122" s="13">
        <f>IF(D1122="","",D1122-TODAY())</f>
        <v/>
      </c>
      <c r="F1122">
        <f>IF(D1122="","",IF(E1122&lt;0,"VENCIDO",IF(E1122&lt;=30,"VENCE EM &lt;= 30 DIAS",IF(E1122&lt;=60,"ATENCAO (31-60 DIAS)","OK"))))</f>
        <v/>
      </c>
      <c r="G1122" s="13">
        <f>SUMIFS(Movimentacoes!$G:$G,Movimentacoes!$C:$C,$A1122,Movimentacoes!$E:$E,$C1122,Movimentacoes!$B:$B,"ENTRADA")</f>
        <v/>
      </c>
      <c r="H1122" s="13">
        <f>SUMIFS(Movimentacoes!$G:$G,Movimentacoes!$C:$C,$A1122,Movimentacoes!$E:$E,$C1122,Movimentacoes!$B:$B,"SAIDA_USO")</f>
        <v/>
      </c>
      <c r="I1122" s="13">
        <f>SUMIFS(Movimentacoes!$G:$G,Movimentacoes!$C:$C,$A1122,Movimentacoes!$E:$E,$C1122,Movimentacoes!$B:$B,"SAIDA_DESCARTE")</f>
        <v/>
      </c>
      <c r="J1122" s="13">
        <f>G1122-H1122-I1122</f>
        <v/>
      </c>
      <c r="K1122">
        <f>IF(A1122="","",IF(J1122&lt;=IFERROR(VLOOKUP(A1122,Cadastro_Produtos!$A:$E,5,FALSE),0),"ABAIXO DO MINIMO","OK"))</f>
        <v/>
      </c>
    </row>
    <row r="1123">
      <c r="B1123">
        <f>IFERROR(VLOOKUP(A1123,Cadastro_Produtos!A:B,2,FALSE),"")</f>
        <v/>
      </c>
      <c r="D1123" s="12" t="n"/>
      <c r="E1123" s="13">
        <f>IF(D1123="","",D1123-TODAY())</f>
        <v/>
      </c>
      <c r="F1123">
        <f>IF(D1123="","",IF(E1123&lt;0,"VENCIDO",IF(E1123&lt;=30,"VENCE EM &lt;= 30 DIAS",IF(E1123&lt;=60,"ATENCAO (31-60 DIAS)","OK"))))</f>
        <v/>
      </c>
      <c r="G1123" s="13">
        <f>SUMIFS(Movimentacoes!$G:$G,Movimentacoes!$C:$C,$A1123,Movimentacoes!$E:$E,$C1123,Movimentacoes!$B:$B,"ENTRADA")</f>
        <v/>
      </c>
      <c r="H1123" s="13">
        <f>SUMIFS(Movimentacoes!$G:$G,Movimentacoes!$C:$C,$A1123,Movimentacoes!$E:$E,$C1123,Movimentacoes!$B:$B,"SAIDA_USO")</f>
        <v/>
      </c>
      <c r="I1123" s="13">
        <f>SUMIFS(Movimentacoes!$G:$G,Movimentacoes!$C:$C,$A1123,Movimentacoes!$E:$E,$C1123,Movimentacoes!$B:$B,"SAIDA_DESCARTE")</f>
        <v/>
      </c>
      <c r="J1123" s="13">
        <f>G1123-H1123-I1123</f>
        <v/>
      </c>
      <c r="K1123">
        <f>IF(A1123="","",IF(J1123&lt;=IFERROR(VLOOKUP(A1123,Cadastro_Produtos!$A:$E,5,FALSE),0),"ABAIXO DO MINIMO","OK"))</f>
        <v/>
      </c>
    </row>
    <row r="1124">
      <c r="B1124">
        <f>IFERROR(VLOOKUP(A1124,Cadastro_Produtos!A:B,2,FALSE),"")</f>
        <v/>
      </c>
      <c r="D1124" s="12" t="n"/>
      <c r="E1124" s="13">
        <f>IF(D1124="","",D1124-TODAY())</f>
        <v/>
      </c>
      <c r="F1124">
        <f>IF(D1124="","",IF(E1124&lt;0,"VENCIDO",IF(E1124&lt;=30,"VENCE EM &lt;= 30 DIAS",IF(E1124&lt;=60,"ATENCAO (31-60 DIAS)","OK"))))</f>
        <v/>
      </c>
      <c r="G1124" s="13">
        <f>SUMIFS(Movimentacoes!$G:$G,Movimentacoes!$C:$C,$A1124,Movimentacoes!$E:$E,$C1124,Movimentacoes!$B:$B,"ENTRADA")</f>
        <v/>
      </c>
      <c r="H1124" s="13">
        <f>SUMIFS(Movimentacoes!$G:$G,Movimentacoes!$C:$C,$A1124,Movimentacoes!$E:$E,$C1124,Movimentacoes!$B:$B,"SAIDA_USO")</f>
        <v/>
      </c>
      <c r="I1124" s="13">
        <f>SUMIFS(Movimentacoes!$G:$G,Movimentacoes!$C:$C,$A1124,Movimentacoes!$E:$E,$C1124,Movimentacoes!$B:$B,"SAIDA_DESCARTE")</f>
        <v/>
      </c>
      <c r="J1124" s="13">
        <f>G1124-H1124-I1124</f>
        <v/>
      </c>
      <c r="K1124">
        <f>IF(A1124="","",IF(J1124&lt;=IFERROR(VLOOKUP(A1124,Cadastro_Produtos!$A:$E,5,FALSE),0),"ABAIXO DO MINIMO","OK"))</f>
        <v/>
      </c>
    </row>
    <row r="1125">
      <c r="B1125">
        <f>IFERROR(VLOOKUP(A1125,Cadastro_Produtos!A:B,2,FALSE),"")</f>
        <v/>
      </c>
      <c r="D1125" s="12" t="n"/>
      <c r="E1125" s="13">
        <f>IF(D1125="","",D1125-TODAY())</f>
        <v/>
      </c>
      <c r="F1125">
        <f>IF(D1125="","",IF(E1125&lt;0,"VENCIDO",IF(E1125&lt;=30,"VENCE EM &lt;= 30 DIAS",IF(E1125&lt;=60,"ATENCAO (31-60 DIAS)","OK"))))</f>
        <v/>
      </c>
      <c r="G1125" s="13">
        <f>SUMIFS(Movimentacoes!$G:$G,Movimentacoes!$C:$C,$A1125,Movimentacoes!$E:$E,$C1125,Movimentacoes!$B:$B,"ENTRADA")</f>
        <v/>
      </c>
      <c r="H1125" s="13">
        <f>SUMIFS(Movimentacoes!$G:$G,Movimentacoes!$C:$C,$A1125,Movimentacoes!$E:$E,$C1125,Movimentacoes!$B:$B,"SAIDA_USO")</f>
        <v/>
      </c>
      <c r="I1125" s="13">
        <f>SUMIFS(Movimentacoes!$G:$G,Movimentacoes!$C:$C,$A1125,Movimentacoes!$E:$E,$C1125,Movimentacoes!$B:$B,"SAIDA_DESCARTE")</f>
        <v/>
      </c>
      <c r="J1125" s="13">
        <f>G1125-H1125-I1125</f>
        <v/>
      </c>
      <c r="K1125">
        <f>IF(A1125="","",IF(J1125&lt;=IFERROR(VLOOKUP(A1125,Cadastro_Produtos!$A:$E,5,FALSE),0),"ABAIXO DO MINIMO","OK"))</f>
        <v/>
      </c>
    </row>
    <row r="1126">
      <c r="B1126">
        <f>IFERROR(VLOOKUP(A1126,Cadastro_Produtos!A:B,2,FALSE),"")</f>
        <v/>
      </c>
      <c r="D1126" s="12" t="n"/>
      <c r="E1126" s="13">
        <f>IF(D1126="","",D1126-TODAY())</f>
        <v/>
      </c>
      <c r="F1126">
        <f>IF(D1126="","",IF(E1126&lt;0,"VENCIDO",IF(E1126&lt;=30,"VENCE EM &lt;= 30 DIAS",IF(E1126&lt;=60,"ATENCAO (31-60 DIAS)","OK"))))</f>
        <v/>
      </c>
      <c r="G1126" s="13">
        <f>SUMIFS(Movimentacoes!$G:$G,Movimentacoes!$C:$C,$A1126,Movimentacoes!$E:$E,$C1126,Movimentacoes!$B:$B,"ENTRADA")</f>
        <v/>
      </c>
      <c r="H1126" s="13">
        <f>SUMIFS(Movimentacoes!$G:$G,Movimentacoes!$C:$C,$A1126,Movimentacoes!$E:$E,$C1126,Movimentacoes!$B:$B,"SAIDA_USO")</f>
        <v/>
      </c>
      <c r="I1126" s="13">
        <f>SUMIFS(Movimentacoes!$G:$G,Movimentacoes!$C:$C,$A1126,Movimentacoes!$E:$E,$C1126,Movimentacoes!$B:$B,"SAIDA_DESCARTE")</f>
        <v/>
      </c>
      <c r="J1126" s="13">
        <f>G1126-H1126-I1126</f>
        <v/>
      </c>
      <c r="K1126">
        <f>IF(A1126="","",IF(J1126&lt;=IFERROR(VLOOKUP(A1126,Cadastro_Produtos!$A:$E,5,FALSE),0),"ABAIXO DO MINIMO","OK"))</f>
        <v/>
      </c>
    </row>
    <row r="1127">
      <c r="B1127">
        <f>IFERROR(VLOOKUP(A1127,Cadastro_Produtos!A:B,2,FALSE),"")</f>
        <v/>
      </c>
      <c r="D1127" s="12" t="n"/>
      <c r="E1127" s="13">
        <f>IF(D1127="","",D1127-TODAY())</f>
        <v/>
      </c>
      <c r="F1127">
        <f>IF(D1127="","",IF(E1127&lt;0,"VENCIDO",IF(E1127&lt;=30,"VENCE EM &lt;= 30 DIAS",IF(E1127&lt;=60,"ATENCAO (31-60 DIAS)","OK"))))</f>
        <v/>
      </c>
      <c r="G1127" s="13">
        <f>SUMIFS(Movimentacoes!$G:$G,Movimentacoes!$C:$C,$A1127,Movimentacoes!$E:$E,$C1127,Movimentacoes!$B:$B,"ENTRADA")</f>
        <v/>
      </c>
      <c r="H1127" s="13">
        <f>SUMIFS(Movimentacoes!$G:$G,Movimentacoes!$C:$C,$A1127,Movimentacoes!$E:$E,$C1127,Movimentacoes!$B:$B,"SAIDA_USO")</f>
        <v/>
      </c>
      <c r="I1127" s="13">
        <f>SUMIFS(Movimentacoes!$G:$G,Movimentacoes!$C:$C,$A1127,Movimentacoes!$E:$E,$C1127,Movimentacoes!$B:$B,"SAIDA_DESCARTE")</f>
        <v/>
      </c>
      <c r="J1127" s="13">
        <f>G1127-H1127-I1127</f>
        <v/>
      </c>
      <c r="K1127">
        <f>IF(A1127="","",IF(J1127&lt;=IFERROR(VLOOKUP(A1127,Cadastro_Produtos!$A:$E,5,FALSE),0),"ABAIXO DO MINIMO","OK"))</f>
        <v/>
      </c>
    </row>
    <row r="1128">
      <c r="B1128">
        <f>IFERROR(VLOOKUP(A1128,Cadastro_Produtos!A:B,2,FALSE),"")</f>
        <v/>
      </c>
      <c r="D1128" s="12" t="n"/>
      <c r="E1128" s="13">
        <f>IF(D1128="","",D1128-TODAY())</f>
        <v/>
      </c>
      <c r="F1128">
        <f>IF(D1128="","",IF(E1128&lt;0,"VENCIDO",IF(E1128&lt;=30,"VENCE EM &lt;= 30 DIAS",IF(E1128&lt;=60,"ATENCAO (31-60 DIAS)","OK"))))</f>
        <v/>
      </c>
      <c r="G1128" s="13">
        <f>SUMIFS(Movimentacoes!$G:$G,Movimentacoes!$C:$C,$A1128,Movimentacoes!$E:$E,$C1128,Movimentacoes!$B:$B,"ENTRADA")</f>
        <v/>
      </c>
      <c r="H1128" s="13">
        <f>SUMIFS(Movimentacoes!$G:$G,Movimentacoes!$C:$C,$A1128,Movimentacoes!$E:$E,$C1128,Movimentacoes!$B:$B,"SAIDA_USO")</f>
        <v/>
      </c>
      <c r="I1128" s="13">
        <f>SUMIFS(Movimentacoes!$G:$G,Movimentacoes!$C:$C,$A1128,Movimentacoes!$E:$E,$C1128,Movimentacoes!$B:$B,"SAIDA_DESCARTE")</f>
        <v/>
      </c>
      <c r="J1128" s="13">
        <f>G1128-H1128-I1128</f>
        <v/>
      </c>
      <c r="K1128">
        <f>IF(A1128="","",IF(J1128&lt;=IFERROR(VLOOKUP(A1128,Cadastro_Produtos!$A:$E,5,FALSE),0),"ABAIXO DO MINIMO","OK"))</f>
        <v/>
      </c>
    </row>
    <row r="1129">
      <c r="B1129">
        <f>IFERROR(VLOOKUP(A1129,Cadastro_Produtos!A:B,2,FALSE),"")</f>
        <v/>
      </c>
      <c r="D1129" s="12" t="n"/>
      <c r="E1129" s="13">
        <f>IF(D1129="","",D1129-TODAY())</f>
        <v/>
      </c>
      <c r="F1129">
        <f>IF(D1129="","",IF(E1129&lt;0,"VENCIDO",IF(E1129&lt;=30,"VENCE EM &lt;= 30 DIAS",IF(E1129&lt;=60,"ATENCAO (31-60 DIAS)","OK"))))</f>
        <v/>
      </c>
      <c r="G1129" s="13">
        <f>SUMIFS(Movimentacoes!$G:$G,Movimentacoes!$C:$C,$A1129,Movimentacoes!$E:$E,$C1129,Movimentacoes!$B:$B,"ENTRADA")</f>
        <v/>
      </c>
      <c r="H1129" s="13">
        <f>SUMIFS(Movimentacoes!$G:$G,Movimentacoes!$C:$C,$A1129,Movimentacoes!$E:$E,$C1129,Movimentacoes!$B:$B,"SAIDA_USO")</f>
        <v/>
      </c>
      <c r="I1129" s="13">
        <f>SUMIFS(Movimentacoes!$G:$G,Movimentacoes!$C:$C,$A1129,Movimentacoes!$E:$E,$C1129,Movimentacoes!$B:$B,"SAIDA_DESCARTE")</f>
        <v/>
      </c>
      <c r="J1129" s="13">
        <f>G1129-H1129-I1129</f>
        <v/>
      </c>
      <c r="K1129">
        <f>IF(A1129="","",IF(J1129&lt;=IFERROR(VLOOKUP(A1129,Cadastro_Produtos!$A:$E,5,FALSE),0),"ABAIXO DO MINIMO","OK"))</f>
        <v/>
      </c>
    </row>
    <row r="1130">
      <c r="B1130">
        <f>IFERROR(VLOOKUP(A1130,Cadastro_Produtos!A:B,2,FALSE),"")</f>
        <v/>
      </c>
      <c r="D1130" s="12" t="n"/>
      <c r="E1130" s="13">
        <f>IF(D1130="","",D1130-TODAY())</f>
        <v/>
      </c>
      <c r="F1130">
        <f>IF(D1130="","",IF(E1130&lt;0,"VENCIDO",IF(E1130&lt;=30,"VENCE EM &lt;= 30 DIAS",IF(E1130&lt;=60,"ATENCAO (31-60 DIAS)","OK"))))</f>
        <v/>
      </c>
      <c r="G1130" s="13">
        <f>SUMIFS(Movimentacoes!$G:$G,Movimentacoes!$C:$C,$A1130,Movimentacoes!$E:$E,$C1130,Movimentacoes!$B:$B,"ENTRADA")</f>
        <v/>
      </c>
      <c r="H1130" s="13">
        <f>SUMIFS(Movimentacoes!$G:$G,Movimentacoes!$C:$C,$A1130,Movimentacoes!$E:$E,$C1130,Movimentacoes!$B:$B,"SAIDA_USO")</f>
        <v/>
      </c>
      <c r="I1130" s="13">
        <f>SUMIFS(Movimentacoes!$G:$G,Movimentacoes!$C:$C,$A1130,Movimentacoes!$E:$E,$C1130,Movimentacoes!$B:$B,"SAIDA_DESCARTE")</f>
        <v/>
      </c>
      <c r="J1130" s="13">
        <f>G1130-H1130-I1130</f>
        <v/>
      </c>
      <c r="K1130">
        <f>IF(A1130="","",IF(J1130&lt;=IFERROR(VLOOKUP(A1130,Cadastro_Produtos!$A:$E,5,FALSE),0),"ABAIXO DO MINIMO","OK"))</f>
        <v/>
      </c>
    </row>
    <row r="1131">
      <c r="B1131">
        <f>IFERROR(VLOOKUP(A1131,Cadastro_Produtos!A:B,2,FALSE),"")</f>
        <v/>
      </c>
      <c r="D1131" s="12" t="n"/>
      <c r="E1131" s="13">
        <f>IF(D1131="","",D1131-TODAY())</f>
        <v/>
      </c>
      <c r="F1131">
        <f>IF(D1131="","",IF(E1131&lt;0,"VENCIDO",IF(E1131&lt;=30,"VENCE EM &lt;= 30 DIAS",IF(E1131&lt;=60,"ATENCAO (31-60 DIAS)","OK"))))</f>
        <v/>
      </c>
      <c r="G1131" s="13">
        <f>SUMIFS(Movimentacoes!$G:$G,Movimentacoes!$C:$C,$A1131,Movimentacoes!$E:$E,$C1131,Movimentacoes!$B:$B,"ENTRADA")</f>
        <v/>
      </c>
      <c r="H1131" s="13">
        <f>SUMIFS(Movimentacoes!$G:$G,Movimentacoes!$C:$C,$A1131,Movimentacoes!$E:$E,$C1131,Movimentacoes!$B:$B,"SAIDA_USO")</f>
        <v/>
      </c>
      <c r="I1131" s="13">
        <f>SUMIFS(Movimentacoes!$G:$G,Movimentacoes!$C:$C,$A1131,Movimentacoes!$E:$E,$C1131,Movimentacoes!$B:$B,"SAIDA_DESCARTE")</f>
        <v/>
      </c>
      <c r="J1131" s="13">
        <f>G1131-H1131-I1131</f>
        <v/>
      </c>
      <c r="K1131">
        <f>IF(A1131="","",IF(J1131&lt;=IFERROR(VLOOKUP(A1131,Cadastro_Produtos!$A:$E,5,FALSE),0),"ABAIXO DO MINIMO","OK"))</f>
        <v/>
      </c>
    </row>
    <row r="1132">
      <c r="B1132">
        <f>IFERROR(VLOOKUP(A1132,Cadastro_Produtos!A:B,2,FALSE),"")</f>
        <v/>
      </c>
      <c r="D1132" s="12" t="n"/>
      <c r="E1132" s="13">
        <f>IF(D1132="","",D1132-TODAY())</f>
        <v/>
      </c>
      <c r="F1132">
        <f>IF(D1132="","",IF(E1132&lt;0,"VENCIDO",IF(E1132&lt;=30,"VENCE EM &lt;= 30 DIAS",IF(E1132&lt;=60,"ATENCAO (31-60 DIAS)","OK"))))</f>
        <v/>
      </c>
      <c r="G1132" s="13">
        <f>SUMIFS(Movimentacoes!$G:$G,Movimentacoes!$C:$C,$A1132,Movimentacoes!$E:$E,$C1132,Movimentacoes!$B:$B,"ENTRADA")</f>
        <v/>
      </c>
      <c r="H1132" s="13">
        <f>SUMIFS(Movimentacoes!$G:$G,Movimentacoes!$C:$C,$A1132,Movimentacoes!$E:$E,$C1132,Movimentacoes!$B:$B,"SAIDA_USO")</f>
        <v/>
      </c>
      <c r="I1132" s="13">
        <f>SUMIFS(Movimentacoes!$G:$G,Movimentacoes!$C:$C,$A1132,Movimentacoes!$E:$E,$C1132,Movimentacoes!$B:$B,"SAIDA_DESCARTE")</f>
        <v/>
      </c>
      <c r="J1132" s="13">
        <f>G1132-H1132-I1132</f>
        <v/>
      </c>
      <c r="K1132">
        <f>IF(A1132="","",IF(J1132&lt;=IFERROR(VLOOKUP(A1132,Cadastro_Produtos!$A:$E,5,FALSE),0),"ABAIXO DO MINIMO","OK"))</f>
        <v/>
      </c>
    </row>
    <row r="1133">
      <c r="B1133">
        <f>IFERROR(VLOOKUP(A1133,Cadastro_Produtos!A:B,2,FALSE),"")</f>
        <v/>
      </c>
      <c r="D1133" s="12" t="n"/>
      <c r="E1133" s="13">
        <f>IF(D1133="","",D1133-TODAY())</f>
        <v/>
      </c>
      <c r="F1133">
        <f>IF(D1133="","",IF(E1133&lt;0,"VENCIDO",IF(E1133&lt;=30,"VENCE EM &lt;= 30 DIAS",IF(E1133&lt;=60,"ATENCAO (31-60 DIAS)","OK"))))</f>
        <v/>
      </c>
      <c r="G1133" s="13">
        <f>SUMIFS(Movimentacoes!$G:$G,Movimentacoes!$C:$C,$A1133,Movimentacoes!$E:$E,$C1133,Movimentacoes!$B:$B,"ENTRADA")</f>
        <v/>
      </c>
      <c r="H1133" s="13">
        <f>SUMIFS(Movimentacoes!$G:$G,Movimentacoes!$C:$C,$A1133,Movimentacoes!$E:$E,$C1133,Movimentacoes!$B:$B,"SAIDA_USO")</f>
        <v/>
      </c>
      <c r="I1133" s="13">
        <f>SUMIFS(Movimentacoes!$G:$G,Movimentacoes!$C:$C,$A1133,Movimentacoes!$E:$E,$C1133,Movimentacoes!$B:$B,"SAIDA_DESCARTE")</f>
        <v/>
      </c>
      <c r="J1133" s="13">
        <f>G1133-H1133-I1133</f>
        <v/>
      </c>
      <c r="K1133">
        <f>IF(A1133="","",IF(J1133&lt;=IFERROR(VLOOKUP(A1133,Cadastro_Produtos!$A:$E,5,FALSE),0),"ABAIXO DO MINIMO","OK"))</f>
        <v/>
      </c>
    </row>
    <row r="1134">
      <c r="B1134">
        <f>IFERROR(VLOOKUP(A1134,Cadastro_Produtos!A:B,2,FALSE),"")</f>
        <v/>
      </c>
      <c r="D1134" s="12" t="n"/>
      <c r="E1134" s="13">
        <f>IF(D1134="","",D1134-TODAY())</f>
        <v/>
      </c>
      <c r="F1134">
        <f>IF(D1134="","",IF(E1134&lt;0,"VENCIDO",IF(E1134&lt;=30,"VENCE EM &lt;= 30 DIAS",IF(E1134&lt;=60,"ATENCAO (31-60 DIAS)","OK"))))</f>
        <v/>
      </c>
      <c r="G1134" s="13">
        <f>SUMIFS(Movimentacoes!$G:$G,Movimentacoes!$C:$C,$A1134,Movimentacoes!$E:$E,$C1134,Movimentacoes!$B:$B,"ENTRADA")</f>
        <v/>
      </c>
      <c r="H1134" s="13">
        <f>SUMIFS(Movimentacoes!$G:$G,Movimentacoes!$C:$C,$A1134,Movimentacoes!$E:$E,$C1134,Movimentacoes!$B:$B,"SAIDA_USO")</f>
        <v/>
      </c>
      <c r="I1134" s="13">
        <f>SUMIFS(Movimentacoes!$G:$G,Movimentacoes!$C:$C,$A1134,Movimentacoes!$E:$E,$C1134,Movimentacoes!$B:$B,"SAIDA_DESCARTE")</f>
        <v/>
      </c>
      <c r="J1134" s="13">
        <f>G1134-H1134-I1134</f>
        <v/>
      </c>
      <c r="K1134">
        <f>IF(A1134="","",IF(J1134&lt;=IFERROR(VLOOKUP(A1134,Cadastro_Produtos!$A:$E,5,FALSE),0),"ABAIXO DO MINIMO","OK"))</f>
        <v/>
      </c>
    </row>
    <row r="1135">
      <c r="B1135">
        <f>IFERROR(VLOOKUP(A1135,Cadastro_Produtos!A:B,2,FALSE),"")</f>
        <v/>
      </c>
      <c r="D1135" s="12" t="n"/>
      <c r="E1135" s="13">
        <f>IF(D1135="","",D1135-TODAY())</f>
        <v/>
      </c>
      <c r="F1135">
        <f>IF(D1135="","",IF(E1135&lt;0,"VENCIDO",IF(E1135&lt;=30,"VENCE EM &lt;= 30 DIAS",IF(E1135&lt;=60,"ATENCAO (31-60 DIAS)","OK"))))</f>
        <v/>
      </c>
      <c r="G1135" s="13">
        <f>SUMIFS(Movimentacoes!$G:$G,Movimentacoes!$C:$C,$A1135,Movimentacoes!$E:$E,$C1135,Movimentacoes!$B:$B,"ENTRADA")</f>
        <v/>
      </c>
      <c r="H1135" s="13">
        <f>SUMIFS(Movimentacoes!$G:$G,Movimentacoes!$C:$C,$A1135,Movimentacoes!$E:$E,$C1135,Movimentacoes!$B:$B,"SAIDA_USO")</f>
        <v/>
      </c>
      <c r="I1135" s="13">
        <f>SUMIFS(Movimentacoes!$G:$G,Movimentacoes!$C:$C,$A1135,Movimentacoes!$E:$E,$C1135,Movimentacoes!$B:$B,"SAIDA_DESCARTE")</f>
        <v/>
      </c>
      <c r="J1135" s="13">
        <f>G1135-H1135-I1135</f>
        <v/>
      </c>
      <c r="K1135">
        <f>IF(A1135="","",IF(J1135&lt;=IFERROR(VLOOKUP(A1135,Cadastro_Produtos!$A:$E,5,FALSE),0),"ABAIXO DO MINIMO","OK"))</f>
        <v/>
      </c>
    </row>
    <row r="1136">
      <c r="B1136">
        <f>IFERROR(VLOOKUP(A1136,Cadastro_Produtos!A:B,2,FALSE),"")</f>
        <v/>
      </c>
      <c r="D1136" s="12" t="n"/>
      <c r="E1136" s="13">
        <f>IF(D1136="","",D1136-TODAY())</f>
        <v/>
      </c>
      <c r="F1136">
        <f>IF(D1136="","",IF(E1136&lt;0,"VENCIDO",IF(E1136&lt;=30,"VENCE EM &lt;= 30 DIAS",IF(E1136&lt;=60,"ATENCAO (31-60 DIAS)","OK"))))</f>
        <v/>
      </c>
      <c r="G1136" s="13">
        <f>SUMIFS(Movimentacoes!$G:$G,Movimentacoes!$C:$C,$A1136,Movimentacoes!$E:$E,$C1136,Movimentacoes!$B:$B,"ENTRADA")</f>
        <v/>
      </c>
      <c r="H1136" s="13">
        <f>SUMIFS(Movimentacoes!$G:$G,Movimentacoes!$C:$C,$A1136,Movimentacoes!$E:$E,$C1136,Movimentacoes!$B:$B,"SAIDA_USO")</f>
        <v/>
      </c>
      <c r="I1136" s="13">
        <f>SUMIFS(Movimentacoes!$G:$G,Movimentacoes!$C:$C,$A1136,Movimentacoes!$E:$E,$C1136,Movimentacoes!$B:$B,"SAIDA_DESCARTE")</f>
        <v/>
      </c>
      <c r="J1136" s="13">
        <f>G1136-H1136-I1136</f>
        <v/>
      </c>
      <c r="K1136">
        <f>IF(A1136="","",IF(J1136&lt;=IFERROR(VLOOKUP(A1136,Cadastro_Produtos!$A:$E,5,FALSE),0),"ABAIXO DO MINIMO","OK"))</f>
        <v/>
      </c>
    </row>
    <row r="1137">
      <c r="B1137">
        <f>IFERROR(VLOOKUP(A1137,Cadastro_Produtos!A:B,2,FALSE),"")</f>
        <v/>
      </c>
      <c r="D1137" s="12" t="n"/>
      <c r="E1137" s="13">
        <f>IF(D1137="","",D1137-TODAY())</f>
        <v/>
      </c>
      <c r="F1137">
        <f>IF(D1137="","",IF(E1137&lt;0,"VENCIDO",IF(E1137&lt;=30,"VENCE EM &lt;= 30 DIAS",IF(E1137&lt;=60,"ATENCAO (31-60 DIAS)","OK"))))</f>
        <v/>
      </c>
      <c r="G1137" s="13">
        <f>SUMIFS(Movimentacoes!$G:$G,Movimentacoes!$C:$C,$A1137,Movimentacoes!$E:$E,$C1137,Movimentacoes!$B:$B,"ENTRADA")</f>
        <v/>
      </c>
      <c r="H1137" s="13">
        <f>SUMIFS(Movimentacoes!$G:$G,Movimentacoes!$C:$C,$A1137,Movimentacoes!$E:$E,$C1137,Movimentacoes!$B:$B,"SAIDA_USO")</f>
        <v/>
      </c>
      <c r="I1137" s="13">
        <f>SUMIFS(Movimentacoes!$G:$G,Movimentacoes!$C:$C,$A1137,Movimentacoes!$E:$E,$C1137,Movimentacoes!$B:$B,"SAIDA_DESCARTE")</f>
        <v/>
      </c>
      <c r="J1137" s="13">
        <f>G1137-H1137-I1137</f>
        <v/>
      </c>
      <c r="K1137">
        <f>IF(A1137="","",IF(J1137&lt;=IFERROR(VLOOKUP(A1137,Cadastro_Produtos!$A:$E,5,FALSE),0),"ABAIXO DO MINIMO","OK"))</f>
        <v/>
      </c>
    </row>
    <row r="1138">
      <c r="B1138">
        <f>IFERROR(VLOOKUP(A1138,Cadastro_Produtos!A:B,2,FALSE),"")</f>
        <v/>
      </c>
      <c r="D1138" s="12" t="n"/>
      <c r="E1138" s="13">
        <f>IF(D1138="","",D1138-TODAY())</f>
        <v/>
      </c>
      <c r="F1138">
        <f>IF(D1138="","",IF(E1138&lt;0,"VENCIDO",IF(E1138&lt;=30,"VENCE EM &lt;= 30 DIAS",IF(E1138&lt;=60,"ATENCAO (31-60 DIAS)","OK"))))</f>
        <v/>
      </c>
      <c r="G1138" s="13">
        <f>SUMIFS(Movimentacoes!$G:$G,Movimentacoes!$C:$C,$A1138,Movimentacoes!$E:$E,$C1138,Movimentacoes!$B:$B,"ENTRADA")</f>
        <v/>
      </c>
      <c r="H1138" s="13">
        <f>SUMIFS(Movimentacoes!$G:$G,Movimentacoes!$C:$C,$A1138,Movimentacoes!$E:$E,$C1138,Movimentacoes!$B:$B,"SAIDA_USO")</f>
        <v/>
      </c>
      <c r="I1138" s="13">
        <f>SUMIFS(Movimentacoes!$G:$G,Movimentacoes!$C:$C,$A1138,Movimentacoes!$E:$E,$C1138,Movimentacoes!$B:$B,"SAIDA_DESCARTE")</f>
        <v/>
      </c>
      <c r="J1138" s="13">
        <f>G1138-H1138-I1138</f>
        <v/>
      </c>
      <c r="K1138">
        <f>IF(A1138="","",IF(J1138&lt;=IFERROR(VLOOKUP(A1138,Cadastro_Produtos!$A:$E,5,FALSE),0),"ABAIXO DO MINIMO","OK"))</f>
        <v/>
      </c>
    </row>
    <row r="1139">
      <c r="B1139">
        <f>IFERROR(VLOOKUP(A1139,Cadastro_Produtos!A:B,2,FALSE),"")</f>
        <v/>
      </c>
      <c r="D1139" s="12" t="n"/>
      <c r="E1139" s="13">
        <f>IF(D1139="","",D1139-TODAY())</f>
        <v/>
      </c>
      <c r="F1139">
        <f>IF(D1139="","",IF(E1139&lt;0,"VENCIDO",IF(E1139&lt;=30,"VENCE EM &lt;= 30 DIAS",IF(E1139&lt;=60,"ATENCAO (31-60 DIAS)","OK"))))</f>
        <v/>
      </c>
      <c r="G1139" s="13">
        <f>SUMIFS(Movimentacoes!$G:$G,Movimentacoes!$C:$C,$A1139,Movimentacoes!$E:$E,$C1139,Movimentacoes!$B:$B,"ENTRADA")</f>
        <v/>
      </c>
      <c r="H1139" s="13">
        <f>SUMIFS(Movimentacoes!$G:$G,Movimentacoes!$C:$C,$A1139,Movimentacoes!$E:$E,$C1139,Movimentacoes!$B:$B,"SAIDA_USO")</f>
        <v/>
      </c>
      <c r="I1139" s="13">
        <f>SUMIFS(Movimentacoes!$G:$G,Movimentacoes!$C:$C,$A1139,Movimentacoes!$E:$E,$C1139,Movimentacoes!$B:$B,"SAIDA_DESCARTE")</f>
        <v/>
      </c>
      <c r="J1139" s="13">
        <f>G1139-H1139-I1139</f>
        <v/>
      </c>
      <c r="K1139">
        <f>IF(A1139="","",IF(J1139&lt;=IFERROR(VLOOKUP(A1139,Cadastro_Produtos!$A:$E,5,FALSE),0),"ABAIXO DO MINIMO","OK"))</f>
        <v/>
      </c>
    </row>
    <row r="1140">
      <c r="B1140">
        <f>IFERROR(VLOOKUP(A1140,Cadastro_Produtos!A:B,2,FALSE),"")</f>
        <v/>
      </c>
      <c r="D1140" s="12" t="n"/>
      <c r="E1140" s="13">
        <f>IF(D1140="","",D1140-TODAY())</f>
        <v/>
      </c>
      <c r="F1140">
        <f>IF(D1140="","",IF(E1140&lt;0,"VENCIDO",IF(E1140&lt;=30,"VENCE EM &lt;= 30 DIAS",IF(E1140&lt;=60,"ATENCAO (31-60 DIAS)","OK"))))</f>
        <v/>
      </c>
      <c r="G1140" s="13">
        <f>SUMIFS(Movimentacoes!$G:$G,Movimentacoes!$C:$C,$A1140,Movimentacoes!$E:$E,$C1140,Movimentacoes!$B:$B,"ENTRADA")</f>
        <v/>
      </c>
      <c r="H1140" s="13">
        <f>SUMIFS(Movimentacoes!$G:$G,Movimentacoes!$C:$C,$A1140,Movimentacoes!$E:$E,$C1140,Movimentacoes!$B:$B,"SAIDA_USO")</f>
        <v/>
      </c>
      <c r="I1140" s="13">
        <f>SUMIFS(Movimentacoes!$G:$G,Movimentacoes!$C:$C,$A1140,Movimentacoes!$E:$E,$C1140,Movimentacoes!$B:$B,"SAIDA_DESCARTE")</f>
        <v/>
      </c>
      <c r="J1140" s="13">
        <f>G1140-H1140-I1140</f>
        <v/>
      </c>
      <c r="K1140">
        <f>IF(A1140="","",IF(J1140&lt;=IFERROR(VLOOKUP(A1140,Cadastro_Produtos!$A:$E,5,FALSE),0),"ABAIXO DO MINIMO","OK"))</f>
        <v/>
      </c>
    </row>
    <row r="1141">
      <c r="B1141">
        <f>IFERROR(VLOOKUP(A1141,Cadastro_Produtos!A:B,2,FALSE),"")</f>
        <v/>
      </c>
      <c r="D1141" s="12" t="n"/>
      <c r="E1141" s="13">
        <f>IF(D1141="","",D1141-TODAY())</f>
        <v/>
      </c>
      <c r="F1141">
        <f>IF(D1141="","",IF(E1141&lt;0,"VENCIDO",IF(E1141&lt;=30,"VENCE EM &lt;= 30 DIAS",IF(E1141&lt;=60,"ATENCAO (31-60 DIAS)","OK"))))</f>
        <v/>
      </c>
      <c r="G1141" s="13">
        <f>SUMIFS(Movimentacoes!$G:$G,Movimentacoes!$C:$C,$A1141,Movimentacoes!$E:$E,$C1141,Movimentacoes!$B:$B,"ENTRADA")</f>
        <v/>
      </c>
      <c r="H1141" s="13">
        <f>SUMIFS(Movimentacoes!$G:$G,Movimentacoes!$C:$C,$A1141,Movimentacoes!$E:$E,$C1141,Movimentacoes!$B:$B,"SAIDA_USO")</f>
        <v/>
      </c>
      <c r="I1141" s="13">
        <f>SUMIFS(Movimentacoes!$G:$G,Movimentacoes!$C:$C,$A1141,Movimentacoes!$E:$E,$C1141,Movimentacoes!$B:$B,"SAIDA_DESCARTE")</f>
        <v/>
      </c>
      <c r="J1141" s="13">
        <f>G1141-H1141-I1141</f>
        <v/>
      </c>
      <c r="K1141">
        <f>IF(A1141="","",IF(J1141&lt;=IFERROR(VLOOKUP(A1141,Cadastro_Produtos!$A:$E,5,FALSE),0),"ABAIXO DO MINIMO","OK"))</f>
        <v/>
      </c>
    </row>
    <row r="1142">
      <c r="B1142">
        <f>IFERROR(VLOOKUP(A1142,Cadastro_Produtos!A:B,2,FALSE),"")</f>
        <v/>
      </c>
      <c r="D1142" s="12" t="n"/>
      <c r="E1142" s="13">
        <f>IF(D1142="","",D1142-TODAY())</f>
        <v/>
      </c>
      <c r="F1142">
        <f>IF(D1142="","",IF(E1142&lt;0,"VENCIDO",IF(E1142&lt;=30,"VENCE EM &lt;= 30 DIAS",IF(E1142&lt;=60,"ATENCAO (31-60 DIAS)","OK"))))</f>
        <v/>
      </c>
      <c r="G1142" s="13">
        <f>SUMIFS(Movimentacoes!$G:$G,Movimentacoes!$C:$C,$A1142,Movimentacoes!$E:$E,$C1142,Movimentacoes!$B:$B,"ENTRADA")</f>
        <v/>
      </c>
      <c r="H1142" s="13">
        <f>SUMIFS(Movimentacoes!$G:$G,Movimentacoes!$C:$C,$A1142,Movimentacoes!$E:$E,$C1142,Movimentacoes!$B:$B,"SAIDA_USO")</f>
        <v/>
      </c>
      <c r="I1142" s="13">
        <f>SUMIFS(Movimentacoes!$G:$G,Movimentacoes!$C:$C,$A1142,Movimentacoes!$E:$E,$C1142,Movimentacoes!$B:$B,"SAIDA_DESCARTE")</f>
        <v/>
      </c>
      <c r="J1142" s="13">
        <f>G1142-H1142-I1142</f>
        <v/>
      </c>
      <c r="K1142">
        <f>IF(A1142="","",IF(J1142&lt;=IFERROR(VLOOKUP(A1142,Cadastro_Produtos!$A:$E,5,FALSE),0),"ABAIXO DO MINIMO","OK"))</f>
        <v/>
      </c>
    </row>
    <row r="1143">
      <c r="B1143">
        <f>IFERROR(VLOOKUP(A1143,Cadastro_Produtos!A:B,2,FALSE),"")</f>
        <v/>
      </c>
      <c r="D1143" s="12" t="n"/>
      <c r="E1143" s="13">
        <f>IF(D1143="","",D1143-TODAY())</f>
        <v/>
      </c>
      <c r="F1143">
        <f>IF(D1143="","",IF(E1143&lt;0,"VENCIDO",IF(E1143&lt;=30,"VENCE EM &lt;= 30 DIAS",IF(E1143&lt;=60,"ATENCAO (31-60 DIAS)","OK"))))</f>
        <v/>
      </c>
      <c r="G1143" s="13">
        <f>SUMIFS(Movimentacoes!$G:$G,Movimentacoes!$C:$C,$A1143,Movimentacoes!$E:$E,$C1143,Movimentacoes!$B:$B,"ENTRADA")</f>
        <v/>
      </c>
      <c r="H1143" s="13">
        <f>SUMIFS(Movimentacoes!$G:$G,Movimentacoes!$C:$C,$A1143,Movimentacoes!$E:$E,$C1143,Movimentacoes!$B:$B,"SAIDA_USO")</f>
        <v/>
      </c>
      <c r="I1143" s="13">
        <f>SUMIFS(Movimentacoes!$G:$G,Movimentacoes!$C:$C,$A1143,Movimentacoes!$E:$E,$C1143,Movimentacoes!$B:$B,"SAIDA_DESCARTE")</f>
        <v/>
      </c>
      <c r="J1143" s="13">
        <f>G1143-H1143-I1143</f>
        <v/>
      </c>
      <c r="K1143">
        <f>IF(A1143="","",IF(J1143&lt;=IFERROR(VLOOKUP(A1143,Cadastro_Produtos!$A:$E,5,FALSE),0),"ABAIXO DO MINIMO","OK"))</f>
        <v/>
      </c>
    </row>
    <row r="1144">
      <c r="B1144">
        <f>IFERROR(VLOOKUP(A1144,Cadastro_Produtos!A:B,2,FALSE),"")</f>
        <v/>
      </c>
      <c r="D1144" s="12" t="n"/>
      <c r="E1144" s="13">
        <f>IF(D1144="","",D1144-TODAY())</f>
        <v/>
      </c>
      <c r="F1144">
        <f>IF(D1144="","",IF(E1144&lt;0,"VENCIDO",IF(E1144&lt;=30,"VENCE EM &lt;= 30 DIAS",IF(E1144&lt;=60,"ATENCAO (31-60 DIAS)","OK"))))</f>
        <v/>
      </c>
      <c r="G1144" s="13">
        <f>SUMIFS(Movimentacoes!$G:$G,Movimentacoes!$C:$C,$A1144,Movimentacoes!$E:$E,$C1144,Movimentacoes!$B:$B,"ENTRADA")</f>
        <v/>
      </c>
      <c r="H1144" s="13">
        <f>SUMIFS(Movimentacoes!$G:$G,Movimentacoes!$C:$C,$A1144,Movimentacoes!$E:$E,$C1144,Movimentacoes!$B:$B,"SAIDA_USO")</f>
        <v/>
      </c>
      <c r="I1144" s="13">
        <f>SUMIFS(Movimentacoes!$G:$G,Movimentacoes!$C:$C,$A1144,Movimentacoes!$E:$E,$C1144,Movimentacoes!$B:$B,"SAIDA_DESCARTE")</f>
        <v/>
      </c>
      <c r="J1144" s="13">
        <f>G1144-H1144-I1144</f>
        <v/>
      </c>
      <c r="K1144">
        <f>IF(A1144="","",IF(J1144&lt;=IFERROR(VLOOKUP(A1144,Cadastro_Produtos!$A:$E,5,FALSE),0),"ABAIXO DO MINIMO","OK"))</f>
        <v/>
      </c>
    </row>
    <row r="1145">
      <c r="B1145">
        <f>IFERROR(VLOOKUP(A1145,Cadastro_Produtos!A:B,2,FALSE),"")</f>
        <v/>
      </c>
      <c r="D1145" s="12" t="n"/>
      <c r="E1145" s="13">
        <f>IF(D1145="","",D1145-TODAY())</f>
        <v/>
      </c>
      <c r="F1145">
        <f>IF(D1145="","",IF(E1145&lt;0,"VENCIDO",IF(E1145&lt;=30,"VENCE EM &lt;= 30 DIAS",IF(E1145&lt;=60,"ATENCAO (31-60 DIAS)","OK"))))</f>
        <v/>
      </c>
      <c r="G1145" s="13">
        <f>SUMIFS(Movimentacoes!$G:$G,Movimentacoes!$C:$C,$A1145,Movimentacoes!$E:$E,$C1145,Movimentacoes!$B:$B,"ENTRADA")</f>
        <v/>
      </c>
      <c r="H1145" s="13">
        <f>SUMIFS(Movimentacoes!$G:$G,Movimentacoes!$C:$C,$A1145,Movimentacoes!$E:$E,$C1145,Movimentacoes!$B:$B,"SAIDA_USO")</f>
        <v/>
      </c>
      <c r="I1145" s="13">
        <f>SUMIFS(Movimentacoes!$G:$G,Movimentacoes!$C:$C,$A1145,Movimentacoes!$E:$E,$C1145,Movimentacoes!$B:$B,"SAIDA_DESCARTE")</f>
        <v/>
      </c>
      <c r="J1145" s="13">
        <f>G1145-H1145-I1145</f>
        <v/>
      </c>
      <c r="K1145">
        <f>IF(A1145="","",IF(J1145&lt;=IFERROR(VLOOKUP(A1145,Cadastro_Produtos!$A:$E,5,FALSE),0),"ABAIXO DO MINIMO","OK"))</f>
        <v/>
      </c>
    </row>
    <row r="1146">
      <c r="B1146">
        <f>IFERROR(VLOOKUP(A1146,Cadastro_Produtos!A:B,2,FALSE),"")</f>
        <v/>
      </c>
      <c r="D1146" s="12" t="n"/>
      <c r="E1146" s="13">
        <f>IF(D1146="","",D1146-TODAY())</f>
        <v/>
      </c>
      <c r="F1146">
        <f>IF(D1146="","",IF(E1146&lt;0,"VENCIDO",IF(E1146&lt;=30,"VENCE EM &lt;= 30 DIAS",IF(E1146&lt;=60,"ATENCAO (31-60 DIAS)","OK"))))</f>
        <v/>
      </c>
      <c r="G1146" s="13">
        <f>SUMIFS(Movimentacoes!$G:$G,Movimentacoes!$C:$C,$A1146,Movimentacoes!$E:$E,$C1146,Movimentacoes!$B:$B,"ENTRADA")</f>
        <v/>
      </c>
      <c r="H1146" s="13">
        <f>SUMIFS(Movimentacoes!$G:$G,Movimentacoes!$C:$C,$A1146,Movimentacoes!$E:$E,$C1146,Movimentacoes!$B:$B,"SAIDA_USO")</f>
        <v/>
      </c>
      <c r="I1146" s="13">
        <f>SUMIFS(Movimentacoes!$G:$G,Movimentacoes!$C:$C,$A1146,Movimentacoes!$E:$E,$C1146,Movimentacoes!$B:$B,"SAIDA_DESCARTE")</f>
        <v/>
      </c>
      <c r="J1146" s="13">
        <f>G1146-H1146-I1146</f>
        <v/>
      </c>
      <c r="K1146">
        <f>IF(A1146="","",IF(J1146&lt;=IFERROR(VLOOKUP(A1146,Cadastro_Produtos!$A:$E,5,FALSE),0),"ABAIXO DO MINIMO","OK"))</f>
        <v/>
      </c>
    </row>
    <row r="1147">
      <c r="B1147">
        <f>IFERROR(VLOOKUP(A1147,Cadastro_Produtos!A:B,2,FALSE),"")</f>
        <v/>
      </c>
      <c r="D1147" s="12" t="n"/>
      <c r="E1147" s="13">
        <f>IF(D1147="","",D1147-TODAY())</f>
        <v/>
      </c>
      <c r="F1147">
        <f>IF(D1147="","",IF(E1147&lt;0,"VENCIDO",IF(E1147&lt;=30,"VENCE EM &lt;= 30 DIAS",IF(E1147&lt;=60,"ATENCAO (31-60 DIAS)","OK"))))</f>
        <v/>
      </c>
      <c r="G1147" s="13">
        <f>SUMIFS(Movimentacoes!$G:$G,Movimentacoes!$C:$C,$A1147,Movimentacoes!$E:$E,$C1147,Movimentacoes!$B:$B,"ENTRADA")</f>
        <v/>
      </c>
      <c r="H1147" s="13">
        <f>SUMIFS(Movimentacoes!$G:$G,Movimentacoes!$C:$C,$A1147,Movimentacoes!$E:$E,$C1147,Movimentacoes!$B:$B,"SAIDA_USO")</f>
        <v/>
      </c>
      <c r="I1147" s="13">
        <f>SUMIFS(Movimentacoes!$G:$G,Movimentacoes!$C:$C,$A1147,Movimentacoes!$E:$E,$C1147,Movimentacoes!$B:$B,"SAIDA_DESCARTE")</f>
        <v/>
      </c>
      <c r="J1147" s="13">
        <f>G1147-H1147-I1147</f>
        <v/>
      </c>
      <c r="K1147">
        <f>IF(A1147="","",IF(J1147&lt;=IFERROR(VLOOKUP(A1147,Cadastro_Produtos!$A:$E,5,FALSE),0),"ABAIXO DO MINIMO","OK"))</f>
        <v/>
      </c>
    </row>
    <row r="1148">
      <c r="B1148">
        <f>IFERROR(VLOOKUP(A1148,Cadastro_Produtos!A:B,2,FALSE),"")</f>
        <v/>
      </c>
      <c r="D1148" s="12" t="n"/>
      <c r="E1148" s="13">
        <f>IF(D1148="","",D1148-TODAY())</f>
        <v/>
      </c>
      <c r="F1148">
        <f>IF(D1148="","",IF(E1148&lt;0,"VENCIDO",IF(E1148&lt;=30,"VENCE EM &lt;= 30 DIAS",IF(E1148&lt;=60,"ATENCAO (31-60 DIAS)","OK"))))</f>
        <v/>
      </c>
      <c r="G1148" s="13">
        <f>SUMIFS(Movimentacoes!$G:$G,Movimentacoes!$C:$C,$A1148,Movimentacoes!$E:$E,$C1148,Movimentacoes!$B:$B,"ENTRADA")</f>
        <v/>
      </c>
      <c r="H1148" s="13">
        <f>SUMIFS(Movimentacoes!$G:$G,Movimentacoes!$C:$C,$A1148,Movimentacoes!$E:$E,$C1148,Movimentacoes!$B:$B,"SAIDA_USO")</f>
        <v/>
      </c>
      <c r="I1148" s="13">
        <f>SUMIFS(Movimentacoes!$G:$G,Movimentacoes!$C:$C,$A1148,Movimentacoes!$E:$E,$C1148,Movimentacoes!$B:$B,"SAIDA_DESCARTE")</f>
        <v/>
      </c>
      <c r="J1148" s="13">
        <f>G1148-H1148-I1148</f>
        <v/>
      </c>
      <c r="K1148">
        <f>IF(A1148="","",IF(J1148&lt;=IFERROR(VLOOKUP(A1148,Cadastro_Produtos!$A:$E,5,FALSE),0),"ABAIXO DO MINIMO","OK"))</f>
        <v/>
      </c>
    </row>
    <row r="1149">
      <c r="B1149">
        <f>IFERROR(VLOOKUP(A1149,Cadastro_Produtos!A:B,2,FALSE),"")</f>
        <v/>
      </c>
      <c r="D1149" s="12" t="n"/>
      <c r="E1149" s="13">
        <f>IF(D1149="","",D1149-TODAY())</f>
        <v/>
      </c>
      <c r="F1149">
        <f>IF(D1149="","",IF(E1149&lt;0,"VENCIDO",IF(E1149&lt;=30,"VENCE EM &lt;= 30 DIAS",IF(E1149&lt;=60,"ATENCAO (31-60 DIAS)","OK"))))</f>
        <v/>
      </c>
      <c r="G1149" s="13">
        <f>SUMIFS(Movimentacoes!$G:$G,Movimentacoes!$C:$C,$A1149,Movimentacoes!$E:$E,$C1149,Movimentacoes!$B:$B,"ENTRADA")</f>
        <v/>
      </c>
      <c r="H1149" s="13">
        <f>SUMIFS(Movimentacoes!$G:$G,Movimentacoes!$C:$C,$A1149,Movimentacoes!$E:$E,$C1149,Movimentacoes!$B:$B,"SAIDA_USO")</f>
        <v/>
      </c>
      <c r="I1149" s="13">
        <f>SUMIFS(Movimentacoes!$G:$G,Movimentacoes!$C:$C,$A1149,Movimentacoes!$E:$E,$C1149,Movimentacoes!$B:$B,"SAIDA_DESCARTE")</f>
        <v/>
      </c>
      <c r="J1149" s="13">
        <f>G1149-H1149-I1149</f>
        <v/>
      </c>
      <c r="K1149">
        <f>IF(A1149="","",IF(J1149&lt;=IFERROR(VLOOKUP(A1149,Cadastro_Produtos!$A:$E,5,FALSE),0),"ABAIXO DO MINIMO","OK"))</f>
        <v/>
      </c>
    </row>
    <row r="1150">
      <c r="B1150">
        <f>IFERROR(VLOOKUP(A1150,Cadastro_Produtos!A:B,2,FALSE),"")</f>
        <v/>
      </c>
      <c r="D1150" s="12" t="n"/>
      <c r="E1150" s="13">
        <f>IF(D1150="","",D1150-TODAY())</f>
        <v/>
      </c>
      <c r="F1150">
        <f>IF(D1150="","",IF(E1150&lt;0,"VENCIDO",IF(E1150&lt;=30,"VENCE EM &lt;= 30 DIAS",IF(E1150&lt;=60,"ATENCAO (31-60 DIAS)","OK"))))</f>
        <v/>
      </c>
      <c r="G1150" s="13">
        <f>SUMIFS(Movimentacoes!$G:$G,Movimentacoes!$C:$C,$A1150,Movimentacoes!$E:$E,$C1150,Movimentacoes!$B:$B,"ENTRADA")</f>
        <v/>
      </c>
      <c r="H1150" s="13">
        <f>SUMIFS(Movimentacoes!$G:$G,Movimentacoes!$C:$C,$A1150,Movimentacoes!$E:$E,$C1150,Movimentacoes!$B:$B,"SAIDA_USO")</f>
        <v/>
      </c>
      <c r="I1150" s="13">
        <f>SUMIFS(Movimentacoes!$G:$G,Movimentacoes!$C:$C,$A1150,Movimentacoes!$E:$E,$C1150,Movimentacoes!$B:$B,"SAIDA_DESCARTE")</f>
        <v/>
      </c>
      <c r="J1150" s="13">
        <f>G1150-H1150-I1150</f>
        <v/>
      </c>
      <c r="K1150">
        <f>IF(A1150="","",IF(J1150&lt;=IFERROR(VLOOKUP(A1150,Cadastro_Produtos!$A:$E,5,FALSE),0),"ABAIXO DO MINIMO","OK"))</f>
        <v/>
      </c>
    </row>
    <row r="1151">
      <c r="B1151">
        <f>IFERROR(VLOOKUP(A1151,Cadastro_Produtos!A:B,2,FALSE),"")</f>
        <v/>
      </c>
      <c r="D1151" s="12" t="n"/>
      <c r="E1151" s="13">
        <f>IF(D1151="","",D1151-TODAY())</f>
        <v/>
      </c>
      <c r="F1151">
        <f>IF(D1151="","",IF(E1151&lt;0,"VENCIDO",IF(E1151&lt;=30,"VENCE EM &lt;= 30 DIAS",IF(E1151&lt;=60,"ATENCAO (31-60 DIAS)","OK"))))</f>
        <v/>
      </c>
      <c r="G1151" s="13">
        <f>SUMIFS(Movimentacoes!$G:$G,Movimentacoes!$C:$C,$A1151,Movimentacoes!$E:$E,$C1151,Movimentacoes!$B:$B,"ENTRADA")</f>
        <v/>
      </c>
      <c r="H1151" s="13">
        <f>SUMIFS(Movimentacoes!$G:$G,Movimentacoes!$C:$C,$A1151,Movimentacoes!$E:$E,$C1151,Movimentacoes!$B:$B,"SAIDA_USO")</f>
        <v/>
      </c>
      <c r="I1151" s="13">
        <f>SUMIFS(Movimentacoes!$G:$G,Movimentacoes!$C:$C,$A1151,Movimentacoes!$E:$E,$C1151,Movimentacoes!$B:$B,"SAIDA_DESCARTE")</f>
        <v/>
      </c>
      <c r="J1151" s="13">
        <f>G1151-H1151-I1151</f>
        <v/>
      </c>
      <c r="K1151">
        <f>IF(A1151="","",IF(J1151&lt;=IFERROR(VLOOKUP(A1151,Cadastro_Produtos!$A:$E,5,FALSE),0),"ABAIXO DO MINIMO","OK"))</f>
        <v/>
      </c>
    </row>
    <row r="1152">
      <c r="B1152">
        <f>IFERROR(VLOOKUP(A1152,Cadastro_Produtos!A:B,2,FALSE),"")</f>
        <v/>
      </c>
      <c r="D1152" s="12" t="n"/>
      <c r="E1152" s="13">
        <f>IF(D1152="","",D1152-TODAY())</f>
        <v/>
      </c>
      <c r="F1152">
        <f>IF(D1152="","",IF(E1152&lt;0,"VENCIDO",IF(E1152&lt;=30,"VENCE EM &lt;= 30 DIAS",IF(E1152&lt;=60,"ATENCAO (31-60 DIAS)","OK"))))</f>
        <v/>
      </c>
      <c r="G1152" s="13">
        <f>SUMIFS(Movimentacoes!$G:$G,Movimentacoes!$C:$C,$A1152,Movimentacoes!$E:$E,$C1152,Movimentacoes!$B:$B,"ENTRADA")</f>
        <v/>
      </c>
      <c r="H1152" s="13">
        <f>SUMIFS(Movimentacoes!$G:$G,Movimentacoes!$C:$C,$A1152,Movimentacoes!$E:$E,$C1152,Movimentacoes!$B:$B,"SAIDA_USO")</f>
        <v/>
      </c>
      <c r="I1152" s="13">
        <f>SUMIFS(Movimentacoes!$G:$G,Movimentacoes!$C:$C,$A1152,Movimentacoes!$E:$E,$C1152,Movimentacoes!$B:$B,"SAIDA_DESCARTE")</f>
        <v/>
      </c>
      <c r="J1152" s="13">
        <f>G1152-H1152-I1152</f>
        <v/>
      </c>
      <c r="K1152">
        <f>IF(A1152="","",IF(J1152&lt;=IFERROR(VLOOKUP(A1152,Cadastro_Produtos!$A:$E,5,FALSE),0),"ABAIXO DO MINIMO","OK"))</f>
        <v/>
      </c>
    </row>
    <row r="1153">
      <c r="B1153">
        <f>IFERROR(VLOOKUP(A1153,Cadastro_Produtos!A:B,2,FALSE),"")</f>
        <v/>
      </c>
      <c r="D1153" s="12" t="n"/>
      <c r="E1153" s="13">
        <f>IF(D1153="","",D1153-TODAY())</f>
        <v/>
      </c>
      <c r="F1153">
        <f>IF(D1153="","",IF(E1153&lt;0,"VENCIDO",IF(E1153&lt;=30,"VENCE EM &lt;= 30 DIAS",IF(E1153&lt;=60,"ATENCAO (31-60 DIAS)","OK"))))</f>
        <v/>
      </c>
      <c r="G1153" s="13">
        <f>SUMIFS(Movimentacoes!$G:$G,Movimentacoes!$C:$C,$A1153,Movimentacoes!$E:$E,$C1153,Movimentacoes!$B:$B,"ENTRADA")</f>
        <v/>
      </c>
      <c r="H1153" s="13">
        <f>SUMIFS(Movimentacoes!$G:$G,Movimentacoes!$C:$C,$A1153,Movimentacoes!$E:$E,$C1153,Movimentacoes!$B:$B,"SAIDA_USO")</f>
        <v/>
      </c>
      <c r="I1153" s="13">
        <f>SUMIFS(Movimentacoes!$G:$G,Movimentacoes!$C:$C,$A1153,Movimentacoes!$E:$E,$C1153,Movimentacoes!$B:$B,"SAIDA_DESCARTE")</f>
        <v/>
      </c>
      <c r="J1153" s="13">
        <f>G1153-H1153-I1153</f>
        <v/>
      </c>
      <c r="K1153">
        <f>IF(A1153="","",IF(J1153&lt;=IFERROR(VLOOKUP(A1153,Cadastro_Produtos!$A:$E,5,FALSE),0),"ABAIXO DO MINIMO","OK"))</f>
        <v/>
      </c>
    </row>
    <row r="1154">
      <c r="B1154">
        <f>IFERROR(VLOOKUP(A1154,Cadastro_Produtos!A:B,2,FALSE),"")</f>
        <v/>
      </c>
      <c r="D1154" s="12" t="n"/>
      <c r="E1154" s="13">
        <f>IF(D1154="","",D1154-TODAY())</f>
        <v/>
      </c>
      <c r="F1154">
        <f>IF(D1154="","",IF(E1154&lt;0,"VENCIDO",IF(E1154&lt;=30,"VENCE EM &lt;= 30 DIAS",IF(E1154&lt;=60,"ATENCAO (31-60 DIAS)","OK"))))</f>
        <v/>
      </c>
      <c r="G1154" s="13">
        <f>SUMIFS(Movimentacoes!$G:$G,Movimentacoes!$C:$C,$A1154,Movimentacoes!$E:$E,$C1154,Movimentacoes!$B:$B,"ENTRADA")</f>
        <v/>
      </c>
      <c r="H1154" s="13">
        <f>SUMIFS(Movimentacoes!$G:$G,Movimentacoes!$C:$C,$A1154,Movimentacoes!$E:$E,$C1154,Movimentacoes!$B:$B,"SAIDA_USO")</f>
        <v/>
      </c>
      <c r="I1154" s="13">
        <f>SUMIFS(Movimentacoes!$G:$G,Movimentacoes!$C:$C,$A1154,Movimentacoes!$E:$E,$C1154,Movimentacoes!$B:$B,"SAIDA_DESCARTE")</f>
        <v/>
      </c>
      <c r="J1154" s="13">
        <f>G1154-H1154-I1154</f>
        <v/>
      </c>
      <c r="K1154">
        <f>IF(A1154="","",IF(J1154&lt;=IFERROR(VLOOKUP(A1154,Cadastro_Produtos!$A:$E,5,FALSE),0),"ABAIXO DO MINIMO","OK"))</f>
        <v/>
      </c>
    </row>
    <row r="1155">
      <c r="B1155">
        <f>IFERROR(VLOOKUP(A1155,Cadastro_Produtos!A:B,2,FALSE),"")</f>
        <v/>
      </c>
      <c r="D1155" s="12" t="n"/>
      <c r="E1155" s="13">
        <f>IF(D1155="","",D1155-TODAY())</f>
        <v/>
      </c>
      <c r="F1155">
        <f>IF(D1155="","",IF(E1155&lt;0,"VENCIDO",IF(E1155&lt;=30,"VENCE EM &lt;= 30 DIAS",IF(E1155&lt;=60,"ATENCAO (31-60 DIAS)","OK"))))</f>
        <v/>
      </c>
      <c r="G1155" s="13">
        <f>SUMIFS(Movimentacoes!$G:$G,Movimentacoes!$C:$C,$A1155,Movimentacoes!$E:$E,$C1155,Movimentacoes!$B:$B,"ENTRADA")</f>
        <v/>
      </c>
      <c r="H1155" s="13">
        <f>SUMIFS(Movimentacoes!$G:$G,Movimentacoes!$C:$C,$A1155,Movimentacoes!$E:$E,$C1155,Movimentacoes!$B:$B,"SAIDA_USO")</f>
        <v/>
      </c>
      <c r="I1155" s="13">
        <f>SUMIFS(Movimentacoes!$G:$G,Movimentacoes!$C:$C,$A1155,Movimentacoes!$E:$E,$C1155,Movimentacoes!$B:$B,"SAIDA_DESCARTE")</f>
        <v/>
      </c>
      <c r="J1155" s="13">
        <f>G1155-H1155-I1155</f>
        <v/>
      </c>
      <c r="K1155">
        <f>IF(A1155="","",IF(J1155&lt;=IFERROR(VLOOKUP(A1155,Cadastro_Produtos!$A:$E,5,FALSE),0),"ABAIXO DO MINIMO","OK"))</f>
        <v/>
      </c>
    </row>
    <row r="1156">
      <c r="B1156">
        <f>IFERROR(VLOOKUP(A1156,Cadastro_Produtos!A:B,2,FALSE),"")</f>
        <v/>
      </c>
      <c r="D1156" s="12" t="n"/>
      <c r="E1156" s="13">
        <f>IF(D1156="","",D1156-TODAY())</f>
        <v/>
      </c>
      <c r="F1156">
        <f>IF(D1156="","",IF(E1156&lt;0,"VENCIDO",IF(E1156&lt;=30,"VENCE EM &lt;= 30 DIAS",IF(E1156&lt;=60,"ATENCAO (31-60 DIAS)","OK"))))</f>
        <v/>
      </c>
      <c r="G1156" s="13">
        <f>SUMIFS(Movimentacoes!$G:$G,Movimentacoes!$C:$C,$A1156,Movimentacoes!$E:$E,$C1156,Movimentacoes!$B:$B,"ENTRADA")</f>
        <v/>
      </c>
      <c r="H1156" s="13">
        <f>SUMIFS(Movimentacoes!$G:$G,Movimentacoes!$C:$C,$A1156,Movimentacoes!$E:$E,$C1156,Movimentacoes!$B:$B,"SAIDA_USO")</f>
        <v/>
      </c>
      <c r="I1156" s="13">
        <f>SUMIFS(Movimentacoes!$G:$G,Movimentacoes!$C:$C,$A1156,Movimentacoes!$E:$E,$C1156,Movimentacoes!$B:$B,"SAIDA_DESCARTE")</f>
        <v/>
      </c>
      <c r="J1156" s="13">
        <f>G1156-H1156-I1156</f>
        <v/>
      </c>
      <c r="K1156">
        <f>IF(A1156="","",IF(J1156&lt;=IFERROR(VLOOKUP(A1156,Cadastro_Produtos!$A:$E,5,FALSE),0),"ABAIXO DO MINIMO","OK"))</f>
        <v/>
      </c>
    </row>
    <row r="1157">
      <c r="B1157">
        <f>IFERROR(VLOOKUP(A1157,Cadastro_Produtos!A:B,2,FALSE),"")</f>
        <v/>
      </c>
      <c r="D1157" s="12" t="n"/>
      <c r="E1157" s="13">
        <f>IF(D1157="","",D1157-TODAY())</f>
        <v/>
      </c>
      <c r="F1157">
        <f>IF(D1157="","",IF(E1157&lt;0,"VENCIDO",IF(E1157&lt;=30,"VENCE EM &lt;= 30 DIAS",IF(E1157&lt;=60,"ATENCAO (31-60 DIAS)","OK"))))</f>
        <v/>
      </c>
      <c r="G1157" s="13">
        <f>SUMIFS(Movimentacoes!$G:$G,Movimentacoes!$C:$C,$A1157,Movimentacoes!$E:$E,$C1157,Movimentacoes!$B:$B,"ENTRADA")</f>
        <v/>
      </c>
      <c r="H1157" s="13">
        <f>SUMIFS(Movimentacoes!$G:$G,Movimentacoes!$C:$C,$A1157,Movimentacoes!$E:$E,$C1157,Movimentacoes!$B:$B,"SAIDA_USO")</f>
        <v/>
      </c>
      <c r="I1157" s="13">
        <f>SUMIFS(Movimentacoes!$G:$G,Movimentacoes!$C:$C,$A1157,Movimentacoes!$E:$E,$C1157,Movimentacoes!$B:$B,"SAIDA_DESCARTE")</f>
        <v/>
      </c>
      <c r="J1157" s="13">
        <f>G1157-H1157-I1157</f>
        <v/>
      </c>
      <c r="K1157">
        <f>IF(A1157="","",IF(J1157&lt;=IFERROR(VLOOKUP(A1157,Cadastro_Produtos!$A:$E,5,FALSE),0),"ABAIXO DO MINIMO","OK"))</f>
        <v/>
      </c>
    </row>
    <row r="1158">
      <c r="B1158">
        <f>IFERROR(VLOOKUP(A1158,Cadastro_Produtos!A:B,2,FALSE),"")</f>
        <v/>
      </c>
      <c r="D1158" s="12" t="n"/>
      <c r="E1158" s="13">
        <f>IF(D1158="","",D1158-TODAY())</f>
        <v/>
      </c>
      <c r="F1158">
        <f>IF(D1158="","",IF(E1158&lt;0,"VENCIDO",IF(E1158&lt;=30,"VENCE EM &lt;= 30 DIAS",IF(E1158&lt;=60,"ATENCAO (31-60 DIAS)","OK"))))</f>
        <v/>
      </c>
      <c r="G1158" s="13">
        <f>SUMIFS(Movimentacoes!$G:$G,Movimentacoes!$C:$C,$A1158,Movimentacoes!$E:$E,$C1158,Movimentacoes!$B:$B,"ENTRADA")</f>
        <v/>
      </c>
      <c r="H1158" s="13">
        <f>SUMIFS(Movimentacoes!$G:$G,Movimentacoes!$C:$C,$A1158,Movimentacoes!$E:$E,$C1158,Movimentacoes!$B:$B,"SAIDA_USO")</f>
        <v/>
      </c>
      <c r="I1158" s="13">
        <f>SUMIFS(Movimentacoes!$G:$G,Movimentacoes!$C:$C,$A1158,Movimentacoes!$E:$E,$C1158,Movimentacoes!$B:$B,"SAIDA_DESCARTE")</f>
        <v/>
      </c>
      <c r="J1158" s="13">
        <f>G1158-H1158-I1158</f>
        <v/>
      </c>
      <c r="K1158">
        <f>IF(A1158="","",IF(J1158&lt;=IFERROR(VLOOKUP(A1158,Cadastro_Produtos!$A:$E,5,FALSE),0),"ABAIXO DO MINIMO","OK"))</f>
        <v/>
      </c>
    </row>
    <row r="1159">
      <c r="B1159">
        <f>IFERROR(VLOOKUP(A1159,Cadastro_Produtos!A:B,2,FALSE),"")</f>
        <v/>
      </c>
      <c r="D1159" s="12" t="n"/>
      <c r="E1159" s="13">
        <f>IF(D1159="","",D1159-TODAY())</f>
        <v/>
      </c>
      <c r="F1159">
        <f>IF(D1159="","",IF(E1159&lt;0,"VENCIDO",IF(E1159&lt;=30,"VENCE EM &lt;= 30 DIAS",IF(E1159&lt;=60,"ATENCAO (31-60 DIAS)","OK"))))</f>
        <v/>
      </c>
      <c r="G1159" s="13">
        <f>SUMIFS(Movimentacoes!$G:$G,Movimentacoes!$C:$C,$A1159,Movimentacoes!$E:$E,$C1159,Movimentacoes!$B:$B,"ENTRADA")</f>
        <v/>
      </c>
      <c r="H1159" s="13">
        <f>SUMIFS(Movimentacoes!$G:$G,Movimentacoes!$C:$C,$A1159,Movimentacoes!$E:$E,$C1159,Movimentacoes!$B:$B,"SAIDA_USO")</f>
        <v/>
      </c>
      <c r="I1159" s="13">
        <f>SUMIFS(Movimentacoes!$G:$G,Movimentacoes!$C:$C,$A1159,Movimentacoes!$E:$E,$C1159,Movimentacoes!$B:$B,"SAIDA_DESCARTE")</f>
        <v/>
      </c>
      <c r="J1159" s="13">
        <f>G1159-H1159-I1159</f>
        <v/>
      </c>
      <c r="K1159">
        <f>IF(A1159="","",IF(J1159&lt;=IFERROR(VLOOKUP(A1159,Cadastro_Produtos!$A:$E,5,FALSE),0),"ABAIXO DO MINIMO","OK"))</f>
        <v/>
      </c>
    </row>
    <row r="1160">
      <c r="B1160">
        <f>IFERROR(VLOOKUP(A1160,Cadastro_Produtos!A:B,2,FALSE),"")</f>
        <v/>
      </c>
      <c r="D1160" s="12" t="n"/>
      <c r="E1160" s="13">
        <f>IF(D1160="","",D1160-TODAY())</f>
        <v/>
      </c>
      <c r="F1160">
        <f>IF(D1160="","",IF(E1160&lt;0,"VENCIDO",IF(E1160&lt;=30,"VENCE EM &lt;= 30 DIAS",IF(E1160&lt;=60,"ATENCAO (31-60 DIAS)","OK"))))</f>
        <v/>
      </c>
      <c r="G1160" s="13">
        <f>SUMIFS(Movimentacoes!$G:$G,Movimentacoes!$C:$C,$A1160,Movimentacoes!$E:$E,$C1160,Movimentacoes!$B:$B,"ENTRADA")</f>
        <v/>
      </c>
      <c r="H1160" s="13">
        <f>SUMIFS(Movimentacoes!$G:$G,Movimentacoes!$C:$C,$A1160,Movimentacoes!$E:$E,$C1160,Movimentacoes!$B:$B,"SAIDA_USO")</f>
        <v/>
      </c>
      <c r="I1160" s="13">
        <f>SUMIFS(Movimentacoes!$G:$G,Movimentacoes!$C:$C,$A1160,Movimentacoes!$E:$E,$C1160,Movimentacoes!$B:$B,"SAIDA_DESCARTE")</f>
        <v/>
      </c>
      <c r="J1160" s="13">
        <f>G1160-H1160-I1160</f>
        <v/>
      </c>
      <c r="K1160">
        <f>IF(A1160="","",IF(J1160&lt;=IFERROR(VLOOKUP(A1160,Cadastro_Produtos!$A:$E,5,FALSE),0),"ABAIXO DO MINIMO","OK"))</f>
        <v/>
      </c>
    </row>
    <row r="1161">
      <c r="B1161">
        <f>IFERROR(VLOOKUP(A1161,Cadastro_Produtos!A:B,2,FALSE),"")</f>
        <v/>
      </c>
      <c r="D1161" s="12" t="n"/>
      <c r="E1161" s="13">
        <f>IF(D1161="","",D1161-TODAY())</f>
        <v/>
      </c>
      <c r="F1161">
        <f>IF(D1161="","",IF(E1161&lt;0,"VENCIDO",IF(E1161&lt;=30,"VENCE EM &lt;= 30 DIAS",IF(E1161&lt;=60,"ATENCAO (31-60 DIAS)","OK"))))</f>
        <v/>
      </c>
      <c r="G1161" s="13">
        <f>SUMIFS(Movimentacoes!$G:$G,Movimentacoes!$C:$C,$A1161,Movimentacoes!$E:$E,$C1161,Movimentacoes!$B:$B,"ENTRADA")</f>
        <v/>
      </c>
      <c r="H1161" s="13">
        <f>SUMIFS(Movimentacoes!$G:$G,Movimentacoes!$C:$C,$A1161,Movimentacoes!$E:$E,$C1161,Movimentacoes!$B:$B,"SAIDA_USO")</f>
        <v/>
      </c>
      <c r="I1161" s="13">
        <f>SUMIFS(Movimentacoes!$G:$G,Movimentacoes!$C:$C,$A1161,Movimentacoes!$E:$E,$C1161,Movimentacoes!$B:$B,"SAIDA_DESCARTE")</f>
        <v/>
      </c>
      <c r="J1161" s="13">
        <f>G1161-H1161-I1161</f>
        <v/>
      </c>
      <c r="K1161">
        <f>IF(A1161="","",IF(J1161&lt;=IFERROR(VLOOKUP(A1161,Cadastro_Produtos!$A:$E,5,FALSE),0),"ABAIXO DO MINIMO","OK"))</f>
        <v/>
      </c>
    </row>
    <row r="1162">
      <c r="B1162">
        <f>IFERROR(VLOOKUP(A1162,Cadastro_Produtos!A:B,2,FALSE),"")</f>
        <v/>
      </c>
      <c r="D1162" s="12" t="n"/>
      <c r="E1162" s="13">
        <f>IF(D1162="","",D1162-TODAY())</f>
        <v/>
      </c>
      <c r="F1162">
        <f>IF(D1162="","",IF(E1162&lt;0,"VENCIDO",IF(E1162&lt;=30,"VENCE EM &lt;= 30 DIAS",IF(E1162&lt;=60,"ATENCAO (31-60 DIAS)","OK"))))</f>
        <v/>
      </c>
      <c r="G1162" s="13">
        <f>SUMIFS(Movimentacoes!$G:$G,Movimentacoes!$C:$C,$A1162,Movimentacoes!$E:$E,$C1162,Movimentacoes!$B:$B,"ENTRADA")</f>
        <v/>
      </c>
      <c r="H1162" s="13">
        <f>SUMIFS(Movimentacoes!$G:$G,Movimentacoes!$C:$C,$A1162,Movimentacoes!$E:$E,$C1162,Movimentacoes!$B:$B,"SAIDA_USO")</f>
        <v/>
      </c>
      <c r="I1162" s="13">
        <f>SUMIFS(Movimentacoes!$G:$G,Movimentacoes!$C:$C,$A1162,Movimentacoes!$E:$E,$C1162,Movimentacoes!$B:$B,"SAIDA_DESCARTE")</f>
        <v/>
      </c>
      <c r="J1162" s="13">
        <f>G1162-H1162-I1162</f>
        <v/>
      </c>
      <c r="K1162">
        <f>IF(A1162="","",IF(J1162&lt;=IFERROR(VLOOKUP(A1162,Cadastro_Produtos!$A:$E,5,FALSE),0),"ABAIXO DO MINIMO","OK"))</f>
        <v/>
      </c>
    </row>
    <row r="1163">
      <c r="B1163">
        <f>IFERROR(VLOOKUP(A1163,Cadastro_Produtos!A:B,2,FALSE),"")</f>
        <v/>
      </c>
      <c r="D1163" s="12" t="n"/>
      <c r="E1163" s="13">
        <f>IF(D1163="","",D1163-TODAY())</f>
        <v/>
      </c>
      <c r="F1163">
        <f>IF(D1163="","",IF(E1163&lt;0,"VENCIDO",IF(E1163&lt;=30,"VENCE EM &lt;= 30 DIAS",IF(E1163&lt;=60,"ATENCAO (31-60 DIAS)","OK"))))</f>
        <v/>
      </c>
      <c r="G1163" s="13">
        <f>SUMIFS(Movimentacoes!$G:$G,Movimentacoes!$C:$C,$A1163,Movimentacoes!$E:$E,$C1163,Movimentacoes!$B:$B,"ENTRADA")</f>
        <v/>
      </c>
      <c r="H1163" s="13">
        <f>SUMIFS(Movimentacoes!$G:$G,Movimentacoes!$C:$C,$A1163,Movimentacoes!$E:$E,$C1163,Movimentacoes!$B:$B,"SAIDA_USO")</f>
        <v/>
      </c>
      <c r="I1163" s="13">
        <f>SUMIFS(Movimentacoes!$G:$G,Movimentacoes!$C:$C,$A1163,Movimentacoes!$E:$E,$C1163,Movimentacoes!$B:$B,"SAIDA_DESCARTE")</f>
        <v/>
      </c>
      <c r="J1163" s="13">
        <f>G1163-H1163-I1163</f>
        <v/>
      </c>
      <c r="K1163">
        <f>IF(A1163="","",IF(J1163&lt;=IFERROR(VLOOKUP(A1163,Cadastro_Produtos!$A:$E,5,FALSE),0),"ABAIXO DO MINIMO","OK"))</f>
        <v/>
      </c>
    </row>
    <row r="1164">
      <c r="B1164">
        <f>IFERROR(VLOOKUP(A1164,Cadastro_Produtos!A:B,2,FALSE),"")</f>
        <v/>
      </c>
      <c r="D1164" s="12" t="n"/>
      <c r="E1164" s="13">
        <f>IF(D1164="","",D1164-TODAY())</f>
        <v/>
      </c>
      <c r="F1164">
        <f>IF(D1164="","",IF(E1164&lt;0,"VENCIDO",IF(E1164&lt;=30,"VENCE EM &lt;= 30 DIAS",IF(E1164&lt;=60,"ATENCAO (31-60 DIAS)","OK"))))</f>
        <v/>
      </c>
      <c r="G1164" s="13">
        <f>SUMIFS(Movimentacoes!$G:$G,Movimentacoes!$C:$C,$A1164,Movimentacoes!$E:$E,$C1164,Movimentacoes!$B:$B,"ENTRADA")</f>
        <v/>
      </c>
      <c r="H1164" s="13">
        <f>SUMIFS(Movimentacoes!$G:$G,Movimentacoes!$C:$C,$A1164,Movimentacoes!$E:$E,$C1164,Movimentacoes!$B:$B,"SAIDA_USO")</f>
        <v/>
      </c>
      <c r="I1164" s="13">
        <f>SUMIFS(Movimentacoes!$G:$G,Movimentacoes!$C:$C,$A1164,Movimentacoes!$E:$E,$C1164,Movimentacoes!$B:$B,"SAIDA_DESCARTE")</f>
        <v/>
      </c>
      <c r="J1164" s="13">
        <f>G1164-H1164-I1164</f>
        <v/>
      </c>
      <c r="K1164">
        <f>IF(A1164="","",IF(J1164&lt;=IFERROR(VLOOKUP(A1164,Cadastro_Produtos!$A:$E,5,FALSE),0),"ABAIXO DO MINIMO","OK"))</f>
        <v/>
      </c>
    </row>
    <row r="1165">
      <c r="B1165">
        <f>IFERROR(VLOOKUP(A1165,Cadastro_Produtos!A:B,2,FALSE),"")</f>
        <v/>
      </c>
      <c r="D1165" s="12" t="n"/>
      <c r="E1165" s="13">
        <f>IF(D1165="","",D1165-TODAY())</f>
        <v/>
      </c>
      <c r="F1165">
        <f>IF(D1165="","",IF(E1165&lt;0,"VENCIDO",IF(E1165&lt;=30,"VENCE EM &lt;= 30 DIAS",IF(E1165&lt;=60,"ATENCAO (31-60 DIAS)","OK"))))</f>
        <v/>
      </c>
      <c r="G1165" s="13">
        <f>SUMIFS(Movimentacoes!$G:$G,Movimentacoes!$C:$C,$A1165,Movimentacoes!$E:$E,$C1165,Movimentacoes!$B:$B,"ENTRADA")</f>
        <v/>
      </c>
      <c r="H1165" s="13">
        <f>SUMIFS(Movimentacoes!$G:$G,Movimentacoes!$C:$C,$A1165,Movimentacoes!$E:$E,$C1165,Movimentacoes!$B:$B,"SAIDA_USO")</f>
        <v/>
      </c>
      <c r="I1165" s="13">
        <f>SUMIFS(Movimentacoes!$G:$G,Movimentacoes!$C:$C,$A1165,Movimentacoes!$E:$E,$C1165,Movimentacoes!$B:$B,"SAIDA_DESCARTE")</f>
        <v/>
      </c>
      <c r="J1165" s="13">
        <f>G1165-H1165-I1165</f>
        <v/>
      </c>
      <c r="K1165">
        <f>IF(A1165="","",IF(J1165&lt;=IFERROR(VLOOKUP(A1165,Cadastro_Produtos!$A:$E,5,FALSE),0),"ABAIXO DO MINIMO","OK"))</f>
        <v/>
      </c>
    </row>
    <row r="1166">
      <c r="B1166">
        <f>IFERROR(VLOOKUP(A1166,Cadastro_Produtos!A:B,2,FALSE),"")</f>
        <v/>
      </c>
      <c r="D1166" s="12" t="n"/>
      <c r="E1166" s="13">
        <f>IF(D1166="","",D1166-TODAY())</f>
        <v/>
      </c>
      <c r="F1166">
        <f>IF(D1166="","",IF(E1166&lt;0,"VENCIDO",IF(E1166&lt;=30,"VENCE EM &lt;= 30 DIAS",IF(E1166&lt;=60,"ATENCAO (31-60 DIAS)","OK"))))</f>
        <v/>
      </c>
      <c r="G1166" s="13">
        <f>SUMIFS(Movimentacoes!$G:$G,Movimentacoes!$C:$C,$A1166,Movimentacoes!$E:$E,$C1166,Movimentacoes!$B:$B,"ENTRADA")</f>
        <v/>
      </c>
      <c r="H1166" s="13">
        <f>SUMIFS(Movimentacoes!$G:$G,Movimentacoes!$C:$C,$A1166,Movimentacoes!$E:$E,$C1166,Movimentacoes!$B:$B,"SAIDA_USO")</f>
        <v/>
      </c>
      <c r="I1166" s="13">
        <f>SUMIFS(Movimentacoes!$G:$G,Movimentacoes!$C:$C,$A1166,Movimentacoes!$E:$E,$C1166,Movimentacoes!$B:$B,"SAIDA_DESCARTE")</f>
        <v/>
      </c>
      <c r="J1166" s="13">
        <f>G1166-H1166-I1166</f>
        <v/>
      </c>
      <c r="K1166">
        <f>IF(A1166="","",IF(J1166&lt;=IFERROR(VLOOKUP(A1166,Cadastro_Produtos!$A:$E,5,FALSE),0),"ABAIXO DO MINIMO","OK"))</f>
        <v/>
      </c>
    </row>
    <row r="1167">
      <c r="B1167">
        <f>IFERROR(VLOOKUP(A1167,Cadastro_Produtos!A:B,2,FALSE),"")</f>
        <v/>
      </c>
      <c r="D1167" s="12" t="n"/>
      <c r="E1167" s="13">
        <f>IF(D1167="","",D1167-TODAY())</f>
        <v/>
      </c>
      <c r="F1167">
        <f>IF(D1167="","",IF(E1167&lt;0,"VENCIDO",IF(E1167&lt;=30,"VENCE EM &lt;= 30 DIAS",IF(E1167&lt;=60,"ATENCAO (31-60 DIAS)","OK"))))</f>
        <v/>
      </c>
      <c r="G1167" s="13">
        <f>SUMIFS(Movimentacoes!$G:$G,Movimentacoes!$C:$C,$A1167,Movimentacoes!$E:$E,$C1167,Movimentacoes!$B:$B,"ENTRADA")</f>
        <v/>
      </c>
      <c r="H1167" s="13">
        <f>SUMIFS(Movimentacoes!$G:$G,Movimentacoes!$C:$C,$A1167,Movimentacoes!$E:$E,$C1167,Movimentacoes!$B:$B,"SAIDA_USO")</f>
        <v/>
      </c>
      <c r="I1167" s="13">
        <f>SUMIFS(Movimentacoes!$G:$G,Movimentacoes!$C:$C,$A1167,Movimentacoes!$E:$E,$C1167,Movimentacoes!$B:$B,"SAIDA_DESCARTE")</f>
        <v/>
      </c>
      <c r="J1167" s="13">
        <f>G1167-H1167-I1167</f>
        <v/>
      </c>
      <c r="K1167">
        <f>IF(A1167="","",IF(J1167&lt;=IFERROR(VLOOKUP(A1167,Cadastro_Produtos!$A:$E,5,FALSE),0),"ABAIXO DO MINIMO","OK"))</f>
        <v/>
      </c>
    </row>
    <row r="1168">
      <c r="B1168">
        <f>IFERROR(VLOOKUP(A1168,Cadastro_Produtos!A:B,2,FALSE),"")</f>
        <v/>
      </c>
      <c r="D1168" s="12" t="n"/>
      <c r="E1168" s="13">
        <f>IF(D1168="","",D1168-TODAY())</f>
        <v/>
      </c>
      <c r="F1168">
        <f>IF(D1168="","",IF(E1168&lt;0,"VENCIDO",IF(E1168&lt;=30,"VENCE EM &lt;= 30 DIAS",IF(E1168&lt;=60,"ATENCAO (31-60 DIAS)","OK"))))</f>
        <v/>
      </c>
      <c r="G1168" s="13">
        <f>SUMIFS(Movimentacoes!$G:$G,Movimentacoes!$C:$C,$A1168,Movimentacoes!$E:$E,$C1168,Movimentacoes!$B:$B,"ENTRADA")</f>
        <v/>
      </c>
      <c r="H1168" s="13">
        <f>SUMIFS(Movimentacoes!$G:$G,Movimentacoes!$C:$C,$A1168,Movimentacoes!$E:$E,$C1168,Movimentacoes!$B:$B,"SAIDA_USO")</f>
        <v/>
      </c>
      <c r="I1168" s="13">
        <f>SUMIFS(Movimentacoes!$G:$G,Movimentacoes!$C:$C,$A1168,Movimentacoes!$E:$E,$C1168,Movimentacoes!$B:$B,"SAIDA_DESCARTE")</f>
        <v/>
      </c>
      <c r="J1168" s="13">
        <f>G1168-H1168-I1168</f>
        <v/>
      </c>
      <c r="K1168">
        <f>IF(A1168="","",IF(J1168&lt;=IFERROR(VLOOKUP(A1168,Cadastro_Produtos!$A:$E,5,FALSE),0),"ABAIXO DO MINIMO","OK"))</f>
        <v/>
      </c>
    </row>
    <row r="1169">
      <c r="B1169">
        <f>IFERROR(VLOOKUP(A1169,Cadastro_Produtos!A:B,2,FALSE),"")</f>
        <v/>
      </c>
      <c r="D1169" s="12" t="n"/>
      <c r="E1169" s="13">
        <f>IF(D1169="","",D1169-TODAY())</f>
        <v/>
      </c>
      <c r="F1169">
        <f>IF(D1169="","",IF(E1169&lt;0,"VENCIDO",IF(E1169&lt;=30,"VENCE EM &lt;= 30 DIAS",IF(E1169&lt;=60,"ATENCAO (31-60 DIAS)","OK"))))</f>
        <v/>
      </c>
      <c r="G1169" s="13">
        <f>SUMIFS(Movimentacoes!$G:$G,Movimentacoes!$C:$C,$A1169,Movimentacoes!$E:$E,$C1169,Movimentacoes!$B:$B,"ENTRADA")</f>
        <v/>
      </c>
      <c r="H1169" s="13">
        <f>SUMIFS(Movimentacoes!$G:$G,Movimentacoes!$C:$C,$A1169,Movimentacoes!$E:$E,$C1169,Movimentacoes!$B:$B,"SAIDA_USO")</f>
        <v/>
      </c>
      <c r="I1169" s="13">
        <f>SUMIFS(Movimentacoes!$G:$G,Movimentacoes!$C:$C,$A1169,Movimentacoes!$E:$E,$C1169,Movimentacoes!$B:$B,"SAIDA_DESCARTE")</f>
        <v/>
      </c>
      <c r="J1169" s="13">
        <f>G1169-H1169-I1169</f>
        <v/>
      </c>
      <c r="K1169">
        <f>IF(A1169="","",IF(J1169&lt;=IFERROR(VLOOKUP(A1169,Cadastro_Produtos!$A:$E,5,FALSE),0),"ABAIXO DO MINIMO","OK"))</f>
        <v/>
      </c>
    </row>
    <row r="1170">
      <c r="B1170">
        <f>IFERROR(VLOOKUP(A1170,Cadastro_Produtos!A:B,2,FALSE),"")</f>
        <v/>
      </c>
      <c r="D1170" s="12" t="n"/>
      <c r="E1170" s="13">
        <f>IF(D1170="","",D1170-TODAY())</f>
        <v/>
      </c>
      <c r="F1170">
        <f>IF(D1170="","",IF(E1170&lt;0,"VENCIDO",IF(E1170&lt;=30,"VENCE EM &lt;= 30 DIAS",IF(E1170&lt;=60,"ATENCAO (31-60 DIAS)","OK"))))</f>
        <v/>
      </c>
      <c r="G1170" s="13">
        <f>SUMIFS(Movimentacoes!$G:$G,Movimentacoes!$C:$C,$A1170,Movimentacoes!$E:$E,$C1170,Movimentacoes!$B:$B,"ENTRADA")</f>
        <v/>
      </c>
      <c r="H1170" s="13">
        <f>SUMIFS(Movimentacoes!$G:$G,Movimentacoes!$C:$C,$A1170,Movimentacoes!$E:$E,$C1170,Movimentacoes!$B:$B,"SAIDA_USO")</f>
        <v/>
      </c>
      <c r="I1170" s="13">
        <f>SUMIFS(Movimentacoes!$G:$G,Movimentacoes!$C:$C,$A1170,Movimentacoes!$E:$E,$C1170,Movimentacoes!$B:$B,"SAIDA_DESCARTE")</f>
        <v/>
      </c>
      <c r="J1170" s="13">
        <f>G1170-H1170-I1170</f>
        <v/>
      </c>
      <c r="K1170">
        <f>IF(A1170="","",IF(J1170&lt;=IFERROR(VLOOKUP(A1170,Cadastro_Produtos!$A:$E,5,FALSE),0),"ABAIXO DO MINIMO","OK"))</f>
        <v/>
      </c>
    </row>
    <row r="1171">
      <c r="B1171">
        <f>IFERROR(VLOOKUP(A1171,Cadastro_Produtos!A:B,2,FALSE),"")</f>
        <v/>
      </c>
      <c r="D1171" s="12" t="n"/>
      <c r="E1171" s="13">
        <f>IF(D1171="","",D1171-TODAY())</f>
        <v/>
      </c>
      <c r="F1171">
        <f>IF(D1171="","",IF(E1171&lt;0,"VENCIDO",IF(E1171&lt;=30,"VENCE EM &lt;= 30 DIAS",IF(E1171&lt;=60,"ATENCAO (31-60 DIAS)","OK"))))</f>
        <v/>
      </c>
      <c r="G1171" s="13">
        <f>SUMIFS(Movimentacoes!$G:$G,Movimentacoes!$C:$C,$A1171,Movimentacoes!$E:$E,$C1171,Movimentacoes!$B:$B,"ENTRADA")</f>
        <v/>
      </c>
      <c r="H1171" s="13">
        <f>SUMIFS(Movimentacoes!$G:$G,Movimentacoes!$C:$C,$A1171,Movimentacoes!$E:$E,$C1171,Movimentacoes!$B:$B,"SAIDA_USO")</f>
        <v/>
      </c>
      <c r="I1171" s="13">
        <f>SUMIFS(Movimentacoes!$G:$G,Movimentacoes!$C:$C,$A1171,Movimentacoes!$E:$E,$C1171,Movimentacoes!$B:$B,"SAIDA_DESCARTE")</f>
        <v/>
      </c>
      <c r="J1171" s="13">
        <f>G1171-H1171-I1171</f>
        <v/>
      </c>
      <c r="K1171">
        <f>IF(A1171="","",IF(J1171&lt;=IFERROR(VLOOKUP(A1171,Cadastro_Produtos!$A:$E,5,FALSE),0),"ABAIXO DO MINIMO","OK"))</f>
        <v/>
      </c>
    </row>
    <row r="1172">
      <c r="B1172">
        <f>IFERROR(VLOOKUP(A1172,Cadastro_Produtos!A:B,2,FALSE),"")</f>
        <v/>
      </c>
      <c r="D1172" s="12" t="n"/>
      <c r="E1172" s="13">
        <f>IF(D1172="","",D1172-TODAY())</f>
        <v/>
      </c>
      <c r="F1172">
        <f>IF(D1172="","",IF(E1172&lt;0,"VENCIDO",IF(E1172&lt;=30,"VENCE EM &lt;= 30 DIAS",IF(E1172&lt;=60,"ATENCAO (31-60 DIAS)","OK"))))</f>
        <v/>
      </c>
      <c r="G1172" s="13">
        <f>SUMIFS(Movimentacoes!$G:$G,Movimentacoes!$C:$C,$A1172,Movimentacoes!$E:$E,$C1172,Movimentacoes!$B:$B,"ENTRADA")</f>
        <v/>
      </c>
      <c r="H1172" s="13">
        <f>SUMIFS(Movimentacoes!$G:$G,Movimentacoes!$C:$C,$A1172,Movimentacoes!$E:$E,$C1172,Movimentacoes!$B:$B,"SAIDA_USO")</f>
        <v/>
      </c>
      <c r="I1172" s="13">
        <f>SUMIFS(Movimentacoes!$G:$G,Movimentacoes!$C:$C,$A1172,Movimentacoes!$E:$E,$C1172,Movimentacoes!$B:$B,"SAIDA_DESCARTE")</f>
        <v/>
      </c>
      <c r="J1172" s="13">
        <f>G1172-H1172-I1172</f>
        <v/>
      </c>
      <c r="K1172">
        <f>IF(A1172="","",IF(J1172&lt;=IFERROR(VLOOKUP(A1172,Cadastro_Produtos!$A:$E,5,FALSE),0),"ABAIXO DO MINIMO","OK"))</f>
        <v/>
      </c>
    </row>
    <row r="1173">
      <c r="B1173">
        <f>IFERROR(VLOOKUP(A1173,Cadastro_Produtos!A:B,2,FALSE),"")</f>
        <v/>
      </c>
      <c r="D1173" s="12" t="n"/>
      <c r="E1173" s="13">
        <f>IF(D1173="","",D1173-TODAY())</f>
        <v/>
      </c>
      <c r="F1173">
        <f>IF(D1173="","",IF(E1173&lt;0,"VENCIDO",IF(E1173&lt;=30,"VENCE EM &lt;= 30 DIAS",IF(E1173&lt;=60,"ATENCAO (31-60 DIAS)","OK"))))</f>
        <v/>
      </c>
      <c r="G1173" s="13">
        <f>SUMIFS(Movimentacoes!$G:$G,Movimentacoes!$C:$C,$A1173,Movimentacoes!$E:$E,$C1173,Movimentacoes!$B:$B,"ENTRADA")</f>
        <v/>
      </c>
      <c r="H1173" s="13">
        <f>SUMIFS(Movimentacoes!$G:$G,Movimentacoes!$C:$C,$A1173,Movimentacoes!$E:$E,$C1173,Movimentacoes!$B:$B,"SAIDA_USO")</f>
        <v/>
      </c>
      <c r="I1173" s="13">
        <f>SUMIFS(Movimentacoes!$G:$G,Movimentacoes!$C:$C,$A1173,Movimentacoes!$E:$E,$C1173,Movimentacoes!$B:$B,"SAIDA_DESCARTE")</f>
        <v/>
      </c>
      <c r="J1173" s="13">
        <f>G1173-H1173-I1173</f>
        <v/>
      </c>
      <c r="K1173">
        <f>IF(A1173="","",IF(J1173&lt;=IFERROR(VLOOKUP(A1173,Cadastro_Produtos!$A:$E,5,FALSE),0),"ABAIXO DO MINIMO","OK"))</f>
        <v/>
      </c>
    </row>
    <row r="1174">
      <c r="B1174">
        <f>IFERROR(VLOOKUP(A1174,Cadastro_Produtos!A:B,2,FALSE),"")</f>
        <v/>
      </c>
      <c r="D1174" s="12" t="n"/>
      <c r="E1174" s="13">
        <f>IF(D1174="","",D1174-TODAY())</f>
        <v/>
      </c>
      <c r="F1174">
        <f>IF(D1174="","",IF(E1174&lt;0,"VENCIDO",IF(E1174&lt;=30,"VENCE EM &lt;= 30 DIAS",IF(E1174&lt;=60,"ATENCAO (31-60 DIAS)","OK"))))</f>
        <v/>
      </c>
      <c r="G1174" s="13">
        <f>SUMIFS(Movimentacoes!$G:$G,Movimentacoes!$C:$C,$A1174,Movimentacoes!$E:$E,$C1174,Movimentacoes!$B:$B,"ENTRADA")</f>
        <v/>
      </c>
      <c r="H1174" s="13">
        <f>SUMIFS(Movimentacoes!$G:$G,Movimentacoes!$C:$C,$A1174,Movimentacoes!$E:$E,$C1174,Movimentacoes!$B:$B,"SAIDA_USO")</f>
        <v/>
      </c>
      <c r="I1174" s="13">
        <f>SUMIFS(Movimentacoes!$G:$G,Movimentacoes!$C:$C,$A1174,Movimentacoes!$E:$E,$C1174,Movimentacoes!$B:$B,"SAIDA_DESCARTE")</f>
        <v/>
      </c>
      <c r="J1174" s="13">
        <f>G1174-H1174-I1174</f>
        <v/>
      </c>
      <c r="K1174">
        <f>IF(A1174="","",IF(J1174&lt;=IFERROR(VLOOKUP(A1174,Cadastro_Produtos!$A:$E,5,FALSE),0),"ABAIXO DO MINIMO","OK"))</f>
        <v/>
      </c>
    </row>
    <row r="1175">
      <c r="B1175">
        <f>IFERROR(VLOOKUP(A1175,Cadastro_Produtos!A:B,2,FALSE),"")</f>
        <v/>
      </c>
      <c r="D1175" s="12" t="n"/>
      <c r="E1175" s="13">
        <f>IF(D1175="","",D1175-TODAY())</f>
        <v/>
      </c>
      <c r="F1175">
        <f>IF(D1175="","",IF(E1175&lt;0,"VENCIDO",IF(E1175&lt;=30,"VENCE EM &lt;= 30 DIAS",IF(E1175&lt;=60,"ATENCAO (31-60 DIAS)","OK"))))</f>
        <v/>
      </c>
      <c r="G1175" s="13">
        <f>SUMIFS(Movimentacoes!$G:$G,Movimentacoes!$C:$C,$A1175,Movimentacoes!$E:$E,$C1175,Movimentacoes!$B:$B,"ENTRADA")</f>
        <v/>
      </c>
      <c r="H1175" s="13">
        <f>SUMIFS(Movimentacoes!$G:$G,Movimentacoes!$C:$C,$A1175,Movimentacoes!$E:$E,$C1175,Movimentacoes!$B:$B,"SAIDA_USO")</f>
        <v/>
      </c>
      <c r="I1175" s="13">
        <f>SUMIFS(Movimentacoes!$G:$G,Movimentacoes!$C:$C,$A1175,Movimentacoes!$E:$E,$C1175,Movimentacoes!$B:$B,"SAIDA_DESCARTE")</f>
        <v/>
      </c>
      <c r="J1175" s="13">
        <f>G1175-H1175-I1175</f>
        <v/>
      </c>
      <c r="K1175">
        <f>IF(A1175="","",IF(J1175&lt;=IFERROR(VLOOKUP(A1175,Cadastro_Produtos!$A:$E,5,FALSE),0),"ABAIXO DO MINIMO","OK"))</f>
        <v/>
      </c>
    </row>
    <row r="1176">
      <c r="B1176">
        <f>IFERROR(VLOOKUP(A1176,Cadastro_Produtos!A:B,2,FALSE),"")</f>
        <v/>
      </c>
      <c r="D1176" s="12" t="n"/>
      <c r="E1176" s="13">
        <f>IF(D1176="","",D1176-TODAY())</f>
        <v/>
      </c>
      <c r="F1176">
        <f>IF(D1176="","",IF(E1176&lt;0,"VENCIDO",IF(E1176&lt;=30,"VENCE EM &lt;= 30 DIAS",IF(E1176&lt;=60,"ATENCAO (31-60 DIAS)","OK"))))</f>
        <v/>
      </c>
      <c r="G1176" s="13">
        <f>SUMIFS(Movimentacoes!$G:$G,Movimentacoes!$C:$C,$A1176,Movimentacoes!$E:$E,$C1176,Movimentacoes!$B:$B,"ENTRADA")</f>
        <v/>
      </c>
      <c r="H1176" s="13">
        <f>SUMIFS(Movimentacoes!$G:$G,Movimentacoes!$C:$C,$A1176,Movimentacoes!$E:$E,$C1176,Movimentacoes!$B:$B,"SAIDA_USO")</f>
        <v/>
      </c>
      <c r="I1176" s="13">
        <f>SUMIFS(Movimentacoes!$G:$G,Movimentacoes!$C:$C,$A1176,Movimentacoes!$E:$E,$C1176,Movimentacoes!$B:$B,"SAIDA_DESCARTE")</f>
        <v/>
      </c>
      <c r="J1176" s="13">
        <f>G1176-H1176-I1176</f>
        <v/>
      </c>
      <c r="K1176">
        <f>IF(A1176="","",IF(J1176&lt;=IFERROR(VLOOKUP(A1176,Cadastro_Produtos!$A:$E,5,FALSE),0),"ABAIXO DO MINIMO","OK"))</f>
        <v/>
      </c>
    </row>
    <row r="1177">
      <c r="B1177">
        <f>IFERROR(VLOOKUP(A1177,Cadastro_Produtos!A:B,2,FALSE),"")</f>
        <v/>
      </c>
      <c r="D1177" s="12" t="n"/>
      <c r="E1177" s="13">
        <f>IF(D1177="","",D1177-TODAY())</f>
        <v/>
      </c>
      <c r="F1177">
        <f>IF(D1177="","",IF(E1177&lt;0,"VENCIDO",IF(E1177&lt;=30,"VENCE EM &lt;= 30 DIAS",IF(E1177&lt;=60,"ATENCAO (31-60 DIAS)","OK"))))</f>
        <v/>
      </c>
      <c r="G1177" s="13">
        <f>SUMIFS(Movimentacoes!$G:$G,Movimentacoes!$C:$C,$A1177,Movimentacoes!$E:$E,$C1177,Movimentacoes!$B:$B,"ENTRADA")</f>
        <v/>
      </c>
      <c r="H1177" s="13">
        <f>SUMIFS(Movimentacoes!$G:$G,Movimentacoes!$C:$C,$A1177,Movimentacoes!$E:$E,$C1177,Movimentacoes!$B:$B,"SAIDA_USO")</f>
        <v/>
      </c>
      <c r="I1177" s="13">
        <f>SUMIFS(Movimentacoes!$G:$G,Movimentacoes!$C:$C,$A1177,Movimentacoes!$E:$E,$C1177,Movimentacoes!$B:$B,"SAIDA_DESCARTE")</f>
        <v/>
      </c>
      <c r="J1177" s="13">
        <f>G1177-H1177-I1177</f>
        <v/>
      </c>
      <c r="K1177">
        <f>IF(A1177="","",IF(J1177&lt;=IFERROR(VLOOKUP(A1177,Cadastro_Produtos!$A:$E,5,FALSE),0),"ABAIXO DO MINIMO","OK"))</f>
        <v/>
      </c>
    </row>
    <row r="1178">
      <c r="B1178">
        <f>IFERROR(VLOOKUP(A1178,Cadastro_Produtos!A:B,2,FALSE),"")</f>
        <v/>
      </c>
      <c r="D1178" s="12" t="n"/>
      <c r="E1178" s="13">
        <f>IF(D1178="","",D1178-TODAY())</f>
        <v/>
      </c>
      <c r="F1178">
        <f>IF(D1178="","",IF(E1178&lt;0,"VENCIDO",IF(E1178&lt;=30,"VENCE EM &lt;= 30 DIAS",IF(E1178&lt;=60,"ATENCAO (31-60 DIAS)","OK"))))</f>
        <v/>
      </c>
      <c r="G1178" s="13">
        <f>SUMIFS(Movimentacoes!$G:$G,Movimentacoes!$C:$C,$A1178,Movimentacoes!$E:$E,$C1178,Movimentacoes!$B:$B,"ENTRADA")</f>
        <v/>
      </c>
      <c r="H1178" s="13">
        <f>SUMIFS(Movimentacoes!$G:$G,Movimentacoes!$C:$C,$A1178,Movimentacoes!$E:$E,$C1178,Movimentacoes!$B:$B,"SAIDA_USO")</f>
        <v/>
      </c>
      <c r="I1178" s="13">
        <f>SUMIFS(Movimentacoes!$G:$G,Movimentacoes!$C:$C,$A1178,Movimentacoes!$E:$E,$C1178,Movimentacoes!$B:$B,"SAIDA_DESCARTE")</f>
        <v/>
      </c>
      <c r="J1178" s="13">
        <f>G1178-H1178-I1178</f>
        <v/>
      </c>
      <c r="K1178">
        <f>IF(A1178="","",IF(J1178&lt;=IFERROR(VLOOKUP(A1178,Cadastro_Produtos!$A:$E,5,FALSE),0),"ABAIXO DO MINIMO","OK"))</f>
        <v/>
      </c>
    </row>
    <row r="1179">
      <c r="B1179">
        <f>IFERROR(VLOOKUP(A1179,Cadastro_Produtos!A:B,2,FALSE),"")</f>
        <v/>
      </c>
      <c r="D1179" s="12" t="n"/>
      <c r="E1179" s="13">
        <f>IF(D1179="","",D1179-TODAY())</f>
        <v/>
      </c>
      <c r="F1179">
        <f>IF(D1179="","",IF(E1179&lt;0,"VENCIDO",IF(E1179&lt;=30,"VENCE EM &lt;= 30 DIAS",IF(E1179&lt;=60,"ATENCAO (31-60 DIAS)","OK"))))</f>
        <v/>
      </c>
      <c r="G1179" s="13">
        <f>SUMIFS(Movimentacoes!$G:$G,Movimentacoes!$C:$C,$A1179,Movimentacoes!$E:$E,$C1179,Movimentacoes!$B:$B,"ENTRADA")</f>
        <v/>
      </c>
      <c r="H1179" s="13">
        <f>SUMIFS(Movimentacoes!$G:$G,Movimentacoes!$C:$C,$A1179,Movimentacoes!$E:$E,$C1179,Movimentacoes!$B:$B,"SAIDA_USO")</f>
        <v/>
      </c>
      <c r="I1179" s="13">
        <f>SUMIFS(Movimentacoes!$G:$G,Movimentacoes!$C:$C,$A1179,Movimentacoes!$E:$E,$C1179,Movimentacoes!$B:$B,"SAIDA_DESCARTE")</f>
        <v/>
      </c>
      <c r="J1179" s="13">
        <f>G1179-H1179-I1179</f>
        <v/>
      </c>
      <c r="K1179">
        <f>IF(A1179="","",IF(J1179&lt;=IFERROR(VLOOKUP(A1179,Cadastro_Produtos!$A:$E,5,FALSE),0),"ABAIXO DO MINIMO","OK"))</f>
        <v/>
      </c>
    </row>
    <row r="1180">
      <c r="B1180">
        <f>IFERROR(VLOOKUP(A1180,Cadastro_Produtos!A:B,2,FALSE),"")</f>
        <v/>
      </c>
      <c r="D1180" s="12" t="n"/>
      <c r="E1180" s="13">
        <f>IF(D1180="","",D1180-TODAY())</f>
        <v/>
      </c>
      <c r="F1180">
        <f>IF(D1180="","",IF(E1180&lt;0,"VENCIDO",IF(E1180&lt;=30,"VENCE EM &lt;= 30 DIAS",IF(E1180&lt;=60,"ATENCAO (31-60 DIAS)","OK"))))</f>
        <v/>
      </c>
      <c r="G1180" s="13">
        <f>SUMIFS(Movimentacoes!$G:$G,Movimentacoes!$C:$C,$A1180,Movimentacoes!$E:$E,$C1180,Movimentacoes!$B:$B,"ENTRADA")</f>
        <v/>
      </c>
      <c r="H1180" s="13">
        <f>SUMIFS(Movimentacoes!$G:$G,Movimentacoes!$C:$C,$A1180,Movimentacoes!$E:$E,$C1180,Movimentacoes!$B:$B,"SAIDA_USO")</f>
        <v/>
      </c>
      <c r="I1180" s="13">
        <f>SUMIFS(Movimentacoes!$G:$G,Movimentacoes!$C:$C,$A1180,Movimentacoes!$E:$E,$C1180,Movimentacoes!$B:$B,"SAIDA_DESCARTE")</f>
        <v/>
      </c>
      <c r="J1180" s="13">
        <f>G1180-H1180-I1180</f>
        <v/>
      </c>
      <c r="K1180">
        <f>IF(A1180="","",IF(J1180&lt;=IFERROR(VLOOKUP(A1180,Cadastro_Produtos!$A:$E,5,FALSE),0),"ABAIXO DO MINIMO","OK"))</f>
        <v/>
      </c>
    </row>
    <row r="1181">
      <c r="B1181">
        <f>IFERROR(VLOOKUP(A1181,Cadastro_Produtos!A:B,2,FALSE),"")</f>
        <v/>
      </c>
      <c r="D1181" s="12" t="n"/>
      <c r="E1181" s="13">
        <f>IF(D1181="","",D1181-TODAY())</f>
        <v/>
      </c>
      <c r="F1181">
        <f>IF(D1181="","",IF(E1181&lt;0,"VENCIDO",IF(E1181&lt;=30,"VENCE EM &lt;= 30 DIAS",IF(E1181&lt;=60,"ATENCAO (31-60 DIAS)","OK"))))</f>
        <v/>
      </c>
      <c r="G1181" s="13">
        <f>SUMIFS(Movimentacoes!$G:$G,Movimentacoes!$C:$C,$A1181,Movimentacoes!$E:$E,$C1181,Movimentacoes!$B:$B,"ENTRADA")</f>
        <v/>
      </c>
      <c r="H1181" s="13">
        <f>SUMIFS(Movimentacoes!$G:$G,Movimentacoes!$C:$C,$A1181,Movimentacoes!$E:$E,$C1181,Movimentacoes!$B:$B,"SAIDA_USO")</f>
        <v/>
      </c>
      <c r="I1181" s="13">
        <f>SUMIFS(Movimentacoes!$G:$G,Movimentacoes!$C:$C,$A1181,Movimentacoes!$E:$E,$C1181,Movimentacoes!$B:$B,"SAIDA_DESCARTE")</f>
        <v/>
      </c>
      <c r="J1181" s="13">
        <f>G1181-H1181-I1181</f>
        <v/>
      </c>
      <c r="K1181">
        <f>IF(A1181="","",IF(J1181&lt;=IFERROR(VLOOKUP(A1181,Cadastro_Produtos!$A:$E,5,FALSE),0),"ABAIXO DO MINIMO","OK"))</f>
        <v/>
      </c>
    </row>
    <row r="1182">
      <c r="B1182">
        <f>IFERROR(VLOOKUP(A1182,Cadastro_Produtos!A:B,2,FALSE),"")</f>
        <v/>
      </c>
      <c r="D1182" s="12" t="n"/>
      <c r="E1182" s="13">
        <f>IF(D1182="","",D1182-TODAY())</f>
        <v/>
      </c>
      <c r="F1182">
        <f>IF(D1182="","",IF(E1182&lt;0,"VENCIDO",IF(E1182&lt;=30,"VENCE EM &lt;= 30 DIAS",IF(E1182&lt;=60,"ATENCAO (31-60 DIAS)","OK"))))</f>
        <v/>
      </c>
      <c r="G1182" s="13">
        <f>SUMIFS(Movimentacoes!$G:$G,Movimentacoes!$C:$C,$A1182,Movimentacoes!$E:$E,$C1182,Movimentacoes!$B:$B,"ENTRADA")</f>
        <v/>
      </c>
      <c r="H1182" s="13">
        <f>SUMIFS(Movimentacoes!$G:$G,Movimentacoes!$C:$C,$A1182,Movimentacoes!$E:$E,$C1182,Movimentacoes!$B:$B,"SAIDA_USO")</f>
        <v/>
      </c>
      <c r="I1182" s="13">
        <f>SUMIFS(Movimentacoes!$G:$G,Movimentacoes!$C:$C,$A1182,Movimentacoes!$E:$E,$C1182,Movimentacoes!$B:$B,"SAIDA_DESCARTE")</f>
        <v/>
      </c>
      <c r="J1182" s="13">
        <f>G1182-H1182-I1182</f>
        <v/>
      </c>
      <c r="K1182">
        <f>IF(A1182="","",IF(J1182&lt;=IFERROR(VLOOKUP(A1182,Cadastro_Produtos!$A:$E,5,FALSE),0),"ABAIXO DO MINIMO","OK"))</f>
        <v/>
      </c>
    </row>
    <row r="1183">
      <c r="B1183">
        <f>IFERROR(VLOOKUP(A1183,Cadastro_Produtos!A:B,2,FALSE),"")</f>
        <v/>
      </c>
      <c r="D1183" s="12" t="n"/>
      <c r="E1183" s="13">
        <f>IF(D1183="","",D1183-TODAY())</f>
        <v/>
      </c>
      <c r="F1183">
        <f>IF(D1183="","",IF(E1183&lt;0,"VENCIDO",IF(E1183&lt;=30,"VENCE EM &lt;= 30 DIAS",IF(E1183&lt;=60,"ATENCAO (31-60 DIAS)","OK"))))</f>
        <v/>
      </c>
      <c r="G1183" s="13">
        <f>SUMIFS(Movimentacoes!$G:$G,Movimentacoes!$C:$C,$A1183,Movimentacoes!$E:$E,$C1183,Movimentacoes!$B:$B,"ENTRADA")</f>
        <v/>
      </c>
      <c r="H1183" s="13">
        <f>SUMIFS(Movimentacoes!$G:$G,Movimentacoes!$C:$C,$A1183,Movimentacoes!$E:$E,$C1183,Movimentacoes!$B:$B,"SAIDA_USO")</f>
        <v/>
      </c>
      <c r="I1183" s="13">
        <f>SUMIFS(Movimentacoes!$G:$G,Movimentacoes!$C:$C,$A1183,Movimentacoes!$E:$E,$C1183,Movimentacoes!$B:$B,"SAIDA_DESCARTE")</f>
        <v/>
      </c>
      <c r="J1183" s="13">
        <f>G1183-H1183-I1183</f>
        <v/>
      </c>
      <c r="K1183">
        <f>IF(A1183="","",IF(J1183&lt;=IFERROR(VLOOKUP(A1183,Cadastro_Produtos!$A:$E,5,FALSE),0),"ABAIXO DO MINIMO","OK"))</f>
        <v/>
      </c>
    </row>
    <row r="1184">
      <c r="B1184">
        <f>IFERROR(VLOOKUP(A1184,Cadastro_Produtos!A:B,2,FALSE),"")</f>
        <v/>
      </c>
      <c r="D1184" s="12" t="n"/>
      <c r="E1184" s="13">
        <f>IF(D1184="","",D1184-TODAY())</f>
        <v/>
      </c>
      <c r="F1184">
        <f>IF(D1184="","",IF(E1184&lt;0,"VENCIDO",IF(E1184&lt;=30,"VENCE EM &lt;= 30 DIAS",IF(E1184&lt;=60,"ATENCAO (31-60 DIAS)","OK"))))</f>
        <v/>
      </c>
      <c r="G1184" s="13">
        <f>SUMIFS(Movimentacoes!$G:$G,Movimentacoes!$C:$C,$A1184,Movimentacoes!$E:$E,$C1184,Movimentacoes!$B:$B,"ENTRADA")</f>
        <v/>
      </c>
      <c r="H1184" s="13">
        <f>SUMIFS(Movimentacoes!$G:$G,Movimentacoes!$C:$C,$A1184,Movimentacoes!$E:$E,$C1184,Movimentacoes!$B:$B,"SAIDA_USO")</f>
        <v/>
      </c>
      <c r="I1184" s="13">
        <f>SUMIFS(Movimentacoes!$G:$G,Movimentacoes!$C:$C,$A1184,Movimentacoes!$E:$E,$C1184,Movimentacoes!$B:$B,"SAIDA_DESCARTE")</f>
        <v/>
      </c>
      <c r="J1184" s="13">
        <f>G1184-H1184-I1184</f>
        <v/>
      </c>
      <c r="K1184">
        <f>IF(A1184="","",IF(J1184&lt;=IFERROR(VLOOKUP(A1184,Cadastro_Produtos!$A:$E,5,FALSE),0),"ABAIXO DO MINIMO","OK"))</f>
        <v/>
      </c>
    </row>
    <row r="1185">
      <c r="B1185">
        <f>IFERROR(VLOOKUP(A1185,Cadastro_Produtos!A:B,2,FALSE),"")</f>
        <v/>
      </c>
      <c r="D1185" s="12" t="n"/>
      <c r="E1185" s="13">
        <f>IF(D1185="","",D1185-TODAY())</f>
        <v/>
      </c>
      <c r="F1185">
        <f>IF(D1185="","",IF(E1185&lt;0,"VENCIDO",IF(E1185&lt;=30,"VENCE EM &lt;= 30 DIAS",IF(E1185&lt;=60,"ATENCAO (31-60 DIAS)","OK"))))</f>
        <v/>
      </c>
      <c r="G1185" s="13">
        <f>SUMIFS(Movimentacoes!$G:$G,Movimentacoes!$C:$C,$A1185,Movimentacoes!$E:$E,$C1185,Movimentacoes!$B:$B,"ENTRADA")</f>
        <v/>
      </c>
      <c r="H1185" s="13">
        <f>SUMIFS(Movimentacoes!$G:$G,Movimentacoes!$C:$C,$A1185,Movimentacoes!$E:$E,$C1185,Movimentacoes!$B:$B,"SAIDA_USO")</f>
        <v/>
      </c>
      <c r="I1185" s="13">
        <f>SUMIFS(Movimentacoes!$G:$G,Movimentacoes!$C:$C,$A1185,Movimentacoes!$E:$E,$C1185,Movimentacoes!$B:$B,"SAIDA_DESCARTE")</f>
        <v/>
      </c>
      <c r="J1185" s="13">
        <f>G1185-H1185-I1185</f>
        <v/>
      </c>
      <c r="K1185">
        <f>IF(A1185="","",IF(J1185&lt;=IFERROR(VLOOKUP(A1185,Cadastro_Produtos!$A:$E,5,FALSE),0),"ABAIXO DO MINIMO","OK"))</f>
        <v/>
      </c>
    </row>
    <row r="1186">
      <c r="B1186">
        <f>IFERROR(VLOOKUP(A1186,Cadastro_Produtos!A:B,2,FALSE),"")</f>
        <v/>
      </c>
      <c r="D1186" s="12" t="n"/>
      <c r="E1186" s="13">
        <f>IF(D1186="","",D1186-TODAY())</f>
        <v/>
      </c>
      <c r="F1186">
        <f>IF(D1186="","",IF(E1186&lt;0,"VENCIDO",IF(E1186&lt;=30,"VENCE EM &lt;= 30 DIAS",IF(E1186&lt;=60,"ATENCAO (31-60 DIAS)","OK"))))</f>
        <v/>
      </c>
      <c r="G1186" s="13">
        <f>SUMIFS(Movimentacoes!$G:$G,Movimentacoes!$C:$C,$A1186,Movimentacoes!$E:$E,$C1186,Movimentacoes!$B:$B,"ENTRADA")</f>
        <v/>
      </c>
      <c r="H1186" s="13">
        <f>SUMIFS(Movimentacoes!$G:$G,Movimentacoes!$C:$C,$A1186,Movimentacoes!$E:$E,$C1186,Movimentacoes!$B:$B,"SAIDA_USO")</f>
        <v/>
      </c>
      <c r="I1186" s="13">
        <f>SUMIFS(Movimentacoes!$G:$G,Movimentacoes!$C:$C,$A1186,Movimentacoes!$E:$E,$C1186,Movimentacoes!$B:$B,"SAIDA_DESCARTE")</f>
        <v/>
      </c>
      <c r="J1186" s="13">
        <f>G1186-H1186-I1186</f>
        <v/>
      </c>
      <c r="K1186">
        <f>IF(A1186="","",IF(J1186&lt;=IFERROR(VLOOKUP(A1186,Cadastro_Produtos!$A:$E,5,FALSE),0),"ABAIXO DO MINIMO","OK"))</f>
        <v/>
      </c>
    </row>
    <row r="1187">
      <c r="B1187">
        <f>IFERROR(VLOOKUP(A1187,Cadastro_Produtos!A:B,2,FALSE),"")</f>
        <v/>
      </c>
      <c r="D1187" s="12" t="n"/>
      <c r="E1187" s="13">
        <f>IF(D1187="","",D1187-TODAY())</f>
        <v/>
      </c>
      <c r="F1187">
        <f>IF(D1187="","",IF(E1187&lt;0,"VENCIDO",IF(E1187&lt;=30,"VENCE EM &lt;= 30 DIAS",IF(E1187&lt;=60,"ATENCAO (31-60 DIAS)","OK"))))</f>
        <v/>
      </c>
      <c r="G1187" s="13">
        <f>SUMIFS(Movimentacoes!$G:$G,Movimentacoes!$C:$C,$A1187,Movimentacoes!$E:$E,$C1187,Movimentacoes!$B:$B,"ENTRADA")</f>
        <v/>
      </c>
      <c r="H1187" s="13">
        <f>SUMIFS(Movimentacoes!$G:$G,Movimentacoes!$C:$C,$A1187,Movimentacoes!$E:$E,$C1187,Movimentacoes!$B:$B,"SAIDA_USO")</f>
        <v/>
      </c>
      <c r="I1187" s="13">
        <f>SUMIFS(Movimentacoes!$G:$G,Movimentacoes!$C:$C,$A1187,Movimentacoes!$E:$E,$C1187,Movimentacoes!$B:$B,"SAIDA_DESCARTE")</f>
        <v/>
      </c>
      <c r="J1187" s="13">
        <f>G1187-H1187-I1187</f>
        <v/>
      </c>
      <c r="K1187">
        <f>IF(A1187="","",IF(J1187&lt;=IFERROR(VLOOKUP(A1187,Cadastro_Produtos!$A:$E,5,FALSE),0),"ABAIXO DO MINIMO","OK"))</f>
        <v/>
      </c>
    </row>
    <row r="1188">
      <c r="B1188">
        <f>IFERROR(VLOOKUP(A1188,Cadastro_Produtos!A:B,2,FALSE),"")</f>
        <v/>
      </c>
      <c r="D1188" s="12" t="n"/>
      <c r="E1188" s="13">
        <f>IF(D1188="","",D1188-TODAY())</f>
        <v/>
      </c>
      <c r="F1188">
        <f>IF(D1188="","",IF(E1188&lt;0,"VENCIDO",IF(E1188&lt;=30,"VENCE EM &lt;= 30 DIAS",IF(E1188&lt;=60,"ATENCAO (31-60 DIAS)","OK"))))</f>
        <v/>
      </c>
      <c r="G1188" s="13">
        <f>SUMIFS(Movimentacoes!$G:$G,Movimentacoes!$C:$C,$A1188,Movimentacoes!$E:$E,$C1188,Movimentacoes!$B:$B,"ENTRADA")</f>
        <v/>
      </c>
      <c r="H1188" s="13">
        <f>SUMIFS(Movimentacoes!$G:$G,Movimentacoes!$C:$C,$A1188,Movimentacoes!$E:$E,$C1188,Movimentacoes!$B:$B,"SAIDA_USO")</f>
        <v/>
      </c>
      <c r="I1188" s="13">
        <f>SUMIFS(Movimentacoes!$G:$G,Movimentacoes!$C:$C,$A1188,Movimentacoes!$E:$E,$C1188,Movimentacoes!$B:$B,"SAIDA_DESCARTE")</f>
        <v/>
      </c>
      <c r="J1188" s="13">
        <f>G1188-H1188-I1188</f>
        <v/>
      </c>
      <c r="K1188">
        <f>IF(A1188="","",IF(J1188&lt;=IFERROR(VLOOKUP(A1188,Cadastro_Produtos!$A:$E,5,FALSE),0),"ABAIXO DO MINIMO","OK"))</f>
        <v/>
      </c>
    </row>
    <row r="1189">
      <c r="B1189">
        <f>IFERROR(VLOOKUP(A1189,Cadastro_Produtos!A:B,2,FALSE),"")</f>
        <v/>
      </c>
      <c r="D1189" s="12" t="n"/>
      <c r="E1189" s="13">
        <f>IF(D1189="","",D1189-TODAY())</f>
        <v/>
      </c>
      <c r="F1189">
        <f>IF(D1189="","",IF(E1189&lt;0,"VENCIDO",IF(E1189&lt;=30,"VENCE EM &lt;= 30 DIAS",IF(E1189&lt;=60,"ATENCAO (31-60 DIAS)","OK"))))</f>
        <v/>
      </c>
      <c r="G1189" s="13">
        <f>SUMIFS(Movimentacoes!$G:$G,Movimentacoes!$C:$C,$A1189,Movimentacoes!$E:$E,$C1189,Movimentacoes!$B:$B,"ENTRADA")</f>
        <v/>
      </c>
      <c r="H1189" s="13">
        <f>SUMIFS(Movimentacoes!$G:$G,Movimentacoes!$C:$C,$A1189,Movimentacoes!$E:$E,$C1189,Movimentacoes!$B:$B,"SAIDA_USO")</f>
        <v/>
      </c>
      <c r="I1189" s="13">
        <f>SUMIFS(Movimentacoes!$G:$G,Movimentacoes!$C:$C,$A1189,Movimentacoes!$E:$E,$C1189,Movimentacoes!$B:$B,"SAIDA_DESCARTE")</f>
        <v/>
      </c>
      <c r="J1189" s="13">
        <f>G1189-H1189-I1189</f>
        <v/>
      </c>
      <c r="K1189">
        <f>IF(A1189="","",IF(J1189&lt;=IFERROR(VLOOKUP(A1189,Cadastro_Produtos!$A:$E,5,FALSE),0),"ABAIXO DO MINIMO","OK"))</f>
        <v/>
      </c>
    </row>
    <row r="1190">
      <c r="B1190">
        <f>IFERROR(VLOOKUP(A1190,Cadastro_Produtos!A:B,2,FALSE),"")</f>
        <v/>
      </c>
      <c r="D1190" s="12" t="n"/>
      <c r="E1190" s="13">
        <f>IF(D1190="","",D1190-TODAY())</f>
        <v/>
      </c>
      <c r="F1190">
        <f>IF(D1190="","",IF(E1190&lt;0,"VENCIDO",IF(E1190&lt;=30,"VENCE EM &lt;= 30 DIAS",IF(E1190&lt;=60,"ATENCAO (31-60 DIAS)","OK"))))</f>
        <v/>
      </c>
      <c r="G1190" s="13">
        <f>SUMIFS(Movimentacoes!$G:$G,Movimentacoes!$C:$C,$A1190,Movimentacoes!$E:$E,$C1190,Movimentacoes!$B:$B,"ENTRADA")</f>
        <v/>
      </c>
      <c r="H1190" s="13">
        <f>SUMIFS(Movimentacoes!$G:$G,Movimentacoes!$C:$C,$A1190,Movimentacoes!$E:$E,$C1190,Movimentacoes!$B:$B,"SAIDA_USO")</f>
        <v/>
      </c>
      <c r="I1190" s="13">
        <f>SUMIFS(Movimentacoes!$G:$G,Movimentacoes!$C:$C,$A1190,Movimentacoes!$E:$E,$C1190,Movimentacoes!$B:$B,"SAIDA_DESCARTE")</f>
        <v/>
      </c>
      <c r="J1190" s="13">
        <f>G1190-H1190-I1190</f>
        <v/>
      </c>
      <c r="K1190">
        <f>IF(A1190="","",IF(J1190&lt;=IFERROR(VLOOKUP(A1190,Cadastro_Produtos!$A:$E,5,FALSE),0),"ABAIXO DO MINIMO","OK"))</f>
        <v/>
      </c>
    </row>
    <row r="1191">
      <c r="B1191">
        <f>IFERROR(VLOOKUP(A1191,Cadastro_Produtos!A:B,2,FALSE),"")</f>
        <v/>
      </c>
      <c r="D1191" s="12" t="n"/>
      <c r="E1191" s="13">
        <f>IF(D1191="","",D1191-TODAY())</f>
        <v/>
      </c>
      <c r="F1191">
        <f>IF(D1191="","",IF(E1191&lt;0,"VENCIDO",IF(E1191&lt;=30,"VENCE EM &lt;= 30 DIAS",IF(E1191&lt;=60,"ATENCAO (31-60 DIAS)","OK"))))</f>
        <v/>
      </c>
      <c r="G1191" s="13">
        <f>SUMIFS(Movimentacoes!$G:$G,Movimentacoes!$C:$C,$A1191,Movimentacoes!$E:$E,$C1191,Movimentacoes!$B:$B,"ENTRADA")</f>
        <v/>
      </c>
      <c r="H1191" s="13">
        <f>SUMIFS(Movimentacoes!$G:$G,Movimentacoes!$C:$C,$A1191,Movimentacoes!$E:$E,$C1191,Movimentacoes!$B:$B,"SAIDA_USO")</f>
        <v/>
      </c>
      <c r="I1191" s="13">
        <f>SUMIFS(Movimentacoes!$G:$G,Movimentacoes!$C:$C,$A1191,Movimentacoes!$E:$E,$C1191,Movimentacoes!$B:$B,"SAIDA_DESCARTE")</f>
        <v/>
      </c>
      <c r="J1191" s="13">
        <f>G1191-H1191-I1191</f>
        <v/>
      </c>
      <c r="K1191">
        <f>IF(A1191="","",IF(J1191&lt;=IFERROR(VLOOKUP(A1191,Cadastro_Produtos!$A:$E,5,FALSE),0),"ABAIXO DO MINIMO","OK"))</f>
        <v/>
      </c>
    </row>
    <row r="1192">
      <c r="B1192">
        <f>IFERROR(VLOOKUP(A1192,Cadastro_Produtos!A:B,2,FALSE),"")</f>
        <v/>
      </c>
      <c r="D1192" s="12" t="n"/>
      <c r="E1192" s="13">
        <f>IF(D1192="","",D1192-TODAY())</f>
        <v/>
      </c>
      <c r="F1192">
        <f>IF(D1192="","",IF(E1192&lt;0,"VENCIDO",IF(E1192&lt;=30,"VENCE EM &lt;= 30 DIAS",IF(E1192&lt;=60,"ATENCAO (31-60 DIAS)","OK"))))</f>
        <v/>
      </c>
      <c r="G1192" s="13">
        <f>SUMIFS(Movimentacoes!$G:$G,Movimentacoes!$C:$C,$A1192,Movimentacoes!$E:$E,$C1192,Movimentacoes!$B:$B,"ENTRADA")</f>
        <v/>
      </c>
      <c r="H1192" s="13">
        <f>SUMIFS(Movimentacoes!$G:$G,Movimentacoes!$C:$C,$A1192,Movimentacoes!$E:$E,$C1192,Movimentacoes!$B:$B,"SAIDA_USO")</f>
        <v/>
      </c>
      <c r="I1192" s="13">
        <f>SUMIFS(Movimentacoes!$G:$G,Movimentacoes!$C:$C,$A1192,Movimentacoes!$E:$E,$C1192,Movimentacoes!$B:$B,"SAIDA_DESCARTE")</f>
        <v/>
      </c>
      <c r="J1192" s="13">
        <f>G1192-H1192-I1192</f>
        <v/>
      </c>
      <c r="K1192">
        <f>IF(A1192="","",IF(J1192&lt;=IFERROR(VLOOKUP(A1192,Cadastro_Produtos!$A:$E,5,FALSE),0),"ABAIXO DO MINIMO","OK"))</f>
        <v/>
      </c>
    </row>
    <row r="1193">
      <c r="B1193">
        <f>IFERROR(VLOOKUP(A1193,Cadastro_Produtos!A:B,2,FALSE),"")</f>
        <v/>
      </c>
      <c r="D1193" s="12" t="n"/>
      <c r="E1193" s="13">
        <f>IF(D1193="","",D1193-TODAY())</f>
        <v/>
      </c>
      <c r="F1193">
        <f>IF(D1193="","",IF(E1193&lt;0,"VENCIDO",IF(E1193&lt;=30,"VENCE EM &lt;= 30 DIAS",IF(E1193&lt;=60,"ATENCAO (31-60 DIAS)","OK"))))</f>
        <v/>
      </c>
      <c r="G1193" s="13">
        <f>SUMIFS(Movimentacoes!$G:$G,Movimentacoes!$C:$C,$A1193,Movimentacoes!$E:$E,$C1193,Movimentacoes!$B:$B,"ENTRADA")</f>
        <v/>
      </c>
      <c r="H1193" s="13">
        <f>SUMIFS(Movimentacoes!$G:$G,Movimentacoes!$C:$C,$A1193,Movimentacoes!$E:$E,$C1193,Movimentacoes!$B:$B,"SAIDA_USO")</f>
        <v/>
      </c>
      <c r="I1193" s="13">
        <f>SUMIFS(Movimentacoes!$G:$G,Movimentacoes!$C:$C,$A1193,Movimentacoes!$E:$E,$C1193,Movimentacoes!$B:$B,"SAIDA_DESCARTE")</f>
        <v/>
      </c>
      <c r="J1193" s="13">
        <f>G1193-H1193-I1193</f>
        <v/>
      </c>
      <c r="K1193">
        <f>IF(A1193="","",IF(J1193&lt;=IFERROR(VLOOKUP(A1193,Cadastro_Produtos!$A:$E,5,FALSE),0),"ABAIXO DO MINIMO","OK"))</f>
        <v/>
      </c>
    </row>
    <row r="1194">
      <c r="B1194">
        <f>IFERROR(VLOOKUP(A1194,Cadastro_Produtos!A:B,2,FALSE),"")</f>
        <v/>
      </c>
      <c r="D1194" s="12" t="n"/>
      <c r="E1194" s="13">
        <f>IF(D1194="","",D1194-TODAY())</f>
        <v/>
      </c>
      <c r="F1194">
        <f>IF(D1194="","",IF(E1194&lt;0,"VENCIDO",IF(E1194&lt;=30,"VENCE EM &lt;= 30 DIAS",IF(E1194&lt;=60,"ATENCAO (31-60 DIAS)","OK"))))</f>
        <v/>
      </c>
      <c r="G1194" s="13">
        <f>SUMIFS(Movimentacoes!$G:$G,Movimentacoes!$C:$C,$A1194,Movimentacoes!$E:$E,$C1194,Movimentacoes!$B:$B,"ENTRADA")</f>
        <v/>
      </c>
      <c r="H1194" s="13">
        <f>SUMIFS(Movimentacoes!$G:$G,Movimentacoes!$C:$C,$A1194,Movimentacoes!$E:$E,$C1194,Movimentacoes!$B:$B,"SAIDA_USO")</f>
        <v/>
      </c>
      <c r="I1194" s="13">
        <f>SUMIFS(Movimentacoes!$G:$G,Movimentacoes!$C:$C,$A1194,Movimentacoes!$E:$E,$C1194,Movimentacoes!$B:$B,"SAIDA_DESCARTE")</f>
        <v/>
      </c>
      <c r="J1194" s="13">
        <f>G1194-H1194-I1194</f>
        <v/>
      </c>
      <c r="K1194">
        <f>IF(A1194="","",IF(J1194&lt;=IFERROR(VLOOKUP(A1194,Cadastro_Produtos!$A:$E,5,FALSE),0),"ABAIXO DO MINIMO","OK"))</f>
        <v/>
      </c>
    </row>
    <row r="1195">
      <c r="B1195">
        <f>IFERROR(VLOOKUP(A1195,Cadastro_Produtos!A:B,2,FALSE),"")</f>
        <v/>
      </c>
      <c r="D1195" s="12" t="n"/>
      <c r="E1195" s="13">
        <f>IF(D1195="","",D1195-TODAY())</f>
        <v/>
      </c>
      <c r="F1195">
        <f>IF(D1195="","",IF(E1195&lt;0,"VENCIDO",IF(E1195&lt;=30,"VENCE EM &lt;= 30 DIAS",IF(E1195&lt;=60,"ATENCAO (31-60 DIAS)","OK"))))</f>
        <v/>
      </c>
      <c r="G1195" s="13">
        <f>SUMIFS(Movimentacoes!$G:$G,Movimentacoes!$C:$C,$A1195,Movimentacoes!$E:$E,$C1195,Movimentacoes!$B:$B,"ENTRADA")</f>
        <v/>
      </c>
      <c r="H1195" s="13">
        <f>SUMIFS(Movimentacoes!$G:$G,Movimentacoes!$C:$C,$A1195,Movimentacoes!$E:$E,$C1195,Movimentacoes!$B:$B,"SAIDA_USO")</f>
        <v/>
      </c>
      <c r="I1195" s="13">
        <f>SUMIFS(Movimentacoes!$G:$G,Movimentacoes!$C:$C,$A1195,Movimentacoes!$E:$E,$C1195,Movimentacoes!$B:$B,"SAIDA_DESCARTE")</f>
        <v/>
      </c>
      <c r="J1195" s="13">
        <f>G1195-H1195-I1195</f>
        <v/>
      </c>
      <c r="K1195">
        <f>IF(A1195="","",IF(J1195&lt;=IFERROR(VLOOKUP(A1195,Cadastro_Produtos!$A:$E,5,FALSE),0),"ABAIXO DO MINIMO","OK"))</f>
        <v/>
      </c>
    </row>
    <row r="1196">
      <c r="B1196">
        <f>IFERROR(VLOOKUP(A1196,Cadastro_Produtos!A:B,2,FALSE),"")</f>
        <v/>
      </c>
      <c r="D1196" s="12" t="n"/>
      <c r="E1196" s="13">
        <f>IF(D1196="","",D1196-TODAY())</f>
        <v/>
      </c>
      <c r="F1196">
        <f>IF(D1196="","",IF(E1196&lt;0,"VENCIDO",IF(E1196&lt;=30,"VENCE EM &lt;= 30 DIAS",IF(E1196&lt;=60,"ATENCAO (31-60 DIAS)","OK"))))</f>
        <v/>
      </c>
      <c r="G1196" s="13">
        <f>SUMIFS(Movimentacoes!$G:$G,Movimentacoes!$C:$C,$A1196,Movimentacoes!$E:$E,$C1196,Movimentacoes!$B:$B,"ENTRADA")</f>
        <v/>
      </c>
      <c r="H1196" s="13">
        <f>SUMIFS(Movimentacoes!$G:$G,Movimentacoes!$C:$C,$A1196,Movimentacoes!$E:$E,$C1196,Movimentacoes!$B:$B,"SAIDA_USO")</f>
        <v/>
      </c>
      <c r="I1196" s="13">
        <f>SUMIFS(Movimentacoes!$G:$G,Movimentacoes!$C:$C,$A1196,Movimentacoes!$E:$E,$C1196,Movimentacoes!$B:$B,"SAIDA_DESCARTE")</f>
        <v/>
      </c>
      <c r="J1196" s="13">
        <f>G1196-H1196-I1196</f>
        <v/>
      </c>
      <c r="K1196">
        <f>IF(A1196="","",IF(J1196&lt;=IFERROR(VLOOKUP(A1196,Cadastro_Produtos!$A:$E,5,FALSE),0),"ABAIXO DO MINIMO","OK"))</f>
        <v/>
      </c>
    </row>
    <row r="1197">
      <c r="B1197">
        <f>IFERROR(VLOOKUP(A1197,Cadastro_Produtos!A:B,2,FALSE),"")</f>
        <v/>
      </c>
      <c r="D1197" s="12" t="n"/>
      <c r="E1197" s="13">
        <f>IF(D1197="","",D1197-TODAY())</f>
        <v/>
      </c>
      <c r="F1197">
        <f>IF(D1197="","",IF(E1197&lt;0,"VENCIDO",IF(E1197&lt;=30,"VENCE EM &lt;= 30 DIAS",IF(E1197&lt;=60,"ATENCAO (31-60 DIAS)","OK"))))</f>
        <v/>
      </c>
      <c r="G1197" s="13">
        <f>SUMIFS(Movimentacoes!$G:$G,Movimentacoes!$C:$C,$A1197,Movimentacoes!$E:$E,$C1197,Movimentacoes!$B:$B,"ENTRADA")</f>
        <v/>
      </c>
      <c r="H1197" s="13">
        <f>SUMIFS(Movimentacoes!$G:$G,Movimentacoes!$C:$C,$A1197,Movimentacoes!$E:$E,$C1197,Movimentacoes!$B:$B,"SAIDA_USO")</f>
        <v/>
      </c>
      <c r="I1197" s="13">
        <f>SUMIFS(Movimentacoes!$G:$G,Movimentacoes!$C:$C,$A1197,Movimentacoes!$E:$E,$C1197,Movimentacoes!$B:$B,"SAIDA_DESCARTE")</f>
        <v/>
      </c>
      <c r="J1197" s="13">
        <f>G1197-H1197-I1197</f>
        <v/>
      </c>
      <c r="K1197">
        <f>IF(A1197="","",IF(J1197&lt;=IFERROR(VLOOKUP(A1197,Cadastro_Produtos!$A:$E,5,FALSE),0),"ABAIXO DO MINIMO","OK"))</f>
        <v/>
      </c>
    </row>
    <row r="1198">
      <c r="B1198">
        <f>IFERROR(VLOOKUP(A1198,Cadastro_Produtos!A:B,2,FALSE),"")</f>
        <v/>
      </c>
      <c r="D1198" s="12" t="n"/>
      <c r="E1198" s="13">
        <f>IF(D1198="","",D1198-TODAY())</f>
        <v/>
      </c>
      <c r="F1198">
        <f>IF(D1198="","",IF(E1198&lt;0,"VENCIDO",IF(E1198&lt;=30,"VENCE EM &lt;= 30 DIAS",IF(E1198&lt;=60,"ATENCAO (31-60 DIAS)","OK"))))</f>
        <v/>
      </c>
      <c r="G1198" s="13">
        <f>SUMIFS(Movimentacoes!$G:$G,Movimentacoes!$C:$C,$A1198,Movimentacoes!$E:$E,$C1198,Movimentacoes!$B:$B,"ENTRADA")</f>
        <v/>
      </c>
      <c r="H1198" s="13">
        <f>SUMIFS(Movimentacoes!$G:$G,Movimentacoes!$C:$C,$A1198,Movimentacoes!$E:$E,$C1198,Movimentacoes!$B:$B,"SAIDA_USO")</f>
        <v/>
      </c>
      <c r="I1198" s="13">
        <f>SUMIFS(Movimentacoes!$G:$G,Movimentacoes!$C:$C,$A1198,Movimentacoes!$E:$E,$C1198,Movimentacoes!$B:$B,"SAIDA_DESCARTE")</f>
        <v/>
      </c>
      <c r="J1198" s="13">
        <f>G1198-H1198-I1198</f>
        <v/>
      </c>
      <c r="K1198">
        <f>IF(A1198="","",IF(J1198&lt;=IFERROR(VLOOKUP(A1198,Cadastro_Produtos!$A:$E,5,FALSE),0),"ABAIXO DO MINIMO","OK"))</f>
        <v/>
      </c>
    </row>
    <row r="1199">
      <c r="B1199">
        <f>IFERROR(VLOOKUP(A1199,Cadastro_Produtos!A:B,2,FALSE),"")</f>
        <v/>
      </c>
      <c r="D1199" s="12" t="n"/>
      <c r="E1199" s="13">
        <f>IF(D1199="","",D1199-TODAY())</f>
        <v/>
      </c>
      <c r="F1199">
        <f>IF(D1199="","",IF(E1199&lt;0,"VENCIDO",IF(E1199&lt;=30,"VENCE EM &lt;= 30 DIAS",IF(E1199&lt;=60,"ATENCAO (31-60 DIAS)","OK"))))</f>
        <v/>
      </c>
      <c r="G1199" s="13">
        <f>SUMIFS(Movimentacoes!$G:$G,Movimentacoes!$C:$C,$A1199,Movimentacoes!$E:$E,$C1199,Movimentacoes!$B:$B,"ENTRADA")</f>
        <v/>
      </c>
      <c r="H1199" s="13">
        <f>SUMIFS(Movimentacoes!$G:$G,Movimentacoes!$C:$C,$A1199,Movimentacoes!$E:$E,$C1199,Movimentacoes!$B:$B,"SAIDA_USO")</f>
        <v/>
      </c>
      <c r="I1199" s="13">
        <f>SUMIFS(Movimentacoes!$G:$G,Movimentacoes!$C:$C,$A1199,Movimentacoes!$E:$E,$C1199,Movimentacoes!$B:$B,"SAIDA_DESCARTE")</f>
        <v/>
      </c>
      <c r="J1199" s="13">
        <f>G1199-H1199-I1199</f>
        <v/>
      </c>
      <c r="K1199">
        <f>IF(A1199="","",IF(J1199&lt;=IFERROR(VLOOKUP(A1199,Cadastro_Produtos!$A:$E,5,FALSE),0),"ABAIXO DO MINIMO","OK"))</f>
        <v/>
      </c>
    </row>
    <row r="1200">
      <c r="B1200">
        <f>IFERROR(VLOOKUP(A1200,Cadastro_Produtos!A:B,2,FALSE),"")</f>
        <v/>
      </c>
      <c r="D1200" s="12" t="n"/>
      <c r="E1200" s="13">
        <f>IF(D1200="","",D1200-TODAY())</f>
        <v/>
      </c>
      <c r="F1200">
        <f>IF(D1200="","",IF(E1200&lt;0,"VENCIDO",IF(E1200&lt;=30,"VENCE EM &lt;= 30 DIAS",IF(E1200&lt;=60,"ATENCAO (31-60 DIAS)","OK"))))</f>
        <v/>
      </c>
      <c r="G1200" s="13">
        <f>SUMIFS(Movimentacoes!$G:$G,Movimentacoes!$C:$C,$A1200,Movimentacoes!$E:$E,$C1200,Movimentacoes!$B:$B,"ENTRADA")</f>
        <v/>
      </c>
      <c r="H1200" s="13">
        <f>SUMIFS(Movimentacoes!$G:$G,Movimentacoes!$C:$C,$A1200,Movimentacoes!$E:$E,$C1200,Movimentacoes!$B:$B,"SAIDA_USO")</f>
        <v/>
      </c>
      <c r="I1200" s="13">
        <f>SUMIFS(Movimentacoes!$G:$G,Movimentacoes!$C:$C,$A1200,Movimentacoes!$E:$E,$C1200,Movimentacoes!$B:$B,"SAIDA_DESCARTE")</f>
        <v/>
      </c>
      <c r="J1200" s="13">
        <f>G1200-H1200-I1200</f>
        <v/>
      </c>
      <c r="K1200">
        <f>IF(A1200="","",IF(J1200&lt;=IFERROR(VLOOKUP(A1200,Cadastro_Produtos!$A:$E,5,FALSE),0),"ABAIXO DO MINIMO","OK"))</f>
        <v/>
      </c>
    </row>
    <row r="1201">
      <c r="B1201">
        <f>IFERROR(VLOOKUP(A1201,Cadastro_Produtos!A:B,2,FALSE),"")</f>
        <v/>
      </c>
      <c r="D1201" s="12" t="n"/>
      <c r="E1201" s="13">
        <f>IF(D1201="","",D1201-TODAY())</f>
        <v/>
      </c>
      <c r="F1201">
        <f>IF(D1201="","",IF(E1201&lt;0,"VENCIDO",IF(E1201&lt;=30,"VENCE EM &lt;= 30 DIAS",IF(E1201&lt;=60,"ATENCAO (31-60 DIAS)","OK"))))</f>
        <v/>
      </c>
      <c r="G1201" s="13">
        <f>SUMIFS(Movimentacoes!$G:$G,Movimentacoes!$C:$C,$A1201,Movimentacoes!$E:$E,$C1201,Movimentacoes!$B:$B,"ENTRADA")</f>
        <v/>
      </c>
      <c r="H1201" s="13">
        <f>SUMIFS(Movimentacoes!$G:$G,Movimentacoes!$C:$C,$A1201,Movimentacoes!$E:$E,$C1201,Movimentacoes!$B:$B,"SAIDA_USO")</f>
        <v/>
      </c>
      <c r="I1201" s="13">
        <f>SUMIFS(Movimentacoes!$G:$G,Movimentacoes!$C:$C,$A1201,Movimentacoes!$E:$E,$C1201,Movimentacoes!$B:$B,"SAIDA_DESCARTE")</f>
        <v/>
      </c>
      <c r="J1201" s="13">
        <f>G1201-H1201-I1201</f>
        <v/>
      </c>
      <c r="K1201">
        <f>IF(A1201="","",IF(J1201&lt;=IFERROR(VLOOKUP(A1201,Cadastro_Produtos!$A:$E,5,FALSE),0),"ABAIXO DO MINIMO","OK"))</f>
        <v/>
      </c>
    </row>
    <row r="1202">
      <c r="B1202">
        <f>IFERROR(VLOOKUP(A1202,Cadastro_Produtos!A:B,2,FALSE),"")</f>
        <v/>
      </c>
      <c r="D1202" s="12" t="n"/>
      <c r="E1202" s="13">
        <f>IF(D1202="","",D1202-TODAY())</f>
        <v/>
      </c>
      <c r="F1202">
        <f>IF(D1202="","",IF(E1202&lt;0,"VENCIDO",IF(E1202&lt;=30,"VENCE EM &lt;= 30 DIAS",IF(E1202&lt;=60,"ATENCAO (31-60 DIAS)","OK"))))</f>
        <v/>
      </c>
      <c r="G1202" s="13">
        <f>SUMIFS(Movimentacoes!$G:$G,Movimentacoes!$C:$C,$A1202,Movimentacoes!$E:$E,$C1202,Movimentacoes!$B:$B,"ENTRADA")</f>
        <v/>
      </c>
      <c r="H1202" s="13">
        <f>SUMIFS(Movimentacoes!$G:$G,Movimentacoes!$C:$C,$A1202,Movimentacoes!$E:$E,$C1202,Movimentacoes!$B:$B,"SAIDA_USO")</f>
        <v/>
      </c>
      <c r="I1202" s="13">
        <f>SUMIFS(Movimentacoes!$G:$G,Movimentacoes!$C:$C,$A1202,Movimentacoes!$E:$E,$C1202,Movimentacoes!$B:$B,"SAIDA_DESCARTE")</f>
        <v/>
      </c>
      <c r="J1202" s="13">
        <f>G1202-H1202-I1202</f>
        <v/>
      </c>
      <c r="K1202">
        <f>IF(A1202="","",IF(J1202&lt;=IFERROR(VLOOKUP(A1202,Cadastro_Produtos!$A:$E,5,FALSE),0),"ABAIXO DO MINIMO","OK"))</f>
        <v/>
      </c>
    </row>
    <row r="1203">
      <c r="B1203">
        <f>IFERROR(VLOOKUP(A1203,Cadastro_Produtos!A:B,2,FALSE),"")</f>
        <v/>
      </c>
      <c r="D1203" s="12" t="n"/>
      <c r="E1203" s="13">
        <f>IF(D1203="","",D1203-TODAY())</f>
        <v/>
      </c>
      <c r="F1203">
        <f>IF(D1203="","",IF(E1203&lt;0,"VENCIDO",IF(E1203&lt;=30,"VENCE EM &lt;= 30 DIAS",IF(E1203&lt;=60,"ATENCAO (31-60 DIAS)","OK"))))</f>
        <v/>
      </c>
      <c r="G1203" s="13">
        <f>SUMIFS(Movimentacoes!$G:$G,Movimentacoes!$C:$C,$A1203,Movimentacoes!$E:$E,$C1203,Movimentacoes!$B:$B,"ENTRADA")</f>
        <v/>
      </c>
      <c r="H1203" s="13">
        <f>SUMIFS(Movimentacoes!$G:$G,Movimentacoes!$C:$C,$A1203,Movimentacoes!$E:$E,$C1203,Movimentacoes!$B:$B,"SAIDA_USO")</f>
        <v/>
      </c>
      <c r="I1203" s="13">
        <f>SUMIFS(Movimentacoes!$G:$G,Movimentacoes!$C:$C,$A1203,Movimentacoes!$E:$E,$C1203,Movimentacoes!$B:$B,"SAIDA_DESCARTE")</f>
        <v/>
      </c>
      <c r="J1203" s="13">
        <f>G1203-H1203-I1203</f>
        <v/>
      </c>
      <c r="K1203">
        <f>IF(A1203="","",IF(J1203&lt;=IFERROR(VLOOKUP(A1203,Cadastro_Produtos!$A:$E,5,FALSE),0),"ABAIXO DO MINIMO","OK"))</f>
        <v/>
      </c>
    </row>
    <row r="1204">
      <c r="B1204">
        <f>IFERROR(VLOOKUP(A1204,Cadastro_Produtos!A:B,2,FALSE),"")</f>
        <v/>
      </c>
      <c r="D1204" s="12" t="n"/>
      <c r="E1204" s="13">
        <f>IF(D1204="","",D1204-TODAY())</f>
        <v/>
      </c>
      <c r="F1204">
        <f>IF(D1204="","",IF(E1204&lt;0,"VENCIDO",IF(E1204&lt;=30,"VENCE EM &lt;= 30 DIAS",IF(E1204&lt;=60,"ATENCAO (31-60 DIAS)","OK"))))</f>
        <v/>
      </c>
      <c r="G1204" s="13">
        <f>SUMIFS(Movimentacoes!$G:$G,Movimentacoes!$C:$C,$A1204,Movimentacoes!$E:$E,$C1204,Movimentacoes!$B:$B,"ENTRADA")</f>
        <v/>
      </c>
      <c r="H1204" s="13">
        <f>SUMIFS(Movimentacoes!$G:$G,Movimentacoes!$C:$C,$A1204,Movimentacoes!$E:$E,$C1204,Movimentacoes!$B:$B,"SAIDA_USO")</f>
        <v/>
      </c>
      <c r="I1204" s="13">
        <f>SUMIFS(Movimentacoes!$G:$G,Movimentacoes!$C:$C,$A1204,Movimentacoes!$E:$E,$C1204,Movimentacoes!$B:$B,"SAIDA_DESCARTE")</f>
        <v/>
      </c>
      <c r="J1204" s="13">
        <f>G1204-H1204-I1204</f>
        <v/>
      </c>
      <c r="K1204">
        <f>IF(A1204="","",IF(J1204&lt;=IFERROR(VLOOKUP(A1204,Cadastro_Produtos!$A:$E,5,FALSE),0),"ABAIXO DO MINIMO","OK"))</f>
        <v/>
      </c>
    </row>
    <row r="1205">
      <c r="B1205">
        <f>IFERROR(VLOOKUP(A1205,Cadastro_Produtos!A:B,2,FALSE),"")</f>
        <v/>
      </c>
      <c r="D1205" s="12" t="n"/>
      <c r="E1205" s="13">
        <f>IF(D1205="","",D1205-TODAY())</f>
        <v/>
      </c>
      <c r="F1205">
        <f>IF(D1205="","",IF(E1205&lt;0,"VENCIDO",IF(E1205&lt;=30,"VENCE EM &lt;= 30 DIAS",IF(E1205&lt;=60,"ATENCAO (31-60 DIAS)","OK"))))</f>
        <v/>
      </c>
      <c r="G1205" s="13">
        <f>SUMIFS(Movimentacoes!$G:$G,Movimentacoes!$C:$C,$A1205,Movimentacoes!$E:$E,$C1205,Movimentacoes!$B:$B,"ENTRADA")</f>
        <v/>
      </c>
      <c r="H1205" s="13">
        <f>SUMIFS(Movimentacoes!$G:$G,Movimentacoes!$C:$C,$A1205,Movimentacoes!$E:$E,$C1205,Movimentacoes!$B:$B,"SAIDA_USO")</f>
        <v/>
      </c>
      <c r="I1205" s="13">
        <f>SUMIFS(Movimentacoes!$G:$G,Movimentacoes!$C:$C,$A1205,Movimentacoes!$E:$E,$C1205,Movimentacoes!$B:$B,"SAIDA_DESCARTE")</f>
        <v/>
      </c>
      <c r="J1205" s="13">
        <f>G1205-H1205-I1205</f>
        <v/>
      </c>
      <c r="K1205">
        <f>IF(A1205="","",IF(J1205&lt;=IFERROR(VLOOKUP(A1205,Cadastro_Produtos!$A:$E,5,FALSE),0),"ABAIXO DO MINIMO","OK"))</f>
        <v/>
      </c>
    </row>
    <row r="1206">
      <c r="B1206">
        <f>IFERROR(VLOOKUP(A1206,Cadastro_Produtos!A:B,2,FALSE),"")</f>
        <v/>
      </c>
      <c r="D1206" s="12" t="n"/>
      <c r="E1206" s="13">
        <f>IF(D1206="","",D1206-TODAY())</f>
        <v/>
      </c>
      <c r="F1206">
        <f>IF(D1206="","",IF(E1206&lt;0,"VENCIDO",IF(E1206&lt;=30,"VENCE EM &lt;= 30 DIAS",IF(E1206&lt;=60,"ATENCAO (31-60 DIAS)","OK"))))</f>
        <v/>
      </c>
      <c r="G1206" s="13">
        <f>SUMIFS(Movimentacoes!$G:$G,Movimentacoes!$C:$C,$A1206,Movimentacoes!$E:$E,$C1206,Movimentacoes!$B:$B,"ENTRADA")</f>
        <v/>
      </c>
      <c r="H1206" s="13">
        <f>SUMIFS(Movimentacoes!$G:$G,Movimentacoes!$C:$C,$A1206,Movimentacoes!$E:$E,$C1206,Movimentacoes!$B:$B,"SAIDA_USO")</f>
        <v/>
      </c>
      <c r="I1206" s="13">
        <f>SUMIFS(Movimentacoes!$G:$G,Movimentacoes!$C:$C,$A1206,Movimentacoes!$E:$E,$C1206,Movimentacoes!$B:$B,"SAIDA_DESCARTE")</f>
        <v/>
      </c>
      <c r="J1206" s="13">
        <f>G1206-H1206-I1206</f>
        <v/>
      </c>
      <c r="K1206">
        <f>IF(A1206="","",IF(J1206&lt;=IFERROR(VLOOKUP(A1206,Cadastro_Produtos!$A:$E,5,FALSE),0),"ABAIXO DO MINIMO","OK"))</f>
        <v/>
      </c>
    </row>
    <row r="1207">
      <c r="B1207">
        <f>IFERROR(VLOOKUP(A1207,Cadastro_Produtos!A:B,2,FALSE),"")</f>
        <v/>
      </c>
      <c r="D1207" s="12" t="n"/>
      <c r="E1207" s="13">
        <f>IF(D1207="","",D1207-TODAY())</f>
        <v/>
      </c>
      <c r="F1207">
        <f>IF(D1207="","",IF(E1207&lt;0,"VENCIDO",IF(E1207&lt;=30,"VENCE EM &lt;= 30 DIAS",IF(E1207&lt;=60,"ATENCAO (31-60 DIAS)","OK"))))</f>
        <v/>
      </c>
      <c r="G1207" s="13">
        <f>SUMIFS(Movimentacoes!$G:$G,Movimentacoes!$C:$C,$A1207,Movimentacoes!$E:$E,$C1207,Movimentacoes!$B:$B,"ENTRADA")</f>
        <v/>
      </c>
      <c r="H1207" s="13">
        <f>SUMIFS(Movimentacoes!$G:$G,Movimentacoes!$C:$C,$A1207,Movimentacoes!$E:$E,$C1207,Movimentacoes!$B:$B,"SAIDA_USO")</f>
        <v/>
      </c>
      <c r="I1207" s="13">
        <f>SUMIFS(Movimentacoes!$G:$G,Movimentacoes!$C:$C,$A1207,Movimentacoes!$E:$E,$C1207,Movimentacoes!$B:$B,"SAIDA_DESCARTE")</f>
        <v/>
      </c>
      <c r="J1207" s="13">
        <f>G1207-H1207-I1207</f>
        <v/>
      </c>
      <c r="K1207">
        <f>IF(A1207="","",IF(J1207&lt;=IFERROR(VLOOKUP(A1207,Cadastro_Produtos!$A:$E,5,FALSE),0),"ABAIXO DO MINIMO","OK"))</f>
        <v/>
      </c>
    </row>
    <row r="1208">
      <c r="B1208">
        <f>IFERROR(VLOOKUP(A1208,Cadastro_Produtos!A:B,2,FALSE),"")</f>
        <v/>
      </c>
      <c r="D1208" s="12" t="n"/>
      <c r="E1208" s="13">
        <f>IF(D1208="","",D1208-TODAY())</f>
        <v/>
      </c>
      <c r="F1208">
        <f>IF(D1208="","",IF(E1208&lt;0,"VENCIDO",IF(E1208&lt;=30,"VENCE EM &lt;= 30 DIAS",IF(E1208&lt;=60,"ATENCAO (31-60 DIAS)","OK"))))</f>
        <v/>
      </c>
      <c r="G1208" s="13">
        <f>SUMIFS(Movimentacoes!$G:$G,Movimentacoes!$C:$C,$A1208,Movimentacoes!$E:$E,$C1208,Movimentacoes!$B:$B,"ENTRADA")</f>
        <v/>
      </c>
      <c r="H1208" s="13">
        <f>SUMIFS(Movimentacoes!$G:$G,Movimentacoes!$C:$C,$A1208,Movimentacoes!$E:$E,$C1208,Movimentacoes!$B:$B,"SAIDA_USO")</f>
        <v/>
      </c>
      <c r="I1208" s="13">
        <f>SUMIFS(Movimentacoes!$G:$G,Movimentacoes!$C:$C,$A1208,Movimentacoes!$E:$E,$C1208,Movimentacoes!$B:$B,"SAIDA_DESCARTE")</f>
        <v/>
      </c>
      <c r="J1208" s="13">
        <f>G1208-H1208-I1208</f>
        <v/>
      </c>
      <c r="K1208">
        <f>IF(A1208="","",IF(J1208&lt;=IFERROR(VLOOKUP(A1208,Cadastro_Produtos!$A:$E,5,FALSE),0),"ABAIXO DO MINIMO","OK"))</f>
        <v/>
      </c>
    </row>
    <row r="1209">
      <c r="B1209">
        <f>IFERROR(VLOOKUP(A1209,Cadastro_Produtos!A:B,2,FALSE),"")</f>
        <v/>
      </c>
      <c r="D1209" s="12" t="n"/>
      <c r="E1209" s="13">
        <f>IF(D1209="","",D1209-TODAY())</f>
        <v/>
      </c>
      <c r="F1209">
        <f>IF(D1209="","",IF(E1209&lt;0,"VENCIDO",IF(E1209&lt;=30,"VENCE EM &lt;= 30 DIAS",IF(E1209&lt;=60,"ATENCAO (31-60 DIAS)","OK"))))</f>
        <v/>
      </c>
      <c r="G1209" s="13">
        <f>SUMIFS(Movimentacoes!$G:$G,Movimentacoes!$C:$C,$A1209,Movimentacoes!$E:$E,$C1209,Movimentacoes!$B:$B,"ENTRADA")</f>
        <v/>
      </c>
      <c r="H1209" s="13">
        <f>SUMIFS(Movimentacoes!$G:$G,Movimentacoes!$C:$C,$A1209,Movimentacoes!$E:$E,$C1209,Movimentacoes!$B:$B,"SAIDA_USO")</f>
        <v/>
      </c>
      <c r="I1209" s="13">
        <f>SUMIFS(Movimentacoes!$G:$G,Movimentacoes!$C:$C,$A1209,Movimentacoes!$E:$E,$C1209,Movimentacoes!$B:$B,"SAIDA_DESCARTE")</f>
        <v/>
      </c>
      <c r="J1209" s="13">
        <f>G1209-H1209-I1209</f>
        <v/>
      </c>
      <c r="K1209">
        <f>IF(A1209="","",IF(J1209&lt;=IFERROR(VLOOKUP(A1209,Cadastro_Produtos!$A:$E,5,FALSE),0),"ABAIXO DO MINIMO","OK"))</f>
        <v/>
      </c>
    </row>
    <row r="1210">
      <c r="B1210">
        <f>IFERROR(VLOOKUP(A1210,Cadastro_Produtos!A:B,2,FALSE),"")</f>
        <v/>
      </c>
      <c r="D1210" s="12" t="n"/>
      <c r="E1210" s="13">
        <f>IF(D1210="","",D1210-TODAY())</f>
        <v/>
      </c>
      <c r="F1210">
        <f>IF(D1210="","",IF(E1210&lt;0,"VENCIDO",IF(E1210&lt;=30,"VENCE EM &lt;= 30 DIAS",IF(E1210&lt;=60,"ATENCAO (31-60 DIAS)","OK"))))</f>
        <v/>
      </c>
      <c r="G1210" s="13">
        <f>SUMIFS(Movimentacoes!$G:$G,Movimentacoes!$C:$C,$A1210,Movimentacoes!$E:$E,$C1210,Movimentacoes!$B:$B,"ENTRADA")</f>
        <v/>
      </c>
      <c r="H1210" s="13">
        <f>SUMIFS(Movimentacoes!$G:$G,Movimentacoes!$C:$C,$A1210,Movimentacoes!$E:$E,$C1210,Movimentacoes!$B:$B,"SAIDA_USO")</f>
        <v/>
      </c>
      <c r="I1210" s="13">
        <f>SUMIFS(Movimentacoes!$G:$G,Movimentacoes!$C:$C,$A1210,Movimentacoes!$E:$E,$C1210,Movimentacoes!$B:$B,"SAIDA_DESCARTE")</f>
        <v/>
      </c>
      <c r="J1210" s="13">
        <f>G1210-H1210-I1210</f>
        <v/>
      </c>
      <c r="K1210">
        <f>IF(A1210="","",IF(J1210&lt;=IFERROR(VLOOKUP(A1210,Cadastro_Produtos!$A:$E,5,FALSE),0),"ABAIXO DO MINIMO","OK"))</f>
        <v/>
      </c>
    </row>
    <row r="1211">
      <c r="B1211">
        <f>IFERROR(VLOOKUP(A1211,Cadastro_Produtos!A:B,2,FALSE),"")</f>
        <v/>
      </c>
      <c r="D1211" s="12" t="n"/>
      <c r="E1211" s="13">
        <f>IF(D1211="","",D1211-TODAY())</f>
        <v/>
      </c>
      <c r="F1211">
        <f>IF(D1211="","",IF(E1211&lt;0,"VENCIDO",IF(E1211&lt;=30,"VENCE EM &lt;= 30 DIAS",IF(E1211&lt;=60,"ATENCAO (31-60 DIAS)","OK"))))</f>
        <v/>
      </c>
      <c r="G1211" s="13">
        <f>SUMIFS(Movimentacoes!$G:$G,Movimentacoes!$C:$C,$A1211,Movimentacoes!$E:$E,$C1211,Movimentacoes!$B:$B,"ENTRADA")</f>
        <v/>
      </c>
      <c r="H1211" s="13">
        <f>SUMIFS(Movimentacoes!$G:$G,Movimentacoes!$C:$C,$A1211,Movimentacoes!$E:$E,$C1211,Movimentacoes!$B:$B,"SAIDA_USO")</f>
        <v/>
      </c>
      <c r="I1211" s="13">
        <f>SUMIFS(Movimentacoes!$G:$G,Movimentacoes!$C:$C,$A1211,Movimentacoes!$E:$E,$C1211,Movimentacoes!$B:$B,"SAIDA_DESCARTE")</f>
        <v/>
      </c>
      <c r="J1211" s="13">
        <f>G1211-H1211-I1211</f>
        <v/>
      </c>
      <c r="K1211">
        <f>IF(A1211="","",IF(J1211&lt;=IFERROR(VLOOKUP(A1211,Cadastro_Produtos!$A:$E,5,FALSE),0),"ABAIXO DO MINIMO","OK"))</f>
        <v/>
      </c>
    </row>
    <row r="1212">
      <c r="B1212">
        <f>IFERROR(VLOOKUP(A1212,Cadastro_Produtos!A:B,2,FALSE),"")</f>
        <v/>
      </c>
      <c r="D1212" s="12" t="n"/>
      <c r="E1212" s="13">
        <f>IF(D1212="","",D1212-TODAY())</f>
        <v/>
      </c>
      <c r="F1212">
        <f>IF(D1212="","",IF(E1212&lt;0,"VENCIDO",IF(E1212&lt;=30,"VENCE EM &lt;= 30 DIAS",IF(E1212&lt;=60,"ATENCAO (31-60 DIAS)","OK"))))</f>
        <v/>
      </c>
      <c r="G1212" s="13">
        <f>SUMIFS(Movimentacoes!$G:$G,Movimentacoes!$C:$C,$A1212,Movimentacoes!$E:$E,$C1212,Movimentacoes!$B:$B,"ENTRADA")</f>
        <v/>
      </c>
      <c r="H1212" s="13">
        <f>SUMIFS(Movimentacoes!$G:$G,Movimentacoes!$C:$C,$A1212,Movimentacoes!$E:$E,$C1212,Movimentacoes!$B:$B,"SAIDA_USO")</f>
        <v/>
      </c>
      <c r="I1212" s="13">
        <f>SUMIFS(Movimentacoes!$G:$G,Movimentacoes!$C:$C,$A1212,Movimentacoes!$E:$E,$C1212,Movimentacoes!$B:$B,"SAIDA_DESCARTE")</f>
        <v/>
      </c>
      <c r="J1212" s="13">
        <f>G1212-H1212-I1212</f>
        <v/>
      </c>
      <c r="K1212">
        <f>IF(A1212="","",IF(J1212&lt;=IFERROR(VLOOKUP(A1212,Cadastro_Produtos!$A:$E,5,FALSE),0),"ABAIXO DO MINIMO","OK"))</f>
        <v/>
      </c>
    </row>
    <row r="1213">
      <c r="B1213">
        <f>IFERROR(VLOOKUP(A1213,Cadastro_Produtos!A:B,2,FALSE),"")</f>
        <v/>
      </c>
      <c r="D1213" s="12" t="n"/>
      <c r="E1213" s="13">
        <f>IF(D1213="","",D1213-TODAY())</f>
        <v/>
      </c>
      <c r="F1213">
        <f>IF(D1213="","",IF(E1213&lt;0,"VENCIDO",IF(E1213&lt;=30,"VENCE EM &lt;= 30 DIAS",IF(E1213&lt;=60,"ATENCAO (31-60 DIAS)","OK"))))</f>
        <v/>
      </c>
      <c r="G1213" s="13">
        <f>SUMIFS(Movimentacoes!$G:$G,Movimentacoes!$C:$C,$A1213,Movimentacoes!$E:$E,$C1213,Movimentacoes!$B:$B,"ENTRADA")</f>
        <v/>
      </c>
      <c r="H1213" s="13">
        <f>SUMIFS(Movimentacoes!$G:$G,Movimentacoes!$C:$C,$A1213,Movimentacoes!$E:$E,$C1213,Movimentacoes!$B:$B,"SAIDA_USO")</f>
        <v/>
      </c>
      <c r="I1213" s="13">
        <f>SUMIFS(Movimentacoes!$G:$G,Movimentacoes!$C:$C,$A1213,Movimentacoes!$E:$E,$C1213,Movimentacoes!$B:$B,"SAIDA_DESCARTE")</f>
        <v/>
      </c>
      <c r="J1213" s="13">
        <f>G1213-H1213-I1213</f>
        <v/>
      </c>
      <c r="K1213">
        <f>IF(A1213="","",IF(J1213&lt;=IFERROR(VLOOKUP(A1213,Cadastro_Produtos!$A:$E,5,FALSE),0),"ABAIXO DO MINIMO","OK"))</f>
        <v/>
      </c>
    </row>
    <row r="1214">
      <c r="B1214">
        <f>IFERROR(VLOOKUP(A1214,Cadastro_Produtos!A:B,2,FALSE),"")</f>
        <v/>
      </c>
      <c r="D1214" s="12" t="n"/>
      <c r="E1214" s="13">
        <f>IF(D1214="","",D1214-TODAY())</f>
        <v/>
      </c>
      <c r="F1214">
        <f>IF(D1214="","",IF(E1214&lt;0,"VENCIDO",IF(E1214&lt;=30,"VENCE EM &lt;= 30 DIAS",IF(E1214&lt;=60,"ATENCAO (31-60 DIAS)","OK"))))</f>
        <v/>
      </c>
      <c r="G1214" s="13">
        <f>SUMIFS(Movimentacoes!$G:$G,Movimentacoes!$C:$C,$A1214,Movimentacoes!$E:$E,$C1214,Movimentacoes!$B:$B,"ENTRADA")</f>
        <v/>
      </c>
      <c r="H1214" s="13">
        <f>SUMIFS(Movimentacoes!$G:$G,Movimentacoes!$C:$C,$A1214,Movimentacoes!$E:$E,$C1214,Movimentacoes!$B:$B,"SAIDA_USO")</f>
        <v/>
      </c>
      <c r="I1214" s="13">
        <f>SUMIFS(Movimentacoes!$G:$G,Movimentacoes!$C:$C,$A1214,Movimentacoes!$E:$E,$C1214,Movimentacoes!$B:$B,"SAIDA_DESCARTE")</f>
        <v/>
      </c>
      <c r="J1214" s="13">
        <f>G1214-H1214-I1214</f>
        <v/>
      </c>
      <c r="K1214">
        <f>IF(A1214="","",IF(J1214&lt;=IFERROR(VLOOKUP(A1214,Cadastro_Produtos!$A:$E,5,FALSE),0),"ABAIXO DO MINIMO","OK"))</f>
        <v/>
      </c>
    </row>
    <row r="1215">
      <c r="B1215">
        <f>IFERROR(VLOOKUP(A1215,Cadastro_Produtos!A:B,2,FALSE),"")</f>
        <v/>
      </c>
      <c r="D1215" s="12" t="n"/>
      <c r="E1215" s="13">
        <f>IF(D1215="","",D1215-TODAY())</f>
        <v/>
      </c>
      <c r="F1215">
        <f>IF(D1215="","",IF(E1215&lt;0,"VENCIDO",IF(E1215&lt;=30,"VENCE EM &lt;= 30 DIAS",IF(E1215&lt;=60,"ATENCAO (31-60 DIAS)","OK"))))</f>
        <v/>
      </c>
      <c r="G1215" s="13">
        <f>SUMIFS(Movimentacoes!$G:$G,Movimentacoes!$C:$C,$A1215,Movimentacoes!$E:$E,$C1215,Movimentacoes!$B:$B,"ENTRADA")</f>
        <v/>
      </c>
      <c r="H1215" s="13">
        <f>SUMIFS(Movimentacoes!$G:$G,Movimentacoes!$C:$C,$A1215,Movimentacoes!$E:$E,$C1215,Movimentacoes!$B:$B,"SAIDA_USO")</f>
        <v/>
      </c>
      <c r="I1215" s="13">
        <f>SUMIFS(Movimentacoes!$G:$G,Movimentacoes!$C:$C,$A1215,Movimentacoes!$E:$E,$C1215,Movimentacoes!$B:$B,"SAIDA_DESCARTE")</f>
        <v/>
      </c>
      <c r="J1215" s="13">
        <f>G1215-H1215-I1215</f>
        <v/>
      </c>
      <c r="K1215">
        <f>IF(A1215="","",IF(J1215&lt;=IFERROR(VLOOKUP(A1215,Cadastro_Produtos!$A:$E,5,FALSE),0),"ABAIXO DO MINIMO","OK"))</f>
        <v/>
      </c>
    </row>
    <row r="1216">
      <c r="B1216">
        <f>IFERROR(VLOOKUP(A1216,Cadastro_Produtos!A:B,2,FALSE),"")</f>
        <v/>
      </c>
      <c r="D1216" s="12" t="n"/>
      <c r="E1216" s="13">
        <f>IF(D1216="","",D1216-TODAY())</f>
        <v/>
      </c>
      <c r="F1216">
        <f>IF(D1216="","",IF(E1216&lt;0,"VENCIDO",IF(E1216&lt;=30,"VENCE EM &lt;= 30 DIAS",IF(E1216&lt;=60,"ATENCAO (31-60 DIAS)","OK"))))</f>
        <v/>
      </c>
      <c r="G1216" s="13">
        <f>SUMIFS(Movimentacoes!$G:$G,Movimentacoes!$C:$C,$A1216,Movimentacoes!$E:$E,$C1216,Movimentacoes!$B:$B,"ENTRADA")</f>
        <v/>
      </c>
      <c r="H1216" s="13">
        <f>SUMIFS(Movimentacoes!$G:$G,Movimentacoes!$C:$C,$A1216,Movimentacoes!$E:$E,$C1216,Movimentacoes!$B:$B,"SAIDA_USO")</f>
        <v/>
      </c>
      <c r="I1216" s="13">
        <f>SUMIFS(Movimentacoes!$G:$G,Movimentacoes!$C:$C,$A1216,Movimentacoes!$E:$E,$C1216,Movimentacoes!$B:$B,"SAIDA_DESCARTE")</f>
        <v/>
      </c>
      <c r="J1216" s="13">
        <f>G1216-H1216-I1216</f>
        <v/>
      </c>
      <c r="K1216">
        <f>IF(A1216="","",IF(J1216&lt;=IFERROR(VLOOKUP(A1216,Cadastro_Produtos!$A:$E,5,FALSE),0),"ABAIXO DO MINIMO","OK"))</f>
        <v/>
      </c>
    </row>
    <row r="1217">
      <c r="B1217">
        <f>IFERROR(VLOOKUP(A1217,Cadastro_Produtos!A:B,2,FALSE),"")</f>
        <v/>
      </c>
      <c r="D1217" s="12" t="n"/>
      <c r="E1217" s="13">
        <f>IF(D1217="","",D1217-TODAY())</f>
        <v/>
      </c>
      <c r="F1217">
        <f>IF(D1217="","",IF(E1217&lt;0,"VENCIDO",IF(E1217&lt;=30,"VENCE EM &lt;= 30 DIAS",IF(E1217&lt;=60,"ATENCAO (31-60 DIAS)","OK"))))</f>
        <v/>
      </c>
      <c r="G1217" s="13">
        <f>SUMIFS(Movimentacoes!$G:$G,Movimentacoes!$C:$C,$A1217,Movimentacoes!$E:$E,$C1217,Movimentacoes!$B:$B,"ENTRADA")</f>
        <v/>
      </c>
      <c r="H1217" s="13">
        <f>SUMIFS(Movimentacoes!$G:$G,Movimentacoes!$C:$C,$A1217,Movimentacoes!$E:$E,$C1217,Movimentacoes!$B:$B,"SAIDA_USO")</f>
        <v/>
      </c>
      <c r="I1217" s="13">
        <f>SUMIFS(Movimentacoes!$G:$G,Movimentacoes!$C:$C,$A1217,Movimentacoes!$E:$E,$C1217,Movimentacoes!$B:$B,"SAIDA_DESCARTE")</f>
        <v/>
      </c>
      <c r="J1217" s="13">
        <f>G1217-H1217-I1217</f>
        <v/>
      </c>
      <c r="K1217">
        <f>IF(A1217="","",IF(J1217&lt;=IFERROR(VLOOKUP(A1217,Cadastro_Produtos!$A:$E,5,FALSE),0),"ABAIXO DO MINIMO","OK"))</f>
        <v/>
      </c>
    </row>
    <row r="1218">
      <c r="B1218">
        <f>IFERROR(VLOOKUP(A1218,Cadastro_Produtos!A:B,2,FALSE),"")</f>
        <v/>
      </c>
      <c r="D1218" s="12" t="n"/>
      <c r="E1218" s="13">
        <f>IF(D1218="","",D1218-TODAY())</f>
        <v/>
      </c>
      <c r="F1218">
        <f>IF(D1218="","",IF(E1218&lt;0,"VENCIDO",IF(E1218&lt;=30,"VENCE EM &lt;= 30 DIAS",IF(E1218&lt;=60,"ATENCAO (31-60 DIAS)","OK"))))</f>
        <v/>
      </c>
      <c r="G1218" s="13">
        <f>SUMIFS(Movimentacoes!$G:$G,Movimentacoes!$C:$C,$A1218,Movimentacoes!$E:$E,$C1218,Movimentacoes!$B:$B,"ENTRADA")</f>
        <v/>
      </c>
      <c r="H1218" s="13">
        <f>SUMIFS(Movimentacoes!$G:$G,Movimentacoes!$C:$C,$A1218,Movimentacoes!$E:$E,$C1218,Movimentacoes!$B:$B,"SAIDA_USO")</f>
        <v/>
      </c>
      <c r="I1218" s="13">
        <f>SUMIFS(Movimentacoes!$G:$G,Movimentacoes!$C:$C,$A1218,Movimentacoes!$E:$E,$C1218,Movimentacoes!$B:$B,"SAIDA_DESCARTE")</f>
        <v/>
      </c>
      <c r="J1218" s="13">
        <f>G1218-H1218-I1218</f>
        <v/>
      </c>
      <c r="K1218">
        <f>IF(A1218="","",IF(J1218&lt;=IFERROR(VLOOKUP(A1218,Cadastro_Produtos!$A:$E,5,FALSE),0),"ABAIXO DO MINIMO","OK"))</f>
        <v/>
      </c>
    </row>
    <row r="1219">
      <c r="B1219">
        <f>IFERROR(VLOOKUP(A1219,Cadastro_Produtos!A:B,2,FALSE),"")</f>
        <v/>
      </c>
      <c r="D1219" s="12" t="n"/>
      <c r="E1219" s="13">
        <f>IF(D1219="","",D1219-TODAY())</f>
        <v/>
      </c>
      <c r="F1219">
        <f>IF(D1219="","",IF(E1219&lt;0,"VENCIDO",IF(E1219&lt;=30,"VENCE EM &lt;= 30 DIAS",IF(E1219&lt;=60,"ATENCAO (31-60 DIAS)","OK"))))</f>
        <v/>
      </c>
      <c r="G1219" s="13">
        <f>SUMIFS(Movimentacoes!$G:$G,Movimentacoes!$C:$C,$A1219,Movimentacoes!$E:$E,$C1219,Movimentacoes!$B:$B,"ENTRADA")</f>
        <v/>
      </c>
      <c r="H1219" s="13">
        <f>SUMIFS(Movimentacoes!$G:$G,Movimentacoes!$C:$C,$A1219,Movimentacoes!$E:$E,$C1219,Movimentacoes!$B:$B,"SAIDA_USO")</f>
        <v/>
      </c>
      <c r="I1219" s="13">
        <f>SUMIFS(Movimentacoes!$G:$G,Movimentacoes!$C:$C,$A1219,Movimentacoes!$E:$E,$C1219,Movimentacoes!$B:$B,"SAIDA_DESCARTE")</f>
        <v/>
      </c>
      <c r="J1219" s="13">
        <f>G1219-H1219-I1219</f>
        <v/>
      </c>
      <c r="K1219">
        <f>IF(A1219="","",IF(J1219&lt;=IFERROR(VLOOKUP(A1219,Cadastro_Produtos!$A:$E,5,FALSE),0),"ABAIXO DO MINIMO","OK"))</f>
        <v/>
      </c>
    </row>
    <row r="1220">
      <c r="B1220">
        <f>IFERROR(VLOOKUP(A1220,Cadastro_Produtos!A:B,2,FALSE),"")</f>
        <v/>
      </c>
      <c r="D1220" s="12" t="n"/>
      <c r="E1220" s="13">
        <f>IF(D1220="","",D1220-TODAY())</f>
        <v/>
      </c>
      <c r="F1220">
        <f>IF(D1220="","",IF(E1220&lt;0,"VENCIDO",IF(E1220&lt;=30,"VENCE EM &lt;= 30 DIAS",IF(E1220&lt;=60,"ATENCAO (31-60 DIAS)","OK"))))</f>
        <v/>
      </c>
      <c r="G1220" s="13">
        <f>SUMIFS(Movimentacoes!$G:$G,Movimentacoes!$C:$C,$A1220,Movimentacoes!$E:$E,$C1220,Movimentacoes!$B:$B,"ENTRADA")</f>
        <v/>
      </c>
      <c r="H1220" s="13">
        <f>SUMIFS(Movimentacoes!$G:$G,Movimentacoes!$C:$C,$A1220,Movimentacoes!$E:$E,$C1220,Movimentacoes!$B:$B,"SAIDA_USO")</f>
        <v/>
      </c>
      <c r="I1220" s="13">
        <f>SUMIFS(Movimentacoes!$G:$G,Movimentacoes!$C:$C,$A1220,Movimentacoes!$E:$E,$C1220,Movimentacoes!$B:$B,"SAIDA_DESCARTE")</f>
        <v/>
      </c>
      <c r="J1220" s="13">
        <f>G1220-H1220-I1220</f>
        <v/>
      </c>
      <c r="K1220">
        <f>IF(A1220="","",IF(J1220&lt;=IFERROR(VLOOKUP(A1220,Cadastro_Produtos!$A:$E,5,FALSE),0),"ABAIXO DO MINIMO","OK"))</f>
        <v/>
      </c>
    </row>
    <row r="1221">
      <c r="B1221">
        <f>IFERROR(VLOOKUP(A1221,Cadastro_Produtos!A:B,2,FALSE),"")</f>
        <v/>
      </c>
      <c r="D1221" s="12" t="n"/>
      <c r="E1221" s="13">
        <f>IF(D1221="","",D1221-TODAY())</f>
        <v/>
      </c>
      <c r="F1221">
        <f>IF(D1221="","",IF(E1221&lt;0,"VENCIDO",IF(E1221&lt;=30,"VENCE EM &lt;= 30 DIAS",IF(E1221&lt;=60,"ATENCAO (31-60 DIAS)","OK"))))</f>
        <v/>
      </c>
      <c r="G1221" s="13">
        <f>SUMIFS(Movimentacoes!$G:$G,Movimentacoes!$C:$C,$A1221,Movimentacoes!$E:$E,$C1221,Movimentacoes!$B:$B,"ENTRADA")</f>
        <v/>
      </c>
      <c r="H1221" s="13">
        <f>SUMIFS(Movimentacoes!$G:$G,Movimentacoes!$C:$C,$A1221,Movimentacoes!$E:$E,$C1221,Movimentacoes!$B:$B,"SAIDA_USO")</f>
        <v/>
      </c>
      <c r="I1221" s="13">
        <f>SUMIFS(Movimentacoes!$G:$G,Movimentacoes!$C:$C,$A1221,Movimentacoes!$E:$E,$C1221,Movimentacoes!$B:$B,"SAIDA_DESCARTE")</f>
        <v/>
      </c>
      <c r="J1221" s="13">
        <f>G1221-H1221-I1221</f>
        <v/>
      </c>
      <c r="K1221">
        <f>IF(A1221="","",IF(J1221&lt;=IFERROR(VLOOKUP(A1221,Cadastro_Produtos!$A:$E,5,FALSE),0),"ABAIXO DO MINIMO","OK"))</f>
        <v/>
      </c>
    </row>
    <row r="1222">
      <c r="B1222">
        <f>IFERROR(VLOOKUP(A1222,Cadastro_Produtos!A:B,2,FALSE),"")</f>
        <v/>
      </c>
      <c r="D1222" s="12" t="n"/>
      <c r="E1222" s="13">
        <f>IF(D1222="","",D1222-TODAY())</f>
        <v/>
      </c>
      <c r="F1222">
        <f>IF(D1222="","",IF(E1222&lt;0,"VENCIDO",IF(E1222&lt;=30,"VENCE EM &lt;= 30 DIAS",IF(E1222&lt;=60,"ATENCAO (31-60 DIAS)","OK"))))</f>
        <v/>
      </c>
      <c r="G1222" s="13">
        <f>SUMIFS(Movimentacoes!$G:$G,Movimentacoes!$C:$C,$A1222,Movimentacoes!$E:$E,$C1222,Movimentacoes!$B:$B,"ENTRADA")</f>
        <v/>
      </c>
      <c r="H1222" s="13">
        <f>SUMIFS(Movimentacoes!$G:$G,Movimentacoes!$C:$C,$A1222,Movimentacoes!$E:$E,$C1222,Movimentacoes!$B:$B,"SAIDA_USO")</f>
        <v/>
      </c>
      <c r="I1222" s="13">
        <f>SUMIFS(Movimentacoes!$G:$G,Movimentacoes!$C:$C,$A1222,Movimentacoes!$E:$E,$C1222,Movimentacoes!$B:$B,"SAIDA_DESCARTE")</f>
        <v/>
      </c>
      <c r="J1222" s="13">
        <f>G1222-H1222-I1222</f>
        <v/>
      </c>
      <c r="K1222">
        <f>IF(A1222="","",IF(J1222&lt;=IFERROR(VLOOKUP(A1222,Cadastro_Produtos!$A:$E,5,FALSE),0),"ABAIXO DO MINIMO","OK"))</f>
        <v/>
      </c>
    </row>
    <row r="1223">
      <c r="B1223">
        <f>IFERROR(VLOOKUP(A1223,Cadastro_Produtos!A:B,2,FALSE),"")</f>
        <v/>
      </c>
      <c r="D1223" s="12" t="n"/>
      <c r="E1223" s="13">
        <f>IF(D1223="","",D1223-TODAY())</f>
        <v/>
      </c>
      <c r="F1223">
        <f>IF(D1223="","",IF(E1223&lt;0,"VENCIDO",IF(E1223&lt;=30,"VENCE EM &lt;= 30 DIAS",IF(E1223&lt;=60,"ATENCAO (31-60 DIAS)","OK"))))</f>
        <v/>
      </c>
      <c r="G1223" s="13">
        <f>SUMIFS(Movimentacoes!$G:$G,Movimentacoes!$C:$C,$A1223,Movimentacoes!$E:$E,$C1223,Movimentacoes!$B:$B,"ENTRADA")</f>
        <v/>
      </c>
      <c r="H1223" s="13">
        <f>SUMIFS(Movimentacoes!$G:$G,Movimentacoes!$C:$C,$A1223,Movimentacoes!$E:$E,$C1223,Movimentacoes!$B:$B,"SAIDA_USO")</f>
        <v/>
      </c>
      <c r="I1223" s="13">
        <f>SUMIFS(Movimentacoes!$G:$G,Movimentacoes!$C:$C,$A1223,Movimentacoes!$E:$E,$C1223,Movimentacoes!$B:$B,"SAIDA_DESCARTE")</f>
        <v/>
      </c>
      <c r="J1223" s="13">
        <f>G1223-H1223-I1223</f>
        <v/>
      </c>
      <c r="K1223">
        <f>IF(A1223="","",IF(J1223&lt;=IFERROR(VLOOKUP(A1223,Cadastro_Produtos!$A:$E,5,FALSE),0),"ABAIXO DO MINIMO","OK"))</f>
        <v/>
      </c>
    </row>
    <row r="1224">
      <c r="B1224">
        <f>IFERROR(VLOOKUP(A1224,Cadastro_Produtos!A:B,2,FALSE),"")</f>
        <v/>
      </c>
      <c r="D1224" s="12" t="n"/>
      <c r="E1224" s="13">
        <f>IF(D1224="","",D1224-TODAY())</f>
        <v/>
      </c>
      <c r="F1224">
        <f>IF(D1224="","",IF(E1224&lt;0,"VENCIDO",IF(E1224&lt;=30,"VENCE EM &lt;= 30 DIAS",IF(E1224&lt;=60,"ATENCAO (31-60 DIAS)","OK"))))</f>
        <v/>
      </c>
      <c r="G1224" s="13">
        <f>SUMIFS(Movimentacoes!$G:$G,Movimentacoes!$C:$C,$A1224,Movimentacoes!$E:$E,$C1224,Movimentacoes!$B:$B,"ENTRADA")</f>
        <v/>
      </c>
      <c r="H1224" s="13">
        <f>SUMIFS(Movimentacoes!$G:$G,Movimentacoes!$C:$C,$A1224,Movimentacoes!$E:$E,$C1224,Movimentacoes!$B:$B,"SAIDA_USO")</f>
        <v/>
      </c>
      <c r="I1224" s="13">
        <f>SUMIFS(Movimentacoes!$G:$G,Movimentacoes!$C:$C,$A1224,Movimentacoes!$E:$E,$C1224,Movimentacoes!$B:$B,"SAIDA_DESCARTE")</f>
        <v/>
      </c>
      <c r="J1224" s="13">
        <f>G1224-H1224-I1224</f>
        <v/>
      </c>
      <c r="K1224">
        <f>IF(A1224="","",IF(J1224&lt;=IFERROR(VLOOKUP(A1224,Cadastro_Produtos!$A:$E,5,FALSE),0),"ABAIXO DO MINIMO","OK"))</f>
        <v/>
      </c>
    </row>
    <row r="1225">
      <c r="B1225">
        <f>IFERROR(VLOOKUP(A1225,Cadastro_Produtos!A:B,2,FALSE),"")</f>
        <v/>
      </c>
      <c r="D1225" s="12" t="n"/>
      <c r="E1225" s="13">
        <f>IF(D1225="","",D1225-TODAY())</f>
        <v/>
      </c>
      <c r="F1225">
        <f>IF(D1225="","",IF(E1225&lt;0,"VENCIDO",IF(E1225&lt;=30,"VENCE EM &lt;= 30 DIAS",IF(E1225&lt;=60,"ATENCAO (31-60 DIAS)","OK"))))</f>
        <v/>
      </c>
      <c r="G1225" s="13">
        <f>SUMIFS(Movimentacoes!$G:$G,Movimentacoes!$C:$C,$A1225,Movimentacoes!$E:$E,$C1225,Movimentacoes!$B:$B,"ENTRADA")</f>
        <v/>
      </c>
      <c r="H1225" s="13">
        <f>SUMIFS(Movimentacoes!$G:$G,Movimentacoes!$C:$C,$A1225,Movimentacoes!$E:$E,$C1225,Movimentacoes!$B:$B,"SAIDA_USO")</f>
        <v/>
      </c>
      <c r="I1225" s="13">
        <f>SUMIFS(Movimentacoes!$G:$G,Movimentacoes!$C:$C,$A1225,Movimentacoes!$E:$E,$C1225,Movimentacoes!$B:$B,"SAIDA_DESCARTE")</f>
        <v/>
      </c>
      <c r="J1225" s="13">
        <f>G1225-H1225-I1225</f>
        <v/>
      </c>
      <c r="K1225">
        <f>IF(A1225="","",IF(J1225&lt;=IFERROR(VLOOKUP(A1225,Cadastro_Produtos!$A:$E,5,FALSE),0),"ABAIXO DO MINIMO","OK"))</f>
        <v/>
      </c>
    </row>
    <row r="1226">
      <c r="B1226">
        <f>IFERROR(VLOOKUP(A1226,Cadastro_Produtos!A:B,2,FALSE),"")</f>
        <v/>
      </c>
      <c r="D1226" s="12" t="n"/>
      <c r="E1226" s="13">
        <f>IF(D1226="","",D1226-TODAY())</f>
        <v/>
      </c>
      <c r="F1226">
        <f>IF(D1226="","",IF(E1226&lt;0,"VENCIDO",IF(E1226&lt;=30,"VENCE EM &lt;= 30 DIAS",IF(E1226&lt;=60,"ATENCAO (31-60 DIAS)","OK"))))</f>
        <v/>
      </c>
      <c r="G1226" s="13">
        <f>SUMIFS(Movimentacoes!$G:$G,Movimentacoes!$C:$C,$A1226,Movimentacoes!$E:$E,$C1226,Movimentacoes!$B:$B,"ENTRADA")</f>
        <v/>
      </c>
      <c r="H1226" s="13">
        <f>SUMIFS(Movimentacoes!$G:$G,Movimentacoes!$C:$C,$A1226,Movimentacoes!$E:$E,$C1226,Movimentacoes!$B:$B,"SAIDA_USO")</f>
        <v/>
      </c>
      <c r="I1226" s="13">
        <f>SUMIFS(Movimentacoes!$G:$G,Movimentacoes!$C:$C,$A1226,Movimentacoes!$E:$E,$C1226,Movimentacoes!$B:$B,"SAIDA_DESCARTE")</f>
        <v/>
      </c>
      <c r="J1226" s="13">
        <f>G1226-H1226-I1226</f>
        <v/>
      </c>
      <c r="K1226">
        <f>IF(A1226="","",IF(J1226&lt;=IFERROR(VLOOKUP(A1226,Cadastro_Produtos!$A:$E,5,FALSE),0),"ABAIXO DO MINIMO","OK"))</f>
        <v/>
      </c>
    </row>
    <row r="1227">
      <c r="B1227">
        <f>IFERROR(VLOOKUP(A1227,Cadastro_Produtos!A:B,2,FALSE),"")</f>
        <v/>
      </c>
      <c r="D1227" s="12" t="n"/>
      <c r="E1227" s="13">
        <f>IF(D1227="","",D1227-TODAY())</f>
        <v/>
      </c>
      <c r="F1227">
        <f>IF(D1227="","",IF(E1227&lt;0,"VENCIDO",IF(E1227&lt;=30,"VENCE EM &lt;= 30 DIAS",IF(E1227&lt;=60,"ATENCAO (31-60 DIAS)","OK"))))</f>
        <v/>
      </c>
      <c r="G1227" s="13">
        <f>SUMIFS(Movimentacoes!$G:$G,Movimentacoes!$C:$C,$A1227,Movimentacoes!$E:$E,$C1227,Movimentacoes!$B:$B,"ENTRADA")</f>
        <v/>
      </c>
      <c r="H1227" s="13">
        <f>SUMIFS(Movimentacoes!$G:$G,Movimentacoes!$C:$C,$A1227,Movimentacoes!$E:$E,$C1227,Movimentacoes!$B:$B,"SAIDA_USO")</f>
        <v/>
      </c>
      <c r="I1227" s="13">
        <f>SUMIFS(Movimentacoes!$G:$G,Movimentacoes!$C:$C,$A1227,Movimentacoes!$E:$E,$C1227,Movimentacoes!$B:$B,"SAIDA_DESCARTE")</f>
        <v/>
      </c>
      <c r="J1227" s="13">
        <f>G1227-H1227-I1227</f>
        <v/>
      </c>
      <c r="K1227">
        <f>IF(A1227="","",IF(J1227&lt;=IFERROR(VLOOKUP(A1227,Cadastro_Produtos!$A:$E,5,FALSE),0),"ABAIXO DO MINIMO","OK"))</f>
        <v/>
      </c>
    </row>
    <row r="1228">
      <c r="B1228">
        <f>IFERROR(VLOOKUP(A1228,Cadastro_Produtos!A:B,2,FALSE),"")</f>
        <v/>
      </c>
      <c r="D1228" s="12" t="n"/>
      <c r="E1228" s="13">
        <f>IF(D1228="","",D1228-TODAY())</f>
        <v/>
      </c>
      <c r="F1228">
        <f>IF(D1228="","",IF(E1228&lt;0,"VENCIDO",IF(E1228&lt;=30,"VENCE EM &lt;= 30 DIAS",IF(E1228&lt;=60,"ATENCAO (31-60 DIAS)","OK"))))</f>
        <v/>
      </c>
      <c r="G1228" s="13">
        <f>SUMIFS(Movimentacoes!$G:$G,Movimentacoes!$C:$C,$A1228,Movimentacoes!$E:$E,$C1228,Movimentacoes!$B:$B,"ENTRADA")</f>
        <v/>
      </c>
      <c r="H1228" s="13">
        <f>SUMIFS(Movimentacoes!$G:$G,Movimentacoes!$C:$C,$A1228,Movimentacoes!$E:$E,$C1228,Movimentacoes!$B:$B,"SAIDA_USO")</f>
        <v/>
      </c>
      <c r="I1228" s="13">
        <f>SUMIFS(Movimentacoes!$G:$G,Movimentacoes!$C:$C,$A1228,Movimentacoes!$E:$E,$C1228,Movimentacoes!$B:$B,"SAIDA_DESCARTE")</f>
        <v/>
      </c>
      <c r="J1228" s="13">
        <f>G1228-H1228-I1228</f>
        <v/>
      </c>
      <c r="K1228">
        <f>IF(A1228="","",IF(J1228&lt;=IFERROR(VLOOKUP(A1228,Cadastro_Produtos!$A:$E,5,FALSE),0),"ABAIXO DO MINIMO","OK"))</f>
        <v/>
      </c>
    </row>
    <row r="1229">
      <c r="B1229">
        <f>IFERROR(VLOOKUP(A1229,Cadastro_Produtos!A:B,2,FALSE),"")</f>
        <v/>
      </c>
      <c r="D1229" s="12" t="n"/>
      <c r="E1229" s="13">
        <f>IF(D1229="","",D1229-TODAY())</f>
        <v/>
      </c>
      <c r="F1229">
        <f>IF(D1229="","",IF(E1229&lt;0,"VENCIDO",IF(E1229&lt;=30,"VENCE EM &lt;= 30 DIAS",IF(E1229&lt;=60,"ATENCAO (31-60 DIAS)","OK"))))</f>
        <v/>
      </c>
      <c r="G1229" s="13">
        <f>SUMIFS(Movimentacoes!$G:$G,Movimentacoes!$C:$C,$A1229,Movimentacoes!$E:$E,$C1229,Movimentacoes!$B:$B,"ENTRADA")</f>
        <v/>
      </c>
      <c r="H1229" s="13">
        <f>SUMIFS(Movimentacoes!$G:$G,Movimentacoes!$C:$C,$A1229,Movimentacoes!$E:$E,$C1229,Movimentacoes!$B:$B,"SAIDA_USO")</f>
        <v/>
      </c>
      <c r="I1229" s="13">
        <f>SUMIFS(Movimentacoes!$G:$G,Movimentacoes!$C:$C,$A1229,Movimentacoes!$E:$E,$C1229,Movimentacoes!$B:$B,"SAIDA_DESCARTE")</f>
        <v/>
      </c>
      <c r="J1229" s="13">
        <f>G1229-H1229-I1229</f>
        <v/>
      </c>
      <c r="K1229">
        <f>IF(A1229="","",IF(J1229&lt;=IFERROR(VLOOKUP(A1229,Cadastro_Produtos!$A:$E,5,FALSE),0),"ABAIXO DO MINIMO","OK"))</f>
        <v/>
      </c>
    </row>
    <row r="1230">
      <c r="B1230">
        <f>IFERROR(VLOOKUP(A1230,Cadastro_Produtos!A:B,2,FALSE),"")</f>
        <v/>
      </c>
      <c r="D1230" s="12" t="n"/>
      <c r="E1230" s="13">
        <f>IF(D1230="","",D1230-TODAY())</f>
        <v/>
      </c>
      <c r="F1230">
        <f>IF(D1230="","",IF(E1230&lt;0,"VENCIDO",IF(E1230&lt;=30,"VENCE EM &lt;= 30 DIAS",IF(E1230&lt;=60,"ATENCAO (31-60 DIAS)","OK"))))</f>
        <v/>
      </c>
      <c r="G1230" s="13">
        <f>SUMIFS(Movimentacoes!$G:$G,Movimentacoes!$C:$C,$A1230,Movimentacoes!$E:$E,$C1230,Movimentacoes!$B:$B,"ENTRADA")</f>
        <v/>
      </c>
      <c r="H1230" s="13">
        <f>SUMIFS(Movimentacoes!$G:$G,Movimentacoes!$C:$C,$A1230,Movimentacoes!$E:$E,$C1230,Movimentacoes!$B:$B,"SAIDA_USO")</f>
        <v/>
      </c>
      <c r="I1230" s="13">
        <f>SUMIFS(Movimentacoes!$G:$G,Movimentacoes!$C:$C,$A1230,Movimentacoes!$E:$E,$C1230,Movimentacoes!$B:$B,"SAIDA_DESCARTE")</f>
        <v/>
      </c>
      <c r="J1230" s="13">
        <f>G1230-H1230-I1230</f>
        <v/>
      </c>
      <c r="K1230">
        <f>IF(A1230="","",IF(J1230&lt;=IFERROR(VLOOKUP(A1230,Cadastro_Produtos!$A:$E,5,FALSE),0),"ABAIXO DO MINIMO","OK"))</f>
        <v/>
      </c>
    </row>
    <row r="1231">
      <c r="B1231">
        <f>IFERROR(VLOOKUP(A1231,Cadastro_Produtos!A:B,2,FALSE),"")</f>
        <v/>
      </c>
      <c r="D1231" s="12" t="n"/>
      <c r="E1231" s="13">
        <f>IF(D1231="","",D1231-TODAY())</f>
        <v/>
      </c>
      <c r="F1231">
        <f>IF(D1231="","",IF(E1231&lt;0,"VENCIDO",IF(E1231&lt;=30,"VENCE EM &lt;= 30 DIAS",IF(E1231&lt;=60,"ATENCAO (31-60 DIAS)","OK"))))</f>
        <v/>
      </c>
      <c r="G1231" s="13">
        <f>SUMIFS(Movimentacoes!$G:$G,Movimentacoes!$C:$C,$A1231,Movimentacoes!$E:$E,$C1231,Movimentacoes!$B:$B,"ENTRADA")</f>
        <v/>
      </c>
      <c r="H1231" s="13">
        <f>SUMIFS(Movimentacoes!$G:$G,Movimentacoes!$C:$C,$A1231,Movimentacoes!$E:$E,$C1231,Movimentacoes!$B:$B,"SAIDA_USO")</f>
        <v/>
      </c>
      <c r="I1231" s="13">
        <f>SUMIFS(Movimentacoes!$G:$G,Movimentacoes!$C:$C,$A1231,Movimentacoes!$E:$E,$C1231,Movimentacoes!$B:$B,"SAIDA_DESCARTE")</f>
        <v/>
      </c>
      <c r="J1231" s="13">
        <f>G1231-H1231-I1231</f>
        <v/>
      </c>
      <c r="K1231">
        <f>IF(A1231="","",IF(J1231&lt;=IFERROR(VLOOKUP(A1231,Cadastro_Produtos!$A:$E,5,FALSE),0),"ABAIXO DO MINIMO","OK"))</f>
        <v/>
      </c>
    </row>
    <row r="1232">
      <c r="B1232">
        <f>IFERROR(VLOOKUP(A1232,Cadastro_Produtos!A:B,2,FALSE),"")</f>
        <v/>
      </c>
      <c r="D1232" s="12" t="n"/>
      <c r="E1232" s="13">
        <f>IF(D1232="","",D1232-TODAY())</f>
        <v/>
      </c>
      <c r="F1232">
        <f>IF(D1232="","",IF(E1232&lt;0,"VENCIDO",IF(E1232&lt;=30,"VENCE EM &lt;= 30 DIAS",IF(E1232&lt;=60,"ATENCAO (31-60 DIAS)","OK"))))</f>
        <v/>
      </c>
      <c r="G1232" s="13">
        <f>SUMIFS(Movimentacoes!$G:$G,Movimentacoes!$C:$C,$A1232,Movimentacoes!$E:$E,$C1232,Movimentacoes!$B:$B,"ENTRADA")</f>
        <v/>
      </c>
      <c r="H1232" s="13">
        <f>SUMIFS(Movimentacoes!$G:$G,Movimentacoes!$C:$C,$A1232,Movimentacoes!$E:$E,$C1232,Movimentacoes!$B:$B,"SAIDA_USO")</f>
        <v/>
      </c>
      <c r="I1232" s="13">
        <f>SUMIFS(Movimentacoes!$G:$G,Movimentacoes!$C:$C,$A1232,Movimentacoes!$E:$E,$C1232,Movimentacoes!$B:$B,"SAIDA_DESCARTE")</f>
        <v/>
      </c>
      <c r="J1232" s="13">
        <f>G1232-H1232-I1232</f>
        <v/>
      </c>
      <c r="K1232">
        <f>IF(A1232="","",IF(J1232&lt;=IFERROR(VLOOKUP(A1232,Cadastro_Produtos!$A:$E,5,FALSE),0),"ABAIXO DO MINIMO","OK"))</f>
        <v/>
      </c>
    </row>
    <row r="1233">
      <c r="B1233">
        <f>IFERROR(VLOOKUP(A1233,Cadastro_Produtos!A:B,2,FALSE),"")</f>
        <v/>
      </c>
      <c r="D1233" s="12" t="n"/>
      <c r="E1233" s="13">
        <f>IF(D1233="","",D1233-TODAY())</f>
        <v/>
      </c>
      <c r="F1233">
        <f>IF(D1233="","",IF(E1233&lt;0,"VENCIDO",IF(E1233&lt;=30,"VENCE EM &lt;= 30 DIAS",IF(E1233&lt;=60,"ATENCAO (31-60 DIAS)","OK"))))</f>
        <v/>
      </c>
      <c r="G1233" s="13">
        <f>SUMIFS(Movimentacoes!$G:$G,Movimentacoes!$C:$C,$A1233,Movimentacoes!$E:$E,$C1233,Movimentacoes!$B:$B,"ENTRADA")</f>
        <v/>
      </c>
      <c r="H1233" s="13">
        <f>SUMIFS(Movimentacoes!$G:$G,Movimentacoes!$C:$C,$A1233,Movimentacoes!$E:$E,$C1233,Movimentacoes!$B:$B,"SAIDA_USO")</f>
        <v/>
      </c>
      <c r="I1233" s="13">
        <f>SUMIFS(Movimentacoes!$G:$G,Movimentacoes!$C:$C,$A1233,Movimentacoes!$E:$E,$C1233,Movimentacoes!$B:$B,"SAIDA_DESCARTE")</f>
        <v/>
      </c>
      <c r="J1233" s="13">
        <f>G1233-H1233-I1233</f>
        <v/>
      </c>
      <c r="K1233">
        <f>IF(A1233="","",IF(J1233&lt;=IFERROR(VLOOKUP(A1233,Cadastro_Produtos!$A:$E,5,FALSE),0),"ABAIXO DO MINIMO","OK"))</f>
        <v/>
      </c>
    </row>
    <row r="1234">
      <c r="B1234">
        <f>IFERROR(VLOOKUP(A1234,Cadastro_Produtos!A:B,2,FALSE),"")</f>
        <v/>
      </c>
      <c r="D1234" s="12" t="n"/>
      <c r="E1234" s="13">
        <f>IF(D1234="","",D1234-TODAY())</f>
        <v/>
      </c>
      <c r="F1234">
        <f>IF(D1234="","",IF(E1234&lt;0,"VENCIDO",IF(E1234&lt;=30,"VENCE EM &lt;= 30 DIAS",IF(E1234&lt;=60,"ATENCAO (31-60 DIAS)","OK"))))</f>
        <v/>
      </c>
      <c r="G1234" s="13">
        <f>SUMIFS(Movimentacoes!$G:$G,Movimentacoes!$C:$C,$A1234,Movimentacoes!$E:$E,$C1234,Movimentacoes!$B:$B,"ENTRADA")</f>
        <v/>
      </c>
      <c r="H1234" s="13">
        <f>SUMIFS(Movimentacoes!$G:$G,Movimentacoes!$C:$C,$A1234,Movimentacoes!$E:$E,$C1234,Movimentacoes!$B:$B,"SAIDA_USO")</f>
        <v/>
      </c>
      <c r="I1234" s="13">
        <f>SUMIFS(Movimentacoes!$G:$G,Movimentacoes!$C:$C,$A1234,Movimentacoes!$E:$E,$C1234,Movimentacoes!$B:$B,"SAIDA_DESCARTE")</f>
        <v/>
      </c>
      <c r="J1234" s="13">
        <f>G1234-H1234-I1234</f>
        <v/>
      </c>
      <c r="K1234">
        <f>IF(A1234="","",IF(J1234&lt;=IFERROR(VLOOKUP(A1234,Cadastro_Produtos!$A:$E,5,FALSE),0),"ABAIXO DO MINIMO","OK"))</f>
        <v/>
      </c>
    </row>
    <row r="1235">
      <c r="B1235">
        <f>IFERROR(VLOOKUP(A1235,Cadastro_Produtos!A:B,2,FALSE),"")</f>
        <v/>
      </c>
      <c r="D1235" s="12" t="n"/>
      <c r="E1235" s="13">
        <f>IF(D1235="","",D1235-TODAY())</f>
        <v/>
      </c>
      <c r="F1235">
        <f>IF(D1235="","",IF(E1235&lt;0,"VENCIDO",IF(E1235&lt;=30,"VENCE EM &lt;= 30 DIAS",IF(E1235&lt;=60,"ATENCAO (31-60 DIAS)","OK"))))</f>
        <v/>
      </c>
      <c r="G1235" s="13">
        <f>SUMIFS(Movimentacoes!$G:$G,Movimentacoes!$C:$C,$A1235,Movimentacoes!$E:$E,$C1235,Movimentacoes!$B:$B,"ENTRADA")</f>
        <v/>
      </c>
      <c r="H1235" s="13">
        <f>SUMIFS(Movimentacoes!$G:$G,Movimentacoes!$C:$C,$A1235,Movimentacoes!$E:$E,$C1235,Movimentacoes!$B:$B,"SAIDA_USO")</f>
        <v/>
      </c>
      <c r="I1235" s="13">
        <f>SUMIFS(Movimentacoes!$G:$G,Movimentacoes!$C:$C,$A1235,Movimentacoes!$E:$E,$C1235,Movimentacoes!$B:$B,"SAIDA_DESCARTE")</f>
        <v/>
      </c>
      <c r="J1235" s="13">
        <f>G1235-H1235-I1235</f>
        <v/>
      </c>
      <c r="K1235">
        <f>IF(A1235="","",IF(J1235&lt;=IFERROR(VLOOKUP(A1235,Cadastro_Produtos!$A:$E,5,FALSE),0),"ABAIXO DO MINIMO","OK"))</f>
        <v/>
      </c>
    </row>
    <row r="1236">
      <c r="B1236">
        <f>IFERROR(VLOOKUP(A1236,Cadastro_Produtos!A:B,2,FALSE),"")</f>
        <v/>
      </c>
      <c r="D1236" s="12" t="n"/>
      <c r="E1236" s="13">
        <f>IF(D1236="","",D1236-TODAY())</f>
        <v/>
      </c>
      <c r="F1236">
        <f>IF(D1236="","",IF(E1236&lt;0,"VENCIDO",IF(E1236&lt;=30,"VENCE EM &lt;= 30 DIAS",IF(E1236&lt;=60,"ATENCAO (31-60 DIAS)","OK"))))</f>
        <v/>
      </c>
      <c r="G1236" s="13">
        <f>SUMIFS(Movimentacoes!$G:$G,Movimentacoes!$C:$C,$A1236,Movimentacoes!$E:$E,$C1236,Movimentacoes!$B:$B,"ENTRADA")</f>
        <v/>
      </c>
      <c r="H1236" s="13">
        <f>SUMIFS(Movimentacoes!$G:$G,Movimentacoes!$C:$C,$A1236,Movimentacoes!$E:$E,$C1236,Movimentacoes!$B:$B,"SAIDA_USO")</f>
        <v/>
      </c>
      <c r="I1236" s="13">
        <f>SUMIFS(Movimentacoes!$G:$G,Movimentacoes!$C:$C,$A1236,Movimentacoes!$E:$E,$C1236,Movimentacoes!$B:$B,"SAIDA_DESCARTE")</f>
        <v/>
      </c>
      <c r="J1236" s="13">
        <f>G1236-H1236-I1236</f>
        <v/>
      </c>
      <c r="K1236">
        <f>IF(A1236="","",IF(J1236&lt;=IFERROR(VLOOKUP(A1236,Cadastro_Produtos!$A:$E,5,FALSE),0),"ABAIXO DO MINIMO","OK"))</f>
        <v/>
      </c>
    </row>
    <row r="1237">
      <c r="B1237">
        <f>IFERROR(VLOOKUP(A1237,Cadastro_Produtos!A:B,2,FALSE),"")</f>
        <v/>
      </c>
      <c r="D1237" s="12" t="n"/>
      <c r="E1237" s="13">
        <f>IF(D1237="","",D1237-TODAY())</f>
        <v/>
      </c>
      <c r="F1237">
        <f>IF(D1237="","",IF(E1237&lt;0,"VENCIDO",IF(E1237&lt;=30,"VENCE EM &lt;= 30 DIAS",IF(E1237&lt;=60,"ATENCAO (31-60 DIAS)","OK"))))</f>
        <v/>
      </c>
      <c r="G1237" s="13">
        <f>SUMIFS(Movimentacoes!$G:$G,Movimentacoes!$C:$C,$A1237,Movimentacoes!$E:$E,$C1237,Movimentacoes!$B:$B,"ENTRADA")</f>
        <v/>
      </c>
      <c r="H1237" s="13">
        <f>SUMIFS(Movimentacoes!$G:$G,Movimentacoes!$C:$C,$A1237,Movimentacoes!$E:$E,$C1237,Movimentacoes!$B:$B,"SAIDA_USO")</f>
        <v/>
      </c>
      <c r="I1237" s="13">
        <f>SUMIFS(Movimentacoes!$G:$G,Movimentacoes!$C:$C,$A1237,Movimentacoes!$E:$E,$C1237,Movimentacoes!$B:$B,"SAIDA_DESCARTE")</f>
        <v/>
      </c>
      <c r="J1237" s="13">
        <f>G1237-H1237-I1237</f>
        <v/>
      </c>
      <c r="K1237">
        <f>IF(A1237="","",IF(J1237&lt;=IFERROR(VLOOKUP(A1237,Cadastro_Produtos!$A:$E,5,FALSE),0),"ABAIXO DO MINIMO","OK"))</f>
        <v/>
      </c>
    </row>
    <row r="1238">
      <c r="B1238">
        <f>IFERROR(VLOOKUP(A1238,Cadastro_Produtos!A:B,2,FALSE),"")</f>
        <v/>
      </c>
      <c r="D1238" s="12" t="n"/>
      <c r="E1238" s="13">
        <f>IF(D1238="","",D1238-TODAY())</f>
        <v/>
      </c>
      <c r="F1238">
        <f>IF(D1238="","",IF(E1238&lt;0,"VENCIDO",IF(E1238&lt;=30,"VENCE EM &lt;= 30 DIAS",IF(E1238&lt;=60,"ATENCAO (31-60 DIAS)","OK"))))</f>
        <v/>
      </c>
      <c r="G1238" s="13">
        <f>SUMIFS(Movimentacoes!$G:$G,Movimentacoes!$C:$C,$A1238,Movimentacoes!$E:$E,$C1238,Movimentacoes!$B:$B,"ENTRADA")</f>
        <v/>
      </c>
      <c r="H1238" s="13">
        <f>SUMIFS(Movimentacoes!$G:$G,Movimentacoes!$C:$C,$A1238,Movimentacoes!$E:$E,$C1238,Movimentacoes!$B:$B,"SAIDA_USO")</f>
        <v/>
      </c>
      <c r="I1238" s="13">
        <f>SUMIFS(Movimentacoes!$G:$G,Movimentacoes!$C:$C,$A1238,Movimentacoes!$E:$E,$C1238,Movimentacoes!$B:$B,"SAIDA_DESCARTE")</f>
        <v/>
      </c>
      <c r="J1238" s="13">
        <f>G1238-H1238-I1238</f>
        <v/>
      </c>
      <c r="K1238">
        <f>IF(A1238="","",IF(J1238&lt;=IFERROR(VLOOKUP(A1238,Cadastro_Produtos!$A:$E,5,FALSE),0),"ABAIXO DO MINIMO","OK"))</f>
        <v/>
      </c>
    </row>
    <row r="1239">
      <c r="B1239">
        <f>IFERROR(VLOOKUP(A1239,Cadastro_Produtos!A:B,2,FALSE),"")</f>
        <v/>
      </c>
      <c r="D1239" s="12" t="n"/>
      <c r="E1239" s="13">
        <f>IF(D1239="","",D1239-TODAY())</f>
        <v/>
      </c>
      <c r="F1239">
        <f>IF(D1239="","",IF(E1239&lt;0,"VENCIDO",IF(E1239&lt;=30,"VENCE EM &lt;= 30 DIAS",IF(E1239&lt;=60,"ATENCAO (31-60 DIAS)","OK"))))</f>
        <v/>
      </c>
      <c r="G1239" s="13">
        <f>SUMIFS(Movimentacoes!$G:$G,Movimentacoes!$C:$C,$A1239,Movimentacoes!$E:$E,$C1239,Movimentacoes!$B:$B,"ENTRADA")</f>
        <v/>
      </c>
      <c r="H1239" s="13">
        <f>SUMIFS(Movimentacoes!$G:$G,Movimentacoes!$C:$C,$A1239,Movimentacoes!$E:$E,$C1239,Movimentacoes!$B:$B,"SAIDA_USO")</f>
        <v/>
      </c>
      <c r="I1239" s="13">
        <f>SUMIFS(Movimentacoes!$G:$G,Movimentacoes!$C:$C,$A1239,Movimentacoes!$E:$E,$C1239,Movimentacoes!$B:$B,"SAIDA_DESCARTE")</f>
        <v/>
      </c>
      <c r="J1239" s="13">
        <f>G1239-H1239-I1239</f>
        <v/>
      </c>
      <c r="K1239">
        <f>IF(A1239="","",IF(J1239&lt;=IFERROR(VLOOKUP(A1239,Cadastro_Produtos!$A:$E,5,FALSE),0),"ABAIXO DO MINIMO","OK"))</f>
        <v/>
      </c>
    </row>
    <row r="1240">
      <c r="B1240">
        <f>IFERROR(VLOOKUP(A1240,Cadastro_Produtos!A:B,2,FALSE),"")</f>
        <v/>
      </c>
      <c r="D1240" s="12" t="n"/>
      <c r="E1240" s="13">
        <f>IF(D1240="","",D1240-TODAY())</f>
        <v/>
      </c>
      <c r="F1240">
        <f>IF(D1240="","",IF(E1240&lt;0,"VENCIDO",IF(E1240&lt;=30,"VENCE EM &lt;= 30 DIAS",IF(E1240&lt;=60,"ATENCAO (31-60 DIAS)","OK"))))</f>
        <v/>
      </c>
      <c r="G1240" s="13">
        <f>SUMIFS(Movimentacoes!$G:$G,Movimentacoes!$C:$C,$A1240,Movimentacoes!$E:$E,$C1240,Movimentacoes!$B:$B,"ENTRADA")</f>
        <v/>
      </c>
      <c r="H1240" s="13">
        <f>SUMIFS(Movimentacoes!$G:$G,Movimentacoes!$C:$C,$A1240,Movimentacoes!$E:$E,$C1240,Movimentacoes!$B:$B,"SAIDA_USO")</f>
        <v/>
      </c>
      <c r="I1240" s="13">
        <f>SUMIFS(Movimentacoes!$G:$G,Movimentacoes!$C:$C,$A1240,Movimentacoes!$E:$E,$C1240,Movimentacoes!$B:$B,"SAIDA_DESCARTE")</f>
        <v/>
      </c>
      <c r="J1240" s="13">
        <f>G1240-H1240-I1240</f>
        <v/>
      </c>
      <c r="K1240">
        <f>IF(A1240="","",IF(J1240&lt;=IFERROR(VLOOKUP(A1240,Cadastro_Produtos!$A:$E,5,FALSE),0),"ABAIXO DO MINIMO","OK"))</f>
        <v/>
      </c>
    </row>
    <row r="1241">
      <c r="B1241">
        <f>IFERROR(VLOOKUP(A1241,Cadastro_Produtos!A:B,2,FALSE),"")</f>
        <v/>
      </c>
      <c r="D1241" s="12" t="n"/>
      <c r="E1241" s="13">
        <f>IF(D1241="","",D1241-TODAY())</f>
        <v/>
      </c>
      <c r="F1241">
        <f>IF(D1241="","",IF(E1241&lt;0,"VENCIDO",IF(E1241&lt;=30,"VENCE EM &lt;= 30 DIAS",IF(E1241&lt;=60,"ATENCAO (31-60 DIAS)","OK"))))</f>
        <v/>
      </c>
      <c r="G1241" s="13">
        <f>SUMIFS(Movimentacoes!$G:$G,Movimentacoes!$C:$C,$A1241,Movimentacoes!$E:$E,$C1241,Movimentacoes!$B:$B,"ENTRADA")</f>
        <v/>
      </c>
      <c r="H1241" s="13">
        <f>SUMIFS(Movimentacoes!$G:$G,Movimentacoes!$C:$C,$A1241,Movimentacoes!$E:$E,$C1241,Movimentacoes!$B:$B,"SAIDA_USO")</f>
        <v/>
      </c>
      <c r="I1241" s="13">
        <f>SUMIFS(Movimentacoes!$G:$G,Movimentacoes!$C:$C,$A1241,Movimentacoes!$E:$E,$C1241,Movimentacoes!$B:$B,"SAIDA_DESCARTE")</f>
        <v/>
      </c>
      <c r="J1241" s="13">
        <f>G1241-H1241-I1241</f>
        <v/>
      </c>
      <c r="K1241">
        <f>IF(A1241="","",IF(J1241&lt;=IFERROR(VLOOKUP(A1241,Cadastro_Produtos!$A:$E,5,FALSE),0),"ABAIXO DO MINIMO","OK"))</f>
        <v/>
      </c>
    </row>
    <row r="1242">
      <c r="B1242">
        <f>IFERROR(VLOOKUP(A1242,Cadastro_Produtos!A:B,2,FALSE),"")</f>
        <v/>
      </c>
      <c r="D1242" s="12" t="n"/>
      <c r="E1242" s="13">
        <f>IF(D1242="","",D1242-TODAY())</f>
        <v/>
      </c>
      <c r="F1242">
        <f>IF(D1242="","",IF(E1242&lt;0,"VENCIDO",IF(E1242&lt;=30,"VENCE EM &lt;= 30 DIAS",IF(E1242&lt;=60,"ATENCAO (31-60 DIAS)","OK"))))</f>
        <v/>
      </c>
      <c r="G1242" s="13">
        <f>SUMIFS(Movimentacoes!$G:$G,Movimentacoes!$C:$C,$A1242,Movimentacoes!$E:$E,$C1242,Movimentacoes!$B:$B,"ENTRADA")</f>
        <v/>
      </c>
      <c r="H1242" s="13">
        <f>SUMIFS(Movimentacoes!$G:$G,Movimentacoes!$C:$C,$A1242,Movimentacoes!$E:$E,$C1242,Movimentacoes!$B:$B,"SAIDA_USO")</f>
        <v/>
      </c>
      <c r="I1242" s="13">
        <f>SUMIFS(Movimentacoes!$G:$G,Movimentacoes!$C:$C,$A1242,Movimentacoes!$E:$E,$C1242,Movimentacoes!$B:$B,"SAIDA_DESCARTE")</f>
        <v/>
      </c>
      <c r="J1242" s="13">
        <f>G1242-H1242-I1242</f>
        <v/>
      </c>
      <c r="K1242">
        <f>IF(A1242="","",IF(J1242&lt;=IFERROR(VLOOKUP(A1242,Cadastro_Produtos!$A:$E,5,FALSE),0),"ABAIXO DO MINIMO","OK"))</f>
        <v/>
      </c>
    </row>
    <row r="1243">
      <c r="B1243">
        <f>IFERROR(VLOOKUP(A1243,Cadastro_Produtos!A:B,2,FALSE),"")</f>
        <v/>
      </c>
      <c r="D1243" s="12" t="n"/>
      <c r="E1243" s="13">
        <f>IF(D1243="","",D1243-TODAY())</f>
        <v/>
      </c>
      <c r="F1243">
        <f>IF(D1243="","",IF(E1243&lt;0,"VENCIDO",IF(E1243&lt;=30,"VENCE EM &lt;= 30 DIAS",IF(E1243&lt;=60,"ATENCAO (31-60 DIAS)","OK"))))</f>
        <v/>
      </c>
      <c r="G1243" s="13">
        <f>SUMIFS(Movimentacoes!$G:$G,Movimentacoes!$C:$C,$A1243,Movimentacoes!$E:$E,$C1243,Movimentacoes!$B:$B,"ENTRADA")</f>
        <v/>
      </c>
      <c r="H1243" s="13">
        <f>SUMIFS(Movimentacoes!$G:$G,Movimentacoes!$C:$C,$A1243,Movimentacoes!$E:$E,$C1243,Movimentacoes!$B:$B,"SAIDA_USO")</f>
        <v/>
      </c>
      <c r="I1243" s="13">
        <f>SUMIFS(Movimentacoes!$G:$G,Movimentacoes!$C:$C,$A1243,Movimentacoes!$E:$E,$C1243,Movimentacoes!$B:$B,"SAIDA_DESCARTE")</f>
        <v/>
      </c>
      <c r="J1243" s="13">
        <f>G1243-H1243-I1243</f>
        <v/>
      </c>
      <c r="K1243">
        <f>IF(A1243="","",IF(J1243&lt;=IFERROR(VLOOKUP(A1243,Cadastro_Produtos!$A:$E,5,FALSE),0),"ABAIXO DO MINIMO","OK"))</f>
        <v/>
      </c>
    </row>
    <row r="1244">
      <c r="B1244">
        <f>IFERROR(VLOOKUP(A1244,Cadastro_Produtos!A:B,2,FALSE),"")</f>
        <v/>
      </c>
      <c r="D1244" s="12" t="n"/>
      <c r="E1244" s="13">
        <f>IF(D1244="","",D1244-TODAY())</f>
        <v/>
      </c>
      <c r="F1244">
        <f>IF(D1244="","",IF(E1244&lt;0,"VENCIDO",IF(E1244&lt;=30,"VENCE EM &lt;= 30 DIAS",IF(E1244&lt;=60,"ATENCAO (31-60 DIAS)","OK"))))</f>
        <v/>
      </c>
      <c r="G1244" s="13">
        <f>SUMIFS(Movimentacoes!$G:$G,Movimentacoes!$C:$C,$A1244,Movimentacoes!$E:$E,$C1244,Movimentacoes!$B:$B,"ENTRADA")</f>
        <v/>
      </c>
      <c r="H1244" s="13">
        <f>SUMIFS(Movimentacoes!$G:$G,Movimentacoes!$C:$C,$A1244,Movimentacoes!$E:$E,$C1244,Movimentacoes!$B:$B,"SAIDA_USO")</f>
        <v/>
      </c>
      <c r="I1244" s="13">
        <f>SUMIFS(Movimentacoes!$G:$G,Movimentacoes!$C:$C,$A1244,Movimentacoes!$E:$E,$C1244,Movimentacoes!$B:$B,"SAIDA_DESCARTE")</f>
        <v/>
      </c>
      <c r="J1244" s="13">
        <f>G1244-H1244-I1244</f>
        <v/>
      </c>
      <c r="K1244">
        <f>IF(A1244="","",IF(J1244&lt;=IFERROR(VLOOKUP(A1244,Cadastro_Produtos!$A:$E,5,FALSE),0),"ABAIXO DO MINIMO","OK"))</f>
        <v/>
      </c>
    </row>
    <row r="1245">
      <c r="B1245">
        <f>IFERROR(VLOOKUP(A1245,Cadastro_Produtos!A:B,2,FALSE),"")</f>
        <v/>
      </c>
      <c r="D1245" s="12" t="n"/>
      <c r="E1245" s="13">
        <f>IF(D1245="","",D1245-TODAY())</f>
        <v/>
      </c>
      <c r="F1245">
        <f>IF(D1245="","",IF(E1245&lt;0,"VENCIDO",IF(E1245&lt;=30,"VENCE EM &lt;= 30 DIAS",IF(E1245&lt;=60,"ATENCAO (31-60 DIAS)","OK"))))</f>
        <v/>
      </c>
      <c r="G1245" s="13">
        <f>SUMIFS(Movimentacoes!$G:$G,Movimentacoes!$C:$C,$A1245,Movimentacoes!$E:$E,$C1245,Movimentacoes!$B:$B,"ENTRADA")</f>
        <v/>
      </c>
      <c r="H1245" s="13">
        <f>SUMIFS(Movimentacoes!$G:$G,Movimentacoes!$C:$C,$A1245,Movimentacoes!$E:$E,$C1245,Movimentacoes!$B:$B,"SAIDA_USO")</f>
        <v/>
      </c>
      <c r="I1245" s="13">
        <f>SUMIFS(Movimentacoes!$G:$G,Movimentacoes!$C:$C,$A1245,Movimentacoes!$E:$E,$C1245,Movimentacoes!$B:$B,"SAIDA_DESCARTE")</f>
        <v/>
      </c>
      <c r="J1245" s="13">
        <f>G1245-H1245-I1245</f>
        <v/>
      </c>
      <c r="K1245">
        <f>IF(A1245="","",IF(J1245&lt;=IFERROR(VLOOKUP(A1245,Cadastro_Produtos!$A:$E,5,FALSE),0),"ABAIXO DO MINIMO","OK"))</f>
        <v/>
      </c>
    </row>
    <row r="1246">
      <c r="B1246">
        <f>IFERROR(VLOOKUP(A1246,Cadastro_Produtos!A:B,2,FALSE),"")</f>
        <v/>
      </c>
      <c r="D1246" s="12" t="n"/>
      <c r="E1246" s="13">
        <f>IF(D1246="","",D1246-TODAY())</f>
        <v/>
      </c>
      <c r="F1246">
        <f>IF(D1246="","",IF(E1246&lt;0,"VENCIDO",IF(E1246&lt;=30,"VENCE EM &lt;= 30 DIAS",IF(E1246&lt;=60,"ATENCAO (31-60 DIAS)","OK"))))</f>
        <v/>
      </c>
      <c r="G1246" s="13">
        <f>SUMIFS(Movimentacoes!$G:$G,Movimentacoes!$C:$C,$A1246,Movimentacoes!$E:$E,$C1246,Movimentacoes!$B:$B,"ENTRADA")</f>
        <v/>
      </c>
      <c r="H1246" s="13">
        <f>SUMIFS(Movimentacoes!$G:$G,Movimentacoes!$C:$C,$A1246,Movimentacoes!$E:$E,$C1246,Movimentacoes!$B:$B,"SAIDA_USO")</f>
        <v/>
      </c>
      <c r="I1246" s="13">
        <f>SUMIFS(Movimentacoes!$G:$G,Movimentacoes!$C:$C,$A1246,Movimentacoes!$E:$E,$C1246,Movimentacoes!$B:$B,"SAIDA_DESCARTE")</f>
        <v/>
      </c>
      <c r="J1246" s="13">
        <f>G1246-H1246-I1246</f>
        <v/>
      </c>
      <c r="K1246">
        <f>IF(A1246="","",IF(J1246&lt;=IFERROR(VLOOKUP(A1246,Cadastro_Produtos!$A:$E,5,FALSE),0),"ABAIXO DO MINIMO","OK"))</f>
        <v/>
      </c>
    </row>
    <row r="1247">
      <c r="B1247">
        <f>IFERROR(VLOOKUP(A1247,Cadastro_Produtos!A:B,2,FALSE),"")</f>
        <v/>
      </c>
      <c r="D1247" s="12" t="n"/>
      <c r="E1247" s="13">
        <f>IF(D1247="","",D1247-TODAY())</f>
        <v/>
      </c>
      <c r="F1247">
        <f>IF(D1247="","",IF(E1247&lt;0,"VENCIDO",IF(E1247&lt;=30,"VENCE EM &lt;= 30 DIAS",IF(E1247&lt;=60,"ATENCAO (31-60 DIAS)","OK"))))</f>
        <v/>
      </c>
      <c r="G1247" s="13">
        <f>SUMIFS(Movimentacoes!$G:$G,Movimentacoes!$C:$C,$A1247,Movimentacoes!$E:$E,$C1247,Movimentacoes!$B:$B,"ENTRADA")</f>
        <v/>
      </c>
      <c r="H1247" s="13">
        <f>SUMIFS(Movimentacoes!$G:$G,Movimentacoes!$C:$C,$A1247,Movimentacoes!$E:$E,$C1247,Movimentacoes!$B:$B,"SAIDA_USO")</f>
        <v/>
      </c>
      <c r="I1247" s="13">
        <f>SUMIFS(Movimentacoes!$G:$G,Movimentacoes!$C:$C,$A1247,Movimentacoes!$E:$E,$C1247,Movimentacoes!$B:$B,"SAIDA_DESCARTE")</f>
        <v/>
      </c>
      <c r="J1247" s="13">
        <f>G1247-H1247-I1247</f>
        <v/>
      </c>
      <c r="K1247">
        <f>IF(A1247="","",IF(J1247&lt;=IFERROR(VLOOKUP(A1247,Cadastro_Produtos!$A:$E,5,FALSE),0),"ABAIXO DO MINIMO","OK"))</f>
        <v/>
      </c>
    </row>
    <row r="1248">
      <c r="B1248">
        <f>IFERROR(VLOOKUP(A1248,Cadastro_Produtos!A:B,2,FALSE),"")</f>
        <v/>
      </c>
      <c r="D1248" s="12" t="n"/>
      <c r="E1248" s="13">
        <f>IF(D1248="","",D1248-TODAY())</f>
        <v/>
      </c>
      <c r="F1248">
        <f>IF(D1248="","",IF(E1248&lt;0,"VENCIDO",IF(E1248&lt;=30,"VENCE EM &lt;= 30 DIAS",IF(E1248&lt;=60,"ATENCAO (31-60 DIAS)","OK"))))</f>
        <v/>
      </c>
      <c r="G1248" s="13">
        <f>SUMIFS(Movimentacoes!$G:$G,Movimentacoes!$C:$C,$A1248,Movimentacoes!$E:$E,$C1248,Movimentacoes!$B:$B,"ENTRADA")</f>
        <v/>
      </c>
      <c r="H1248" s="13">
        <f>SUMIFS(Movimentacoes!$G:$G,Movimentacoes!$C:$C,$A1248,Movimentacoes!$E:$E,$C1248,Movimentacoes!$B:$B,"SAIDA_USO")</f>
        <v/>
      </c>
      <c r="I1248" s="13">
        <f>SUMIFS(Movimentacoes!$G:$G,Movimentacoes!$C:$C,$A1248,Movimentacoes!$E:$E,$C1248,Movimentacoes!$B:$B,"SAIDA_DESCARTE")</f>
        <v/>
      </c>
      <c r="J1248" s="13">
        <f>G1248-H1248-I1248</f>
        <v/>
      </c>
      <c r="K1248">
        <f>IF(A1248="","",IF(J1248&lt;=IFERROR(VLOOKUP(A1248,Cadastro_Produtos!$A:$E,5,FALSE),0),"ABAIXO DO MINIMO","OK"))</f>
        <v/>
      </c>
    </row>
    <row r="1249">
      <c r="B1249">
        <f>IFERROR(VLOOKUP(A1249,Cadastro_Produtos!A:B,2,FALSE),"")</f>
        <v/>
      </c>
      <c r="D1249" s="12" t="n"/>
      <c r="E1249" s="13">
        <f>IF(D1249="","",D1249-TODAY())</f>
        <v/>
      </c>
      <c r="F1249">
        <f>IF(D1249="","",IF(E1249&lt;0,"VENCIDO",IF(E1249&lt;=30,"VENCE EM &lt;= 30 DIAS",IF(E1249&lt;=60,"ATENCAO (31-60 DIAS)","OK"))))</f>
        <v/>
      </c>
      <c r="G1249" s="13">
        <f>SUMIFS(Movimentacoes!$G:$G,Movimentacoes!$C:$C,$A1249,Movimentacoes!$E:$E,$C1249,Movimentacoes!$B:$B,"ENTRADA")</f>
        <v/>
      </c>
      <c r="H1249" s="13">
        <f>SUMIFS(Movimentacoes!$G:$G,Movimentacoes!$C:$C,$A1249,Movimentacoes!$E:$E,$C1249,Movimentacoes!$B:$B,"SAIDA_USO")</f>
        <v/>
      </c>
      <c r="I1249" s="13">
        <f>SUMIFS(Movimentacoes!$G:$G,Movimentacoes!$C:$C,$A1249,Movimentacoes!$E:$E,$C1249,Movimentacoes!$B:$B,"SAIDA_DESCARTE")</f>
        <v/>
      </c>
      <c r="J1249" s="13">
        <f>G1249-H1249-I1249</f>
        <v/>
      </c>
      <c r="K1249">
        <f>IF(A1249="","",IF(J1249&lt;=IFERROR(VLOOKUP(A1249,Cadastro_Produtos!$A:$E,5,FALSE),0),"ABAIXO DO MINIMO","OK"))</f>
        <v/>
      </c>
    </row>
    <row r="1250">
      <c r="B1250">
        <f>IFERROR(VLOOKUP(A1250,Cadastro_Produtos!A:B,2,FALSE),"")</f>
        <v/>
      </c>
      <c r="D1250" s="12" t="n"/>
      <c r="E1250" s="13">
        <f>IF(D1250="","",D1250-TODAY())</f>
        <v/>
      </c>
      <c r="F1250">
        <f>IF(D1250="","",IF(E1250&lt;0,"VENCIDO",IF(E1250&lt;=30,"VENCE EM &lt;= 30 DIAS",IF(E1250&lt;=60,"ATENCAO (31-60 DIAS)","OK"))))</f>
        <v/>
      </c>
      <c r="G1250" s="13">
        <f>SUMIFS(Movimentacoes!$G:$G,Movimentacoes!$C:$C,$A1250,Movimentacoes!$E:$E,$C1250,Movimentacoes!$B:$B,"ENTRADA")</f>
        <v/>
      </c>
      <c r="H1250" s="13">
        <f>SUMIFS(Movimentacoes!$G:$G,Movimentacoes!$C:$C,$A1250,Movimentacoes!$E:$E,$C1250,Movimentacoes!$B:$B,"SAIDA_USO")</f>
        <v/>
      </c>
      <c r="I1250" s="13">
        <f>SUMIFS(Movimentacoes!$G:$G,Movimentacoes!$C:$C,$A1250,Movimentacoes!$E:$E,$C1250,Movimentacoes!$B:$B,"SAIDA_DESCARTE")</f>
        <v/>
      </c>
      <c r="J1250" s="13">
        <f>G1250-H1250-I1250</f>
        <v/>
      </c>
      <c r="K1250">
        <f>IF(A1250="","",IF(J1250&lt;=IFERROR(VLOOKUP(A1250,Cadastro_Produtos!$A:$E,5,FALSE),0),"ABAIXO DO MINIMO","OK"))</f>
        <v/>
      </c>
    </row>
    <row r="1251">
      <c r="B1251">
        <f>IFERROR(VLOOKUP(A1251,Cadastro_Produtos!A:B,2,FALSE),"")</f>
        <v/>
      </c>
      <c r="D1251" s="12" t="n"/>
      <c r="E1251" s="13">
        <f>IF(D1251="","",D1251-TODAY())</f>
        <v/>
      </c>
      <c r="F1251">
        <f>IF(D1251="","",IF(E1251&lt;0,"VENCIDO",IF(E1251&lt;=30,"VENCE EM &lt;= 30 DIAS",IF(E1251&lt;=60,"ATENCAO (31-60 DIAS)","OK"))))</f>
        <v/>
      </c>
      <c r="G1251" s="13">
        <f>SUMIFS(Movimentacoes!$G:$G,Movimentacoes!$C:$C,$A1251,Movimentacoes!$E:$E,$C1251,Movimentacoes!$B:$B,"ENTRADA")</f>
        <v/>
      </c>
      <c r="H1251" s="13">
        <f>SUMIFS(Movimentacoes!$G:$G,Movimentacoes!$C:$C,$A1251,Movimentacoes!$E:$E,$C1251,Movimentacoes!$B:$B,"SAIDA_USO")</f>
        <v/>
      </c>
      <c r="I1251" s="13">
        <f>SUMIFS(Movimentacoes!$G:$G,Movimentacoes!$C:$C,$A1251,Movimentacoes!$E:$E,$C1251,Movimentacoes!$B:$B,"SAIDA_DESCARTE")</f>
        <v/>
      </c>
      <c r="J1251" s="13">
        <f>G1251-H1251-I1251</f>
        <v/>
      </c>
      <c r="K1251">
        <f>IF(A1251="","",IF(J1251&lt;=IFERROR(VLOOKUP(A1251,Cadastro_Produtos!$A:$E,5,FALSE),0),"ABAIXO DO MINIMO","OK"))</f>
        <v/>
      </c>
    </row>
    <row r="1252">
      <c r="B1252">
        <f>IFERROR(VLOOKUP(A1252,Cadastro_Produtos!A:B,2,FALSE),"")</f>
        <v/>
      </c>
      <c r="D1252" s="12" t="n"/>
      <c r="E1252" s="13">
        <f>IF(D1252="","",D1252-TODAY())</f>
        <v/>
      </c>
      <c r="F1252">
        <f>IF(D1252="","",IF(E1252&lt;0,"VENCIDO",IF(E1252&lt;=30,"VENCE EM &lt;= 30 DIAS",IF(E1252&lt;=60,"ATENCAO (31-60 DIAS)","OK"))))</f>
        <v/>
      </c>
      <c r="G1252" s="13">
        <f>SUMIFS(Movimentacoes!$G:$G,Movimentacoes!$C:$C,$A1252,Movimentacoes!$E:$E,$C1252,Movimentacoes!$B:$B,"ENTRADA")</f>
        <v/>
      </c>
      <c r="H1252" s="13">
        <f>SUMIFS(Movimentacoes!$G:$G,Movimentacoes!$C:$C,$A1252,Movimentacoes!$E:$E,$C1252,Movimentacoes!$B:$B,"SAIDA_USO")</f>
        <v/>
      </c>
      <c r="I1252" s="13">
        <f>SUMIFS(Movimentacoes!$G:$G,Movimentacoes!$C:$C,$A1252,Movimentacoes!$E:$E,$C1252,Movimentacoes!$B:$B,"SAIDA_DESCARTE")</f>
        <v/>
      </c>
      <c r="J1252" s="13">
        <f>G1252-H1252-I1252</f>
        <v/>
      </c>
      <c r="K1252">
        <f>IF(A1252="","",IF(J1252&lt;=IFERROR(VLOOKUP(A1252,Cadastro_Produtos!$A:$E,5,FALSE),0),"ABAIXO DO MINIMO","OK"))</f>
        <v/>
      </c>
    </row>
    <row r="1253">
      <c r="B1253">
        <f>IFERROR(VLOOKUP(A1253,Cadastro_Produtos!A:B,2,FALSE),"")</f>
        <v/>
      </c>
      <c r="D1253" s="12" t="n"/>
      <c r="E1253" s="13">
        <f>IF(D1253="","",D1253-TODAY())</f>
        <v/>
      </c>
      <c r="F1253">
        <f>IF(D1253="","",IF(E1253&lt;0,"VENCIDO",IF(E1253&lt;=30,"VENCE EM &lt;= 30 DIAS",IF(E1253&lt;=60,"ATENCAO (31-60 DIAS)","OK"))))</f>
        <v/>
      </c>
      <c r="G1253" s="13">
        <f>SUMIFS(Movimentacoes!$G:$G,Movimentacoes!$C:$C,$A1253,Movimentacoes!$E:$E,$C1253,Movimentacoes!$B:$B,"ENTRADA")</f>
        <v/>
      </c>
      <c r="H1253" s="13">
        <f>SUMIFS(Movimentacoes!$G:$G,Movimentacoes!$C:$C,$A1253,Movimentacoes!$E:$E,$C1253,Movimentacoes!$B:$B,"SAIDA_USO")</f>
        <v/>
      </c>
      <c r="I1253" s="13">
        <f>SUMIFS(Movimentacoes!$G:$G,Movimentacoes!$C:$C,$A1253,Movimentacoes!$E:$E,$C1253,Movimentacoes!$B:$B,"SAIDA_DESCARTE")</f>
        <v/>
      </c>
      <c r="J1253" s="13">
        <f>G1253-H1253-I1253</f>
        <v/>
      </c>
      <c r="K1253">
        <f>IF(A1253="","",IF(J1253&lt;=IFERROR(VLOOKUP(A1253,Cadastro_Produtos!$A:$E,5,FALSE),0),"ABAIXO DO MINIMO","OK"))</f>
        <v/>
      </c>
    </row>
    <row r="1254">
      <c r="B1254">
        <f>IFERROR(VLOOKUP(A1254,Cadastro_Produtos!A:B,2,FALSE),"")</f>
        <v/>
      </c>
      <c r="D1254" s="12" t="n"/>
      <c r="E1254" s="13">
        <f>IF(D1254="","",D1254-TODAY())</f>
        <v/>
      </c>
      <c r="F1254">
        <f>IF(D1254="","",IF(E1254&lt;0,"VENCIDO",IF(E1254&lt;=30,"VENCE EM &lt;= 30 DIAS",IF(E1254&lt;=60,"ATENCAO (31-60 DIAS)","OK"))))</f>
        <v/>
      </c>
      <c r="G1254" s="13">
        <f>SUMIFS(Movimentacoes!$G:$G,Movimentacoes!$C:$C,$A1254,Movimentacoes!$E:$E,$C1254,Movimentacoes!$B:$B,"ENTRADA")</f>
        <v/>
      </c>
      <c r="H1254" s="13">
        <f>SUMIFS(Movimentacoes!$G:$G,Movimentacoes!$C:$C,$A1254,Movimentacoes!$E:$E,$C1254,Movimentacoes!$B:$B,"SAIDA_USO")</f>
        <v/>
      </c>
      <c r="I1254" s="13">
        <f>SUMIFS(Movimentacoes!$G:$G,Movimentacoes!$C:$C,$A1254,Movimentacoes!$E:$E,$C1254,Movimentacoes!$B:$B,"SAIDA_DESCARTE")</f>
        <v/>
      </c>
      <c r="J1254" s="13">
        <f>G1254-H1254-I1254</f>
        <v/>
      </c>
      <c r="K1254">
        <f>IF(A1254="","",IF(J1254&lt;=IFERROR(VLOOKUP(A1254,Cadastro_Produtos!$A:$E,5,FALSE),0),"ABAIXO DO MINIMO","OK"))</f>
        <v/>
      </c>
    </row>
    <row r="1255">
      <c r="B1255">
        <f>IFERROR(VLOOKUP(A1255,Cadastro_Produtos!A:B,2,FALSE),"")</f>
        <v/>
      </c>
      <c r="D1255" s="12" t="n"/>
      <c r="E1255" s="13">
        <f>IF(D1255="","",D1255-TODAY())</f>
        <v/>
      </c>
      <c r="F1255">
        <f>IF(D1255="","",IF(E1255&lt;0,"VENCIDO",IF(E1255&lt;=30,"VENCE EM &lt;= 30 DIAS",IF(E1255&lt;=60,"ATENCAO (31-60 DIAS)","OK"))))</f>
        <v/>
      </c>
      <c r="G1255" s="13">
        <f>SUMIFS(Movimentacoes!$G:$G,Movimentacoes!$C:$C,$A1255,Movimentacoes!$E:$E,$C1255,Movimentacoes!$B:$B,"ENTRADA")</f>
        <v/>
      </c>
      <c r="H1255" s="13">
        <f>SUMIFS(Movimentacoes!$G:$G,Movimentacoes!$C:$C,$A1255,Movimentacoes!$E:$E,$C1255,Movimentacoes!$B:$B,"SAIDA_USO")</f>
        <v/>
      </c>
      <c r="I1255" s="13">
        <f>SUMIFS(Movimentacoes!$G:$G,Movimentacoes!$C:$C,$A1255,Movimentacoes!$E:$E,$C1255,Movimentacoes!$B:$B,"SAIDA_DESCARTE")</f>
        <v/>
      </c>
      <c r="J1255" s="13">
        <f>G1255-H1255-I1255</f>
        <v/>
      </c>
      <c r="K1255">
        <f>IF(A1255="","",IF(J1255&lt;=IFERROR(VLOOKUP(A1255,Cadastro_Produtos!$A:$E,5,FALSE),0),"ABAIXO DO MINIMO","OK"))</f>
        <v/>
      </c>
    </row>
    <row r="1256">
      <c r="B1256">
        <f>IFERROR(VLOOKUP(A1256,Cadastro_Produtos!A:B,2,FALSE),"")</f>
        <v/>
      </c>
      <c r="D1256" s="12" t="n"/>
      <c r="E1256" s="13">
        <f>IF(D1256="","",D1256-TODAY())</f>
        <v/>
      </c>
      <c r="F1256">
        <f>IF(D1256="","",IF(E1256&lt;0,"VENCIDO",IF(E1256&lt;=30,"VENCE EM &lt;= 30 DIAS",IF(E1256&lt;=60,"ATENCAO (31-60 DIAS)","OK"))))</f>
        <v/>
      </c>
      <c r="G1256" s="13">
        <f>SUMIFS(Movimentacoes!$G:$G,Movimentacoes!$C:$C,$A1256,Movimentacoes!$E:$E,$C1256,Movimentacoes!$B:$B,"ENTRADA")</f>
        <v/>
      </c>
      <c r="H1256" s="13">
        <f>SUMIFS(Movimentacoes!$G:$G,Movimentacoes!$C:$C,$A1256,Movimentacoes!$E:$E,$C1256,Movimentacoes!$B:$B,"SAIDA_USO")</f>
        <v/>
      </c>
      <c r="I1256" s="13">
        <f>SUMIFS(Movimentacoes!$G:$G,Movimentacoes!$C:$C,$A1256,Movimentacoes!$E:$E,$C1256,Movimentacoes!$B:$B,"SAIDA_DESCARTE")</f>
        <v/>
      </c>
      <c r="J1256" s="13">
        <f>G1256-H1256-I1256</f>
        <v/>
      </c>
      <c r="K1256">
        <f>IF(A1256="","",IF(J1256&lt;=IFERROR(VLOOKUP(A1256,Cadastro_Produtos!$A:$E,5,FALSE),0),"ABAIXO DO MINIMO","OK"))</f>
        <v/>
      </c>
    </row>
    <row r="1257">
      <c r="B1257">
        <f>IFERROR(VLOOKUP(A1257,Cadastro_Produtos!A:B,2,FALSE),"")</f>
        <v/>
      </c>
      <c r="D1257" s="12" t="n"/>
      <c r="E1257" s="13">
        <f>IF(D1257="","",D1257-TODAY())</f>
        <v/>
      </c>
      <c r="F1257">
        <f>IF(D1257="","",IF(E1257&lt;0,"VENCIDO",IF(E1257&lt;=30,"VENCE EM &lt;= 30 DIAS",IF(E1257&lt;=60,"ATENCAO (31-60 DIAS)","OK"))))</f>
        <v/>
      </c>
      <c r="G1257" s="13">
        <f>SUMIFS(Movimentacoes!$G:$G,Movimentacoes!$C:$C,$A1257,Movimentacoes!$E:$E,$C1257,Movimentacoes!$B:$B,"ENTRADA")</f>
        <v/>
      </c>
      <c r="H1257" s="13">
        <f>SUMIFS(Movimentacoes!$G:$G,Movimentacoes!$C:$C,$A1257,Movimentacoes!$E:$E,$C1257,Movimentacoes!$B:$B,"SAIDA_USO")</f>
        <v/>
      </c>
      <c r="I1257" s="13">
        <f>SUMIFS(Movimentacoes!$G:$G,Movimentacoes!$C:$C,$A1257,Movimentacoes!$E:$E,$C1257,Movimentacoes!$B:$B,"SAIDA_DESCARTE")</f>
        <v/>
      </c>
      <c r="J1257" s="13">
        <f>G1257-H1257-I1257</f>
        <v/>
      </c>
      <c r="K1257">
        <f>IF(A1257="","",IF(J1257&lt;=IFERROR(VLOOKUP(A1257,Cadastro_Produtos!$A:$E,5,FALSE),0),"ABAIXO DO MINIMO","OK"))</f>
        <v/>
      </c>
    </row>
    <row r="1258">
      <c r="B1258">
        <f>IFERROR(VLOOKUP(A1258,Cadastro_Produtos!A:B,2,FALSE),"")</f>
        <v/>
      </c>
      <c r="D1258" s="12" t="n"/>
      <c r="E1258" s="13">
        <f>IF(D1258="","",D1258-TODAY())</f>
        <v/>
      </c>
      <c r="F1258">
        <f>IF(D1258="","",IF(E1258&lt;0,"VENCIDO",IF(E1258&lt;=30,"VENCE EM &lt;= 30 DIAS",IF(E1258&lt;=60,"ATENCAO (31-60 DIAS)","OK"))))</f>
        <v/>
      </c>
      <c r="G1258" s="13">
        <f>SUMIFS(Movimentacoes!$G:$G,Movimentacoes!$C:$C,$A1258,Movimentacoes!$E:$E,$C1258,Movimentacoes!$B:$B,"ENTRADA")</f>
        <v/>
      </c>
      <c r="H1258" s="13">
        <f>SUMIFS(Movimentacoes!$G:$G,Movimentacoes!$C:$C,$A1258,Movimentacoes!$E:$E,$C1258,Movimentacoes!$B:$B,"SAIDA_USO")</f>
        <v/>
      </c>
      <c r="I1258" s="13">
        <f>SUMIFS(Movimentacoes!$G:$G,Movimentacoes!$C:$C,$A1258,Movimentacoes!$E:$E,$C1258,Movimentacoes!$B:$B,"SAIDA_DESCARTE")</f>
        <v/>
      </c>
      <c r="J1258" s="13">
        <f>G1258-H1258-I1258</f>
        <v/>
      </c>
      <c r="K1258">
        <f>IF(A1258="","",IF(J1258&lt;=IFERROR(VLOOKUP(A1258,Cadastro_Produtos!$A:$E,5,FALSE),0),"ABAIXO DO MINIMO","OK"))</f>
        <v/>
      </c>
    </row>
    <row r="1259">
      <c r="B1259">
        <f>IFERROR(VLOOKUP(A1259,Cadastro_Produtos!A:B,2,FALSE),"")</f>
        <v/>
      </c>
      <c r="D1259" s="12" t="n"/>
      <c r="E1259" s="13">
        <f>IF(D1259="","",D1259-TODAY())</f>
        <v/>
      </c>
      <c r="F1259">
        <f>IF(D1259="","",IF(E1259&lt;0,"VENCIDO",IF(E1259&lt;=30,"VENCE EM &lt;= 30 DIAS",IF(E1259&lt;=60,"ATENCAO (31-60 DIAS)","OK"))))</f>
        <v/>
      </c>
      <c r="G1259" s="13">
        <f>SUMIFS(Movimentacoes!$G:$G,Movimentacoes!$C:$C,$A1259,Movimentacoes!$E:$E,$C1259,Movimentacoes!$B:$B,"ENTRADA")</f>
        <v/>
      </c>
      <c r="H1259" s="13">
        <f>SUMIFS(Movimentacoes!$G:$G,Movimentacoes!$C:$C,$A1259,Movimentacoes!$E:$E,$C1259,Movimentacoes!$B:$B,"SAIDA_USO")</f>
        <v/>
      </c>
      <c r="I1259" s="13">
        <f>SUMIFS(Movimentacoes!$G:$G,Movimentacoes!$C:$C,$A1259,Movimentacoes!$E:$E,$C1259,Movimentacoes!$B:$B,"SAIDA_DESCARTE")</f>
        <v/>
      </c>
      <c r="J1259" s="13">
        <f>G1259-H1259-I1259</f>
        <v/>
      </c>
      <c r="K1259">
        <f>IF(A1259="","",IF(J1259&lt;=IFERROR(VLOOKUP(A1259,Cadastro_Produtos!$A:$E,5,FALSE),0),"ABAIXO DO MINIMO","OK"))</f>
        <v/>
      </c>
    </row>
    <row r="1260">
      <c r="B1260">
        <f>IFERROR(VLOOKUP(A1260,Cadastro_Produtos!A:B,2,FALSE),"")</f>
        <v/>
      </c>
      <c r="D1260" s="12" t="n"/>
      <c r="E1260" s="13">
        <f>IF(D1260="","",D1260-TODAY())</f>
        <v/>
      </c>
      <c r="F1260">
        <f>IF(D1260="","",IF(E1260&lt;0,"VENCIDO",IF(E1260&lt;=30,"VENCE EM &lt;= 30 DIAS",IF(E1260&lt;=60,"ATENCAO (31-60 DIAS)","OK"))))</f>
        <v/>
      </c>
      <c r="G1260" s="13">
        <f>SUMIFS(Movimentacoes!$G:$G,Movimentacoes!$C:$C,$A1260,Movimentacoes!$E:$E,$C1260,Movimentacoes!$B:$B,"ENTRADA")</f>
        <v/>
      </c>
      <c r="H1260" s="13">
        <f>SUMIFS(Movimentacoes!$G:$G,Movimentacoes!$C:$C,$A1260,Movimentacoes!$E:$E,$C1260,Movimentacoes!$B:$B,"SAIDA_USO")</f>
        <v/>
      </c>
      <c r="I1260" s="13">
        <f>SUMIFS(Movimentacoes!$G:$G,Movimentacoes!$C:$C,$A1260,Movimentacoes!$E:$E,$C1260,Movimentacoes!$B:$B,"SAIDA_DESCARTE")</f>
        <v/>
      </c>
      <c r="J1260" s="13">
        <f>G1260-H1260-I1260</f>
        <v/>
      </c>
      <c r="K1260">
        <f>IF(A1260="","",IF(J1260&lt;=IFERROR(VLOOKUP(A1260,Cadastro_Produtos!$A:$E,5,FALSE),0),"ABAIXO DO MINIMO","OK"))</f>
        <v/>
      </c>
    </row>
    <row r="1261">
      <c r="B1261">
        <f>IFERROR(VLOOKUP(A1261,Cadastro_Produtos!A:B,2,FALSE),"")</f>
        <v/>
      </c>
      <c r="D1261" s="12" t="n"/>
      <c r="E1261" s="13">
        <f>IF(D1261="","",D1261-TODAY())</f>
        <v/>
      </c>
      <c r="F1261">
        <f>IF(D1261="","",IF(E1261&lt;0,"VENCIDO",IF(E1261&lt;=30,"VENCE EM &lt;= 30 DIAS",IF(E1261&lt;=60,"ATENCAO (31-60 DIAS)","OK"))))</f>
        <v/>
      </c>
      <c r="G1261" s="13">
        <f>SUMIFS(Movimentacoes!$G:$G,Movimentacoes!$C:$C,$A1261,Movimentacoes!$E:$E,$C1261,Movimentacoes!$B:$B,"ENTRADA")</f>
        <v/>
      </c>
      <c r="H1261" s="13">
        <f>SUMIFS(Movimentacoes!$G:$G,Movimentacoes!$C:$C,$A1261,Movimentacoes!$E:$E,$C1261,Movimentacoes!$B:$B,"SAIDA_USO")</f>
        <v/>
      </c>
      <c r="I1261" s="13">
        <f>SUMIFS(Movimentacoes!$G:$G,Movimentacoes!$C:$C,$A1261,Movimentacoes!$E:$E,$C1261,Movimentacoes!$B:$B,"SAIDA_DESCARTE")</f>
        <v/>
      </c>
      <c r="J1261" s="13">
        <f>G1261-H1261-I1261</f>
        <v/>
      </c>
      <c r="K1261">
        <f>IF(A1261="","",IF(J1261&lt;=IFERROR(VLOOKUP(A1261,Cadastro_Produtos!$A:$E,5,FALSE),0),"ABAIXO DO MINIMO","OK"))</f>
        <v/>
      </c>
    </row>
    <row r="1262">
      <c r="B1262">
        <f>IFERROR(VLOOKUP(A1262,Cadastro_Produtos!A:B,2,FALSE),"")</f>
        <v/>
      </c>
      <c r="D1262" s="12" t="n"/>
      <c r="E1262" s="13">
        <f>IF(D1262="","",D1262-TODAY())</f>
        <v/>
      </c>
      <c r="F1262">
        <f>IF(D1262="","",IF(E1262&lt;0,"VENCIDO",IF(E1262&lt;=30,"VENCE EM &lt;= 30 DIAS",IF(E1262&lt;=60,"ATENCAO (31-60 DIAS)","OK"))))</f>
        <v/>
      </c>
      <c r="G1262" s="13">
        <f>SUMIFS(Movimentacoes!$G:$G,Movimentacoes!$C:$C,$A1262,Movimentacoes!$E:$E,$C1262,Movimentacoes!$B:$B,"ENTRADA")</f>
        <v/>
      </c>
      <c r="H1262" s="13">
        <f>SUMIFS(Movimentacoes!$G:$G,Movimentacoes!$C:$C,$A1262,Movimentacoes!$E:$E,$C1262,Movimentacoes!$B:$B,"SAIDA_USO")</f>
        <v/>
      </c>
      <c r="I1262" s="13">
        <f>SUMIFS(Movimentacoes!$G:$G,Movimentacoes!$C:$C,$A1262,Movimentacoes!$E:$E,$C1262,Movimentacoes!$B:$B,"SAIDA_DESCARTE")</f>
        <v/>
      </c>
      <c r="J1262" s="13">
        <f>G1262-H1262-I1262</f>
        <v/>
      </c>
      <c r="K1262">
        <f>IF(A1262="","",IF(J1262&lt;=IFERROR(VLOOKUP(A1262,Cadastro_Produtos!$A:$E,5,FALSE),0),"ABAIXO DO MINIMO","OK"))</f>
        <v/>
      </c>
    </row>
    <row r="1263">
      <c r="B1263">
        <f>IFERROR(VLOOKUP(A1263,Cadastro_Produtos!A:B,2,FALSE),"")</f>
        <v/>
      </c>
      <c r="D1263" s="12" t="n"/>
      <c r="E1263" s="13">
        <f>IF(D1263="","",D1263-TODAY())</f>
        <v/>
      </c>
      <c r="F1263">
        <f>IF(D1263="","",IF(E1263&lt;0,"VENCIDO",IF(E1263&lt;=30,"VENCE EM &lt;= 30 DIAS",IF(E1263&lt;=60,"ATENCAO (31-60 DIAS)","OK"))))</f>
        <v/>
      </c>
      <c r="G1263" s="13">
        <f>SUMIFS(Movimentacoes!$G:$G,Movimentacoes!$C:$C,$A1263,Movimentacoes!$E:$E,$C1263,Movimentacoes!$B:$B,"ENTRADA")</f>
        <v/>
      </c>
      <c r="H1263" s="13">
        <f>SUMIFS(Movimentacoes!$G:$G,Movimentacoes!$C:$C,$A1263,Movimentacoes!$E:$E,$C1263,Movimentacoes!$B:$B,"SAIDA_USO")</f>
        <v/>
      </c>
      <c r="I1263" s="13">
        <f>SUMIFS(Movimentacoes!$G:$G,Movimentacoes!$C:$C,$A1263,Movimentacoes!$E:$E,$C1263,Movimentacoes!$B:$B,"SAIDA_DESCARTE")</f>
        <v/>
      </c>
      <c r="J1263" s="13">
        <f>G1263-H1263-I1263</f>
        <v/>
      </c>
      <c r="K1263">
        <f>IF(A1263="","",IF(J1263&lt;=IFERROR(VLOOKUP(A1263,Cadastro_Produtos!$A:$E,5,FALSE),0),"ABAIXO DO MINIMO","OK"))</f>
        <v/>
      </c>
    </row>
    <row r="1264">
      <c r="B1264">
        <f>IFERROR(VLOOKUP(A1264,Cadastro_Produtos!A:B,2,FALSE),"")</f>
        <v/>
      </c>
      <c r="D1264" s="12" t="n"/>
      <c r="E1264" s="13">
        <f>IF(D1264="","",D1264-TODAY())</f>
        <v/>
      </c>
      <c r="F1264">
        <f>IF(D1264="","",IF(E1264&lt;0,"VENCIDO",IF(E1264&lt;=30,"VENCE EM &lt;= 30 DIAS",IF(E1264&lt;=60,"ATENCAO (31-60 DIAS)","OK"))))</f>
        <v/>
      </c>
      <c r="G1264" s="13">
        <f>SUMIFS(Movimentacoes!$G:$G,Movimentacoes!$C:$C,$A1264,Movimentacoes!$E:$E,$C1264,Movimentacoes!$B:$B,"ENTRADA")</f>
        <v/>
      </c>
      <c r="H1264" s="13">
        <f>SUMIFS(Movimentacoes!$G:$G,Movimentacoes!$C:$C,$A1264,Movimentacoes!$E:$E,$C1264,Movimentacoes!$B:$B,"SAIDA_USO")</f>
        <v/>
      </c>
      <c r="I1264" s="13">
        <f>SUMIFS(Movimentacoes!$G:$G,Movimentacoes!$C:$C,$A1264,Movimentacoes!$E:$E,$C1264,Movimentacoes!$B:$B,"SAIDA_DESCARTE")</f>
        <v/>
      </c>
      <c r="J1264" s="13">
        <f>G1264-H1264-I1264</f>
        <v/>
      </c>
      <c r="K1264">
        <f>IF(A1264="","",IF(J1264&lt;=IFERROR(VLOOKUP(A1264,Cadastro_Produtos!$A:$E,5,FALSE),0),"ABAIXO DO MINIMO","OK"))</f>
        <v/>
      </c>
    </row>
    <row r="1265">
      <c r="B1265">
        <f>IFERROR(VLOOKUP(A1265,Cadastro_Produtos!A:B,2,FALSE),"")</f>
        <v/>
      </c>
      <c r="D1265" s="12" t="n"/>
      <c r="E1265" s="13">
        <f>IF(D1265="","",D1265-TODAY())</f>
        <v/>
      </c>
      <c r="F1265">
        <f>IF(D1265="","",IF(E1265&lt;0,"VENCIDO",IF(E1265&lt;=30,"VENCE EM &lt;= 30 DIAS",IF(E1265&lt;=60,"ATENCAO (31-60 DIAS)","OK"))))</f>
        <v/>
      </c>
      <c r="G1265" s="13">
        <f>SUMIFS(Movimentacoes!$G:$G,Movimentacoes!$C:$C,$A1265,Movimentacoes!$E:$E,$C1265,Movimentacoes!$B:$B,"ENTRADA")</f>
        <v/>
      </c>
      <c r="H1265" s="13">
        <f>SUMIFS(Movimentacoes!$G:$G,Movimentacoes!$C:$C,$A1265,Movimentacoes!$E:$E,$C1265,Movimentacoes!$B:$B,"SAIDA_USO")</f>
        <v/>
      </c>
      <c r="I1265" s="13">
        <f>SUMIFS(Movimentacoes!$G:$G,Movimentacoes!$C:$C,$A1265,Movimentacoes!$E:$E,$C1265,Movimentacoes!$B:$B,"SAIDA_DESCARTE")</f>
        <v/>
      </c>
      <c r="J1265" s="13">
        <f>G1265-H1265-I1265</f>
        <v/>
      </c>
      <c r="K1265">
        <f>IF(A1265="","",IF(J1265&lt;=IFERROR(VLOOKUP(A1265,Cadastro_Produtos!$A:$E,5,FALSE),0),"ABAIXO DO MINIMO","OK"))</f>
        <v/>
      </c>
    </row>
    <row r="1266">
      <c r="B1266">
        <f>IFERROR(VLOOKUP(A1266,Cadastro_Produtos!A:B,2,FALSE),"")</f>
        <v/>
      </c>
      <c r="D1266" s="12" t="n"/>
      <c r="E1266" s="13">
        <f>IF(D1266="","",D1266-TODAY())</f>
        <v/>
      </c>
      <c r="F1266">
        <f>IF(D1266="","",IF(E1266&lt;0,"VENCIDO",IF(E1266&lt;=30,"VENCE EM &lt;= 30 DIAS",IF(E1266&lt;=60,"ATENCAO (31-60 DIAS)","OK"))))</f>
        <v/>
      </c>
      <c r="G1266" s="13">
        <f>SUMIFS(Movimentacoes!$G:$G,Movimentacoes!$C:$C,$A1266,Movimentacoes!$E:$E,$C1266,Movimentacoes!$B:$B,"ENTRADA")</f>
        <v/>
      </c>
      <c r="H1266" s="13">
        <f>SUMIFS(Movimentacoes!$G:$G,Movimentacoes!$C:$C,$A1266,Movimentacoes!$E:$E,$C1266,Movimentacoes!$B:$B,"SAIDA_USO")</f>
        <v/>
      </c>
      <c r="I1266" s="13">
        <f>SUMIFS(Movimentacoes!$G:$G,Movimentacoes!$C:$C,$A1266,Movimentacoes!$E:$E,$C1266,Movimentacoes!$B:$B,"SAIDA_DESCARTE")</f>
        <v/>
      </c>
      <c r="J1266" s="13">
        <f>G1266-H1266-I1266</f>
        <v/>
      </c>
      <c r="K1266">
        <f>IF(A1266="","",IF(J1266&lt;=IFERROR(VLOOKUP(A1266,Cadastro_Produtos!$A:$E,5,FALSE),0),"ABAIXO DO MINIMO","OK"))</f>
        <v/>
      </c>
    </row>
    <row r="1267">
      <c r="B1267">
        <f>IFERROR(VLOOKUP(A1267,Cadastro_Produtos!A:B,2,FALSE),"")</f>
        <v/>
      </c>
      <c r="D1267" s="12" t="n"/>
      <c r="E1267" s="13">
        <f>IF(D1267="","",D1267-TODAY())</f>
        <v/>
      </c>
      <c r="F1267">
        <f>IF(D1267="","",IF(E1267&lt;0,"VENCIDO",IF(E1267&lt;=30,"VENCE EM &lt;= 30 DIAS",IF(E1267&lt;=60,"ATENCAO (31-60 DIAS)","OK"))))</f>
        <v/>
      </c>
      <c r="G1267" s="13">
        <f>SUMIFS(Movimentacoes!$G:$G,Movimentacoes!$C:$C,$A1267,Movimentacoes!$E:$E,$C1267,Movimentacoes!$B:$B,"ENTRADA")</f>
        <v/>
      </c>
      <c r="H1267" s="13">
        <f>SUMIFS(Movimentacoes!$G:$G,Movimentacoes!$C:$C,$A1267,Movimentacoes!$E:$E,$C1267,Movimentacoes!$B:$B,"SAIDA_USO")</f>
        <v/>
      </c>
      <c r="I1267" s="13">
        <f>SUMIFS(Movimentacoes!$G:$G,Movimentacoes!$C:$C,$A1267,Movimentacoes!$E:$E,$C1267,Movimentacoes!$B:$B,"SAIDA_DESCARTE")</f>
        <v/>
      </c>
      <c r="J1267" s="13">
        <f>G1267-H1267-I1267</f>
        <v/>
      </c>
      <c r="K1267">
        <f>IF(A1267="","",IF(J1267&lt;=IFERROR(VLOOKUP(A1267,Cadastro_Produtos!$A:$E,5,FALSE),0),"ABAIXO DO MINIMO","OK"))</f>
        <v/>
      </c>
    </row>
    <row r="1268">
      <c r="B1268">
        <f>IFERROR(VLOOKUP(A1268,Cadastro_Produtos!A:B,2,FALSE),"")</f>
        <v/>
      </c>
      <c r="D1268" s="12" t="n"/>
      <c r="E1268" s="13">
        <f>IF(D1268="","",D1268-TODAY())</f>
        <v/>
      </c>
      <c r="F1268">
        <f>IF(D1268="","",IF(E1268&lt;0,"VENCIDO",IF(E1268&lt;=30,"VENCE EM &lt;= 30 DIAS",IF(E1268&lt;=60,"ATENCAO (31-60 DIAS)","OK"))))</f>
        <v/>
      </c>
      <c r="G1268" s="13">
        <f>SUMIFS(Movimentacoes!$G:$G,Movimentacoes!$C:$C,$A1268,Movimentacoes!$E:$E,$C1268,Movimentacoes!$B:$B,"ENTRADA")</f>
        <v/>
      </c>
      <c r="H1268" s="13">
        <f>SUMIFS(Movimentacoes!$G:$G,Movimentacoes!$C:$C,$A1268,Movimentacoes!$E:$E,$C1268,Movimentacoes!$B:$B,"SAIDA_USO")</f>
        <v/>
      </c>
      <c r="I1268" s="13">
        <f>SUMIFS(Movimentacoes!$G:$G,Movimentacoes!$C:$C,$A1268,Movimentacoes!$E:$E,$C1268,Movimentacoes!$B:$B,"SAIDA_DESCARTE")</f>
        <v/>
      </c>
      <c r="J1268" s="13">
        <f>G1268-H1268-I1268</f>
        <v/>
      </c>
      <c r="K1268">
        <f>IF(A1268="","",IF(J1268&lt;=IFERROR(VLOOKUP(A1268,Cadastro_Produtos!$A:$E,5,FALSE),0),"ABAIXO DO MINIMO","OK"))</f>
        <v/>
      </c>
    </row>
    <row r="1269">
      <c r="B1269">
        <f>IFERROR(VLOOKUP(A1269,Cadastro_Produtos!A:B,2,FALSE),"")</f>
        <v/>
      </c>
      <c r="D1269" s="12" t="n"/>
      <c r="E1269" s="13">
        <f>IF(D1269="","",D1269-TODAY())</f>
        <v/>
      </c>
      <c r="F1269">
        <f>IF(D1269="","",IF(E1269&lt;0,"VENCIDO",IF(E1269&lt;=30,"VENCE EM &lt;= 30 DIAS",IF(E1269&lt;=60,"ATENCAO (31-60 DIAS)","OK"))))</f>
        <v/>
      </c>
      <c r="G1269" s="13">
        <f>SUMIFS(Movimentacoes!$G:$G,Movimentacoes!$C:$C,$A1269,Movimentacoes!$E:$E,$C1269,Movimentacoes!$B:$B,"ENTRADA")</f>
        <v/>
      </c>
      <c r="H1269" s="13">
        <f>SUMIFS(Movimentacoes!$G:$G,Movimentacoes!$C:$C,$A1269,Movimentacoes!$E:$E,$C1269,Movimentacoes!$B:$B,"SAIDA_USO")</f>
        <v/>
      </c>
      <c r="I1269" s="13">
        <f>SUMIFS(Movimentacoes!$G:$G,Movimentacoes!$C:$C,$A1269,Movimentacoes!$E:$E,$C1269,Movimentacoes!$B:$B,"SAIDA_DESCARTE")</f>
        <v/>
      </c>
      <c r="J1269" s="13">
        <f>G1269-H1269-I1269</f>
        <v/>
      </c>
      <c r="K1269">
        <f>IF(A1269="","",IF(J1269&lt;=IFERROR(VLOOKUP(A1269,Cadastro_Produtos!$A:$E,5,FALSE),0),"ABAIXO DO MINIMO","OK"))</f>
        <v/>
      </c>
    </row>
    <row r="1270">
      <c r="B1270">
        <f>IFERROR(VLOOKUP(A1270,Cadastro_Produtos!A:B,2,FALSE),"")</f>
        <v/>
      </c>
      <c r="D1270" s="12" t="n"/>
      <c r="E1270" s="13">
        <f>IF(D1270="","",D1270-TODAY())</f>
        <v/>
      </c>
      <c r="F1270">
        <f>IF(D1270="","",IF(E1270&lt;0,"VENCIDO",IF(E1270&lt;=30,"VENCE EM &lt;= 30 DIAS",IF(E1270&lt;=60,"ATENCAO (31-60 DIAS)","OK"))))</f>
        <v/>
      </c>
      <c r="G1270" s="13">
        <f>SUMIFS(Movimentacoes!$G:$G,Movimentacoes!$C:$C,$A1270,Movimentacoes!$E:$E,$C1270,Movimentacoes!$B:$B,"ENTRADA")</f>
        <v/>
      </c>
      <c r="H1270" s="13">
        <f>SUMIFS(Movimentacoes!$G:$G,Movimentacoes!$C:$C,$A1270,Movimentacoes!$E:$E,$C1270,Movimentacoes!$B:$B,"SAIDA_USO")</f>
        <v/>
      </c>
      <c r="I1270" s="13">
        <f>SUMIFS(Movimentacoes!$G:$G,Movimentacoes!$C:$C,$A1270,Movimentacoes!$E:$E,$C1270,Movimentacoes!$B:$B,"SAIDA_DESCARTE")</f>
        <v/>
      </c>
      <c r="J1270" s="13">
        <f>G1270-H1270-I1270</f>
        <v/>
      </c>
      <c r="K1270">
        <f>IF(A1270="","",IF(J1270&lt;=IFERROR(VLOOKUP(A1270,Cadastro_Produtos!$A:$E,5,FALSE),0),"ABAIXO DO MINIMO","OK"))</f>
        <v/>
      </c>
    </row>
    <row r="1271">
      <c r="B1271">
        <f>IFERROR(VLOOKUP(A1271,Cadastro_Produtos!A:B,2,FALSE),"")</f>
        <v/>
      </c>
      <c r="D1271" s="12" t="n"/>
      <c r="E1271" s="13">
        <f>IF(D1271="","",D1271-TODAY())</f>
        <v/>
      </c>
      <c r="F1271">
        <f>IF(D1271="","",IF(E1271&lt;0,"VENCIDO",IF(E1271&lt;=30,"VENCE EM &lt;= 30 DIAS",IF(E1271&lt;=60,"ATENCAO (31-60 DIAS)","OK"))))</f>
        <v/>
      </c>
      <c r="G1271" s="13">
        <f>SUMIFS(Movimentacoes!$G:$G,Movimentacoes!$C:$C,$A1271,Movimentacoes!$E:$E,$C1271,Movimentacoes!$B:$B,"ENTRADA")</f>
        <v/>
      </c>
      <c r="H1271" s="13">
        <f>SUMIFS(Movimentacoes!$G:$G,Movimentacoes!$C:$C,$A1271,Movimentacoes!$E:$E,$C1271,Movimentacoes!$B:$B,"SAIDA_USO")</f>
        <v/>
      </c>
      <c r="I1271" s="13">
        <f>SUMIFS(Movimentacoes!$G:$G,Movimentacoes!$C:$C,$A1271,Movimentacoes!$E:$E,$C1271,Movimentacoes!$B:$B,"SAIDA_DESCARTE")</f>
        <v/>
      </c>
      <c r="J1271" s="13">
        <f>G1271-H1271-I1271</f>
        <v/>
      </c>
      <c r="K1271">
        <f>IF(A1271="","",IF(J1271&lt;=IFERROR(VLOOKUP(A1271,Cadastro_Produtos!$A:$E,5,FALSE),0),"ABAIXO DO MINIMO","OK"))</f>
        <v/>
      </c>
    </row>
    <row r="1272">
      <c r="B1272">
        <f>IFERROR(VLOOKUP(A1272,Cadastro_Produtos!A:B,2,FALSE),"")</f>
        <v/>
      </c>
      <c r="D1272" s="12" t="n"/>
      <c r="E1272" s="13">
        <f>IF(D1272="","",D1272-TODAY())</f>
        <v/>
      </c>
      <c r="F1272">
        <f>IF(D1272="","",IF(E1272&lt;0,"VENCIDO",IF(E1272&lt;=30,"VENCE EM &lt;= 30 DIAS",IF(E1272&lt;=60,"ATENCAO (31-60 DIAS)","OK"))))</f>
        <v/>
      </c>
      <c r="G1272" s="13">
        <f>SUMIFS(Movimentacoes!$G:$G,Movimentacoes!$C:$C,$A1272,Movimentacoes!$E:$E,$C1272,Movimentacoes!$B:$B,"ENTRADA")</f>
        <v/>
      </c>
      <c r="H1272" s="13">
        <f>SUMIFS(Movimentacoes!$G:$G,Movimentacoes!$C:$C,$A1272,Movimentacoes!$E:$E,$C1272,Movimentacoes!$B:$B,"SAIDA_USO")</f>
        <v/>
      </c>
      <c r="I1272" s="13">
        <f>SUMIFS(Movimentacoes!$G:$G,Movimentacoes!$C:$C,$A1272,Movimentacoes!$E:$E,$C1272,Movimentacoes!$B:$B,"SAIDA_DESCARTE")</f>
        <v/>
      </c>
      <c r="J1272" s="13">
        <f>G1272-H1272-I1272</f>
        <v/>
      </c>
      <c r="K1272">
        <f>IF(A1272="","",IF(J1272&lt;=IFERROR(VLOOKUP(A1272,Cadastro_Produtos!$A:$E,5,FALSE),0),"ABAIXO DO MINIMO","OK"))</f>
        <v/>
      </c>
    </row>
    <row r="1273">
      <c r="B1273">
        <f>IFERROR(VLOOKUP(A1273,Cadastro_Produtos!A:B,2,FALSE),"")</f>
        <v/>
      </c>
      <c r="D1273" s="12" t="n"/>
      <c r="E1273" s="13">
        <f>IF(D1273="","",D1273-TODAY())</f>
        <v/>
      </c>
      <c r="F1273">
        <f>IF(D1273="","",IF(E1273&lt;0,"VENCIDO",IF(E1273&lt;=30,"VENCE EM &lt;= 30 DIAS",IF(E1273&lt;=60,"ATENCAO (31-60 DIAS)","OK"))))</f>
        <v/>
      </c>
      <c r="G1273" s="13">
        <f>SUMIFS(Movimentacoes!$G:$G,Movimentacoes!$C:$C,$A1273,Movimentacoes!$E:$E,$C1273,Movimentacoes!$B:$B,"ENTRADA")</f>
        <v/>
      </c>
      <c r="H1273" s="13">
        <f>SUMIFS(Movimentacoes!$G:$G,Movimentacoes!$C:$C,$A1273,Movimentacoes!$E:$E,$C1273,Movimentacoes!$B:$B,"SAIDA_USO")</f>
        <v/>
      </c>
      <c r="I1273" s="13">
        <f>SUMIFS(Movimentacoes!$G:$G,Movimentacoes!$C:$C,$A1273,Movimentacoes!$E:$E,$C1273,Movimentacoes!$B:$B,"SAIDA_DESCARTE")</f>
        <v/>
      </c>
      <c r="J1273" s="13">
        <f>G1273-H1273-I1273</f>
        <v/>
      </c>
      <c r="K1273">
        <f>IF(A1273="","",IF(J1273&lt;=IFERROR(VLOOKUP(A1273,Cadastro_Produtos!$A:$E,5,FALSE),0),"ABAIXO DO MINIMO","OK"))</f>
        <v/>
      </c>
    </row>
    <row r="1274">
      <c r="B1274">
        <f>IFERROR(VLOOKUP(A1274,Cadastro_Produtos!A:B,2,FALSE),"")</f>
        <v/>
      </c>
      <c r="D1274" s="12" t="n"/>
      <c r="E1274" s="13">
        <f>IF(D1274="","",D1274-TODAY())</f>
        <v/>
      </c>
      <c r="F1274">
        <f>IF(D1274="","",IF(E1274&lt;0,"VENCIDO",IF(E1274&lt;=30,"VENCE EM &lt;= 30 DIAS",IF(E1274&lt;=60,"ATENCAO (31-60 DIAS)","OK"))))</f>
        <v/>
      </c>
      <c r="G1274" s="13">
        <f>SUMIFS(Movimentacoes!$G:$G,Movimentacoes!$C:$C,$A1274,Movimentacoes!$E:$E,$C1274,Movimentacoes!$B:$B,"ENTRADA")</f>
        <v/>
      </c>
      <c r="H1274" s="13">
        <f>SUMIFS(Movimentacoes!$G:$G,Movimentacoes!$C:$C,$A1274,Movimentacoes!$E:$E,$C1274,Movimentacoes!$B:$B,"SAIDA_USO")</f>
        <v/>
      </c>
      <c r="I1274" s="13">
        <f>SUMIFS(Movimentacoes!$G:$G,Movimentacoes!$C:$C,$A1274,Movimentacoes!$E:$E,$C1274,Movimentacoes!$B:$B,"SAIDA_DESCARTE")</f>
        <v/>
      </c>
      <c r="J1274" s="13">
        <f>G1274-H1274-I1274</f>
        <v/>
      </c>
      <c r="K1274">
        <f>IF(A1274="","",IF(J1274&lt;=IFERROR(VLOOKUP(A1274,Cadastro_Produtos!$A:$E,5,FALSE),0),"ABAIXO DO MINIMO","OK"))</f>
        <v/>
      </c>
    </row>
    <row r="1275">
      <c r="B1275">
        <f>IFERROR(VLOOKUP(A1275,Cadastro_Produtos!A:B,2,FALSE),"")</f>
        <v/>
      </c>
      <c r="D1275" s="12" t="n"/>
      <c r="E1275" s="13">
        <f>IF(D1275="","",D1275-TODAY())</f>
        <v/>
      </c>
      <c r="F1275">
        <f>IF(D1275="","",IF(E1275&lt;0,"VENCIDO",IF(E1275&lt;=30,"VENCE EM &lt;= 30 DIAS",IF(E1275&lt;=60,"ATENCAO (31-60 DIAS)","OK"))))</f>
        <v/>
      </c>
      <c r="G1275" s="13">
        <f>SUMIFS(Movimentacoes!$G:$G,Movimentacoes!$C:$C,$A1275,Movimentacoes!$E:$E,$C1275,Movimentacoes!$B:$B,"ENTRADA")</f>
        <v/>
      </c>
      <c r="H1275" s="13">
        <f>SUMIFS(Movimentacoes!$G:$G,Movimentacoes!$C:$C,$A1275,Movimentacoes!$E:$E,$C1275,Movimentacoes!$B:$B,"SAIDA_USO")</f>
        <v/>
      </c>
      <c r="I1275" s="13">
        <f>SUMIFS(Movimentacoes!$G:$G,Movimentacoes!$C:$C,$A1275,Movimentacoes!$E:$E,$C1275,Movimentacoes!$B:$B,"SAIDA_DESCARTE")</f>
        <v/>
      </c>
      <c r="J1275" s="13">
        <f>G1275-H1275-I1275</f>
        <v/>
      </c>
      <c r="K1275">
        <f>IF(A1275="","",IF(J1275&lt;=IFERROR(VLOOKUP(A1275,Cadastro_Produtos!$A:$E,5,FALSE),0),"ABAIXO DO MINIMO","OK"))</f>
        <v/>
      </c>
    </row>
    <row r="1276">
      <c r="B1276">
        <f>IFERROR(VLOOKUP(A1276,Cadastro_Produtos!A:B,2,FALSE),"")</f>
        <v/>
      </c>
      <c r="D1276" s="12" t="n"/>
      <c r="E1276" s="13">
        <f>IF(D1276="","",D1276-TODAY())</f>
        <v/>
      </c>
      <c r="F1276">
        <f>IF(D1276="","",IF(E1276&lt;0,"VENCIDO",IF(E1276&lt;=30,"VENCE EM &lt;= 30 DIAS",IF(E1276&lt;=60,"ATENCAO (31-60 DIAS)","OK"))))</f>
        <v/>
      </c>
      <c r="G1276" s="13">
        <f>SUMIFS(Movimentacoes!$G:$G,Movimentacoes!$C:$C,$A1276,Movimentacoes!$E:$E,$C1276,Movimentacoes!$B:$B,"ENTRADA")</f>
        <v/>
      </c>
      <c r="H1276" s="13">
        <f>SUMIFS(Movimentacoes!$G:$G,Movimentacoes!$C:$C,$A1276,Movimentacoes!$E:$E,$C1276,Movimentacoes!$B:$B,"SAIDA_USO")</f>
        <v/>
      </c>
      <c r="I1276" s="13">
        <f>SUMIFS(Movimentacoes!$G:$G,Movimentacoes!$C:$C,$A1276,Movimentacoes!$E:$E,$C1276,Movimentacoes!$B:$B,"SAIDA_DESCARTE")</f>
        <v/>
      </c>
      <c r="J1276" s="13">
        <f>G1276-H1276-I1276</f>
        <v/>
      </c>
      <c r="K1276">
        <f>IF(A1276="","",IF(J1276&lt;=IFERROR(VLOOKUP(A1276,Cadastro_Produtos!$A:$E,5,FALSE),0),"ABAIXO DO MINIMO","OK"))</f>
        <v/>
      </c>
    </row>
    <row r="1277">
      <c r="B1277">
        <f>IFERROR(VLOOKUP(A1277,Cadastro_Produtos!A:B,2,FALSE),"")</f>
        <v/>
      </c>
      <c r="D1277" s="12" t="n"/>
      <c r="E1277" s="13">
        <f>IF(D1277="","",D1277-TODAY())</f>
        <v/>
      </c>
      <c r="F1277">
        <f>IF(D1277="","",IF(E1277&lt;0,"VENCIDO",IF(E1277&lt;=30,"VENCE EM &lt;= 30 DIAS",IF(E1277&lt;=60,"ATENCAO (31-60 DIAS)","OK"))))</f>
        <v/>
      </c>
      <c r="G1277" s="13">
        <f>SUMIFS(Movimentacoes!$G:$G,Movimentacoes!$C:$C,$A1277,Movimentacoes!$E:$E,$C1277,Movimentacoes!$B:$B,"ENTRADA")</f>
        <v/>
      </c>
      <c r="H1277" s="13">
        <f>SUMIFS(Movimentacoes!$G:$G,Movimentacoes!$C:$C,$A1277,Movimentacoes!$E:$E,$C1277,Movimentacoes!$B:$B,"SAIDA_USO")</f>
        <v/>
      </c>
      <c r="I1277" s="13">
        <f>SUMIFS(Movimentacoes!$G:$G,Movimentacoes!$C:$C,$A1277,Movimentacoes!$E:$E,$C1277,Movimentacoes!$B:$B,"SAIDA_DESCARTE")</f>
        <v/>
      </c>
      <c r="J1277" s="13">
        <f>G1277-H1277-I1277</f>
        <v/>
      </c>
      <c r="K1277">
        <f>IF(A1277="","",IF(J1277&lt;=IFERROR(VLOOKUP(A1277,Cadastro_Produtos!$A:$E,5,FALSE),0),"ABAIXO DO MINIMO","OK"))</f>
        <v/>
      </c>
    </row>
    <row r="1278">
      <c r="B1278">
        <f>IFERROR(VLOOKUP(A1278,Cadastro_Produtos!A:B,2,FALSE),"")</f>
        <v/>
      </c>
      <c r="D1278" s="12" t="n"/>
      <c r="E1278" s="13">
        <f>IF(D1278="","",D1278-TODAY())</f>
        <v/>
      </c>
      <c r="F1278">
        <f>IF(D1278="","",IF(E1278&lt;0,"VENCIDO",IF(E1278&lt;=30,"VENCE EM &lt;= 30 DIAS",IF(E1278&lt;=60,"ATENCAO (31-60 DIAS)","OK"))))</f>
        <v/>
      </c>
      <c r="G1278" s="13">
        <f>SUMIFS(Movimentacoes!$G:$G,Movimentacoes!$C:$C,$A1278,Movimentacoes!$E:$E,$C1278,Movimentacoes!$B:$B,"ENTRADA")</f>
        <v/>
      </c>
      <c r="H1278" s="13">
        <f>SUMIFS(Movimentacoes!$G:$G,Movimentacoes!$C:$C,$A1278,Movimentacoes!$E:$E,$C1278,Movimentacoes!$B:$B,"SAIDA_USO")</f>
        <v/>
      </c>
      <c r="I1278" s="13">
        <f>SUMIFS(Movimentacoes!$G:$G,Movimentacoes!$C:$C,$A1278,Movimentacoes!$E:$E,$C1278,Movimentacoes!$B:$B,"SAIDA_DESCARTE")</f>
        <v/>
      </c>
      <c r="J1278" s="13">
        <f>G1278-H1278-I1278</f>
        <v/>
      </c>
      <c r="K1278">
        <f>IF(A1278="","",IF(J1278&lt;=IFERROR(VLOOKUP(A1278,Cadastro_Produtos!$A:$E,5,FALSE),0),"ABAIXO DO MINIMO","OK"))</f>
        <v/>
      </c>
    </row>
    <row r="1279">
      <c r="B1279">
        <f>IFERROR(VLOOKUP(A1279,Cadastro_Produtos!A:B,2,FALSE),"")</f>
        <v/>
      </c>
      <c r="D1279" s="12" t="n"/>
      <c r="E1279" s="13">
        <f>IF(D1279="","",D1279-TODAY())</f>
        <v/>
      </c>
      <c r="F1279">
        <f>IF(D1279="","",IF(E1279&lt;0,"VENCIDO",IF(E1279&lt;=30,"VENCE EM &lt;= 30 DIAS",IF(E1279&lt;=60,"ATENCAO (31-60 DIAS)","OK"))))</f>
        <v/>
      </c>
      <c r="G1279" s="13">
        <f>SUMIFS(Movimentacoes!$G:$G,Movimentacoes!$C:$C,$A1279,Movimentacoes!$E:$E,$C1279,Movimentacoes!$B:$B,"ENTRADA")</f>
        <v/>
      </c>
      <c r="H1279" s="13">
        <f>SUMIFS(Movimentacoes!$G:$G,Movimentacoes!$C:$C,$A1279,Movimentacoes!$E:$E,$C1279,Movimentacoes!$B:$B,"SAIDA_USO")</f>
        <v/>
      </c>
      <c r="I1279" s="13">
        <f>SUMIFS(Movimentacoes!$G:$G,Movimentacoes!$C:$C,$A1279,Movimentacoes!$E:$E,$C1279,Movimentacoes!$B:$B,"SAIDA_DESCARTE")</f>
        <v/>
      </c>
      <c r="J1279" s="13">
        <f>G1279-H1279-I1279</f>
        <v/>
      </c>
      <c r="K1279">
        <f>IF(A1279="","",IF(J1279&lt;=IFERROR(VLOOKUP(A1279,Cadastro_Produtos!$A:$E,5,FALSE),0),"ABAIXO DO MINIMO","OK"))</f>
        <v/>
      </c>
    </row>
    <row r="1280">
      <c r="B1280">
        <f>IFERROR(VLOOKUP(A1280,Cadastro_Produtos!A:B,2,FALSE),"")</f>
        <v/>
      </c>
      <c r="D1280" s="12" t="n"/>
      <c r="E1280" s="13">
        <f>IF(D1280="","",D1280-TODAY())</f>
        <v/>
      </c>
      <c r="F1280">
        <f>IF(D1280="","",IF(E1280&lt;0,"VENCIDO",IF(E1280&lt;=30,"VENCE EM &lt;= 30 DIAS",IF(E1280&lt;=60,"ATENCAO (31-60 DIAS)","OK"))))</f>
        <v/>
      </c>
      <c r="G1280" s="13">
        <f>SUMIFS(Movimentacoes!$G:$G,Movimentacoes!$C:$C,$A1280,Movimentacoes!$E:$E,$C1280,Movimentacoes!$B:$B,"ENTRADA")</f>
        <v/>
      </c>
      <c r="H1280" s="13">
        <f>SUMIFS(Movimentacoes!$G:$G,Movimentacoes!$C:$C,$A1280,Movimentacoes!$E:$E,$C1280,Movimentacoes!$B:$B,"SAIDA_USO")</f>
        <v/>
      </c>
      <c r="I1280" s="13">
        <f>SUMIFS(Movimentacoes!$G:$G,Movimentacoes!$C:$C,$A1280,Movimentacoes!$E:$E,$C1280,Movimentacoes!$B:$B,"SAIDA_DESCARTE")</f>
        <v/>
      </c>
      <c r="J1280" s="13">
        <f>G1280-H1280-I1280</f>
        <v/>
      </c>
      <c r="K1280">
        <f>IF(A1280="","",IF(J1280&lt;=IFERROR(VLOOKUP(A1280,Cadastro_Produtos!$A:$E,5,FALSE),0),"ABAIXO DO MINIMO","OK"))</f>
        <v/>
      </c>
    </row>
    <row r="1281">
      <c r="B1281">
        <f>IFERROR(VLOOKUP(A1281,Cadastro_Produtos!A:B,2,FALSE),"")</f>
        <v/>
      </c>
      <c r="D1281" s="12" t="n"/>
      <c r="E1281" s="13">
        <f>IF(D1281="","",D1281-TODAY())</f>
        <v/>
      </c>
      <c r="F1281">
        <f>IF(D1281="","",IF(E1281&lt;0,"VENCIDO",IF(E1281&lt;=30,"VENCE EM &lt;= 30 DIAS",IF(E1281&lt;=60,"ATENCAO (31-60 DIAS)","OK"))))</f>
        <v/>
      </c>
      <c r="G1281" s="13">
        <f>SUMIFS(Movimentacoes!$G:$G,Movimentacoes!$C:$C,$A1281,Movimentacoes!$E:$E,$C1281,Movimentacoes!$B:$B,"ENTRADA")</f>
        <v/>
      </c>
      <c r="H1281" s="13">
        <f>SUMIFS(Movimentacoes!$G:$G,Movimentacoes!$C:$C,$A1281,Movimentacoes!$E:$E,$C1281,Movimentacoes!$B:$B,"SAIDA_USO")</f>
        <v/>
      </c>
      <c r="I1281" s="13">
        <f>SUMIFS(Movimentacoes!$G:$G,Movimentacoes!$C:$C,$A1281,Movimentacoes!$E:$E,$C1281,Movimentacoes!$B:$B,"SAIDA_DESCARTE")</f>
        <v/>
      </c>
      <c r="J1281" s="13">
        <f>G1281-H1281-I1281</f>
        <v/>
      </c>
      <c r="K1281">
        <f>IF(A1281="","",IF(J1281&lt;=IFERROR(VLOOKUP(A1281,Cadastro_Produtos!$A:$E,5,FALSE),0),"ABAIXO DO MINIMO","OK"))</f>
        <v/>
      </c>
    </row>
    <row r="1282">
      <c r="B1282">
        <f>IFERROR(VLOOKUP(A1282,Cadastro_Produtos!A:B,2,FALSE),"")</f>
        <v/>
      </c>
      <c r="D1282" s="12" t="n"/>
      <c r="E1282" s="13">
        <f>IF(D1282="","",D1282-TODAY())</f>
        <v/>
      </c>
      <c r="F1282">
        <f>IF(D1282="","",IF(E1282&lt;0,"VENCIDO",IF(E1282&lt;=30,"VENCE EM &lt;= 30 DIAS",IF(E1282&lt;=60,"ATENCAO (31-60 DIAS)","OK"))))</f>
        <v/>
      </c>
      <c r="G1282" s="13">
        <f>SUMIFS(Movimentacoes!$G:$G,Movimentacoes!$C:$C,$A1282,Movimentacoes!$E:$E,$C1282,Movimentacoes!$B:$B,"ENTRADA")</f>
        <v/>
      </c>
      <c r="H1282" s="13">
        <f>SUMIFS(Movimentacoes!$G:$G,Movimentacoes!$C:$C,$A1282,Movimentacoes!$E:$E,$C1282,Movimentacoes!$B:$B,"SAIDA_USO")</f>
        <v/>
      </c>
      <c r="I1282" s="13">
        <f>SUMIFS(Movimentacoes!$G:$G,Movimentacoes!$C:$C,$A1282,Movimentacoes!$E:$E,$C1282,Movimentacoes!$B:$B,"SAIDA_DESCARTE")</f>
        <v/>
      </c>
      <c r="J1282" s="13">
        <f>G1282-H1282-I1282</f>
        <v/>
      </c>
      <c r="K1282">
        <f>IF(A1282="","",IF(J1282&lt;=IFERROR(VLOOKUP(A1282,Cadastro_Produtos!$A:$E,5,FALSE),0),"ABAIXO DO MINIMO","OK"))</f>
        <v/>
      </c>
    </row>
    <row r="1283">
      <c r="B1283">
        <f>IFERROR(VLOOKUP(A1283,Cadastro_Produtos!A:B,2,FALSE),"")</f>
        <v/>
      </c>
      <c r="D1283" s="12" t="n"/>
      <c r="E1283" s="13">
        <f>IF(D1283="","",D1283-TODAY())</f>
        <v/>
      </c>
      <c r="F1283">
        <f>IF(D1283="","",IF(E1283&lt;0,"VENCIDO",IF(E1283&lt;=30,"VENCE EM &lt;= 30 DIAS",IF(E1283&lt;=60,"ATENCAO (31-60 DIAS)","OK"))))</f>
        <v/>
      </c>
      <c r="G1283" s="13">
        <f>SUMIFS(Movimentacoes!$G:$G,Movimentacoes!$C:$C,$A1283,Movimentacoes!$E:$E,$C1283,Movimentacoes!$B:$B,"ENTRADA")</f>
        <v/>
      </c>
      <c r="H1283" s="13">
        <f>SUMIFS(Movimentacoes!$G:$G,Movimentacoes!$C:$C,$A1283,Movimentacoes!$E:$E,$C1283,Movimentacoes!$B:$B,"SAIDA_USO")</f>
        <v/>
      </c>
      <c r="I1283" s="13">
        <f>SUMIFS(Movimentacoes!$G:$G,Movimentacoes!$C:$C,$A1283,Movimentacoes!$E:$E,$C1283,Movimentacoes!$B:$B,"SAIDA_DESCARTE")</f>
        <v/>
      </c>
      <c r="J1283" s="13">
        <f>G1283-H1283-I1283</f>
        <v/>
      </c>
      <c r="K1283">
        <f>IF(A1283="","",IF(J1283&lt;=IFERROR(VLOOKUP(A1283,Cadastro_Produtos!$A:$E,5,FALSE),0),"ABAIXO DO MINIMO","OK"))</f>
        <v/>
      </c>
    </row>
    <row r="1284">
      <c r="B1284">
        <f>IFERROR(VLOOKUP(A1284,Cadastro_Produtos!A:B,2,FALSE),"")</f>
        <v/>
      </c>
      <c r="D1284" s="12" t="n"/>
      <c r="E1284" s="13">
        <f>IF(D1284="","",D1284-TODAY())</f>
        <v/>
      </c>
      <c r="F1284">
        <f>IF(D1284="","",IF(E1284&lt;0,"VENCIDO",IF(E1284&lt;=30,"VENCE EM &lt;= 30 DIAS",IF(E1284&lt;=60,"ATENCAO (31-60 DIAS)","OK"))))</f>
        <v/>
      </c>
      <c r="G1284" s="13">
        <f>SUMIFS(Movimentacoes!$G:$G,Movimentacoes!$C:$C,$A1284,Movimentacoes!$E:$E,$C1284,Movimentacoes!$B:$B,"ENTRADA")</f>
        <v/>
      </c>
      <c r="H1284" s="13">
        <f>SUMIFS(Movimentacoes!$G:$G,Movimentacoes!$C:$C,$A1284,Movimentacoes!$E:$E,$C1284,Movimentacoes!$B:$B,"SAIDA_USO")</f>
        <v/>
      </c>
      <c r="I1284" s="13">
        <f>SUMIFS(Movimentacoes!$G:$G,Movimentacoes!$C:$C,$A1284,Movimentacoes!$E:$E,$C1284,Movimentacoes!$B:$B,"SAIDA_DESCARTE")</f>
        <v/>
      </c>
      <c r="J1284" s="13">
        <f>G1284-H1284-I1284</f>
        <v/>
      </c>
      <c r="K1284">
        <f>IF(A1284="","",IF(J1284&lt;=IFERROR(VLOOKUP(A1284,Cadastro_Produtos!$A:$E,5,FALSE),0),"ABAIXO DO MINIMO","OK"))</f>
        <v/>
      </c>
    </row>
    <row r="1285">
      <c r="B1285">
        <f>IFERROR(VLOOKUP(A1285,Cadastro_Produtos!A:B,2,FALSE),"")</f>
        <v/>
      </c>
      <c r="D1285" s="12" t="n"/>
      <c r="E1285" s="13">
        <f>IF(D1285="","",D1285-TODAY())</f>
        <v/>
      </c>
      <c r="F1285">
        <f>IF(D1285="","",IF(E1285&lt;0,"VENCIDO",IF(E1285&lt;=30,"VENCE EM &lt;= 30 DIAS",IF(E1285&lt;=60,"ATENCAO (31-60 DIAS)","OK"))))</f>
        <v/>
      </c>
      <c r="G1285" s="13">
        <f>SUMIFS(Movimentacoes!$G:$G,Movimentacoes!$C:$C,$A1285,Movimentacoes!$E:$E,$C1285,Movimentacoes!$B:$B,"ENTRADA")</f>
        <v/>
      </c>
      <c r="H1285" s="13">
        <f>SUMIFS(Movimentacoes!$G:$G,Movimentacoes!$C:$C,$A1285,Movimentacoes!$E:$E,$C1285,Movimentacoes!$B:$B,"SAIDA_USO")</f>
        <v/>
      </c>
      <c r="I1285" s="13">
        <f>SUMIFS(Movimentacoes!$G:$G,Movimentacoes!$C:$C,$A1285,Movimentacoes!$E:$E,$C1285,Movimentacoes!$B:$B,"SAIDA_DESCARTE")</f>
        <v/>
      </c>
      <c r="J1285" s="13">
        <f>G1285-H1285-I1285</f>
        <v/>
      </c>
      <c r="K1285">
        <f>IF(A1285="","",IF(J1285&lt;=IFERROR(VLOOKUP(A1285,Cadastro_Produtos!$A:$E,5,FALSE),0),"ABAIXO DO MINIMO","OK"))</f>
        <v/>
      </c>
    </row>
    <row r="1286">
      <c r="B1286">
        <f>IFERROR(VLOOKUP(A1286,Cadastro_Produtos!A:B,2,FALSE),"")</f>
        <v/>
      </c>
      <c r="D1286" s="12" t="n"/>
      <c r="E1286" s="13">
        <f>IF(D1286="","",D1286-TODAY())</f>
        <v/>
      </c>
      <c r="F1286">
        <f>IF(D1286="","",IF(E1286&lt;0,"VENCIDO",IF(E1286&lt;=30,"VENCE EM &lt;= 30 DIAS",IF(E1286&lt;=60,"ATENCAO (31-60 DIAS)","OK"))))</f>
        <v/>
      </c>
      <c r="G1286" s="13">
        <f>SUMIFS(Movimentacoes!$G:$G,Movimentacoes!$C:$C,$A1286,Movimentacoes!$E:$E,$C1286,Movimentacoes!$B:$B,"ENTRADA")</f>
        <v/>
      </c>
      <c r="H1286" s="13">
        <f>SUMIFS(Movimentacoes!$G:$G,Movimentacoes!$C:$C,$A1286,Movimentacoes!$E:$E,$C1286,Movimentacoes!$B:$B,"SAIDA_USO")</f>
        <v/>
      </c>
      <c r="I1286" s="13">
        <f>SUMIFS(Movimentacoes!$G:$G,Movimentacoes!$C:$C,$A1286,Movimentacoes!$E:$E,$C1286,Movimentacoes!$B:$B,"SAIDA_DESCARTE")</f>
        <v/>
      </c>
      <c r="J1286" s="13">
        <f>G1286-H1286-I1286</f>
        <v/>
      </c>
      <c r="K1286">
        <f>IF(A1286="","",IF(J1286&lt;=IFERROR(VLOOKUP(A1286,Cadastro_Produtos!$A:$E,5,FALSE),0),"ABAIXO DO MINIMO","OK"))</f>
        <v/>
      </c>
    </row>
    <row r="1287">
      <c r="B1287">
        <f>IFERROR(VLOOKUP(A1287,Cadastro_Produtos!A:B,2,FALSE),"")</f>
        <v/>
      </c>
      <c r="D1287" s="12" t="n"/>
      <c r="E1287" s="13">
        <f>IF(D1287="","",D1287-TODAY())</f>
        <v/>
      </c>
      <c r="F1287">
        <f>IF(D1287="","",IF(E1287&lt;0,"VENCIDO",IF(E1287&lt;=30,"VENCE EM &lt;= 30 DIAS",IF(E1287&lt;=60,"ATENCAO (31-60 DIAS)","OK"))))</f>
        <v/>
      </c>
      <c r="G1287" s="13">
        <f>SUMIFS(Movimentacoes!$G:$G,Movimentacoes!$C:$C,$A1287,Movimentacoes!$E:$E,$C1287,Movimentacoes!$B:$B,"ENTRADA")</f>
        <v/>
      </c>
      <c r="H1287" s="13">
        <f>SUMIFS(Movimentacoes!$G:$G,Movimentacoes!$C:$C,$A1287,Movimentacoes!$E:$E,$C1287,Movimentacoes!$B:$B,"SAIDA_USO")</f>
        <v/>
      </c>
      <c r="I1287" s="13">
        <f>SUMIFS(Movimentacoes!$G:$G,Movimentacoes!$C:$C,$A1287,Movimentacoes!$E:$E,$C1287,Movimentacoes!$B:$B,"SAIDA_DESCARTE")</f>
        <v/>
      </c>
      <c r="J1287" s="13">
        <f>G1287-H1287-I1287</f>
        <v/>
      </c>
      <c r="K1287">
        <f>IF(A1287="","",IF(J1287&lt;=IFERROR(VLOOKUP(A1287,Cadastro_Produtos!$A:$E,5,FALSE),0),"ABAIXO DO MINIMO","OK"))</f>
        <v/>
      </c>
    </row>
    <row r="1288">
      <c r="B1288">
        <f>IFERROR(VLOOKUP(A1288,Cadastro_Produtos!A:B,2,FALSE),"")</f>
        <v/>
      </c>
      <c r="D1288" s="12" t="n"/>
      <c r="E1288" s="13">
        <f>IF(D1288="","",D1288-TODAY())</f>
        <v/>
      </c>
      <c r="F1288">
        <f>IF(D1288="","",IF(E1288&lt;0,"VENCIDO",IF(E1288&lt;=30,"VENCE EM &lt;= 30 DIAS",IF(E1288&lt;=60,"ATENCAO (31-60 DIAS)","OK"))))</f>
        <v/>
      </c>
      <c r="G1288" s="13">
        <f>SUMIFS(Movimentacoes!$G:$G,Movimentacoes!$C:$C,$A1288,Movimentacoes!$E:$E,$C1288,Movimentacoes!$B:$B,"ENTRADA")</f>
        <v/>
      </c>
      <c r="H1288" s="13">
        <f>SUMIFS(Movimentacoes!$G:$G,Movimentacoes!$C:$C,$A1288,Movimentacoes!$E:$E,$C1288,Movimentacoes!$B:$B,"SAIDA_USO")</f>
        <v/>
      </c>
      <c r="I1288" s="13">
        <f>SUMIFS(Movimentacoes!$G:$G,Movimentacoes!$C:$C,$A1288,Movimentacoes!$E:$E,$C1288,Movimentacoes!$B:$B,"SAIDA_DESCARTE")</f>
        <v/>
      </c>
      <c r="J1288" s="13">
        <f>G1288-H1288-I1288</f>
        <v/>
      </c>
      <c r="K1288">
        <f>IF(A1288="","",IF(J1288&lt;=IFERROR(VLOOKUP(A1288,Cadastro_Produtos!$A:$E,5,FALSE),0),"ABAIXO DO MINIMO","OK"))</f>
        <v/>
      </c>
    </row>
    <row r="1289">
      <c r="B1289">
        <f>IFERROR(VLOOKUP(A1289,Cadastro_Produtos!A:B,2,FALSE),"")</f>
        <v/>
      </c>
      <c r="D1289" s="12" t="n"/>
      <c r="E1289" s="13">
        <f>IF(D1289="","",D1289-TODAY())</f>
        <v/>
      </c>
      <c r="F1289">
        <f>IF(D1289="","",IF(E1289&lt;0,"VENCIDO",IF(E1289&lt;=30,"VENCE EM &lt;= 30 DIAS",IF(E1289&lt;=60,"ATENCAO (31-60 DIAS)","OK"))))</f>
        <v/>
      </c>
      <c r="G1289" s="13">
        <f>SUMIFS(Movimentacoes!$G:$G,Movimentacoes!$C:$C,$A1289,Movimentacoes!$E:$E,$C1289,Movimentacoes!$B:$B,"ENTRADA")</f>
        <v/>
      </c>
      <c r="H1289" s="13">
        <f>SUMIFS(Movimentacoes!$G:$G,Movimentacoes!$C:$C,$A1289,Movimentacoes!$E:$E,$C1289,Movimentacoes!$B:$B,"SAIDA_USO")</f>
        <v/>
      </c>
      <c r="I1289" s="13">
        <f>SUMIFS(Movimentacoes!$G:$G,Movimentacoes!$C:$C,$A1289,Movimentacoes!$E:$E,$C1289,Movimentacoes!$B:$B,"SAIDA_DESCARTE")</f>
        <v/>
      </c>
      <c r="J1289" s="13">
        <f>G1289-H1289-I1289</f>
        <v/>
      </c>
      <c r="K1289">
        <f>IF(A1289="","",IF(J1289&lt;=IFERROR(VLOOKUP(A1289,Cadastro_Produtos!$A:$E,5,FALSE),0),"ABAIXO DO MINIMO","OK"))</f>
        <v/>
      </c>
    </row>
    <row r="1290">
      <c r="B1290">
        <f>IFERROR(VLOOKUP(A1290,Cadastro_Produtos!A:B,2,FALSE),"")</f>
        <v/>
      </c>
      <c r="D1290" s="12" t="n"/>
      <c r="E1290" s="13">
        <f>IF(D1290="","",D1290-TODAY())</f>
        <v/>
      </c>
      <c r="F1290">
        <f>IF(D1290="","",IF(E1290&lt;0,"VENCIDO",IF(E1290&lt;=30,"VENCE EM &lt;= 30 DIAS",IF(E1290&lt;=60,"ATENCAO (31-60 DIAS)","OK"))))</f>
        <v/>
      </c>
      <c r="G1290" s="13">
        <f>SUMIFS(Movimentacoes!$G:$G,Movimentacoes!$C:$C,$A1290,Movimentacoes!$E:$E,$C1290,Movimentacoes!$B:$B,"ENTRADA")</f>
        <v/>
      </c>
      <c r="H1290" s="13">
        <f>SUMIFS(Movimentacoes!$G:$G,Movimentacoes!$C:$C,$A1290,Movimentacoes!$E:$E,$C1290,Movimentacoes!$B:$B,"SAIDA_USO")</f>
        <v/>
      </c>
      <c r="I1290" s="13">
        <f>SUMIFS(Movimentacoes!$G:$G,Movimentacoes!$C:$C,$A1290,Movimentacoes!$E:$E,$C1290,Movimentacoes!$B:$B,"SAIDA_DESCARTE")</f>
        <v/>
      </c>
      <c r="J1290" s="13">
        <f>G1290-H1290-I1290</f>
        <v/>
      </c>
      <c r="K1290">
        <f>IF(A1290="","",IF(J1290&lt;=IFERROR(VLOOKUP(A1290,Cadastro_Produtos!$A:$E,5,FALSE),0),"ABAIXO DO MINIMO","OK"))</f>
        <v/>
      </c>
    </row>
    <row r="1291">
      <c r="B1291">
        <f>IFERROR(VLOOKUP(A1291,Cadastro_Produtos!A:B,2,FALSE),"")</f>
        <v/>
      </c>
      <c r="D1291" s="12" t="n"/>
      <c r="E1291" s="13">
        <f>IF(D1291="","",D1291-TODAY())</f>
        <v/>
      </c>
      <c r="F1291">
        <f>IF(D1291="","",IF(E1291&lt;0,"VENCIDO",IF(E1291&lt;=30,"VENCE EM &lt;= 30 DIAS",IF(E1291&lt;=60,"ATENCAO (31-60 DIAS)","OK"))))</f>
        <v/>
      </c>
      <c r="G1291" s="13">
        <f>SUMIFS(Movimentacoes!$G:$G,Movimentacoes!$C:$C,$A1291,Movimentacoes!$E:$E,$C1291,Movimentacoes!$B:$B,"ENTRADA")</f>
        <v/>
      </c>
      <c r="H1291" s="13">
        <f>SUMIFS(Movimentacoes!$G:$G,Movimentacoes!$C:$C,$A1291,Movimentacoes!$E:$E,$C1291,Movimentacoes!$B:$B,"SAIDA_USO")</f>
        <v/>
      </c>
      <c r="I1291" s="13">
        <f>SUMIFS(Movimentacoes!$G:$G,Movimentacoes!$C:$C,$A1291,Movimentacoes!$E:$E,$C1291,Movimentacoes!$B:$B,"SAIDA_DESCARTE")</f>
        <v/>
      </c>
      <c r="J1291" s="13">
        <f>G1291-H1291-I1291</f>
        <v/>
      </c>
      <c r="K1291">
        <f>IF(A1291="","",IF(J1291&lt;=IFERROR(VLOOKUP(A1291,Cadastro_Produtos!$A:$E,5,FALSE),0),"ABAIXO DO MINIMO","OK"))</f>
        <v/>
      </c>
    </row>
    <row r="1292">
      <c r="B1292">
        <f>IFERROR(VLOOKUP(A1292,Cadastro_Produtos!A:B,2,FALSE),"")</f>
        <v/>
      </c>
      <c r="D1292" s="12" t="n"/>
      <c r="E1292" s="13">
        <f>IF(D1292="","",D1292-TODAY())</f>
        <v/>
      </c>
      <c r="F1292">
        <f>IF(D1292="","",IF(E1292&lt;0,"VENCIDO",IF(E1292&lt;=30,"VENCE EM &lt;= 30 DIAS",IF(E1292&lt;=60,"ATENCAO (31-60 DIAS)","OK"))))</f>
        <v/>
      </c>
      <c r="G1292" s="13">
        <f>SUMIFS(Movimentacoes!$G:$G,Movimentacoes!$C:$C,$A1292,Movimentacoes!$E:$E,$C1292,Movimentacoes!$B:$B,"ENTRADA")</f>
        <v/>
      </c>
      <c r="H1292" s="13">
        <f>SUMIFS(Movimentacoes!$G:$G,Movimentacoes!$C:$C,$A1292,Movimentacoes!$E:$E,$C1292,Movimentacoes!$B:$B,"SAIDA_USO")</f>
        <v/>
      </c>
      <c r="I1292" s="13">
        <f>SUMIFS(Movimentacoes!$G:$G,Movimentacoes!$C:$C,$A1292,Movimentacoes!$E:$E,$C1292,Movimentacoes!$B:$B,"SAIDA_DESCARTE")</f>
        <v/>
      </c>
      <c r="J1292" s="13">
        <f>G1292-H1292-I1292</f>
        <v/>
      </c>
      <c r="K1292">
        <f>IF(A1292="","",IF(J1292&lt;=IFERROR(VLOOKUP(A1292,Cadastro_Produtos!$A:$E,5,FALSE),0),"ABAIXO DO MINIMO","OK"))</f>
        <v/>
      </c>
    </row>
    <row r="1293">
      <c r="B1293">
        <f>IFERROR(VLOOKUP(A1293,Cadastro_Produtos!A:B,2,FALSE),"")</f>
        <v/>
      </c>
      <c r="D1293" s="12" t="n"/>
      <c r="E1293" s="13">
        <f>IF(D1293="","",D1293-TODAY())</f>
        <v/>
      </c>
      <c r="F1293">
        <f>IF(D1293="","",IF(E1293&lt;0,"VENCIDO",IF(E1293&lt;=30,"VENCE EM &lt;= 30 DIAS",IF(E1293&lt;=60,"ATENCAO (31-60 DIAS)","OK"))))</f>
        <v/>
      </c>
      <c r="G1293" s="13">
        <f>SUMIFS(Movimentacoes!$G:$G,Movimentacoes!$C:$C,$A1293,Movimentacoes!$E:$E,$C1293,Movimentacoes!$B:$B,"ENTRADA")</f>
        <v/>
      </c>
      <c r="H1293" s="13">
        <f>SUMIFS(Movimentacoes!$G:$G,Movimentacoes!$C:$C,$A1293,Movimentacoes!$E:$E,$C1293,Movimentacoes!$B:$B,"SAIDA_USO")</f>
        <v/>
      </c>
      <c r="I1293" s="13">
        <f>SUMIFS(Movimentacoes!$G:$G,Movimentacoes!$C:$C,$A1293,Movimentacoes!$E:$E,$C1293,Movimentacoes!$B:$B,"SAIDA_DESCARTE")</f>
        <v/>
      </c>
      <c r="J1293" s="13">
        <f>G1293-H1293-I1293</f>
        <v/>
      </c>
      <c r="K1293">
        <f>IF(A1293="","",IF(J1293&lt;=IFERROR(VLOOKUP(A1293,Cadastro_Produtos!$A:$E,5,FALSE),0),"ABAIXO DO MINIMO","OK"))</f>
        <v/>
      </c>
    </row>
    <row r="1294">
      <c r="B1294">
        <f>IFERROR(VLOOKUP(A1294,Cadastro_Produtos!A:B,2,FALSE),"")</f>
        <v/>
      </c>
      <c r="D1294" s="12" t="n"/>
      <c r="E1294" s="13">
        <f>IF(D1294="","",D1294-TODAY())</f>
        <v/>
      </c>
      <c r="F1294">
        <f>IF(D1294="","",IF(E1294&lt;0,"VENCIDO",IF(E1294&lt;=30,"VENCE EM &lt;= 30 DIAS",IF(E1294&lt;=60,"ATENCAO (31-60 DIAS)","OK"))))</f>
        <v/>
      </c>
      <c r="G1294" s="13">
        <f>SUMIFS(Movimentacoes!$G:$G,Movimentacoes!$C:$C,$A1294,Movimentacoes!$E:$E,$C1294,Movimentacoes!$B:$B,"ENTRADA")</f>
        <v/>
      </c>
      <c r="H1294" s="13">
        <f>SUMIFS(Movimentacoes!$G:$G,Movimentacoes!$C:$C,$A1294,Movimentacoes!$E:$E,$C1294,Movimentacoes!$B:$B,"SAIDA_USO")</f>
        <v/>
      </c>
      <c r="I1294" s="13">
        <f>SUMIFS(Movimentacoes!$G:$G,Movimentacoes!$C:$C,$A1294,Movimentacoes!$E:$E,$C1294,Movimentacoes!$B:$B,"SAIDA_DESCARTE")</f>
        <v/>
      </c>
      <c r="J1294" s="13">
        <f>G1294-H1294-I1294</f>
        <v/>
      </c>
      <c r="K1294">
        <f>IF(A1294="","",IF(J1294&lt;=IFERROR(VLOOKUP(A1294,Cadastro_Produtos!$A:$E,5,FALSE),0),"ABAIXO DO MINIMO","OK"))</f>
        <v/>
      </c>
    </row>
    <row r="1295">
      <c r="B1295">
        <f>IFERROR(VLOOKUP(A1295,Cadastro_Produtos!A:B,2,FALSE),"")</f>
        <v/>
      </c>
      <c r="D1295" s="12" t="n"/>
      <c r="E1295" s="13">
        <f>IF(D1295="","",D1295-TODAY())</f>
        <v/>
      </c>
      <c r="F1295">
        <f>IF(D1295="","",IF(E1295&lt;0,"VENCIDO",IF(E1295&lt;=30,"VENCE EM &lt;= 30 DIAS",IF(E1295&lt;=60,"ATENCAO (31-60 DIAS)","OK"))))</f>
        <v/>
      </c>
      <c r="G1295" s="13">
        <f>SUMIFS(Movimentacoes!$G:$G,Movimentacoes!$C:$C,$A1295,Movimentacoes!$E:$E,$C1295,Movimentacoes!$B:$B,"ENTRADA")</f>
        <v/>
      </c>
      <c r="H1295" s="13">
        <f>SUMIFS(Movimentacoes!$G:$G,Movimentacoes!$C:$C,$A1295,Movimentacoes!$E:$E,$C1295,Movimentacoes!$B:$B,"SAIDA_USO")</f>
        <v/>
      </c>
      <c r="I1295" s="13">
        <f>SUMIFS(Movimentacoes!$G:$G,Movimentacoes!$C:$C,$A1295,Movimentacoes!$E:$E,$C1295,Movimentacoes!$B:$B,"SAIDA_DESCARTE")</f>
        <v/>
      </c>
      <c r="J1295" s="13">
        <f>G1295-H1295-I1295</f>
        <v/>
      </c>
      <c r="K1295">
        <f>IF(A1295="","",IF(J1295&lt;=IFERROR(VLOOKUP(A1295,Cadastro_Produtos!$A:$E,5,FALSE),0),"ABAIXO DO MINIMO","OK"))</f>
        <v/>
      </c>
    </row>
    <row r="1296">
      <c r="B1296">
        <f>IFERROR(VLOOKUP(A1296,Cadastro_Produtos!A:B,2,FALSE),"")</f>
        <v/>
      </c>
      <c r="D1296" s="12" t="n"/>
      <c r="E1296" s="13">
        <f>IF(D1296="","",D1296-TODAY())</f>
        <v/>
      </c>
      <c r="F1296">
        <f>IF(D1296="","",IF(E1296&lt;0,"VENCIDO",IF(E1296&lt;=30,"VENCE EM &lt;= 30 DIAS",IF(E1296&lt;=60,"ATENCAO (31-60 DIAS)","OK"))))</f>
        <v/>
      </c>
      <c r="G1296" s="13">
        <f>SUMIFS(Movimentacoes!$G:$G,Movimentacoes!$C:$C,$A1296,Movimentacoes!$E:$E,$C1296,Movimentacoes!$B:$B,"ENTRADA")</f>
        <v/>
      </c>
      <c r="H1296" s="13">
        <f>SUMIFS(Movimentacoes!$G:$G,Movimentacoes!$C:$C,$A1296,Movimentacoes!$E:$E,$C1296,Movimentacoes!$B:$B,"SAIDA_USO")</f>
        <v/>
      </c>
      <c r="I1296" s="13">
        <f>SUMIFS(Movimentacoes!$G:$G,Movimentacoes!$C:$C,$A1296,Movimentacoes!$E:$E,$C1296,Movimentacoes!$B:$B,"SAIDA_DESCARTE")</f>
        <v/>
      </c>
      <c r="J1296" s="13">
        <f>G1296-H1296-I1296</f>
        <v/>
      </c>
      <c r="K1296">
        <f>IF(A1296="","",IF(J1296&lt;=IFERROR(VLOOKUP(A1296,Cadastro_Produtos!$A:$E,5,FALSE),0),"ABAIXO DO MINIMO","OK"))</f>
        <v/>
      </c>
    </row>
    <row r="1297">
      <c r="B1297">
        <f>IFERROR(VLOOKUP(A1297,Cadastro_Produtos!A:B,2,FALSE),"")</f>
        <v/>
      </c>
      <c r="D1297" s="12" t="n"/>
      <c r="E1297" s="13">
        <f>IF(D1297="","",D1297-TODAY())</f>
        <v/>
      </c>
      <c r="F1297">
        <f>IF(D1297="","",IF(E1297&lt;0,"VENCIDO",IF(E1297&lt;=30,"VENCE EM &lt;= 30 DIAS",IF(E1297&lt;=60,"ATENCAO (31-60 DIAS)","OK"))))</f>
        <v/>
      </c>
      <c r="G1297" s="13">
        <f>SUMIFS(Movimentacoes!$G:$G,Movimentacoes!$C:$C,$A1297,Movimentacoes!$E:$E,$C1297,Movimentacoes!$B:$B,"ENTRADA")</f>
        <v/>
      </c>
      <c r="H1297" s="13">
        <f>SUMIFS(Movimentacoes!$G:$G,Movimentacoes!$C:$C,$A1297,Movimentacoes!$E:$E,$C1297,Movimentacoes!$B:$B,"SAIDA_USO")</f>
        <v/>
      </c>
      <c r="I1297" s="13">
        <f>SUMIFS(Movimentacoes!$G:$G,Movimentacoes!$C:$C,$A1297,Movimentacoes!$E:$E,$C1297,Movimentacoes!$B:$B,"SAIDA_DESCARTE")</f>
        <v/>
      </c>
      <c r="J1297" s="13">
        <f>G1297-H1297-I1297</f>
        <v/>
      </c>
      <c r="K1297">
        <f>IF(A1297="","",IF(J1297&lt;=IFERROR(VLOOKUP(A1297,Cadastro_Produtos!$A:$E,5,FALSE),0),"ABAIXO DO MINIMO","OK"))</f>
        <v/>
      </c>
    </row>
    <row r="1298">
      <c r="B1298">
        <f>IFERROR(VLOOKUP(A1298,Cadastro_Produtos!A:B,2,FALSE),"")</f>
        <v/>
      </c>
      <c r="D1298" s="12" t="n"/>
      <c r="E1298" s="13">
        <f>IF(D1298="","",D1298-TODAY())</f>
        <v/>
      </c>
      <c r="F1298">
        <f>IF(D1298="","",IF(E1298&lt;0,"VENCIDO",IF(E1298&lt;=30,"VENCE EM &lt;= 30 DIAS",IF(E1298&lt;=60,"ATENCAO (31-60 DIAS)","OK"))))</f>
        <v/>
      </c>
      <c r="G1298" s="13">
        <f>SUMIFS(Movimentacoes!$G:$G,Movimentacoes!$C:$C,$A1298,Movimentacoes!$E:$E,$C1298,Movimentacoes!$B:$B,"ENTRADA")</f>
        <v/>
      </c>
      <c r="H1298" s="13">
        <f>SUMIFS(Movimentacoes!$G:$G,Movimentacoes!$C:$C,$A1298,Movimentacoes!$E:$E,$C1298,Movimentacoes!$B:$B,"SAIDA_USO")</f>
        <v/>
      </c>
      <c r="I1298" s="13">
        <f>SUMIFS(Movimentacoes!$G:$G,Movimentacoes!$C:$C,$A1298,Movimentacoes!$E:$E,$C1298,Movimentacoes!$B:$B,"SAIDA_DESCARTE")</f>
        <v/>
      </c>
      <c r="J1298" s="13">
        <f>G1298-H1298-I1298</f>
        <v/>
      </c>
      <c r="K1298">
        <f>IF(A1298="","",IF(J1298&lt;=IFERROR(VLOOKUP(A1298,Cadastro_Produtos!$A:$E,5,FALSE),0),"ABAIXO DO MINIMO","OK"))</f>
        <v/>
      </c>
    </row>
    <row r="1299">
      <c r="B1299">
        <f>IFERROR(VLOOKUP(A1299,Cadastro_Produtos!A:B,2,FALSE),"")</f>
        <v/>
      </c>
      <c r="D1299" s="12" t="n"/>
      <c r="E1299" s="13">
        <f>IF(D1299="","",D1299-TODAY())</f>
        <v/>
      </c>
      <c r="F1299">
        <f>IF(D1299="","",IF(E1299&lt;0,"VENCIDO",IF(E1299&lt;=30,"VENCE EM &lt;= 30 DIAS",IF(E1299&lt;=60,"ATENCAO (31-60 DIAS)","OK"))))</f>
        <v/>
      </c>
      <c r="G1299" s="13">
        <f>SUMIFS(Movimentacoes!$G:$G,Movimentacoes!$C:$C,$A1299,Movimentacoes!$E:$E,$C1299,Movimentacoes!$B:$B,"ENTRADA")</f>
        <v/>
      </c>
      <c r="H1299" s="13">
        <f>SUMIFS(Movimentacoes!$G:$G,Movimentacoes!$C:$C,$A1299,Movimentacoes!$E:$E,$C1299,Movimentacoes!$B:$B,"SAIDA_USO")</f>
        <v/>
      </c>
      <c r="I1299" s="13">
        <f>SUMIFS(Movimentacoes!$G:$G,Movimentacoes!$C:$C,$A1299,Movimentacoes!$E:$E,$C1299,Movimentacoes!$B:$B,"SAIDA_DESCARTE")</f>
        <v/>
      </c>
      <c r="J1299" s="13">
        <f>G1299-H1299-I1299</f>
        <v/>
      </c>
      <c r="K1299">
        <f>IF(A1299="","",IF(J1299&lt;=IFERROR(VLOOKUP(A1299,Cadastro_Produtos!$A:$E,5,FALSE),0),"ABAIXO DO MINIMO","OK"))</f>
        <v/>
      </c>
    </row>
    <row r="1300">
      <c r="B1300">
        <f>IFERROR(VLOOKUP(A1300,Cadastro_Produtos!A:B,2,FALSE),"")</f>
        <v/>
      </c>
      <c r="D1300" s="12" t="n"/>
      <c r="E1300" s="13">
        <f>IF(D1300="","",D1300-TODAY())</f>
        <v/>
      </c>
      <c r="F1300">
        <f>IF(D1300="","",IF(E1300&lt;0,"VENCIDO",IF(E1300&lt;=30,"VENCE EM &lt;= 30 DIAS",IF(E1300&lt;=60,"ATENCAO (31-60 DIAS)","OK"))))</f>
        <v/>
      </c>
      <c r="G1300" s="13">
        <f>SUMIFS(Movimentacoes!$G:$G,Movimentacoes!$C:$C,$A1300,Movimentacoes!$E:$E,$C1300,Movimentacoes!$B:$B,"ENTRADA")</f>
        <v/>
      </c>
      <c r="H1300" s="13">
        <f>SUMIFS(Movimentacoes!$G:$G,Movimentacoes!$C:$C,$A1300,Movimentacoes!$E:$E,$C1300,Movimentacoes!$B:$B,"SAIDA_USO")</f>
        <v/>
      </c>
      <c r="I1300" s="13">
        <f>SUMIFS(Movimentacoes!$G:$G,Movimentacoes!$C:$C,$A1300,Movimentacoes!$E:$E,$C1300,Movimentacoes!$B:$B,"SAIDA_DESCARTE")</f>
        <v/>
      </c>
      <c r="J1300" s="13">
        <f>G1300-H1300-I1300</f>
        <v/>
      </c>
      <c r="K1300">
        <f>IF(A1300="","",IF(J1300&lt;=IFERROR(VLOOKUP(A1300,Cadastro_Produtos!$A:$E,5,FALSE),0),"ABAIXO DO MINIMO","OK"))</f>
        <v/>
      </c>
    </row>
    <row r="1301">
      <c r="B1301">
        <f>IFERROR(VLOOKUP(A1301,Cadastro_Produtos!A:B,2,FALSE),"")</f>
        <v/>
      </c>
      <c r="D1301" s="12" t="n"/>
      <c r="E1301" s="13">
        <f>IF(D1301="","",D1301-TODAY())</f>
        <v/>
      </c>
      <c r="F1301">
        <f>IF(D1301="","",IF(E1301&lt;0,"VENCIDO",IF(E1301&lt;=30,"VENCE EM &lt;= 30 DIAS",IF(E1301&lt;=60,"ATENCAO (31-60 DIAS)","OK"))))</f>
        <v/>
      </c>
      <c r="G1301" s="13">
        <f>SUMIFS(Movimentacoes!$G:$G,Movimentacoes!$C:$C,$A1301,Movimentacoes!$E:$E,$C1301,Movimentacoes!$B:$B,"ENTRADA")</f>
        <v/>
      </c>
      <c r="H1301" s="13">
        <f>SUMIFS(Movimentacoes!$G:$G,Movimentacoes!$C:$C,$A1301,Movimentacoes!$E:$E,$C1301,Movimentacoes!$B:$B,"SAIDA_USO")</f>
        <v/>
      </c>
      <c r="I1301" s="13">
        <f>SUMIFS(Movimentacoes!$G:$G,Movimentacoes!$C:$C,$A1301,Movimentacoes!$E:$E,$C1301,Movimentacoes!$B:$B,"SAIDA_DESCARTE")</f>
        <v/>
      </c>
      <c r="J1301" s="13">
        <f>G1301-H1301-I1301</f>
        <v/>
      </c>
      <c r="K1301">
        <f>IF(A1301="","",IF(J1301&lt;=IFERROR(VLOOKUP(A1301,Cadastro_Produtos!$A:$E,5,FALSE),0),"ABAIXO DO MINIMO","OK"))</f>
        <v/>
      </c>
    </row>
    <row r="1302">
      <c r="B1302">
        <f>IFERROR(VLOOKUP(A1302,Cadastro_Produtos!A:B,2,FALSE),"")</f>
        <v/>
      </c>
      <c r="D1302" s="12" t="n"/>
      <c r="E1302" s="13">
        <f>IF(D1302="","",D1302-TODAY())</f>
        <v/>
      </c>
      <c r="F1302">
        <f>IF(D1302="","",IF(E1302&lt;0,"VENCIDO",IF(E1302&lt;=30,"VENCE EM &lt;= 30 DIAS",IF(E1302&lt;=60,"ATENCAO (31-60 DIAS)","OK"))))</f>
        <v/>
      </c>
      <c r="G1302" s="13">
        <f>SUMIFS(Movimentacoes!$G:$G,Movimentacoes!$C:$C,$A1302,Movimentacoes!$E:$E,$C1302,Movimentacoes!$B:$B,"ENTRADA")</f>
        <v/>
      </c>
      <c r="H1302" s="13">
        <f>SUMIFS(Movimentacoes!$G:$G,Movimentacoes!$C:$C,$A1302,Movimentacoes!$E:$E,$C1302,Movimentacoes!$B:$B,"SAIDA_USO")</f>
        <v/>
      </c>
      <c r="I1302" s="13">
        <f>SUMIFS(Movimentacoes!$G:$G,Movimentacoes!$C:$C,$A1302,Movimentacoes!$E:$E,$C1302,Movimentacoes!$B:$B,"SAIDA_DESCARTE")</f>
        <v/>
      </c>
      <c r="J1302" s="13">
        <f>G1302-H1302-I1302</f>
        <v/>
      </c>
      <c r="K1302">
        <f>IF(A1302="","",IF(J1302&lt;=IFERROR(VLOOKUP(A1302,Cadastro_Produtos!$A:$E,5,FALSE),0),"ABAIXO DO MINIMO","OK"))</f>
        <v/>
      </c>
    </row>
    <row r="1303">
      <c r="B1303">
        <f>IFERROR(VLOOKUP(A1303,Cadastro_Produtos!A:B,2,FALSE),"")</f>
        <v/>
      </c>
      <c r="D1303" s="12" t="n"/>
      <c r="E1303" s="13">
        <f>IF(D1303="","",D1303-TODAY())</f>
        <v/>
      </c>
      <c r="F1303">
        <f>IF(D1303="","",IF(E1303&lt;0,"VENCIDO",IF(E1303&lt;=30,"VENCE EM &lt;= 30 DIAS",IF(E1303&lt;=60,"ATENCAO (31-60 DIAS)","OK"))))</f>
        <v/>
      </c>
      <c r="G1303" s="13">
        <f>SUMIFS(Movimentacoes!$G:$G,Movimentacoes!$C:$C,$A1303,Movimentacoes!$E:$E,$C1303,Movimentacoes!$B:$B,"ENTRADA")</f>
        <v/>
      </c>
      <c r="H1303" s="13">
        <f>SUMIFS(Movimentacoes!$G:$G,Movimentacoes!$C:$C,$A1303,Movimentacoes!$E:$E,$C1303,Movimentacoes!$B:$B,"SAIDA_USO")</f>
        <v/>
      </c>
      <c r="I1303" s="13">
        <f>SUMIFS(Movimentacoes!$G:$G,Movimentacoes!$C:$C,$A1303,Movimentacoes!$E:$E,$C1303,Movimentacoes!$B:$B,"SAIDA_DESCARTE")</f>
        <v/>
      </c>
      <c r="J1303" s="13">
        <f>G1303-H1303-I1303</f>
        <v/>
      </c>
      <c r="K1303">
        <f>IF(A1303="","",IF(J1303&lt;=IFERROR(VLOOKUP(A1303,Cadastro_Produtos!$A:$E,5,FALSE),0),"ABAIXO DO MINIMO","OK"))</f>
        <v/>
      </c>
    </row>
    <row r="1304">
      <c r="B1304">
        <f>IFERROR(VLOOKUP(A1304,Cadastro_Produtos!A:B,2,FALSE),"")</f>
        <v/>
      </c>
      <c r="D1304" s="12" t="n"/>
      <c r="E1304" s="13">
        <f>IF(D1304="","",D1304-TODAY())</f>
        <v/>
      </c>
      <c r="F1304">
        <f>IF(D1304="","",IF(E1304&lt;0,"VENCIDO",IF(E1304&lt;=30,"VENCE EM &lt;= 30 DIAS",IF(E1304&lt;=60,"ATENCAO (31-60 DIAS)","OK"))))</f>
        <v/>
      </c>
      <c r="G1304" s="13">
        <f>SUMIFS(Movimentacoes!$G:$G,Movimentacoes!$C:$C,$A1304,Movimentacoes!$E:$E,$C1304,Movimentacoes!$B:$B,"ENTRADA")</f>
        <v/>
      </c>
      <c r="H1304" s="13">
        <f>SUMIFS(Movimentacoes!$G:$G,Movimentacoes!$C:$C,$A1304,Movimentacoes!$E:$E,$C1304,Movimentacoes!$B:$B,"SAIDA_USO")</f>
        <v/>
      </c>
      <c r="I1304" s="13">
        <f>SUMIFS(Movimentacoes!$G:$G,Movimentacoes!$C:$C,$A1304,Movimentacoes!$E:$E,$C1304,Movimentacoes!$B:$B,"SAIDA_DESCARTE")</f>
        <v/>
      </c>
      <c r="J1304" s="13">
        <f>G1304-H1304-I1304</f>
        <v/>
      </c>
      <c r="K1304">
        <f>IF(A1304="","",IF(J1304&lt;=IFERROR(VLOOKUP(A1304,Cadastro_Produtos!$A:$E,5,FALSE),0),"ABAIXO DO MINIMO","OK"))</f>
        <v/>
      </c>
    </row>
    <row r="1305">
      <c r="B1305">
        <f>IFERROR(VLOOKUP(A1305,Cadastro_Produtos!A:B,2,FALSE),"")</f>
        <v/>
      </c>
      <c r="D1305" s="12" t="n"/>
      <c r="E1305" s="13">
        <f>IF(D1305="","",D1305-TODAY())</f>
        <v/>
      </c>
      <c r="F1305">
        <f>IF(D1305="","",IF(E1305&lt;0,"VENCIDO",IF(E1305&lt;=30,"VENCE EM &lt;= 30 DIAS",IF(E1305&lt;=60,"ATENCAO (31-60 DIAS)","OK"))))</f>
        <v/>
      </c>
      <c r="G1305" s="13">
        <f>SUMIFS(Movimentacoes!$G:$G,Movimentacoes!$C:$C,$A1305,Movimentacoes!$E:$E,$C1305,Movimentacoes!$B:$B,"ENTRADA")</f>
        <v/>
      </c>
      <c r="H1305" s="13">
        <f>SUMIFS(Movimentacoes!$G:$G,Movimentacoes!$C:$C,$A1305,Movimentacoes!$E:$E,$C1305,Movimentacoes!$B:$B,"SAIDA_USO")</f>
        <v/>
      </c>
      <c r="I1305" s="13">
        <f>SUMIFS(Movimentacoes!$G:$G,Movimentacoes!$C:$C,$A1305,Movimentacoes!$E:$E,$C1305,Movimentacoes!$B:$B,"SAIDA_DESCARTE")</f>
        <v/>
      </c>
      <c r="J1305" s="13">
        <f>G1305-H1305-I1305</f>
        <v/>
      </c>
      <c r="K1305">
        <f>IF(A1305="","",IF(J1305&lt;=IFERROR(VLOOKUP(A1305,Cadastro_Produtos!$A:$E,5,FALSE),0),"ABAIXO DO MINIMO","OK"))</f>
        <v/>
      </c>
    </row>
    <row r="1306">
      <c r="B1306">
        <f>IFERROR(VLOOKUP(A1306,Cadastro_Produtos!A:B,2,FALSE),"")</f>
        <v/>
      </c>
      <c r="D1306" s="12" t="n"/>
      <c r="E1306" s="13">
        <f>IF(D1306="","",D1306-TODAY())</f>
        <v/>
      </c>
      <c r="F1306">
        <f>IF(D1306="","",IF(E1306&lt;0,"VENCIDO",IF(E1306&lt;=30,"VENCE EM &lt;= 30 DIAS",IF(E1306&lt;=60,"ATENCAO (31-60 DIAS)","OK"))))</f>
        <v/>
      </c>
      <c r="G1306" s="13">
        <f>SUMIFS(Movimentacoes!$G:$G,Movimentacoes!$C:$C,$A1306,Movimentacoes!$E:$E,$C1306,Movimentacoes!$B:$B,"ENTRADA")</f>
        <v/>
      </c>
      <c r="H1306" s="13">
        <f>SUMIFS(Movimentacoes!$G:$G,Movimentacoes!$C:$C,$A1306,Movimentacoes!$E:$E,$C1306,Movimentacoes!$B:$B,"SAIDA_USO")</f>
        <v/>
      </c>
      <c r="I1306" s="13">
        <f>SUMIFS(Movimentacoes!$G:$G,Movimentacoes!$C:$C,$A1306,Movimentacoes!$E:$E,$C1306,Movimentacoes!$B:$B,"SAIDA_DESCARTE")</f>
        <v/>
      </c>
      <c r="J1306" s="13">
        <f>G1306-H1306-I1306</f>
        <v/>
      </c>
      <c r="K1306">
        <f>IF(A1306="","",IF(J1306&lt;=IFERROR(VLOOKUP(A1306,Cadastro_Produtos!$A:$E,5,FALSE),0),"ABAIXO DO MINIMO","OK"))</f>
        <v/>
      </c>
    </row>
    <row r="1307">
      <c r="B1307">
        <f>IFERROR(VLOOKUP(A1307,Cadastro_Produtos!A:B,2,FALSE),"")</f>
        <v/>
      </c>
      <c r="D1307" s="12" t="n"/>
      <c r="E1307" s="13">
        <f>IF(D1307="","",D1307-TODAY())</f>
        <v/>
      </c>
      <c r="F1307">
        <f>IF(D1307="","",IF(E1307&lt;0,"VENCIDO",IF(E1307&lt;=30,"VENCE EM &lt;= 30 DIAS",IF(E1307&lt;=60,"ATENCAO (31-60 DIAS)","OK"))))</f>
        <v/>
      </c>
      <c r="G1307" s="13">
        <f>SUMIFS(Movimentacoes!$G:$G,Movimentacoes!$C:$C,$A1307,Movimentacoes!$E:$E,$C1307,Movimentacoes!$B:$B,"ENTRADA")</f>
        <v/>
      </c>
      <c r="H1307" s="13">
        <f>SUMIFS(Movimentacoes!$G:$G,Movimentacoes!$C:$C,$A1307,Movimentacoes!$E:$E,$C1307,Movimentacoes!$B:$B,"SAIDA_USO")</f>
        <v/>
      </c>
      <c r="I1307" s="13">
        <f>SUMIFS(Movimentacoes!$G:$G,Movimentacoes!$C:$C,$A1307,Movimentacoes!$E:$E,$C1307,Movimentacoes!$B:$B,"SAIDA_DESCARTE")</f>
        <v/>
      </c>
      <c r="J1307" s="13">
        <f>G1307-H1307-I1307</f>
        <v/>
      </c>
      <c r="K1307">
        <f>IF(A1307="","",IF(J1307&lt;=IFERROR(VLOOKUP(A1307,Cadastro_Produtos!$A:$E,5,FALSE),0),"ABAIXO DO MINIMO","OK"))</f>
        <v/>
      </c>
    </row>
    <row r="1308">
      <c r="B1308">
        <f>IFERROR(VLOOKUP(A1308,Cadastro_Produtos!A:B,2,FALSE),"")</f>
        <v/>
      </c>
      <c r="D1308" s="12" t="n"/>
      <c r="E1308" s="13">
        <f>IF(D1308="","",D1308-TODAY())</f>
        <v/>
      </c>
      <c r="F1308">
        <f>IF(D1308="","",IF(E1308&lt;0,"VENCIDO",IF(E1308&lt;=30,"VENCE EM &lt;= 30 DIAS",IF(E1308&lt;=60,"ATENCAO (31-60 DIAS)","OK"))))</f>
        <v/>
      </c>
      <c r="G1308" s="13">
        <f>SUMIFS(Movimentacoes!$G:$G,Movimentacoes!$C:$C,$A1308,Movimentacoes!$E:$E,$C1308,Movimentacoes!$B:$B,"ENTRADA")</f>
        <v/>
      </c>
      <c r="H1308" s="13">
        <f>SUMIFS(Movimentacoes!$G:$G,Movimentacoes!$C:$C,$A1308,Movimentacoes!$E:$E,$C1308,Movimentacoes!$B:$B,"SAIDA_USO")</f>
        <v/>
      </c>
      <c r="I1308" s="13">
        <f>SUMIFS(Movimentacoes!$G:$G,Movimentacoes!$C:$C,$A1308,Movimentacoes!$E:$E,$C1308,Movimentacoes!$B:$B,"SAIDA_DESCARTE")</f>
        <v/>
      </c>
      <c r="J1308" s="13">
        <f>G1308-H1308-I1308</f>
        <v/>
      </c>
      <c r="K1308">
        <f>IF(A1308="","",IF(J1308&lt;=IFERROR(VLOOKUP(A1308,Cadastro_Produtos!$A:$E,5,FALSE),0),"ABAIXO DO MINIMO","OK"))</f>
        <v/>
      </c>
    </row>
    <row r="1309">
      <c r="B1309">
        <f>IFERROR(VLOOKUP(A1309,Cadastro_Produtos!A:B,2,FALSE),"")</f>
        <v/>
      </c>
      <c r="D1309" s="12" t="n"/>
      <c r="E1309" s="13">
        <f>IF(D1309="","",D1309-TODAY())</f>
        <v/>
      </c>
      <c r="F1309">
        <f>IF(D1309="","",IF(E1309&lt;0,"VENCIDO",IF(E1309&lt;=30,"VENCE EM &lt;= 30 DIAS",IF(E1309&lt;=60,"ATENCAO (31-60 DIAS)","OK"))))</f>
        <v/>
      </c>
      <c r="G1309" s="13">
        <f>SUMIFS(Movimentacoes!$G:$G,Movimentacoes!$C:$C,$A1309,Movimentacoes!$E:$E,$C1309,Movimentacoes!$B:$B,"ENTRADA")</f>
        <v/>
      </c>
      <c r="H1309" s="13">
        <f>SUMIFS(Movimentacoes!$G:$G,Movimentacoes!$C:$C,$A1309,Movimentacoes!$E:$E,$C1309,Movimentacoes!$B:$B,"SAIDA_USO")</f>
        <v/>
      </c>
      <c r="I1309" s="13">
        <f>SUMIFS(Movimentacoes!$G:$G,Movimentacoes!$C:$C,$A1309,Movimentacoes!$E:$E,$C1309,Movimentacoes!$B:$B,"SAIDA_DESCARTE")</f>
        <v/>
      </c>
      <c r="J1309" s="13">
        <f>G1309-H1309-I1309</f>
        <v/>
      </c>
      <c r="K1309">
        <f>IF(A1309="","",IF(J1309&lt;=IFERROR(VLOOKUP(A1309,Cadastro_Produtos!$A:$E,5,FALSE),0),"ABAIXO DO MINIMO","OK"))</f>
        <v/>
      </c>
    </row>
    <row r="1310">
      <c r="B1310">
        <f>IFERROR(VLOOKUP(A1310,Cadastro_Produtos!A:B,2,FALSE),"")</f>
        <v/>
      </c>
      <c r="D1310" s="12" t="n"/>
      <c r="E1310" s="13">
        <f>IF(D1310="","",D1310-TODAY())</f>
        <v/>
      </c>
      <c r="F1310">
        <f>IF(D1310="","",IF(E1310&lt;0,"VENCIDO",IF(E1310&lt;=30,"VENCE EM &lt;= 30 DIAS",IF(E1310&lt;=60,"ATENCAO (31-60 DIAS)","OK"))))</f>
        <v/>
      </c>
      <c r="G1310" s="13">
        <f>SUMIFS(Movimentacoes!$G:$G,Movimentacoes!$C:$C,$A1310,Movimentacoes!$E:$E,$C1310,Movimentacoes!$B:$B,"ENTRADA")</f>
        <v/>
      </c>
      <c r="H1310" s="13">
        <f>SUMIFS(Movimentacoes!$G:$G,Movimentacoes!$C:$C,$A1310,Movimentacoes!$E:$E,$C1310,Movimentacoes!$B:$B,"SAIDA_USO")</f>
        <v/>
      </c>
      <c r="I1310" s="13">
        <f>SUMIFS(Movimentacoes!$G:$G,Movimentacoes!$C:$C,$A1310,Movimentacoes!$E:$E,$C1310,Movimentacoes!$B:$B,"SAIDA_DESCARTE")</f>
        <v/>
      </c>
      <c r="J1310" s="13">
        <f>G1310-H1310-I1310</f>
        <v/>
      </c>
      <c r="K1310">
        <f>IF(A1310="","",IF(J1310&lt;=IFERROR(VLOOKUP(A1310,Cadastro_Produtos!$A:$E,5,FALSE),0),"ABAIXO DO MINIMO","OK"))</f>
        <v/>
      </c>
    </row>
    <row r="1311">
      <c r="B1311">
        <f>IFERROR(VLOOKUP(A1311,Cadastro_Produtos!A:B,2,FALSE),"")</f>
        <v/>
      </c>
      <c r="D1311" s="12" t="n"/>
      <c r="E1311" s="13">
        <f>IF(D1311="","",D1311-TODAY())</f>
        <v/>
      </c>
      <c r="F1311">
        <f>IF(D1311="","",IF(E1311&lt;0,"VENCIDO",IF(E1311&lt;=30,"VENCE EM &lt;= 30 DIAS",IF(E1311&lt;=60,"ATENCAO (31-60 DIAS)","OK"))))</f>
        <v/>
      </c>
      <c r="G1311" s="13">
        <f>SUMIFS(Movimentacoes!$G:$G,Movimentacoes!$C:$C,$A1311,Movimentacoes!$E:$E,$C1311,Movimentacoes!$B:$B,"ENTRADA")</f>
        <v/>
      </c>
      <c r="H1311" s="13">
        <f>SUMIFS(Movimentacoes!$G:$G,Movimentacoes!$C:$C,$A1311,Movimentacoes!$E:$E,$C1311,Movimentacoes!$B:$B,"SAIDA_USO")</f>
        <v/>
      </c>
      <c r="I1311" s="13">
        <f>SUMIFS(Movimentacoes!$G:$G,Movimentacoes!$C:$C,$A1311,Movimentacoes!$E:$E,$C1311,Movimentacoes!$B:$B,"SAIDA_DESCARTE")</f>
        <v/>
      </c>
      <c r="J1311" s="13">
        <f>G1311-H1311-I1311</f>
        <v/>
      </c>
      <c r="K1311">
        <f>IF(A1311="","",IF(J1311&lt;=IFERROR(VLOOKUP(A1311,Cadastro_Produtos!$A:$E,5,FALSE),0),"ABAIXO DO MINIMO","OK"))</f>
        <v/>
      </c>
    </row>
    <row r="1312">
      <c r="B1312">
        <f>IFERROR(VLOOKUP(A1312,Cadastro_Produtos!A:B,2,FALSE),"")</f>
        <v/>
      </c>
      <c r="D1312" s="12" t="n"/>
      <c r="E1312" s="13">
        <f>IF(D1312="","",D1312-TODAY())</f>
        <v/>
      </c>
      <c r="F1312">
        <f>IF(D1312="","",IF(E1312&lt;0,"VENCIDO",IF(E1312&lt;=30,"VENCE EM &lt;= 30 DIAS",IF(E1312&lt;=60,"ATENCAO (31-60 DIAS)","OK"))))</f>
        <v/>
      </c>
      <c r="G1312" s="13">
        <f>SUMIFS(Movimentacoes!$G:$G,Movimentacoes!$C:$C,$A1312,Movimentacoes!$E:$E,$C1312,Movimentacoes!$B:$B,"ENTRADA")</f>
        <v/>
      </c>
      <c r="H1312" s="13">
        <f>SUMIFS(Movimentacoes!$G:$G,Movimentacoes!$C:$C,$A1312,Movimentacoes!$E:$E,$C1312,Movimentacoes!$B:$B,"SAIDA_USO")</f>
        <v/>
      </c>
      <c r="I1312" s="13">
        <f>SUMIFS(Movimentacoes!$G:$G,Movimentacoes!$C:$C,$A1312,Movimentacoes!$E:$E,$C1312,Movimentacoes!$B:$B,"SAIDA_DESCARTE")</f>
        <v/>
      </c>
      <c r="J1312" s="13">
        <f>G1312-H1312-I1312</f>
        <v/>
      </c>
      <c r="K1312">
        <f>IF(A1312="","",IF(J1312&lt;=IFERROR(VLOOKUP(A1312,Cadastro_Produtos!$A:$E,5,FALSE),0),"ABAIXO DO MINIMO","OK"))</f>
        <v/>
      </c>
    </row>
    <row r="1313">
      <c r="B1313">
        <f>IFERROR(VLOOKUP(A1313,Cadastro_Produtos!A:B,2,FALSE),"")</f>
        <v/>
      </c>
      <c r="D1313" s="12" t="n"/>
      <c r="E1313" s="13">
        <f>IF(D1313="","",D1313-TODAY())</f>
        <v/>
      </c>
      <c r="F1313">
        <f>IF(D1313="","",IF(E1313&lt;0,"VENCIDO",IF(E1313&lt;=30,"VENCE EM &lt;= 30 DIAS",IF(E1313&lt;=60,"ATENCAO (31-60 DIAS)","OK"))))</f>
        <v/>
      </c>
      <c r="G1313" s="13">
        <f>SUMIFS(Movimentacoes!$G:$G,Movimentacoes!$C:$C,$A1313,Movimentacoes!$E:$E,$C1313,Movimentacoes!$B:$B,"ENTRADA")</f>
        <v/>
      </c>
      <c r="H1313" s="13">
        <f>SUMIFS(Movimentacoes!$G:$G,Movimentacoes!$C:$C,$A1313,Movimentacoes!$E:$E,$C1313,Movimentacoes!$B:$B,"SAIDA_USO")</f>
        <v/>
      </c>
      <c r="I1313" s="13">
        <f>SUMIFS(Movimentacoes!$G:$G,Movimentacoes!$C:$C,$A1313,Movimentacoes!$E:$E,$C1313,Movimentacoes!$B:$B,"SAIDA_DESCARTE")</f>
        <v/>
      </c>
      <c r="J1313" s="13">
        <f>G1313-H1313-I1313</f>
        <v/>
      </c>
      <c r="K1313">
        <f>IF(A1313="","",IF(J1313&lt;=IFERROR(VLOOKUP(A1313,Cadastro_Produtos!$A:$E,5,FALSE),0),"ABAIXO DO MINIMO","OK"))</f>
        <v/>
      </c>
    </row>
    <row r="1314">
      <c r="B1314">
        <f>IFERROR(VLOOKUP(A1314,Cadastro_Produtos!A:B,2,FALSE),"")</f>
        <v/>
      </c>
      <c r="D1314" s="12" t="n"/>
      <c r="E1314" s="13">
        <f>IF(D1314="","",D1314-TODAY())</f>
        <v/>
      </c>
      <c r="F1314">
        <f>IF(D1314="","",IF(E1314&lt;0,"VENCIDO",IF(E1314&lt;=30,"VENCE EM &lt;= 30 DIAS",IF(E1314&lt;=60,"ATENCAO (31-60 DIAS)","OK"))))</f>
        <v/>
      </c>
      <c r="G1314" s="13">
        <f>SUMIFS(Movimentacoes!$G:$G,Movimentacoes!$C:$C,$A1314,Movimentacoes!$E:$E,$C1314,Movimentacoes!$B:$B,"ENTRADA")</f>
        <v/>
      </c>
      <c r="H1314" s="13">
        <f>SUMIFS(Movimentacoes!$G:$G,Movimentacoes!$C:$C,$A1314,Movimentacoes!$E:$E,$C1314,Movimentacoes!$B:$B,"SAIDA_USO")</f>
        <v/>
      </c>
      <c r="I1314" s="13">
        <f>SUMIFS(Movimentacoes!$G:$G,Movimentacoes!$C:$C,$A1314,Movimentacoes!$E:$E,$C1314,Movimentacoes!$B:$B,"SAIDA_DESCARTE")</f>
        <v/>
      </c>
      <c r="J1314" s="13">
        <f>G1314-H1314-I1314</f>
        <v/>
      </c>
      <c r="K1314">
        <f>IF(A1314="","",IF(J1314&lt;=IFERROR(VLOOKUP(A1314,Cadastro_Produtos!$A:$E,5,FALSE),0),"ABAIXO DO MINIMO","OK"))</f>
        <v/>
      </c>
    </row>
    <row r="1315">
      <c r="B1315">
        <f>IFERROR(VLOOKUP(A1315,Cadastro_Produtos!A:B,2,FALSE),"")</f>
        <v/>
      </c>
      <c r="D1315" s="12" t="n"/>
      <c r="E1315" s="13">
        <f>IF(D1315="","",D1315-TODAY())</f>
        <v/>
      </c>
      <c r="F1315">
        <f>IF(D1315="","",IF(E1315&lt;0,"VENCIDO",IF(E1315&lt;=30,"VENCE EM &lt;= 30 DIAS",IF(E1315&lt;=60,"ATENCAO (31-60 DIAS)","OK"))))</f>
        <v/>
      </c>
      <c r="G1315" s="13">
        <f>SUMIFS(Movimentacoes!$G:$G,Movimentacoes!$C:$C,$A1315,Movimentacoes!$E:$E,$C1315,Movimentacoes!$B:$B,"ENTRADA")</f>
        <v/>
      </c>
      <c r="H1315" s="13">
        <f>SUMIFS(Movimentacoes!$G:$G,Movimentacoes!$C:$C,$A1315,Movimentacoes!$E:$E,$C1315,Movimentacoes!$B:$B,"SAIDA_USO")</f>
        <v/>
      </c>
      <c r="I1315" s="13">
        <f>SUMIFS(Movimentacoes!$G:$G,Movimentacoes!$C:$C,$A1315,Movimentacoes!$E:$E,$C1315,Movimentacoes!$B:$B,"SAIDA_DESCARTE")</f>
        <v/>
      </c>
      <c r="J1315" s="13">
        <f>G1315-H1315-I1315</f>
        <v/>
      </c>
      <c r="K1315">
        <f>IF(A1315="","",IF(J1315&lt;=IFERROR(VLOOKUP(A1315,Cadastro_Produtos!$A:$E,5,FALSE),0),"ABAIXO DO MINIMO","OK"))</f>
        <v/>
      </c>
    </row>
    <row r="1316">
      <c r="B1316">
        <f>IFERROR(VLOOKUP(A1316,Cadastro_Produtos!A:B,2,FALSE),"")</f>
        <v/>
      </c>
      <c r="D1316" s="12" t="n"/>
      <c r="E1316" s="13">
        <f>IF(D1316="","",D1316-TODAY())</f>
        <v/>
      </c>
      <c r="F1316">
        <f>IF(D1316="","",IF(E1316&lt;0,"VENCIDO",IF(E1316&lt;=30,"VENCE EM &lt;= 30 DIAS",IF(E1316&lt;=60,"ATENCAO (31-60 DIAS)","OK"))))</f>
        <v/>
      </c>
      <c r="G1316" s="13">
        <f>SUMIFS(Movimentacoes!$G:$G,Movimentacoes!$C:$C,$A1316,Movimentacoes!$E:$E,$C1316,Movimentacoes!$B:$B,"ENTRADA")</f>
        <v/>
      </c>
      <c r="H1316" s="13">
        <f>SUMIFS(Movimentacoes!$G:$G,Movimentacoes!$C:$C,$A1316,Movimentacoes!$E:$E,$C1316,Movimentacoes!$B:$B,"SAIDA_USO")</f>
        <v/>
      </c>
      <c r="I1316" s="13">
        <f>SUMIFS(Movimentacoes!$G:$G,Movimentacoes!$C:$C,$A1316,Movimentacoes!$E:$E,$C1316,Movimentacoes!$B:$B,"SAIDA_DESCARTE")</f>
        <v/>
      </c>
      <c r="J1316" s="13">
        <f>G1316-H1316-I1316</f>
        <v/>
      </c>
      <c r="K1316">
        <f>IF(A1316="","",IF(J1316&lt;=IFERROR(VLOOKUP(A1316,Cadastro_Produtos!$A:$E,5,FALSE),0),"ABAIXO DO MINIMO","OK"))</f>
        <v/>
      </c>
    </row>
    <row r="1317">
      <c r="B1317">
        <f>IFERROR(VLOOKUP(A1317,Cadastro_Produtos!A:B,2,FALSE),"")</f>
        <v/>
      </c>
      <c r="D1317" s="12" t="n"/>
      <c r="E1317" s="13">
        <f>IF(D1317="","",D1317-TODAY())</f>
        <v/>
      </c>
      <c r="F1317">
        <f>IF(D1317="","",IF(E1317&lt;0,"VENCIDO",IF(E1317&lt;=30,"VENCE EM &lt;= 30 DIAS",IF(E1317&lt;=60,"ATENCAO (31-60 DIAS)","OK"))))</f>
        <v/>
      </c>
      <c r="G1317" s="13">
        <f>SUMIFS(Movimentacoes!$G:$G,Movimentacoes!$C:$C,$A1317,Movimentacoes!$E:$E,$C1317,Movimentacoes!$B:$B,"ENTRADA")</f>
        <v/>
      </c>
      <c r="H1317" s="13">
        <f>SUMIFS(Movimentacoes!$G:$G,Movimentacoes!$C:$C,$A1317,Movimentacoes!$E:$E,$C1317,Movimentacoes!$B:$B,"SAIDA_USO")</f>
        <v/>
      </c>
      <c r="I1317" s="13">
        <f>SUMIFS(Movimentacoes!$G:$G,Movimentacoes!$C:$C,$A1317,Movimentacoes!$E:$E,$C1317,Movimentacoes!$B:$B,"SAIDA_DESCARTE")</f>
        <v/>
      </c>
      <c r="J1317" s="13">
        <f>G1317-H1317-I1317</f>
        <v/>
      </c>
      <c r="K1317">
        <f>IF(A1317="","",IF(J1317&lt;=IFERROR(VLOOKUP(A1317,Cadastro_Produtos!$A:$E,5,FALSE),0),"ABAIXO DO MINIMO","OK"))</f>
        <v/>
      </c>
    </row>
    <row r="1318">
      <c r="B1318">
        <f>IFERROR(VLOOKUP(A1318,Cadastro_Produtos!A:B,2,FALSE),"")</f>
        <v/>
      </c>
      <c r="D1318" s="12" t="n"/>
      <c r="E1318" s="13">
        <f>IF(D1318="","",D1318-TODAY())</f>
        <v/>
      </c>
      <c r="F1318">
        <f>IF(D1318="","",IF(E1318&lt;0,"VENCIDO",IF(E1318&lt;=30,"VENCE EM &lt;= 30 DIAS",IF(E1318&lt;=60,"ATENCAO (31-60 DIAS)","OK"))))</f>
        <v/>
      </c>
      <c r="G1318" s="13">
        <f>SUMIFS(Movimentacoes!$G:$G,Movimentacoes!$C:$C,$A1318,Movimentacoes!$E:$E,$C1318,Movimentacoes!$B:$B,"ENTRADA")</f>
        <v/>
      </c>
      <c r="H1318" s="13">
        <f>SUMIFS(Movimentacoes!$G:$G,Movimentacoes!$C:$C,$A1318,Movimentacoes!$E:$E,$C1318,Movimentacoes!$B:$B,"SAIDA_USO")</f>
        <v/>
      </c>
      <c r="I1318" s="13">
        <f>SUMIFS(Movimentacoes!$G:$G,Movimentacoes!$C:$C,$A1318,Movimentacoes!$E:$E,$C1318,Movimentacoes!$B:$B,"SAIDA_DESCARTE")</f>
        <v/>
      </c>
      <c r="J1318" s="13">
        <f>G1318-H1318-I1318</f>
        <v/>
      </c>
      <c r="K1318">
        <f>IF(A1318="","",IF(J1318&lt;=IFERROR(VLOOKUP(A1318,Cadastro_Produtos!$A:$E,5,FALSE),0),"ABAIXO DO MINIMO","OK"))</f>
        <v/>
      </c>
    </row>
    <row r="1319">
      <c r="B1319">
        <f>IFERROR(VLOOKUP(A1319,Cadastro_Produtos!A:B,2,FALSE),"")</f>
        <v/>
      </c>
      <c r="D1319" s="12" t="n"/>
      <c r="E1319" s="13">
        <f>IF(D1319="","",D1319-TODAY())</f>
        <v/>
      </c>
      <c r="F1319">
        <f>IF(D1319="","",IF(E1319&lt;0,"VENCIDO",IF(E1319&lt;=30,"VENCE EM &lt;= 30 DIAS",IF(E1319&lt;=60,"ATENCAO (31-60 DIAS)","OK"))))</f>
        <v/>
      </c>
      <c r="G1319" s="13">
        <f>SUMIFS(Movimentacoes!$G:$G,Movimentacoes!$C:$C,$A1319,Movimentacoes!$E:$E,$C1319,Movimentacoes!$B:$B,"ENTRADA")</f>
        <v/>
      </c>
      <c r="H1319" s="13">
        <f>SUMIFS(Movimentacoes!$G:$G,Movimentacoes!$C:$C,$A1319,Movimentacoes!$E:$E,$C1319,Movimentacoes!$B:$B,"SAIDA_USO")</f>
        <v/>
      </c>
      <c r="I1319" s="13">
        <f>SUMIFS(Movimentacoes!$G:$G,Movimentacoes!$C:$C,$A1319,Movimentacoes!$E:$E,$C1319,Movimentacoes!$B:$B,"SAIDA_DESCARTE")</f>
        <v/>
      </c>
      <c r="J1319" s="13">
        <f>G1319-H1319-I1319</f>
        <v/>
      </c>
      <c r="K1319">
        <f>IF(A1319="","",IF(J1319&lt;=IFERROR(VLOOKUP(A1319,Cadastro_Produtos!$A:$E,5,FALSE),0),"ABAIXO DO MINIMO","OK"))</f>
        <v/>
      </c>
    </row>
    <row r="1320">
      <c r="B1320">
        <f>IFERROR(VLOOKUP(A1320,Cadastro_Produtos!A:B,2,FALSE),"")</f>
        <v/>
      </c>
      <c r="D1320" s="12" t="n"/>
      <c r="E1320" s="13">
        <f>IF(D1320="","",D1320-TODAY())</f>
        <v/>
      </c>
      <c r="F1320">
        <f>IF(D1320="","",IF(E1320&lt;0,"VENCIDO",IF(E1320&lt;=30,"VENCE EM &lt;= 30 DIAS",IF(E1320&lt;=60,"ATENCAO (31-60 DIAS)","OK"))))</f>
        <v/>
      </c>
      <c r="G1320" s="13">
        <f>SUMIFS(Movimentacoes!$G:$G,Movimentacoes!$C:$C,$A1320,Movimentacoes!$E:$E,$C1320,Movimentacoes!$B:$B,"ENTRADA")</f>
        <v/>
      </c>
      <c r="H1320" s="13">
        <f>SUMIFS(Movimentacoes!$G:$G,Movimentacoes!$C:$C,$A1320,Movimentacoes!$E:$E,$C1320,Movimentacoes!$B:$B,"SAIDA_USO")</f>
        <v/>
      </c>
      <c r="I1320" s="13">
        <f>SUMIFS(Movimentacoes!$G:$G,Movimentacoes!$C:$C,$A1320,Movimentacoes!$E:$E,$C1320,Movimentacoes!$B:$B,"SAIDA_DESCARTE")</f>
        <v/>
      </c>
      <c r="J1320" s="13">
        <f>G1320-H1320-I1320</f>
        <v/>
      </c>
      <c r="K1320">
        <f>IF(A1320="","",IF(J1320&lt;=IFERROR(VLOOKUP(A1320,Cadastro_Produtos!$A:$E,5,FALSE),0),"ABAIXO DO MINIMO","OK"))</f>
        <v/>
      </c>
    </row>
    <row r="1321">
      <c r="B1321">
        <f>IFERROR(VLOOKUP(A1321,Cadastro_Produtos!A:B,2,FALSE),"")</f>
        <v/>
      </c>
      <c r="D1321" s="12" t="n"/>
      <c r="E1321" s="13">
        <f>IF(D1321="","",D1321-TODAY())</f>
        <v/>
      </c>
      <c r="F1321">
        <f>IF(D1321="","",IF(E1321&lt;0,"VENCIDO",IF(E1321&lt;=30,"VENCE EM &lt;= 30 DIAS",IF(E1321&lt;=60,"ATENCAO (31-60 DIAS)","OK"))))</f>
        <v/>
      </c>
      <c r="G1321" s="13">
        <f>SUMIFS(Movimentacoes!$G:$G,Movimentacoes!$C:$C,$A1321,Movimentacoes!$E:$E,$C1321,Movimentacoes!$B:$B,"ENTRADA")</f>
        <v/>
      </c>
      <c r="H1321" s="13">
        <f>SUMIFS(Movimentacoes!$G:$G,Movimentacoes!$C:$C,$A1321,Movimentacoes!$E:$E,$C1321,Movimentacoes!$B:$B,"SAIDA_USO")</f>
        <v/>
      </c>
      <c r="I1321" s="13">
        <f>SUMIFS(Movimentacoes!$G:$G,Movimentacoes!$C:$C,$A1321,Movimentacoes!$E:$E,$C1321,Movimentacoes!$B:$B,"SAIDA_DESCARTE")</f>
        <v/>
      </c>
      <c r="J1321" s="13">
        <f>G1321-H1321-I1321</f>
        <v/>
      </c>
      <c r="K1321">
        <f>IF(A1321="","",IF(J1321&lt;=IFERROR(VLOOKUP(A1321,Cadastro_Produtos!$A:$E,5,FALSE),0),"ABAIXO DO MINIMO","OK"))</f>
        <v/>
      </c>
    </row>
    <row r="1322">
      <c r="B1322">
        <f>IFERROR(VLOOKUP(A1322,Cadastro_Produtos!A:B,2,FALSE),"")</f>
        <v/>
      </c>
      <c r="D1322" s="12" t="n"/>
      <c r="E1322" s="13">
        <f>IF(D1322="","",D1322-TODAY())</f>
        <v/>
      </c>
      <c r="F1322">
        <f>IF(D1322="","",IF(E1322&lt;0,"VENCIDO",IF(E1322&lt;=30,"VENCE EM &lt;= 30 DIAS",IF(E1322&lt;=60,"ATENCAO (31-60 DIAS)","OK"))))</f>
        <v/>
      </c>
      <c r="G1322" s="13">
        <f>SUMIFS(Movimentacoes!$G:$G,Movimentacoes!$C:$C,$A1322,Movimentacoes!$E:$E,$C1322,Movimentacoes!$B:$B,"ENTRADA")</f>
        <v/>
      </c>
      <c r="H1322" s="13">
        <f>SUMIFS(Movimentacoes!$G:$G,Movimentacoes!$C:$C,$A1322,Movimentacoes!$E:$E,$C1322,Movimentacoes!$B:$B,"SAIDA_USO")</f>
        <v/>
      </c>
      <c r="I1322" s="13">
        <f>SUMIFS(Movimentacoes!$G:$G,Movimentacoes!$C:$C,$A1322,Movimentacoes!$E:$E,$C1322,Movimentacoes!$B:$B,"SAIDA_DESCARTE")</f>
        <v/>
      </c>
      <c r="J1322" s="13">
        <f>G1322-H1322-I1322</f>
        <v/>
      </c>
      <c r="K1322">
        <f>IF(A1322="","",IF(J1322&lt;=IFERROR(VLOOKUP(A1322,Cadastro_Produtos!$A:$E,5,FALSE),0),"ABAIXO DO MINIMO","OK"))</f>
        <v/>
      </c>
    </row>
    <row r="1323">
      <c r="B1323">
        <f>IFERROR(VLOOKUP(A1323,Cadastro_Produtos!A:B,2,FALSE),"")</f>
        <v/>
      </c>
      <c r="D1323" s="12" t="n"/>
      <c r="E1323" s="13">
        <f>IF(D1323="","",D1323-TODAY())</f>
        <v/>
      </c>
      <c r="F1323">
        <f>IF(D1323="","",IF(E1323&lt;0,"VENCIDO",IF(E1323&lt;=30,"VENCE EM &lt;= 30 DIAS",IF(E1323&lt;=60,"ATENCAO (31-60 DIAS)","OK"))))</f>
        <v/>
      </c>
      <c r="G1323" s="13">
        <f>SUMIFS(Movimentacoes!$G:$G,Movimentacoes!$C:$C,$A1323,Movimentacoes!$E:$E,$C1323,Movimentacoes!$B:$B,"ENTRADA")</f>
        <v/>
      </c>
      <c r="H1323" s="13">
        <f>SUMIFS(Movimentacoes!$G:$G,Movimentacoes!$C:$C,$A1323,Movimentacoes!$E:$E,$C1323,Movimentacoes!$B:$B,"SAIDA_USO")</f>
        <v/>
      </c>
      <c r="I1323" s="13">
        <f>SUMIFS(Movimentacoes!$G:$G,Movimentacoes!$C:$C,$A1323,Movimentacoes!$E:$E,$C1323,Movimentacoes!$B:$B,"SAIDA_DESCARTE")</f>
        <v/>
      </c>
      <c r="J1323" s="13">
        <f>G1323-H1323-I1323</f>
        <v/>
      </c>
      <c r="K1323">
        <f>IF(A1323="","",IF(J1323&lt;=IFERROR(VLOOKUP(A1323,Cadastro_Produtos!$A:$E,5,FALSE),0),"ABAIXO DO MINIMO","OK"))</f>
        <v/>
      </c>
    </row>
    <row r="1324">
      <c r="B1324">
        <f>IFERROR(VLOOKUP(A1324,Cadastro_Produtos!A:B,2,FALSE),"")</f>
        <v/>
      </c>
      <c r="D1324" s="12" t="n"/>
      <c r="E1324" s="13">
        <f>IF(D1324="","",D1324-TODAY())</f>
        <v/>
      </c>
      <c r="F1324">
        <f>IF(D1324="","",IF(E1324&lt;0,"VENCIDO",IF(E1324&lt;=30,"VENCE EM &lt;= 30 DIAS",IF(E1324&lt;=60,"ATENCAO (31-60 DIAS)","OK"))))</f>
        <v/>
      </c>
      <c r="G1324" s="13">
        <f>SUMIFS(Movimentacoes!$G:$G,Movimentacoes!$C:$C,$A1324,Movimentacoes!$E:$E,$C1324,Movimentacoes!$B:$B,"ENTRADA")</f>
        <v/>
      </c>
      <c r="H1324" s="13">
        <f>SUMIFS(Movimentacoes!$G:$G,Movimentacoes!$C:$C,$A1324,Movimentacoes!$E:$E,$C1324,Movimentacoes!$B:$B,"SAIDA_USO")</f>
        <v/>
      </c>
      <c r="I1324" s="13">
        <f>SUMIFS(Movimentacoes!$G:$G,Movimentacoes!$C:$C,$A1324,Movimentacoes!$E:$E,$C1324,Movimentacoes!$B:$B,"SAIDA_DESCARTE")</f>
        <v/>
      </c>
      <c r="J1324" s="13">
        <f>G1324-H1324-I1324</f>
        <v/>
      </c>
      <c r="K1324">
        <f>IF(A1324="","",IF(J1324&lt;=IFERROR(VLOOKUP(A1324,Cadastro_Produtos!$A:$E,5,FALSE),0),"ABAIXO DO MINIMO","OK"))</f>
        <v/>
      </c>
    </row>
    <row r="1325">
      <c r="B1325">
        <f>IFERROR(VLOOKUP(A1325,Cadastro_Produtos!A:B,2,FALSE),"")</f>
        <v/>
      </c>
      <c r="D1325" s="12" t="n"/>
      <c r="E1325" s="13">
        <f>IF(D1325="","",D1325-TODAY())</f>
        <v/>
      </c>
      <c r="F1325">
        <f>IF(D1325="","",IF(E1325&lt;0,"VENCIDO",IF(E1325&lt;=30,"VENCE EM &lt;= 30 DIAS",IF(E1325&lt;=60,"ATENCAO (31-60 DIAS)","OK"))))</f>
        <v/>
      </c>
      <c r="G1325" s="13">
        <f>SUMIFS(Movimentacoes!$G:$G,Movimentacoes!$C:$C,$A1325,Movimentacoes!$E:$E,$C1325,Movimentacoes!$B:$B,"ENTRADA")</f>
        <v/>
      </c>
      <c r="H1325" s="13">
        <f>SUMIFS(Movimentacoes!$G:$G,Movimentacoes!$C:$C,$A1325,Movimentacoes!$E:$E,$C1325,Movimentacoes!$B:$B,"SAIDA_USO")</f>
        <v/>
      </c>
      <c r="I1325" s="13">
        <f>SUMIFS(Movimentacoes!$G:$G,Movimentacoes!$C:$C,$A1325,Movimentacoes!$E:$E,$C1325,Movimentacoes!$B:$B,"SAIDA_DESCARTE")</f>
        <v/>
      </c>
      <c r="J1325" s="13">
        <f>G1325-H1325-I1325</f>
        <v/>
      </c>
      <c r="K1325">
        <f>IF(A1325="","",IF(J1325&lt;=IFERROR(VLOOKUP(A1325,Cadastro_Produtos!$A:$E,5,FALSE),0),"ABAIXO DO MINIMO","OK"))</f>
        <v/>
      </c>
    </row>
    <row r="1326">
      <c r="B1326">
        <f>IFERROR(VLOOKUP(A1326,Cadastro_Produtos!A:B,2,FALSE),"")</f>
        <v/>
      </c>
      <c r="D1326" s="12" t="n"/>
      <c r="E1326" s="13">
        <f>IF(D1326="","",D1326-TODAY())</f>
        <v/>
      </c>
      <c r="F1326">
        <f>IF(D1326="","",IF(E1326&lt;0,"VENCIDO",IF(E1326&lt;=30,"VENCE EM &lt;= 30 DIAS",IF(E1326&lt;=60,"ATENCAO (31-60 DIAS)","OK"))))</f>
        <v/>
      </c>
      <c r="G1326" s="13">
        <f>SUMIFS(Movimentacoes!$G:$G,Movimentacoes!$C:$C,$A1326,Movimentacoes!$E:$E,$C1326,Movimentacoes!$B:$B,"ENTRADA")</f>
        <v/>
      </c>
      <c r="H1326" s="13">
        <f>SUMIFS(Movimentacoes!$G:$G,Movimentacoes!$C:$C,$A1326,Movimentacoes!$E:$E,$C1326,Movimentacoes!$B:$B,"SAIDA_USO")</f>
        <v/>
      </c>
      <c r="I1326" s="13">
        <f>SUMIFS(Movimentacoes!$G:$G,Movimentacoes!$C:$C,$A1326,Movimentacoes!$E:$E,$C1326,Movimentacoes!$B:$B,"SAIDA_DESCARTE")</f>
        <v/>
      </c>
      <c r="J1326" s="13">
        <f>G1326-H1326-I1326</f>
        <v/>
      </c>
      <c r="K1326">
        <f>IF(A1326="","",IF(J1326&lt;=IFERROR(VLOOKUP(A1326,Cadastro_Produtos!$A:$E,5,FALSE),0),"ABAIXO DO MINIMO","OK"))</f>
        <v/>
      </c>
    </row>
    <row r="1327">
      <c r="B1327">
        <f>IFERROR(VLOOKUP(A1327,Cadastro_Produtos!A:B,2,FALSE),"")</f>
        <v/>
      </c>
      <c r="D1327" s="12" t="n"/>
      <c r="E1327" s="13">
        <f>IF(D1327="","",D1327-TODAY())</f>
        <v/>
      </c>
      <c r="F1327">
        <f>IF(D1327="","",IF(E1327&lt;0,"VENCIDO",IF(E1327&lt;=30,"VENCE EM &lt;= 30 DIAS",IF(E1327&lt;=60,"ATENCAO (31-60 DIAS)","OK"))))</f>
        <v/>
      </c>
      <c r="G1327" s="13">
        <f>SUMIFS(Movimentacoes!$G:$G,Movimentacoes!$C:$C,$A1327,Movimentacoes!$E:$E,$C1327,Movimentacoes!$B:$B,"ENTRADA")</f>
        <v/>
      </c>
      <c r="H1327" s="13">
        <f>SUMIFS(Movimentacoes!$G:$G,Movimentacoes!$C:$C,$A1327,Movimentacoes!$E:$E,$C1327,Movimentacoes!$B:$B,"SAIDA_USO")</f>
        <v/>
      </c>
      <c r="I1327" s="13">
        <f>SUMIFS(Movimentacoes!$G:$G,Movimentacoes!$C:$C,$A1327,Movimentacoes!$E:$E,$C1327,Movimentacoes!$B:$B,"SAIDA_DESCARTE")</f>
        <v/>
      </c>
      <c r="J1327" s="13">
        <f>G1327-H1327-I1327</f>
        <v/>
      </c>
      <c r="K1327">
        <f>IF(A1327="","",IF(J1327&lt;=IFERROR(VLOOKUP(A1327,Cadastro_Produtos!$A:$E,5,FALSE),0),"ABAIXO DO MINIMO","OK"))</f>
        <v/>
      </c>
    </row>
    <row r="1328">
      <c r="B1328">
        <f>IFERROR(VLOOKUP(A1328,Cadastro_Produtos!A:B,2,FALSE),"")</f>
        <v/>
      </c>
      <c r="D1328" s="12" t="n"/>
      <c r="E1328" s="13">
        <f>IF(D1328="","",D1328-TODAY())</f>
        <v/>
      </c>
      <c r="F1328">
        <f>IF(D1328="","",IF(E1328&lt;0,"VENCIDO",IF(E1328&lt;=30,"VENCE EM &lt;= 30 DIAS",IF(E1328&lt;=60,"ATENCAO (31-60 DIAS)","OK"))))</f>
        <v/>
      </c>
      <c r="G1328" s="13">
        <f>SUMIFS(Movimentacoes!$G:$G,Movimentacoes!$C:$C,$A1328,Movimentacoes!$E:$E,$C1328,Movimentacoes!$B:$B,"ENTRADA")</f>
        <v/>
      </c>
      <c r="H1328" s="13">
        <f>SUMIFS(Movimentacoes!$G:$G,Movimentacoes!$C:$C,$A1328,Movimentacoes!$E:$E,$C1328,Movimentacoes!$B:$B,"SAIDA_USO")</f>
        <v/>
      </c>
      <c r="I1328" s="13">
        <f>SUMIFS(Movimentacoes!$G:$G,Movimentacoes!$C:$C,$A1328,Movimentacoes!$E:$E,$C1328,Movimentacoes!$B:$B,"SAIDA_DESCARTE")</f>
        <v/>
      </c>
      <c r="J1328" s="13">
        <f>G1328-H1328-I1328</f>
        <v/>
      </c>
      <c r="K1328">
        <f>IF(A1328="","",IF(J1328&lt;=IFERROR(VLOOKUP(A1328,Cadastro_Produtos!$A:$E,5,FALSE),0),"ABAIXO DO MINIMO","OK"))</f>
        <v/>
      </c>
    </row>
    <row r="1329">
      <c r="B1329">
        <f>IFERROR(VLOOKUP(A1329,Cadastro_Produtos!A:B,2,FALSE),"")</f>
        <v/>
      </c>
      <c r="D1329" s="12" t="n"/>
      <c r="E1329" s="13">
        <f>IF(D1329="","",D1329-TODAY())</f>
        <v/>
      </c>
      <c r="F1329">
        <f>IF(D1329="","",IF(E1329&lt;0,"VENCIDO",IF(E1329&lt;=30,"VENCE EM &lt;= 30 DIAS",IF(E1329&lt;=60,"ATENCAO (31-60 DIAS)","OK"))))</f>
        <v/>
      </c>
      <c r="G1329" s="13">
        <f>SUMIFS(Movimentacoes!$G:$G,Movimentacoes!$C:$C,$A1329,Movimentacoes!$E:$E,$C1329,Movimentacoes!$B:$B,"ENTRADA")</f>
        <v/>
      </c>
      <c r="H1329" s="13">
        <f>SUMIFS(Movimentacoes!$G:$G,Movimentacoes!$C:$C,$A1329,Movimentacoes!$E:$E,$C1329,Movimentacoes!$B:$B,"SAIDA_USO")</f>
        <v/>
      </c>
      <c r="I1329" s="13">
        <f>SUMIFS(Movimentacoes!$G:$G,Movimentacoes!$C:$C,$A1329,Movimentacoes!$E:$E,$C1329,Movimentacoes!$B:$B,"SAIDA_DESCARTE")</f>
        <v/>
      </c>
      <c r="J1329" s="13">
        <f>G1329-H1329-I1329</f>
        <v/>
      </c>
      <c r="K1329">
        <f>IF(A1329="","",IF(J1329&lt;=IFERROR(VLOOKUP(A1329,Cadastro_Produtos!$A:$E,5,FALSE),0),"ABAIXO DO MINIMO","OK"))</f>
        <v/>
      </c>
    </row>
    <row r="1330">
      <c r="B1330">
        <f>IFERROR(VLOOKUP(A1330,Cadastro_Produtos!A:B,2,FALSE),"")</f>
        <v/>
      </c>
      <c r="D1330" s="12" t="n"/>
      <c r="E1330" s="13">
        <f>IF(D1330="","",D1330-TODAY())</f>
        <v/>
      </c>
      <c r="F1330">
        <f>IF(D1330="","",IF(E1330&lt;0,"VENCIDO",IF(E1330&lt;=30,"VENCE EM &lt;= 30 DIAS",IF(E1330&lt;=60,"ATENCAO (31-60 DIAS)","OK"))))</f>
        <v/>
      </c>
      <c r="G1330" s="13">
        <f>SUMIFS(Movimentacoes!$G:$G,Movimentacoes!$C:$C,$A1330,Movimentacoes!$E:$E,$C1330,Movimentacoes!$B:$B,"ENTRADA")</f>
        <v/>
      </c>
      <c r="H1330" s="13">
        <f>SUMIFS(Movimentacoes!$G:$G,Movimentacoes!$C:$C,$A1330,Movimentacoes!$E:$E,$C1330,Movimentacoes!$B:$B,"SAIDA_USO")</f>
        <v/>
      </c>
      <c r="I1330" s="13">
        <f>SUMIFS(Movimentacoes!$G:$G,Movimentacoes!$C:$C,$A1330,Movimentacoes!$E:$E,$C1330,Movimentacoes!$B:$B,"SAIDA_DESCARTE")</f>
        <v/>
      </c>
      <c r="J1330" s="13">
        <f>G1330-H1330-I1330</f>
        <v/>
      </c>
      <c r="K1330">
        <f>IF(A1330="","",IF(J1330&lt;=IFERROR(VLOOKUP(A1330,Cadastro_Produtos!$A:$E,5,FALSE),0),"ABAIXO DO MINIMO","OK"))</f>
        <v/>
      </c>
    </row>
    <row r="1331">
      <c r="B1331">
        <f>IFERROR(VLOOKUP(A1331,Cadastro_Produtos!A:B,2,FALSE),"")</f>
        <v/>
      </c>
      <c r="D1331" s="12" t="n"/>
      <c r="E1331" s="13">
        <f>IF(D1331="","",D1331-TODAY())</f>
        <v/>
      </c>
      <c r="F1331">
        <f>IF(D1331="","",IF(E1331&lt;0,"VENCIDO",IF(E1331&lt;=30,"VENCE EM &lt;= 30 DIAS",IF(E1331&lt;=60,"ATENCAO (31-60 DIAS)","OK"))))</f>
        <v/>
      </c>
      <c r="G1331" s="13">
        <f>SUMIFS(Movimentacoes!$G:$G,Movimentacoes!$C:$C,$A1331,Movimentacoes!$E:$E,$C1331,Movimentacoes!$B:$B,"ENTRADA")</f>
        <v/>
      </c>
      <c r="H1331" s="13">
        <f>SUMIFS(Movimentacoes!$G:$G,Movimentacoes!$C:$C,$A1331,Movimentacoes!$E:$E,$C1331,Movimentacoes!$B:$B,"SAIDA_USO")</f>
        <v/>
      </c>
      <c r="I1331" s="13">
        <f>SUMIFS(Movimentacoes!$G:$G,Movimentacoes!$C:$C,$A1331,Movimentacoes!$E:$E,$C1331,Movimentacoes!$B:$B,"SAIDA_DESCARTE")</f>
        <v/>
      </c>
      <c r="J1331" s="13">
        <f>G1331-H1331-I1331</f>
        <v/>
      </c>
      <c r="K1331">
        <f>IF(A1331="","",IF(J1331&lt;=IFERROR(VLOOKUP(A1331,Cadastro_Produtos!$A:$E,5,FALSE),0),"ABAIXO DO MINIMO","OK"))</f>
        <v/>
      </c>
    </row>
    <row r="1332">
      <c r="B1332">
        <f>IFERROR(VLOOKUP(A1332,Cadastro_Produtos!A:B,2,FALSE),"")</f>
        <v/>
      </c>
      <c r="D1332" s="12" t="n"/>
      <c r="E1332" s="13">
        <f>IF(D1332="","",D1332-TODAY())</f>
        <v/>
      </c>
      <c r="F1332">
        <f>IF(D1332="","",IF(E1332&lt;0,"VENCIDO",IF(E1332&lt;=30,"VENCE EM &lt;= 30 DIAS",IF(E1332&lt;=60,"ATENCAO (31-60 DIAS)","OK"))))</f>
        <v/>
      </c>
      <c r="G1332" s="13">
        <f>SUMIFS(Movimentacoes!$G:$G,Movimentacoes!$C:$C,$A1332,Movimentacoes!$E:$E,$C1332,Movimentacoes!$B:$B,"ENTRADA")</f>
        <v/>
      </c>
      <c r="H1332" s="13">
        <f>SUMIFS(Movimentacoes!$G:$G,Movimentacoes!$C:$C,$A1332,Movimentacoes!$E:$E,$C1332,Movimentacoes!$B:$B,"SAIDA_USO")</f>
        <v/>
      </c>
      <c r="I1332" s="13">
        <f>SUMIFS(Movimentacoes!$G:$G,Movimentacoes!$C:$C,$A1332,Movimentacoes!$E:$E,$C1332,Movimentacoes!$B:$B,"SAIDA_DESCARTE")</f>
        <v/>
      </c>
      <c r="J1332" s="13">
        <f>G1332-H1332-I1332</f>
        <v/>
      </c>
      <c r="K1332">
        <f>IF(A1332="","",IF(J1332&lt;=IFERROR(VLOOKUP(A1332,Cadastro_Produtos!$A:$E,5,FALSE),0),"ABAIXO DO MINIMO","OK"))</f>
        <v/>
      </c>
    </row>
    <row r="1333">
      <c r="B1333">
        <f>IFERROR(VLOOKUP(A1333,Cadastro_Produtos!A:B,2,FALSE),"")</f>
        <v/>
      </c>
      <c r="D1333" s="12" t="n"/>
      <c r="E1333" s="13">
        <f>IF(D1333="","",D1333-TODAY())</f>
        <v/>
      </c>
      <c r="F1333">
        <f>IF(D1333="","",IF(E1333&lt;0,"VENCIDO",IF(E1333&lt;=30,"VENCE EM &lt;= 30 DIAS",IF(E1333&lt;=60,"ATENCAO (31-60 DIAS)","OK"))))</f>
        <v/>
      </c>
      <c r="G1333" s="13">
        <f>SUMIFS(Movimentacoes!$G:$G,Movimentacoes!$C:$C,$A1333,Movimentacoes!$E:$E,$C1333,Movimentacoes!$B:$B,"ENTRADA")</f>
        <v/>
      </c>
      <c r="H1333" s="13">
        <f>SUMIFS(Movimentacoes!$G:$G,Movimentacoes!$C:$C,$A1333,Movimentacoes!$E:$E,$C1333,Movimentacoes!$B:$B,"SAIDA_USO")</f>
        <v/>
      </c>
      <c r="I1333" s="13">
        <f>SUMIFS(Movimentacoes!$G:$G,Movimentacoes!$C:$C,$A1333,Movimentacoes!$E:$E,$C1333,Movimentacoes!$B:$B,"SAIDA_DESCARTE")</f>
        <v/>
      </c>
      <c r="J1333" s="13">
        <f>G1333-H1333-I1333</f>
        <v/>
      </c>
      <c r="K1333">
        <f>IF(A1333="","",IF(J1333&lt;=IFERROR(VLOOKUP(A1333,Cadastro_Produtos!$A:$E,5,FALSE),0),"ABAIXO DO MINIMO","OK"))</f>
        <v/>
      </c>
    </row>
    <row r="1334">
      <c r="B1334">
        <f>IFERROR(VLOOKUP(A1334,Cadastro_Produtos!A:B,2,FALSE),"")</f>
        <v/>
      </c>
      <c r="D1334" s="12" t="n"/>
      <c r="E1334" s="13">
        <f>IF(D1334="","",D1334-TODAY())</f>
        <v/>
      </c>
      <c r="F1334">
        <f>IF(D1334="","",IF(E1334&lt;0,"VENCIDO",IF(E1334&lt;=30,"VENCE EM &lt;= 30 DIAS",IF(E1334&lt;=60,"ATENCAO (31-60 DIAS)","OK"))))</f>
        <v/>
      </c>
      <c r="G1334" s="13">
        <f>SUMIFS(Movimentacoes!$G:$G,Movimentacoes!$C:$C,$A1334,Movimentacoes!$E:$E,$C1334,Movimentacoes!$B:$B,"ENTRADA")</f>
        <v/>
      </c>
      <c r="H1334" s="13">
        <f>SUMIFS(Movimentacoes!$G:$G,Movimentacoes!$C:$C,$A1334,Movimentacoes!$E:$E,$C1334,Movimentacoes!$B:$B,"SAIDA_USO")</f>
        <v/>
      </c>
      <c r="I1334" s="13">
        <f>SUMIFS(Movimentacoes!$G:$G,Movimentacoes!$C:$C,$A1334,Movimentacoes!$E:$E,$C1334,Movimentacoes!$B:$B,"SAIDA_DESCARTE")</f>
        <v/>
      </c>
      <c r="J1334" s="13">
        <f>G1334-H1334-I1334</f>
        <v/>
      </c>
      <c r="K1334">
        <f>IF(A1334="","",IF(J1334&lt;=IFERROR(VLOOKUP(A1334,Cadastro_Produtos!$A:$E,5,FALSE),0),"ABAIXO DO MINIMO","OK"))</f>
        <v/>
      </c>
    </row>
    <row r="1335">
      <c r="B1335">
        <f>IFERROR(VLOOKUP(A1335,Cadastro_Produtos!A:B,2,FALSE),"")</f>
        <v/>
      </c>
      <c r="D1335" s="12" t="n"/>
      <c r="E1335" s="13">
        <f>IF(D1335="","",D1335-TODAY())</f>
        <v/>
      </c>
      <c r="F1335">
        <f>IF(D1335="","",IF(E1335&lt;0,"VENCIDO",IF(E1335&lt;=30,"VENCE EM &lt;= 30 DIAS",IF(E1335&lt;=60,"ATENCAO (31-60 DIAS)","OK"))))</f>
        <v/>
      </c>
      <c r="G1335" s="13">
        <f>SUMIFS(Movimentacoes!$G:$G,Movimentacoes!$C:$C,$A1335,Movimentacoes!$E:$E,$C1335,Movimentacoes!$B:$B,"ENTRADA")</f>
        <v/>
      </c>
      <c r="H1335" s="13">
        <f>SUMIFS(Movimentacoes!$G:$G,Movimentacoes!$C:$C,$A1335,Movimentacoes!$E:$E,$C1335,Movimentacoes!$B:$B,"SAIDA_USO")</f>
        <v/>
      </c>
      <c r="I1335" s="13">
        <f>SUMIFS(Movimentacoes!$G:$G,Movimentacoes!$C:$C,$A1335,Movimentacoes!$E:$E,$C1335,Movimentacoes!$B:$B,"SAIDA_DESCARTE")</f>
        <v/>
      </c>
      <c r="J1335" s="13">
        <f>G1335-H1335-I1335</f>
        <v/>
      </c>
      <c r="K1335">
        <f>IF(A1335="","",IF(J1335&lt;=IFERROR(VLOOKUP(A1335,Cadastro_Produtos!$A:$E,5,FALSE),0),"ABAIXO DO MINIMO","OK"))</f>
        <v/>
      </c>
    </row>
    <row r="1336">
      <c r="B1336">
        <f>IFERROR(VLOOKUP(A1336,Cadastro_Produtos!A:B,2,FALSE),"")</f>
        <v/>
      </c>
      <c r="D1336" s="12" t="n"/>
      <c r="E1336" s="13">
        <f>IF(D1336="","",D1336-TODAY())</f>
        <v/>
      </c>
      <c r="F1336">
        <f>IF(D1336="","",IF(E1336&lt;0,"VENCIDO",IF(E1336&lt;=30,"VENCE EM &lt;= 30 DIAS",IF(E1336&lt;=60,"ATENCAO (31-60 DIAS)","OK"))))</f>
        <v/>
      </c>
      <c r="G1336" s="13">
        <f>SUMIFS(Movimentacoes!$G:$G,Movimentacoes!$C:$C,$A1336,Movimentacoes!$E:$E,$C1336,Movimentacoes!$B:$B,"ENTRADA")</f>
        <v/>
      </c>
      <c r="H1336" s="13">
        <f>SUMIFS(Movimentacoes!$G:$G,Movimentacoes!$C:$C,$A1336,Movimentacoes!$E:$E,$C1336,Movimentacoes!$B:$B,"SAIDA_USO")</f>
        <v/>
      </c>
      <c r="I1336" s="13">
        <f>SUMIFS(Movimentacoes!$G:$G,Movimentacoes!$C:$C,$A1336,Movimentacoes!$E:$E,$C1336,Movimentacoes!$B:$B,"SAIDA_DESCARTE")</f>
        <v/>
      </c>
      <c r="J1336" s="13">
        <f>G1336-H1336-I1336</f>
        <v/>
      </c>
      <c r="K1336">
        <f>IF(A1336="","",IF(J1336&lt;=IFERROR(VLOOKUP(A1336,Cadastro_Produtos!$A:$E,5,FALSE),0),"ABAIXO DO MINIMO","OK"))</f>
        <v/>
      </c>
    </row>
    <row r="1337">
      <c r="B1337">
        <f>IFERROR(VLOOKUP(A1337,Cadastro_Produtos!A:B,2,FALSE),"")</f>
        <v/>
      </c>
      <c r="D1337" s="12" t="n"/>
      <c r="E1337" s="13">
        <f>IF(D1337="","",D1337-TODAY())</f>
        <v/>
      </c>
      <c r="F1337">
        <f>IF(D1337="","",IF(E1337&lt;0,"VENCIDO",IF(E1337&lt;=30,"VENCE EM &lt;= 30 DIAS",IF(E1337&lt;=60,"ATENCAO (31-60 DIAS)","OK"))))</f>
        <v/>
      </c>
      <c r="G1337" s="13">
        <f>SUMIFS(Movimentacoes!$G:$G,Movimentacoes!$C:$C,$A1337,Movimentacoes!$E:$E,$C1337,Movimentacoes!$B:$B,"ENTRADA")</f>
        <v/>
      </c>
      <c r="H1337" s="13">
        <f>SUMIFS(Movimentacoes!$G:$G,Movimentacoes!$C:$C,$A1337,Movimentacoes!$E:$E,$C1337,Movimentacoes!$B:$B,"SAIDA_USO")</f>
        <v/>
      </c>
      <c r="I1337" s="13">
        <f>SUMIFS(Movimentacoes!$G:$G,Movimentacoes!$C:$C,$A1337,Movimentacoes!$E:$E,$C1337,Movimentacoes!$B:$B,"SAIDA_DESCARTE")</f>
        <v/>
      </c>
      <c r="J1337" s="13">
        <f>G1337-H1337-I1337</f>
        <v/>
      </c>
      <c r="K1337">
        <f>IF(A1337="","",IF(J1337&lt;=IFERROR(VLOOKUP(A1337,Cadastro_Produtos!$A:$E,5,FALSE),0),"ABAIXO DO MINIMO","OK"))</f>
        <v/>
      </c>
    </row>
    <row r="1338">
      <c r="B1338">
        <f>IFERROR(VLOOKUP(A1338,Cadastro_Produtos!A:B,2,FALSE),"")</f>
        <v/>
      </c>
      <c r="D1338" s="12" t="n"/>
      <c r="E1338" s="13">
        <f>IF(D1338="","",D1338-TODAY())</f>
        <v/>
      </c>
      <c r="F1338">
        <f>IF(D1338="","",IF(E1338&lt;0,"VENCIDO",IF(E1338&lt;=30,"VENCE EM &lt;= 30 DIAS",IF(E1338&lt;=60,"ATENCAO (31-60 DIAS)","OK"))))</f>
        <v/>
      </c>
      <c r="G1338" s="13">
        <f>SUMIFS(Movimentacoes!$G:$G,Movimentacoes!$C:$C,$A1338,Movimentacoes!$E:$E,$C1338,Movimentacoes!$B:$B,"ENTRADA")</f>
        <v/>
      </c>
      <c r="H1338" s="13">
        <f>SUMIFS(Movimentacoes!$G:$G,Movimentacoes!$C:$C,$A1338,Movimentacoes!$E:$E,$C1338,Movimentacoes!$B:$B,"SAIDA_USO")</f>
        <v/>
      </c>
      <c r="I1338" s="13">
        <f>SUMIFS(Movimentacoes!$G:$G,Movimentacoes!$C:$C,$A1338,Movimentacoes!$E:$E,$C1338,Movimentacoes!$B:$B,"SAIDA_DESCARTE")</f>
        <v/>
      </c>
      <c r="J1338" s="13">
        <f>G1338-H1338-I1338</f>
        <v/>
      </c>
      <c r="K1338">
        <f>IF(A1338="","",IF(J1338&lt;=IFERROR(VLOOKUP(A1338,Cadastro_Produtos!$A:$E,5,FALSE),0),"ABAIXO DO MINIMO","OK"))</f>
        <v/>
      </c>
    </row>
    <row r="1339">
      <c r="B1339">
        <f>IFERROR(VLOOKUP(A1339,Cadastro_Produtos!A:B,2,FALSE),"")</f>
        <v/>
      </c>
      <c r="D1339" s="12" t="n"/>
      <c r="E1339" s="13">
        <f>IF(D1339="","",D1339-TODAY())</f>
        <v/>
      </c>
      <c r="F1339">
        <f>IF(D1339="","",IF(E1339&lt;0,"VENCIDO",IF(E1339&lt;=30,"VENCE EM &lt;= 30 DIAS",IF(E1339&lt;=60,"ATENCAO (31-60 DIAS)","OK"))))</f>
        <v/>
      </c>
      <c r="G1339" s="13">
        <f>SUMIFS(Movimentacoes!$G:$G,Movimentacoes!$C:$C,$A1339,Movimentacoes!$E:$E,$C1339,Movimentacoes!$B:$B,"ENTRADA")</f>
        <v/>
      </c>
      <c r="H1339" s="13">
        <f>SUMIFS(Movimentacoes!$G:$G,Movimentacoes!$C:$C,$A1339,Movimentacoes!$E:$E,$C1339,Movimentacoes!$B:$B,"SAIDA_USO")</f>
        <v/>
      </c>
      <c r="I1339" s="13">
        <f>SUMIFS(Movimentacoes!$G:$G,Movimentacoes!$C:$C,$A1339,Movimentacoes!$E:$E,$C1339,Movimentacoes!$B:$B,"SAIDA_DESCARTE")</f>
        <v/>
      </c>
      <c r="J1339" s="13">
        <f>G1339-H1339-I1339</f>
        <v/>
      </c>
      <c r="K1339">
        <f>IF(A1339="","",IF(J1339&lt;=IFERROR(VLOOKUP(A1339,Cadastro_Produtos!$A:$E,5,FALSE),0),"ABAIXO DO MINIMO","OK"))</f>
        <v/>
      </c>
    </row>
    <row r="1340">
      <c r="B1340">
        <f>IFERROR(VLOOKUP(A1340,Cadastro_Produtos!A:B,2,FALSE),"")</f>
        <v/>
      </c>
      <c r="D1340" s="12" t="n"/>
      <c r="E1340" s="13">
        <f>IF(D1340="","",D1340-TODAY())</f>
        <v/>
      </c>
      <c r="F1340">
        <f>IF(D1340="","",IF(E1340&lt;0,"VENCIDO",IF(E1340&lt;=30,"VENCE EM &lt;= 30 DIAS",IF(E1340&lt;=60,"ATENCAO (31-60 DIAS)","OK"))))</f>
        <v/>
      </c>
      <c r="G1340" s="13">
        <f>SUMIFS(Movimentacoes!$G:$G,Movimentacoes!$C:$C,$A1340,Movimentacoes!$E:$E,$C1340,Movimentacoes!$B:$B,"ENTRADA")</f>
        <v/>
      </c>
      <c r="H1340" s="13">
        <f>SUMIFS(Movimentacoes!$G:$G,Movimentacoes!$C:$C,$A1340,Movimentacoes!$E:$E,$C1340,Movimentacoes!$B:$B,"SAIDA_USO")</f>
        <v/>
      </c>
      <c r="I1340" s="13">
        <f>SUMIFS(Movimentacoes!$G:$G,Movimentacoes!$C:$C,$A1340,Movimentacoes!$E:$E,$C1340,Movimentacoes!$B:$B,"SAIDA_DESCARTE")</f>
        <v/>
      </c>
      <c r="J1340" s="13">
        <f>G1340-H1340-I1340</f>
        <v/>
      </c>
      <c r="K1340">
        <f>IF(A1340="","",IF(J1340&lt;=IFERROR(VLOOKUP(A1340,Cadastro_Produtos!$A:$E,5,FALSE),0),"ABAIXO DO MINIMO","OK"))</f>
        <v/>
      </c>
    </row>
    <row r="1341">
      <c r="B1341">
        <f>IFERROR(VLOOKUP(A1341,Cadastro_Produtos!A:B,2,FALSE),"")</f>
        <v/>
      </c>
      <c r="D1341" s="12" t="n"/>
      <c r="E1341" s="13">
        <f>IF(D1341="","",D1341-TODAY())</f>
        <v/>
      </c>
      <c r="F1341">
        <f>IF(D1341="","",IF(E1341&lt;0,"VENCIDO",IF(E1341&lt;=30,"VENCE EM &lt;= 30 DIAS",IF(E1341&lt;=60,"ATENCAO (31-60 DIAS)","OK"))))</f>
        <v/>
      </c>
      <c r="G1341" s="13">
        <f>SUMIFS(Movimentacoes!$G:$G,Movimentacoes!$C:$C,$A1341,Movimentacoes!$E:$E,$C1341,Movimentacoes!$B:$B,"ENTRADA")</f>
        <v/>
      </c>
      <c r="H1341" s="13">
        <f>SUMIFS(Movimentacoes!$G:$G,Movimentacoes!$C:$C,$A1341,Movimentacoes!$E:$E,$C1341,Movimentacoes!$B:$B,"SAIDA_USO")</f>
        <v/>
      </c>
      <c r="I1341" s="13">
        <f>SUMIFS(Movimentacoes!$G:$G,Movimentacoes!$C:$C,$A1341,Movimentacoes!$E:$E,$C1341,Movimentacoes!$B:$B,"SAIDA_DESCARTE")</f>
        <v/>
      </c>
      <c r="J1341" s="13">
        <f>G1341-H1341-I1341</f>
        <v/>
      </c>
      <c r="K1341">
        <f>IF(A1341="","",IF(J1341&lt;=IFERROR(VLOOKUP(A1341,Cadastro_Produtos!$A:$E,5,FALSE),0),"ABAIXO DO MINIMO","OK"))</f>
        <v/>
      </c>
    </row>
    <row r="1342">
      <c r="B1342">
        <f>IFERROR(VLOOKUP(A1342,Cadastro_Produtos!A:B,2,FALSE),"")</f>
        <v/>
      </c>
      <c r="D1342" s="12" t="n"/>
      <c r="E1342" s="13">
        <f>IF(D1342="","",D1342-TODAY())</f>
        <v/>
      </c>
      <c r="F1342">
        <f>IF(D1342="","",IF(E1342&lt;0,"VENCIDO",IF(E1342&lt;=30,"VENCE EM &lt;= 30 DIAS",IF(E1342&lt;=60,"ATENCAO (31-60 DIAS)","OK"))))</f>
        <v/>
      </c>
      <c r="G1342" s="13">
        <f>SUMIFS(Movimentacoes!$G:$G,Movimentacoes!$C:$C,$A1342,Movimentacoes!$E:$E,$C1342,Movimentacoes!$B:$B,"ENTRADA")</f>
        <v/>
      </c>
      <c r="H1342" s="13">
        <f>SUMIFS(Movimentacoes!$G:$G,Movimentacoes!$C:$C,$A1342,Movimentacoes!$E:$E,$C1342,Movimentacoes!$B:$B,"SAIDA_USO")</f>
        <v/>
      </c>
      <c r="I1342" s="13">
        <f>SUMIFS(Movimentacoes!$G:$G,Movimentacoes!$C:$C,$A1342,Movimentacoes!$E:$E,$C1342,Movimentacoes!$B:$B,"SAIDA_DESCARTE")</f>
        <v/>
      </c>
      <c r="J1342" s="13">
        <f>G1342-H1342-I1342</f>
        <v/>
      </c>
      <c r="K1342">
        <f>IF(A1342="","",IF(J1342&lt;=IFERROR(VLOOKUP(A1342,Cadastro_Produtos!$A:$E,5,FALSE),0),"ABAIXO DO MINIMO","OK"))</f>
        <v/>
      </c>
    </row>
    <row r="1343">
      <c r="B1343">
        <f>IFERROR(VLOOKUP(A1343,Cadastro_Produtos!A:B,2,FALSE),"")</f>
        <v/>
      </c>
      <c r="D1343" s="12" t="n"/>
      <c r="E1343" s="13">
        <f>IF(D1343="","",D1343-TODAY())</f>
        <v/>
      </c>
      <c r="F1343">
        <f>IF(D1343="","",IF(E1343&lt;0,"VENCIDO",IF(E1343&lt;=30,"VENCE EM &lt;= 30 DIAS",IF(E1343&lt;=60,"ATENCAO (31-60 DIAS)","OK"))))</f>
        <v/>
      </c>
      <c r="G1343" s="13">
        <f>SUMIFS(Movimentacoes!$G:$G,Movimentacoes!$C:$C,$A1343,Movimentacoes!$E:$E,$C1343,Movimentacoes!$B:$B,"ENTRADA")</f>
        <v/>
      </c>
      <c r="H1343" s="13">
        <f>SUMIFS(Movimentacoes!$G:$G,Movimentacoes!$C:$C,$A1343,Movimentacoes!$E:$E,$C1343,Movimentacoes!$B:$B,"SAIDA_USO")</f>
        <v/>
      </c>
      <c r="I1343" s="13">
        <f>SUMIFS(Movimentacoes!$G:$G,Movimentacoes!$C:$C,$A1343,Movimentacoes!$E:$E,$C1343,Movimentacoes!$B:$B,"SAIDA_DESCARTE")</f>
        <v/>
      </c>
      <c r="J1343" s="13">
        <f>G1343-H1343-I1343</f>
        <v/>
      </c>
      <c r="K1343">
        <f>IF(A1343="","",IF(J1343&lt;=IFERROR(VLOOKUP(A1343,Cadastro_Produtos!$A:$E,5,FALSE),0),"ABAIXO DO MINIMO","OK"))</f>
        <v/>
      </c>
    </row>
    <row r="1344">
      <c r="B1344">
        <f>IFERROR(VLOOKUP(A1344,Cadastro_Produtos!A:B,2,FALSE),"")</f>
        <v/>
      </c>
      <c r="D1344" s="12" t="n"/>
      <c r="E1344" s="13">
        <f>IF(D1344="","",D1344-TODAY())</f>
        <v/>
      </c>
      <c r="F1344">
        <f>IF(D1344="","",IF(E1344&lt;0,"VENCIDO",IF(E1344&lt;=30,"VENCE EM &lt;= 30 DIAS",IF(E1344&lt;=60,"ATENCAO (31-60 DIAS)","OK"))))</f>
        <v/>
      </c>
      <c r="G1344" s="13">
        <f>SUMIFS(Movimentacoes!$G:$G,Movimentacoes!$C:$C,$A1344,Movimentacoes!$E:$E,$C1344,Movimentacoes!$B:$B,"ENTRADA")</f>
        <v/>
      </c>
      <c r="H1344" s="13">
        <f>SUMIFS(Movimentacoes!$G:$G,Movimentacoes!$C:$C,$A1344,Movimentacoes!$E:$E,$C1344,Movimentacoes!$B:$B,"SAIDA_USO")</f>
        <v/>
      </c>
      <c r="I1344" s="13">
        <f>SUMIFS(Movimentacoes!$G:$G,Movimentacoes!$C:$C,$A1344,Movimentacoes!$E:$E,$C1344,Movimentacoes!$B:$B,"SAIDA_DESCARTE")</f>
        <v/>
      </c>
      <c r="J1344" s="13">
        <f>G1344-H1344-I1344</f>
        <v/>
      </c>
      <c r="K1344">
        <f>IF(A1344="","",IF(J1344&lt;=IFERROR(VLOOKUP(A1344,Cadastro_Produtos!$A:$E,5,FALSE),0),"ABAIXO DO MINIMO","OK"))</f>
        <v/>
      </c>
    </row>
    <row r="1345">
      <c r="B1345">
        <f>IFERROR(VLOOKUP(A1345,Cadastro_Produtos!A:B,2,FALSE),"")</f>
        <v/>
      </c>
      <c r="D1345" s="12" t="n"/>
      <c r="E1345" s="13">
        <f>IF(D1345="","",D1345-TODAY())</f>
        <v/>
      </c>
      <c r="F1345">
        <f>IF(D1345="","",IF(E1345&lt;0,"VENCIDO",IF(E1345&lt;=30,"VENCE EM &lt;= 30 DIAS",IF(E1345&lt;=60,"ATENCAO (31-60 DIAS)","OK"))))</f>
        <v/>
      </c>
      <c r="G1345" s="13">
        <f>SUMIFS(Movimentacoes!$G:$G,Movimentacoes!$C:$C,$A1345,Movimentacoes!$E:$E,$C1345,Movimentacoes!$B:$B,"ENTRADA")</f>
        <v/>
      </c>
      <c r="H1345" s="13">
        <f>SUMIFS(Movimentacoes!$G:$G,Movimentacoes!$C:$C,$A1345,Movimentacoes!$E:$E,$C1345,Movimentacoes!$B:$B,"SAIDA_USO")</f>
        <v/>
      </c>
      <c r="I1345" s="13">
        <f>SUMIFS(Movimentacoes!$G:$G,Movimentacoes!$C:$C,$A1345,Movimentacoes!$E:$E,$C1345,Movimentacoes!$B:$B,"SAIDA_DESCARTE")</f>
        <v/>
      </c>
      <c r="J1345" s="13">
        <f>G1345-H1345-I1345</f>
        <v/>
      </c>
      <c r="K1345">
        <f>IF(A1345="","",IF(J1345&lt;=IFERROR(VLOOKUP(A1345,Cadastro_Produtos!$A:$E,5,FALSE),0),"ABAIXO DO MINIMO","OK"))</f>
        <v/>
      </c>
    </row>
    <row r="1346">
      <c r="B1346">
        <f>IFERROR(VLOOKUP(A1346,Cadastro_Produtos!A:B,2,FALSE),"")</f>
        <v/>
      </c>
      <c r="D1346" s="12" t="n"/>
      <c r="E1346" s="13">
        <f>IF(D1346="","",D1346-TODAY())</f>
        <v/>
      </c>
      <c r="F1346">
        <f>IF(D1346="","",IF(E1346&lt;0,"VENCIDO",IF(E1346&lt;=30,"VENCE EM &lt;= 30 DIAS",IF(E1346&lt;=60,"ATENCAO (31-60 DIAS)","OK"))))</f>
        <v/>
      </c>
      <c r="G1346" s="13">
        <f>SUMIFS(Movimentacoes!$G:$G,Movimentacoes!$C:$C,$A1346,Movimentacoes!$E:$E,$C1346,Movimentacoes!$B:$B,"ENTRADA")</f>
        <v/>
      </c>
      <c r="H1346" s="13">
        <f>SUMIFS(Movimentacoes!$G:$G,Movimentacoes!$C:$C,$A1346,Movimentacoes!$E:$E,$C1346,Movimentacoes!$B:$B,"SAIDA_USO")</f>
        <v/>
      </c>
      <c r="I1346" s="13">
        <f>SUMIFS(Movimentacoes!$G:$G,Movimentacoes!$C:$C,$A1346,Movimentacoes!$E:$E,$C1346,Movimentacoes!$B:$B,"SAIDA_DESCARTE")</f>
        <v/>
      </c>
      <c r="J1346" s="13">
        <f>G1346-H1346-I1346</f>
        <v/>
      </c>
      <c r="K1346">
        <f>IF(A1346="","",IF(J1346&lt;=IFERROR(VLOOKUP(A1346,Cadastro_Produtos!$A:$E,5,FALSE),0),"ABAIXO DO MINIMO","OK"))</f>
        <v/>
      </c>
    </row>
    <row r="1347">
      <c r="B1347">
        <f>IFERROR(VLOOKUP(A1347,Cadastro_Produtos!A:B,2,FALSE),"")</f>
        <v/>
      </c>
      <c r="D1347" s="12" t="n"/>
      <c r="E1347" s="13">
        <f>IF(D1347="","",D1347-TODAY())</f>
        <v/>
      </c>
      <c r="F1347">
        <f>IF(D1347="","",IF(E1347&lt;0,"VENCIDO",IF(E1347&lt;=30,"VENCE EM &lt;= 30 DIAS",IF(E1347&lt;=60,"ATENCAO (31-60 DIAS)","OK"))))</f>
        <v/>
      </c>
      <c r="G1347" s="13">
        <f>SUMIFS(Movimentacoes!$G:$G,Movimentacoes!$C:$C,$A1347,Movimentacoes!$E:$E,$C1347,Movimentacoes!$B:$B,"ENTRADA")</f>
        <v/>
      </c>
      <c r="H1347" s="13">
        <f>SUMIFS(Movimentacoes!$G:$G,Movimentacoes!$C:$C,$A1347,Movimentacoes!$E:$E,$C1347,Movimentacoes!$B:$B,"SAIDA_USO")</f>
        <v/>
      </c>
      <c r="I1347" s="13">
        <f>SUMIFS(Movimentacoes!$G:$G,Movimentacoes!$C:$C,$A1347,Movimentacoes!$E:$E,$C1347,Movimentacoes!$B:$B,"SAIDA_DESCARTE")</f>
        <v/>
      </c>
      <c r="J1347" s="13">
        <f>G1347-H1347-I1347</f>
        <v/>
      </c>
      <c r="K1347">
        <f>IF(A1347="","",IF(J1347&lt;=IFERROR(VLOOKUP(A1347,Cadastro_Produtos!$A:$E,5,FALSE),0),"ABAIXO DO MINIMO","OK"))</f>
        <v/>
      </c>
    </row>
    <row r="1348">
      <c r="B1348">
        <f>IFERROR(VLOOKUP(A1348,Cadastro_Produtos!A:B,2,FALSE),"")</f>
        <v/>
      </c>
      <c r="D1348" s="12" t="n"/>
      <c r="E1348" s="13">
        <f>IF(D1348="","",D1348-TODAY())</f>
        <v/>
      </c>
      <c r="F1348">
        <f>IF(D1348="","",IF(E1348&lt;0,"VENCIDO",IF(E1348&lt;=30,"VENCE EM &lt;= 30 DIAS",IF(E1348&lt;=60,"ATENCAO (31-60 DIAS)","OK"))))</f>
        <v/>
      </c>
      <c r="G1348" s="13">
        <f>SUMIFS(Movimentacoes!$G:$G,Movimentacoes!$C:$C,$A1348,Movimentacoes!$E:$E,$C1348,Movimentacoes!$B:$B,"ENTRADA")</f>
        <v/>
      </c>
      <c r="H1348" s="13">
        <f>SUMIFS(Movimentacoes!$G:$G,Movimentacoes!$C:$C,$A1348,Movimentacoes!$E:$E,$C1348,Movimentacoes!$B:$B,"SAIDA_USO")</f>
        <v/>
      </c>
      <c r="I1348" s="13">
        <f>SUMIFS(Movimentacoes!$G:$G,Movimentacoes!$C:$C,$A1348,Movimentacoes!$E:$E,$C1348,Movimentacoes!$B:$B,"SAIDA_DESCARTE")</f>
        <v/>
      </c>
      <c r="J1348" s="13">
        <f>G1348-H1348-I1348</f>
        <v/>
      </c>
      <c r="K1348">
        <f>IF(A1348="","",IF(J1348&lt;=IFERROR(VLOOKUP(A1348,Cadastro_Produtos!$A:$E,5,FALSE),0),"ABAIXO DO MINIMO","OK"))</f>
        <v/>
      </c>
    </row>
    <row r="1349">
      <c r="B1349">
        <f>IFERROR(VLOOKUP(A1349,Cadastro_Produtos!A:B,2,FALSE),"")</f>
        <v/>
      </c>
      <c r="D1349" s="12" t="n"/>
      <c r="E1349" s="13">
        <f>IF(D1349="","",D1349-TODAY())</f>
        <v/>
      </c>
      <c r="F1349">
        <f>IF(D1349="","",IF(E1349&lt;0,"VENCIDO",IF(E1349&lt;=30,"VENCE EM &lt;= 30 DIAS",IF(E1349&lt;=60,"ATENCAO (31-60 DIAS)","OK"))))</f>
        <v/>
      </c>
      <c r="G1349" s="13">
        <f>SUMIFS(Movimentacoes!$G:$G,Movimentacoes!$C:$C,$A1349,Movimentacoes!$E:$E,$C1349,Movimentacoes!$B:$B,"ENTRADA")</f>
        <v/>
      </c>
      <c r="H1349" s="13">
        <f>SUMIFS(Movimentacoes!$G:$G,Movimentacoes!$C:$C,$A1349,Movimentacoes!$E:$E,$C1349,Movimentacoes!$B:$B,"SAIDA_USO")</f>
        <v/>
      </c>
      <c r="I1349" s="13">
        <f>SUMIFS(Movimentacoes!$G:$G,Movimentacoes!$C:$C,$A1349,Movimentacoes!$E:$E,$C1349,Movimentacoes!$B:$B,"SAIDA_DESCARTE")</f>
        <v/>
      </c>
      <c r="J1349" s="13">
        <f>G1349-H1349-I1349</f>
        <v/>
      </c>
      <c r="K1349">
        <f>IF(A1349="","",IF(J1349&lt;=IFERROR(VLOOKUP(A1349,Cadastro_Produtos!$A:$E,5,FALSE),0),"ABAIXO DO MINIMO","OK"))</f>
        <v/>
      </c>
    </row>
    <row r="1350">
      <c r="B1350">
        <f>IFERROR(VLOOKUP(A1350,Cadastro_Produtos!A:B,2,FALSE),"")</f>
        <v/>
      </c>
      <c r="D1350" s="12" t="n"/>
      <c r="E1350" s="13">
        <f>IF(D1350="","",D1350-TODAY())</f>
        <v/>
      </c>
      <c r="F1350">
        <f>IF(D1350="","",IF(E1350&lt;0,"VENCIDO",IF(E1350&lt;=30,"VENCE EM &lt;= 30 DIAS",IF(E1350&lt;=60,"ATENCAO (31-60 DIAS)","OK"))))</f>
        <v/>
      </c>
      <c r="G1350" s="13">
        <f>SUMIFS(Movimentacoes!$G:$G,Movimentacoes!$C:$C,$A1350,Movimentacoes!$E:$E,$C1350,Movimentacoes!$B:$B,"ENTRADA")</f>
        <v/>
      </c>
      <c r="H1350" s="13">
        <f>SUMIFS(Movimentacoes!$G:$G,Movimentacoes!$C:$C,$A1350,Movimentacoes!$E:$E,$C1350,Movimentacoes!$B:$B,"SAIDA_USO")</f>
        <v/>
      </c>
      <c r="I1350" s="13">
        <f>SUMIFS(Movimentacoes!$G:$G,Movimentacoes!$C:$C,$A1350,Movimentacoes!$E:$E,$C1350,Movimentacoes!$B:$B,"SAIDA_DESCARTE")</f>
        <v/>
      </c>
      <c r="J1350" s="13">
        <f>G1350-H1350-I1350</f>
        <v/>
      </c>
      <c r="K1350">
        <f>IF(A1350="","",IF(J1350&lt;=IFERROR(VLOOKUP(A1350,Cadastro_Produtos!$A:$E,5,FALSE),0),"ABAIXO DO MINIMO","OK"))</f>
        <v/>
      </c>
    </row>
    <row r="1351">
      <c r="B1351">
        <f>IFERROR(VLOOKUP(A1351,Cadastro_Produtos!A:B,2,FALSE),"")</f>
        <v/>
      </c>
      <c r="D1351" s="12" t="n"/>
      <c r="E1351" s="13">
        <f>IF(D1351="","",D1351-TODAY())</f>
        <v/>
      </c>
      <c r="F1351">
        <f>IF(D1351="","",IF(E1351&lt;0,"VENCIDO",IF(E1351&lt;=30,"VENCE EM &lt;= 30 DIAS",IF(E1351&lt;=60,"ATENCAO (31-60 DIAS)","OK"))))</f>
        <v/>
      </c>
      <c r="G1351" s="13">
        <f>SUMIFS(Movimentacoes!$G:$G,Movimentacoes!$C:$C,$A1351,Movimentacoes!$E:$E,$C1351,Movimentacoes!$B:$B,"ENTRADA")</f>
        <v/>
      </c>
      <c r="H1351" s="13">
        <f>SUMIFS(Movimentacoes!$G:$G,Movimentacoes!$C:$C,$A1351,Movimentacoes!$E:$E,$C1351,Movimentacoes!$B:$B,"SAIDA_USO")</f>
        <v/>
      </c>
      <c r="I1351" s="13">
        <f>SUMIFS(Movimentacoes!$G:$G,Movimentacoes!$C:$C,$A1351,Movimentacoes!$E:$E,$C1351,Movimentacoes!$B:$B,"SAIDA_DESCARTE")</f>
        <v/>
      </c>
      <c r="J1351" s="13">
        <f>G1351-H1351-I1351</f>
        <v/>
      </c>
      <c r="K1351">
        <f>IF(A1351="","",IF(J1351&lt;=IFERROR(VLOOKUP(A1351,Cadastro_Produtos!$A:$E,5,FALSE),0),"ABAIXO DO MINIMO","OK"))</f>
        <v/>
      </c>
    </row>
    <row r="1352">
      <c r="B1352">
        <f>IFERROR(VLOOKUP(A1352,Cadastro_Produtos!A:B,2,FALSE),"")</f>
        <v/>
      </c>
      <c r="D1352" s="12" t="n"/>
      <c r="E1352" s="13">
        <f>IF(D1352="","",D1352-TODAY())</f>
        <v/>
      </c>
      <c r="F1352">
        <f>IF(D1352="","",IF(E1352&lt;0,"VENCIDO",IF(E1352&lt;=30,"VENCE EM &lt;= 30 DIAS",IF(E1352&lt;=60,"ATENCAO (31-60 DIAS)","OK"))))</f>
        <v/>
      </c>
      <c r="G1352" s="13">
        <f>SUMIFS(Movimentacoes!$G:$G,Movimentacoes!$C:$C,$A1352,Movimentacoes!$E:$E,$C1352,Movimentacoes!$B:$B,"ENTRADA")</f>
        <v/>
      </c>
      <c r="H1352" s="13">
        <f>SUMIFS(Movimentacoes!$G:$G,Movimentacoes!$C:$C,$A1352,Movimentacoes!$E:$E,$C1352,Movimentacoes!$B:$B,"SAIDA_USO")</f>
        <v/>
      </c>
      <c r="I1352" s="13">
        <f>SUMIFS(Movimentacoes!$G:$G,Movimentacoes!$C:$C,$A1352,Movimentacoes!$E:$E,$C1352,Movimentacoes!$B:$B,"SAIDA_DESCARTE")</f>
        <v/>
      </c>
      <c r="J1352" s="13">
        <f>G1352-H1352-I1352</f>
        <v/>
      </c>
      <c r="K1352">
        <f>IF(A1352="","",IF(J1352&lt;=IFERROR(VLOOKUP(A1352,Cadastro_Produtos!$A:$E,5,FALSE),0),"ABAIXO DO MINIMO","OK"))</f>
        <v/>
      </c>
    </row>
    <row r="1353">
      <c r="B1353">
        <f>IFERROR(VLOOKUP(A1353,Cadastro_Produtos!A:B,2,FALSE),"")</f>
        <v/>
      </c>
      <c r="D1353" s="12" t="n"/>
      <c r="E1353" s="13">
        <f>IF(D1353="","",D1353-TODAY())</f>
        <v/>
      </c>
      <c r="F1353">
        <f>IF(D1353="","",IF(E1353&lt;0,"VENCIDO",IF(E1353&lt;=30,"VENCE EM &lt;= 30 DIAS",IF(E1353&lt;=60,"ATENCAO (31-60 DIAS)","OK"))))</f>
        <v/>
      </c>
      <c r="G1353" s="13">
        <f>SUMIFS(Movimentacoes!$G:$G,Movimentacoes!$C:$C,$A1353,Movimentacoes!$E:$E,$C1353,Movimentacoes!$B:$B,"ENTRADA")</f>
        <v/>
      </c>
      <c r="H1353" s="13">
        <f>SUMIFS(Movimentacoes!$G:$G,Movimentacoes!$C:$C,$A1353,Movimentacoes!$E:$E,$C1353,Movimentacoes!$B:$B,"SAIDA_USO")</f>
        <v/>
      </c>
      <c r="I1353" s="13">
        <f>SUMIFS(Movimentacoes!$G:$G,Movimentacoes!$C:$C,$A1353,Movimentacoes!$E:$E,$C1353,Movimentacoes!$B:$B,"SAIDA_DESCARTE")</f>
        <v/>
      </c>
      <c r="J1353" s="13">
        <f>G1353-H1353-I1353</f>
        <v/>
      </c>
      <c r="K1353">
        <f>IF(A1353="","",IF(J1353&lt;=IFERROR(VLOOKUP(A1353,Cadastro_Produtos!$A:$E,5,FALSE),0),"ABAIXO DO MINIMO","OK"))</f>
        <v/>
      </c>
    </row>
    <row r="1354">
      <c r="B1354">
        <f>IFERROR(VLOOKUP(A1354,Cadastro_Produtos!A:B,2,FALSE),"")</f>
        <v/>
      </c>
      <c r="D1354" s="12" t="n"/>
      <c r="E1354" s="13">
        <f>IF(D1354="","",D1354-TODAY())</f>
        <v/>
      </c>
      <c r="F1354">
        <f>IF(D1354="","",IF(E1354&lt;0,"VENCIDO",IF(E1354&lt;=30,"VENCE EM &lt;= 30 DIAS",IF(E1354&lt;=60,"ATENCAO (31-60 DIAS)","OK"))))</f>
        <v/>
      </c>
      <c r="G1354" s="13">
        <f>SUMIFS(Movimentacoes!$G:$G,Movimentacoes!$C:$C,$A1354,Movimentacoes!$E:$E,$C1354,Movimentacoes!$B:$B,"ENTRADA")</f>
        <v/>
      </c>
      <c r="H1354" s="13">
        <f>SUMIFS(Movimentacoes!$G:$G,Movimentacoes!$C:$C,$A1354,Movimentacoes!$E:$E,$C1354,Movimentacoes!$B:$B,"SAIDA_USO")</f>
        <v/>
      </c>
      <c r="I1354" s="13">
        <f>SUMIFS(Movimentacoes!$G:$G,Movimentacoes!$C:$C,$A1354,Movimentacoes!$E:$E,$C1354,Movimentacoes!$B:$B,"SAIDA_DESCARTE")</f>
        <v/>
      </c>
      <c r="J1354" s="13">
        <f>G1354-H1354-I1354</f>
        <v/>
      </c>
      <c r="K1354">
        <f>IF(A1354="","",IF(J1354&lt;=IFERROR(VLOOKUP(A1354,Cadastro_Produtos!$A:$E,5,FALSE),0),"ABAIXO DO MINIMO","OK"))</f>
        <v/>
      </c>
    </row>
    <row r="1355">
      <c r="B1355">
        <f>IFERROR(VLOOKUP(A1355,Cadastro_Produtos!A:B,2,FALSE),"")</f>
        <v/>
      </c>
      <c r="D1355" s="12" t="n"/>
      <c r="E1355" s="13">
        <f>IF(D1355="","",D1355-TODAY())</f>
        <v/>
      </c>
      <c r="F1355">
        <f>IF(D1355="","",IF(E1355&lt;0,"VENCIDO",IF(E1355&lt;=30,"VENCE EM &lt;= 30 DIAS",IF(E1355&lt;=60,"ATENCAO (31-60 DIAS)","OK"))))</f>
        <v/>
      </c>
      <c r="G1355" s="13">
        <f>SUMIFS(Movimentacoes!$G:$G,Movimentacoes!$C:$C,$A1355,Movimentacoes!$E:$E,$C1355,Movimentacoes!$B:$B,"ENTRADA")</f>
        <v/>
      </c>
      <c r="H1355" s="13">
        <f>SUMIFS(Movimentacoes!$G:$G,Movimentacoes!$C:$C,$A1355,Movimentacoes!$E:$E,$C1355,Movimentacoes!$B:$B,"SAIDA_USO")</f>
        <v/>
      </c>
      <c r="I1355" s="13">
        <f>SUMIFS(Movimentacoes!$G:$G,Movimentacoes!$C:$C,$A1355,Movimentacoes!$E:$E,$C1355,Movimentacoes!$B:$B,"SAIDA_DESCARTE")</f>
        <v/>
      </c>
      <c r="J1355" s="13">
        <f>G1355-H1355-I1355</f>
        <v/>
      </c>
      <c r="K1355">
        <f>IF(A1355="","",IF(J1355&lt;=IFERROR(VLOOKUP(A1355,Cadastro_Produtos!$A:$E,5,FALSE),0),"ABAIXO DO MINIMO","OK"))</f>
        <v/>
      </c>
    </row>
    <row r="1356">
      <c r="B1356">
        <f>IFERROR(VLOOKUP(A1356,Cadastro_Produtos!A:B,2,FALSE),"")</f>
        <v/>
      </c>
      <c r="D1356" s="12" t="n"/>
      <c r="E1356" s="13">
        <f>IF(D1356="","",D1356-TODAY())</f>
        <v/>
      </c>
      <c r="F1356">
        <f>IF(D1356="","",IF(E1356&lt;0,"VENCIDO",IF(E1356&lt;=30,"VENCE EM &lt;= 30 DIAS",IF(E1356&lt;=60,"ATENCAO (31-60 DIAS)","OK"))))</f>
        <v/>
      </c>
      <c r="G1356" s="13">
        <f>SUMIFS(Movimentacoes!$G:$G,Movimentacoes!$C:$C,$A1356,Movimentacoes!$E:$E,$C1356,Movimentacoes!$B:$B,"ENTRADA")</f>
        <v/>
      </c>
      <c r="H1356" s="13">
        <f>SUMIFS(Movimentacoes!$G:$G,Movimentacoes!$C:$C,$A1356,Movimentacoes!$E:$E,$C1356,Movimentacoes!$B:$B,"SAIDA_USO")</f>
        <v/>
      </c>
      <c r="I1356" s="13">
        <f>SUMIFS(Movimentacoes!$G:$G,Movimentacoes!$C:$C,$A1356,Movimentacoes!$E:$E,$C1356,Movimentacoes!$B:$B,"SAIDA_DESCARTE")</f>
        <v/>
      </c>
      <c r="J1356" s="13">
        <f>G1356-H1356-I1356</f>
        <v/>
      </c>
      <c r="K1356">
        <f>IF(A1356="","",IF(J1356&lt;=IFERROR(VLOOKUP(A1356,Cadastro_Produtos!$A:$E,5,FALSE),0),"ABAIXO DO MINIMO","OK"))</f>
        <v/>
      </c>
    </row>
    <row r="1357">
      <c r="B1357">
        <f>IFERROR(VLOOKUP(A1357,Cadastro_Produtos!A:B,2,FALSE),"")</f>
        <v/>
      </c>
      <c r="D1357" s="12" t="n"/>
      <c r="E1357" s="13">
        <f>IF(D1357="","",D1357-TODAY())</f>
        <v/>
      </c>
      <c r="F1357">
        <f>IF(D1357="","",IF(E1357&lt;0,"VENCIDO",IF(E1357&lt;=30,"VENCE EM &lt;= 30 DIAS",IF(E1357&lt;=60,"ATENCAO (31-60 DIAS)","OK"))))</f>
        <v/>
      </c>
      <c r="G1357" s="13">
        <f>SUMIFS(Movimentacoes!$G:$G,Movimentacoes!$C:$C,$A1357,Movimentacoes!$E:$E,$C1357,Movimentacoes!$B:$B,"ENTRADA")</f>
        <v/>
      </c>
      <c r="H1357" s="13">
        <f>SUMIFS(Movimentacoes!$G:$G,Movimentacoes!$C:$C,$A1357,Movimentacoes!$E:$E,$C1357,Movimentacoes!$B:$B,"SAIDA_USO")</f>
        <v/>
      </c>
      <c r="I1357" s="13">
        <f>SUMIFS(Movimentacoes!$G:$G,Movimentacoes!$C:$C,$A1357,Movimentacoes!$E:$E,$C1357,Movimentacoes!$B:$B,"SAIDA_DESCARTE")</f>
        <v/>
      </c>
      <c r="J1357" s="13">
        <f>G1357-H1357-I1357</f>
        <v/>
      </c>
      <c r="K1357">
        <f>IF(A1357="","",IF(J1357&lt;=IFERROR(VLOOKUP(A1357,Cadastro_Produtos!$A:$E,5,FALSE),0),"ABAIXO DO MINIMO","OK"))</f>
        <v/>
      </c>
    </row>
    <row r="1358">
      <c r="B1358">
        <f>IFERROR(VLOOKUP(A1358,Cadastro_Produtos!A:B,2,FALSE),"")</f>
        <v/>
      </c>
      <c r="D1358" s="12" t="n"/>
      <c r="E1358" s="13">
        <f>IF(D1358="","",D1358-TODAY())</f>
        <v/>
      </c>
      <c r="F1358">
        <f>IF(D1358="","",IF(E1358&lt;0,"VENCIDO",IF(E1358&lt;=30,"VENCE EM &lt;= 30 DIAS",IF(E1358&lt;=60,"ATENCAO (31-60 DIAS)","OK"))))</f>
        <v/>
      </c>
      <c r="G1358" s="13">
        <f>SUMIFS(Movimentacoes!$G:$G,Movimentacoes!$C:$C,$A1358,Movimentacoes!$E:$E,$C1358,Movimentacoes!$B:$B,"ENTRADA")</f>
        <v/>
      </c>
      <c r="H1358" s="13">
        <f>SUMIFS(Movimentacoes!$G:$G,Movimentacoes!$C:$C,$A1358,Movimentacoes!$E:$E,$C1358,Movimentacoes!$B:$B,"SAIDA_USO")</f>
        <v/>
      </c>
      <c r="I1358" s="13">
        <f>SUMIFS(Movimentacoes!$G:$G,Movimentacoes!$C:$C,$A1358,Movimentacoes!$E:$E,$C1358,Movimentacoes!$B:$B,"SAIDA_DESCARTE")</f>
        <v/>
      </c>
      <c r="J1358" s="13">
        <f>G1358-H1358-I1358</f>
        <v/>
      </c>
      <c r="K1358">
        <f>IF(A1358="","",IF(J1358&lt;=IFERROR(VLOOKUP(A1358,Cadastro_Produtos!$A:$E,5,FALSE),0),"ABAIXO DO MINIMO","OK"))</f>
        <v/>
      </c>
    </row>
    <row r="1359">
      <c r="B1359">
        <f>IFERROR(VLOOKUP(A1359,Cadastro_Produtos!A:B,2,FALSE),"")</f>
        <v/>
      </c>
      <c r="D1359" s="12" t="n"/>
      <c r="E1359" s="13">
        <f>IF(D1359="","",D1359-TODAY())</f>
        <v/>
      </c>
      <c r="F1359">
        <f>IF(D1359="","",IF(E1359&lt;0,"VENCIDO",IF(E1359&lt;=30,"VENCE EM &lt;= 30 DIAS",IF(E1359&lt;=60,"ATENCAO (31-60 DIAS)","OK"))))</f>
        <v/>
      </c>
      <c r="G1359" s="13">
        <f>SUMIFS(Movimentacoes!$G:$G,Movimentacoes!$C:$C,$A1359,Movimentacoes!$E:$E,$C1359,Movimentacoes!$B:$B,"ENTRADA")</f>
        <v/>
      </c>
      <c r="H1359" s="13">
        <f>SUMIFS(Movimentacoes!$G:$G,Movimentacoes!$C:$C,$A1359,Movimentacoes!$E:$E,$C1359,Movimentacoes!$B:$B,"SAIDA_USO")</f>
        <v/>
      </c>
      <c r="I1359" s="13">
        <f>SUMIFS(Movimentacoes!$G:$G,Movimentacoes!$C:$C,$A1359,Movimentacoes!$E:$E,$C1359,Movimentacoes!$B:$B,"SAIDA_DESCARTE")</f>
        <v/>
      </c>
      <c r="J1359" s="13">
        <f>G1359-H1359-I1359</f>
        <v/>
      </c>
      <c r="K1359">
        <f>IF(A1359="","",IF(J1359&lt;=IFERROR(VLOOKUP(A1359,Cadastro_Produtos!$A:$E,5,FALSE),0),"ABAIXO DO MINIMO","OK"))</f>
        <v/>
      </c>
    </row>
    <row r="1360">
      <c r="B1360">
        <f>IFERROR(VLOOKUP(A1360,Cadastro_Produtos!A:B,2,FALSE),"")</f>
        <v/>
      </c>
      <c r="D1360" s="12" t="n"/>
      <c r="E1360" s="13">
        <f>IF(D1360="","",D1360-TODAY())</f>
        <v/>
      </c>
      <c r="F1360">
        <f>IF(D1360="","",IF(E1360&lt;0,"VENCIDO",IF(E1360&lt;=30,"VENCE EM &lt;= 30 DIAS",IF(E1360&lt;=60,"ATENCAO (31-60 DIAS)","OK"))))</f>
        <v/>
      </c>
      <c r="G1360" s="13">
        <f>SUMIFS(Movimentacoes!$G:$G,Movimentacoes!$C:$C,$A1360,Movimentacoes!$E:$E,$C1360,Movimentacoes!$B:$B,"ENTRADA")</f>
        <v/>
      </c>
      <c r="H1360" s="13">
        <f>SUMIFS(Movimentacoes!$G:$G,Movimentacoes!$C:$C,$A1360,Movimentacoes!$E:$E,$C1360,Movimentacoes!$B:$B,"SAIDA_USO")</f>
        <v/>
      </c>
      <c r="I1360" s="13">
        <f>SUMIFS(Movimentacoes!$G:$G,Movimentacoes!$C:$C,$A1360,Movimentacoes!$E:$E,$C1360,Movimentacoes!$B:$B,"SAIDA_DESCARTE")</f>
        <v/>
      </c>
      <c r="J1360" s="13">
        <f>G1360-H1360-I1360</f>
        <v/>
      </c>
      <c r="K1360">
        <f>IF(A1360="","",IF(J1360&lt;=IFERROR(VLOOKUP(A1360,Cadastro_Produtos!$A:$E,5,FALSE),0),"ABAIXO DO MINIMO","OK"))</f>
        <v/>
      </c>
    </row>
    <row r="1361">
      <c r="B1361">
        <f>IFERROR(VLOOKUP(A1361,Cadastro_Produtos!A:B,2,FALSE),"")</f>
        <v/>
      </c>
      <c r="D1361" s="12" t="n"/>
      <c r="E1361" s="13">
        <f>IF(D1361="","",D1361-TODAY())</f>
        <v/>
      </c>
      <c r="F1361">
        <f>IF(D1361="","",IF(E1361&lt;0,"VENCIDO",IF(E1361&lt;=30,"VENCE EM &lt;= 30 DIAS",IF(E1361&lt;=60,"ATENCAO (31-60 DIAS)","OK"))))</f>
        <v/>
      </c>
      <c r="G1361" s="13">
        <f>SUMIFS(Movimentacoes!$G:$G,Movimentacoes!$C:$C,$A1361,Movimentacoes!$E:$E,$C1361,Movimentacoes!$B:$B,"ENTRADA")</f>
        <v/>
      </c>
      <c r="H1361" s="13">
        <f>SUMIFS(Movimentacoes!$G:$G,Movimentacoes!$C:$C,$A1361,Movimentacoes!$E:$E,$C1361,Movimentacoes!$B:$B,"SAIDA_USO")</f>
        <v/>
      </c>
      <c r="I1361" s="13">
        <f>SUMIFS(Movimentacoes!$G:$G,Movimentacoes!$C:$C,$A1361,Movimentacoes!$E:$E,$C1361,Movimentacoes!$B:$B,"SAIDA_DESCARTE")</f>
        <v/>
      </c>
      <c r="J1361" s="13">
        <f>G1361-H1361-I1361</f>
        <v/>
      </c>
      <c r="K1361">
        <f>IF(A1361="","",IF(J1361&lt;=IFERROR(VLOOKUP(A1361,Cadastro_Produtos!$A:$E,5,FALSE),0),"ABAIXO DO MINIMO","OK"))</f>
        <v/>
      </c>
    </row>
    <row r="1362">
      <c r="B1362">
        <f>IFERROR(VLOOKUP(A1362,Cadastro_Produtos!A:B,2,FALSE),"")</f>
        <v/>
      </c>
      <c r="D1362" s="12" t="n"/>
      <c r="E1362" s="13">
        <f>IF(D1362="","",D1362-TODAY())</f>
        <v/>
      </c>
      <c r="F1362">
        <f>IF(D1362="","",IF(E1362&lt;0,"VENCIDO",IF(E1362&lt;=30,"VENCE EM &lt;= 30 DIAS",IF(E1362&lt;=60,"ATENCAO (31-60 DIAS)","OK"))))</f>
        <v/>
      </c>
      <c r="G1362" s="13">
        <f>SUMIFS(Movimentacoes!$G:$G,Movimentacoes!$C:$C,$A1362,Movimentacoes!$E:$E,$C1362,Movimentacoes!$B:$B,"ENTRADA")</f>
        <v/>
      </c>
      <c r="H1362" s="13">
        <f>SUMIFS(Movimentacoes!$G:$G,Movimentacoes!$C:$C,$A1362,Movimentacoes!$E:$E,$C1362,Movimentacoes!$B:$B,"SAIDA_USO")</f>
        <v/>
      </c>
      <c r="I1362" s="13">
        <f>SUMIFS(Movimentacoes!$G:$G,Movimentacoes!$C:$C,$A1362,Movimentacoes!$E:$E,$C1362,Movimentacoes!$B:$B,"SAIDA_DESCARTE")</f>
        <v/>
      </c>
      <c r="J1362" s="13">
        <f>G1362-H1362-I1362</f>
        <v/>
      </c>
      <c r="K1362">
        <f>IF(A1362="","",IF(J1362&lt;=IFERROR(VLOOKUP(A1362,Cadastro_Produtos!$A:$E,5,FALSE),0),"ABAIXO DO MINIMO","OK"))</f>
        <v/>
      </c>
    </row>
    <row r="1363">
      <c r="B1363">
        <f>IFERROR(VLOOKUP(A1363,Cadastro_Produtos!A:B,2,FALSE),"")</f>
        <v/>
      </c>
      <c r="D1363" s="12" t="n"/>
      <c r="E1363" s="13">
        <f>IF(D1363="","",D1363-TODAY())</f>
        <v/>
      </c>
      <c r="F1363">
        <f>IF(D1363="","",IF(E1363&lt;0,"VENCIDO",IF(E1363&lt;=30,"VENCE EM &lt;= 30 DIAS",IF(E1363&lt;=60,"ATENCAO (31-60 DIAS)","OK"))))</f>
        <v/>
      </c>
      <c r="G1363" s="13">
        <f>SUMIFS(Movimentacoes!$G:$G,Movimentacoes!$C:$C,$A1363,Movimentacoes!$E:$E,$C1363,Movimentacoes!$B:$B,"ENTRADA")</f>
        <v/>
      </c>
      <c r="H1363" s="13">
        <f>SUMIFS(Movimentacoes!$G:$G,Movimentacoes!$C:$C,$A1363,Movimentacoes!$E:$E,$C1363,Movimentacoes!$B:$B,"SAIDA_USO")</f>
        <v/>
      </c>
      <c r="I1363" s="13">
        <f>SUMIFS(Movimentacoes!$G:$G,Movimentacoes!$C:$C,$A1363,Movimentacoes!$E:$E,$C1363,Movimentacoes!$B:$B,"SAIDA_DESCARTE")</f>
        <v/>
      </c>
      <c r="J1363" s="13">
        <f>G1363-H1363-I1363</f>
        <v/>
      </c>
      <c r="K1363">
        <f>IF(A1363="","",IF(J1363&lt;=IFERROR(VLOOKUP(A1363,Cadastro_Produtos!$A:$E,5,FALSE),0),"ABAIXO DO MINIMO","OK"))</f>
        <v/>
      </c>
    </row>
    <row r="1364">
      <c r="B1364">
        <f>IFERROR(VLOOKUP(A1364,Cadastro_Produtos!A:B,2,FALSE),"")</f>
        <v/>
      </c>
      <c r="D1364" s="12" t="n"/>
      <c r="E1364" s="13">
        <f>IF(D1364="","",D1364-TODAY())</f>
        <v/>
      </c>
      <c r="F1364">
        <f>IF(D1364="","",IF(E1364&lt;0,"VENCIDO",IF(E1364&lt;=30,"VENCE EM &lt;= 30 DIAS",IF(E1364&lt;=60,"ATENCAO (31-60 DIAS)","OK"))))</f>
        <v/>
      </c>
      <c r="G1364" s="13">
        <f>SUMIFS(Movimentacoes!$G:$G,Movimentacoes!$C:$C,$A1364,Movimentacoes!$E:$E,$C1364,Movimentacoes!$B:$B,"ENTRADA")</f>
        <v/>
      </c>
      <c r="H1364" s="13">
        <f>SUMIFS(Movimentacoes!$G:$G,Movimentacoes!$C:$C,$A1364,Movimentacoes!$E:$E,$C1364,Movimentacoes!$B:$B,"SAIDA_USO")</f>
        <v/>
      </c>
      <c r="I1364" s="13">
        <f>SUMIFS(Movimentacoes!$G:$G,Movimentacoes!$C:$C,$A1364,Movimentacoes!$E:$E,$C1364,Movimentacoes!$B:$B,"SAIDA_DESCARTE")</f>
        <v/>
      </c>
      <c r="J1364" s="13">
        <f>G1364-H1364-I1364</f>
        <v/>
      </c>
      <c r="K1364">
        <f>IF(A1364="","",IF(J1364&lt;=IFERROR(VLOOKUP(A1364,Cadastro_Produtos!$A:$E,5,FALSE),0),"ABAIXO DO MINIMO","OK"))</f>
        <v/>
      </c>
    </row>
    <row r="1365">
      <c r="B1365">
        <f>IFERROR(VLOOKUP(A1365,Cadastro_Produtos!A:B,2,FALSE),"")</f>
        <v/>
      </c>
      <c r="D1365" s="12" t="n"/>
      <c r="E1365" s="13">
        <f>IF(D1365="","",D1365-TODAY())</f>
        <v/>
      </c>
      <c r="F1365">
        <f>IF(D1365="","",IF(E1365&lt;0,"VENCIDO",IF(E1365&lt;=30,"VENCE EM &lt;= 30 DIAS",IF(E1365&lt;=60,"ATENCAO (31-60 DIAS)","OK"))))</f>
        <v/>
      </c>
      <c r="G1365" s="13">
        <f>SUMIFS(Movimentacoes!$G:$G,Movimentacoes!$C:$C,$A1365,Movimentacoes!$E:$E,$C1365,Movimentacoes!$B:$B,"ENTRADA")</f>
        <v/>
      </c>
      <c r="H1365" s="13">
        <f>SUMIFS(Movimentacoes!$G:$G,Movimentacoes!$C:$C,$A1365,Movimentacoes!$E:$E,$C1365,Movimentacoes!$B:$B,"SAIDA_USO")</f>
        <v/>
      </c>
      <c r="I1365" s="13">
        <f>SUMIFS(Movimentacoes!$G:$G,Movimentacoes!$C:$C,$A1365,Movimentacoes!$E:$E,$C1365,Movimentacoes!$B:$B,"SAIDA_DESCARTE")</f>
        <v/>
      </c>
      <c r="J1365" s="13">
        <f>G1365-H1365-I1365</f>
        <v/>
      </c>
      <c r="K1365">
        <f>IF(A1365="","",IF(J1365&lt;=IFERROR(VLOOKUP(A1365,Cadastro_Produtos!$A:$E,5,FALSE),0),"ABAIXO DO MINIMO","OK"))</f>
        <v/>
      </c>
    </row>
    <row r="1366">
      <c r="B1366">
        <f>IFERROR(VLOOKUP(A1366,Cadastro_Produtos!A:B,2,FALSE),"")</f>
        <v/>
      </c>
      <c r="D1366" s="12" t="n"/>
      <c r="E1366" s="13">
        <f>IF(D1366="","",D1366-TODAY())</f>
        <v/>
      </c>
      <c r="F1366">
        <f>IF(D1366="","",IF(E1366&lt;0,"VENCIDO",IF(E1366&lt;=30,"VENCE EM &lt;= 30 DIAS",IF(E1366&lt;=60,"ATENCAO (31-60 DIAS)","OK"))))</f>
        <v/>
      </c>
      <c r="G1366" s="13">
        <f>SUMIFS(Movimentacoes!$G:$G,Movimentacoes!$C:$C,$A1366,Movimentacoes!$E:$E,$C1366,Movimentacoes!$B:$B,"ENTRADA")</f>
        <v/>
      </c>
      <c r="H1366" s="13">
        <f>SUMIFS(Movimentacoes!$G:$G,Movimentacoes!$C:$C,$A1366,Movimentacoes!$E:$E,$C1366,Movimentacoes!$B:$B,"SAIDA_USO")</f>
        <v/>
      </c>
      <c r="I1366" s="13">
        <f>SUMIFS(Movimentacoes!$G:$G,Movimentacoes!$C:$C,$A1366,Movimentacoes!$E:$E,$C1366,Movimentacoes!$B:$B,"SAIDA_DESCARTE")</f>
        <v/>
      </c>
      <c r="J1366" s="13">
        <f>G1366-H1366-I1366</f>
        <v/>
      </c>
      <c r="K1366">
        <f>IF(A1366="","",IF(J1366&lt;=IFERROR(VLOOKUP(A1366,Cadastro_Produtos!$A:$E,5,FALSE),0),"ABAIXO DO MINIMO","OK"))</f>
        <v/>
      </c>
    </row>
    <row r="1367">
      <c r="B1367">
        <f>IFERROR(VLOOKUP(A1367,Cadastro_Produtos!A:B,2,FALSE),"")</f>
        <v/>
      </c>
      <c r="D1367" s="12" t="n"/>
      <c r="E1367" s="13">
        <f>IF(D1367="","",D1367-TODAY())</f>
        <v/>
      </c>
      <c r="F1367">
        <f>IF(D1367="","",IF(E1367&lt;0,"VENCIDO",IF(E1367&lt;=30,"VENCE EM &lt;= 30 DIAS",IF(E1367&lt;=60,"ATENCAO (31-60 DIAS)","OK"))))</f>
        <v/>
      </c>
      <c r="G1367" s="13">
        <f>SUMIFS(Movimentacoes!$G:$G,Movimentacoes!$C:$C,$A1367,Movimentacoes!$E:$E,$C1367,Movimentacoes!$B:$B,"ENTRADA")</f>
        <v/>
      </c>
      <c r="H1367" s="13">
        <f>SUMIFS(Movimentacoes!$G:$G,Movimentacoes!$C:$C,$A1367,Movimentacoes!$E:$E,$C1367,Movimentacoes!$B:$B,"SAIDA_USO")</f>
        <v/>
      </c>
      <c r="I1367" s="13">
        <f>SUMIFS(Movimentacoes!$G:$G,Movimentacoes!$C:$C,$A1367,Movimentacoes!$E:$E,$C1367,Movimentacoes!$B:$B,"SAIDA_DESCARTE")</f>
        <v/>
      </c>
      <c r="J1367" s="13">
        <f>G1367-H1367-I1367</f>
        <v/>
      </c>
      <c r="K1367">
        <f>IF(A1367="","",IF(J1367&lt;=IFERROR(VLOOKUP(A1367,Cadastro_Produtos!$A:$E,5,FALSE),0),"ABAIXO DO MINIMO","OK"))</f>
        <v/>
      </c>
    </row>
    <row r="1368">
      <c r="B1368">
        <f>IFERROR(VLOOKUP(A1368,Cadastro_Produtos!A:B,2,FALSE),"")</f>
        <v/>
      </c>
      <c r="D1368" s="12" t="n"/>
      <c r="E1368" s="13">
        <f>IF(D1368="","",D1368-TODAY())</f>
        <v/>
      </c>
      <c r="F1368">
        <f>IF(D1368="","",IF(E1368&lt;0,"VENCIDO",IF(E1368&lt;=30,"VENCE EM &lt;= 30 DIAS",IF(E1368&lt;=60,"ATENCAO (31-60 DIAS)","OK"))))</f>
        <v/>
      </c>
      <c r="G1368" s="13">
        <f>SUMIFS(Movimentacoes!$G:$G,Movimentacoes!$C:$C,$A1368,Movimentacoes!$E:$E,$C1368,Movimentacoes!$B:$B,"ENTRADA")</f>
        <v/>
      </c>
      <c r="H1368" s="13">
        <f>SUMIFS(Movimentacoes!$G:$G,Movimentacoes!$C:$C,$A1368,Movimentacoes!$E:$E,$C1368,Movimentacoes!$B:$B,"SAIDA_USO")</f>
        <v/>
      </c>
      <c r="I1368" s="13">
        <f>SUMIFS(Movimentacoes!$G:$G,Movimentacoes!$C:$C,$A1368,Movimentacoes!$E:$E,$C1368,Movimentacoes!$B:$B,"SAIDA_DESCARTE")</f>
        <v/>
      </c>
      <c r="J1368" s="13">
        <f>G1368-H1368-I1368</f>
        <v/>
      </c>
      <c r="K1368">
        <f>IF(A1368="","",IF(J1368&lt;=IFERROR(VLOOKUP(A1368,Cadastro_Produtos!$A:$E,5,FALSE),0),"ABAIXO DO MINIMO","OK"))</f>
        <v/>
      </c>
    </row>
    <row r="1369">
      <c r="B1369">
        <f>IFERROR(VLOOKUP(A1369,Cadastro_Produtos!A:B,2,FALSE),"")</f>
        <v/>
      </c>
      <c r="D1369" s="12" t="n"/>
      <c r="E1369" s="13">
        <f>IF(D1369="","",D1369-TODAY())</f>
        <v/>
      </c>
      <c r="F1369">
        <f>IF(D1369="","",IF(E1369&lt;0,"VENCIDO",IF(E1369&lt;=30,"VENCE EM &lt;= 30 DIAS",IF(E1369&lt;=60,"ATENCAO (31-60 DIAS)","OK"))))</f>
        <v/>
      </c>
      <c r="G1369" s="13">
        <f>SUMIFS(Movimentacoes!$G:$G,Movimentacoes!$C:$C,$A1369,Movimentacoes!$E:$E,$C1369,Movimentacoes!$B:$B,"ENTRADA")</f>
        <v/>
      </c>
      <c r="H1369" s="13">
        <f>SUMIFS(Movimentacoes!$G:$G,Movimentacoes!$C:$C,$A1369,Movimentacoes!$E:$E,$C1369,Movimentacoes!$B:$B,"SAIDA_USO")</f>
        <v/>
      </c>
      <c r="I1369" s="13">
        <f>SUMIFS(Movimentacoes!$G:$G,Movimentacoes!$C:$C,$A1369,Movimentacoes!$E:$E,$C1369,Movimentacoes!$B:$B,"SAIDA_DESCARTE")</f>
        <v/>
      </c>
      <c r="J1369" s="13">
        <f>G1369-H1369-I1369</f>
        <v/>
      </c>
      <c r="K1369">
        <f>IF(A1369="","",IF(J1369&lt;=IFERROR(VLOOKUP(A1369,Cadastro_Produtos!$A:$E,5,FALSE),0),"ABAIXO DO MINIMO","OK"))</f>
        <v/>
      </c>
    </row>
    <row r="1370">
      <c r="B1370">
        <f>IFERROR(VLOOKUP(A1370,Cadastro_Produtos!A:B,2,FALSE),"")</f>
        <v/>
      </c>
      <c r="D1370" s="12" t="n"/>
      <c r="E1370" s="13">
        <f>IF(D1370="","",D1370-TODAY())</f>
        <v/>
      </c>
      <c r="F1370">
        <f>IF(D1370="","",IF(E1370&lt;0,"VENCIDO",IF(E1370&lt;=30,"VENCE EM &lt;= 30 DIAS",IF(E1370&lt;=60,"ATENCAO (31-60 DIAS)","OK"))))</f>
        <v/>
      </c>
      <c r="G1370" s="13">
        <f>SUMIFS(Movimentacoes!$G:$G,Movimentacoes!$C:$C,$A1370,Movimentacoes!$E:$E,$C1370,Movimentacoes!$B:$B,"ENTRADA")</f>
        <v/>
      </c>
      <c r="H1370" s="13">
        <f>SUMIFS(Movimentacoes!$G:$G,Movimentacoes!$C:$C,$A1370,Movimentacoes!$E:$E,$C1370,Movimentacoes!$B:$B,"SAIDA_USO")</f>
        <v/>
      </c>
      <c r="I1370" s="13">
        <f>SUMIFS(Movimentacoes!$G:$G,Movimentacoes!$C:$C,$A1370,Movimentacoes!$E:$E,$C1370,Movimentacoes!$B:$B,"SAIDA_DESCARTE")</f>
        <v/>
      </c>
      <c r="J1370" s="13">
        <f>G1370-H1370-I1370</f>
        <v/>
      </c>
      <c r="K1370">
        <f>IF(A1370="","",IF(J1370&lt;=IFERROR(VLOOKUP(A1370,Cadastro_Produtos!$A:$E,5,FALSE),0),"ABAIXO DO MINIMO","OK"))</f>
        <v/>
      </c>
    </row>
    <row r="1371">
      <c r="B1371">
        <f>IFERROR(VLOOKUP(A1371,Cadastro_Produtos!A:B,2,FALSE),"")</f>
        <v/>
      </c>
      <c r="D1371" s="12" t="n"/>
      <c r="E1371" s="13">
        <f>IF(D1371="","",D1371-TODAY())</f>
        <v/>
      </c>
      <c r="F1371">
        <f>IF(D1371="","",IF(E1371&lt;0,"VENCIDO",IF(E1371&lt;=30,"VENCE EM &lt;= 30 DIAS",IF(E1371&lt;=60,"ATENCAO (31-60 DIAS)","OK"))))</f>
        <v/>
      </c>
      <c r="G1371" s="13">
        <f>SUMIFS(Movimentacoes!$G:$G,Movimentacoes!$C:$C,$A1371,Movimentacoes!$E:$E,$C1371,Movimentacoes!$B:$B,"ENTRADA")</f>
        <v/>
      </c>
      <c r="H1371" s="13">
        <f>SUMIFS(Movimentacoes!$G:$G,Movimentacoes!$C:$C,$A1371,Movimentacoes!$E:$E,$C1371,Movimentacoes!$B:$B,"SAIDA_USO")</f>
        <v/>
      </c>
      <c r="I1371" s="13">
        <f>SUMIFS(Movimentacoes!$G:$G,Movimentacoes!$C:$C,$A1371,Movimentacoes!$E:$E,$C1371,Movimentacoes!$B:$B,"SAIDA_DESCARTE")</f>
        <v/>
      </c>
      <c r="J1371" s="13">
        <f>G1371-H1371-I1371</f>
        <v/>
      </c>
      <c r="K1371">
        <f>IF(A1371="","",IF(J1371&lt;=IFERROR(VLOOKUP(A1371,Cadastro_Produtos!$A:$E,5,FALSE),0),"ABAIXO DO MINIMO","OK"))</f>
        <v/>
      </c>
    </row>
    <row r="1372">
      <c r="B1372">
        <f>IFERROR(VLOOKUP(A1372,Cadastro_Produtos!A:B,2,FALSE),"")</f>
        <v/>
      </c>
      <c r="D1372" s="12" t="n"/>
      <c r="E1372" s="13">
        <f>IF(D1372="","",D1372-TODAY())</f>
        <v/>
      </c>
      <c r="F1372">
        <f>IF(D1372="","",IF(E1372&lt;0,"VENCIDO",IF(E1372&lt;=30,"VENCE EM &lt;= 30 DIAS",IF(E1372&lt;=60,"ATENCAO (31-60 DIAS)","OK"))))</f>
        <v/>
      </c>
      <c r="G1372" s="13">
        <f>SUMIFS(Movimentacoes!$G:$G,Movimentacoes!$C:$C,$A1372,Movimentacoes!$E:$E,$C1372,Movimentacoes!$B:$B,"ENTRADA")</f>
        <v/>
      </c>
      <c r="H1372" s="13">
        <f>SUMIFS(Movimentacoes!$G:$G,Movimentacoes!$C:$C,$A1372,Movimentacoes!$E:$E,$C1372,Movimentacoes!$B:$B,"SAIDA_USO")</f>
        <v/>
      </c>
      <c r="I1372" s="13">
        <f>SUMIFS(Movimentacoes!$G:$G,Movimentacoes!$C:$C,$A1372,Movimentacoes!$E:$E,$C1372,Movimentacoes!$B:$B,"SAIDA_DESCARTE")</f>
        <v/>
      </c>
      <c r="J1372" s="13">
        <f>G1372-H1372-I1372</f>
        <v/>
      </c>
      <c r="K1372">
        <f>IF(A1372="","",IF(J1372&lt;=IFERROR(VLOOKUP(A1372,Cadastro_Produtos!$A:$E,5,FALSE),0),"ABAIXO DO MINIMO","OK"))</f>
        <v/>
      </c>
    </row>
    <row r="1373">
      <c r="B1373">
        <f>IFERROR(VLOOKUP(A1373,Cadastro_Produtos!A:B,2,FALSE),"")</f>
        <v/>
      </c>
      <c r="D1373" s="12" t="n"/>
      <c r="E1373" s="13">
        <f>IF(D1373="","",D1373-TODAY())</f>
        <v/>
      </c>
      <c r="F1373">
        <f>IF(D1373="","",IF(E1373&lt;0,"VENCIDO",IF(E1373&lt;=30,"VENCE EM &lt;= 30 DIAS",IF(E1373&lt;=60,"ATENCAO (31-60 DIAS)","OK"))))</f>
        <v/>
      </c>
      <c r="G1373" s="13">
        <f>SUMIFS(Movimentacoes!$G:$G,Movimentacoes!$C:$C,$A1373,Movimentacoes!$E:$E,$C1373,Movimentacoes!$B:$B,"ENTRADA")</f>
        <v/>
      </c>
      <c r="H1373" s="13">
        <f>SUMIFS(Movimentacoes!$G:$G,Movimentacoes!$C:$C,$A1373,Movimentacoes!$E:$E,$C1373,Movimentacoes!$B:$B,"SAIDA_USO")</f>
        <v/>
      </c>
      <c r="I1373" s="13">
        <f>SUMIFS(Movimentacoes!$G:$G,Movimentacoes!$C:$C,$A1373,Movimentacoes!$E:$E,$C1373,Movimentacoes!$B:$B,"SAIDA_DESCARTE")</f>
        <v/>
      </c>
      <c r="J1373" s="13">
        <f>G1373-H1373-I1373</f>
        <v/>
      </c>
      <c r="K1373">
        <f>IF(A1373="","",IF(J1373&lt;=IFERROR(VLOOKUP(A1373,Cadastro_Produtos!$A:$E,5,FALSE),0),"ABAIXO DO MINIMO","OK"))</f>
        <v/>
      </c>
    </row>
    <row r="1374">
      <c r="B1374">
        <f>IFERROR(VLOOKUP(A1374,Cadastro_Produtos!A:B,2,FALSE),"")</f>
        <v/>
      </c>
      <c r="D1374" s="12" t="n"/>
      <c r="E1374" s="13">
        <f>IF(D1374="","",D1374-TODAY())</f>
        <v/>
      </c>
      <c r="F1374">
        <f>IF(D1374="","",IF(E1374&lt;0,"VENCIDO",IF(E1374&lt;=30,"VENCE EM &lt;= 30 DIAS",IF(E1374&lt;=60,"ATENCAO (31-60 DIAS)","OK"))))</f>
        <v/>
      </c>
      <c r="G1374" s="13">
        <f>SUMIFS(Movimentacoes!$G:$G,Movimentacoes!$C:$C,$A1374,Movimentacoes!$E:$E,$C1374,Movimentacoes!$B:$B,"ENTRADA")</f>
        <v/>
      </c>
      <c r="H1374" s="13">
        <f>SUMIFS(Movimentacoes!$G:$G,Movimentacoes!$C:$C,$A1374,Movimentacoes!$E:$E,$C1374,Movimentacoes!$B:$B,"SAIDA_USO")</f>
        <v/>
      </c>
      <c r="I1374" s="13">
        <f>SUMIFS(Movimentacoes!$G:$G,Movimentacoes!$C:$C,$A1374,Movimentacoes!$E:$E,$C1374,Movimentacoes!$B:$B,"SAIDA_DESCARTE")</f>
        <v/>
      </c>
      <c r="J1374" s="13">
        <f>G1374-H1374-I1374</f>
        <v/>
      </c>
      <c r="K1374">
        <f>IF(A1374="","",IF(J1374&lt;=IFERROR(VLOOKUP(A1374,Cadastro_Produtos!$A:$E,5,FALSE),0),"ABAIXO DO MINIMO","OK"))</f>
        <v/>
      </c>
    </row>
    <row r="1375">
      <c r="B1375">
        <f>IFERROR(VLOOKUP(A1375,Cadastro_Produtos!A:B,2,FALSE),"")</f>
        <v/>
      </c>
      <c r="D1375" s="12" t="n"/>
      <c r="E1375" s="13">
        <f>IF(D1375="","",D1375-TODAY())</f>
        <v/>
      </c>
      <c r="F1375">
        <f>IF(D1375="","",IF(E1375&lt;0,"VENCIDO",IF(E1375&lt;=30,"VENCE EM &lt;= 30 DIAS",IF(E1375&lt;=60,"ATENCAO (31-60 DIAS)","OK"))))</f>
        <v/>
      </c>
      <c r="G1375" s="13">
        <f>SUMIFS(Movimentacoes!$G:$G,Movimentacoes!$C:$C,$A1375,Movimentacoes!$E:$E,$C1375,Movimentacoes!$B:$B,"ENTRADA")</f>
        <v/>
      </c>
      <c r="H1375" s="13">
        <f>SUMIFS(Movimentacoes!$G:$G,Movimentacoes!$C:$C,$A1375,Movimentacoes!$E:$E,$C1375,Movimentacoes!$B:$B,"SAIDA_USO")</f>
        <v/>
      </c>
      <c r="I1375" s="13">
        <f>SUMIFS(Movimentacoes!$G:$G,Movimentacoes!$C:$C,$A1375,Movimentacoes!$E:$E,$C1375,Movimentacoes!$B:$B,"SAIDA_DESCARTE")</f>
        <v/>
      </c>
      <c r="J1375" s="13">
        <f>G1375-H1375-I1375</f>
        <v/>
      </c>
      <c r="K1375">
        <f>IF(A1375="","",IF(J1375&lt;=IFERROR(VLOOKUP(A1375,Cadastro_Produtos!$A:$E,5,FALSE),0),"ABAIXO DO MINIMO","OK"))</f>
        <v/>
      </c>
    </row>
    <row r="1376">
      <c r="B1376">
        <f>IFERROR(VLOOKUP(A1376,Cadastro_Produtos!A:B,2,FALSE),"")</f>
        <v/>
      </c>
      <c r="D1376" s="12" t="n"/>
      <c r="E1376" s="13">
        <f>IF(D1376="","",D1376-TODAY())</f>
        <v/>
      </c>
      <c r="F1376">
        <f>IF(D1376="","",IF(E1376&lt;0,"VENCIDO",IF(E1376&lt;=30,"VENCE EM &lt;= 30 DIAS",IF(E1376&lt;=60,"ATENCAO (31-60 DIAS)","OK"))))</f>
        <v/>
      </c>
      <c r="G1376" s="13">
        <f>SUMIFS(Movimentacoes!$G:$G,Movimentacoes!$C:$C,$A1376,Movimentacoes!$E:$E,$C1376,Movimentacoes!$B:$B,"ENTRADA")</f>
        <v/>
      </c>
      <c r="H1376" s="13">
        <f>SUMIFS(Movimentacoes!$G:$G,Movimentacoes!$C:$C,$A1376,Movimentacoes!$E:$E,$C1376,Movimentacoes!$B:$B,"SAIDA_USO")</f>
        <v/>
      </c>
      <c r="I1376" s="13">
        <f>SUMIFS(Movimentacoes!$G:$G,Movimentacoes!$C:$C,$A1376,Movimentacoes!$E:$E,$C1376,Movimentacoes!$B:$B,"SAIDA_DESCARTE")</f>
        <v/>
      </c>
      <c r="J1376" s="13">
        <f>G1376-H1376-I1376</f>
        <v/>
      </c>
      <c r="K1376">
        <f>IF(A1376="","",IF(J1376&lt;=IFERROR(VLOOKUP(A1376,Cadastro_Produtos!$A:$E,5,FALSE),0),"ABAIXO DO MINIMO","OK"))</f>
        <v/>
      </c>
    </row>
    <row r="1377">
      <c r="B1377">
        <f>IFERROR(VLOOKUP(A1377,Cadastro_Produtos!A:B,2,FALSE),"")</f>
        <v/>
      </c>
      <c r="D1377" s="12" t="n"/>
      <c r="E1377" s="13">
        <f>IF(D1377="","",D1377-TODAY())</f>
        <v/>
      </c>
      <c r="F1377">
        <f>IF(D1377="","",IF(E1377&lt;0,"VENCIDO",IF(E1377&lt;=30,"VENCE EM &lt;= 30 DIAS",IF(E1377&lt;=60,"ATENCAO (31-60 DIAS)","OK"))))</f>
        <v/>
      </c>
      <c r="G1377" s="13">
        <f>SUMIFS(Movimentacoes!$G:$G,Movimentacoes!$C:$C,$A1377,Movimentacoes!$E:$E,$C1377,Movimentacoes!$B:$B,"ENTRADA")</f>
        <v/>
      </c>
      <c r="H1377" s="13">
        <f>SUMIFS(Movimentacoes!$G:$G,Movimentacoes!$C:$C,$A1377,Movimentacoes!$E:$E,$C1377,Movimentacoes!$B:$B,"SAIDA_USO")</f>
        <v/>
      </c>
      <c r="I1377" s="13">
        <f>SUMIFS(Movimentacoes!$G:$G,Movimentacoes!$C:$C,$A1377,Movimentacoes!$E:$E,$C1377,Movimentacoes!$B:$B,"SAIDA_DESCARTE")</f>
        <v/>
      </c>
      <c r="J1377" s="13">
        <f>G1377-H1377-I1377</f>
        <v/>
      </c>
      <c r="K1377">
        <f>IF(A1377="","",IF(J1377&lt;=IFERROR(VLOOKUP(A1377,Cadastro_Produtos!$A:$E,5,FALSE),0),"ABAIXO DO MINIMO","OK"))</f>
        <v/>
      </c>
    </row>
    <row r="1378">
      <c r="B1378">
        <f>IFERROR(VLOOKUP(A1378,Cadastro_Produtos!A:B,2,FALSE),"")</f>
        <v/>
      </c>
      <c r="D1378" s="12" t="n"/>
      <c r="E1378" s="13">
        <f>IF(D1378="","",D1378-TODAY())</f>
        <v/>
      </c>
      <c r="F1378">
        <f>IF(D1378="","",IF(E1378&lt;0,"VENCIDO",IF(E1378&lt;=30,"VENCE EM &lt;= 30 DIAS",IF(E1378&lt;=60,"ATENCAO (31-60 DIAS)","OK"))))</f>
        <v/>
      </c>
      <c r="G1378" s="13">
        <f>SUMIFS(Movimentacoes!$G:$G,Movimentacoes!$C:$C,$A1378,Movimentacoes!$E:$E,$C1378,Movimentacoes!$B:$B,"ENTRADA")</f>
        <v/>
      </c>
      <c r="H1378" s="13">
        <f>SUMIFS(Movimentacoes!$G:$G,Movimentacoes!$C:$C,$A1378,Movimentacoes!$E:$E,$C1378,Movimentacoes!$B:$B,"SAIDA_USO")</f>
        <v/>
      </c>
      <c r="I1378" s="13">
        <f>SUMIFS(Movimentacoes!$G:$G,Movimentacoes!$C:$C,$A1378,Movimentacoes!$E:$E,$C1378,Movimentacoes!$B:$B,"SAIDA_DESCARTE")</f>
        <v/>
      </c>
      <c r="J1378" s="13">
        <f>G1378-H1378-I1378</f>
        <v/>
      </c>
      <c r="K1378">
        <f>IF(A1378="","",IF(J1378&lt;=IFERROR(VLOOKUP(A1378,Cadastro_Produtos!$A:$E,5,FALSE),0),"ABAIXO DO MINIMO","OK"))</f>
        <v/>
      </c>
    </row>
    <row r="1379">
      <c r="B1379">
        <f>IFERROR(VLOOKUP(A1379,Cadastro_Produtos!A:B,2,FALSE),"")</f>
        <v/>
      </c>
      <c r="D1379" s="12" t="n"/>
      <c r="E1379" s="13">
        <f>IF(D1379="","",D1379-TODAY())</f>
        <v/>
      </c>
      <c r="F1379">
        <f>IF(D1379="","",IF(E1379&lt;0,"VENCIDO",IF(E1379&lt;=30,"VENCE EM &lt;= 30 DIAS",IF(E1379&lt;=60,"ATENCAO (31-60 DIAS)","OK"))))</f>
        <v/>
      </c>
      <c r="G1379" s="13">
        <f>SUMIFS(Movimentacoes!$G:$G,Movimentacoes!$C:$C,$A1379,Movimentacoes!$E:$E,$C1379,Movimentacoes!$B:$B,"ENTRADA")</f>
        <v/>
      </c>
      <c r="H1379" s="13">
        <f>SUMIFS(Movimentacoes!$G:$G,Movimentacoes!$C:$C,$A1379,Movimentacoes!$E:$E,$C1379,Movimentacoes!$B:$B,"SAIDA_USO")</f>
        <v/>
      </c>
      <c r="I1379" s="13">
        <f>SUMIFS(Movimentacoes!$G:$G,Movimentacoes!$C:$C,$A1379,Movimentacoes!$E:$E,$C1379,Movimentacoes!$B:$B,"SAIDA_DESCARTE")</f>
        <v/>
      </c>
      <c r="J1379" s="13">
        <f>G1379-H1379-I1379</f>
        <v/>
      </c>
      <c r="K1379">
        <f>IF(A1379="","",IF(J1379&lt;=IFERROR(VLOOKUP(A1379,Cadastro_Produtos!$A:$E,5,FALSE),0),"ABAIXO DO MINIMO","OK"))</f>
        <v/>
      </c>
    </row>
    <row r="1380">
      <c r="B1380">
        <f>IFERROR(VLOOKUP(A1380,Cadastro_Produtos!A:B,2,FALSE),"")</f>
        <v/>
      </c>
      <c r="D1380" s="12" t="n"/>
      <c r="E1380" s="13">
        <f>IF(D1380="","",D1380-TODAY())</f>
        <v/>
      </c>
      <c r="F1380">
        <f>IF(D1380="","",IF(E1380&lt;0,"VENCIDO",IF(E1380&lt;=30,"VENCE EM &lt;= 30 DIAS",IF(E1380&lt;=60,"ATENCAO (31-60 DIAS)","OK"))))</f>
        <v/>
      </c>
      <c r="G1380" s="13">
        <f>SUMIFS(Movimentacoes!$G:$G,Movimentacoes!$C:$C,$A1380,Movimentacoes!$E:$E,$C1380,Movimentacoes!$B:$B,"ENTRADA")</f>
        <v/>
      </c>
      <c r="H1380" s="13">
        <f>SUMIFS(Movimentacoes!$G:$G,Movimentacoes!$C:$C,$A1380,Movimentacoes!$E:$E,$C1380,Movimentacoes!$B:$B,"SAIDA_USO")</f>
        <v/>
      </c>
      <c r="I1380" s="13">
        <f>SUMIFS(Movimentacoes!$G:$G,Movimentacoes!$C:$C,$A1380,Movimentacoes!$E:$E,$C1380,Movimentacoes!$B:$B,"SAIDA_DESCARTE")</f>
        <v/>
      </c>
      <c r="J1380" s="13">
        <f>G1380-H1380-I1380</f>
        <v/>
      </c>
      <c r="K1380">
        <f>IF(A1380="","",IF(J1380&lt;=IFERROR(VLOOKUP(A1380,Cadastro_Produtos!$A:$E,5,FALSE),0),"ABAIXO DO MINIMO","OK"))</f>
        <v/>
      </c>
    </row>
    <row r="1381">
      <c r="B1381">
        <f>IFERROR(VLOOKUP(A1381,Cadastro_Produtos!A:B,2,FALSE),"")</f>
        <v/>
      </c>
      <c r="D1381" s="12" t="n"/>
      <c r="E1381" s="13">
        <f>IF(D1381="","",D1381-TODAY())</f>
        <v/>
      </c>
      <c r="F1381">
        <f>IF(D1381="","",IF(E1381&lt;0,"VENCIDO",IF(E1381&lt;=30,"VENCE EM &lt;= 30 DIAS",IF(E1381&lt;=60,"ATENCAO (31-60 DIAS)","OK"))))</f>
        <v/>
      </c>
      <c r="G1381" s="13">
        <f>SUMIFS(Movimentacoes!$G:$G,Movimentacoes!$C:$C,$A1381,Movimentacoes!$E:$E,$C1381,Movimentacoes!$B:$B,"ENTRADA")</f>
        <v/>
      </c>
      <c r="H1381" s="13">
        <f>SUMIFS(Movimentacoes!$G:$G,Movimentacoes!$C:$C,$A1381,Movimentacoes!$E:$E,$C1381,Movimentacoes!$B:$B,"SAIDA_USO")</f>
        <v/>
      </c>
      <c r="I1381" s="13">
        <f>SUMIFS(Movimentacoes!$G:$G,Movimentacoes!$C:$C,$A1381,Movimentacoes!$E:$E,$C1381,Movimentacoes!$B:$B,"SAIDA_DESCARTE")</f>
        <v/>
      </c>
      <c r="J1381" s="13">
        <f>G1381-H1381-I1381</f>
        <v/>
      </c>
      <c r="K1381">
        <f>IF(A1381="","",IF(J1381&lt;=IFERROR(VLOOKUP(A1381,Cadastro_Produtos!$A:$E,5,FALSE),0),"ABAIXO DO MINIMO","OK"))</f>
        <v/>
      </c>
    </row>
    <row r="1382">
      <c r="B1382">
        <f>IFERROR(VLOOKUP(A1382,Cadastro_Produtos!A:B,2,FALSE),"")</f>
        <v/>
      </c>
      <c r="D1382" s="12" t="n"/>
      <c r="E1382" s="13">
        <f>IF(D1382="","",D1382-TODAY())</f>
        <v/>
      </c>
      <c r="F1382">
        <f>IF(D1382="","",IF(E1382&lt;0,"VENCIDO",IF(E1382&lt;=30,"VENCE EM &lt;= 30 DIAS",IF(E1382&lt;=60,"ATENCAO (31-60 DIAS)","OK"))))</f>
        <v/>
      </c>
      <c r="G1382" s="13">
        <f>SUMIFS(Movimentacoes!$G:$G,Movimentacoes!$C:$C,$A1382,Movimentacoes!$E:$E,$C1382,Movimentacoes!$B:$B,"ENTRADA")</f>
        <v/>
      </c>
      <c r="H1382" s="13">
        <f>SUMIFS(Movimentacoes!$G:$G,Movimentacoes!$C:$C,$A1382,Movimentacoes!$E:$E,$C1382,Movimentacoes!$B:$B,"SAIDA_USO")</f>
        <v/>
      </c>
      <c r="I1382" s="13">
        <f>SUMIFS(Movimentacoes!$G:$G,Movimentacoes!$C:$C,$A1382,Movimentacoes!$E:$E,$C1382,Movimentacoes!$B:$B,"SAIDA_DESCARTE")</f>
        <v/>
      </c>
      <c r="J1382" s="13">
        <f>G1382-H1382-I1382</f>
        <v/>
      </c>
      <c r="K1382">
        <f>IF(A1382="","",IF(J1382&lt;=IFERROR(VLOOKUP(A1382,Cadastro_Produtos!$A:$E,5,FALSE),0),"ABAIXO DO MINIMO","OK"))</f>
        <v/>
      </c>
    </row>
    <row r="1383">
      <c r="B1383">
        <f>IFERROR(VLOOKUP(A1383,Cadastro_Produtos!A:B,2,FALSE),"")</f>
        <v/>
      </c>
      <c r="D1383" s="12" t="n"/>
      <c r="E1383" s="13">
        <f>IF(D1383="","",D1383-TODAY())</f>
        <v/>
      </c>
      <c r="F1383">
        <f>IF(D1383="","",IF(E1383&lt;0,"VENCIDO",IF(E1383&lt;=30,"VENCE EM &lt;= 30 DIAS",IF(E1383&lt;=60,"ATENCAO (31-60 DIAS)","OK"))))</f>
        <v/>
      </c>
      <c r="G1383" s="13">
        <f>SUMIFS(Movimentacoes!$G:$G,Movimentacoes!$C:$C,$A1383,Movimentacoes!$E:$E,$C1383,Movimentacoes!$B:$B,"ENTRADA")</f>
        <v/>
      </c>
      <c r="H1383" s="13">
        <f>SUMIFS(Movimentacoes!$G:$G,Movimentacoes!$C:$C,$A1383,Movimentacoes!$E:$E,$C1383,Movimentacoes!$B:$B,"SAIDA_USO")</f>
        <v/>
      </c>
      <c r="I1383" s="13">
        <f>SUMIFS(Movimentacoes!$G:$G,Movimentacoes!$C:$C,$A1383,Movimentacoes!$E:$E,$C1383,Movimentacoes!$B:$B,"SAIDA_DESCARTE")</f>
        <v/>
      </c>
      <c r="J1383" s="13">
        <f>G1383-H1383-I1383</f>
        <v/>
      </c>
      <c r="K1383">
        <f>IF(A1383="","",IF(J1383&lt;=IFERROR(VLOOKUP(A1383,Cadastro_Produtos!$A:$E,5,FALSE),0),"ABAIXO DO MINIMO","OK"))</f>
        <v/>
      </c>
    </row>
    <row r="1384">
      <c r="B1384">
        <f>IFERROR(VLOOKUP(A1384,Cadastro_Produtos!A:B,2,FALSE),"")</f>
        <v/>
      </c>
      <c r="D1384" s="12" t="n"/>
      <c r="E1384" s="13">
        <f>IF(D1384="","",D1384-TODAY())</f>
        <v/>
      </c>
      <c r="F1384">
        <f>IF(D1384="","",IF(E1384&lt;0,"VENCIDO",IF(E1384&lt;=30,"VENCE EM &lt;= 30 DIAS",IF(E1384&lt;=60,"ATENCAO (31-60 DIAS)","OK"))))</f>
        <v/>
      </c>
      <c r="G1384" s="13">
        <f>SUMIFS(Movimentacoes!$G:$G,Movimentacoes!$C:$C,$A1384,Movimentacoes!$E:$E,$C1384,Movimentacoes!$B:$B,"ENTRADA")</f>
        <v/>
      </c>
      <c r="H1384" s="13">
        <f>SUMIFS(Movimentacoes!$G:$G,Movimentacoes!$C:$C,$A1384,Movimentacoes!$E:$E,$C1384,Movimentacoes!$B:$B,"SAIDA_USO")</f>
        <v/>
      </c>
      <c r="I1384" s="13">
        <f>SUMIFS(Movimentacoes!$G:$G,Movimentacoes!$C:$C,$A1384,Movimentacoes!$E:$E,$C1384,Movimentacoes!$B:$B,"SAIDA_DESCARTE")</f>
        <v/>
      </c>
      <c r="J1384" s="13">
        <f>G1384-H1384-I1384</f>
        <v/>
      </c>
      <c r="K1384">
        <f>IF(A1384="","",IF(J1384&lt;=IFERROR(VLOOKUP(A1384,Cadastro_Produtos!$A:$E,5,FALSE),0),"ABAIXO DO MINIMO","OK"))</f>
        <v/>
      </c>
    </row>
    <row r="1385">
      <c r="B1385">
        <f>IFERROR(VLOOKUP(A1385,Cadastro_Produtos!A:B,2,FALSE),"")</f>
        <v/>
      </c>
      <c r="D1385" s="12" t="n"/>
      <c r="E1385" s="13">
        <f>IF(D1385="","",D1385-TODAY())</f>
        <v/>
      </c>
      <c r="F1385">
        <f>IF(D1385="","",IF(E1385&lt;0,"VENCIDO",IF(E1385&lt;=30,"VENCE EM &lt;= 30 DIAS",IF(E1385&lt;=60,"ATENCAO (31-60 DIAS)","OK"))))</f>
        <v/>
      </c>
      <c r="G1385" s="13">
        <f>SUMIFS(Movimentacoes!$G:$G,Movimentacoes!$C:$C,$A1385,Movimentacoes!$E:$E,$C1385,Movimentacoes!$B:$B,"ENTRADA")</f>
        <v/>
      </c>
      <c r="H1385" s="13">
        <f>SUMIFS(Movimentacoes!$G:$G,Movimentacoes!$C:$C,$A1385,Movimentacoes!$E:$E,$C1385,Movimentacoes!$B:$B,"SAIDA_USO")</f>
        <v/>
      </c>
      <c r="I1385" s="13">
        <f>SUMIFS(Movimentacoes!$G:$G,Movimentacoes!$C:$C,$A1385,Movimentacoes!$E:$E,$C1385,Movimentacoes!$B:$B,"SAIDA_DESCARTE")</f>
        <v/>
      </c>
      <c r="J1385" s="13">
        <f>G1385-H1385-I1385</f>
        <v/>
      </c>
      <c r="K1385">
        <f>IF(A1385="","",IF(J1385&lt;=IFERROR(VLOOKUP(A1385,Cadastro_Produtos!$A:$E,5,FALSE),0),"ABAIXO DO MINIMO","OK"))</f>
        <v/>
      </c>
    </row>
    <row r="1386">
      <c r="B1386">
        <f>IFERROR(VLOOKUP(A1386,Cadastro_Produtos!A:B,2,FALSE),"")</f>
        <v/>
      </c>
      <c r="D1386" s="12" t="n"/>
      <c r="E1386" s="13">
        <f>IF(D1386="","",D1386-TODAY())</f>
        <v/>
      </c>
      <c r="F1386">
        <f>IF(D1386="","",IF(E1386&lt;0,"VENCIDO",IF(E1386&lt;=30,"VENCE EM &lt;= 30 DIAS",IF(E1386&lt;=60,"ATENCAO (31-60 DIAS)","OK"))))</f>
        <v/>
      </c>
      <c r="G1386" s="13">
        <f>SUMIFS(Movimentacoes!$G:$G,Movimentacoes!$C:$C,$A1386,Movimentacoes!$E:$E,$C1386,Movimentacoes!$B:$B,"ENTRADA")</f>
        <v/>
      </c>
      <c r="H1386" s="13">
        <f>SUMIFS(Movimentacoes!$G:$G,Movimentacoes!$C:$C,$A1386,Movimentacoes!$E:$E,$C1386,Movimentacoes!$B:$B,"SAIDA_USO")</f>
        <v/>
      </c>
      <c r="I1386" s="13">
        <f>SUMIFS(Movimentacoes!$G:$G,Movimentacoes!$C:$C,$A1386,Movimentacoes!$E:$E,$C1386,Movimentacoes!$B:$B,"SAIDA_DESCARTE")</f>
        <v/>
      </c>
      <c r="J1386" s="13">
        <f>G1386-H1386-I1386</f>
        <v/>
      </c>
      <c r="K1386">
        <f>IF(A1386="","",IF(J1386&lt;=IFERROR(VLOOKUP(A1386,Cadastro_Produtos!$A:$E,5,FALSE),0),"ABAIXO DO MINIMO","OK"))</f>
        <v/>
      </c>
    </row>
    <row r="1387">
      <c r="B1387">
        <f>IFERROR(VLOOKUP(A1387,Cadastro_Produtos!A:B,2,FALSE),"")</f>
        <v/>
      </c>
      <c r="D1387" s="12" t="n"/>
      <c r="E1387" s="13">
        <f>IF(D1387="","",D1387-TODAY())</f>
        <v/>
      </c>
      <c r="F1387">
        <f>IF(D1387="","",IF(E1387&lt;0,"VENCIDO",IF(E1387&lt;=30,"VENCE EM &lt;= 30 DIAS",IF(E1387&lt;=60,"ATENCAO (31-60 DIAS)","OK"))))</f>
        <v/>
      </c>
      <c r="G1387" s="13">
        <f>SUMIFS(Movimentacoes!$G:$G,Movimentacoes!$C:$C,$A1387,Movimentacoes!$E:$E,$C1387,Movimentacoes!$B:$B,"ENTRADA")</f>
        <v/>
      </c>
      <c r="H1387" s="13">
        <f>SUMIFS(Movimentacoes!$G:$G,Movimentacoes!$C:$C,$A1387,Movimentacoes!$E:$E,$C1387,Movimentacoes!$B:$B,"SAIDA_USO")</f>
        <v/>
      </c>
      <c r="I1387" s="13">
        <f>SUMIFS(Movimentacoes!$G:$G,Movimentacoes!$C:$C,$A1387,Movimentacoes!$E:$E,$C1387,Movimentacoes!$B:$B,"SAIDA_DESCARTE")</f>
        <v/>
      </c>
      <c r="J1387" s="13">
        <f>G1387-H1387-I1387</f>
        <v/>
      </c>
      <c r="K1387">
        <f>IF(A1387="","",IF(J1387&lt;=IFERROR(VLOOKUP(A1387,Cadastro_Produtos!$A:$E,5,FALSE),0),"ABAIXO DO MINIMO","OK"))</f>
        <v/>
      </c>
    </row>
    <row r="1388">
      <c r="B1388">
        <f>IFERROR(VLOOKUP(A1388,Cadastro_Produtos!A:B,2,FALSE),"")</f>
        <v/>
      </c>
      <c r="D1388" s="12" t="n"/>
      <c r="E1388" s="13">
        <f>IF(D1388="","",D1388-TODAY())</f>
        <v/>
      </c>
      <c r="F1388">
        <f>IF(D1388="","",IF(E1388&lt;0,"VENCIDO",IF(E1388&lt;=30,"VENCE EM &lt;= 30 DIAS",IF(E1388&lt;=60,"ATENCAO (31-60 DIAS)","OK"))))</f>
        <v/>
      </c>
      <c r="G1388" s="13">
        <f>SUMIFS(Movimentacoes!$G:$G,Movimentacoes!$C:$C,$A1388,Movimentacoes!$E:$E,$C1388,Movimentacoes!$B:$B,"ENTRADA")</f>
        <v/>
      </c>
      <c r="H1388" s="13">
        <f>SUMIFS(Movimentacoes!$G:$G,Movimentacoes!$C:$C,$A1388,Movimentacoes!$E:$E,$C1388,Movimentacoes!$B:$B,"SAIDA_USO")</f>
        <v/>
      </c>
      <c r="I1388" s="13">
        <f>SUMIFS(Movimentacoes!$G:$G,Movimentacoes!$C:$C,$A1388,Movimentacoes!$E:$E,$C1388,Movimentacoes!$B:$B,"SAIDA_DESCARTE")</f>
        <v/>
      </c>
      <c r="J1388" s="13">
        <f>G1388-H1388-I1388</f>
        <v/>
      </c>
      <c r="K1388">
        <f>IF(A1388="","",IF(J1388&lt;=IFERROR(VLOOKUP(A1388,Cadastro_Produtos!$A:$E,5,FALSE),0),"ABAIXO DO MINIMO","OK"))</f>
        <v/>
      </c>
    </row>
    <row r="1389">
      <c r="B1389">
        <f>IFERROR(VLOOKUP(A1389,Cadastro_Produtos!A:B,2,FALSE),"")</f>
        <v/>
      </c>
      <c r="D1389" s="12" t="n"/>
      <c r="E1389" s="13">
        <f>IF(D1389="","",D1389-TODAY())</f>
        <v/>
      </c>
      <c r="F1389">
        <f>IF(D1389="","",IF(E1389&lt;0,"VENCIDO",IF(E1389&lt;=30,"VENCE EM &lt;= 30 DIAS",IF(E1389&lt;=60,"ATENCAO (31-60 DIAS)","OK"))))</f>
        <v/>
      </c>
      <c r="G1389" s="13">
        <f>SUMIFS(Movimentacoes!$G:$G,Movimentacoes!$C:$C,$A1389,Movimentacoes!$E:$E,$C1389,Movimentacoes!$B:$B,"ENTRADA")</f>
        <v/>
      </c>
      <c r="H1389" s="13">
        <f>SUMIFS(Movimentacoes!$G:$G,Movimentacoes!$C:$C,$A1389,Movimentacoes!$E:$E,$C1389,Movimentacoes!$B:$B,"SAIDA_USO")</f>
        <v/>
      </c>
      <c r="I1389" s="13">
        <f>SUMIFS(Movimentacoes!$G:$G,Movimentacoes!$C:$C,$A1389,Movimentacoes!$E:$E,$C1389,Movimentacoes!$B:$B,"SAIDA_DESCARTE")</f>
        <v/>
      </c>
      <c r="J1389" s="13">
        <f>G1389-H1389-I1389</f>
        <v/>
      </c>
      <c r="K1389">
        <f>IF(A1389="","",IF(J1389&lt;=IFERROR(VLOOKUP(A1389,Cadastro_Produtos!$A:$E,5,FALSE),0),"ABAIXO DO MINIMO","OK"))</f>
        <v/>
      </c>
    </row>
    <row r="1390">
      <c r="B1390">
        <f>IFERROR(VLOOKUP(A1390,Cadastro_Produtos!A:B,2,FALSE),"")</f>
        <v/>
      </c>
      <c r="D1390" s="12" t="n"/>
      <c r="E1390" s="13">
        <f>IF(D1390="","",D1390-TODAY())</f>
        <v/>
      </c>
      <c r="F1390">
        <f>IF(D1390="","",IF(E1390&lt;0,"VENCIDO",IF(E1390&lt;=30,"VENCE EM &lt;= 30 DIAS",IF(E1390&lt;=60,"ATENCAO (31-60 DIAS)","OK"))))</f>
        <v/>
      </c>
      <c r="G1390" s="13">
        <f>SUMIFS(Movimentacoes!$G:$G,Movimentacoes!$C:$C,$A1390,Movimentacoes!$E:$E,$C1390,Movimentacoes!$B:$B,"ENTRADA")</f>
        <v/>
      </c>
      <c r="H1390" s="13">
        <f>SUMIFS(Movimentacoes!$G:$G,Movimentacoes!$C:$C,$A1390,Movimentacoes!$E:$E,$C1390,Movimentacoes!$B:$B,"SAIDA_USO")</f>
        <v/>
      </c>
      <c r="I1390" s="13">
        <f>SUMIFS(Movimentacoes!$G:$G,Movimentacoes!$C:$C,$A1390,Movimentacoes!$E:$E,$C1390,Movimentacoes!$B:$B,"SAIDA_DESCARTE")</f>
        <v/>
      </c>
      <c r="J1390" s="13">
        <f>G1390-H1390-I1390</f>
        <v/>
      </c>
      <c r="K1390">
        <f>IF(A1390="","",IF(J1390&lt;=IFERROR(VLOOKUP(A1390,Cadastro_Produtos!$A:$E,5,FALSE),0),"ABAIXO DO MINIMO","OK"))</f>
        <v/>
      </c>
    </row>
    <row r="1391">
      <c r="B1391">
        <f>IFERROR(VLOOKUP(A1391,Cadastro_Produtos!A:B,2,FALSE),"")</f>
        <v/>
      </c>
      <c r="D1391" s="12" t="n"/>
      <c r="E1391" s="13">
        <f>IF(D1391="","",D1391-TODAY())</f>
        <v/>
      </c>
      <c r="F1391">
        <f>IF(D1391="","",IF(E1391&lt;0,"VENCIDO",IF(E1391&lt;=30,"VENCE EM &lt;= 30 DIAS",IF(E1391&lt;=60,"ATENCAO (31-60 DIAS)","OK"))))</f>
        <v/>
      </c>
      <c r="G1391" s="13">
        <f>SUMIFS(Movimentacoes!$G:$G,Movimentacoes!$C:$C,$A1391,Movimentacoes!$E:$E,$C1391,Movimentacoes!$B:$B,"ENTRADA")</f>
        <v/>
      </c>
      <c r="H1391" s="13">
        <f>SUMIFS(Movimentacoes!$G:$G,Movimentacoes!$C:$C,$A1391,Movimentacoes!$E:$E,$C1391,Movimentacoes!$B:$B,"SAIDA_USO")</f>
        <v/>
      </c>
      <c r="I1391" s="13">
        <f>SUMIFS(Movimentacoes!$G:$G,Movimentacoes!$C:$C,$A1391,Movimentacoes!$E:$E,$C1391,Movimentacoes!$B:$B,"SAIDA_DESCARTE")</f>
        <v/>
      </c>
      <c r="J1391" s="13">
        <f>G1391-H1391-I1391</f>
        <v/>
      </c>
      <c r="K1391">
        <f>IF(A1391="","",IF(J1391&lt;=IFERROR(VLOOKUP(A1391,Cadastro_Produtos!$A:$E,5,FALSE),0),"ABAIXO DO MINIMO","OK"))</f>
        <v/>
      </c>
    </row>
    <row r="1392">
      <c r="B1392">
        <f>IFERROR(VLOOKUP(A1392,Cadastro_Produtos!A:B,2,FALSE),"")</f>
        <v/>
      </c>
      <c r="D1392" s="12" t="n"/>
      <c r="E1392" s="13">
        <f>IF(D1392="","",D1392-TODAY())</f>
        <v/>
      </c>
      <c r="F1392">
        <f>IF(D1392="","",IF(E1392&lt;0,"VENCIDO",IF(E1392&lt;=30,"VENCE EM &lt;= 30 DIAS",IF(E1392&lt;=60,"ATENCAO (31-60 DIAS)","OK"))))</f>
        <v/>
      </c>
      <c r="G1392" s="13">
        <f>SUMIFS(Movimentacoes!$G:$G,Movimentacoes!$C:$C,$A1392,Movimentacoes!$E:$E,$C1392,Movimentacoes!$B:$B,"ENTRADA")</f>
        <v/>
      </c>
      <c r="H1392" s="13">
        <f>SUMIFS(Movimentacoes!$G:$G,Movimentacoes!$C:$C,$A1392,Movimentacoes!$E:$E,$C1392,Movimentacoes!$B:$B,"SAIDA_USO")</f>
        <v/>
      </c>
      <c r="I1392" s="13">
        <f>SUMIFS(Movimentacoes!$G:$G,Movimentacoes!$C:$C,$A1392,Movimentacoes!$E:$E,$C1392,Movimentacoes!$B:$B,"SAIDA_DESCARTE")</f>
        <v/>
      </c>
      <c r="J1392" s="13">
        <f>G1392-H1392-I1392</f>
        <v/>
      </c>
      <c r="K1392">
        <f>IF(A1392="","",IF(J1392&lt;=IFERROR(VLOOKUP(A1392,Cadastro_Produtos!$A:$E,5,FALSE),0),"ABAIXO DO MINIMO","OK"))</f>
        <v/>
      </c>
    </row>
    <row r="1393">
      <c r="B1393">
        <f>IFERROR(VLOOKUP(A1393,Cadastro_Produtos!A:B,2,FALSE),"")</f>
        <v/>
      </c>
      <c r="D1393" s="12" t="n"/>
      <c r="E1393" s="13">
        <f>IF(D1393="","",D1393-TODAY())</f>
        <v/>
      </c>
      <c r="F1393">
        <f>IF(D1393="","",IF(E1393&lt;0,"VENCIDO",IF(E1393&lt;=30,"VENCE EM &lt;= 30 DIAS",IF(E1393&lt;=60,"ATENCAO (31-60 DIAS)","OK"))))</f>
        <v/>
      </c>
      <c r="G1393" s="13">
        <f>SUMIFS(Movimentacoes!$G:$G,Movimentacoes!$C:$C,$A1393,Movimentacoes!$E:$E,$C1393,Movimentacoes!$B:$B,"ENTRADA")</f>
        <v/>
      </c>
      <c r="H1393" s="13">
        <f>SUMIFS(Movimentacoes!$G:$G,Movimentacoes!$C:$C,$A1393,Movimentacoes!$E:$E,$C1393,Movimentacoes!$B:$B,"SAIDA_USO")</f>
        <v/>
      </c>
      <c r="I1393" s="13">
        <f>SUMIFS(Movimentacoes!$G:$G,Movimentacoes!$C:$C,$A1393,Movimentacoes!$E:$E,$C1393,Movimentacoes!$B:$B,"SAIDA_DESCARTE")</f>
        <v/>
      </c>
      <c r="J1393" s="13">
        <f>G1393-H1393-I1393</f>
        <v/>
      </c>
      <c r="K1393">
        <f>IF(A1393="","",IF(J1393&lt;=IFERROR(VLOOKUP(A1393,Cadastro_Produtos!$A:$E,5,FALSE),0),"ABAIXO DO MINIMO","OK"))</f>
        <v/>
      </c>
    </row>
    <row r="1394">
      <c r="B1394">
        <f>IFERROR(VLOOKUP(A1394,Cadastro_Produtos!A:B,2,FALSE),"")</f>
        <v/>
      </c>
      <c r="D1394" s="12" t="n"/>
      <c r="E1394" s="13">
        <f>IF(D1394="","",D1394-TODAY())</f>
        <v/>
      </c>
      <c r="F1394">
        <f>IF(D1394="","",IF(E1394&lt;0,"VENCIDO",IF(E1394&lt;=30,"VENCE EM &lt;= 30 DIAS",IF(E1394&lt;=60,"ATENCAO (31-60 DIAS)","OK"))))</f>
        <v/>
      </c>
      <c r="G1394" s="13">
        <f>SUMIFS(Movimentacoes!$G:$G,Movimentacoes!$C:$C,$A1394,Movimentacoes!$E:$E,$C1394,Movimentacoes!$B:$B,"ENTRADA")</f>
        <v/>
      </c>
      <c r="H1394" s="13">
        <f>SUMIFS(Movimentacoes!$G:$G,Movimentacoes!$C:$C,$A1394,Movimentacoes!$E:$E,$C1394,Movimentacoes!$B:$B,"SAIDA_USO")</f>
        <v/>
      </c>
      <c r="I1394" s="13">
        <f>SUMIFS(Movimentacoes!$G:$G,Movimentacoes!$C:$C,$A1394,Movimentacoes!$E:$E,$C1394,Movimentacoes!$B:$B,"SAIDA_DESCARTE")</f>
        <v/>
      </c>
      <c r="J1394" s="13">
        <f>G1394-H1394-I1394</f>
        <v/>
      </c>
      <c r="K1394">
        <f>IF(A1394="","",IF(J1394&lt;=IFERROR(VLOOKUP(A1394,Cadastro_Produtos!$A:$E,5,FALSE),0),"ABAIXO DO MINIMO","OK"))</f>
        <v/>
      </c>
    </row>
    <row r="1395">
      <c r="B1395">
        <f>IFERROR(VLOOKUP(A1395,Cadastro_Produtos!A:B,2,FALSE),"")</f>
        <v/>
      </c>
      <c r="D1395" s="12" t="n"/>
      <c r="E1395" s="13">
        <f>IF(D1395="","",D1395-TODAY())</f>
        <v/>
      </c>
      <c r="F1395">
        <f>IF(D1395="","",IF(E1395&lt;0,"VENCIDO",IF(E1395&lt;=30,"VENCE EM &lt;= 30 DIAS",IF(E1395&lt;=60,"ATENCAO (31-60 DIAS)","OK"))))</f>
        <v/>
      </c>
      <c r="G1395" s="13">
        <f>SUMIFS(Movimentacoes!$G:$G,Movimentacoes!$C:$C,$A1395,Movimentacoes!$E:$E,$C1395,Movimentacoes!$B:$B,"ENTRADA")</f>
        <v/>
      </c>
      <c r="H1395" s="13">
        <f>SUMIFS(Movimentacoes!$G:$G,Movimentacoes!$C:$C,$A1395,Movimentacoes!$E:$E,$C1395,Movimentacoes!$B:$B,"SAIDA_USO")</f>
        <v/>
      </c>
      <c r="I1395" s="13">
        <f>SUMIFS(Movimentacoes!$G:$G,Movimentacoes!$C:$C,$A1395,Movimentacoes!$E:$E,$C1395,Movimentacoes!$B:$B,"SAIDA_DESCARTE")</f>
        <v/>
      </c>
      <c r="J1395" s="13">
        <f>G1395-H1395-I1395</f>
        <v/>
      </c>
      <c r="K1395">
        <f>IF(A1395="","",IF(J1395&lt;=IFERROR(VLOOKUP(A1395,Cadastro_Produtos!$A:$E,5,FALSE),0),"ABAIXO DO MINIMO","OK"))</f>
        <v/>
      </c>
    </row>
    <row r="1396">
      <c r="B1396">
        <f>IFERROR(VLOOKUP(A1396,Cadastro_Produtos!A:B,2,FALSE),"")</f>
        <v/>
      </c>
      <c r="D1396" s="12" t="n"/>
      <c r="E1396" s="13">
        <f>IF(D1396="","",D1396-TODAY())</f>
        <v/>
      </c>
      <c r="F1396">
        <f>IF(D1396="","",IF(E1396&lt;0,"VENCIDO",IF(E1396&lt;=30,"VENCE EM &lt;= 30 DIAS",IF(E1396&lt;=60,"ATENCAO (31-60 DIAS)","OK"))))</f>
        <v/>
      </c>
      <c r="G1396" s="13">
        <f>SUMIFS(Movimentacoes!$G:$G,Movimentacoes!$C:$C,$A1396,Movimentacoes!$E:$E,$C1396,Movimentacoes!$B:$B,"ENTRADA")</f>
        <v/>
      </c>
      <c r="H1396" s="13">
        <f>SUMIFS(Movimentacoes!$G:$G,Movimentacoes!$C:$C,$A1396,Movimentacoes!$E:$E,$C1396,Movimentacoes!$B:$B,"SAIDA_USO")</f>
        <v/>
      </c>
      <c r="I1396" s="13">
        <f>SUMIFS(Movimentacoes!$G:$G,Movimentacoes!$C:$C,$A1396,Movimentacoes!$E:$E,$C1396,Movimentacoes!$B:$B,"SAIDA_DESCARTE")</f>
        <v/>
      </c>
      <c r="J1396" s="13">
        <f>G1396-H1396-I1396</f>
        <v/>
      </c>
      <c r="K1396">
        <f>IF(A1396="","",IF(J1396&lt;=IFERROR(VLOOKUP(A1396,Cadastro_Produtos!$A:$E,5,FALSE),0),"ABAIXO DO MINIMO","OK"))</f>
        <v/>
      </c>
    </row>
    <row r="1397">
      <c r="B1397">
        <f>IFERROR(VLOOKUP(A1397,Cadastro_Produtos!A:B,2,FALSE),"")</f>
        <v/>
      </c>
      <c r="D1397" s="12" t="n"/>
      <c r="E1397" s="13">
        <f>IF(D1397="","",D1397-TODAY())</f>
        <v/>
      </c>
      <c r="F1397">
        <f>IF(D1397="","",IF(E1397&lt;0,"VENCIDO",IF(E1397&lt;=30,"VENCE EM &lt;= 30 DIAS",IF(E1397&lt;=60,"ATENCAO (31-60 DIAS)","OK"))))</f>
        <v/>
      </c>
      <c r="G1397" s="13">
        <f>SUMIFS(Movimentacoes!$G:$G,Movimentacoes!$C:$C,$A1397,Movimentacoes!$E:$E,$C1397,Movimentacoes!$B:$B,"ENTRADA")</f>
        <v/>
      </c>
      <c r="H1397" s="13">
        <f>SUMIFS(Movimentacoes!$G:$G,Movimentacoes!$C:$C,$A1397,Movimentacoes!$E:$E,$C1397,Movimentacoes!$B:$B,"SAIDA_USO")</f>
        <v/>
      </c>
      <c r="I1397" s="13">
        <f>SUMIFS(Movimentacoes!$G:$G,Movimentacoes!$C:$C,$A1397,Movimentacoes!$E:$E,$C1397,Movimentacoes!$B:$B,"SAIDA_DESCARTE")</f>
        <v/>
      </c>
      <c r="J1397" s="13">
        <f>G1397-H1397-I1397</f>
        <v/>
      </c>
      <c r="K1397">
        <f>IF(A1397="","",IF(J1397&lt;=IFERROR(VLOOKUP(A1397,Cadastro_Produtos!$A:$E,5,FALSE),0),"ABAIXO DO MINIMO","OK"))</f>
        <v/>
      </c>
    </row>
    <row r="1398">
      <c r="B1398">
        <f>IFERROR(VLOOKUP(A1398,Cadastro_Produtos!A:B,2,FALSE),"")</f>
        <v/>
      </c>
      <c r="D1398" s="12" t="n"/>
      <c r="E1398" s="13">
        <f>IF(D1398="","",D1398-TODAY())</f>
        <v/>
      </c>
      <c r="F1398">
        <f>IF(D1398="","",IF(E1398&lt;0,"VENCIDO",IF(E1398&lt;=30,"VENCE EM &lt;= 30 DIAS",IF(E1398&lt;=60,"ATENCAO (31-60 DIAS)","OK"))))</f>
        <v/>
      </c>
      <c r="G1398" s="13">
        <f>SUMIFS(Movimentacoes!$G:$G,Movimentacoes!$C:$C,$A1398,Movimentacoes!$E:$E,$C1398,Movimentacoes!$B:$B,"ENTRADA")</f>
        <v/>
      </c>
      <c r="H1398" s="13">
        <f>SUMIFS(Movimentacoes!$G:$G,Movimentacoes!$C:$C,$A1398,Movimentacoes!$E:$E,$C1398,Movimentacoes!$B:$B,"SAIDA_USO")</f>
        <v/>
      </c>
      <c r="I1398" s="13">
        <f>SUMIFS(Movimentacoes!$G:$G,Movimentacoes!$C:$C,$A1398,Movimentacoes!$E:$E,$C1398,Movimentacoes!$B:$B,"SAIDA_DESCARTE")</f>
        <v/>
      </c>
      <c r="J1398" s="13">
        <f>G1398-H1398-I1398</f>
        <v/>
      </c>
      <c r="K1398">
        <f>IF(A1398="","",IF(J1398&lt;=IFERROR(VLOOKUP(A1398,Cadastro_Produtos!$A:$E,5,FALSE),0),"ABAIXO DO MINIMO","OK"))</f>
        <v/>
      </c>
    </row>
    <row r="1399">
      <c r="B1399">
        <f>IFERROR(VLOOKUP(A1399,Cadastro_Produtos!A:B,2,FALSE),"")</f>
        <v/>
      </c>
      <c r="D1399" s="12" t="n"/>
      <c r="E1399" s="13">
        <f>IF(D1399="","",D1399-TODAY())</f>
        <v/>
      </c>
      <c r="F1399">
        <f>IF(D1399="","",IF(E1399&lt;0,"VENCIDO",IF(E1399&lt;=30,"VENCE EM &lt;= 30 DIAS",IF(E1399&lt;=60,"ATENCAO (31-60 DIAS)","OK"))))</f>
        <v/>
      </c>
      <c r="G1399" s="13">
        <f>SUMIFS(Movimentacoes!$G:$G,Movimentacoes!$C:$C,$A1399,Movimentacoes!$E:$E,$C1399,Movimentacoes!$B:$B,"ENTRADA")</f>
        <v/>
      </c>
      <c r="H1399" s="13">
        <f>SUMIFS(Movimentacoes!$G:$G,Movimentacoes!$C:$C,$A1399,Movimentacoes!$E:$E,$C1399,Movimentacoes!$B:$B,"SAIDA_USO")</f>
        <v/>
      </c>
      <c r="I1399" s="13">
        <f>SUMIFS(Movimentacoes!$G:$G,Movimentacoes!$C:$C,$A1399,Movimentacoes!$E:$E,$C1399,Movimentacoes!$B:$B,"SAIDA_DESCARTE")</f>
        <v/>
      </c>
      <c r="J1399" s="13">
        <f>G1399-H1399-I1399</f>
        <v/>
      </c>
      <c r="K1399">
        <f>IF(A1399="","",IF(J1399&lt;=IFERROR(VLOOKUP(A1399,Cadastro_Produtos!$A:$E,5,FALSE),0),"ABAIXO DO MINIMO","OK"))</f>
        <v/>
      </c>
    </row>
    <row r="1400">
      <c r="B1400">
        <f>IFERROR(VLOOKUP(A1400,Cadastro_Produtos!A:B,2,FALSE),"")</f>
        <v/>
      </c>
      <c r="D1400" s="12" t="n"/>
      <c r="E1400" s="13">
        <f>IF(D1400="","",D1400-TODAY())</f>
        <v/>
      </c>
      <c r="F1400">
        <f>IF(D1400="","",IF(E1400&lt;0,"VENCIDO",IF(E1400&lt;=30,"VENCE EM &lt;= 30 DIAS",IF(E1400&lt;=60,"ATENCAO (31-60 DIAS)","OK"))))</f>
        <v/>
      </c>
      <c r="G1400" s="13">
        <f>SUMIFS(Movimentacoes!$G:$G,Movimentacoes!$C:$C,$A1400,Movimentacoes!$E:$E,$C1400,Movimentacoes!$B:$B,"ENTRADA")</f>
        <v/>
      </c>
      <c r="H1400" s="13">
        <f>SUMIFS(Movimentacoes!$G:$G,Movimentacoes!$C:$C,$A1400,Movimentacoes!$E:$E,$C1400,Movimentacoes!$B:$B,"SAIDA_USO")</f>
        <v/>
      </c>
      <c r="I1400" s="13">
        <f>SUMIFS(Movimentacoes!$G:$G,Movimentacoes!$C:$C,$A1400,Movimentacoes!$E:$E,$C1400,Movimentacoes!$B:$B,"SAIDA_DESCARTE")</f>
        <v/>
      </c>
      <c r="J1400" s="13">
        <f>G1400-H1400-I1400</f>
        <v/>
      </c>
      <c r="K1400">
        <f>IF(A1400="","",IF(J1400&lt;=IFERROR(VLOOKUP(A1400,Cadastro_Produtos!$A:$E,5,FALSE),0),"ABAIXO DO MINIMO","OK"))</f>
        <v/>
      </c>
    </row>
    <row r="1401">
      <c r="B1401">
        <f>IFERROR(VLOOKUP(A1401,Cadastro_Produtos!A:B,2,FALSE),"")</f>
        <v/>
      </c>
      <c r="D1401" s="12" t="n"/>
      <c r="E1401" s="13">
        <f>IF(D1401="","",D1401-TODAY())</f>
        <v/>
      </c>
      <c r="F1401">
        <f>IF(D1401="","",IF(E1401&lt;0,"VENCIDO",IF(E1401&lt;=30,"VENCE EM &lt;= 30 DIAS",IF(E1401&lt;=60,"ATENCAO (31-60 DIAS)","OK"))))</f>
        <v/>
      </c>
      <c r="G1401" s="13">
        <f>SUMIFS(Movimentacoes!$G:$G,Movimentacoes!$C:$C,$A1401,Movimentacoes!$E:$E,$C1401,Movimentacoes!$B:$B,"ENTRADA")</f>
        <v/>
      </c>
      <c r="H1401" s="13">
        <f>SUMIFS(Movimentacoes!$G:$G,Movimentacoes!$C:$C,$A1401,Movimentacoes!$E:$E,$C1401,Movimentacoes!$B:$B,"SAIDA_USO")</f>
        <v/>
      </c>
      <c r="I1401" s="13">
        <f>SUMIFS(Movimentacoes!$G:$G,Movimentacoes!$C:$C,$A1401,Movimentacoes!$E:$E,$C1401,Movimentacoes!$B:$B,"SAIDA_DESCARTE")</f>
        <v/>
      </c>
      <c r="J1401" s="13">
        <f>G1401-H1401-I1401</f>
        <v/>
      </c>
      <c r="K1401">
        <f>IF(A1401="","",IF(J1401&lt;=IFERROR(VLOOKUP(A1401,Cadastro_Produtos!$A:$E,5,FALSE),0),"ABAIXO DO MINIMO","OK"))</f>
        <v/>
      </c>
    </row>
    <row r="1402">
      <c r="B1402">
        <f>IFERROR(VLOOKUP(A1402,Cadastro_Produtos!A:B,2,FALSE),"")</f>
        <v/>
      </c>
      <c r="D1402" s="12" t="n"/>
      <c r="E1402" s="13">
        <f>IF(D1402="","",D1402-TODAY())</f>
        <v/>
      </c>
      <c r="F1402">
        <f>IF(D1402="","",IF(E1402&lt;0,"VENCIDO",IF(E1402&lt;=30,"VENCE EM &lt;= 30 DIAS",IF(E1402&lt;=60,"ATENCAO (31-60 DIAS)","OK"))))</f>
        <v/>
      </c>
      <c r="G1402" s="13">
        <f>SUMIFS(Movimentacoes!$G:$G,Movimentacoes!$C:$C,$A1402,Movimentacoes!$E:$E,$C1402,Movimentacoes!$B:$B,"ENTRADA")</f>
        <v/>
      </c>
      <c r="H1402" s="13">
        <f>SUMIFS(Movimentacoes!$G:$G,Movimentacoes!$C:$C,$A1402,Movimentacoes!$E:$E,$C1402,Movimentacoes!$B:$B,"SAIDA_USO")</f>
        <v/>
      </c>
      <c r="I1402" s="13">
        <f>SUMIFS(Movimentacoes!$G:$G,Movimentacoes!$C:$C,$A1402,Movimentacoes!$E:$E,$C1402,Movimentacoes!$B:$B,"SAIDA_DESCARTE")</f>
        <v/>
      </c>
      <c r="J1402" s="13">
        <f>G1402-H1402-I1402</f>
        <v/>
      </c>
      <c r="K1402">
        <f>IF(A1402="","",IF(J1402&lt;=IFERROR(VLOOKUP(A1402,Cadastro_Produtos!$A:$E,5,FALSE),0),"ABAIXO DO MINIMO","OK"))</f>
        <v/>
      </c>
    </row>
    <row r="1403">
      <c r="B1403">
        <f>IFERROR(VLOOKUP(A1403,Cadastro_Produtos!A:B,2,FALSE),"")</f>
        <v/>
      </c>
      <c r="D1403" s="12" t="n"/>
      <c r="E1403" s="13">
        <f>IF(D1403="","",D1403-TODAY())</f>
        <v/>
      </c>
      <c r="F1403">
        <f>IF(D1403="","",IF(E1403&lt;0,"VENCIDO",IF(E1403&lt;=30,"VENCE EM &lt;= 30 DIAS",IF(E1403&lt;=60,"ATENCAO (31-60 DIAS)","OK"))))</f>
        <v/>
      </c>
      <c r="G1403" s="13">
        <f>SUMIFS(Movimentacoes!$G:$G,Movimentacoes!$C:$C,$A1403,Movimentacoes!$E:$E,$C1403,Movimentacoes!$B:$B,"ENTRADA")</f>
        <v/>
      </c>
      <c r="H1403" s="13">
        <f>SUMIFS(Movimentacoes!$G:$G,Movimentacoes!$C:$C,$A1403,Movimentacoes!$E:$E,$C1403,Movimentacoes!$B:$B,"SAIDA_USO")</f>
        <v/>
      </c>
      <c r="I1403" s="13">
        <f>SUMIFS(Movimentacoes!$G:$G,Movimentacoes!$C:$C,$A1403,Movimentacoes!$E:$E,$C1403,Movimentacoes!$B:$B,"SAIDA_DESCARTE")</f>
        <v/>
      </c>
      <c r="J1403" s="13">
        <f>G1403-H1403-I1403</f>
        <v/>
      </c>
      <c r="K1403">
        <f>IF(A1403="","",IF(J1403&lt;=IFERROR(VLOOKUP(A1403,Cadastro_Produtos!$A:$E,5,FALSE),0),"ABAIXO DO MINIMO","OK"))</f>
        <v/>
      </c>
    </row>
    <row r="1404">
      <c r="B1404">
        <f>IFERROR(VLOOKUP(A1404,Cadastro_Produtos!A:B,2,FALSE),"")</f>
        <v/>
      </c>
      <c r="D1404" s="12" t="n"/>
      <c r="E1404" s="13">
        <f>IF(D1404="","",D1404-TODAY())</f>
        <v/>
      </c>
      <c r="F1404">
        <f>IF(D1404="","",IF(E1404&lt;0,"VENCIDO",IF(E1404&lt;=30,"VENCE EM &lt;= 30 DIAS",IF(E1404&lt;=60,"ATENCAO (31-60 DIAS)","OK"))))</f>
        <v/>
      </c>
      <c r="G1404" s="13">
        <f>SUMIFS(Movimentacoes!$G:$G,Movimentacoes!$C:$C,$A1404,Movimentacoes!$E:$E,$C1404,Movimentacoes!$B:$B,"ENTRADA")</f>
        <v/>
      </c>
      <c r="H1404" s="13">
        <f>SUMIFS(Movimentacoes!$G:$G,Movimentacoes!$C:$C,$A1404,Movimentacoes!$E:$E,$C1404,Movimentacoes!$B:$B,"SAIDA_USO")</f>
        <v/>
      </c>
      <c r="I1404" s="13">
        <f>SUMIFS(Movimentacoes!$G:$G,Movimentacoes!$C:$C,$A1404,Movimentacoes!$E:$E,$C1404,Movimentacoes!$B:$B,"SAIDA_DESCARTE")</f>
        <v/>
      </c>
      <c r="J1404" s="13">
        <f>G1404-H1404-I1404</f>
        <v/>
      </c>
      <c r="K1404">
        <f>IF(A1404="","",IF(J1404&lt;=IFERROR(VLOOKUP(A1404,Cadastro_Produtos!$A:$E,5,FALSE),0),"ABAIXO DO MINIMO","OK"))</f>
        <v/>
      </c>
    </row>
    <row r="1405">
      <c r="B1405">
        <f>IFERROR(VLOOKUP(A1405,Cadastro_Produtos!A:B,2,FALSE),"")</f>
        <v/>
      </c>
      <c r="D1405" s="12" t="n"/>
      <c r="E1405" s="13">
        <f>IF(D1405="","",D1405-TODAY())</f>
        <v/>
      </c>
      <c r="F1405">
        <f>IF(D1405="","",IF(E1405&lt;0,"VENCIDO",IF(E1405&lt;=30,"VENCE EM &lt;= 30 DIAS",IF(E1405&lt;=60,"ATENCAO (31-60 DIAS)","OK"))))</f>
        <v/>
      </c>
      <c r="G1405" s="13">
        <f>SUMIFS(Movimentacoes!$G:$G,Movimentacoes!$C:$C,$A1405,Movimentacoes!$E:$E,$C1405,Movimentacoes!$B:$B,"ENTRADA")</f>
        <v/>
      </c>
      <c r="H1405" s="13">
        <f>SUMIFS(Movimentacoes!$G:$G,Movimentacoes!$C:$C,$A1405,Movimentacoes!$E:$E,$C1405,Movimentacoes!$B:$B,"SAIDA_USO")</f>
        <v/>
      </c>
      <c r="I1405" s="13">
        <f>SUMIFS(Movimentacoes!$G:$G,Movimentacoes!$C:$C,$A1405,Movimentacoes!$E:$E,$C1405,Movimentacoes!$B:$B,"SAIDA_DESCARTE")</f>
        <v/>
      </c>
      <c r="J1405" s="13">
        <f>G1405-H1405-I1405</f>
        <v/>
      </c>
      <c r="K1405">
        <f>IF(A1405="","",IF(J1405&lt;=IFERROR(VLOOKUP(A1405,Cadastro_Produtos!$A:$E,5,FALSE),0),"ABAIXO DO MINIMO","OK"))</f>
        <v/>
      </c>
    </row>
    <row r="1406">
      <c r="B1406">
        <f>IFERROR(VLOOKUP(A1406,Cadastro_Produtos!A:B,2,FALSE),"")</f>
        <v/>
      </c>
      <c r="D1406" s="12" t="n"/>
      <c r="E1406" s="13">
        <f>IF(D1406="","",D1406-TODAY())</f>
        <v/>
      </c>
      <c r="F1406">
        <f>IF(D1406="","",IF(E1406&lt;0,"VENCIDO",IF(E1406&lt;=30,"VENCE EM &lt;= 30 DIAS",IF(E1406&lt;=60,"ATENCAO (31-60 DIAS)","OK"))))</f>
        <v/>
      </c>
      <c r="G1406" s="13">
        <f>SUMIFS(Movimentacoes!$G:$G,Movimentacoes!$C:$C,$A1406,Movimentacoes!$E:$E,$C1406,Movimentacoes!$B:$B,"ENTRADA")</f>
        <v/>
      </c>
      <c r="H1406" s="13">
        <f>SUMIFS(Movimentacoes!$G:$G,Movimentacoes!$C:$C,$A1406,Movimentacoes!$E:$E,$C1406,Movimentacoes!$B:$B,"SAIDA_USO")</f>
        <v/>
      </c>
      <c r="I1406" s="13">
        <f>SUMIFS(Movimentacoes!$G:$G,Movimentacoes!$C:$C,$A1406,Movimentacoes!$E:$E,$C1406,Movimentacoes!$B:$B,"SAIDA_DESCARTE")</f>
        <v/>
      </c>
      <c r="J1406" s="13">
        <f>G1406-H1406-I1406</f>
        <v/>
      </c>
      <c r="K1406">
        <f>IF(A1406="","",IF(J1406&lt;=IFERROR(VLOOKUP(A1406,Cadastro_Produtos!$A:$E,5,FALSE),0),"ABAIXO DO MINIMO","OK"))</f>
        <v/>
      </c>
    </row>
    <row r="1407">
      <c r="B1407">
        <f>IFERROR(VLOOKUP(A1407,Cadastro_Produtos!A:B,2,FALSE),"")</f>
        <v/>
      </c>
      <c r="D1407" s="12" t="n"/>
      <c r="E1407" s="13">
        <f>IF(D1407="","",D1407-TODAY())</f>
        <v/>
      </c>
      <c r="F1407">
        <f>IF(D1407="","",IF(E1407&lt;0,"VENCIDO",IF(E1407&lt;=30,"VENCE EM &lt;= 30 DIAS",IF(E1407&lt;=60,"ATENCAO (31-60 DIAS)","OK"))))</f>
        <v/>
      </c>
      <c r="G1407" s="13">
        <f>SUMIFS(Movimentacoes!$G:$G,Movimentacoes!$C:$C,$A1407,Movimentacoes!$E:$E,$C1407,Movimentacoes!$B:$B,"ENTRADA")</f>
        <v/>
      </c>
      <c r="H1407" s="13">
        <f>SUMIFS(Movimentacoes!$G:$G,Movimentacoes!$C:$C,$A1407,Movimentacoes!$E:$E,$C1407,Movimentacoes!$B:$B,"SAIDA_USO")</f>
        <v/>
      </c>
      <c r="I1407" s="13">
        <f>SUMIFS(Movimentacoes!$G:$G,Movimentacoes!$C:$C,$A1407,Movimentacoes!$E:$E,$C1407,Movimentacoes!$B:$B,"SAIDA_DESCARTE")</f>
        <v/>
      </c>
      <c r="J1407" s="13">
        <f>G1407-H1407-I1407</f>
        <v/>
      </c>
      <c r="K1407">
        <f>IF(A1407="","",IF(J1407&lt;=IFERROR(VLOOKUP(A1407,Cadastro_Produtos!$A:$E,5,FALSE),0),"ABAIXO DO MINIMO","OK"))</f>
        <v/>
      </c>
    </row>
    <row r="1408">
      <c r="B1408">
        <f>IFERROR(VLOOKUP(A1408,Cadastro_Produtos!A:B,2,FALSE),"")</f>
        <v/>
      </c>
      <c r="D1408" s="12" t="n"/>
      <c r="E1408" s="13">
        <f>IF(D1408="","",D1408-TODAY())</f>
        <v/>
      </c>
      <c r="F1408">
        <f>IF(D1408="","",IF(E1408&lt;0,"VENCIDO",IF(E1408&lt;=30,"VENCE EM &lt;= 30 DIAS",IF(E1408&lt;=60,"ATENCAO (31-60 DIAS)","OK"))))</f>
        <v/>
      </c>
      <c r="G1408" s="13">
        <f>SUMIFS(Movimentacoes!$G:$G,Movimentacoes!$C:$C,$A1408,Movimentacoes!$E:$E,$C1408,Movimentacoes!$B:$B,"ENTRADA")</f>
        <v/>
      </c>
      <c r="H1408" s="13">
        <f>SUMIFS(Movimentacoes!$G:$G,Movimentacoes!$C:$C,$A1408,Movimentacoes!$E:$E,$C1408,Movimentacoes!$B:$B,"SAIDA_USO")</f>
        <v/>
      </c>
      <c r="I1408" s="13">
        <f>SUMIFS(Movimentacoes!$G:$G,Movimentacoes!$C:$C,$A1408,Movimentacoes!$E:$E,$C1408,Movimentacoes!$B:$B,"SAIDA_DESCARTE")</f>
        <v/>
      </c>
      <c r="J1408" s="13">
        <f>G1408-H1408-I1408</f>
        <v/>
      </c>
      <c r="K1408">
        <f>IF(A1408="","",IF(J1408&lt;=IFERROR(VLOOKUP(A1408,Cadastro_Produtos!$A:$E,5,FALSE),0),"ABAIXO DO MINIMO","OK"))</f>
        <v/>
      </c>
    </row>
    <row r="1409">
      <c r="B1409">
        <f>IFERROR(VLOOKUP(A1409,Cadastro_Produtos!A:B,2,FALSE),"")</f>
        <v/>
      </c>
      <c r="D1409" s="12" t="n"/>
      <c r="E1409" s="13">
        <f>IF(D1409="","",D1409-TODAY())</f>
        <v/>
      </c>
      <c r="F1409">
        <f>IF(D1409="","",IF(E1409&lt;0,"VENCIDO",IF(E1409&lt;=30,"VENCE EM &lt;= 30 DIAS",IF(E1409&lt;=60,"ATENCAO (31-60 DIAS)","OK"))))</f>
        <v/>
      </c>
      <c r="G1409" s="13">
        <f>SUMIFS(Movimentacoes!$G:$G,Movimentacoes!$C:$C,$A1409,Movimentacoes!$E:$E,$C1409,Movimentacoes!$B:$B,"ENTRADA")</f>
        <v/>
      </c>
      <c r="H1409" s="13">
        <f>SUMIFS(Movimentacoes!$G:$G,Movimentacoes!$C:$C,$A1409,Movimentacoes!$E:$E,$C1409,Movimentacoes!$B:$B,"SAIDA_USO")</f>
        <v/>
      </c>
      <c r="I1409" s="13">
        <f>SUMIFS(Movimentacoes!$G:$G,Movimentacoes!$C:$C,$A1409,Movimentacoes!$E:$E,$C1409,Movimentacoes!$B:$B,"SAIDA_DESCARTE")</f>
        <v/>
      </c>
      <c r="J1409" s="13">
        <f>G1409-H1409-I1409</f>
        <v/>
      </c>
      <c r="K1409">
        <f>IF(A1409="","",IF(J1409&lt;=IFERROR(VLOOKUP(A1409,Cadastro_Produtos!$A:$E,5,FALSE),0),"ABAIXO DO MINIMO","OK"))</f>
        <v/>
      </c>
    </row>
    <row r="1410">
      <c r="B1410">
        <f>IFERROR(VLOOKUP(A1410,Cadastro_Produtos!A:B,2,FALSE),"")</f>
        <v/>
      </c>
      <c r="D1410" s="12" t="n"/>
      <c r="E1410" s="13">
        <f>IF(D1410="","",D1410-TODAY())</f>
        <v/>
      </c>
      <c r="F1410">
        <f>IF(D1410="","",IF(E1410&lt;0,"VENCIDO",IF(E1410&lt;=30,"VENCE EM &lt;= 30 DIAS",IF(E1410&lt;=60,"ATENCAO (31-60 DIAS)","OK"))))</f>
        <v/>
      </c>
      <c r="G1410" s="13">
        <f>SUMIFS(Movimentacoes!$G:$G,Movimentacoes!$C:$C,$A1410,Movimentacoes!$E:$E,$C1410,Movimentacoes!$B:$B,"ENTRADA")</f>
        <v/>
      </c>
      <c r="H1410" s="13">
        <f>SUMIFS(Movimentacoes!$G:$G,Movimentacoes!$C:$C,$A1410,Movimentacoes!$E:$E,$C1410,Movimentacoes!$B:$B,"SAIDA_USO")</f>
        <v/>
      </c>
      <c r="I1410" s="13">
        <f>SUMIFS(Movimentacoes!$G:$G,Movimentacoes!$C:$C,$A1410,Movimentacoes!$E:$E,$C1410,Movimentacoes!$B:$B,"SAIDA_DESCARTE")</f>
        <v/>
      </c>
      <c r="J1410" s="13">
        <f>G1410-H1410-I1410</f>
        <v/>
      </c>
      <c r="K1410">
        <f>IF(A1410="","",IF(J1410&lt;=IFERROR(VLOOKUP(A1410,Cadastro_Produtos!$A:$E,5,FALSE),0),"ABAIXO DO MINIMO","OK"))</f>
        <v/>
      </c>
    </row>
    <row r="1411">
      <c r="B1411">
        <f>IFERROR(VLOOKUP(A1411,Cadastro_Produtos!A:B,2,FALSE),"")</f>
        <v/>
      </c>
      <c r="D1411" s="12" t="n"/>
      <c r="E1411" s="13">
        <f>IF(D1411="","",D1411-TODAY())</f>
        <v/>
      </c>
      <c r="F1411">
        <f>IF(D1411="","",IF(E1411&lt;0,"VENCIDO",IF(E1411&lt;=30,"VENCE EM &lt;= 30 DIAS",IF(E1411&lt;=60,"ATENCAO (31-60 DIAS)","OK"))))</f>
        <v/>
      </c>
      <c r="G1411" s="13">
        <f>SUMIFS(Movimentacoes!$G:$G,Movimentacoes!$C:$C,$A1411,Movimentacoes!$E:$E,$C1411,Movimentacoes!$B:$B,"ENTRADA")</f>
        <v/>
      </c>
      <c r="H1411" s="13">
        <f>SUMIFS(Movimentacoes!$G:$G,Movimentacoes!$C:$C,$A1411,Movimentacoes!$E:$E,$C1411,Movimentacoes!$B:$B,"SAIDA_USO")</f>
        <v/>
      </c>
      <c r="I1411" s="13">
        <f>SUMIFS(Movimentacoes!$G:$G,Movimentacoes!$C:$C,$A1411,Movimentacoes!$E:$E,$C1411,Movimentacoes!$B:$B,"SAIDA_DESCARTE")</f>
        <v/>
      </c>
      <c r="J1411" s="13">
        <f>G1411-H1411-I1411</f>
        <v/>
      </c>
      <c r="K1411">
        <f>IF(A1411="","",IF(J1411&lt;=IFERROR(VLOOKUP(A1411,Cadastro_Produtos!$A:$E,5,FALSE),0),"ABAIXO DO MINIMO","OK"))</f>
        <v/>
      </c>
    </row>
    <row r="1412">
      <c r="B1412">
        <f>IFERROR(VLOOKUP(A1412,Cadastro_Produtos!A:B,2,FALSE),"")</f>
        <v/>
      </c>
      <c r="D1412" s="12" t="n"/>
      <c r="E1412" s="13">
        <f>IF(D1412="","",D1412-TODAY())</f>
        <v/>
      </c>
      <c r="F1412">
        <f>IF(D1412="","",IF(E1412&lt;0,"VENCIDO",IF(E1412&lt;=30,"VENCE EM &lt;= 30 DIAS",IF(E1412&lt;=60,"ATENCAO (31-60 DIAS)","OK"))))</f>
        <v/>
      </c>
      <c r="G1412" s="13">
        <f>SUMIFS(Movimentacoes!$G:$G,Movimentacoes!$C:$C,$A1412,Movimentacoes!$E:$E,$C1412,Movimentacoes!$B:$B,"ENTRADA")</f>
        <v/>
      </c>
      <c r="H1412" s="13">
        <f>SUMIFS(Movimentacoes!$G:$G,Movimentacoes!$C:$C,$A1412,Movimentacoes!$E:$E,$C1412,Movimentacoes!$B:$B,"SAIDA_USO")</f>
        <v/>
      </c>
      <c r="I1412" s="13">
        <f>SUMIFS(Movimentacoes!$G:$G,Movimentacoes!$C:$C,$A1412,Movimentacoes!$E:$E,$C1412,Movimentacoes!$B:$B,"SAIDA_DESCARTE")</f>
        <v/>
      </c>
      <c r="J1412" s="13">
        <f>G1412-H1412-I1412</f>
        <v/>
      </c>
      <c r="K1412">
        <f>IF(A1412="","",IF(J1412&lt;=IFERROR(VLOOKUP(A1412,Cadastro_Produtos!$A:$E,5,FALSE),0),"ABAIXO DO MINIMO","OK"))</f>
        <v/>
      </c>
    </row>
    <row r="1413">
      <c r="B1413">
        <f>IFERROR(VLOOKUP(A1413,Cadastro_Produtos!A:B,2,FALSE),"")</f>
        <v/>
      </c>
      <c r="D1413" s="12" t="n"/>
      <c r="E1413" s="13">
        <f>IF(D1413="","",D1413-TODAY())</f>
        <v/>
      </c>
      <c r="F1413">
        <f>IF(D1413="","",IF(E1413&lt;0,"VENCIDO",IF(E1413&lt;=30,"VENCE EM &lt;= 30 DIAS",IF(E1413&lt;=60,"ATENCAO (31-60 DIAS)","OK"))))</f>
        <v/>
      </c>
      <c r="G1413" s="13">
        <f>SUMIFS(Movimentacoes!$G:$G,Movimentacoes!$C:$C,$A1413,Movimentacoes!$E:$E,$C1413,Movimentacoes!$B:$B,"ENTRADA")</f>
        <v/>
      </c>
      <c r="H1413" s="13">
        <f>SUMIFS(Movimentacoes!$G:$G,Movimentacoes!$C:$C,$A1413,Movimentacoes!$E:$E,$C1413,Movimentacoes!$B:$B,"SAIDA_USO")</f>
        <v/>
      </c>
      <c r="I1413" s="13">
        <f>SUMIFS(Movimentacoes!$G:$G,Movimentacoes!$C:$C,$A1413,Movimentacoes!$E:$E,$C1413,Movimentacoes!$B:$B,"SAIDA_DESCARTE")</f>
        <v/>
      </c>
      <c r="J1413" s="13">
        <f>G1413-H1413-I1413</f>
        <v/>
      </c>
      <c r="K1413">
        <f>IF(A1413="","",IF(J1413&lt;=IFERROR(VLOOKUP(A1413,Cadastro_Produtos!$A:$E,5,FALSE),0),"ABAIXO DO MINIMO","OK"))</f>
        <v/>
      </c>
    </row>
    <row r="1414">
      <c r="B1414">
        <f>IFERROR(VLOOKUP(A1414,Cadastro_Produtos!A:B,2,FALSE),"")</f>
        <v/>
      </c>
      <c r="D1414" s="12" t="n"/>
      <c r="E1414" s="13">
        <f>IF(D1414="","",D1414-TODAY())</f>
        <v/>
      </c>
      <c r="F1414">
        <f>IF(D1414="","",IF(E1414&lt;0,"VENCIDO",IF(E1414&lt;=30,"VENCE EM &lt;= 30 DIAS",IF(E1414&lt;=60,"ATENCAO (31-60 DIAS)","OK"))))</f>
        <v/>
      </c>
      <c r="G1414" s="13">
        <f>SUMIFS(Movimentacoes!$G:$G,Movimentacoes!$C:$C,$A1414,Movimentacoes!$E:$E,$C1414,Movimentacoes!$B:$B,"ENTRADA")</f>
        <v/>
      </c>
      <c r="H1414" s="13">
        <f>SUMIFS(Movimentacoes!$G:$G,Movimentacoes!$C:$C,$A1414,Movimentacoes!$E:$E,$C1414,Movimentacoes!$B:$B,"SAIDA_USO")</f>
        <v/>
      </c>
      <c r="I1414" s="13">
        <f>SUMIFS(Movimentacoes!$G:$G,Movimentacoes!$C:$C,$A1414,Movimentacoes!$E:$E,$C1414,Movimentacoes!$B:$B,"SAIDA_DESCARTE")</f>
        <v/>
      </c>
      <c r="J1414" s="13">
        <f>G1414-H1414-I1414</f>
        <v/>
      </c>
      <c r="K1414">
        <f>IF(A1414="","",IF(J1414&lt;=IFERROR(VLOOKUP(A1414,Cadastro_Produtos!$A:$E,5,FALSE),0),"ABAIXO DO MINIMO","OK"))</f>
        <v/>
      </c>
    </row>
    <row r="1415">
      <c r="B1415">
        <f>IFERROR(VLOOKUP(A1415,Cadastro_Produtos!A:B,2,FALSE),"")</f>
        <v/>
      </c>
      <c r="D1415" s="12" t="n"/>
      <c r="E1415" s="13">
        <f>IF(D1415="","",D1415-TODAY())</f>
        <v/>
      </c>
      <c r="F1415">
        <f>IF(D1415="","",IF(E1415&lt;0,"VENCIDO",IF(E1415&lt;=30,"VENCE EM &lt;= 30 DIAS",IF(E1415&lt;=60,"ATENCAO (31-60 DIAS)","OK"))))</f>
        <v/>
      </c>
      <c r="G1415" s="13">
        <f>SUMIFS(Movimentacoes!$G:$G,Movimentacoes!$C:$C,$A1415,Movimentacoes!$E:$E,$C1415,Movimentacoes!$B:$B,"ENTRADA")</f>
        <v/>
      </c>
      <c r="H1415" s="13">
        <f>SUMIFS(Movimentacoes!$G:$G,Movimentacoes!$C:$C,$A1415,Movimentacoes!$E:$E,$C1415,Movimentacoes!$B:$B,"SAIDA_USO")</f>
        <v/>
      </c>
      <c r="I1415" s="13">
        <f>SUMIFS(Movimentacoes!$G:$G,Movimentacoes!$C:$C,$A1415,Movimentacoes!$E:$E,$C1415,Movimentacoes!$B:$B,"SAIDA_DESCARTE")</f>
        <v/>
      </c>
      <c r="J1415" s="13">
        <f>G1415-H1415-I1415</f>
        <v/>
      </c>
      <c r="K1415">
        <f>IF(A1415="","",IF(J1415&lt;=IFERROR(VLOOKUP(A1415,Cadastro_Produtos!$A:$E,5,FALSE),0),"ABAIXO DO MINIMO","OK"))</f>
        <v/>
      </c>
    </row>
    <row r="1416">
      <c r="B1416">
        <f>IFERROR(VLOOKUP(A1416,Cadastro_Produtos!A:B,2,FALSE),"")</f>
        <v/>
      </c>
      <c r="D1416" s="12" t="n"/>
      <c r="E1416" s="13">
        <f>IF(D1416="","",D1416-TODAY())</f>
        <v/>
      </c>
      <c r="F1416">
        <f>IF(D1416="","",IF(E1416&lt;0,"VENCIDO",IF(E1416&lt;=30,"VENCE EM &lt;= 30 DIAS",IF(E1416&lt;=60,"ATENCAO (31-60 DIAS)","OK"))))</f>
        <v/>
      </c>
      <c r="G1416" s="13">
        <f>SUMIFS(Movimentacoes!$G:$G,Movimentacoes!$C:$C,$A1416,Movimentacoes!$E:$E,$C1416,Movimentacoes!$B:$B,"ENTRADA")</f>
        <v/>
      </c>
      <c r="H1416" s="13">
        <f>SUMIFS(Movimentacoes!$G:$G,Movimentacoes!$C:$C,$A1416,Movimentacoes!$E:$E,$C1416,Movimentacoes!$B:$B,"SAIDA_USO")</f>
        <v/>
      </c>
      <c r="I1416" s="13">
        <f>SUMIFS(Movimentacoes!$G:$G,Movimentacoes!$C:$C,$A1416,Movimentacoes!$E:$E,$C1416,Movimentacoes!$B:$B,"SAIDA_DESCARTE")</f>
        <v/>
      </c>
      <c r="J1416" s="13">
        <f>G1416-H1416-I1416</f>
        <v/>
      </c>
      <c r="K1416">
        <f>IF(A1416="","",IF(J1416&lt;=IFERROR(VLOOKUP(A1416,Cadastro_Produtos!$A:$E,5,FALSE),0),"ABAIXO DO MINIMO","OK"))</f>
        <v/>
      </c>
    </row>
    <row r="1417">
      <c r="B1417">
        <f>IFERROR(VLOOKUP(A1417,Cadastro_Produtos!A:B,2,FALSE),"")</f>
        <v/>
      </c>
      <c r="D1417" s="12" t="n"/>
      <c r="E1417" s="13">
        <f>IF(D1417="","",D1417-TODAY())</f>
        <v/>
      </c>
      <c r="F1417">
        <f>IF(D1417="","",IF(E1417&lt;0,"VENCIDO",IF(E1417&lt;=30,"VENCE EM &lt;= 30 DIAS",IF(E1417&lt;=60,"ATENCAO (31-60 DIAS)","OK"))))</f>
        <v/>
      </c>
      <c r="G1417" s="13">
        <f>SUMIFS(Movimentacoes!$G:$G,Movimentacoes!$C:$C,$A1417,Movimentacoes!$E:$E,$C1417,Movimentacoes!$B:$B,"ENTRADA")</f>
        <v/>
      </c>
      <c r="H1417" s="13">
        <f>SUMIFS(Movimentacoes!$G:$G,Movimentacoes!$C:$C,$A1417,Movimentacoes!$E:$E,$C1417,Movimentacoes!$B:$B,"SAIDA_USO")</f>
        <v/>
      </c>
      <c r="I1417" s="13">
        <f>SUMIFS(Movimentacoes!$G:$G,Movimentacoes!$C:$C,$A1417,Movimentacoes!$E:$E,$C1417,Movimentacoes!$B:$B,"SAIDA_DESCARTE")</f>
        <v/>
      </c>
      <c r="J1417" s="13">
        <f>G1417-H1417-I1417</f>
        <v/>
      </c>
      <c r="K1417">
        <f>IF(A1417="","",IF(J1417&lt;=IFERROR(VLOOKUP(A1417,Cadastro_Produtos!$A:$E,5,FALSE),0),"ABAIXO DO MINIMO","OK"))</f>
        <v/>
      </c>
    </row>
    <row r="1418">
      <c r="B1418">
        <f>IFERROR(VLOOKUP(A1418,Cadastro_Produtos!A:B,2,FALSE),"")</f>
        <v/>
      </c>
      <c r="D1418" s="12" t="n"/>
      <c r="E1418" s="13">
        <f>IF(D1418="","",D1418-TODAY())</f>
        <v/>
      </c>
      <c r="F1418">
        <f>IF(D1418="","",IF(E1418&lt;0,"VENCIDO",IF(E1418&lt;=30,"VENCE EM &lt;= 30 DIAS",IF(E1418&lt;=60,"ATENCAO (31-60 DIAS)","OK"))))</f>
        <v/>
      </c>
      <c r="G1418" s="13">
        <f>SUMIFS(Movimentacoes!$G:$G,Movimentacoes!$C:$C,$A1418,Movimentacoes!$E:$E,$C1418,Movimentacoes!$B:$B,"ENTRADA")</f>
        <v/>
      </c>
      <c r="H1418" s="13">
        <f>SUMIFS(Movimentacoes!$G:$G,Movimentacoes!$C:$C,$A1418,Movimentacoes!$E:$E,$C1418,Movimentacoes!$B:$B,"SAIDA_USO")</f>
        <v/>
      </c>
      <c r="I1418" s="13">
        <f>SUMIFS(Movimentacoes!$G:$G,Movimentacoes!$C:$C,$A1418,Movimentacoes!$E:$E,$C1418,Movimentacoes!$B:$B,"SAIDA_DESCARTE")</f>
        <v/>
      </c>
      <c r="J1418" s="13">
        <f>G1418-H1418-I1418</f>
        <v/>
      </c>
      <c r="K1418">
        <f>IF(A1418="","",IF(J1418&lt;=IFERROR(VLOOKUP(A1418,Cadastro_Produtos!$A:$E,5,FALSE),0),"ABAIXO DO MINIMO","OK"))</f>
        <v/>
      </c>
    </row>
    <row r="1419">
      <c r="B1419">
        <f>IFERROR(VLOOKUP(A1419,Cadastro_Produtos!A:B,2,FALSE),"")</f>
        <v/>
      </c>
      <c r="D1419" s="12" t="n"/>
      <c r="E1419" s="13">
        <f>IF(D1419="","",D1419-TODAY())</f>
        <v/>
      </c>
      <c r="F1419">
        <f>IF(D1419="","",IF(E1419&lt;0,"VENCIDO",IF(E1419&lt;=30,"VENCE EM &lt;= 30 DIAS",IF(E1419&lt;=60,"ATENCAO (31-60 DIAS)","OK"))))</f>
        <v/>
      </c>
      <c r="G1419" s="13">
        <f>SUMIFS(Movimentacoes!$G:$G,Movimentacoes!$C:$C,$A1419,Movimentacoes!$E:$E,$C1419,Movimentacoes!$B:$B,"ENTRADA")</f>
        <v/>
      </c>
      <c r="H1419" s="13">
        <f>SUMIFS(Movimentacoes!$G:$G,Movimentacoes!$C:$C,$A1419,Movimentacoes!$E:$E,$C1419,Movimentacoes!$B:$B,"SAIDA_USO")</f>
        <v/>
      </c>
      <c r="I1419" s="13">
        <f>SUMIFS(Movimentacoes!$G:$G,Movimentacoes!$C:$C,$A1419,Movimentacoes!$E:$E,$C1419,Movimentacoes!$B:$B,"SAIDA_DESCARTE")</f>
        <v/>
      </c>
      <c r="J1419" s="13">
        <f>G1419-H1419-I1419</f>
        <v/>
      </c>
      <c r="K1419">
        <f>IF(A1419="","",IF(J1419&lt;=IFERROR(VLOOKUP(A1419,Cadastro_Produtos!$A:$E,5,FALSE),0),"ABAIXO DO MINIMO","OK"))</f>
        <v/>
      </c>
    </row>
    <row r="1420">
      <c r="B1420">
        <f>IFERROR(VLOOKUP(A1420,Cadastro_Produtos!A:B,2,FALSE),"")</f>
        <v/>
      </c>
      <c r="D1420" s="12" t="n"/>
      <c r="E1420" s="13">
        <f>IF(D1420="","",D1420-TODAY())</f>
        <v/>
      </c>
      <c r="F1420">
        <f>IF(D1420="","",IF(E1420&lt;0,"VENCIDO",IF(E1420&lt;=30,"VENCE EM &lt;= 30 DIAS",IF(E1420&lt;=60,"ATENCAO (31-60 DIAS)","OK"))))</f>
        <v/>
      </c>
      <c r="G1420" s="13">
        <f>SUMIFS(Movimentacoes!$G:$G,Movimentacoes!$C:$C,$A1420,Movimentacoes!$E:$E,$C1420,Movimentacoes!$B:$B,"ENTRADA")</f>
        <v/>
      </c>
      <c r="H1420" s="13">
        <f>SUMIFS(Movimentacoes!$G:$G,Movimentacoes!$C:$C,$A1420,Movimentacoes!$E:$E,$C1420,Movimentacoes!$B:$B,"SAIDA_USO")</f>
        <v/>
      </c>
      <c r="I1420" s="13">
        <f>SUMIFS(Movimentacoes!$G:$G,Movimentacoes!$C:$C,$A1420,Movimentacoes!$E:$E,$C1420,Movimentacoes!$B:$B,"SAIDA_DESCARTE")</f>
        <v/>
      </c>
      <c r="J1420" s="13">
        <f>G1420-H1420-I1420</f>
        <v/>
      </c>
      <c r="K1420">
        <f>IF(A1420="","",IF(J1420&lt;=IFERROR(VLOOKUP(A1420,Cadastro_Produtos!$A:$E,5,FALSE),0),"ABAIXO DO MINIMO","OK"))</f>
        <v/>
      </c>
    </row>
    <row r="1421">
      <c r="B1421">
        <f>IFERROR(VLOOKUP(A1421,Cadastro_Produtos!A:B,2,FALSE),"")</f>
        <v/>
      </c>
      <c r="D1421" s="12" t="n"/>
      <c r="E1421" s="13">
        <f>IF(D1421="","",D1421-TODAY())</f>
        <v/>
      </c>
      <c r="F1421">
        <f>IF(D1421="","",IF(E1421&lt;0,"VENCIDO",IF(E1421&lt;=30,"VENCE EM &lt;= 30 DIAS",IF(E1421&lt;=60,"ATENCAO (31-60 DIAS)","OK"))))</f>
        <v/>
      </c>
      <c r="G1421" s="13">
        <f>SUMIFS(Movimentacoes!$G:$G,Movimentacoes!$C:$C,$A1421,Movimentacoes!$E:$E,$C1421,Movimentacoes!$B:$B,"ENTRADA")</f>
        <v/>
      </c>
      <c r="H1421" s="13">
        <f>SUMIFS(Movimentacoes!$G:$G,Movimentacoes!$C:$C,$A1421,Movimentacoes!$E:$E,$C1421,Movimentacoes!$B:$B,"SAIDA_USO")</f>
        <v/>
      </c>
      <c r="I1421" s="13">
        <f>SUMIFS(Movimentacoes!$G:$G,Movimentacoes!$C:$C,$A1421,Movimentacoes!$E:$E,$C1421,Movimentacoes!$B:$B,"SAIDA_DESCARTE")</f>
        <v/>
      </c>
      <c r="J1421" s="13">
        <f>G1421-H1421-I1421</f>
        <v/>
      </c>
      <c r="K1421">
        <f>IF(A1421="","",IF(J1421&lt;=IFERROR(VLOOKUP(A1421,Cadastro_Produtos!$A:$E,5,FALSE),0),"ABAIXO DO MINIMO","OK"))</f>
        <v/>
      </c>
    </row>
    <row r="1422">
      <c r="B1422">
        <f>IFERROR(VLOOKUP(A1422,Cadastro_Produtos!A:B,2,FALSE),"")</f>
        <v/>
      </c>
      <c r="D1422" s="12" t="n"/>
      <c r="E1422" s="13">
        <f>IF(D1422="","",D1422-TODAY())</f>
        <v/>
      </c>
      <c r="F1422">
        <f>IF(D1422="","",IF(E1422&lt;0,"VENCIDO",IF(E1422&lt;=30,"VENCE EM &lt;= 30 DIAS",IF(E1422&lt;=60,"ATENCAO (31-60 DIAS)","OK"))))</f>
        <v/>
      </c>
      <c r="G1422" s="13">
        <f>SUMIFS(Movimentacoes!$G:$G,Movimentacoes!$C:$C,$A1422,Movimentacoes!$E:$E,$C1422,Movimentacoes!$B:$B,"ENTRADA")</f>
        <v/>
      </c>
      <c r="H1422" s="13">
        <f>SUMIFS(Movimentacoes!$G:$G,Movimentacoes!$C:$C,$A1422,Movimentacoes!$E:$E,$C1422,Movimentacoes!$B:$B,"SAIDA_USO")</f>
        <v/>
      </c>
      <c r="I1422" s="13">
        <f>SUMIFS(Movimentacoes!$G:$G,Movimentacoes!$C:$C,$A1422,Movimentacoes!$E:$E,$C1422,Movimentacoes!$B:$B,"SAIDA_DESCARTE")</f>
        <v/>
      </c>
      <c r="J1422" s="13">
        <f>G1422-H1422-I1422</f>
        <v/>
      </c>
      <c r="K1422">
        <f>IF(A1422="","",IF(J1422&lt;=IFERROR(VLOOKUP(A1422,Cadastro_Produtos!$A:$E,5,FALSE),0),"ABAIXO DO MINIMO","OK"))</f>
        <v/>
      </c>
    </row>
    <row r="1423">
      <c r="B1423">
        <f>IFERROR(VLOOKUP(A1423,Cadastro_Produtos!A:B,2,FALSE),"")</f>
        <v/>
      </c>
      <c r="D1423" s="12" t="n"/>
      <c r="E1423" s="13">
        <f>IF(D1423="","",D1423-TODAY())</f>
        <v/>
      </c>
      <c r="F1423">
        <f>IF(D1423="","",IF(E1423&lt;0,"VENCIDO",IF(E1423&lt;=30,"VENCE EM &lt;= 30 DIAS",IF(E1423&lt;=60,"ATENCAO (31-60 DIAS)","OK"))))</f>
        <v/>
      </c>
      <c r="G1423" s="13">
        <f>SUMIFS(Movimentacoes!$G:$G,Movimentacoes!$C:$C,$A1423,Movimentacoes!$E:$E,$C1423,Movimentacoes!$B:$B,"ENTRADA")</f>
        <v/>
      </c>
      <c r="H1423" s="13">
        <f>SUMIFS(Movimentacoes!$G:$G,Movimentacoes!$C:$C,$A1423,Movimentacoes!$E:$E,$C1423,Movimentacoes!$B:$B,"SAIDA_USO")</f>
        <v/>
      </c>
      <c r="I1423" s="13">
        <f>SUMIFS(Movimentacoes!$G:$G,Movimentacoes!$C:$C,$A1423,Movimentacoes!$E:$E,$C1423,Movimentacoes!$B:$B,"SAIDA_DESCARTE")</f>
        <v/>
      </c>
      <c r="J1423" s="13">
        <f>G1423-H1423-I1423</f>
        <v/>
      </c>
      <c r="K1423">
        <f>IF(A1423="","",IF(J1423&lt;=IFERROR(VLOOKUP(A1423,Cadastro_Produtos!$A:$E,5,FALSE),0),"ABAIXO DO MINIMO","OK"))</f>
        <v/>
      </c>
    </row>
    <row r="1424">
      <c r="B1424">
        <f>IFERROR(VLOOKUP(A1424,Cadastro_Produtos!A:B,2,FALSE),"")</f>
        <v/>
      </c>
      <c r="D1424" s="12" t="n"/>
      <c r="E1424" s="13">
        <f>IF(D1424="","",D1424-TODAY())</f>
        <v/>
      </c>
      <c r="F1424">
        <f>IF(D1424="","",IF(E1424&lt;0,"VENCIDO",IF(E1424&lt;=30,"VENCE EM &lt;= 30 DIAS",IF(E1424&lt;=60,"ATENCAO (31-60 DIAS)","OK"))))</f>
        <v/>
      </c>
      <c r="G1424" s="13">
        <f>SUMIFS(Movimentacoes!$G:$G,Movimentacoes!$C:$C,$A1424,Movimentacoes!$E:$E,$C1424,Movimentacoes!$B:$B,"ENTRADA")</f>
        <v/>
      </c>
      <c r="H1424" s="13">
        <f>SUMIFS(Movimentacoes!$G:$G,Movimentacoes!$C:$C,$A1424,Movimentacoes!$E:$E,$C1424,Movimentacoes!$B:$B,"SAIDA_USO")</f>
        <v/>
      </c>
      <c r="I1424" s="13">
        <f>SUMIFS(Movimentacoes!$G:$G,Movimentacoes!$C:$C,$A1424,Movimentacoes!$E:$E,$C1424,Movimentacoes!$B:$B,"SAIDA_DESCARTE")</f>
        <v/>
      </c>
      <c r="J1424" s="13">
        <f>G1424-H1424-I1424</f>
        <v/>
      </c>
      <c r="K1424">
        <f>IF(A1424="","",IF(J1424&lt;=IFERROR(VLOOKUP(A1424,Cadastro_Produtos!$A:$E,5,FALSE),0),"ABAIXO DO MINIMO","OK"))</f>
        <v/>
      </c>
    </row>
    <row r="1425">
      <c r="B1425">
        <f>IFERROR(VLOOKUP(A1425,Cadastro_Produtos!A:B,2,FALSE),"")</f>
        <v/>
      </c>
      <c r="D1425" s="12" t="n"/>
      <c r="E1425" s="13">
        <f>IF(D1425="","",D1425-TODAY())</f>
        <v/>
      </c>
      <c r="F1425">
        <f>IF(D1425="","",IF(E1425&lt;0,"VENCIDO",IF(E1425&lt;=30,"VENCE EM &lt;= 30 DIAS",IF(E1425&lt;=60,"ATENCAO (31-60 DIAS)","OK"))))</f>
        <v/>
      </c>
      <c r="G1425" s="13">
        <f>SUMIFS(Movimentacoes!$G:$G,Movimentacoes!$C:$C,$A1425,Movimentacoes!$E:$E,$C1425,Movimentacoes!$B:$B,"ENTRADA")</f>
        <v/>
      </c>
      <c r="H1425" s="13">
        <f>SUMIFS(Movimentacoes!$G:$G,Movimentacoes!$C:$C,$A1425,Movimentacoes!$E:$E,$C1425,Movimentacoes!$B:$B,"SAIDA_USO")</f>
        <v/>
      </c>
      <c r="I1425" s="13">
        <f>SUMIFS(Movimentacoes!$G:$G,Movimentacoes!$C:$C,$A1425,Movimentacoes!$E:$E,$C1425,Movimentacoes!$B:$B,"SAIDA_DESCARTE")</f>
        <v/>
      </c>
      <c r="J1425" s="13">
        <f>G1425-H1425-I1425</f>
        <v/>
      </c>
      <c r="K1425">
        <f>IF(A1425="","",IF(J1425&lt;=IFERROR(VLOOKUP(A1425,Cadastro_Produtos!$A:$E,5,FALSE),0),"ABAIXO DO MINIMO","OK"))</f>
        <v/>
      </c>
    </row>
    <row r="1426">
      <c r="B1426">
        <f>IFERROR(VLOOKUP(A1426,Cadastro_Produtos!A:B,2,FALSE),"")</f>
        <v/>
      </c>
      <c r="D1426" s="12" t="n"/>
      <c r="E1426" s="13">
        <f>IF(D1426="","",D1426-TODAY())</f>
        <v/>
      </c>
      <c r="F1426">
        <f>IF(D1426="","",IF(E1426&lt;0,"VENCIDO",IF(E1426&lt;=30,"VENCE EM &lt;= 30 DIAS",IF(E1426&lt;=60,"ATENCAO (31-60 DIAS)","OK"))))</f>
        <v/>
      </c>
      <c r="G1426" s="13">
        <f>SUMIFS(Movimentacoes!$G:$G,Movimentacoes!$C:$C,$A1426,Movimentacoes!$E:$E,$C1426,Movimentacoes!$B:$B,"ENTRADA")</f>
        <v/>
      </c>
      <c r="H1426" s="13">
        <f>SUMIFS(Movimentacoes!$G:$G,Movimentacoes!$C:$C,$A1426,Movimentacoes!$E:$E,$C1426,Movimentacoes!$B:$B,"SAIDA_USO")</f>
        <v/>
      </c>
      <c r="I1426" s="13">
        <f>SUMIFS(Movimentacoes!$G:$G,Movimentacoes!$C:$C,$A1426,Movimentacoes!$E:$E,$C1426,Movimentacoes!$B:$B,"SAIDA_DESCARTE")</f>
        <v/>
      </c>
      <c r="J1426" s="13">
        <f>G1426-H1426-I1426</f>
        <v/>
      </c>
      <c r="K1426">
        <f>IF(A1426="","",IF(J1426&lt;=IFERROR(VLOOKUP(A1426,Cadastro_Produtos!$A:$E,5,FALSE),0),"ABAIXO DO MINIMO","OK"))</f>
        <v/>
      </c>
    </row>
    <row r="1427">
      <c r="B1427">
        <f>IFERROR(VLOOKUP(A1427,Cadastro_Produtos!A:B,2,FALSE),"")</f>
        <v/>
      </c>
      <c r="D1427" s="12" t="n"/>
      <c r="E1427" s="13">
        <f>IF(D1427="","",D1427-TODAY())</f>
        <v/>
      </c>
      <c r="F1427">
        <f>IF(D1427="","",IF(E1427&lt;0,"VENCIDO",IF(E1427&lt;=30,"VENCE EM &lt;= 30 DIAS",IF(E1427&lt;=60,"ATENCAO (31-60 DIAS)","OK"))))</f>
        <v/>
      </c>
      <c r="G1427" s="13">
        <f>SUMIFS(Movimentacoes!$G:$G,Movimentacoes!$C:$C,$A1427,Movimentacoes!$E:$E,$C1427,Movimentacoes!$B:$B,"ENTRADA")</f>
        <v/>
      </c>
      <c r="H1427" s="13">
        <f>SUMIFS(Movimentacoes!$G:$G,Movimentacoes!$C:$C,$A1427,Movimentacoes!$E:$E,$C1427,Movimentacoes!$B:$B,"SAIDA_USO")</f>
        <v/>
      </c>
      <c r="I1427" s="13">
        <f>SUMIFS(Movimentacoes!$G:$G,Movimentacoes!$C:$C,$A1427,Movimentacoes!$E:$E,$C1427,Movimentacoes!$B:$B,"SAIDA_DESCARTE")</f>
        <v/>
      </c>
      <c r="J1427" s="13">
        <f>G1427-H1427-I1427</f>
        <v/>
      </c>
      <c r="K1427">
        <f>IF(A1427="","",IF(J1427&lt;=IFERROR(VLOOKUP(A1427,Cadastro_Produtos!$A:$E,5,FALSE),0),"ABAIXO DO MINIMO","OK"))</f>
        <v/>
      </c>
    </row>
    <row r="1428">
      <c r="B1428">
        <f>IFERROR(VLOOKUP(A1428,Cadastro_Produtos!A:B,2,FALSE),"")</f>
        <v/>
      </c>
      <c r="D1428" s="12" t="n"/>
      <c r="E1428" s="13">
        <f>IF(D1428="","",D1428-TODAY())</f>
        <v/>
      </c>
      <c r="F1428">
        <f>IF(D1428="","",IF(E1428&lt;0,"VENCIDO",IF(E1428&lt;=30,"VENCE EM &lt;= 30 DIAS",IF(E1428&lt;=60,"ATENCAO (31-60 DIAS)","OK"))))</f>
        <v/>
      </c>
      <c r="G1428" s="13">
        <f>SUMIFS(Movimentacoes!$G:$G,Movimentacoes!$C:$C,$A1428,Movimentacoes!$E:$E,$C1428,Movimentacoes!$B:$B,"ENTRADA")</f>
        <v/>
      </c>
      <c r="H1428" s="13">
        <f>SUMIFS(Movimentacoes!$G:$G,Movimentacoes!$C:$C,$A1428,Movimentacoes!$E:$E,$C1428,Movimentacoes!$B:$B,"SAIDA_USO")</f>
        <v/>
      </c>
      <c r="I1428" s="13">
        <f>SUMIFS(Movimentacoes!$G:$G,Movimentacoes!$C:$C,$A1428,Movimentacoes!$E:$E,$C1428,Movimentacoes!$B:$B,"SAIDA_DESCARTE")</f>
        <v/>
      </c>
      <c r="J1428" s="13">
        <f>G1428-H1428-I1428</f>
        <v/>
      </c>
      <c r="K1428">
        <f>IF(A1428="","",IF(J1428&lt;=IFERROR(VLOOKUP(A1428,Cadastro_Produtos!$A:$E,5,FALSE),0),"ABAIXO DO MINIMO","OK"))</f>
        <v/>
      </c>
    </row>
    <row r="1429">
      <c r="B1429">
        <f>IFERROR(VLOOKUP(A1429,Cadastro_Produtos!A:B,2,FALSE),"")</f>
        <v/>
      </c>
      <c r="D1429" s="12" t="n"/>
      <c r="E1429" s="13">
        <f>IF(D1429="","",D1429-TODAY())</f>
        <v/>
      </c>
      <c r="F1429">
        <f>IF(D1429="","",IF(E1429&lt;0,"VENCIDO",IF(E1429&lt;=30,"VENCE EM &lt;= 30 DIAS",IF(E1429&lt;=60,"ATENCAO (31-60 DIAS)","OK"))))</f>
        <v/>
      </c>
      <c r="G1429" s="13">
        <f>SUMIFS(Movimentacoes!$G:$G,Movimentacoes!$C:$C,$A1429,Movimentacoes!$E:$E,$C1429,Movimentacoes!$B:$B,"ENTRADA")</f>
        <v/>
      </c>
      <c r="H1429" s="13">
        <f>SUMIFS(Movimentacoes!$G:$G,Movimentacoes!$C:$C,$A1429,Movimentacoes!$E:$E,$C1429,Movimentacoes!$B:$B,"SAIDA_USO")</f>
        <v/>
      </c>
      <c r="I1429" s="13">
        <f>SUMIFS(Movimentacoes!$G:$G,Movimentacoes!$C:$C,$A1429,Movimentacoes!$E:$E,$C1429,Movimentacoes!$B:$B,"SAIDA_DESCARTE")</f>
        <v/>
      </c>
      <c r="J1429" s="13">
        <f>G1429-H1429-I1429</f>
        <v/>
      </c>
      <c r="K1429">
        <f>IF(A1429="","",IF(J1429&lt;=IFERROR(VLOOKUP(A1429,Cadastro_Produtos!$A:$E,5,FALSE),0),"ABAIXO DO MINIMO","OK"))</f>
        <v/>
      </c>
    </row>
    <row r="1430">
      <c r="B1430">
        <f>IFERROR(VLOOKUP(A1430,Cadastro_Produtos!A:B,2,FALSE),"")</f>
        <v/>
      </c>
      <c r="D1430" s="12" t="n"/>
      <c r="E1430" s="13">
        <f>IF(D1430="","",D1430-TODAY())</f>
        <v/>
      </c>
      <c r="F1430">
        <f>IF(D1430="","",IF(E1430&lt;0,"VENCIDO",IF(E1430&lt;=30,"VENCE EM &lt;= 30 DIAS",IF(E1430&lt;=60,"ATENCAO (31-60 DIAS)","OK"))))</f>
        <v/>
      </c>
      <c r="G1430" s="13">
        <f>SUMIFS(Movimentacoes!$G:$G,Movimentacoes!$C:$C,$A1430,Movimentacoes!$E:$E,$C1430,Movimentacoes!$B:$B,"ENTRADA")</f>
        <v/>
      </c>
      <c r="H1430" s="13">
        <f>SUMIFS(Movimentacoes!$G:$G,Movimentacoes!$C:$C,$A1430,Movimentacoes!$E:$E,$C1430,Movimentacoes!$B:$B,"SAIDA_USO")</f>
        <v/>
      </c>
      <c r="I1430" s="13">
        <f>SUMIFS(Movimentacoes!$G:$G,Movimentacoes!$C:$C,$A1430,Movimentacoes!$E:$E,$C1430,Movimentacoes!$B:$B,"SAIDA_DESCARTE")</f>
        <v/>
      </c>
      <c r="J1430" s="13">
        <f>G1430-H1430-I1430</f>
        <v/>
      </c>
      <c r="K1430">
        <f>IF(A1430="","",IF(J1430&lt;=IFERROR(VLOOKUP(A1430,Cadastro_Produtos!$A:$E,5,FALSE),0),"ABAIXO DO MINIMO","OK"))</f>
        <v/>
      </c>
    </row>
    <row r="1431">
      <c r="B1431">
        <f>IFERROR(VLOOKUP(A1431,Cadastro_Produtos!A:B,2,FALSE),"")</f>
        <v/>
      </c>
      <c r="D1431" s="12" t="n"/>
      <c r="E1431" s="13">
        <f>IF(D1431="","",D1431-TODAY())</f>
        <v/>
      </c>
      <c r="F1431">
        <f>IF(D1431="","",IF(E1431&lt;0,"VENCIDO",IF(E1431&lt;=30,"VENCE EM &lt;= 30 DIAS",IF(E1431&lt;=60,"ATENCAO (31-60 DIAS)","OK"))))</f>
        <v/>
      </c>
      <c r="G1431" s="13">
        <f>SUMIFS(Movimentacoes!$G:$G,Movimentacoes!$C:$C,$A1431,Movimentacoes!$E:$E,$C1431,Movimentacoes!$B:$B,"ENTRADA")</f>
        <v/>
      </c>
      <c r="H1431" s="13">
        <f>SUMIFS(Movimentacoes!$G:$G,Movimentacoes!$C:$C,$A1431,Movimentacoes!$E:$E,$C1431,Movimentacoes!$B:$B,"SAIDA_USO")</f>
        <v/>
      </c>
      <c r="I1431" s="13">
        <f>SUMIFS(Movimentacoes!$G:$G,Movimentacoes!$C:$C,$A1431,Movimentacoes!$E:$E,$C1431,Movimentacoes!$B:$B,"SAIDA_DESCARTE")</f>
        <v/>
      </c>
      <c r="J1431" s="13">
        <f>G1431-H1431-I1431</f>
        <v/>
      </c>
      <c r="K1431">
        <f>IF(A1431="","",IF(J1431&lt;=IFERROR(VLOOKUP(A1431,Cadastro_Produtos!$A:$E,5,FALSE),0),"ABAIXO DO MINIMO","OK"))</f>
        <v/>
      </c>
    </row>
    <row r="1432">
      <c r="B1432">
        <f>IFERROR(VLOOKUP(A1432,Cadastro_Produtos!A:B,2,FALSE),"")</f>
        <v/>
      </c>
      <c r="D1432" s="12" t="n"/>
      <c r="E1432" s="13">
        <f>IF(D1432="","",D1432-TODAY())</f>
        <v/>
      </c>
      <c r="F1432">
        <f>IF(D1432="","",IF(E1432&lt;0,"VENCIDO",IF(E1432&lt;=30,"VENCE EM &lt;= 30 DIAS",IF(E1432&lt;=60,"ATENCAO (31-60 DIAS)","OK"))))</f>
        <v/>
      </c>
      <c r="G1432" s="13">
        <f>SUMIFS(Movimentacoes!$G:$G,Movimentacoes!$C:$C,$A1432,Movimentacoes!$E:$E,$C1432,Movimentacoes!$B:$B,"ENTRADA")</f>
        <v/>
      </c>
      <c r="H1432" s="13">
        <f>SUMIFS(Movimentacoes!$G:$G,Movimentacoes!$C:$C,$A1432,Movimentacoes!$E:$E,$C1432,Movimentacoes!$B:$B,"SAIDA_USO")</f>
        <v/>
      </c>
      <c r="I1432" s="13">
        <f>SUMIFS(Movimentacoes!$G:$G,Movimentacoes!$C:$C,$A1432,Movimentacoes!$E:$E,$C1432,Movimentacoes!$B:$B,"SAIDA_DESCARTE")</f>
        <v/>
      </c>
      <c r="J1432" s="13">
        <f>G1432-H1432-I1432</f>
        <v/>
      </c>
      <c r="K1432">
        <f>IF(A1432="","",IF(J1432&lt;=IFERROR(VLOOKUP(A1432,Cadastro_Produtos!$A:$E,5,FALSE),0),"ABAIXO DO MINIMO","OK"))</f>
        <v/>
      </c>
    </row>
    <row r="1433">
      <c r="B1433">
        <f>IFERROR(VLOOKUP(A1433,Cadastro_Produtos!A:B,2,FALSE),"")</f>
        <v/>
      </c>
      <c r="D1433" s="12" t="n"/>
      <c r="E1433" s="13">
        <f>IF(D1433="","",D1433-TODAY())</f>
        <v/>
      </c>
      <c r="F1433">
        <f>IF(D1433="","",IF(E1433&lt;0,"VENCIDO",IF(E1433&lt;=30,"VENCE EM &lt;= 30 DIAS",IF(E1433&lt;=60,"ATENCAO (31-60 DIAS)","OK"))))</f>
        <v/>
      </c>
      <c r="G1433" s="13">
        <f>SUMIFS(Movimentacoes!$G:$G,Movimentacoes!$C:$C,$A1433,Movimentacoes!$E:$E,$C1433,Movimentacoes!$B:$B,"ENTRADA")</f>
        <v/>
      </c>
      <c r="H1433" s="13">
        <f>SUMIFS(Movimentacoes!$G:$G,Movimentacoes!$C:$C,$A1433,Movimentacoes!$E:$E,$C1433,Movimentacoes!$B:$B,"SAIDA_USO")</f>
        <v/>
      </c>
      <c r="I1433" s="13">
        <f>SUMIFS(Movimentacoes!$G:$G,Movimentacoes!$C:$C,$A1433,Movimentacoes!$E:$E,$C1433,Movimentacoes!$B:$B,"SAIDA_DESCARTE")</f>
        <v/>
      </c>
      <c r="J1433" s="13">
        <f>G1433-H1433-I1433</f>
        <v/>
      </c>
      <c r="K1433">
        <f>IF(A1433="","",IF(J1433&lt;=IFERROR(VLOOKUP(A1433,Cadastro_Produtos!$A:$E,5,FALSE),0),"ABAIXO DO MINIMO","OK"))</f>
        <v/>
      </c>
    </row>
    <row r="1434">
      <c r="B1434">
        <f>IFERROR(VLOOKUP(A1434,Cadastro_Produtos!A:B,2,FALSE),"")</f>
        <v/>
      </c>
      <c r="D1434" s="12" t="n"/>
      <c r="E1434" s="13">
        <f>IF(D1434="","",D1434-TODAY())</f>
        <v/>
      </c>
      <c r="F1434">
        <f>IF(D1434="","",IF(E1434&lt;0,"VENCIDO",IF(E1434&lt;=30,"VENCE EM &lt;= 30 DIAS",IF(E1434&lt;=60,"ATENCAO (31-60 DIAS)","OK"))))</f>
        <v/>
      </c>
      <c r="G1434" s="13">
        <f>SUMIFS(Movimentacoes!$G:$G,Movimentacoes!$C:$C,$A1434,Movimentacoes!$E:$E,$C1434,Movimentacoes!$B:$B,"ENTRADA")</f>
        <v/>
      </c>
      <c r="H1434" s="13">
        <f>SUMIFS(Movimentacoes!$G:$G,Movimentacoes!$C:$C,$A1434,Movimentacoes!$E:$E,$C1434,Movimentacoes!$B:$B,"SAIDA_USO")</f>
        <v/>
      </c>
      <c r="I1434" s="13">
        <f>SUMIFS(Movimentacoes!$G:$G,Movimentacoes!$C:$C,$A1434,Movimentacoes!$E:$E,$C1434,Movimentacoes!$B:$B,"SAIDA_DESCARTE")</f>
        <v/>
      </c>
      <c r="J1434" s="13">
        <f>G1434-H1434-I1434</f>
        <v/>
      </c>
      <c r="K1434">
        <f>IF(A1434="","",IF(J1434&lt;=IFERROR(VLOOKUP(A1434,Cadastro_Produtos!$A:$E,5,FALSE),0),"ABAIXO DO MINIMO","OK"))</f>
        <v/>
      </c>
    </row>
    <row r="1435">
      <c r="B1435">
        <f>IFERROR(VLOOKUP(A1435,Cadastro_Produtos!A:B,2,FALSE),"")</f>
        <v/>
      </c>
      <c r="D1435" s="12" t="n"/>
      <c r="E1435" s="13">
        <f>IF(D1435="","",D1435-TODAY())</f>
        <v/>
      </c>
      <c r="F1435">
        <f>IF(D1435="","",IF(E1435&lt;0,"VENCIDO",IF(E1435&lt;=30,"VENCE EM &lt;= 30 DIAS",IF(E1435&lt;=60,"ATENCAO (31-60 DIAS)","OK"))))</f>
        <v/>
      </c>
      <c r="G1435" s="13">
        <f>SUMIFS(Movimentacoes!$G:$G,Movimentacoes!$C:$C,$A1435,Movimentacoes!$E:$E,$C1435,Movimentacoes!$B:$B,"ENTRADA")</f>
        <v/>
      </c>
      <c r="H1435" s="13">
        <f>SUMIFS(Movimentacoes!$G:$G,Movimentacoes!$C:$C,$A1435,Movimentacoes!$E:$E,$C1435,Movimentacoes!$B:$B,"SAIDA_USO")</f>
        <v/>
      </c>
      <c r="I1435" s="13">
        <f>SUMIFS(Movimentacoes!$G:$G,Movimentacoes!$C:$C,$A1435,Movimentacoes!$E:$E,$C1435,Movimentacoes!$B:$B,"SAIDA_DESCARTE")</f>
        <v/>
      </c>
      <c r="J1435" s="13">
        <f>G1435-H1435-I1435</f>
        <v/>
      </c>
      <c r="K1435">
        <f>IF(A1435="","",IF(J1435&lt;=IFERROR(VLOOKUP(A1435,Cadastro_Produtos!$A:$E,5,FALSE),0),"ABAIXO DO MINIMO","OK"))</f>
        <v/>
      </c>
    </row>
    <row r="1436">
      <c r="B1436">
        <f>IFERROR(VLOOKUP(A1436,Cadastro_Produtos!A:B,2,FALSE),"")</f>
        <v/>
      </c>
      <c r="D1436" s="12" t="n"/>
      <c r="E1436" s="13">
        <f>IF(D1436="","",D1436-TODAY())</f>
        <v/>
      </c>
      <c r="F1436">
        <f>IF(D1436="","",IF(E1436&lt;0,"VENCIDO",IF(E1436&lt;=30,"VENCE EM &lt;= 30 DIAS",IF(E1436&lt;=60,"ATENCAO (31-60 DIAS)","OK"))))</f>
        <v/>
      </c>
      <c r="G1436" s="13">
        <f>SUMIFS(Movimentacoes!$G:$G,Movimentacoes!$C:$C,$A1436,Movimentacoes!$E:$E,$C1436,Movimentacoes!$B:$B,"ENTRADA")</f>
        <v/>
      </c>
      <c r="H1436" s="13">
        <f>SUMIFS(Movimentacoes!$G:$G,Movimentacoes!$C:$C,$A1436,Movimentacoes!$E:$E,$C1436,Movimentacoes!$B:$B,"SAIDA_USO")</f>
        <v/>
      </c>
      <c r="I1436" s="13">
        <f>SUMIFS(Movimentacoes!$G:$G,Movimentacoes!$C:$C,$A1436,Movimentacoes!$E:$E,$C1436,Movimentacoes!$B:$B,"SAIDA_DESCARTE")</f>
        <v/>
      </c>
      <c r="J1436" s="13">
        <f>G1436-H1436-I1436</f>
        <v/>
      </c>
      <c r="K1436">
        <f>IF(A1436="","",IF(J1436&lt;=IFERROR(VLOOKUP(A1436,Cadastro_Produtos!$A:$E,5,FALSE),0),"ABAIXO DO MINIMO","OK"))</f>
        <v/>
      </c>
    </row>
    <row r="1437">
      <c r="B1437">
        <f>IFERROR(VLOOKUP(A1437,Cadastro_Produtos!A:B,2,FALSE),"")</f>
        <v/>
      </c>
      <c r="D1437" s="12" t="n"/>
      <c r="E1437" s="13">
        <f>IF(D1437="","",D1437-TODAY())</f>
        <v/>
      </c>
      <c r="F1437">
        <f>IF(D1437="","",IF(E1437&lt;0,"VENCIDO",IF(E1437&lt;=30,"VENCE EM &lt;= 30 DIAS",IF(E1437&lt;=60,"ATENCAO (31-60 DIAS)","OK"))))</f>
        <v/>
      </c>
      <c r="G1437" s="13">
        <f>SUMIFS(Movimentacoes!$G:$G,Movimentacoes!$C:$C,$A1437,Movimentacoes!$E:$E,$C1437,Movimentacoes!$B:$B,"ENTRADA")</f>
        <v/>
      </c>
      <c r="H1437" s="13">
        <f>SUMIFS(Movimentacoes!$G:$G,Movimentacoes!$C:$C,$A1437,Movimentacoes!$E:$E,$C1437,Movimentacoes!$B:$B,"SAIDA_USO")</f>
        <v/>
      </c>
      <c r="I1437" s="13">
        <f>SUMIFS(Movimentacoes!$G:$G,Movimentacoes!$C:$C,$A1437,Movimentacoes!$E:$E,$C1437,Movimentacoes!$B:$B,"SAIDA_DESCARTE")</f>
        <v/>
      </c>
      <c r="J1437" s="13">
        <f>G1437-H1437-I1437</f>
        <v/>
      </c>
      <c r="K1437">
        <f>IF(A1437="","",IF(J1437&lt;=IFERROR(VLOOKUP(A1437,Cadastro_Produtos!$A:$E,5,FALSE),0),"ABAIXO DO MINIMO","OK"))</f>
        <v/>
      </c>
    </row>
    <row r="1438">
      <c r="B1438">
        <f>IFERROR(VLOOKUP(A1438,Cadastro_Produtos!A:B,2,FALSE),"")</f>
        <v/>
      </c>
      <c r="D1438" s="12" t="n"/>
      <c r="E1438" s="13">
        <f>IF(D1438="","",D1438-TODAY())</f>
        <v/>
      </c>
      <c r="F1438">
        <f>IF(D1438="","",IF(E1438&lt;0,"VENCIDO",IF(E1438&lt;=30,"VENCE EM &lt;= 30 DIAS",IF(E1438&lt;=60,"ATENCAO (31-60 DIAS)","OK"))))</f>
        <v/>
      </c>
      <c r="G1438" s="13">
        <f>SUMIFS(Movimentacoes!$G:$G,Movimentacoes!$C:$C,$A1438,Movimentacoes!$E:$E,$C1438,Movimentacoes!$B:$B,"ENTRADA")</f>
        <v/>
      </c>
      <c r="H1438" s="13">
        <f>SUMIFS(Movimentacoes!$G:$G,Movimentacoes!$C:$C,$A1438,Movimentacoes!$E:$E,$C1438,Movimentacoes!$B:$B,"SAIDA_USO")</f>
        <v/>
      </c>
      <c r="I1438" s="13">
        <f>SUMIFS(Movimentacoes!$G:$G,Movimentacoes!$C:$C,$A1438,Movimentacoes!$E:$E,$C1438,Movimentacoes!$B:$B,"SAIDA_DESCARTE")</f>
        <v/>
      </c>
      <c r="J1438" s="13">
        <f>G1438-H1438-I1438</f>
        <v/>
      </c>
      <c r="K1438">
        <f>IF(A1438="","",IF(J1438&lt;=IFERROR(VLOOKUP(A1438,Cadastro_Produtos!$A:$E,5,FALSE),0),"ABAIXO DO MINIMO","OK"))</f>
        <v/>
      </c>
    </row>
    <row r="1439">
      <c r="B1439">
        <f>IFERROR(VLOOKUP(A1439,Cadastro_Produtos!A:B,2,FALSE),"")</f>
        <v/>
      </c>
      <c r="D1439" s="12" t="n"/>
      <c r="E1439" s="13">
        <f>IF(D1439="","",D1439-TODAY())</f>
        <v/>
      </c>
      <c r="F1439">
        <f>IF(D1439="","",IF(E1439&lt;0,"VENCIDO",IF(E1439&lt;=30,"VENCE EM &lt;= 30 DIAS",IF(E1439&lt;=60,"ATENCAO (31-60 DIAS)","OK"))))</f>
        <v/>
      </c>
      <c r="G1439" s="13">
        <f>SUMIFS(Movimentacoes!$G:$G,Movimentacoes!$C:$C,$A1439,Movimentacoes!$E:$E,$C1439,Movimentacoes!$B:$B,"ENTRADA")</f>
        <v/>
      </c>
      <c r="H1439" s="13">
        <f>SUMIFS(Movimentacoes!$G:$G,Movimentacoes!$C:$C,$A1439,Movimentacoes!$E:$E,$C1439,Movimentacoes!$B:$B,"SAIDA_USO")</f>
        <v/>
      </c>
      <c r="I1439" s="13">
        <f>SUMIFS(Movimentacoes!$G:$G,Movimentacoes!$C:$C,$A1439,Movimentacoes!$E:$E,$C1439,Movimentacoes!$B:$B,"SAIDA_DESCARTE")</f>
        <v/>
      </c>
      <c r="J1439" s="13">
        <f>G1439-H1439-I1439</f>
        <v/>
      </c>
      <c r="K1439">
        <f>IF(A1439="","",IF(J1439&lt;=IFERROR(VLOOKUP(A1439,Cadastro_Produtos!$A:$E,5,FALSE),0),"ABAIXO DO MINIMO","OK"))</f>
        <v/>
      </c>
    </row>
    <row r="1440">
      <c r="B1440">
        <f>IFERROR(VLOOKUP(A1440,Cadastro_Produtos!A:B,2,FALSE),"")</f>
        <v/>
      </c>
      <c r="D1440" s="12" t="n"/>
      <c r="E1440" s="13">
        <f>IF(D1440="","",D1440-TODAY())</f>
        <v/>
      </c>
      <c r="F1440">
        <f>IF(D1440="","",IF(E1440&lt;0,"VENCIDO",IF(E1440&lt;=30,"VENCE EM &lt;= 30 DIAS",IF(E1440&lt;=60,"ATENCAO (31-60 DIAS)","OK"))))</f>
        <v/>
      </c>
      <c r="G1440" s="13">
        <f>SUMIFS(Movimentacoes!$G:$G,Movimentacoes!$C:$C,$A1440,Movimentacoes!$E:$E,$C1440,Movimentacoes!$B:$B,"ENTRADA")</f>
        <v/>
      </c>
      <c r="H1440" s="13">
        <f>SUMIFS(Movimentacoes!$G:$G,Movimentacoes!$C:$C,$A1440,Movimentacoes!$E:$E,$C1440,Movimentacoes!$B:$B,"SAIDA_USO")</f>
        <v/>
      </c>
      <c r="I1440" s="13">
        <f>SUMIFS(Movimentacoes!$G:$G,Movimentacoes!$C:$C,$A1440,Movimentacoes!$E:$E,$C1440,Movimentacoes!$B:$B,"SAIDA_DESCARTE")</f>
        <v/>
      </c>
      <c r="J1440" s="13">
        <f>G1440-H1440-I1440</f>
        <v/>
      </c>
      <c r="K1440">
        <f>IF(A1440="","",IF(J1440&lt;=IFERROR(VLOOKUP(A1440,Cadastro_Produtos!$A:$E,5,FALSE),0),"ABAIXO DO MINIMO","OK"))</f>
        <v/>
      </c>
    </row>
    <row r="1441">
      <c r="B1441">
        <f>IFERROR(VLOOKUP(A1441,Cadastro_Produtos!A:B,2,FALSE),"")</f>
        <v/>
      </c>
      <c r="D1441" s="12" t="n"/>
      <c r="E1441" s="13">
        <f>IF(D1441="","",D1441-TODAY())</f>
        <v/>
      </c>
      <c r="F1441">
        <f>IF(D1441="","",IF(E1441&lt;0,"VENCIDO",IF(E1441&lt;=30,"VENCE EM &lt;= 30 DIAS",IF(E1441&lt;=60,"ATENCAO (31-60 DIAS)","OK"))))</f>
        <v/>
      </c>
      <c r="G1441" s="13">
        <f>SUMIFS(Movimentacoes!$G:$G,Movimentacoes!$C:$C,$A1441,Movimentacoes!$E:$E,$C1441,Movimentacoes!$B:$B,"ENTRADA")</f>
        <v/>
      </c>
      <c r="H1441" s="13">
        <f>SUMIFS(Movimentacoes!$G:$G,Movimentacoes!$C:$C,$A1441,Movimentacoes!$E:$E,$C1441,Movimentacoes!$B:$B,"SAIDA_USO")</f>
        <v/>
      </c>
      <c r="I1441" s="13">
        <f>SUMIFS(Movimentacoes!$G:$G,Movimentacoes!$C:$C,$A1441,Movimentacoes!$E:$E,$C1441,Movimentacoes!$B:$B,"SAIDA_DESCARTE")</f>
        <v/>
      </c>
      <c r="J1441" s="13">
        <f>G1441-H1441-I1441</f>
        <v/>
      </c>
      <c r="K1441">
        <f>IF(A1441="","",IF(J1441&lt;=IFERROR(VLOOKUP(A1441,Cadastro_Produtos!$A:$E,5,FALSE),0),"ABAIXO DO MINIMO","OK"))</f>
        <v/>
      </c>
    </row>
    <row r="1442">
      <c r="B1442">
        <f>IFERROR(VLOOKUP(A1442,Cadastro_Produtos!A:B,2,FALSE),"")</f>
        <v/>
      </c>
      <c r="D1442" s="12" t="n"/>
      <c r="E1442" s="13">
        <f>IF(D1442="","",D1442-TODAY())</f>
        <v/>
      </c>
      <c r="F1442">
        <f>IF(D1442="","",IF(E1442&lt;0,"VENCIDO",IF(E1442&lt;=30,"VENCE EM &lt;= 30 DIAS",IF(E1442&lt;=60,"ATENCAO (31-60 DIAS)","OK"))))</f>
        <v/>
      </c>
      <c r="G1442" s="13">
        <f>SUMIFS(Movimentacoes!$G:$G,Movimentacoes!$C:$C,$A1442,Movimentacoes!$E:$E,$C1442,Movimentacoes!$B:$B,"ENTRADA")</f>
        <v/>
      </c>
      <c r="H1442" s="13">
        <f>SUMIFS(Movimentacoes!$G:$G,Movimentacoes!$C:$C,$A1442,Movimentacoes!$E:$E,$C1442,Movimentacoes!$B:$B,"SAIDA_USO")</f>
        <v/>
      </c>
      <c r="I1442" s="13">
        <f>SUMIFS(Movimentacoes!$G:$G,Movimentacoes!$C:$C,$A1442,Movimentacoes!$E:$E,$C1442,Movimentacoes!$B:$B,"SAIDA_DESCARTE")</f>
        <v/>
      </c>
      <c r="J1442" s="13">
        <f>G1442-H1442-I1442</f>
        <v/>
      </c>
      <c r="K1442">
        <f>IF(A1442="","",IF(J1442&lt;=IFERROR(VLOOKUP(A1442,Cadastro_Produtos!$A:$E,5,FALSE),0),"ABAIXO DO MINIMO","OK"))</f>
        <v/>
      </c>
    </row>
    <row r="1443">
      <c r="B1443">
        <f>IFERROR(VLOOKUP(A1443,Cadastro_Produtos!A:B,2,FALSE),"")</f>
        <v/>
      </c>
      <c r="D1443" s="12" t="n"/>
      <c r="E1443" s="13">
        <f>IF(D1443="","",D1443-TODAY())</f>
        <v/>
      </c>
      <c r="F1443">
        <f>IF(D1443="","",IF(E1443&lt;0,"VENCIDO",IF(E1443&lt;=30,"VENCE EM &lt;= 30 DIAS",IF(E1443&lt;=60,"ATENCAO (31-60 DIAS)","OK"))))</f>
        <v/>
      </c>
      <c r="G1443" s="13">
        <f>SUMIFS(Movimentacoes!$G:$G,Movimentacoes!$C:$C,$A1443,Movimentacoes!$E:$E,$C1443,Movimentacoes!$B:$B,"ENTRADA")</f>
        <v/>
      </c>
      <c r="H1443" s="13">
        <f>SUMIFS(Movimentacoes!$G:$G,Movimentacoes!$C:$C,$A1443,Movimentacoes!$E:$E,$C1443,Movimentacoes!$B:$B,"SAIDA_USO")</f>
        <v/>
      </c>
      <c r="I1443" s="13">
        <f>SUMIFS(Movimentacoes!$G:$G,Movimentacoes!$C:$C,$A1443,Movimentacoes!$E:$E,$C1443,Movimentacoes!$B:$B,"SAIDA_DESCARTE")</f>
        <v/>
      </c>
      <c r="J1443" s="13">
        <f>G1443-H1443-I1443</f>
        <v/>
      </c>
      <c r="K1443">
        <f>IF(A1443="","",IF(J1443&lt;=IFERROR(VLOOKUP(A1443,Cadastro_Produtos!$A:$E,5,FALSE),0),"ABAIXO DO MINIMO","OK"))</f>
        <v/>
      </c>
    </row>
    <row r="1444">
      <c r="B1444">
        <f>IFERROR(VLOOKUP(A1444,Cadastro_Produtos!A:B,2,FALSE),"")</f>
        <v/>
      </c>
      <c r="D1444" s="12" t="n"/>
      <c r="E1444" s="13">
        <f>IF(D1444="","",D1444-TODAY())</f>
        <v/>
      </c>
      <c r="F1444">
        <f>IF(D1444="","",IF(E1444&lt;0,"VENCIDO",IF(E1444&lt;=30,"VENCE EM &lt;= 30 DIAS",IF(E1444&lt;=60,"ATENCAO (31-60 DIAS)","OK"))))</f>
        <v/>
      </c>
      <c r="G1444" s="13">
        <f>SUMIFS(Movimentacoes!$G:$G,Movimentacoes!$C:$C,$A1444,Movimentacoes!$E:$E,$C1444,Movimentacoes!$B:$B,"ENTRADA")</f>
        <v/>
      </c>
      <c r="H1444" s="13">
        <f>SUMIFS(Movimentacoes!$G:$G,Movimentacoes!$C:$C,$A1444,Movimentacoes!$E:$E,$C1444,Movimentacoes!$B:$B,"SAIDA_USO")</f>
        <v/>
      </c>
      <c r="I1444" s="13">
        <f>SUMIFS(Movimentacoes!$G:$G,Movimentacoes!$C:$C,$A1444,Movimentacoes!$E:$E,$C1444,Movimentacoes!$B:$B,"SAIDA_DESCARTE")</f>
        <v/>
      </c>
      <c r="J1444" s="13">
        <f>G1444-H1444-I1444</f>
        <v/>
      </c>
      <c r="K1444">
        <f>IF(A1444="","",IF(J1444&lt;=IFERROR(VLOOKUP(A1444,Cadastro_Produtos!$A:$E,5,FALSE),0),"ABAIXO DO MINIMO","OK"))</f>
        <v/>
      </c>
    </row>
    <row r="1445">
      <c r="B1445">
        <f>IFERROR(VLOOKUP(A1445,Cadastro_Produtos!A:B,2,FALSE),"")</f>
        <v/>
      </c>
      <c r="D1445" s="12" t="n"/>
      <c r="E1445" s="13">
        <f>IF(D1445="","",D1445-TODAY())</f>
        <v/>
      </c>
      <c r="F1445">
        <f>IF(D1445="","",IF(E1445&lt;0,"VENCIDO",IF(E1445&lt;=30,"VENCE EM &lt;= 30 DIAS",IF(E1445&lt;=60,"ATENCAO (31-60 DIAS)","OK"))))</f>
        <v/>
      </c>
      <c r="G1445" s="13">
        <f>SUMIFS(Movimentacoes!$G:$G,Movimentacoes!$C:$C,$A1445,Movimentacoes!$E:$E,$C1445,Movimentacoes!$B:$B,"ENTRADA")</f>
        <v/>
      </c>
      <c r="H1445" s="13">
        <f>SUMIFS(Movimentacoes!$G:$G,Movimentacoes!$C:$C,$A1445,Movimentacoes!$E:$E,$C1445,Movimentacoes!$B:$B,"SAIDA_USO")</f>
        <v/>
      </c>
      <c r="I1445" s="13">
        <f>SUMIFS(Movimentacoes!$G:$G,Movimentacoes!$C:$C,$A1445,Movimentacoes!$E:$E,$C1445,Movimentacoes!$B:$B,"SAIDA_DESCARTE")</f>
        <v/>
      </c>
      <c r="J1445" s="13">
        <f>G1445-H1445-I1445</f>
        <v/>
      </c>
      <c r="K1445">
        <f>IF(A1445="","",IF(J1445&lt;=IFERROR(VLOOKUP(A1445,Cadastro_Produtos!$A:$E,5,FALSE),0),"ABAIXO DO MINIMO","OK"))</f>
        <v/>
      </c>
    </row>
    <row r="1446">
      <c r="B1446">
        <f>IFERROR(VLOOKUP(A1446,Cadastro_Produtos!A:B,2,FALSE),"")</f>
        <v/>
      </c>
      <c r="D1446" s="12" t="n"/>
      <c r="E1446" s="13">
        <f>IF(D1446="","",D1446-TODAY())</f>
        <v/>
      </c>
      <c r="F1446">
        <f>IF(D1446="","",IF(E1446&lt;0,"VENCIDO",IF(E1446&lt;=30,"VENCE EM &lt;= 30 DIAS",IF(E1446&lt;=60,"ATENCAO (31-60 DIAS)","OK"))))</f>
        <v/>
      </c>
      <c r="G1446" s="13">
        <f>SUMIFS(Movimentacoes!$G:$G,Movimentacoes!$C:$C,$A1446,Movimentacoes!$E:$E,$C1446,Movimentacoes!$B:$B,"ENTRADA")</f>
        <v/>
      </c>
      <c r="H1446" s="13">
        <f>SUMIFS(Movimentacoes!$G:$G,Movimentacoes!$C:$C,$A1446,Movimentacoes!$E:$E,$C1446,Movimentacoes!$B:$B,"SAIDA_USO")</f>
        <v/>
      </c>
      <c r="I1446" s="13">
        <f>SUMIFS(Movimentacoes!$G:$G,Movimentacoes!$C:$C,$A1446,Movimentacoes!$E:$E,$C1446,Movimentacoes!$B:$B,"SAIDA_DESCARTE")</f>
        <v/>
      </c>
      <c r="J1446" s="13">
        <f>G1446-H1446-I1446</f>
        <v/>
      </c>
      <c r="K1446">
        <f>IF(A1446="","",IF(J1446&lt;=IFERROR(VLOOKUP(A1446,Cadastro_Produtos!$A:$E,5,FALSE),0),"ABAIXO DO MINIMO","OK"))</f>
        <v/>
      </c>
    </row>
    <row r="1447">
      <c r="B1447">
        <f>IFERROR(VLOOKUP(A1447,Cadastro_Produtos!A:B,2,FALSE),"")</f>
        <v/>
      </c>
      <c r="D1447" s="12" t="n"/>
      <c r="E1447" s="13">
        <f>IF(D1447="","",D1447-TODAY())</f>
        <v/>
      </c>
      <c r="F1447">
        <f>IF(D1447="","",IF(E1447&lt;0,"VENCIDO",IF(E1447&lt;=30,"VENCE EM &lt;= 30 DIAS",IF(E1447&lt;=60,"ATENCAO (31-60 DIAS)","OK"))))</f>
        <v/>
      </c>
      <c r="G1447" s="13">
        <f>SUMIFS(Movimentacoes!$G:$G,Movimentacoes!$C:$C,$A1447,Movimentacoes!$E:$E,$C1447,Movimentacoes!$B:$B,"ENTRADA")</f>
        <v/>
      </c>
      <c r="H1447" s="13">
        <f>SUMIFS(Movimentacoes!$G:$G,Movimentacoes!$C:$C,$A1447,Movimentacoes!$E:$E,$C1447,Movimentacoes!$B:$B,"SAIDA_USO")</f>
        <v/>
      </c>
      <c r="I1447" s="13">
        <f>SUMIFS(Movimentacoes!$G:$G,Movimentacoes!$C:$C,$A1447,Movimentacoes!$E:$E,$C1447,Movimentacoes!$B:$B,"SAIDA_DESCARTE")</f>
        <v/>
      </c>
      <c r="J1447" s="13">
        <f>G1447-H1447-I1447</f>
        <v/>
      </c>
      <c r="K1447">
        <f>IF(A1447="","",IF(J1447&lt;=IFERROR(VLOOKUP(A1447,Cadastro_Produtos!$A:$E,5,FALSE),0),"ABAIXO DO MINIMO","OK"))</f>
        <v/>
      </c>
    </row>
    <row r="1448">
      <c r="B1448">
        <f>IFERROR(VLOOKUP(A1448,Cadastro_Produtos!A:B,2,FALSE),"")</f>
        <v/>
      </c>
      <c r="D1448" s="12" t="n"/>
      <c r="E1448" s="13">
        <f>IF(D1448="","",D1448-TODAY())</f>
        <v/>
      </c>
      <c r="F1448">
        <f>IF(D1448="","",IF(E1448&lt;0,"VENCIDO",IF(E1448&lt;=30,"VENCE EM &lt;= 30 DIAS",IF(E1448&lt;=60,"ATENCAO (31-60 DIAS)","OK"))))</f>
        <v/>
      </c>
      <c r="G1448" s="13">
        <f>SUMIFS(Movimentacoes!$G:$G,Movimentacoes!$C:$C,$A1448,Movimentacoes!$E:$E,$C1448,Movimentacoes!$B:$B,"ENTRADA")</f>
        <v/>
      </c>
      <c r="H1448" s="13">
        <f>SUMIFS(Movimentacoes!$G:$G,Movimentacoes!$C:$C,$A1448,Movimentacoes!$E:$E,$C1448,Movimentacoes!$B:$B,"SAIDA_USO")</f>
        <v/>
      </c>
      <c r="I1448" s="13">
        <f>SUMIFS(Movimentacoes!$G:$G,Movimentacoes!$C:$C,$A1448,Movimentacoes!$E:$E,$C1448,Movimentacoes!$B:$B,"SAIDA_DESCARTE")</f>
        <v/>
      </c>
      <c r="J1448" s="13">
        <f>G1448-H1448-I1448</f>
        <v/>
      </c>
      <c r="K1448">
        <f>IF(A1448="","",IF(J1448&lt;=IFERROR(VLOOKUP(A1448,Cadastro_Produtos!$A:$E,5,FALSE),0),"ABAIXO DO MINIMO","OK"))</f>
        <v/>
      </c>
    </row>
    <row r="1449">
      <c r="B1449">
        <f>IFERROR(VLOOKUP(A1449,Cadastro_Produtos!A:B,2,FALSE),"")</f>
        <v/>
      </c>
      <c r="D1449" s="12" t="n"/>
      <c r="E1449" s="13">
        <f>IF(D1449="","",D1449-TODAY())</f>
        <v/>
      </c>
      <c r="F1449">
        <f>IF(D1449="","",IF(E1449&lt;0,"VENCIDO",IF(E1449&lt;=30,"VENCE EM &lt;= 30 DIAS",IF(E1449&lt;=60,"ATENCAO (31-60 DIAS)","OK"))))</f>
        <v/>
      </c>
      <c r="G1449" s="13">
        <f>SUMIFS(Movimentacoes!$G:$G,Movimentacoes!$C:$C,$A1449,Movimentacoes!$E:$E,$C1449,Movimentacoes!$B:$B,"ENTRADA")</f>
        <v/>
      </c>
      <c r="H1449" s="13">
        <f>SUMIFS(Movimentacoes!$G:$G,Movimentacoes!$C:$C,$A1449,Movimentacoes!$E:$E,$C1449,Movimentacoes!$B:$B,"SAIDA_USO")</f>
        <v/>
      </c>
      <c r="I1449" s="13">
        <f>SUMIFS(Movimentacoes!$G:$G,Movimentacoes!$C:$C,$A1449,Movimentacoes!$E:$E,$C1449,Movimentacoes!$B:$B,"SAIDA_DESCARTE")</f>
        <v/>
      </c>
      <c r="J1449" s="13">
        <f>G1449-H1449-I1449</f>
        <v/>
      </c>
      <c r="K1449">
        <f>IF(A1449="","",IF(J1449&lt;=IFERROR(VLOOKUP(A1449,Cadastro_Produtos!$A:$E,5,FALSE),0),"ABAIXO DO MINIMO","OK"))</f>
        <v/>
      </c>
    </row>
    <row r="1450">
      <c r="B1450">
        <f>IFERROR(VLOOKUP(A1450,Cadastro_Produtos!A:B,2,FALSE),"")</f>
        <v/>
      </c>
      <c r="D1450" s="12" t="n"/>
      <c r="E1450" s="13">
        <f>IF(D1450="","",D1450-TODAY())</f>
        <v/>
      </c>
      <c r="F1450">
        <f>IF(D1450="","",IF(E1450&lt;0,"VENCIDO",IF(E1450&lt;=30,"VENCE EM &lt;= 30 DIAS",IF(E1450&lt;=60,"ATENCAO (31-60 DIAS)","OK"))))</f>
        <v/>
      </c>
      <c r="G1450" s="13">
        <f>SUMIFS(Movimentacoes!$G:$G,Movimentacoes!$C:$C,$A1450,Movimentacoes!$E:$E,$C1450,Movimentacoes!$B:$B,"ENTRADA")</f>
        <v/>
      </c>
      <c r="H1450" s="13">
        <f>SUMIFS(Movimentacoes!$G:$G,Movimentacoes!$C:$C,$A1450,Movimentacoes!$E:$E,$C1450,Movimentacoes!$B:$B,"SAIDA_USO")</f>
        <v/>
      </c>
      <c r="I1450" s="13">
        <f>SUMIFS(Movimentacoes!$G:$G,Movimentacoes!$C:$C,$A1450,Movimentacoes!$E:$E,$C1450,Movimentacoes!$B:$B,"SAIDA_DESCARTE")</f>
        <v/>
      </c>
      <c r="J1450" s="13">
        <f>G1450-H1450-I1450</f>
        <v/>
      </c>
      <c r="K1450">
        <f>IF(A1450="","",IF(J1450&lt;=IFERROR(VLOOKUP(A1450,Cadastro_Produtos!$A:$E,5,FALSE),0),"ABAIXO DO MINIMO","OK"))</f>
        <v/>
      </c>
    </row>
    <row r="1451">
      <c r="B1451">
        <f>IFERROR(VLOOKUP(A1451,Cadastro_Produtos!A:B,2,FALSE),"")</f>
        <v/>
      </c>
      <c r="D1451" s="12" t="n"/>
      <c r="E1451" s="13">
        <f>IF(D1451="","",D1451-TODAY())</f>
        <v/>
      </c>
      <c r="F1451">
        <f>IF(D1451="","",IF(E1451&lt;0,"VENCIDO",IF(E1451&lt;=30,"VENCE EM &lt;= 30 DIAS",IF(E1451&lt;=60,"ATENCAO (31-60 DIAS)","OK"))))</f>
        <v/>
      </c>
      <c r="G1451" s="13">
        <f>SUMIFS(Movimentacoes!$G:$G,Movimentacoes!$C:$C,$A1451,Movimentacoes!$E:$E,$C1451,Movimentacoes!$B:$B,"ENTRADA")</f>
        <v/>
      </c>
      <c r="H1451" s="13">
        <f>SUMIFS(Movimentacoes!$G:$G,Movimentacoes!$C:$C,$A1451,Movimentacoes!$E:$E,$C1451,Movimentacoes!$B:$B,"SAIDA_USO")</f>
        <v/>
      </c>
      <c r="I1451" s="13">
        <f>SUMIFS(Movimentacoes!$G:$G,Movimentacoes!$C:$C,$A1451,Movimentacoes!$E:$E,$C1451,Movimentacoes!$B:$B,"SAIDA_DESCARTE")</f>
        <v/>
      </c>
      <c r="J1451" s="13">
        <f>G1451-H1451-I1451</f>
        <v/>
      </c>
      <c r="K1451">
        <f>IF(A1451="","",IF(J1451&lt;=IFERROR(VLOOKUP(A1451,Cadastro_Produtos!$A:$E,5,FALSE),0),"ABAIXO DO MINIMO","OK"))</f>
        <v/>
      </c>
    </row>
    <row r="1452">
      <c r="B1452">
        <f>IFERROR(VLOOKUP(A1452,Cadastro_Produtos!A:B,2,FALSE),"")</f>
        <v/>
      </c>
      <c r="D1452" s="12" t="n"/>
      <c r="E1452" s="13">
        <f>IF(D1452="","",D1452-TODAY())</f>
        <v/>
      </c>
      <c r="F1452">
        <f>IF(D1452="","",IF(E1452&lt;0,"VENCIDO",IF(E1452&lt;=30,"VENCE EM &lt;= 30 DIAS",IF(E1452&lt;=60,"ATENCAO (31-60 DIAS)","OK"))))</f>
        <v/>
      </c>
      <c r="G1452" s="13">
        <f>SUMIFS(Movimentacoes!$G:$G,Movimentacoes!$C:$C,$A1452,Movimentacoes!$E:$E,$C1452,Movimentacoes!$B:$B,"ENTRADA")</f>
        <v/>
      </c>
      <c r="H1452" s="13">
        <f>SUMIFS(Movimentacoes!$G:$G,Movimentacoes!$C:$C,$A1452,Movimentacoes!$E:$E,$C1452,Movimentacoes!$B:$B,"SAIDA_USO")</f>
        <v/>
      </c>
      <c r="I1452" s="13">
        <f>SUMIFS(Movimentacoes!$G:$G,Movimentacoes!$C:$C,$A1452,Movimentacoes!$E:$E,$C1452,Movimentacoes!$B:$B,"SAIDA_DESCARTE")</f>
        <v/>
      </c>
      <c r="J1452" s="13">
        <f>G1452-H1452-I1452</f>
        <v/>
      </c>
      <c r="K1452">
        <f>IF(A1452="","",IF(J1452&lt;=IFERROR(VLOOKUP(A1452,Cadastro_Produtos!$A:$E,5,FALSE),0),"ABAIXO DO MINIMO","OK"))</f>
        <v/>
      </c>
    </row>
    <row r="1453">
      <c r="B1453">
        <f>IFERROR(VLOOKUP(A1453,Cadastro_Produtos!A:B,2,FALSE),"")</f>
        <v/>
      </c>
      <c r="D1453" s="12" t="n"/>
      <c r="E1453" s="13">
        <f>IF(D1453="","",D1453-TODAY())</f>
        <v/>
      </c>
      <c r="F1453">
        <f>IF(D1453="","",IF(E1453&lt;0,"VENCIDO",IF(E1453&lt;=30,"VENCE EM &lt;= 30 DIAS",IF(E1453&lt;=60,"ATENCAO (31-60 DIAS)","OK"))))</f>
        <v/>
      </c>
      <c r="G1453" s="13">
        <f>SUMIFS(Movimentacoes!$G:$G,Movimentacoes!$C:$C,$A1453,Movimentacoes!$E:$E,$C1453,Movimentacoes!$B:$B,"ENTRADA")</f>
        <v/>
      </c>
      <c r="H1453" s="13">
        <f>SUMIFS(Movimentacoes!$G:$G,Movimentacoes!$C:$C,$A1453,Movimentacoes!$E:$E,$C1453,Movimentacoes!$B:$B,"SAIDA_USO")</f>
        <v/>
      </c>
      <c r="I1453" s="13">
        <f>SUMIFS(Movimentacoes!$G:$G,Movimentacoes!$C:$C,$A1453,Movimentacoes!$E:$E,$C1453,Movimentacoes!$B:$B,"SAIDA_DESCARTE")</f>
        <v/>
      </c>
      <c r="J1453" s="13">
        <f>G1453-H1453-I1453</f>
        <v/>
      </c>
      <c r="K1453">
        <f>IF(A1453="","",IF(J1453&lt;=IFERROR(VLOOKUP(A1453,Cadastro_Produtos!$A:$E,5,FALSE),0),"ABAIXO DO MINIMO","OK"))</f>
        <v/>
      </c>
    </row>
    <row r="1454">
      <c r="B1454">
        <f>IFERROR(VLOOKUP(A1454,Cadastro_Produtos!A:B,2,FALSE),"")</f>
        <v/>
      </c>
      <c r="D1454" s="12" t="n"/>
      <c r="E1454" s="13">
        <f>IF(D1454="","",D1454-TODAY())</f>
        <v/>
      </c>
      <c r="F1454">
        <f>IF(D1454="","",IF(E1454&lt;0,"VENCIDO",IF(E1454&lt;=30,"VENCE EM &lt;= 30 DIAS",IF(E1454&lt;=60,"ATENCAO (31-60 DIAS)","OK"))))</f>
        <v/>
      </c>
      <c r="G1454" s="13">
        <f>SUMIFS(Movimentacoes!$G:$G,Movimentacoes!$C:$C,$A1454,Movimentacoes!$E:$E,$C1454,Movimentacoes!$B:$B,"ENTRADA")</f>
        <v/>
      </c>
      <c r="H1454" s="13">
        <f>SUMIFS(Movimentacoes!$G:$G,Movimentacoes!$C:$C,$A1454,Movimentacoes!$E:$E,$C1454,Movimentacoes!$B:$B,"SAIDA_USO")</f>
        <v/>
      </c>
      <c r="I1454" s="13">
        <f>SUMIFS(Movimentacoes!$G:$G,Movimentacoes!$C:$C,$A1454,Movimentacoes!$E:$E,$C1454,Movimentacoes!$B:$B,"SAIDA_DESCARTE")</f>
        <v/>
      </c>
      <c r="J1454" s="13">
        <f>G1454-H1454-I1454</f>
        <v/>
      </c>
      <c r="K1454">
        <f>IF(A1454="","",IF(J1454&lt;=IFERROR(VLOOKUP(A1454,Cadastro_Produtos!$A:$E,5,FALSE),0),"ABAIXO DO MINIMO","OK"))</f>
        <v/>
      </c>
    </row>
    <row r="1455">
      <c r="B1455">
        <f>IFERROR(VLOOKUP(A1455,Cadastro_Produtos!A:B,2,FALSE),"")</f>
        <v/>
      </c>
      <c r="D1455" s="12" t="n"/>
      <c r="E1455" s="13">
        <f>IF(D1455="","",D1455-TODAY())</f>
        <v/>
      </c>
      <c r="F1455">
        <f>IF(D1455="","",IF(E1455&lt;0,"VENCIDO",IF(E1455&lt;=30,"VENCE EM &lt;= 30 DIAS",IF(E1455&lt;=60,"ATENCAO (31-60 DIAS)","OK"))))</f>
        <v/>
      </c>
      <c r="G1455" s="13">
        <f>SUMIFS(Movimentacoes!$G:$G,Movimentacoes!$C:$C,$A1455,Movimentacoes!$E:$E,$C1455,Movimentacoes!$B:$B,"ENTRADA")</f>
        <v/>
      </c>
      <c r="H1455" s="13">
        <f>SUMIFS(Movimentacoes!$G:$G,Movimentacoes!$C:$C,$A1455,Movimentacoes!$E:$E,$C1455,Movimentacoes!$B:$B,"SAIDA_USO")</f>
        <v/>
      </c>
      <c r="I1455" s="13">
        <f>SUMIFS(Movimentacoes!$G:$G,Movimentacoes!$C:$C,$A1455,Movimentacoes!$E:$E,$C1455,Movimentacoes!$B:$B,"SAIDA_DESCARTE")</f>
        <v/>
      </c>
      <c r="J1455" s="13">
        <f>G1455-H1455-I1455</f>
        <v/>
      </c>
      <c r="K1455">
        <f>IF(A1455="","",IF(J1455&lt;=IFERROR(VLOOKUP(A1455,Cadastro_Produtos!$A:$E,5,FALSE),0),"ABAIXO DO MINIMO","OK"))</f>
        <v/>
      </c>
    </row>
    <row r="1456">
      <c r="B1456">
        <f>IFERROR(VLOOKUP(A1456,Cadastro_Produtos!A:B,2,FALSE),"")</f>
        <v/>
      </c>
      <c r="D1456" s="12" t="n"/>
      <c r="E1456" s="13">
        <f>IF(D1456="","",D1456-TODAY())</f>
        <v/>
      </c>
      <c r="F1456">
        <f>IF(D1456="","",IF(E1456&lt;0,"VENCIDO",IF(E1456&lt;=30,"VENCE EM &lt;= 30 DIAS",IF(E1456&lt;=60,"ATENCAO (31-60 DIAS)","OK"))))</f>
        <v/>
      </c>
      <c r="G1456" s="13">
        <f>SUMIFS(Movimentacoes!$G:$G,Movimentacoes!$C:$C,$A1456,Movimentacoes!$E:$E,$C1456,Movimentacoes!$B:$B,"ENTRADA")</f>
        <v/>
      </c>
      <c r="H1456" s="13">
        <f>SUMIFS(Movimentacoes!$G:$G,Movimentacoes!$C:$C,$A1456,Movimentacoes!$E:$E,$C1456,Movimentacoes!$B:$B,"SAIDA_USO")</f>
        <v/>
      </c>
      <c r="I1456" s="13">
        <f>SUMIFS(Movimentacoes!$G:$G,Movimentacoes!$C:$C,$A1456,Movimentacoes!$E:$E,$C1456,Movimentacoes!$B:$B,"SAIDA_DESCARTE")</f>
        <v/>
      </c>
      <c r="J1456" s="13">
        <f>G1456-H1456-I1456</f>
        <v/>
      </c>
      <c r="K1456">
        <f>IF(A1456="","",IF(J1456&lt;=IFERROR(VLOOKUP(A1456,Cadastro_Produtos!$A:$E,5,FALSE),0),"ABAIXO DO MINIMO","OK"))</f>
        <v/>
      </c>
    </row>
    <row r="1457">
      <c r="B1457">
        <f>IFERROR(VLOOKUP(A1457,Cadastro_Produtos!A:B,2,FALSE),"")</f>
        <v/>
      </c>
      <c r="D1457" s="12" t="n"/>
      <c r="E1457" s="13">
        <f>IF(D1457="","",D1457-TODAY())</f>
        <v/>
      </c>
      <c r="F1457">
        <f>IF(D1457="","",IF(E1457&lt;0,"VENCIDO",IF(E1457&lt;=30,"VENCE EM &lt;= 30 DIAS",IF(E1457&lt;=60,"ATENCAO (31-60 DIAS)","OK"))))</f>
        <v/>
      </c>
      <c r="G1457" s="13">
        <f>SUMIFS(Movimentacoes!$G:$G,Movimentacoes!$C:$C,$A1457,Movimentacoes!$E:$E,$C1457,Movimentacoes!$B:$B,"ENTRADA")</f>
        <v/>
      </c>
      <c r="H1457" s="13">
        <f>SUMIFS(Movimentacoes!$G:$G,Movimentacoes!$C:$C,$A1457,Movimentacoes!$E:$E,$C1457,Movimentacoes!$B:$B,"SAIDA_USO")</f>
        <v/>
      </c>
      <c r="I1457" s="13">
        <f>SUMIFS(Movimentacoes!$G:$G,Movimentacoes!$C:$C,$A1457,Movimentacoes!$E:$E,$C1457,Movimentacoes!$B:$B,"SAIDA_DESCARTE")</f>
        <v/>
      </c>
      <c r="J1457" s="13">
        <f>G1457-H1457-I1457</f>
        <v/>
      </c>
      <c r="K1457">
        <f>IF(A1457="","",IF(J1457&lt;=IFERROR(VLOOKUP(A1457,Cadastro_Produtos!$A:$E,5,FALSE),0),"ABAIXO DO MINIMO","OK"))</f>
        <v/>
      </c>
    </row>
    <row r="1458">
      <c r="B1458">
        <f>IFERROR(VLOOKUP(A1458,Cadastro_Produtos!A:B,2,FALSE),"")</f>
        <v/>
      </c>
      <c r="D1458" s="12" t="n"/>
      <c r="E1458" s="13">
        <f>IF(D1458="","",D1458-TODAY())</f>
        <v/>
      </c>
      <c r="F1458">
        <f>IF(D1458="","",IF(E1458&lt;0,"VENCIDO",IF(E1458&lt;=30,"VENCE EM &lt;= 30 DIAS",IF(E1458&lt;=60,"ATENCAO (31-60 DIAS)","OK"))))</f>
        <v/>
      </c>
      <c r="G1458" s="13">
        <f>SUMIFS(Movimentacoes!$G:$G,Movimentacoes!$C:$C,$A1458,Movimentacoes!$E:$E,$C1458,Movimentacoes!$B:$B,"ENTRADA")</f>
        <v/>
      </c>
      <c r="H1458" s="13">
        <f>SUMIFS(Movimentacoes!$G:$G,Movimentacoes!$C:$C,$A1458,Movimentacoes!$E:$E,$C1458,Movimentacoes!$B:$B,"SAIDA_USO")</f>
        <v/>
      </c>
      <c r="I1458" s="13">
        <f>SUMIFS(Movimentacoes!$G:$G,Movimentacoes!$C:$C,$A1458,Movimentacoes!$E:$E,$C1458,Movimentacoes!$B:$B,"SAIDA_DESCARTE")</f>
        <v/>
      </c>
      <c r="J1458" s="13">
        <f>G1458-H1458-I1458</f>
        <v/>
      </c>
      <c r="K1458">
        <f>IF(A1458="","",IF(J1458&lt;=IFERROR(VLOOKUP(A1458,Cadastro_Produtos!$A:$E,5,FALSE),0),"ABAIXO DO MINIMO","OK"))</f>
        <v/>
      </c>
    </row>
    <row r="1459">
      <c r="B1459">
        <f>IFERROR(VLOOKUP(A1459,Cadastro_Produtos!A:B,2,FALSE),"")</f>
        <v/>
      </c>
      <c r="D1459" s="12" t="n"/>
      <c r="E1459" s="13">
        <f>IF(D1459="","",D1459-TODAY())</f>
        <v/>
      </c>
      <c r="F1459">
        <f>IF(D1459="","",IF(E1459&lt;0,"VENCIDO",IF(E1459&lt;=30,"VENCE EM &lt;= 30 DIAS",IF(E1459&lt;=60,"ATENCAO (31-60 DIAS)","OK"))))</f>
        <v/>
      </c>
      <c r="G1459" s="13">
        <f>SUMIFS(Movimentacoes!$G:$G,Movimentacoes!$C:$C,$A1459,Movimentacoes!$E:$E,$C1459,Movimentacoes!$B:$B,"ENTRADA")</f>
        <v/>
      </c>
      <c r="H1459" s="13">
        <f>SUMIFS(Movimentacoes!$G:$G,Movimentacoes!$C:$C,$A1459,Movimentacoes!$E:$E,$C1459,Movimentacoes!$B:$B,"SAIDA_USO")</f>
        <v/>
      </c>
      <c r="I1459" s="13">
        <f>SUMIFS(Movimentacoes!$G:$G,Movimentacoes!$C:$C,$A1459,Movimentacoes!$E:$E,$C1459,Movimentacoes!$B:$B,"SAIDA_DESCARTE")</f>
        <v/>
      </c>
      <c r="J1459" s="13">
        <f>G1459-H1459-I1459</f>
        <v/>
      </c>
      <c r="K1459">
        <f>IF(A1459="","",IF(J1459&lt;=IFERROR(VLOOKUP(A1459,Cadastro_Produtos!$A:$E,5,FALSE),0),"ABAIXO DO MINIMO","OK"))</f>
        <v/>
      </c>
    </row>
    <row r="1460">
      <c r="B1460">
        <f>IFERROR(VLOOKUP(A1460,Cadastro_Produtos!A:B,2,FALSE),"")</f>
        <v/>
      </c>
      <c r="D1460" s="12" t="n"/>
      <c r="E1460" s="13">
        <f>IF(D1460="","",D1460-TODAY())</f>
        <v/>
      </c>
      <c r="F1460">
        <f>IF(D1460="","",IF(E1460&lt;0,"VENCIDO",IF(E1460&lt;=30,"VENCE EM &lt;= 30 DIAS",IF(E1460&lt;=60,"ATENCAO (31-60 DIAS)","OK"))))</f>
        <v/>
      </c>
      <c r="G1460" s="13">
        <f>SUMIFS(Movimentacoes!$G:$G,Movimentacoes!$C:$C,$A1460,Movimentacoes!$E:$E,$C1460,Movimentacoes!$B:$B,"ENTRADA")</f>
        <v/>
      </c>
      <c r="H1460" s="13">
        <f>SUMIFS(Movimentacoes!$G:$G,Movimentacoes!$C:$C,$A1460,Movimentacoes!$E:$E,$C1460,Movimentacoes!$B:$B,"SAIDA_USO")</f>
        <v/>
      </c>
      <c r="I1460" s="13">
        <f>SUMIFS(Movimentacoes!$G:$G,Movimentacoes!$C:$C,$A1460,Movimentacoes!$E:$E,$C1460,Movimentacoes!$B:$B,"SAIDA_DESCARTE")</f>
        <v/>
      </c>
      <c r="J1460" s="13">
        <f>G1460-H1460-I1460</f>
        <v/>
      </c>
      <c r="K1460">
        <f>IF(A1460="","",IF(J1460&lt;=IFERROR(VLOOKUP(A1460,Cadastro_Produtos!$A:$E,5,FALSE),0),"ABAIXO DO MINIMO","OK"))</f>
        <v/>
      </c>
    </row>
    <row r="1461">
      <c r="B1461">
        <f>IFERROR(VLOOKUP(A1461,Cadastro_Produtos!A:B,2,FALSE),"")</f>
        <v/>
      </c>
      <c r="D1461" s="12" t="n"/>
      <c r="E1461" s="13">
        <f>IF(D1461="","",D1461-TODAY())</f>
        <v/>
      </c>
      <c r="F1461">
        <f>IF(D1461="","",IF(E1461&lt;0,"VENCIDO",IF(E1461&lt;=30,"VENCE EM &lt;= 30 DIAS",IF(E1461&lt;=60,"ATENCAO (31-60 DIAS)","OK"))))</f>
        <v/>
      </c>
      <c r="G1461" s="13">
        <f>SUMIFS(Movimentacoes!$G:$G,Movimentacoes!$C:$C,$A1461,Movimentacoes!$E:$E,$C1461,Movimentacoes!$B:$B,"ENTRADA")</f>
        <v/>
      </c>
      <c r="H1461" s="13">
        <f>SUMIFS(Movimentacoes!$G:$G,Movimentacoes!$C:$C,$A1461,Movimentacoes!$E:$E,$C1461,Movimentacoes!$B:$B,"SAIDA_USO")</f>
        <v/>
      </c>
      <c r="I1461" s="13">
        <f>SUMIFS(Movimentacoes!$G:$G,Movimentacoes!$C:$C,$A1461,Movimentacoes!$E:$E,$C1461,Movimentacoes!$B:$B,"SAIDA_DESCARTE")</f>
        <v/>
      </c>
      <c r="J1461" s="13">
        <f>G1461-H1461-I1461</f>
        <v/>
      </c>
      <c r="K1461">
        <f>IF(A1461="","",IF(J1461&lt;=IFERROR(VLOOKUP(A1461,Cadastro_Produtos!$A:$E,5,FALSE),0),"ABAIXO DO MINIMO","OK"))</f>
        <v/>
      </c>
    </row>
    <row r="1462">
      <c r="B1462">
        <f>IFERROR(VLOOKUP(A1462,Cadastro_Produtos!A:B,2,FALSE),"")</f>
        <v/>
      </c>
      <c r="D1462" s="12" t="n"/>
      <c r="E1462" s="13">
        <f>IF(D1462="","",D1462-TODAY())</f>
        <v/>
      </c>
      <c r="F1462">
        <f>IF(D1462="","",IF(E1462&lt;0,"VENCIDO",IF(E1462&lt;=30,"VENCE EM &lt;= 30 DIAS",IF(E1462&lt;=60,"ATENCAO (31-60 DIAS)","OK"))))</f>
        <v/>
      </c>
      <c r="G1462" s="13">
        <f>SUMIFS(Movimentacoes!$G:$G,Movimentacoes!$C:$C,$A1462,Movimentacoes!$E:$E,$C1462,Movimentacoes!$B:$B,"ENTRADA")</f>
        <v/>
      </c>
      <c r="H1462" s="13">
        <f>SUMIFS(Movimentacoes!$G:$G,Movimentacoes!$C:$C,$A1462,Movimentacoes!$E:$E,$C1462,Movimentacoes!$B:$B,"SAIDA_USO")</f>
        <v/>
      </c>
      <c r="I1462" s="13">
        <f>SUMIFS(Movimentacoes!$G:$G,Movimentacoes!$C:$C,$A1462,Movimentacoes!$E:$E,$C1462,Movimentacoes!$B:$B,"SAIDA_DESCARTE")</f>
        <v/>
      </c>
      <c r="J1462" s="13">
        <f>G1462-H1462-I1462</f>
        <v/>
      </c>
      <c r="K1462">
        <f>IF(A1462="","",IF(J1462&lt;=IFERROR(VLOOKUP(A1462,Cadastro_Produtos!$A:$E,5,FALSE),0),"ABAIXO DO MINIMO","OK"))</f>
        <v/>
      </c>
    </row>
    <row r="1463">
      <c r="B1463">
        <f>IFERROR(VLOOKUP(A1463,Cadastro_Produtos!A:B,2,FALSE),"")</f>
        <v/>
      </c>
      <c r="D1463" s="12" t="n"/>
      <c r="E1463" s="13">
        <f>IF(D1463="","",D1463-TODAY())</f>
        <v/>
      </c>
      <c r="F1463">
        <f>IF(D1463="","",IF(E1463&lt;0,"VENCIDO",IF(E1463&lt;=30,"VENCE EM &lt;= 30 DIAS",IF(E1463&lt;=60,"ATENCAO (31-60 DIAS)","OK"))))</f>
        <v/>
      </c>
      <c r="G1463" s="13">
        <f>SUMIFS(Movimentacoes!$G:$G,Movimentacoes!$C:$C,$A1463,Movimentacoes!$E:$E,$C1463,Movimentacoes!$B:$B,"ENTRADA")</f>
        <v/>
      </c>
      <c r="H1463" s="13">
        <f>SUMIFS(Movimentacoes!$G:$G,Movimentacoes!$C:$C,$A1463,Movimentacoes!$E:$E,$C1463,Movimentacoes!$B:$B,"SAIDA_USO")</f>
        <v/>
      </c>
      <c r="I1463" s="13">
        <f>SUMIFS(Movimentacoes!$G:$G,Movimentacoes!$C:$C,$A1463,Movimentacoes!$E:$E,$C1463,Movimentacoes!$B:$B,"SAIDA_DESCARTE")</f>
        <v/>
      </c>
      <c r="J1463" s="13">
        <f>G1463-H1463-I1463</f>
        <v/>
      </c>
      <c r="K1463">
        <f>IF(A1463="","",IF(J1463&lt;=IFERROR(VLOOKUP(A1463,Cadastro_Produtos!$A:$E,5,FALSE),0),"ABAIXO DO MINIMO","OK"))</f>
        <v/>
      </c>
    </row>
    <row r="1464">
      <c r="B1464">
        <f>IFERROR(VLOOKUP(A1464,Cadastro_Produtos!A:B,2,FALSE),"")</f>
        <v/>
      </c>
      <c r="D1464" s="12" t="n"/>
      <c r="E1464" s="13">
        <f>IF(D1464="","",D1464-TODAY())</f>
        <v/>
      </c>
      <c r="F1464">
        <f>IF(D1464="","",IF(E1464&lt;0,"VENCIDO",IF(E1464&lt;=30,"VENCE EM &lt;= 30 DIAS",IF(E1464&lt;=60,"ATENCAO (31-60 DIAS)","OK"))))</f>
        <v/>
      </c>
      <c r="G1464" s="13">
        <f>SUMIFS(Movimentacoes!$G:$G,Movimentacoes!$C:$C,$A1464,Movimentacoes!$E:$E,$C1464,Movimentacoes!$B:$B,"ENTRADA")</f>
        <v/>
      </c>
      <c r="H1464" s="13">
        <f>SUMIFS(Movimentacoes!$G:$G,Movimentacoes!$C:$C,$A1464,Movimentacoes!$E:$E,$C1464,Movimentacoes!$B:$B,"SAIDA_USO")</f>
        <v/>
      </c>
      <c r="I1464" s="13">
        <f>SUMIFS(Movimentacoes!$G:$G,Movimentacoes!$C:$C,$A1464,Movimentacoes!$E:$E,$C1464,Movimentacoes!$B:$B,"SAIDA_DESCARTE")</f>
        <v/>
      </c>
      <c r="J1464" s="13">
        <f>G1464-H1464-I1464</f>
        <v/>
      </c>
      <c r="K1464">
        <f>IF(A1464="","",IF(J1464&lt;=IFERROR(VLOOKUP(A1464,Cadastro_Produtos!$A:$E,5,FALSE),0),"ABAIXO DO MINIMO","OK"))</f>
        <v/>
      </c>
    </row>
    <row r="1465">
      <c r="B1465">
        <f>IFERROR(VLOOKUP(A1465,Cadastro_Produtos!A:B,2,FALSE),"")</f>
        <v/>
      </c>
      <c r="D1465" s="12" t="n"/>
      <c r="E1465" s="13">
        <f>IF(D1465="","",D1465-TODAY())</f>
        <v/>
      </c>
      <c r="F1465">
        <f>IF(D1465="","",IF(E1465&lt;0,"VENCIDO",IF(E1465&lt;=30,"VENCE EM &lt;= 30 DIAS",IF(E1465&lt;=60,"ATENCAO (31-60 DIAS)","OK"))))</f>
        <v/>
      </c>
      <c r="G1465" s="13">
        <f>SUMIFS(Movimentacoes!$G:$G,Movimentacoes!$C:$C,$A1465,Movimentacoes!$E:$E,$C1465,Movimentacoes!$B:$B,"ENTRADA")</f>
        <v/>
      </c>
      <c r="H1465" s="13">
        <f>SUMIFS(Movimentacoes!$G:$G,Movimentacoes!$C:$C,$A1465,Movimentacoes!$E:$E,$C1465,Movimentacoes!$B:$B,"SAIDA_USO")</f>
        <v/>
      </c>
      <c r="I1465" s="13">
        <f>SUMIFS(Movimentacoes!$G:$G,Movimentacoes!$C:$C,$A1465,Movimentacoes!$E:$E,$C1465,Movimentacoes!$B:$B,"SAIDA_DESCARTE")</f>
        <v/>
      </c>
      <c r="J1465" s="13">
        <f>G1465-H1465-I1465</f>
        <v/>
      </c>
      <c r="K1465">
        <f>IF(A1465="","",IF(J1465&lt;=IFERROR(VLOOKUP(A1465,Cadastro_Produtos!$A:$E,5,FALSE),0),"ABAIXO DO MINIMO","OK"))</f>
        <v/>
      </c>
    </row>
    <row r="1466">
      <c r="B1466">
        <f>IFERROR(VLOOKUP(A1466,Cadastro_Produtos!A:B,2,FALSE),"")</f>
        <v/>
      </c>
      <c r="D1466" s="12" t="n"/>
      <c r="E1466" s="13">
        <f>IF(D1466="","",D1466-TODAY())</f>
        <v/>
      </c>
      <c r="F1466">
        <f>IF(D1466="","",IF(E1466&lt;0,"VENCIDO",IF(E1466&lt;=30,"VENCE EM &lt;= 30 DIAS",IF(E1466&lt;=60,"ATENCAO (31-60 DIAS)","OK"))))</f>
        <v/>
      </c>
      <c r="G1466" s="13">
        <f>SUMIFS(Movimentacoes!$G:$G,Movimentacoes!$C:$C,$A1466,Movimentacoes!$E:$E,$C1466,Movimentacoes!$B:$B,"ENTRADA")</f>
        <v/>
      </c>
      <c r="H1466" s="13">
        <f>SUMIFS(Movimentacoes!$G:$G,Movimentacoes!$C:$C,$A1466,Movimentacoes!$E:$E,$C1466,Movimentacoes!$B:$B,"SAIDA_USO")</f>
        <v/>
      </c>
      <c r="I1466" s="13">
        <f>SUMIFS(Movimentacoes!$G:$G,Movimentacoes!$C:$C,$A1466,Movimentacoes!$E:$E,$C1466,Movimentacoes!$B:$B,"SAIDA_DESCARTE")</f>
        <v/>
      </c>
      <c r="J1466" s="13">
        <f>G1466-H1466-I1466</f>
        <v/>
      </c>
      <c r="K1466">
        <f>IF(A1466="","",IF(J1466&lt;=IFERROR(VLOOKUP(A1466,Cadastro_Produtos!$A:$E,5,FALSE),0),"ABAIXO DO MINIMO","OK"))</f>
        <v/>
      </c>
    </row>
    <row r="1467">
      <c r="B1467">
        <f>IFERROR(VLOOKUP(A1467,Cadastro_Produtos!A:B,2,FALSE),"")</f>
        <v/>
      </c>
      <c r="D1467" s="12" t="n"/>
      <c r="E1467" s="13">
        <f>IF(D1467="","",D1467-TODAY())</f>
        <v/>
      </c>
      <c r="F1467">
        <f>IF(D1467="","",IF(E1467&lt;0,"VENCIDO",IF(E1467&lt;=30,"VENCE EM &lt;= 30 DIAS",IF(E1467&lt;=60,"ATENCAO (31-60 DIAS)","OK"))))</f>
        <v/>
      </c>
      <c r="G1467" s="13">
        <f>SUMIFS(Movimentacoes!$G:$G,Movimentacoes!$C:$C,$A1467,Movimentacoes!$E:$E,$C1467,Movimentacoes!$B:$B,"ENTRADA")</f>
        <v/>
      </c>
      <c r="H1467" s="13">
        <f>SUMIFS(Movimentacoes!$G:$G,Movimentacoes!$C:$C,$A1467,Movimentacoes!$E:$E,$C1467,Movimentacoes!$B:$B,"SAIDA_USO")</f>
        <v/>
      </c>
      <c r="I1467" s="13">
        <f>SUMIFS(Movimentacoes!$G:$G,Movimentacoes!$C:$C,$A1467,Movimentacoes!$E:$E,$C1467,Movimentacoes!$B:$B,"SAIDA_DESCARTE")</f>
        <v/>
      </c>
      <c r="J1467" s="13">
        <f>G1467-H1467-I1467</f>
        <v/>
      </c>
      <c r="K1467">
        <f>IF(A1467="","",IF(J1467&lt;=IFERROR(VLOOKUP(A1467,Cadastro_Produtos!$A:$E,5,FALSE),0),"ABAIXO DO MINIMO","OK"))</f>
        <v/>
      </c>
    </row>
    <row r="1468">
      <c r="B1468">
        <f>IFERROR(VLOOKUP(A1468,Cadastro_Produtos!A:B,2,FALSE),"")</f>
        <v/>
      </c>
      <c r="D1468" s="12" t="n"/>
      <c r="E1468" s="13">
        <f>IF(D1468="","",D1468-TODAY())</f>
        <v/>
      </c>
      <c r="F1468">
        <f>IF(D1468="","",IF(E1468&lt;0,"VENCIDO",IF(E1468&lt;=30,"VENCE EM &lt;= 30 DIAS",IF(E1468&lt;=60,"ATENCAO (31-60 DIAS)","OK"))))</f>
        <v/>
      </c>
      <c r="G1468" s="13">
        <f>SUMIFS(Movimentacoes!$G:$G,Movimentacoes!$C:$C,$A1468,Movimentacoes!$E:$E,$C1468,Movimentacoes!$B:$B,"ENTRADA")</f>
        <v/>
      </c>
      <c r="H1468" s="13">
        <f>SUMIFS(Movimentacoes!$G:$G,Movimentacoes!$C:$C,$A1468,Movimentacoes!$E:$E,$C1468,Movimentacoes!$B:$B,"SAIDA_USO")</f>
        <v/>
      </c>
      <c r="I1468" s="13">
        <f>SUMIFS(Movimentacoes!$G:$G,Movimentacoes!$C:$C,$A1468,Movimentacoes!$E:$E,$C1468,Movimentacoes!$B:$B,"SAIDA_DESCARTE")</f>
        <v/>
      </c>
      <c r="J1468" s="13">
        <f>G1468-H1468-I1468</f>
        <v/>
      </c>
      <c r="K1468">
        <f>IF(A1468="","",IF(J1468&lt;=IFERROR(VLOOKUP(A1468,Cadastro_Produtos!$A:$E,5,FALSE),0),"ABAIXO DO MINIMO","OK"))</f>
        <v/>
      </c>
    </row>
    <row r="1469">
      <c r="B1469">
        <f>IFERROR(VLOOKUP(A1469,Cadastro_Produtos!A:B,2,FALSE),"")</f>
        <v/>
      </c>
      <c r="D1469" s="12" t="n"/>
      <c r="E1469" s="13">
        <f>IF(D1469="","",D1469-TODAY())</f>
        <v/>
      </c>
      <c r="F1469">
        <f>IF(D1469="","",IF(E1469&lt;0,"VENCIDO",IF(E1469&lt;=30,"VENCE EM &lt;= 30 DIAS",IF(E1469&lt;=60,"ATENCAO (31-60 DIAS)","OK"))))</f>
        <v/>
      </c>
      <c r="G1469" s="13">
        <f>SUMIFS(Movimentacoes!$G:$G,Movimentacoes!$C:$C,$A1469,Movimentacoes!$E:$E,$C1469,Movimentacoes!$B:$B,"ENTRADA")</f>
        <v/>
      </c>
      <c r="H1469" s="13">
        <f>SUMIFS(Movimentacoes!$G:$G,Movimentacoes!$C:$C,$A1469,Movimentacoes!$E:$E,$C1469,Movimentacoes!$B:$B,"SAIDA_USO")</f>
        <v/>
      </c>
      <c r="I1469" s="13">
        <f>SUMIFS(Movimentacoes!$G:$G,Movimentacoes!$C:$C,$A1469,Movimentacoes!$E:$E,$C1469,Movimentacoes!$B:$B,"SAIDA_DESCARTE")</f>
        <v/>
      </c>
      <c r="J1469" s="13">
        <f>G1469-H1469-I1469</f>
        <v/>
      </c>
      <c r="K1469">
        <f>IF(A1469="","",IF(J1469&lt;=IFERROR(VLOOKUP(A1469,Cadastro_Produtos!$A:$E,5,FALSE),0),"ABAIXO DO MINIMO","OK"))</f>
        <v/>
      </c>
    </row>
    <row r="1470">
      <c r="B1470">
        <f>IFERROR(VLOOKUP(A1470,Cadastro_Produtos!A:B,2,FALSE),"")</f>
        <v/>
      </c>
      <c r="D1470" s="12" t="n"/>
      <c r="E1470" s="13">
        <f>IF(D1470="","",D1470-TODAY())</f>
        <v/>
      </c>
      <c r="F1470">
        <f>IF(D1470="","",IF(E1470&lt;0,"VENCIDO",IF(E1470&lt;=30,"VENCE EM &lt;= 30 DIAS",IF(E1470&lt;=60,"ATENCAO (31-60 DIAS)","OK"))))</f>
        <v/>
      </c>
      <c r="G1470" s="13">
        <f>SUMIFS(Movimentacoes!$G:$G,Movimentacoes!$C:$C,$A1470,Movimentacoes!$E:$E,$C1470,Movimentacoes!$B:$B,"ENTRADA")</f>
        <v/>
      </c>
      <c r="H1470" s="13">
        <f>SUMIFS(Movimentacoes!$G:$G,Movimentacoes!$C:$C,$A1470,Movimentacoes!$E:$E,$C1470,Movimentacoes!$B:$B,"SAIDA_USO")</f>
        <v/>
      </c>
      <c r="I1470" s="13">
        <f>SUMIFS(Movimentacoes!$G:$G,Movimentacoes!$C:$C,$A1470,Movimentacoes!$E:$E,$C1470,Movimentacoes!$B:$B,"SAIDA_DESCARTE")</f>
        <v/>
      </c>
      <c r="J1470" s="13">
        <f>G1470-H1470-I1470</f>
        <v/>
      </c>
      <c r="K1470">
        <f>IF(A1470="","",IF(J1470&lt;=IFERROR(VLOOKUP(A1470,Cadastro_Produtos!$A:$E,5,FALSE),0),"ABAIXO DO MINIMO","OK"))</f>
        <v/>
      </c>
    </row>
    <row r="1471">
      <c r="B1471">
        <f>IFERROR(VLOOKUP(A1471,Cadastro_Produtos!A:B,2,FALSE),"")</f>
        <v/>
      </c>
      <c r="D1471" s="12" t="n"/>
      <c r="E1471" s="13">
        <f>IF(D1471="","",D1471-TODAY())</f>
        <v/>
      </c>
      <c r="F1471">
        <f>IF(D1471="","",IF(E1471&lt;0,"VENCIDO",IF(E1471&lt;=30,"VENCE EM &lt;= 30 DIAS",IF(E1471&lt;=60,"ATENCAO (31-60 DIAS)","OK"))))</f>
        <v/>
      </c>
      <c r="G1471" s="13">
        <f>SUMIFS(Movimentacoes!$G:$G,Movimentacoes!$C:$C,$A1471,Movimentacoes!$E:$E,$C1471,Movimentacoes!$B:$B,"ENTRADA")</f>
        <v/>
      </c>
      <c r="H1471" s="13">
        <f>SUMIFS(Movimentacoes!$G:$G,Movimentacoes!$C:$C,$A1471,Movimentacoes!$E:$E,$C1471,Movimentacoes!$B:$B,"SAIDA_USO")</f>
        <v/>
      </c>
      <c r="I1471" s="13">
        <f>SUMIFS(Movimentacoes!$G:$G,Movimentacoes!$C:$C,$A1471,Movimentacoes!$E:$E,$C1471,Movimentacoes!$B:$B,"SAIDA_DESCARTE")</f>
        <v/>
      </c>
      <c r="J1471" s="13">
        <f>G1471-H1471-I1471</f>
        <v/>
      </c>
      <c r="K1471">
        <f>IF(A1471="","",IF(J1471&lt;=IFERROR(VLOOKUP(A1471,Cadastro_Produtos!$A:$E,5,FALSE),0),"ABAIXO DO MINIMO","OK"))</f>
        <v/>
      </c>
    </row>
    <row r="1472">
      <c r="B1472">
        <f>IFERROR(VLOOKUP(A1472,Cadastro_Produtos!A:B,2,FALSE),"")</f>
        <v/>
      </c>
      <c r="D1472" s="12" t="n"/>
      <c r="E1472" s="13">
        <f>IF(D1472="","",D1472-TODAY())</f>
        <v/>
      </c>
      <c r="F1472">
        <f>IF(D1472="","",IF(E1472&lt;0,"VENCIDO",IF(E1472&lt;=30,"VENCE EM &lt;= 30 DIAS",IF(E1472&lt;=60,"ATENCAO (31-60 DIAS)","OK"))))</f>
        <v/>
      </c>
      <c r="G1472" s="13">
        <f>SUMIFS(Movimentacoes!$G:$G,Movimentacoes!$C:$C,$A1472,Movimentacoes!$E:$E,$C1472,Movimentacoes!$B:$B,"ENTRADA")</f>
        <v/>
      </c>
      <c r="H1472" s="13">
        <f>SUMIFS(Movimentacoes!$G:$G,Movimentacoes!$C:$C,$A1472,Movimentacoes!$E:$E,$C1472,Movimentacoes!$B:$B,"SAIDA_USO")</f>
        <v/>
      </c>
      <c r="I1472" s="13">
        <f>SUMIFS(Movimentacoes!$G:$G,Movimentacoes!$C:$C,$A1472,Movimentacoes!$E:$E,$C1472,Movimentacoes!$B:$B,"SAIDA_DESCARTE")</f>
        <v/>
      </c>
      <c r="J1472" s="13">
        <f>G1472-H1472-I1472</f>
        <v/>
      </c>
      <c r="K1472">
        <f>IF(A1472="","",IF(J1472&lt;=IFERROR(VLOOKUP(A1472,Cadastro_Produtos!$A:$E,5,FALSE),0),"ABAIXO DO MINIMO","OK"))</f>
        <v/>
      </c>
    </row>
    <row r="1473">
      <c r="B1473">
        <f>IFERROR(VLOOKUP(A1473,Cadastro_Produtos!A:B,2,FALSE),"")</f>
        <v/>
      </c>
      <c r="D1473" s="12" t="n"/>
      <c r="E1473" s="13">
        <f>IF(D1473="","",D1473-TODAY())</f>
        <v/>
      </c>
      <c r="F1473">
        <f>IF(D1473="","",IF(E1473&lt;0,"VENCIDO",IF(E1473&lt;=30,"VENCE EM &lt;= 30 DIAS",IF(E1473&lt;=60,"ATENCAO (31-60 DIAS)","OK"))))</f>
        <v/>
      </c>
      <c r="G1473" s="13">
        <f>SUMIFS(Movimentacoes!$G:$G,Movimentacoes!$C:$C,$A1473,Movimentacoes!$E:$E,$C1473,Movimentacoes!$B:$B,"ENTRADA")</f>
        <v/>
      </c>
      <c r="H1473" s="13">
        <f>SUMIFS(Movimentacoes!$G:$G,Movimentacoes!$C:$C,$A1473,Movimentacoes!$E:$E,$C1473,Movimentacoes!$B:$B,"SAIDA_USO")</f>
        <v/>
      </c>
      <c r="I1473" s="13">
        <f>SUMIFS(Movimentacoes!$G:$G,Movimentacoes!$C:$C,$A1473,Movimentacoes!$E:$E,$C1473,Movimentacoes!$B:$B,"SAIDA_DESCARTE")</f>
        <v/>
      </c>
      <c r="J1473" s="13">
        <f>G1473-H1473-I1473</f>
        <v/>
      </c>
      <c r="K1473">
        <f>IF(A1473="","",IF(J1473&lt;=IFERROR(VLOOKUP(A1473,Cadastro_Produtos!$A:$E,5,FALSE),0),"ABAIXO DO MINIMO","OK"))</f>
        <v/>
      </c>
    </row>
    <row r="1474">
      <c r="B1474">
        <f>IFERROR(VLOOKUP(A1474,Cadastro_Produtos!A:B,2,FALSE),"")</f>
        <v/>
      </c>
      <c r="D1474" s="12" t="n"/>
      <c r="E1474" s="13">
        <f>IF(D1474="","",D1474-TODAY())</f>
        <v/>
      </c>
      <c r="F1474">
        <f>IF(D1474="","",IF(E1474&lt;0,"VENCIDO",IF(E1474&lt;=30,"VENCE EM &lt;= 30 DIAS",IF(E1474&lt;=60,"ATENCAO (31-60 DIAS)","OK"))))</f>
        <v/>
      </c>
      <c r="G1474" s="13">
        <f>SUMIFS(Movimentacoes!$G:$G,Movimentacoes!$C:$C,$A1474,Movimentacoes!$E:$E,$C1474,Movimentacoes!$B:$B,"ENTRADA")</f>
        <v/>
      </c>
      <c r="H1474" s="13">
        <f>SUMIFS(Movimentacoes!$G:$G,Movimentacoes!$C:$C,$A1474,Movimentacoes!$E:$E,$C1474,Movimentacoes!$B:$B,"SAIDA_USO")</f>
        <v/>
      </c>
      <c r="I1474" s="13">
        <f>SUMIFS(Movimentacoes!$G:$G,Movimentacoes!$C:$C,$A1474,Movimentacoes!$E:$E,$C1474,Movimentacoes!$B:$B,"SAIDA_DESCARTE")</f>
        <v/>
      </c>
      <c r="J1474" s="13">
        <f>G1474-H1474-I1474</f>
        <v/>
      </c>
      <c r="K1474">
        <f>IF(A1474="","",IF(J1474&lt;=IFERROR(VLOOKUP(A1474,Cadastro_Produtos!$A:$E,5,FALSE),0),"ABAIXO DO MINIMO","OK"))</f>
        <v/>
      </c>
    </row>
    <row r="1475">
      <c r="B1475">
        <f>IFERROR(VLOOKUP(A1475,Cadastro_Produtos!A:B,2,FALSE),"")</f>
        <v/>
      </c>
      <c r="D1475" s="12" t="n"/>
      <c r="E1475" s="13">
        <f>IF(D1475="","",D1475-TODAY())</f>
        <v/>
      </c>
      <c r="F1475">
        <f>IF(D1475="","",IF(E1475&lt;0,"VENCIDO",IF(E1475&lt;=30,"VENCE EM &lt;= 30 DIAS",IF(E1475&lt;=60,"ATENCAO (31-60 DIAS)","OK"))))</f>
        <v/>
      </c>
      <c r="G1475" s="13">
        <f>SUMIFS(Movimentacoes!$G:$G,Movimentacoes!$C:$C,$A1475,Movimentacoes!$E:$E,$C1475,Movimentacoes!$B:$B,"ENTRADA")</f>
        <v/>
      </c>
      <c r="H1475" s="13">
        <f>SUMIFS(Movimentacoes!$G:$G,Movimentacoes!$C:$C,$A1475,Movimentacoes!$E:$E,$C1475,Movimentacoes!$B:$B,"SAIDA_USO")</f>
        <v/>
      </c>
      <c r="I1475" s="13">
        <f>SUMIFS(Movimentacoes!$G:$G,Movimentacoes!$C:$C,$A1475,Movimentacoes!$E:$E,$C1475,Movimentacoes!$B:$B,"SAIDA_DESCARTE")</f>
        <v/>
      </c>
      <c r="J1475" s="13">
        <f>G1475-H1475-I1475</f>
        <v/>
      </c>
      <c r="K1475">
        <f>IF(A1475="","",IF(J1475&lt;=IFERROR(VLOOKUP(A1475,Cadastro_Produtos!$A:$E,5,FALSE),0),"ABAIXO DO MINIMO","OK"))</f>
        <v/>
      </c>
    </row>
    <row r="1476">
      <c r="B1476">
        <f>IFERROR(VLOOKUP(A1476,Cadastro_Produtos!A:B,2,FALSE),"")</f>
        <v/>
      </c>
      <c r="D1476" s="12" t="n"/>
      <c r="E1476" s="13">
        <f>IF(D1476="","",D1476-TODAY())</f>
        <v/>
      </c>
      <c r="F1476">
        <f>IF(D1476="","",IF(E1476&lt;0,"VENCIDO",IF(E1476&lt;=30,"VENCE EM &lt;= 30 DIAS",IF(E1476&lt;=60,"ATENCAO (31-60 DIAS)","OK"))))</f>
        <v/>
      </c>
      <c r="G1476" s="13">
        <f>SUMIFS(Movimentacoes!$G:$G,Movimentacoes!$C:$C,$A1476,Movimentacoes!$E:$E,$C1476,Movimentacoes!$B:$B,"ENTRADA")</f>
        <v/>
      </c>
      <c r="H1476" s="13">
        <f>SUMIFS(Movimentacoes!$G:$G,Movimentacoes!$C:$C,$A1476,Movimentacoes!$E:$E,$C1476,Movimentacoes!$B:$B,"SAIDA_USO")</f>
        <v/>
      </c>
      <c r="I1476" s="13">
        <f>SUMIFS(Movimentacoes!$G:$G,Movimentacoes!$C:$C,$A1476,Movimentacoes!$E:$E,$C1476,Movimentacoes!$B:$B,"SAIDA_DESCARTE")</f>
        <v/>
      </c>
      <c r="J1476" s="13">
        <f>G1476-H1476-I1476</f>
        <v/>
      </c>
      <c r="K1476">
        <f>IF(A1476="","",IF(J1476&lt;=IFERROR(VLOOKUP(A1476,Cadastro_Produtos!$A:$E,5,FALSE),0),"ABAIXO DO MINIMO","OK"))</f>
        <v/>
      </c>
    </row>
    <row r="1477">
      <c r="B1477">
        <f>IFERROR(VLOOKUP(A1477,Cadastro_Produtos!A:B,2,FALSE),"")</f>
        <v/>
      </c>
      <c r="D1477" s="12" t="n"/>
      <c r="E1477" s="13">
        <f>IF(D1477="","",D1477-TODAY())</f>
        <v/>
      </c>
      <c r="F1477">
        <f>IF(D1477="","",IF(E1477&lt;0,"VENCIDO",IF(E1477&lt;=30,"VENCE EM &lt;= 30 DIAS",IF(E1477&lt;=60,"ATENCAO (31-60 DIAS)","OK"))))</f>
        <v/>
      </c>
      <c r="G1477" s="13">
        <f>SUMIFS(Movimentacoes!$G:$G,Movimentacoes!$C:$C,$A1477,Movimentacoes!$E:$E,$C1477,Movimentacoes!$B:$B,"ENTRADA")</f>
        <v/>
      </c>
      <c r="H1477" s="13">
        <f>SUMIFS(Movimentacoes!$G:$G,Movimentacoes!$C:$C,$A1477,Movimentacoes!$E:$E,$C1477,Movimentacoes!$B:$B,"SAIDA_USO")</f>
        <v/>
      </c>
      <c r="I1477" s="13">
        <f>SUMIFS(Movimentacoes!$G:$G,Movimentacoes!$C:$C,$A1477,Movimentacoes!$E:$E,$C1477,Movimentacoes!$B:$B,"SAIDA_DESCARTE")</f>
        <v/>
      </c>
      <c r="J1477" s="13">
        <f>G1477-H1477-I1477</f>
        <v/>
      </c>
      <c r="K1477">
        <f>IF(A1477="","",IF(J1477&lt;=IFERROR(VLOOKUP(A1477,Cadastro_Produtos!$A:$E,5,FALSE),0),"ABAIXO DO MINIMO","OK"))</f>
        <v/>
      </c>
    </row>
    <row r="1478">
      <c r="B1478">
        <f>IFERROR(VLOOKUP(A1478,Cadastro_Produtos!A:B,2,FALSE),"")</f>
        <v/>
      </c>
      <c r="D1478" s="12" t="n"/>
      <c r="E1478" s="13">
        <f>IF(D1478="","",D1478-TODAY())</f>
        <v/>
      </c>
      <c r="F1478">
        <f>IF(D1478="","",IF(E1478&lt;0,"VENCIDO",IF(E1478&lt;=30,"VENCE EM &lt;= 30 DIAS",IF(E1478&lt;=60,"ATENCAO (31-60 DIAS)","OK"))))</f>
        <v/>
      </c>
      <c r="G1478" s="13">
        <f>SUMIFS(Movimentacoes!$G:$G,Movimentacoes!$C:$C,$A1478,Movimentacoes!$E:$E,$C1478,Movimentacoes!$B:$B,"ENTRADA")</f>
        <v/>
      </c>
      <c r="H1478" s="13">
        <f>SUMIFS(Movimentacoes!$G:$G,Movimentacoes!$C:$C,$A1478,Movimentacoes!$E:$E,$C1478,Movimentacoes!$B:$B,"SAIDA_USO")</f>
        <v/>
      </c>
      <c r="I1478" s="13">
        <f>SUMIFS(Movimentacoes!$G:$G,Movimentacoes!$C:$C,$A1478,Movimentacoes!$E:$E,$C1478,Movimentacoes!$B:$B,"SAIDA_DESCARTE")</f>
        <v/>
      </c>
      <c r="J1478" s="13">
        <f>G1478-H1478-I1478</f>
        <v/>
      </c>
      <c r="K1478">
        <f>IF(A1478="","",IF(J1478&lt;=IFERROR(VLOOKUP(A1478,Cadastro_Produtos!$A:$E,5,FALSE),0),"ABAIXO DO MINIMO","OK"))</f>
        <v/>
      </c>
    </row>
    <row r="1479">
      <c r="B1479">
        <f>IFERROR(VLOOKUP(A1479,Cadastro_Produtos!A:B,2,FALSE),"")</f>
        <v/>
      </c>
      <c r="D1479" s="12" t="n"/>
      <c r="E1479" s="13">
        <f>IF(D1479="","",D1479-TODAY())</f>
        <v/>
      </c>
      <c r="F1479">
        <f>IF(D1479="","",IF(E1479&lt;0,"VENCIDO",IF(E1479&lt;=30,"VENCE EM &lt;= 30 DIAS",IF(E1479&lt;=60,"ATENCAO (31-60 DIAS)","OK"))))</f>
        <v/>
      </c>
      <c r="G1479" s="13">
        <f>SUMIFS(Movimentacoes!$G:$G,Movimentacoes!$C:$C,$A1479,Movimentacoes!$E:$E,$C1479,Movimentacoes!$B:$B,"ENTRADA")</f>
        <v/>
      </c>
      <c r="H1479" s="13">
        <f>SUMIFS(Movimentacoes!$G:$G,Movimentacoes!$C:$C,$A1479,Movimentacoes!$E:$E,$C1479,Movimentacoes!$B:$B,"SAIDA_USO")</f>
        <v/>
      </c>
      <c r="I1479" s="13">
        <f>SUMIFS(Movimentacoes!$G:$G,Movimentacoes!$C:$C,$A1479,Movimentacoes!$E:$E,$C1479,Movimentacoes!$B:$B,"SAIDA_DESCARTE")</f>
        <v/>
      </c>
      <c r="J1479" s="13">
        <f>G1479-H1479-I1479</f>
        <v/>
      </c>
      <c r="K1479">
        <f>IF(A1479="","",IF(J1479&lt;=IFERROR(VLOOKUP(A1479,Cadastro_Produtos!$A:$E,5,FALSE),0),"ABAIXO DO MINIMO","OK"))</f>
        <v/>
      </c>
    </row>
    <row r="1480">
      <c r="B1480">
        <f>IFERROR(VLOOKUP(A1480,Cadastro_Produtos!A:B,2,FALSE),"")</f>
        <v/>
      </c>
      <c r="D1480" s="12" t="n"/>
      <c r="E1480" s="13">
        <f>IF(D1480="","",D1480-TODAY())</f>
        <v/>
      </c>
      <c r="F1480">
        <f>IF(D1480="","",IF(E1480&lt;0,"VENCIDO",IF(E1480&lt;=30,"VENCE EM &lt;= 30 DIAS",IF(E1480&lt;=60,"ATENCAO (31-60 DIAS)","OK"))))</f>
        <v/>
      </c>
      <c r="G1480" s="13">
        <f>SUMIFS(Movimentacoes!$G:$G,Movimentacoes!$C:$C,$A1480,Movimentacoes!$E:$E,$C1480,Movimentacoes!$B:$B,"ENTRADA")</f>
        <v/>
      </c>
      <c r="H1480" s="13">
        <f>SUMIFS(Movimentacoes!$G:$G,Movimentacoes!$C:$C,$A1480,Movimentacoes!$E:$E,$C1480,Movimentacoes!$B:$B,"SAIDA_USO")</f>
        <v/>
      </c>
      <c r="I1480" s="13">
        <f>SUMIFS(Movimentacoes!$G:$G,Movimentacoes!$C:$C,$A1480,Movimentacoes!$E:$E,$C1480,Movimentacoes!$B:$B,"SAIDA_DESCARTE")</f>
        <v/>
      </c>
      <c r="J1480" s="13">
        <f>G1480-H1480-I1480</f>
        <v/>
      </c>
      <c r="K1480">
        <f>IF(A1480="","",IF(J1480&lt;=IFERROR(VLOOKUP(A1480,Cadastro_Produtos!$A:$E,5,FALSE),0),"ABAIXO DO MINIMO","OK"))</f>
        <v/>
      </c>
    </row>
    <row r="1481">
      <c r="B1481">
        <f>IFERROR(VLOOKUP(A1481,Cadastro_Produtos!A:B,2,FALSE),"")</f>
        <v/>
      </c>
      <c r="D1481" s="12" t="n"/>
      <c r="E1481" s="13">
        <f>IF(D1481="","",D1481-TODAY())</f>
        <v/>
      </c>
      <c r="F1481">
        <f>IF(D1481="","",IF(E1481&lt;0,"VENCIDO",IF(E1481&lt;=30,"VENCE EM &lt;= 30 DIAS",IF(E1481&lt;=60,"ATENCAO (31-60 DIAS)","OK"))))</f>
        <v/>
      </c>
      <c r="G1481" s="13">
        <f>SUMIFS(Movimentacoes!$G:$G,Movimentacoes!$C:$C,$A1481,Movimentacoes!$E:$E,$C1481,Movimentacoes!$B:$B,"ENTRADA")</f>
        <v/>
      </c>
      <c r="H1481" s="13">
        <f>SUMIFS(Movimentacoes!$G:$G,Movimentacoes!$C:$C,$A1481,Movimentacoes!$E:$E,$C1481,Movimentacoes!$B:$B,"SAIDA_USO")</f>
        <v/>
      </c>
      <c r="I1481" s="13">
        <f>SUMIFS(Movimentacoes!$G:$G,Movimentacoes!$C:$C,$A1481,Movimentacoes!$E:$E,$C1481,Movimentacoes!$B:$B,"SAIDA_DESCARTE")</f>
        <v/>
      </c>
      <c r="J1481" s="13">
        <f>G1481-H1481-I1481</f>
        <v/>
      </c>
      <c r="K1481">
        <f>IF(A1481="","",IF(J1481&lt;=IFERROR(VLOOKUP(A1481,Cadastro_Produtos!$A:$E,5,FALSE),0),"ABAIXO DO MINIMO","OK"))</f>
        <v/>
      </c>
    </row>
    <row r="1482">
      <c r="B1482">
        <f>IFERROR(VLOOKUP(A1482,Cadastro_Produtos!A:B,2,FALSE),"")</f>
        <v/>
      </c>
      <c r="D1482" s="12" t="n"/>
      <c r="E1482" s="13">
        <f>IF(D1482="","",D1482-TODAY())</f>
        <v/>
      </c>
      <c r="F1482">
        <f>IF(D1482="","",IF(E1482&lt;0,"VENCIDO",IF(E1482&lt;=30,"VENCE EM &lt;= 30 DIAS",IF(E1482&lt;=60,"ATENCAO (31-60 DIAS)","OK"))))</f>
        <v/>
      </c>
      <c r="G1482" s="13">
        <f>SUMIFS(Movimentacoes!$G:$G,Movimentacoes!$C:$C,$A1482,Movimentacoes!$E:$E,$C1482,Movimentacoes!$B:$B,"ENTRADA")</f>
        <v/>
      </c>
      <c r="H1482" s="13">
        <f>SUMIFS(Movimentacoes!$G:$G,Movimentacoes!$C:$C,$A1482,Movimentacoes!$E:$E,$C1482,Movimentacoes!$B:$B,"SAIDA_USO")</f>
        <v/>
      </c>
      <c r="I1482" s="13">
        <f>SUMIFS(Movimentacoes!$G:$G,Movimentacoes!$C:$C,$A1482,Movimentacoes!$E:$E,$C1482,Movimentacoes!$B:$B,"SAIDA_DESCARTE")</f>
        <v/>
      </c>
      <c r="J1482" s="13">
        <f>G1482-H1482-I1482</f>
        <v/>
      </c>
      <c r="K1482">
        <f>IF(A1482="","",IF(J1482&lt;=IFERROR(VLOOKUP(A1482,Cadastro_Produtos!$A:$E,5,FALSE),0),"ABAIXO DO MINIMO","OK"))</f>
        <v/>
      </c>
    </row>
    <row r="1483">
      <c r="B1483">
        <f>IFERROR(VLOOKUP(A1483,Cadastro_Produtos!A:B,2,FALSE),"")</f>
        <v/>
      </c>
      <c r="D1483" s="12" t="n"/>
      <c r="E1483" s="13">
        <f>IF(D1483="","",D1483-TODAY())</f>
        <v/>
      </c>
      <c r="F1483">
        <f>IF(D1483="","",IF(E1483&lt;0,"VENCIDO",IF(E1483&lt;=30,"VENCE EM &lt;= 30 DIAS",IF(E1483&lt;=60,"ATENCAO (31-60 DIAS)","OK"))))</f>
        <v/>
      </c>
      <c r="G1483" s="13">
        <f>SUMIFS(Movimentacoes!$G:$G,Movimentacoes!$C:$C,$A1483,Movimentacoes!$E:$E,$C1483,Movimentacoes!$B:$B,"ENTRADA")</f>
        <v/>
      </c>
      <c r="H1483" s="13">
        <f>SUMIFS(Movimentacoes!$G:$G,Movimentacoes!$C:$C,$A1483,Movimentacoes!$E:$E,$C1483,Movimentacoes!$B:$B,"SAIDA_USO")</f>
        <v/>
      </c>
      <c r="I1483" s="13">
        <f>SUMIFS(Movimentacoes!$G:$G,Movimentacoes!$C:$C,$A1483,Movimentacoes!$E:$E,$C1483,Movimentacoes!$B:$B,"SAIDA_DESCARTE")</f>
        <v/>
      </c>
      <c r="J1483" s="13">
        <f>G1483-H1483-I1483</f>
        <v/>
      </c>
      <c r="K1483">
        <f>IF(A1483="","",IF(J1483&lt;=IFERROR(VLOOKUP(A1483,Cadastro_Produtos!$A:$E,5,FALSE),0),"ABAIXO DO MINIMO","OK"))</f>
        <v/>
      </c>
    </row>
    <row r="1484">
      <c r="B1484">
        <f>IFERROR(VLOOKUP(A1484,Cadastro_Produtos!A:B,2,FALSE),"")</f>
        <v/>
      </c>
      <c r="D1484" s="12" t="n"/>
      <c r="E1484" s="13">
        <f>IF(D1484="","",D1484-TODAY())</f>
        <v/>
      </c>
      <c r="F1484">
        <f>IF(D1484="","",IF(E1484&lt;0,"VENCIDO",IF(E1484&lt;=30,"VENCE EM &lt;= 30 DIAS",IF(E1484&lt;=60,"ATENCAO (31-60 DIAS)","OK"))))</f>
        <v/>
      </c>
      <c r="G1484" s="13">
        <f>SUMIFS(Movimentacoes!$G:$G,Movimentacoes!$C:$C,$A1484,Movimentacoes!$E:$E,$C1484,Movimentacoes!$B:$B,"ENTRADA")</f>
        <v/>
      </c>
      <c r="H1484" s="13">
        <f>SUMIFS(Movimentacoes!$G:$G,Movimentacoes!$C:$C,$A1484,Movimentacoes!$E:$E,$C1484,Movimentacoes!$B:$B,"SAIDA_USO")</f>
        <v/>
      </c>
      <c r="I1484" s="13">
        <f>SUMIFS(Movimentacoes!$G:$G,Movimentacoes!$C:$C,$A1484,Movimentacoes!$E:$E,$C1484,Movimentacoes!$B:$B,"SAIDA_DESCARTE")</f>
        <v/>
      </c>
      <c r="J1484" s="13">
        <f>G1484-H1484-I1484</f>
        <v/>
      </c>
      <c r="K1484">
        <f>IF(A1484="","",IF(J1484&lt;=IFERROR(VLOOKUP(A1484,Cadastro_Produtos!$A:$E,5,FALSE),0),"ABAIXO DO MINIMO","OK"))</f>
        <v/>
      </c>
    </row>
    <row r="1485">
      <c r="B1485">
        <f>IFERROR(VLOOKUP(A1485,Cadastro_Produtos!A:B,2,FALSE),"")</f>
        <v/>
      </c>
      <c r="D1485" s="12" t="n"/>
      <c r="E1485" s="13">
        <f>IF(D1485="","",D1485-TODAY())</f>
        <v/>
      </c>
      <c r="F1485">
        <f>IF(D1485="","",IF(E1485&lt;0,"VENCIDO",IF(E1485&lt;=30,"VENCE EM &lt;= 30 DIAS",IF(E1485&lt;=60,"ATENCAO (31-60 DIAS)","OK"))))</f>
        <v/>
      </c>
      <c r="G1485" s="13">
        <f>SUMIFS(Movimentacoes!$G:$G,Movimentacoes!$C:$C,$A1485,Movimentacoes!$E:$E,$C1485,Movimentacoes!$B:$B,"ENTRADA")</f>
        <v/>
      </c>
      <c r="H1485" s="13">
        <f>SUMIFS(Movimentacoes!$G:$G,Movimentacoes!$C:$C,$A1485,Movimentacoes!$E:$E,$C1485,Movimentacoes!$B:$B,"SAIDA_USO")</f>
        <v/>
      </c>
      <c r="I1485" s="13">
        <f>SUMIFS(Movimentacoes!$G:$G,Movimentacoes!$C:$C,$A1485,Movimentacoes!$E:$E,$C1485,Movimentacoes!$B:$B,"SAIDA_DESCARTE")</f>
        <v/>
      </c>
      <c r="J1485" s="13">
        <f>G1485-H1485-I1485</f>
        <v/>
      </c>
      <c r="K1485">
        <f>IF(A1485="","",IF(J1485&lt;=IFERROR(VLOOKUP(A1485,Cadastro_Produtos!$A:$E,5,FALSE),0),"ABAIXO DO MINIMO","OK"))</f>
        <v/>
      </c>
    </row>
    <row r="1486">
      <c r="B1486">
        <f>IFERROR(VLOOKUP(A1486,Cadastro_Produtos!A:B,2,FALSE),"")</f>
        <v/>
      </c>
      <c r="D1486" s="12" t="n"/>
      <c r="E1486" s="13">
        <f>IF(D1486="","",D1486-TODAY())</f>
        <v/>
      </c>
      <c r="F1486">
        <f>IF(D1486="","",IF(E1486&lt;0,"VENCIDO",IF(E1486&lt;=30,"VENCE EM &lt;= 30 DIAS",IF(E1486&lt;=60,"ATENCAO (31-60 DIAS)","OK"))))</f>
        <v/>
      </c>
      <c r="G1486" s="13">
        <f>SUMIFS(Movimentacoes!$G:$G,Movimentacoes!$C:$C,$A1486,Movimentacoes!$E:$E,$C1486,Movimentacoes!$B:$B,"ENTRADA")</f>
        <v/>
      </c>
      <c r="H1486" s="13">
        <f>SUMIFS(Movimentacoes!$G:$G,Movimentacoes!$C:$C,$A1486,Movimentacoes!$E:$E,$C1486,Movimentacoes!$B:$B,"SAIDA_USO")</f>
        <v/>
      </c>
      <c r="I1486" s="13">
        <f>SUMIFS(Movimentacoes!$G:$G,Movimentacoes!$C:$C,$A1486,Movimentacoes!$E:$E,$C1486,Movimentacoes!$B:$B,"SAIDA_DESCARTE")</f>
        <v/>
      </c>
      <c r="J1486" s="13">
        <f>G1486-H1486-I1486</f>
        <v/>
      </c>
      <c r="K1486">
        <f>IF(A1486="","",IF(J1486&lt;=IFERROR(VLOOKUP(A1486,Cadastro_Produtos!$A:$E,5,FALSE),0),"ABAIXO DO MINIMO","OK"))</f>
        <v/>
      </c>
    </row>
    <row r="1487">
      <c r="B1487">
        <f>IFERROR(VLOOKUP(A1487,Cadastro_Produtos!A:B,2,FALSE),"")</f>
        <v/>
      </c>
      <c r="D1487" s="12" t="n"/>
      <c r="E1487" s="13">
        <f>IF(D1487="","",D1487-TODAY())</f>
        <v/>
      </c>
      <c r="F1487">
        <f>IF(D1487="","",IF(E1487&lt;0,"VENCIDO",IF(E1487&lt;=30,"VENCE EM &lt;= 30 DIAS",IF(E1487&lt;=60,"ATENCAO (31-60 DIAS)","OK"))))</f>
        <v/>
      </c>
      <c r="G1487" s="13">
        <f>SUMIFS(Movimentacoes!$G:$G,Movimentacoes!$C:$C,$A1487,Movimentacoes!$E:$E,$C1487,Movimentacoes!$B:$B,"ENTRADA")</f>
        <v/>
      </c>
      <c r="H1487" s="13">
        <f>SUMIFS(Movimentacoes!$G:$G,Movimentacoes!$C:$C,$A1487,Movimentacoes!$E:$E,$C1487,Movimentacoes!$B:$B,"SAIDA_USO")</f>
        <v/>
      </c>
      <c r="I1487" s="13">
        <f>SUMIFS(Movimentacoes!$G:$G,Movimentacoes!$C:$C,$A1487,Movimentacoes!$E:$E,$C1487,Movimentacoes!$B:$B,"SAIDA_DESCARTE")</f>
        <v/>
      </c>
      <c r="J1487" s="13">
        <f>G1487-H1487-I1487</f>
        <v/>
      </c>
      <c r="K1487">
        <f>IF(A1487="","",IF(J1487&lt;=IFERROR(VLOOKUP(A1487,Cadastro_Produtos!$A:$E,5,FALSE),0),"ABAIXO DO MINIMO","OK"))</f>
        <v/>
      </c>
    </row>
    <row r="1488">
      <c r="B1488">
        <f>IFERROR(VLOOKUP(A1488,Cadastro_Produtos!A:B,2,FALSE),"")</f>
        <v/>
      </c>
      <c r="D1488" s="12" t="n"/>
      <c r="E1488" s="13">
        <f>IF(D1488="","",D1488-TODAY())</f>
        <v/>
      </c>
      <c r="F1488">
        <f>IF(D1488="","",IF(E1488&lt;0,"VENCIDO",IF(E1488&lt;=30,"VENCE EM &lt;= 30 DIAS",IF(E1488&lt;=60,"ATENCAO (31-60 DIAS)","OK"))))</f>
        <v/>
      </c>
      <c r="G1488" s="13">
        <f>SUMIFS(Movimentacoes!$G:$G,Movimentacoes!$C:$C,$A1488,Movimentacoes!$E:$E,$C1488,Movimentacoes!$B:$B,"ENTRADA")</f>
        <v/>
      </c>
      <c r="H1488" s="13">
        <f>SUMIFS(Movimentacoes!$G:$G,Movimentacoes!$C:$C,$A1488,Movimentacoes!$E:$E,$C1488,Movimentacoes!$B:$B,"SAIDA_USO")</f>
        <v/>
      </c>
      <c r="I1488" s="13">
        <f>SUMIFS(Movimentacoes!$G:$G,Movimentacoes!$C:$C,$A1488,Movimentacoes!$E:$E,$C1488,Movimentacoes!$B:$B,"SAIDA_DESCARTE")</f>
        <v/>
      </c>
      <c r="J1488" s="13">
        <f>G1488-H1488-I1488</f>
        <v/>
      </c>
      <c r="K1488">
        <f>IF(A1488="","",IF(J1488&lt;=IFERROR(VLOOKUP(A1488,Cadastro_Produtos!$A:$E,5,FALSE),0),"ABAIXO DO MINIMO","OK"))</f>
        <v/>
      </c>
    </row>
    <row r="1489">
      <c r="B1489">
        <f>IFERROR(VLOOKUP(A1489,Cadastro_Produtos!A:B,2,FALSE),"")</f>
        <v/>
      </c>
      <c r="D1489" s="12" t="n"/>
      <c r="E1489" s="13">
        <f>IF(D1489="","",D1489-TODAY())</f>
        <v/>
      </c>
      <c r="F1489">
        <f>IF(D1489="","",IF(E1489&lt;0,"VENCIDO",IF(E1489&lt;=30,"VENCE EM &lt;= 30 DIAS",IF(E1489&lt;=60,"ATENCAO (31-60 DIAS)","OK"))))</f>
        <v/>
      </c>
      <c r="G1489" s="13">
        <f>SUMIFS(Movimentacoes!$G:$G,Movimentacoes!$C:$C,$A1489,Movimentacoes!$E:$E,$C1489,Movimentacoes!$B:$B,"ENTRADA")</f>
        <v/>
      </c>
      <c r="H1489" s="13">
        <f>SUMIFS(Movimentacoes!$G:$G,Movimentacoes!$C:$C,$A1489,Movimentacoes!$E:$E,$C1489,Movimentacoes!$B:$B,"SAIDA_USO")</f>
        <v/>
      </c>
      <c r="I1489" s="13">
        <f>SUMIFS(Movimentacoes!$G:$G,Movimentacoes!$C:$C,$A1489,Movimentacoes!$E:$E,$C1489,Movimentacoes!$B:$B,"SAIDA_DESCARTE")</f>
        <v/>
      </c>
      <c r="J1489" s="13">
        <f>G1489-H1489-I1489</f>
        <v/>
      </c>
      <c r="K1489">
        <f>IF(A1489="","",IF(J1489&lt;=IFERROR(VLOOKUP(A1489,Cadastro_Produtos!$A:$E,5,FALSE),0),"ABAIXO DO MINIMO","OK"))</f>
        <v/>
      </c>
    </row>
    <row r="1490">
      <c r="B1490">
        <f>IFERROR(VLOOKUP(A1490,Cadastro_Produtos!A:B,2,FALSE),"")</f>
        <v/>
      </c>
      <c r="D1490" s="12" t="n"/>
      <c r="E1490" s="13">
        <f>IF(D1490="","",D1490-TODAY())</f>
        <v/>
      </c>
      <c r="F1490">
        <f>IF(D1490="","",IF(E1490&lt;0,"VENCIDO",IF(E1490&lt;=30,"VENCE EM &lt;= 30 DIAS",IF(E1490&lt;=60,"ATENCAO (31-60 DIAS)","OK"))))</f>
        <v/>
      </c>
      <c r="G1490" s="13">
        <f>SUMIFS(Movimentacoes!$G:$G,Movimentacoes!$C:$C,$A1490,Movimentacoes!$E:$E,$C1490,Movimentacoes!$B:$B,"ENTRADA")</f>
        <v/>
      </c>
      <c r="H1490" s="13">
        <f>SUMIFS(Movimentacoes!$G:$G,Movimentacoes!$C:$C,$A1490,Movimentacoes!$E:$E,$C1490,Movimentacoes!$B:$B,"SAIDA_USO")</f>
        <v/>
      </c>
      <c r="I1490" s="13">
        <f>SUMIFS(Movimentacoes!$G:$G,Movimentacoes!$C:$C,$A1490,Movimentacoes!$E:$E,$C1490,Movimentacoes!$B:$B,"SAIDA_DESCARTE")</f>
        <v/>
      </c>
      <c r="J1490" s="13">
        <f>G1490-H1490-I1490</f>
        <v/>
      </c>
      <c r="K1490">
        <f>IF(A1490="","",IF(J1490&lt;=IFERROR(VLOOKUP(A1490,Cadastro_Produtos!$A:$E,5,FALSE),0),"ABAIXO DO MINIMO","OK"))</f>
        <v/>
      </c>
    </row>
    <row r="1491">
      <c r="B1491">
        <f>IFERROR(VLOOKUP(A1491,Cadastro_Produtos!A:B,2,FALSE),"")</f>
        <v/>
      </c>
      <c r="D1491" s="12" t="n"/>
      <c r="E1491" s="13">
        <f>IF(D1491="","",D1491-TODAY())</f>
        <v/>
      </c>
      <c r="F1491">
        <f>IF(D1491="","",IF(E1491&lt;0,"VENCIDO",IF(E1491&lt;=30,"VENCE EM &lt;= 30 DIAS",IF(E1491&lt;=60,"ATENCAO (31-60 DIAS)","OK"))))</f>
        <v/>
      </c>
      <c r="G1491" s="13">
        <f>SUMIFS(Movimentacoes!$G:$G,Movimentacoes!$C:$C,$A1491,Movimentacoes!$E:$E,$C1491,Movimentacoes!$B:$B,"ENTRADA")</f>
        <v/>
      </c>
      <c r="H1491" s="13">
        <f>SUMIFS(Movimentacoes!$G:$G,Movimentacoes!$C:$C,$A1491,Movimentacoes!$E:$E,$C1491,Movimentacoes!$B:$B,"SAIDA_USO")</f>
        <v/>
      </c>
      <c r="I1491" s="13">
        <f>SUMIFS(Movimentacoes!$G:$G,Movimentacoes!$C:$C,$A1491,Movimentacoes!$E:$E,$C1491,Movimentacoes!$B:$B,"SAIDA_DESCARTE")</f>
        <v/>
      </c>
      <c r="J1491" s="13">
        <f>G1491-H1491-I1491</f>
        <v/>
      </c>
      <c r="K1491">
        <f>IF(A1491="","",IF(J1491&lt;=IFERROR(VLOOKUP(A1491,Cadastro_Produtos!$A:$E,5,FALSE),0),"ABAIXO DO MINIMO","OK"))</f>
        <v/>
      </c>
    </row>
    <row r="1492">
      <c r="B1492">
        <f>IFERROR(VLOOKUP(A1492,Cadastro_Produtos!A:B,2,FALSE),"")</f>
        <v/>
      </c>
      <c r="D1492" s="12" t="n"/>
      <c r="E1492" s="13">
        <f>IF(D1492="","",D1492-TODAY())</f>
        <v/>
      </c>
      <c r="F1492">
        <f>IF(D1492="","",IF(E1492&lt;0,"VENCIDO",IF(E1492&lt;=30,"VENCE EM &lt;= 30 DIAS",IF(E1492&lt;=60,"ATENCAO (31-60 DIAS)","OK"))))</f>
        <v/>
      </c>
      <c r="G1492" s="13">
        <f>SUMIFS(Movimentacoes!$G:$G,Movimentacoes!$C:$C,$A1492,Movimentacoes!$E:$E,$C1492,Movimentacoes!$B:$B,"ENTRADA")</f>
        <v/>
      </c>
      <c r="H1492" s="13">
        <f>SUMIFS(Movimentacoes!$G:$G,Movimentacoes!$C:$C,$A1492,Movimentacoes!$E:$E,$C1492,Movimentacoes!$B:$B,"SAIDA_USO")</f>
        <v/>
      </c>
      <c r="I1492" s="13">
        <f>SUMIFS(Movimentacoes!$G:$G,Movimentacoes!$C:$C,$A1492,Movimentacoes!$E:$E,$C1492,Movimentacoes!$B:$B,"SAIDA_DESCARTE")</f>
        <v/>
      </c>
      <c r="J1492" s="13">
        <f>G1492-H1492-I1492</f>
        <v/>
      </c>
      <c r="K1492">
        <f>IF(A1492="","",IF(J1492&lt;=IFERROR(VLOOKUP(A1492,Cadastro_Produtos!$A:$E,5,FALSE),0),"ABAIXO DO MINIMO","OK"))</f>
        <v/>
      </c>
    </row>
    <row r="1493">
      <c r="B1493">
        <f>IFERROR(VLOOKUP(A1493,Cadastro_Produtos!A:B,2,FALSE),"")</f>
        <v/>
      </c>
      <c r="D1493" s="12" t="n"/>
      <c r="E1493" s="13">
        <f>IF(D1493="","",D1493-TODAY())</f>
        <v/>
      </c>
      <c r="F1493">
        <f>IF(D1493="","",IF(E1493&lt;0,"VENCIDO",IF(E1493&lt;=30,"VENCE EM &lt;= 30 DIAS",IF(E1493&lt;=60,"ATENCAO (31-60 DIAS)","OK"))))</f>
        <v/>
      </c>
      <c r="G1493" s="13">
        <f>SUMIFS(Movimentacoes!$G:$G,Movimentacoes!$C:$C,$A1493,Movimentacoes!$E:$E,$C1493,Movimentacoes!$B:$B,"ENTRADA")</f>
        <v/>
      </c>
      <c r="H1493" s="13">
        <f>SUMIFS(Movimentacoes!$G:$G,Movimentacoes!$C:$C,$A1493,Movimentacoes!$E:$E,$C1493,Movimentacoes!$B:$B,"SAIDA_USO")</f>
        <v/>
      </c>
      <c r="I1493" s="13">
        <f>SUMIFS(Movimentacoes!$G:$G,Movimentacoes!$C:$C,$A1493,Movimentacoes!$E:$E,$C1493,Movimentacoes!$B:$B,"SAIDA_DESCARTE")</f>
        <v/>
      </c>
      <c r="J1493" s="13">
        <f>G1493-H1493-I1493</f>
        <v/>
      </c>
      <c r="K1493">
        <f>IF(A1493="","",IF(J1493&lt;=IFERROR(VLOOKUP(A1493,Cadastro_Produtos!$A:$E,5,FALSE),0),"ABAIXO DO MINIMO","OK"))</f>
        <v/>
      </c>
    </row>
    <row r="1494">
      <c r="B1494">
        <f>IFERROR(VLOOKUP(A1494,Cadastro_Produtos!A:B,2,FALSE),"")</f>
        <v/>
      </c>
      <c r="D1494" s="12" t="n"/>
      <c r="E1494" s="13">
        <f>IF(D1494="","",D1494-TODAY())</f>
        <v/>
      </c>
      <c r="F1494">
        <f>IF(D1494="","",IF(E1494&lt;0,"VENCIDO",IF(E1494&lt;=30,"VENCE EM &lt;= 30 DIAS",IF(E1494&lt;=60,"ATENCAO (31-60 DIAS)","OK"))))</f>
        <v/>
      </c>
      <c r="G1494" s="13">
        <f>SUMIFS(Movimentacoes!$G:$G,Movimentacoes!$C:$C,$A1494,Movimentacoes!$E:$E,$C1494,Movimentacoes!$B:$B,"ENTRADA")</f>
        <v/>
      </c>
      <c r="H1494" s="13">
        <f>SUMIFS(Movimentacoes!$G:$G,Movimentacoes!$C:$C,$A1494,Movimentacoes!$E:$E,$C1494,Movimentacoes!$B:$B,"SAIDA_USO")</f>
        <v/>
      </c>
      <c r="I1494" s="13">
        <f>SUMIFS(Movimentacoes!$G:$G,Movimentacoes!$C:$C,$A1494,Movimentacoes!$E:$E,$C1494,Movimentacoes!$B:$B,"SAIDA_DESCARTE")</f>
        <v/>
      </c>
      <c r="J1494" s="13">
        <f>G1494-H1494-I1494</f>
        <v/>
      </c>
      <c r="K1494">
        <f>IF(A1494="","",IF(J1494&lt;=IFERROR(VLOOKUP(A1494,Cadastro_Produtos!$A:$E,5,FALSE),0),"ABAIXO DO MINIMO","OK"))</f>
        <v/>
      </c>
    </row>
    <row r="1495">
      <c r="B1495">
        <f>IFERROR(VLOOKUP(A1495,Cadastro_Produtos!A:B,2,FALSE),"")</f>
        <v/>
      </c>
      <c r="D1495" s="12" t="n"/>
      <c r="E1495" s="13">
        <f>IF(D1495="","",D1495-TODAY())</f>
        <v/>
      </c>
      <c r="F1495">
        <f>IF(D1495="","",IF(E1495&lt;0,"VENCIDO",IF(E1495&lt;=30,"VENCE EM &lt;= 30 DIAS",IF(E1495&lt;=60,"ATENCAO (31-60 DIAS)","OK"))))</f>
        <v/>
      </c>
      <c r="G1495" s="13">
        <f>SUMIFS(Movimentacoes!$G:$G,Movimentacoes!$C:$C,$A1495,Movimentacoes!$E:$E,$C1495,Movimentacoes!$B:$B,"ENTRADA")</f>
        <v/>
      </c>
      <c r="H1495" s="13">
        <f>SUMIFS(Movimentacoes!$G:$G,Movimentacoes!$C:$C,$A1495,Movimentacoes!$E:$E,$C1495,Movimentacoes!$B:$B,"SAIDA_USO")</f>
        <v/>
      </c>
      <c r="I1495" s="13">
        <f>SUMIFS(Movimentacoes!$G:$G,Movimentacoes!$C:$C,$A1495,Movimentacoes!$E:$E,$C1495,Movimentacoes!$B:$B,"SAIDA_DESCARTE")</f>
        <v/>
      </c>
      <c r="J1495" s="13">
        <f>G1495-H1495-I1495</f>
        <v/>
      </c>
      <c r="K1495">
        <f>IF(A1495="","",IF(J1495&lt;=IFERROR(VLOOKUP(A1495,Cadastro_Produtos!$A:$E,5,FALSE),0),"ABAIXO DO MINIMO","OK"))</f>
        <v/>
      </c>
    </row>
    <row r="1496">
      <c r="B1496">
        <f>IFERROR(VLOOKUP(A1496,Cadastro_Produtos!A:B,2,FALSE),"")</f>
        <v/>
      </c>
      <c r="D1496" s="12" t="n"/>
      <c r="E1496" s="13">
        <f>IF(D1496="","",D1496-TODAY())</f>
        <v/>
      </c>
      <c r="F1496">
        <f>IF(D1496="","",IF(E1496&lt;0,"VENCIDO",IF(E1496&lt;=30,"VENCE EM &lt;= 30 DIAS",IF(E1496&lt;=60,"ATENCAO (31-60 DIAS)","OK"))))</f>
        <v/>
      </c>
      <c r="G1496" s="13">
        <f>SUMIFS(Movimentacoes!$G:$G,Movimentacoes!$C:$C,$A1496,Movimentacoes!$E:$E,$C1496,Movimentacoes!$B:$B,"ENTRADA")</f>
        <v/>
      </c>
      <c r="H1496" s="13">
        <f>SUMIFS(Movimentacoes!$G:$G,Movimentacoes!$C:$C,$A1496,Movimentacoes!$E:$E,$C1496,Movimentacoes!$B:$B,"SAIDA_USO")</f>
        <v/>
      </c>
      <c r="I1496" s="13">
        <f>SUMIFS(Movimentacoes!$G:$G,Movimentacoes!$C:$C,$A1496,Movimentacoes!$E:$E,$C1496,Movimentacoes!$B:$B,"SAIDA_DESCARTE")</f>
        <v/>
      </c>
      <c r="J1496" s="13">
        <f>G1496-H1496-I1496</f>
        <v/>
      </c>
      <c r="K1496">
        <f>IF(A1496="","",IF(J1496&lt;=IFERROR(VLOOKUP(A1496,Cadastro_Produtos!$A:$E,5,FALSE),0),"ABAIXO DO MINIMO","OK"))</f>
        <v/>
      </c>
    </row>
    <row r="1497">
      <c r="B1497">
        <f>IFERROR(VLOOKUP(A1497,Cadastro_Produtos!A:B,2,FALSE),"")</f>
        <v/>
      </c>
      <c r="D1497" s="12" t="n"/>
      <c r="E1497" s="13">
        <f>IF(D1497="","",D1497-TODAY())</f>
        <v/>
      </c>
      <c r="F1497">
        <f>IF(D1497="","",IF(E1497&lt;0,"VENCIDO",IF(E1497&lt;=30,"VENCE EM &lt;= 30 DIAS",IF(E1497&lt;=60,"ATENCAO (31-60 DIAS)","OK"))))</f>
        <v/>
      </c>
      <c r="G1497" s="13">
        <f>SUMIFS(Movimentacoes!$G:$G,Movimentacoes!$C:$C,$A1497,Movimentacoes!$E:$E,$C1497,Movimentacoes!$B:$B,"ENTRADA")</f>
        <v/>
      </c>
      <c r="H1497" s="13">
        <f>SUMIFS(Movimentacoes!$G:$G,Movimentacoes!$C:$C,$A1497,Movimentacoes!$E:$E,$C1497,Movimentacoes!$B:$B,"SAIDA_USO")</f>
        <v/>
      </c>
      <c r="I1497" s="13">
        <f>SUMIFS(Movimentacoes!$G:$G,Movimentacoes!$C:$C,$A1497,Movimentacoes!$E:$E,$C1497,Movimentacoes!$B:$B,"SAIDA_DESCARTE")</f>
        <v/>
      </c>
      <c r="J1497" s="13">
        <f>G1497-H1497-I1497</f>
        <v/>
      </c>
      <c r="K1497">
        <f>IF(A1497="","",IF(J1497&lt;=IFERROR(VLOOKUP(A1497,Cadastro_Produtos!$A:$E,5,FALSE),0),"ABAIXO DO MINIMO","OK"))</f>
        <v/>
      </c>
    </row>
    <row r="1498">
      <c r="B1498">
        <f>IFERROR(VLOOKUP(A1498,Cadastro_Produtos!A:B,2,FALSE),"")</f>
        <v/>
      </c>
      <c r="D1498" s="12" t="n"/>
      <c r="E1498" s="13">
        <f>IF(D1498="","",D1498-TODAY())</f>
        <v/>
      </c>
      <c r="F1498">
        <f>IF(D1498="","",IF(E1498&lt;0,"VENCIDO",IF(E1498&lt;=30,"VENCE EM &lt;= 30 DIAS",IF(E1498&lt;=60,"ATENCAO (31-60 DIAS)","OK"))))</f>
        <v/>
      </c>
      <c r="G1498" s="13">
        <f>SUMIFS(Movimentacoes!$G:$G,Movimentacoes!$C:$C,$A1498,Movimentacoes!$E:$E,$C1498,Movimentacoes!$B:$B,"ENTRADA")</f>
        <v/>
      </c>
      <c r="H1498" s="13">
        <f>SUMIFS(Movimentacoes!$G:$G,Movimentacoes!$C:$C,$A1498,Movimentacoes!$E:$E,$C1498,Movimentacoes!$B:$B,"SAIDA_USO")</f>
        <v/>
      </c>
      <c r="I1498" s="13">
        <f>SUMIFS(Movimentacoes!$G:$G,Movimentacoes!$C:$C,$A1498,Movimentacoes!$E:$E,$C1498,Movimentacoes!$B:$B,"SAIDA_DESCARTE")</f>
        <v/>
      </c>
      <c r="J1498" s="13">
        <f>G1498-H1498-I1498</f>
        <v/>
      </c>
      <c r="K1498">
        <f>IF(A1498="","",IF(J1498&lt;=IFERROR(VLOOKUP(A1498,Cadastro_Produtos!$A:$E,5,FALSE),0),"ABAIXO DO MINIMO","OK"))</f>
        <v/>
      </c>
    </row>
    <row r="1499">
      <c r="B1499">
        <f>IFERROR(VLOOKUP(A1499,Cadastro_Produtos!A:B,2,FALSE),"")</f>
        <v/>
      </c>
      <c r="D1499" s="12" t="n"/>
      <c r="E1499" s="13">
        <f>IF(D1499="","",D1499-TODAY())</f>
        <v/>
      </c>
      <c r="F1499">
        <f>IF(D1499="","",IF(E1499&lt;0,"VENCIDO",IF(E1499&lt;=30,"VENCE EM &lt;= 30 DIAS",IF(E1499&lt;=60,"ATENCAO (31-60 DIAS)","OK"))))</f>
        <v/>
      </c>
      <c r="G1499" s="13">
        <f>SUMIFS(Movimentacoes!$G:$G,Movimentacoes!$C:$C,$A1499,Movimentacoes!$E:$E,$C1499,Movimentacoes!$B:$B,"ENTRADA")</f>
        <v/>
      </c>
      <c r="H1499" s="13">
        <f>SUMIFS(Movimentacoes!$G:$G,Movimentacoes!$C:$C,$A1499,Movimentacoes!$E:$E,$C1499,Movimentacoes!$B:$B,"SAIDA_USO")</f>
        <v/>
      </c>
      <c r="I1499" s="13">
        <f>SUMIFS(Movimentacoes!$G:$G,Movimentacoes!$C:$C,$A1499,Movimentacoes!$E:$E,$C1499,Movimentacoes!$B:$B,"SAIDA_DESCARTE")</f>
        <v/>
      </c>
      <c r="J1499" s="13">
        <f>G1499-H1499-I1499</f>
        <v/>
      </c>
      <c r="K1499">
        <f>IF(A1499="","",IF(J1499&lt;=IFERROR(VLOOKUP(A1499,Cadastro_Produtos!$A:$E,5,FALSE),0),"ABAIXO DO MINIMO","OK"))</f>
        <v/>
      </c>
    </row>
    <row r="1500">
      <c r="B1500">
        <f>IFERROR(VLOOKUP(A1500,Cadastro_Produtos!A:B,2,FALSE),"")</f>
        <v/>
      </c>
      <c r="D1500" s="12" t="n"/>
      <c r="E1500" s="13">
        <f>IF(D1500="","",D1500-TODAY())</f>
        <v/>
      </c>
      <c r="F1500">
        <f>IF(D1500="","",IF(E1500&lt;0,"VENCIDO",IF(E1500&lt;=30,"VENCE EM &lt;= 30 DIAS",IF(E1500&lt;=60,"ATENCAO (31-60 DIAS)","OK"))))</f>
        <v/>
      </c>
      <c r="G1500" s="13">
        <f>SUMIFS(Movimentacoes!$G:$G,Movimentacoes!$C:$C,$A1500,Movimentacoes!$E:$E,$C1500,Movimentacoes!$B:$B,"ENTRADA")</f>
        <v/>
      </c>
      <c r="H1500" s="13">
        <f>SUMIFS(Movimentacoes!$G:$G,Movimentacoes!$C:$C,$A1500,Movimentacoes!$E:$E,$C1500,Movimentacoes!$B:$B,"SAIDA_USO")</f>
        <v/>
      </c>
      <c r="I1500" s="13">
        <f>SUMIFS(Movimentacoes!$G:$G,Movimentacoes!$C:$C,$A1500,Movimentacoes!$E:$E,$C1500,Movimentacoes!$B:$B,"SAIDA_DESCARTE")</f>
        <v/>
      </c>
      <c r="J1500" s="13">
        <f>G1500-H1500-I1500</f>
        <v/>
      </c>
      <c r="K1500">
        <f>IF(A1500="","",IF(J1500&lt;=IFERROR(VLOOKUP(A1500,Cadastro_Produtos!$A:$E,5,FALSE),0),"ABAIXO DO MINIMO","OK"))</f>
        <v/>
      </c>
    </row>
    <row r="1501">
      <c r="B1501">
        <f>IFERROR(VLOOKUP(A1501,Cadastro_Produtos!A:B,2,FALSE),"")</f>
        <v/>
      </c>
      <c r="D1501" s="12" t="n"/>
      <c r="E1501" s="13">
        <f>IF(D1501="","",D1501-TODAY())</f>
        <v/>
      </c>
      <c r="F1501">
        <f>IF(D1501="","",IF(E1501&lt;0,"VENCIDO",IF(E1501&lt;=30,"VENCE EM &lt;= 30 DIAS",IF(E1501&lt;=60,"ATENCAO (31-60 DIAS)","OK"))))</f>
        <v/>
      </c>
      <c r="G1501" s="13">
        <f>SUMIFS(Movimentacoes!$G:$G,Movimentacoes!$C:$C,$A1501,Movimentacoes!$E:$E,$C1501,Movimentacoes!$B:$B,"ENTRADA")</f>
        <v/>
      </c>
      <c r="H1501" s="13">
        <f>SUMIFS(Movimentacoes!$G:$G,Movimentacoes!$C:$C,$A1501,Movimentacoes!$E:$E,$C1501,Movimentacoes!$B:$B,"SAIDA_USO")</f>
        <v/>
      </c>
      <c r="I1501" s="13">
        <f>SUMIFS(Movimentacoes!$G:$G,Movimentacoes!$C:$C,$A1501,Movimentacoes!$E:$E,$C1501,Movimentacoes!$B:$B,"SAIDA_DESCARTE")</f>
        <v/>
      </c>
      <c r="J1501" s="13">
        <f>G1501-H1501-I1501</f>
        <v/>
      </c>
      <c r="K1501">
        <f>IF(A1501="","",IF(J1501&lt;=IFERROR(VLOOKUP(A1501,Cadastro_Produtos!$A:$E,5,FALSE),0),"ABAIXO DO MINIMO","OK"))</f>
        <v/>
      </c>
    </row>
    <row r="1502">
      <c r="B1502">
        <f>IFERROR(VLOOKUP(A1502,Cadastro_Produtos!A:B,2,FALSE),"")</f>
        <v/>
      </c>
      <c r="D1502" s="12" t="n"/>
      <c r="E1502" s="13">
        <f>IF(D1502="","",D1502-TODAY())</f>
        <v/>
      </c>
      <c r="F1502">
        <f>IF(D1502="","",IF(E1502&lt;0,"VENCIDO",IF(E1502&lt;=30,"VENCE EM &lt;= 30 DIAS",IF(E1502&lt;=60,"ATENCAO (31-60 DIAS)","OK"))))</f>
        <v/>
      </c>
      <c r="G1502" s="13">
        <f>SUMIFS(Movimentacoes!$G:$G,Movimentacoes!$C:$C,$A1502,Movimentacoes!$E:$E,$C1502,Movimentacoes!$B:$B,"ENTRADA")</f>
        <v/>
      </c>
      <c r="H1502" s="13">
        <f>SUMIFS(Movimentacoes!$G:$G,Movimentacoes!$C:$C,$A1502,Movimentacoes!$E:$E,$C1502,Movimentacoes!$B:$B,"SAIDA_USO")</f>
        <v/>
      </c>
      <c r="I1502" s="13">
        <f>SUMIFS(Movimentacoes!$G:$G,Movimentacoes!$C:$C,$A1502,Movimentacoes!$E:$E,$C1502,Movimentacoes!$B:$B,"SAIDA_DESCARTE")</f>
        <v/>
      </c>
      <c r="J1502" s="13">
        <f>G1502-H1502-I1502</f>
        <v/>
      </c>
      <c r="K1502">
        <f>IF(A1502="","",IF(J1502&lt;=IFERROR(VLOOKUP(A1502,Cadastro_Produtos!$A:$E,5,FALSE),0),"ABAIXO DO MINIMO","OK"))</f>
        <v/>
      </c>
    </row>
    <row r="1503">
      <c r="B1503">
        <f>IFERROR(VLOOKUP(A1503,Cadastro_Produtos!A:B,2,FALSE),"")</f>
        <v/>
      </c>
      <c r="D1503" s="12" t="n"/>
      <c r="E1503" s="13">
        <f>IF(D1503="","",D1503-TODAY())</f>
        <v/>
      </c>
      <c r="F1503">
        <f>IF(D1503="","",IF(E1503&lt;0,"VENCIDO",IF(E1503&lt;=30,"VENCE EM &lt;= 30 DIAS",IF(E1503&lt;=60,"ATENCAO (31-60 DIAS)","OK"))))</f>
        <v/>
      </c>
      <c r="G1503" s="13">
        <f>SUMIFS(Movimentacoes!$G:$G,Movimentacoes!$C:$C,$A1503,Movimentacoes!$E:$E,$C1503,Movimentacoes!$B:$B,"ENTRADA")</f>
        <v/>
      </c>
      <c r="H1503" s="13">
        <f>SUMIFS(Movimentacoes!$G:$G,Movimentacoes!$C:$C,$A1503,Movimentacoes!$E:$E,$C1503,Movimentacoes!$B:$B,"SAIDA_USO")</f>
        <v/>
      </c>
      <c r="I1503" s="13">
        <f>SUMIFS(Movimentacoes!$G:$G,Movimentacoes!$C:$C,$A1503,Movimentacoes!$E:$E,$C1503,Movimentacoes!$B:$B,"SAIDA_DESCARTE")</f>
        <v/>
      </c>
      <c r="J1503" s="13">
        <f>G1503-H1503-I1503</f>
        <v/>
      </c>
      <c r="K1503">
        <f>IF(A1503="","",IF(J1503&lt;=IFERROR(VLOOKUP(A1503,Cadastro_Produtos!$A:$E,5,FALSE),0),"ABAIXO DO MINIMO","OK"))</f>
        <v/>
      </c>
    </row>
    <row r="1504">
      <c r="B1504">
        <f>IFERROR(VLOOKUP(A1504,Cadastro_Produtos!A:B,2,FALSE),"")</f>
        <v/>
      </c>
      <c r="D1504" s="12" t="n"/>
      <c r="E1504" s="13">
        <f>IF(D1504="","",D1504-TODAY())</f>
        <v/>
      </c>
      <c r="F1504">
        <f>IF(D1504="","",IF(E1504&lt;0,"VENCIDO",IF(E1504&lt;=30,"VENCE EM &lt;= 30 DIAS",IF(E1504&lt;=60,"ATENCAO (31-60 DIAS)","OK"))))</f>
        <v/>
      </c>
      <c r="G1504" s="13">
        <f>SUMIFS(Movimentacoes!$G:$G,Movimentacoes!$C:$C,$A1504,Movimentacoes!$E:$E,$C1504,Movimentacoes!$B:$B,"ENTRADA")</f>
        <v/>
      </c>
      <c r="H1504" s="13">
        <f>SUMIFS(Movimentacoes!$G:$G,Movimentacoes!$C:$C,$A1504,Movimentacoes!$E:$E,$C1504,Movimentacoes!$B:$B,"SAIDA_USO")</f>
        <v/>
      </c>
      <c r="I1504" s="13">
        <f>SUMIFS(Movimentacoes!$G:$G,Movimentacoes!$C:$C,$A1504,Movimentacoes!$E:$E,$C1504,Movimentacoes!$B:$B,"SAIDA_DESCARTE")</f>
        <v/>
      </c>
      <c r="J1504" s="13">
        <f>G1504-H1504-I1504</f>
        <v/>
      </c>
      <c r="K1504">
        <f>IF(A1504="","",IF(J1504&lt;=IFERROR(VLOOKUP(A1504,Cadastro_Produtos!$A:$E,5,FALSE),0),"ABAIXO DO MINIMO","OK"))</f>
        <v/>
      </c>
    </row>
    <row r="1505">
      <c r="B1505">
        <f>IFERROR(VLOOKUP(A1505,Cadastro_Produtos!A:B,2,FALSE),"")</f>
        <v/>
      </c>
      <c r="D1505" s="12" t="n"/>
      <c r="E1505" s="13">
        <f>IF(D1505="","",D1505-TODAY())</f>
        <v/>
      </c>
      <c r="F1505">
        <f>IF(D1505="","",IF(E1505&lt;0,"VENCIDO",IF(E1505&lt;=30,"VENCE EM &lt;= 30 DIAS",IF(E1505&lt;=60,"ATENCAO (31-60 DIAS)","OK"))))</f>
        <v/>
      </c>
      <c r="G1505" s="13">
        <f>SUMIFS(Movimentacoes!$G:$G,Movimentacoes!$C:$C,$A1505,Movimentacoes!$E:$E,$C1505,Movimentacoes!$B:$B,"ENTRADA")</f>
        <v/>
      </c>
      <c r="H1505" s="13">
        <f>SUMIFS(Movimentacoes!$G:$G,Movimentacoes!$C:$C,$A1505,Movimentacoes!$E:$E,$C1505,Movimentacoes!$B:$B,"SAIDA_USO")</f>
        <v/>
      </c>
      <c r="I1505" s="13">
        <f>SUMIFS(Movimentacoes!$G:$G,Movimentacoes!$C:$C,$A1505,Movimentacoes!$E:$E,$C1505,Movimentacoes!$B:$B,"SAIDA_DESCARTE")</f>
        <v/>
      </c>
      <c r="J1505" s="13">
        <f>G1505-H1505-I1505</f>
        <v/>
      </c>
      <c r="K1505">
        <f>IF(A1505="","",IF(J1505&lt;=IFERROR(VLOOKUP(A1505,Cadastro_Produtos!$A:$E,5,FALSE),0),"ABAIXO DO MINIMO","OK"))</f>
        <v/>
      </c>
    </row>
    <row r="1506">
      <c r="B1506">
        <f>IFERROR(VLOOKUP(A1506,Cadastro_Produtos!A:B,2,FALSE),"")</f>
        <v/>
      </c>
      <c r="D1506" s="12" t="n"/>
      <c r="E1506" s="13">
        <f>IF(D1506="","",D1506-TODAY())</f>
        <v/>
      </c>
      <c r="F1506">
        <f>IF(D1506="","",IF(E1506&lt;0,"VENCIDO",IF(E1506&lt;=30,"VENCE EM &lt;= 30 DIAS",IF(E1506&lt;=60,"ATENCAO (31-60 DIAS)","OK"))))</f>
        <v/>
      </c>
      <c r="G1506" s="13">
        <f>SUMIFS(Movimentacoes!$G:$G,Movimentacoes!$C:$C,$A1506,Movimentacoes!$E:$E,$C1506,Movimentacoes!$B:$B,"ENTRADA")</f>
        <v/>
      </c>
      <c r="H1506" s="13">
        <f>SUMIFS(Movimentacoes!$G:$G,Movimentacoes!$C:$C,$A1506,Movimentacoes!$E:$E,$C1506,Movimentacoes!$B:$B,"SAIDA_USO")</f>
        <v/>
      </c>
      <c r="I1506" s="13">
        <f>SUMIFS(Movimentacoes!$G:$G,Movimentacoes!$C:$C,$A1506,Movimentacoes!$E:$E,$C1506,Movimentacoes!$B:$B,"SAIDA_DESCARTE")</f>
        <v/>
      </c>
      <c r="J1506" s="13">
        <f>G1506-H1506-I1506</f>
        <v/>
      </c>
      <c r="K1506">
        <f>IF(A1506="","",IF(J1506&lt;=IFERROR(VLOOKUP(A1506,Cadastro_Produtos!$A:$E,5,FALSE),0),"ABAIXO DO MINIMO","OK"))</f>
        <v/>
      </c>
    </row>
    <row r="1507">
      <c r="B1507">
        <f>IFERROR(VLOOKUP(A1507,Cadastro_Produtos!A:B,2,FALSE),"")</f>
        <v/>
      </c>
      <c r="D1507" s="12" t="n"/>
      <c r="E1507" s="13">
        <f>IF(D1507="","",D1507-TODAY())</f>
        <v/>
      </c>
      <c r="F1507">
        <f>IF(D1507="","",IF(E1507&lt;0,"VENCIDO",IF(E1507&lt;=30,"VENCE EM &lt;= 30 DIAS",IF(E1507&lt;=60,"ATENCAO (31-60 DIAS)","OK"))))</f>
        <v/>
      </c>
      <c r="G1507" s="13">
        <f>SUMIFS(Movimentacoes!$G:$G,Movimentacoes!$C:$C,$A1507,Movimentacoes!$E:$E,$C1507,Movimentacoes!$B:$B,"ENTRADA")</f>
        <v/>
      </c>
      <c r="H1507" s="13">
        <f>SUMIFS(Movimentacoes!$G:$G,Movimentacoes!$C:$C,$A1507,Movimentacoes!$E:$E,$C1507,Movimentacoes!$B:$B,"SAIDA_USO")</f>
        <v/>
      </c>
      <c r="I1507" s="13">
        <f>SUMIFS(Movimentacoes!$G:$G,Movimentacoes!$C:$C,$A1507,Movimentacoes!$E:$E,$C1507,Movimentacoes!$B:$B,"SAIDA_DESCARTE")</f>
        <v/>
      </c>
      <c r="J1507" s="13">
        <f>G1507-H1507-I1507</f>
        <v/>
      </c>
      <c r="K1507">
        <f>IF(A1507="","",IF(J1507&lt;=IFERROR(VLOOKUP(A1507,Cadastro_Produtos!$A:$E,5,FALSE),0),"ABAIXO DO MINIMO","OK"))</f>
        <v/>
      </c>
    </row>
    <row r="1508">
      <c r="B1508">
        <f>IFERROR(VLOOKUP(A1508,Cadastro_Produtos!A:B,2,FALSE),"")</f>
        <v/>
      </c>
      <c r="D1508" s="12" t="n"/>
      <c r="E1508" s="13">
        <f>IF(D1508="","",D1508-TODAY())</f>
        <v/>
      </c>
      <c r="F1508">
        <f>IF(D1508="","",IF(E1508&lt;0,"VENCIDO",IF(E1508&lt;=30,"VENCE EM &lt;= 30 DIAS",IF(E1508&lt;=60,"ATENCAO (31-60 DIAS)","OK"))))</f>
        <v/>
      </c>
      <c r="G1508" s="13">
        <f>SUMIFS(Movimentacoes!$G:$G,Movimentacoes!$C:$C,$A1508,Movimentacoes!$E:$E,$C1508,Movimentacoes!$B:$B,"ENTRADA")</f>
        <v/>
      </c>
      <c r="H1508" s="13">
        <f>SUMIFS(Movimentacoes!$G:$G,Movimentacoes!$C:$C,$A1508,Movimentacoes!$E:$E,$C1508,Movimentacoes!$B:$B,"SAIDA_USO")</f>
        <v/>
      </c>
      <c r="I1508" s="13">
        <f>SUMIFS(Movimentacoes!$G:$G,Movimentacoes!$C:$C,$A1508,Movimentacoes!$E:$E,$C1508,Movimentacoes!$B:$B,"SAIDA_DESCARTE")</f>
        <v/>
      </c>
      <c r="J1508" s="13">
        <f>G1508-H1508-I1508</f>
        <v/>
      </c>
      <c r="K1508">
        <f>IF(A1508="","",IF(J1508&lt;=IFERROR(VLOOKUP(A1508,Cadastro_Produtos!$A:$E,5,FALSE),0),"ABAIXO DO MINIMO","OK"))</f>
        <v/>
      </c>
    </row>
    <row r="1509">
      <c r="B1509">
        <f>IFERROR(VLOOKUP(A1509,Cadastro_Produtos!A:B,2,FALSE),"")</f>
        <v/>
      </c>
      <c r="D1509" s="12" t="n"/>
      <c r="E1509" s="13">
        <f>IF(D1509="","",D1509-TODAY())</f>
        <v/>
      </c>
      <c r="F1509">
        <f>IF(D1509="","",IF(E1509&lt;0,"VENCIDO",IF(E1509&lt;=30,"VENCE EM &lt;= 30 DIAS",IF(E1509&lt;=60,"ATENCAO (31-60 DIAS)","OK"))))</f>
        <v/>
      </c>
      <c r="G1509" s="13">
        <f>SUMIFS(Movimentacoes!$G:$G,Movimentacoes!$C:$C,$A1509,Movimentacoes!$E:$E,$C1509,Movimentacoes!$B:$B,"ENTRADA")</f>
        <v/>
      </c>
      <c r="H1509" s="13">
        <f>SUMIFS(Movimentacoes!$G:$G,Movimentacoes!$C:$C,$A1509,Movimentacoes!$E:$E,$C1509,Movimentacoes!$B:$B,"SAIDA_USO")</f>
        <v/>
      </c>
      <c r="I1509" s="13">
        <f>SUMIFS(Movimentacoes!$G:$G,Movimentacoes!$C:$C,$A1509,Movimentacoes!$E:$E,$C1509,Movimentacoes!$B:$B,"SAIDA_DESCARTE")</f>
        <v/>
      </c>
      <c r="J1509" s="13">
        <f>G1509-H1509-I1509</f>
        <v/>
      </c>
      <c r="K1509">
        <f>IF(A1509="","",IF(J1509&lt;=IFERROR(VLOOKUP(A1509,Cadastro_Produtos!$A:$E,5,FALSE),0),"ABAIXO DO MINIMO","OK"))</f>
        <v/>
      </c>
    </row>
    <row r="1510">
      <c r="B1510">
        <f>IFERROR(VLOOKUP(A1510,Cadastro_Produtos!A:B,2,FALSE),"")</f>
        <v/>
      </c>
      <c r="D1510" s="12" t="n"/>
      <c r="E1510" s="13">
        <f>IF(D1510="","",D1510-TODAY())</f>
        <v/>
      </c>
      <c r="F1510">
        <f>IF(D1510="","",IF(E1510&lt;0,"VENCIDO",IF(E1510&lt;=30,"VENCE EM &lt;= 30 DIAS",IF(E1510&lt;=60,"ATENCAO (31-60 DIAS)","OK"))))</f>
        <v/>
      </c>
      <c r="G1510" s="13">
        <f>SUMIFS(Movimentacoes!$G:$G,Movimentacoes!$C:$C,$A1510,Movimentacoes!$E:$E,$C1510,Movimentacoes!$B:$B,"ENTRADA")</f>
        <v/>
      </c>
      <c r="H1510" s="13">
        <f>SUMIFS(Movimentacoes!$G:$G,Movimentacoes!$C:$C,$A1510,Movimentacoes!$E:$E,$C1510,Movimentacoes!$B:$B,"SAIDA_USO")</f>
        <v/>
      </c>
      <c r="I1510" s="13">
        <f>SUMIFS(Movimentacoes!$G:$G,Movimentacoes!$C:$C,$A1510,Movimentacoes!$E:$E,$C1510,Movimentacoes!$B:$B,"SAIDA_DESCARTE")</f>
        <v/>
      </c>
      <c r="J1510" s="13">
        <f>G1510-H1510-I1510</f>
        <v/>
      </c>
      <c r="K1510">
        <f>IF(A1510="","",IF(J1510&lt;=IFERROR(VLOOKUP(A1510,Cadastro_Produtos!$A:$E,5,FALSE),0),"ABAIXO DO MINIMO","OK"))</f>
        <v/>
      </c>
    </row>
    <row r="1511">
      <c r="B1511">
        <f>IFERROR(VLOOKUP(A1511,Cadastro_Produtos!A:B,2,FALSE),"")</f>
        <v/>
      </c>
      <c r="D1511" s="12" t="n"/>
      <c r="E1511" s="13">
        <f>IF(D1511="","",D1511-TODAY())</f>
        <v/>
      </c>
      <c r="F1511">
        <f>IF(D1511="","",IF(E1511&lt;0,"VENCIDO",IF(E1511&lt;=30,"VENCE EM &lt;= 30 DIAS",IF(E1511&lt;=60,"ATENCAO (31-60 DIAS)","OK"))))</f>
        <v/>
      </c>
      <c r="G1511" s="13">
        <f>SUMIFS(Movimentacoes!$G:$G,Movimentacoes!$C:$C,$A1511,Movimentacoes!$E:$E,$C1511,Movimentacoes!$B:$B,"ENTRADA")</f>
        <v/>
      </c>
      <c r="H1511" s="13">
        <f>SUMIFS(Movimentacoes!$G:$G,Movimentacoes!$C:$C,$A1511,Movimentacoes!$E:$E,$C1511,Movimentacoes!$B:$B,"SAIDA_USO")</f>
        <v/>
      </c>
      <c r="I1511" s="13">
        <f>SUMIFS(Movimentacoes!$G:$G,Movimentacoes!$C:$C,$A1511,Movimentacoes!$E:$E,$C1511,Movimentacoes!$B:$B,"SAIDA_DESCARTE")</f>
        <v/>
      </c>
      <c r="J1511" s="13">
        <f>G1511-H1511-I1511</f>
        <v/>
      </c>
      <c r="K1511">
        <f>IF(A1511="","",IF(J1511&lt;=IFERROR(VLOOKUP(A1511,Cadastro_Produtos!$A:$E,5,FALSE),0),"ABAIXO DO MINIMO","OK"))</f>
        <v/>
      </c>
    </row>
    <row r="1512">
      <c r="B1512">
        <f>IFERROR(VLOOKUP(A1512,Cadastro_Produtos!A:B,2,FALSE),"")</f>
        <v/>
      </c>
      <c r="D1512" s="12" t="n"/>
      <c r="E1512" s="13">
        <f>IF(D1512="","",D1512-TODAY())</f>
        <v/>
      </c>
      <c r="F1512">
        <f>IF(D1512="","",IF(E1512&lt;0,"VENCIDO",IF(E1512&lt;=30,"VENCE EM &lt;= 30 DIAS",IF(E1512&lt;=60,"ATENCAO (31-60 DIAS)","OK"))))</f>
        <v/>
      </c>
      <c r="G1512" s="13">
        <f>SUMIFS(Movimentacoes!$G:$G,Movimentacoes!$C:$C,$A1512,Movimentacoes!$E:$E,$C1512,Movimentacoes!$B:$B,"ENTRADA")</f>
        <v/>
      </c>
      <c r="H1512" s="13">
        <f>SUMIFS(Movimentacoes!$G:$G,Movimentacoes!$C:$C,$A1512,Movimentacoes!$E:$E,$C1512,Movimentacoes!$B:$B,"SAIDA_USO")</f>
        <v/>
      </c>
      <c r="I1512" s="13">
        <f>SUMIFS(Movimentacoes!$G:$G,Movimentacoes!$C:$C,$A1512,Movimentacoes!$E:$E,$C1512,Movimentacoes!$B:$B,"SAIDA_DESCARTE")</f>
        <v/>
      </c>
      <c r="J1512" s="13">
        <f>G1512-H1512-I1512</f>
        <v/>
      </c>
      <c r="K1512">
        <f>IF(A1512="","",IF(J1512&lt;=IFERROR(VLOOKUP(A1512,Cadastro_Produtos!$A:$E,5,FALSE),0),"ABAIXO DO MINIMO","OK"))</f>
        <v/>
      </c>
    </row>
    <row r="1513">
      <c r="B1513">
        <f>IFERROR(VLOOKUP(A1513,Cadastro_Produtos!A:B,2,FALSE),"")</f>
        <v/>
      </c>
      <c r="D1513" s="12" t="n"/>
      <c r="E1513" s="13">
        <f>IF(D1513="","",D1513-TODAY())</f>
        <v/>
      </c>
      <c r="F1513">
        <f>IF(D1513="","",IF(E1513&lt;0,"VENCIDO",IF(E1513&lt;=30,"VENCE EM &lt;= 30 DIAS",IF(E1513&lt;=60,"ATENCAO (31-60 DIAS)","OK"))))</f>
        <v/>
      </c>
      <c r="G1513" s="13">
        <f>SUMIFS(Movimentacoes!$G:$G,Movimentacoes!$C:$C,$A1513,Movimentacoes!$E:$E,$C1513,Movimentacoes!$B:$B,"ENTRADA")</f>
        <v/>
      </c>
      <c r="H1513" s="13">
        <f>SUMIFS(Movimentacoes!$G:$G,Movimentacoes!$C:$C,$A1513,Movimentacoes!$E:$E,$C1513,Movimentacoes!$B:$B,"SAIDA_USO")</f>
        <v/>
      </c>
      <c r="I1513" s="13">
        <f>SUMIFS(Movimentacoes!$G:$G,Movimentacoes!$C:$C,$A1513,Movimentacoes!$E:$E,$C1513,Movimentacoes!$B:$B,"SAIDA_DESCARTE")</f>
        <v/>
      </c>
      <c r="J1513" s="13">
        <f>G1513-H1513-I1513</f>
        <v/>
      </c>
      <c r="K1513">
        <f>IF(A1513="","",IF(J1513&lt;=IFERROR(VLOOKUP(A1513,Cadastro_Produtos!$A:$E,5,FALSE),0),"ABAIXO DO MINIMO","OK"))</f>
        <v/>
      </c>
    </row>
    <row r="1514">
      <c r="B1514">
        <f>IFERROR(VLOOKUP(A1514,Cadastro_Produtos!A:B,2,FALSE),"")</f>
        <v/>
      </c>
      <c r="D1514" s="12" t="n"/>
      <c r="E1514" s="13">
        <f>IF(D1514="","",D1514-TODAY())</f>
        <v/>
      </c>
      <c r="F1514">
        <f>IF(D1514="","",IF(E1514&lt;0,"VENCIDO",IF(E1514&lt;=30,"VENCE EM &lt;= 30 DIAS",IF(E1514&lt;=60,"ATENCAO (31-60 DIAS)","OK"))))</f>
        <v/>
      </c>
      <c r="G1514" s="13">
        <f>SUMIFS(Movimentacoes!$G:$G,Movimentacoes!$C:$C,$A1514,Movimentacoes!$E:$E,$C1514,Movimentacoes!$B:$B,"ENTRADA")</f>
        <v/>
      </c>
      <c r="H1514" s="13">
        <f>SUMIFS(Movimentacoes!$G:$G,Movimentacoes!$C:$C,$A1514,Movimentacoes!$E:$E,$C1514,Movimentacoes!$B:$B,"SAIDA_USO")</f>
        <v/>
      </c>
      <c r="I1514" s="13">
        <f>SUMIFS(Movimentacoes!$G:$G,Movimentacoes!$C:$C,$A1514,Movimentacoes!$E:$E,$C1514,Movimentacoes!$B:$B,"SAIDA_DESCARTE")</f>
        <v/>
      </c>
      <c r="J1514" s="13">
        <f>G1514-H1514-I1514</f>
        <v/>
      </c>
      <c r="K1514">
        <f>IF(A1514="","",IF(J1514&lt;=IFERROR(VLOOKUP(A1514,Cadastro_Produtos!$A:$E,5,FALSE),0),"ABAIXO DO MINIMO","OK"))</f>
        <v/>
      </c>
    </row>
    <row r="1515">
      <c r="B1515">
        <f>IFERROR(VLOOKUP(A1515,Cadastro_Produtos!A:B,2,FALSE),"")</f>
        <v/>
      </c>
      <c r="D1515" s="12" t="n"/>
      <c r="E1515" s="13">
        <f>IF(D1515="","",D1515-TODAY())</f>
        <v/>
      </c>
      <c r="F1515">
        <f>IF(D1515="","",IF(E1515&lt;0,"VENCIDO",IF(E1515&lt;=30,"VENCE EM &lt;= 30 DIAS",IF(E1515&lt;=60,"ATENCAO (31-60 DIAS)","OK"))))</f>
        <v/>
      </c>
      <c r="G1515" s="13">
        <f>SUMIFS(Movimentacoes!$G:$G,Movimentacoes!$C:$C,$A1515,Movimentacoes!$E:$E,$C1515,Movimentacoes!$B:$B,"ENTRADA")</f>
        <v/>
      </c>
      <c r="H1515" s="13">
        <f>SUMIFS(Movimentacoes!$G:$G,Movimentacoes!$C:$C,$A1515,Movimentacoes!$E:$E,$C1515,Movimentacoes!$B:$B,"SAIDA_USO")</f>
        <v/>
      </c>
      <c r="I1515" s="13">
        <f>SUMIFS(Movimentacoes!$G:$G,Movimentacoes!$C:$C,$A1515,Movimentacoes!$E:$E,$C1515,Movimentacoes!$B:$B,"SAIDA_DESCARTE")</f>
        <v/>
      </c>
      <c r="J1515" s="13">
        <f>G1515-H1515-I1515</f>
        <v/>
      </c>
      <c r="K1515">
        <f>IF(A1515="","",IF(J1515&lt;=IFERROR(VLOOKUP(A1515,Cadastro_Produtos!$A:$E,5,FALSE),0),"ABAIXO DO MINIMO","OK"))</f>
        <v/>
      </c>
    </row>
    <row r="1516">
      <c r="B1516">
        <f>IFERROR(VLOOKUP(A1516,Cadastro_Produtos!A:B,2,FALSE),"")</f>
        <v/>
      </c>
      <c r="D1516" s="12" t="n"/>
      <c r="E1516" s="13">
        <f>IF(D1516="","",D1516-TODAY())</f>
        <v/>
      </c>
      <c r="F1516">
        <f>IF(D1516="","",IF(E1516&lt;0,"VENCIDO",IF(E1516&lt;=30,"VENCE EM &lt;= 30 DIAS",IF(E1516&lt;=60,"ATENCAO (31-60 DIAS)","OK"))))</f>
        <v/>
      </c>
      <c r="G1516" s="13">
        <f>SUMIFS(Movimentacoes!$G:$G,Movimentacoes!$C:$C,$A1516,Movimentacoes!$E:$E,$C1516,Movimentacoes!$B:$B,"ENTRADA")</f>
        <v/>
      </c>
      <c r="H1516" s="13">
        <f>SUMIFS(Movimentacoes!$G:$G,Movimentacoes!$C:$C,$A1516,Movimentacoes!$E:$E,$C1516,Movimentacoes!$B:$B,"SAIDA_USO")</f>
        <v/>
      </c>
      <c r="I1516" s="13">
        <f>SUMIFS(Movimentacoes!$G:$G,Movimentacoes!$C:$C,$A1516,Movimentacoes!$E:$E,$C1516,Movimentacoes!$B:$B,"SAIDA_DESCARTE")</f>
        <v/>
      </c>
      <c r="J1516" s="13">
        <f>G1516-H1516-I1516</f>
        <v/>
      </c>
      <c r="K1516">
        <f>IF(A1516="","",IF(J1516&lt;=IFERROR(VLOOKUP(A1516,Cadastro_Produtos!$A:$E,5,FALSE),0),"ABAIXO DO MINIMO","OK"))</f>
        <v/>
      </c>
    </row>
    <row r="1517">
      <c r="B1517">
        <f>IFERROR(VLOOKUP(A1517,Cadastro_Produtos!A:B,2,FALSE),"")</f>
        <v/>
      </c>
      <c r="D1517" s="12" t="n"/>
      <c r="E1517" s="13">
        <f>IF(D1517="","",D1517-TODAY())</f>
        <v/>
      </c>
      <c r="F1517">
        <f>IF(D1517="","",IF(E1517&lt;0,"VENCIDO",IF(E1517&lt;=30,"VENCE EM &lt;= 30 DIAS",IF(E1517&lt;=60,"ATENCAO (31-60 DIAS)","OK"))))</f>
        <v/>
      </c>
      <c r="G1517" s="13">
        <f>SUMIFS(Movimentacoes!$G:$G,Movimentacoes!$C:$C,$A1517,Movimentacoes!$E:$E,$C1517,Movimentacoes!$B:$B,"ENTRADA")</f>
        <v/>
      </c>
      <c r="H1517" s="13">
        <f>SUMIFS(Movimentacoes!$G:$G,Movimentacoes!$C:$C,$A1517,Movimentacoes!$E:$E,$C1517,Movimentacoes!$B:$B,"SAIDA_USO")</f>
        <v/>
      </c>
      <c r="I1517" s="13">
        <f>SUMIFS(Movimentacoes!$G:$G,Movimentacoes!$C:$C,$A1517,Movimentacoes!$E:$E,$C1517,Movimentacoes!$B:$B,"SAIDA_DESCARTE")</f>
        <v/>
      </c>
      <c r="J1517" s="13">
        <f>G1517-H1517-I1517</f>
        <v/>
      </c>
      <c r="K1517">
        <f>IF(A1517="","",IF(J1517&lt;=IFERROR(VLOOKUP(A1517,Cadastro_Produtos!$A:$E,5,FALSE),0),"ABAIXO DO MINIMO","OK"))</f>
        <v/>
      </c>
    </row>
    <row r="1518">
      <c r="B1518">
        <f>IFERROR(VLOOKUP(A1518,Cadastro_Produtos!A:B,2,FALSE),"")</f>
        <v/>
      </c>
      <c r="D1518" s="12" t="n"/>
      <c r="E1518" s="13">
        <f>IF(D1518="","",D1518-TODAY())</f>
        <v/>
      </c>
      <c r="F1518">
        <f>IF(D1518="","",IF(E1518&lt;0,"VENCIDO",IF(E1518&lt;=30,"VENCE EM &lt;= 30 DIAS",IF(E1518&lt;=60,"ATENCAO (31-60 DIAS)","OK"))))</f>
        <v/>
      </c>
      <c r="G1518" s="13">
        <f>SUMIFS(Movimentacoes!$G:$G,Movimentacoes!$C:$C,$A1518,Movimentacoes!$E:$E,$C1518,Movimentacoes!$B:$B,"ENTRADA")</f>
        <v/>
      </c>
      <c r="H1518" s="13">
        <f>SUMIFS(Movimentacoes!$G:$G,Movimentacoes!$C:$C,$A1518,Movimentacoes!$E:$E,$C1518,Movimentacoes!$B:$B,"SAIDA_USO")</f>
        <v/>
      </c>
      <c r="I1518" s="13">
        <f>SUMIFS(Movimentacoes!$G:$G,Movimentacoes!$C:$C,$A1518,Movimentacoes!$E:$E,$C1518,Movimentacoes!$B:$B,"SAIDA_DESCARTE")</f>
        <v/>
      </c>
      <c r="J1518" s="13">
        <f>G1518-H1518-I1518</f>
        <v/>
      </c>
      <c r="K1518">
        <f>IF(A1518="","",IF(J1518&lt;=IFERROR(VLOOKUP(A1518,Cadastro_Produtos!$A:$E,5,FALSE),0),"ABAIXO DO MINIMO","OK"))</f>
        <v/>
      </c>
    </row>
    <row r="1519">
      <c r="B1519">
        <f>IFERROR(VLOOKUP(A1519,Cadastro_Produtos!A:B,2,FALSE),"")</f>
        <v/>
      </c>
      <c r="D1519" s="12" t="n"/>
      <c r="E1519" s="13">
        <f>IF(D1519="","",D1519-TODAY())</f>
        <v/>
      </c>
      <c r="F1519">
        <f>IF(D1519="","",IF(E1519&lt;0,"VENCIDO",IF(E1519&lt;=30,"VENCE EM &lt;= 30 DIAS",IF(E1519&lt;=60,"ATENCAO (31-60 DIAS)","OK"))))</f>
        <v/>
      </c>
      <c r="G1519" s="13">
        <f>SUMIFS(Movimentacoes!$G:$G,Movimentacoes!$C:$C,$A1519,Movimentacoes!$E:$E,$C1519,Movimentacoes!$B:$B,"ENTRADA")</f>
        <v/>
      </c>
      <c r="H1519" s="13">
        <f>SUMIFS(Movimentacoes!$G:$G,Movimentacoes!$C:$C,$A1519,Movimentacoes!$E:$E,$C1519,Movimentacoes!$B:$B,"SAIDA_USO")</f>
        <v/>
      </c>
      <c r="I1519" s="13">
        <f>SUMIFS(Movimentacoes!$G:$G,Movimentacoes!$C:$C,$A1519,Movimentacoes!$E:$E,$C1519,Movimentacoes!$B:$B,"SAIDA_DESCARTE")</f>
        <v/>
      </c>
      <c r="J1519" s="13">
        <f>G1519-H1519-I1519</f>
        <v/>
      </c>
      <c r="K1519">
        <f>IF(A1519="","",IF(J1519&lt;=IFERROR(VLOOKUP(A1519,Cadastro_Produtos!$A:$E,5,FALSE),0),"ABAIXO DO MINIMO","OK"))</f>
        <v/>
      </c>
    </row>
    <row r="1520">
      <c r="B1520">
        <f>IFERROR(VLOOKUP(A1520,Cadastro_Produtos!A:B,2,FALSE),"")</f>
        <v/>
      </c>
      <c r="D1520" s="12" t="n"/>
      <c r="E1520" s="13">
        <f>IF(D1520="","",D1520-TODAY())</f>
        <v/>
      </c>
      <c r="F1520">
        <f>IF(D1520="","",IF(E1520&lt;0,"VENCIDO",IF(E1520&lt;=30,"VENCE EM &lt;= 30 DIAS",IF(E1520&lt;=60,"ATENCAO (31-60 DIAS)","OK"))))</f>
        <v/>
      </c>
      <c r="G1520" s="13">
        <f>SUMIFS(Movimentacoes!$G:$G,Movimentacoes!$C:$C,$A1520,Movimentacoes!$E:$E,$C1520,Movimentacoes!$B:$B,"ENTRADA")</f>
        <v/>
      </c>
      <c r="H1520" s="13">
        <f>SUMIFS(Movimentacoes!$G:$G,Movimentacoes!$C:$C,$A1520,Movimentacoes!$E:$E,$C1520,Movimentacoes!$B:$B,"SAIDA_USO")</f>
        <v/>
      </c>
      <c r="I1520" s="13">
        <f>SUMIFS(Movimentacoes!$G:$G,Movimentacoes!$C:$C,$A1520,Movimentacoes!$E:$E,$C1520,Movimentacoes!$B:$B,"SAIDA_DESCARTE")</f>
        <v/>
      </c>
      <c r="J1520" s="13">
        <f>G1520-H1520-I1520</f>
        <v/>
      </c>
      <c r="K1520">
        <f>IF(A1520="","",IF(J1520&lt;=IFERROR(VLOOKUP(A1520,Cadastro_Produtos!$A:$E,5,FALSE),0),"ABAIXO DO MINIMO","OK"))</f>
        <v/>
      </c>
    </row>
    <row r="1521">
      <c r="B1521">
        <f>IFERROR(VLOOKUP(A1521,Cadastro_Produtos!A:B,2,FALSE),"")</f>
        <v/>
      </c>
      <c r="D1521" s="12" t="n"/>
      <c r="E1521" s="13">
        <f>IF(D1521="","",D1521-TODAY())</f>
        <v/>
      </c>
      <c r="F1521">
        <f>IF(D1521="","",IF(E1521&lt;0,"VENCIDO",IF(E1521&lt;=30,"VENCE EM &lt;= 30 DIAS",IF(E1521&lt;=60,"ATENCAO (31-60 DIAS)","OK"))))</f>
        <v/>
      </c>
      <c r="G1521" s="13">
        <f>SUMIFS(Movimentacoes!$G:$G,Movimentacoes!$C:$C,$A1521,Movimentacoes!$E:$E,$C1521,Movimentacoes!$B:$B,"ENTRADA")</f>
        <v/>
      </c>
      <c r="H1521" s="13">
        <f>SUMIFS(Movimentacoes!$G:$G,Movimentacoes!$C:$C,$A1521,Movimentacoes!$E:$E,$C1521,Movimentacoes!$B:$B,"SAIDA_USO")</f>
        <v/>
      </c>
      <c r="I1521" s="13">
        <f>SUMIFS(Movimentacoes!$G:$G,Movimentacoes!$C:$C,$A1521,Movimentacoes!$E:$E,$C1521,Movimentacoes!$B:$B,"SAIDA_DESCARTE")</f>
        <v/>
      </c>
      <c r="J1521" s="13">
        <f>G1521-H1521-I1521</f>
        <v/>
      </c>
      <c r="K1521">
        <f>IF(A1521="","",IF(J1521&lt;=IFERROR(VLOOKUP(A1521,Cadastro_Produtos!$A:$E,5,FALSE),0),"ABAIXO DO MINIMO","OK"))</f>
        <v/>
      </c>
    </row>
    <row r="1522">
      <c r="B1522">
        <f>IFERROR(VLOOKUP(A1522,Cadastro_Produtos!A:B,2,FALSE),"")</f>
        <v/>
      </c>
      <c r="D1522" s="12" t="n"/>
      <c r="E1522" s="13">
        <f>IF(D1522="","",D1522-TODAY())</f>
        <v/>
      </c>
      <c r="F1522">
        <f>IF(D1522="","",IF(E1522&lt;0,"VENCIDO",IF(E1522&lt;=30,"VENCE EM &lt;= 30 DIAS",IF(E1522&lt;=60,"ATENCAO (31-60 DIAS)","OK"))))</f>
        <v/>
      </c>
      <c r="G1522" s="13">
        <f>SUMIFS(Movimentacoes!$G:$G,Movimentacoes!$C:$C,$A1522,Movimentacoes!$E:$E,$C1522,Movimentacoes!$B:$B,"ENTRADA")</f>
        <v/>
      </c>
      <c r="H1522" s="13">
        <f>SUMIFS(Movimentacoes!$G:$G,Movimentacoes!$C:$C,$A1522,Movimentacoes!$E:$E,$C1522,Movimentacoes!$B:$B,"SAIDA_USO")</f>
        <v/>
      </c>
      <c r="I1522" s="13">
        <f>SUMIFS(Movimentacoes!$G:$G,Movimentacoes!$C:$C,$A1522,Movimentacoes!$E:$E,$C1522,Movimentacoes!$B:$B,"SAIDA_DESCARTE")</f>
        <v/>
      </c>
      <c r="J1522" s="13">
        <f>G1522-H1522-I1522</f>
        <v/>
      </c>
      <c r="K1522">
        <f>IF(A1522="","",IF(J1522&lt;=IFERROR(VLOOKUP(A1522,Cadastro_Produtos!$A:$E,5,FALSE),0),"ABAIXO DO MINIMO","OK"))</f>
        <v/>
      </c>
    </row>
    <row r="1523">
      <c r="B1523">
        <f>IFERROR(VLOOKUP(A1523,Cadastro_Produtos!A:B,2,FALSE),"")</f>
        <v/>
      </c>
      <c r="D1523" s="12" t="n"/>
      <c r="E1523" s="13">
        <f>IF(D1523="","",D1523-TODAY())</f>
        <v/>
      </c>
      <c r="F1523">
        <f>IF(D1523="","",IF(E1523&lt;0,"VENCIDO",IF(E1523&lt;=30,"VENCE EM &lt;= 30 DIAS",IF(E1523&lt;=60,"ATENCAO (31-60 DIAS)","OK"))))</f>
        <v/>
      </c>
      <c r="G1523" s="13">
        <f>SUMIFS(Movimentacoes!$G:$G,Movimentacoes!$C:$C,$A1523,Movimentacoes!$E:$E,$C1523,Movimentacoes!$B:$B,"ENTRADA")</f>
        <v/>
      </c>
      <c r="H1523" s="13">
        <f>SUMIFS(Movimentacoes!$G:$G,Movimentacoes!$C:$C,$A1523,Movimentacoes!$E:$E,$C1523,Movimentacoes!$B:$B,"SAIDA_USO")</f>
        <v/>
      </c>
      <c r="I1523" s="13">
        <f>SUMIFS(Movimentacoes!$G:$G,Movimentacoes!$C:$C,$A1523,Movimentacoes!$E:$E,$C1523,Movimentacoes!$B:$B,"SAIDA_DESCARTE")</f>
        <v/>
      </c>
      <c r="J1523" s="13">
        <f>G1523-H1523-I1523</f>
        <v/>
      </c>
      <c r="K1523">
        <f>IF(A1523="","",IF(J1523&lt;=IFERROR(VLOOKUP(A1523,Cadastro_Produtos!$A:$E,5,FALSE),0),"ABAIXO DO MINIMO","OK"))</f>
        <v/>
      </c>
    </row>
    <row r="1524">
      <c r="B1524">
        <f>IFERROR(VLOOKUP(A1524,Cadastro_Produtos!A:B,2,FALSE),"")</f>
        <v/>
      </c>
      <c r="D1524" s="12" t="n"/>
      <c r="E1524" s="13">
        <f>IF(D1524="","",D1524-TODAY())</f>
        <v/>
      </c>
      <c r="F1524">
        <f>IF(D1524="","",IF(E1524&lt;0,"VENCIDO",IF(E1524&lt;=30,"VENCE EM &lt;= 30 DIAS",IF(E1524&lt;=60,"ATENCAO (31-60 DIAS)","OK"))))</f>
        <v/>
      </c>
      <c r="G1524" s="13">
        <f>SUMIFS(Movimentacoes!$G:$G,Movimentacoes!$C:$C,$A1524,Movimentacoes!$E:$E,$C1524,Movimentacoes!$B:$B,"ENTRADA")</f>
        <v/>
      </c>
      <c r="H1524" s="13">
        <f>SUMIFS(Movimentacoes!$G:$G,Movimentacoes!$C:$C,$A1524,Movimentacoes!$E:$E,$C1524,Movimentacoes!$B:$B,"SAIDA_USO")</f>
        <v/>
      </c>
      <c r="I1524" s="13">
        <f>SUMIFS(Movimentacoes!$G:$G,Movimentacoes!$C:$C,$A1524,Movimentacoes!$E:$E,$C1524,Movimentacoes!$B:$B,"SAIDA_DESCARTE")</f>
        <v/>
      </c>
      <c r="J1524" s="13">
        <f>G1524-H1524-I1524</f>
        <v/>
      </c>
      <c r="K1524">
        <f>IF(A1524="","",IF(J1524&lt;=IFERROR(VLOOKUP(A1524,Cadastro_Produtos!$A:$E,5,FALSE),0),"ABAIXO DO MINIMO","OK"))</f>
        <v/>
      </c>
    </row>
    <row r="1525">
      <c r="B1525">
        <f>IFERROR(VLOOKUP(A1525,Cadastro_Produtos!A:B,2,FALSE),"")</f>
        <v/>
      </c>
      <c r="D1525" s="12" t="n"/>
      <c r="E1525" s="13">
        <f>IF(D1525="","",D1525-TODAY())</f>
        <v/>
      </c>
      <c r="F1525">
        <f>IF(D1525="","",IF(E1525&lt;0,"VENCIDO",IF(E1525&lt;=30,"VENCE EM &lt;= 30 DIAS",IF(E1525&lt;=60,"ATENCAO (31-60 DIAS)","OK"))))</f>
        <v/>
      </c>
      <c r="G1525" s="13">
        <f>SUMIFS(Movimentacoes!$G:$G,Movimentacoes!$C:$C,$A1525,Movimentacoes!$E:$E,$C1525,Movimentacoes!$B:$B,"ENTRADA")</f>
        <v/>
      </c>
      <c r="H1525" s="13">
        <f>SUMIFS(Movimentacoes!$G:$G,Movimentacoes!$C:$C,$A1525,Movimentacoes!$E:$E,$C1525,Movimentacoes!$B:$B,"SAIDA_USO")</f>
        <v/>
      </c>
      <c r="I1525" s="13">
        <f>SUMIFS(Movimentacoes!$G:$G,Movimentacoes!$C:$C,$A1525,Movimentacoes!$E:$E,$C1525,Movimentacoes!$B:$B,"SAIDA_DESCARTE")</f>
        <v/>
      </c>
      <c r="J1525" s="13">
        <f>G1525-H1525-I1525</f>
        <v/>
      </c>
      <c r="K1525">
        <f>IF(A1525="","",IF(J1525&lt;=IFERROR(VLOOKUP(A1525,Cadastro_Produtos!$A:$E,5,FALSE),0),"ABAIXO DO MINIMO","OK"))</f>
        <v/>
      </c>
    </row>
    <row r="1526">
      <c r="B1526">
        <f>IFERROR(VLOOKUP(A1526,Cadastro_Produtos!A:B,2,FALSE),"")</f>
        <v/>
      </c>
      <c r="D1526" s="12" t="n"/>
      <c r="E1526" s="13">
        <f>IF(D1526="","",D1526-TODAY())</f>
        <v/>
      </c>
      <c r="F1526">
        <f>IF(D1526="","",IF(E1526&lt;0,"VENCIDO",IF(E1526&lt;=30,"VENCE EM &lt;= 30 DIAS",IF(E1526&lt;=60,"ATENCAO (31-60 DIAS)","OK"))))</f>
        <v/>
      </c>
      <c r="G1526" s="13">
        <f>SUMIFS(Movimentacoes!$G:$G,Movimentacoes!$C:$C,$A1526,Movimentacoes!$E:$E,$C1526,Movimentacoes!$B:$B,"ENTRADA")</f>
        <v/>
      </c>
      <c r="H1526" s="13">
        <f>SUMIFS(Movimentacoes!$G:$G,Movimentacoes!$C:$C,$A1526,Movimentacoes!$E:$E,$C1526,Movimentacoes!$B:$B,"SAIDA_USO")</f>
        <v/>
      </c>
      <c r="I1526" s="13">
        <f>SUMIFS(Movimentacoes!$G:$G,Movimentacoes!$C:$C,$A1526,Movimentacoes!$E:$E,$C1526,Movimentacoes!$B:$B,"SAIDA_DESCARTE")</f>
        <v/>
      </c>
      <c r="J1526" s="13">
        <f>G1526-H1526-I1526</f>
        <v/>
      </c>
      <c r="K1526">
        <f>IF(A1526="","",IF(J1526&lt;=IFERROR(VLOOKUP(A1526,Cadastro_Produtos!$A:$E,5,FALSE),0),"ABAIXO DO MINIMO","OK"))</f>
        <v/>
      </c>
    </row>
    <row r="1527">
      <c r="B1527">
        <f>IFERROR(VLOOKUP(A1527,Cadastro_Produtos!A:B,2,FALSE),"")</f>
        <v/>
      </c>
      <c r="D1527" s="12" t="n"/>
      <c r="E1527" s="13">
        <f>IF(D1527="","",D1527-TODAY())</f>
        <v/>
      </c>
      <c r="F1527">
        <f>IF(D1527="","",IF(E1527&lt;0,"VENCIDO",IF(E1527&lt;=30,"VENCE EM &lt;= 30 DIAS",IF(E1527&lt;=60,"ATENCAO (31-60 DIAS)","OK"))))</f>
        <v/>
      </c>
      <c r="G1527" s="13">
        <f>SUMIFS(Movimentacoes!$G:$G,Movimentacoes!$C:$C,$A1527,Movimentacoes!$E:$E,$C1527,Movimentacoes!$B:$B,"ENTRADA")</f>
        <v/>
      </c>
      <c r="H1527" s="13">
        <f>SUMIFS(Movimentacoes!$G:$G,Movimentacoes!$C:$C,$A1527,Movimentacoes!$E:$E,$C1527,Movimentacoes!$B:$B,"SAIDA_USO")</f>
        <v/>
      </c>
      <c r="I1527" s="13">
        <f>SUMIFS(Movimentacoes!$G:$G,Movimentacoes!$C:$C,$A1527,Movimentacoes!$E:$E,$C1527,Movimentacoes!$B:$B,"SAIDA_DESCARTE")</f>
        <v/>
      </c>
      <c r="J1527" s="13">
        <f>G1527-H1527-I1527</f>
        <v/>
      </c>
      <c r="K1527">
        <f>IF(A1527="","",IF(J1527&lt;=IFERROR(VLOOKUP(A1527,Cadastro_Produtos!$A:$E,5,FALSE),0),"ABAIXO DO MINIMO","OK"))</f>
        <v/>
      </c>
    </row>
    <row r="1528">
      <c r="B1528">
        <f>IFERROR(VLOOKUP(A1528,Cadastro_Produtos!A:B,2,FALSE),"")</f>
        <v/>
      </c>
      <c r="D1528" s="12" t="n"/>
      <c r="E1528" s="13">
        <f>IF(D1528="","",D1528-TODAY())</f>
        <v/>
      </c>
      <c r="F1528">
        <f>IF(D1528="","",IF(E1528&lt;0,"VENCIDO",IF(E1528&lt;=30,"VENCE EM &lt;= 30 DIAS",IF(E1528&lt;=60,"ATENCAO (31-60 DIAS)","OK"))))</f>
        <v/>
      </c>
      <c r="G1528" s="13">
        <f>SUMIFS(Movimentacoes!$G:$G,Movimentacoes!$C:$C,$A1528,Movimentacoes!$E:$E,$C1528,Movimentacoes!$B:$B,"ENTRADA")</f>
        <v/>
      </c>
      <c r="H1528" s="13">
        <f>SUMIFS(Movimentacoes!$G:$G,Movimentacoes!$C:$C,$A1528,Movimentacoes!$E:$E,$C1528,Movimentacoes!$B:$B,"SAIDA_USO")</f>
        <v/>
      </c>
      <c r="I1528" s="13">
        <f>SUMIFS(Movimentacoes!$G:$G,Movimentacoes!$C:$C,$A1528,Movimentacoes!$E:$E,$C1528,Movimentacoes!$B:$B,"SAIDA_DESCARTE")</f>
        <v/>
      </c>
      <c r="J1528" s="13">
        <f>G1528-H1528-I1528</f>
        <v/>
      </c>
      <c r="K1528">
        <f>IF(A1528="","",IF(J1528&lt;=IFERROR(VLOOKUP(A1528,Cadastro_Produtos!$A:$E,5,FALSE),0),"ABAIXO DO MINIMO","OK"))</f>
        <v/>
      </c>
    </row>
    <row r="1529">
      <c r="B1529">
        <f>IFERROR(VLOOKUP(A1529,Cadastro_Produtos!A:B,2,FALSE),"")</f>
        <v/>
      </c>
      <c r="D1529" s="12" t="n"/>
      <c r="E1529" s="13">
        <f>IF(D1529="","",D1529-TODAY())</f>
        <v/>
      </c>
      <c r="F1529">
        <f>IF(D1529="","",IF(E1529&lt;0,"VENCIDO",IF(E1529&lt;=30,"VENCE EM &lt;= 30 DIAS",IF(E1529&lt;=60,"ATENCAO (31-60 DIAS)","OK"))))</f>
        <v/>
      </c>
      <c r="G1529" s="13">
        <f>SUMIFS(Movimentacoes!$G:$G,Movimentacoes!$C:$C,$A1529,Movimentacoes!$E:$E,$C1529,Movimentacoes!$B:$B,"ENTRADA")</f>
        <v/>
      </c>
      <c r="H1529" s="13">
        <f>SUMIFS(Movimentacoes!$G:$G,Movimentacoes!$C:$C,$A1529,Movimentacoes!$E:$E,$C1529,Movimentacoes!$B:$B,"SAIDA_USO")</f>
        <v/>
      </c>
      <c r="I1529" s="13">
        <f>SUMIFS(Movimentacoes!$G:$G,Movimentacoes!$C:$C,$A1529,Movimentacoes!$E:$E,$C1529,Movimentacoes!$B:$B,"SAIDA_DESCARTE")</f>
        <v/>
      </c>
      <c r="J1529" s="13">
        <f>G1529-H1529-I1529</f>
        <v/>
      </c>
      <c r="K1529">
        <f>IF(A1529="","",IF(J1529&lt;=IFERROR(VLOOKUP(A1529,Cadastro_Produtos!$A:$E,5,FALSE),0),"ABAIXO DO MINIMO","OK"))</f>
        <v/>
      </c>
    </row>
    <row r="1530">
      <c r="B1530">
        <f>IFERROR(VLOOKUP(A1530,Cadastro_Produtos!A:B,2,FALSE),"")</f>
        <v/>
      </c>
      <c r="D1530" s="12" t="n"/>
      <c r="E1530" s="13">
        <f>IF(D1530="","",D1530-TODAY())</f>
        <v/>
      </c>
      <c r="F1530">
        <f>IF(D1530="","",IF(E1530&lt;0,"VENCIDO",IF(E1530&lt;=30,"VENCE EM &lt;= 30 DIAS",IF(E1530&lt;=60,"ATENCAO (31-60 DIAS)","OK"))))</f>
        <v/>
      </c>
      <c r="G1530" s="13">
        <f>SUMIFS(Movimentacoes!$G:$G,Movimentacoes!$C:$C,$A1530,Movimentacoes!$E:$E,$C1530,Movimentacoes!$B:$B,"ENTRADA")</f>
        <v/>
      </c>
      <c r="H1530" s="13">
        <f>SUMIFS(Movimentacoes!$G:$G,Movimentacoes!$C:$C,$A1530,Movimentacoes!$E:$E,$C1530,Movimentacoes!$B:$B,"SAIDA_USO")</f>
        <v/>
      </c>
      <c r="I1530" s="13">
        <f>SUMIFS(Movimentacoes!$G:$G,Movimentacoes!$C:$C,$A1530,Movimentacoes!$E:$E,$C1530,Movimentacoes!$B:$B,"SAIDA_DESCARTE")</f>
        <v/>
      </c>
      <c r="J1530" s="13">
        <f>G1530-H1530-I1530</f>
        <v/>
      </c>
      <c r="K1530">
        <f>IF(A1530="","",IF(J1530&lt;=IFERROR(VLOOKUP(A1530,Cadastro_Produtos!$A:$E,5,FALSE),0),"ABAIXO DO MINIMO","OK"))</f>
        <v/>
      </c>
    </row>
    <row r="1531">
      <c r="B1531">
        <f>IFERROR(VLOOKUP(A1531,Cadastro_Produtos!A:B,2,FALSE),"")</f>
        <v/>
      </c>
      <c r="D1531" s="12" t="n"/>
      <c r="E1531" s="13">
        <f>IF(D1531="","",D1531-TODAY())</f>
        <v/>
      </c>
      <c r="F1531">
        <f>IF(D1531="","",IF(E1531&lt;0,"VENCIDO",IF(E1531&lt;=30,"VENCE EM &lt;= 30 DIAS",IF(E1531&lt;=60,"ATENCAO (31-60 DIAS)","OK"))))</f>
        <v/>
      </c>
      <c r="G1531" s="13">
        <f>SUMIFS(Movimentacoes!$G:$G,Movimentacoes!$C:$C,$A1531,Movimentacoes!$E:$E,$C1531,Movimentacoes!$B:$B,"ENTRADA")</f>
        <v/>
      </c>
      <c r="H1531" s="13">
        <f>SUMIFS(Movimentacoes!$G:$G,Movimentacoes!$C:$C,$A1531,Movimentacoes!$E:$E,$C1531,Movimentacoes!$B:$B,"SAIDA_USO")</f>
        <v/>
      </c>
      <c r="I1531" s="13">
        <f>SUMIFS(Movimentacoes!$G:$G,Movimentacoes!$C:$C,$A1531,Movimentacoes!$E:$E,$C1531,Movimentacoes!$B:$B,"SAIDA_DESCARTE")</f>
        <v/>
      </c>
      <c r="J1531" s="13">
        <f>G1531-H1531-I1531</f>
        <v/>
      </c>
      <c r="K1531">
        <f>IF(A1531="","",IF(J1531&lt;=IFERROR(VLOOKUP(A1531,Cadastro_Produtos!$A:$E,5,FALSE),0),"ABAIXO DO MINIMO","OK"))</f>
        <v/>
      </c>
    </row>
    <row r="1532">
      <c r="B1532">
        <f>IFERROR(VLOOKUP(A1532,Cadastro_Produtos!A:B,2,FALSE),"")</f>
        <v/>
      </c>
      <c r="D1532" s="12" t="n"/>
      <c r="E1532" s="13">
        <f>IF(D1532="","",D1532-TODAY())</f>
        <v/>
      </c>
      <c r="F1532">
        <f>IF(D1532="","",IF(E1532&lt;0,"VENCIDO",IF(E1532&lt;=30,"VENCE EM &lt;= 30 DIAS",IF(E1532&lt;=60,"ATENCAO (31-60 DIAS)","OK"))))</f>
        <v/>
      </c>
      <c r="G1532" s="13">
        <f>SUMIFS(Movimentacoes!$G:$G,Movimentacoes!$C:$C,$A1532,Movimentacoes!$E:$E,$C1532,Movimentacoes!$B:$B,"ENTRADA")</f>
        <v/>
      </c>
      <c r="H1532" s="13">
        <f>SUMIFS(Movimentacoes!$G:$G,Movimentacoes!$C:$C,$A1532,Movimentacoes!$E:$E,$C1532,Movimentacoes!$B:$B,"SAIDA_USO")</f>
        <v/>
      </c>
      <c r="I1532" s="13">
        <f>SUMIFS(Movimentacoes!$G:$G,Movimentacoes!$C:$C,$A1532,Movimentacoes!$E:$E,$C1532,Movimentacoes!$B:$B,"SAIDA_DESCARTE")</f>
        <v/>
      </c>
      <c r="J1532" s="13">
        <f>G1532-H1532-I1532</f>
        <v/>
      </c>
      <c r="K1532">
        <f>IF(A1532="","",IF(J1532&lt;=IFERROR(VLOOKUP(A1532,Cadastro_Produtos!$A:$E,5,FALSE),0),"ABAIXO DO MINIMO","OK"))</f>
        <v/>
      </c>
    </row>
    <row r="1533">
      <c r="B1533">
        <f>IFERROR(VLOOKUP(A1533,Cadastro_Produtos!A:B,2,FALSE),"")</f>
        <v/>
      </c>
      <c r="D1533" s="12" t="n"/>
      <c r="E1533" s="13">
        <f>IF(D1533="","",D1533-TODAY())</f>
        <v/>
      </c>
      <c r="F1533">
        <f>IF(D1533="","",IF(E1533&lt;0,"VENCIDO",IF(E1533&lt;=30,"VENCE EM &lt;= 30 DIAS",IF(E1533&lt;=60,"ATENCAO (31-60 DIAS)","OK"))))</f>
        <v/>
      </c>
      <c r="G1533" s="13">
        <f>SUMIFS(Movimentacoes!$G:$G,Movimentacoes!$C:$C,$A1533,Movimentacoes!$E:$E,$C1533,Movimentacoes!$B:$B,"ENTRADA")</f>
        <v/>
      </c>
      <c r="H1533" s="13">
        <f>SUMIFS(Movimentacoes!$G:$G,Movimentacoes!$C:$C,$A1533,Movimentacoes!$E:$E,$C1533,Movimentacoes!$B:$B,"SAIDA_USO")</f>
        <v/>
      </c>
      <c r="I1533" s="13">
        <f>SUMIFS(Movimentacoes!$G:$G,Movimentacoes!$C:$C,$A1533,Movimentacoes!$E:$E,$C1533,Movimentacoes!$B:$B,"SAIDA_DESCARTE")</f>
        <v/>
      </c>
      <c r="J1533" s="13">
        <f>G1533-H1533-I1533</f>
        <v/>
      </c>
      <c r="K1533">
        <f>IF(A1533="","",IF(J1533&lt;=IFERROR(VLOOKUP(A1533,Cadastro_Produtos!$A:$E,5,FALSE),0),"ABAIXO DO MINIMO","OK"))</f>
        <v/>
      </c>
    </row>
    <row r="1534">
      <c r="B1534">
        <f>IFERROR(VLOOKUP(A1534,Cadastro_Produtos!A:B,2,FALSE),"")</f>
        <v/>
      </c>
      <c r="D1534" s="12" t="n"/>
      <c r="E1534" s="13">
        <f>IF(D1534="","",D1534-TODAY())</f>
        <v/>
      </c>
      <c r="F1534">
        <f>IF(D1534="","",IF(E1534&lt;0,"VENCIDO",IF(E1534&lt;=30,"VENCE EM &lt;= 30 DIAS",IF(E1534&lt;=60,"ATENCAO (31-60 DIAS)","OK"))))</f>
        <v/>
      </c>
      <c r="G1534" s="13">
        <f>SUMIFS(Movimentacoes!$G:$G,Movimentacoes!$C:$C,$A1534,Movimentacoes!$E:$E,$C1534,Movimentacoes!$B:$B,"ENTRADA")</f>
        <v/>
      </c>
      <c r="H1534" s="13">
        <f>SUMIFS(Movimentacoes!$G:$G,Movimentacoes!$C:$C,$A1534,Movimentacoes!$E:$E,$C1534,Movimentacoes!$B:$B,"SAIDA_USO")</f>
        <v/>
      </c>
      <c r="I1534" s="13">
        <f>SUMIFS(Movimentacoes!$G:$G,Movimentacoes!$C:$C,$A1534,Movimentacoes!$E:$E,$C1534,Movimentacoes!$B:$B,"SAIDA_DESCARTE")</f>
        <v/>
      </c>
      <c r="J1534" s="13">
        <f>G1534-H1534-I1534</f>
        <v/>
      </c>
      <c r="K1534">
        <f>IF(A1534="","",IF(J1534&lt;=IFERROR(VLOOKUP(A1534,Cadastro_Produtos!$A:$E,5,FALSE),0),"ABAIXO DO MINIMO","OK"))</f>
        <v/>
      </c>
    </row>
    <row r="1535">
      <c r="B1535">
        <f>IFERROR(VLOOKUP(A1535,Cadastro_Produtos!A:B,2,FALSE),"")</f>
        <v/>
      </c>
      <c r="D1535" s="12" t="n"/>
      <c r="E1535" s="13">
        <f>IF(D1535="","",D1535-TODAY())</f>
        <v/>
      </c>
      <c r="F1535">
        <f>IF(D1535="","",IF(E1535&lt;0,"VENCIDO",IF(E1535&lt;=30,"VENCE EM &lt;= 30 DIAS",IF(E1535&lt;=60,"ATENCAO (31-60 DIAS)","OK"))))</f>
        <v/>
      </c>
      <c r="G1535" s="13">
        <f>SUMIFS(Movimentacoes!$G:$G,Movimentacoes!$C:$C,$A1535,Movimentacoes!$E:$E,$C1535,Movimentacoes!$B:$B,"ENTRADA")</f>
        <v/>
      </c>
      <c r="H1535" s="13">
        <f>SUMIFS(Movimentacoes!$G:$G,Movimentacoes!$C:$C,$A1535,Movimentacoes!$E:$E,$C1535,Movimentacoes!$B:$B,"SAIDA_USO")</f>
        <v/>
      </c>
      <c r="I1535" s="13">
        <f>SUMIFS(Movimentacoes!$G:$G,Movimentacoes!$C:$C,$A1535,Movimentacoes!$E:$E,$C1535,Movimentacoes!$B:$B,"SAIDA_DESCARTE")</f>
        <v/>
      </c>
      <c r="J1535" s="13">
        <f>G1535-H1535-I1535</f>
        <v/>
      </c>
      <c r="K1535">
        <f>IF(A1535="","",IF(J1535&lt;=IFERROR(VLOOKUP(A1535,Cadastro_Produtos!$A:$E,5,FALSE),0),"ABAIXO DO MINIMO","OK"))</f>
        <v/>
      </c>
    </row>
    <row r="1536">
      <c r="B1536">
        <f>IFERROR(VLOOKUP(A1536,Cadastro_Produtos!A:B,2,FALSE),"")</f>
        <v/>
      </c>
      <c r="D1536" s="12" t="n"/>
      <c r="E1536" s="13">
        <f>IF(D1536="","",D1536-TODAY())</f>
        <v/>
      </c>
      <c r="F1536">
        <f>IF(D1536="","",IF(E1536&lt;0,"VENCIDO",IF(E1536&lt;=30,"VENCE EM &lt;= 30 DIAS",IF(E1536&lt;=60,"ATENCAO (31-60 DIAS)","OK"))))</f>
        <v/>
      </c>
      <c r="G1536" s="13">
        <f>SUMIFS(Movimentacoes!$G:$G,Movimentacoes!$C:$C,$A1536,Movimentacoes!$E:$E,$C1536,Movimentacoes!$B:$B,"ENTRADA")</f>
        <v/>
      </c>
      <c r="H1536" s="13">
        <f>SUMIFS(Movimentacoes!$G:$G,Movimentacoes!$C:$C,$A1536,Movimentacoes!$E:$E,$C1536,Movimentacoes!$B:$B,"SAIDA_USO")</f>
        <v/>
      </c>
      <c r="I1536" s="13">
        <f>SUMIFS(Movimentacoes!$G:$G,Movimentacoes!$C:$C,$A1536,Movimentacoes!$E:$E,$C1536,Movimentacoes!$B:$B,"SAIDA_DESCARTE")</f>
        <v/>
      </c>
      <c r="J1536" s="13">
        <f>G1536-H1536-I1536</f>
        <v/>
      </c>
      <c r="K1536">
        <f>IF(A1536="","",IF(J1536&lt;=IFERROR(VLOOKUP(A1536,Cadastro_Produtos!$A:$E,5,FALSE),0),"ABAIXO DO MINIMO","OK"))</f>
        <v/>
      </c>
    </row>
    <row r="1537">
      <c r="B1537">
        <f>IFERROR(VLOOKUP(A1537,Cadastro_Produtos!A:B,2,FALSE),"")</f>
        <v/>
      </c>
      <c r="D1537" s="12" t="n"/>
      <c r="E1537" s="13">
        <f>IF(D1537="","",D1537-TODAY())</f>
        <v/>
      </c>
      <c r="F1537">
        <f>IF(D1537="","",IF(E1537&lt;0,"VENCIDO",IF(E1537&lt;=30,"VENCE EM &lt;= 30 DIAS",IF(E1537&lt;=60,"ATENCAO (31-60 DIAS)","OK"))))</f>
        <v/>
      </c>
      <c r="G1537" s="13">
        <f>SUMIFS(Movimentacoes!$G:$G,Movimentacoes!$C:$C,$A1537,Movimentacoes!$E:$E,$C1537,Movimentacoes!$B:$B,"ENTRADA")</f>
        <v/>
      </c>
      <c r="H1537" s="13">
        <f>SUMIFS(Movimentacoes!$G:$G,Movimentacoes!$C:$C,$A1537,Movimentacoes!$E:$E,$C1537,Movimentacoes!$B:$B,"SAIDA_USO")</f>
        <v/>
      </c>
      <c r="I1537" s="13">
        <f>SUMIFS(Movimentacoes!$G:$G,Movimentacoes!$C:$C,$A1537,Movimentacoes!$E:$E,$C1537,Movimentacoes!$B:$B,"SAIDA_DESCARTE")</f>
        <v/>
      </c>
      <c r="J1537" s="13">
        <f>G1537-H1537-I1537</f>
        <v/>
      </c>
      <c r="K1537">
        <f>IF(A1537="","",IF(J1537&lt;=IFERROR(VLOOKUP(A1537,Cadastro_Produtos!$A:$E,5,FALSE),0),"ABAIXO DO MINIMO","OK"))</f>
        <v/>
      </c>
    </row>
    <row r="1538">
      <c r="B1538">
        <f>IFERROR(VLOOKUP(A1538,Cadastro_Produtos!A:B,2,FALSE),"")</f>
        <v/>
      </c>
      <c r="D1538" s="12" t="n"/>
      <c r="E1538" s="13">
        <f>IF(D1538="","",D1538-TODAY())</f>
        <v/>
      </c>
      <c r="F1538">
        <f>IF(D1538="","",IF(E1538&lt;0,"VENCIDO",IF(E1538&lt;=30,"VENCE EM &lt;= 30 DIAS",IF(E1538&lt;=60,"ATENCAO (31-60 DIAS)","OK"))))</f>
        <v/>
      </c>
      <c r="G1538" s="13">
        <f>SUMIFS(Movimentacoes!$G:$G,Movimentacoes!$C:$C,$A1538,Movimentacoes!$E:$E,$C1538,Movimentacoes!$B:$B,"ENTRADA")</f>
        <v/>
      </c>
      <c r="H1538" s="13">
        <f>SUMIFS(Movimentacoes!$G:$G,Movimentacoes!$C:$C,$A1538,Movimentacoes!$E:$E,$C1538,Movimentacoes!$B:$B,"SAIDA_USO")</f>
        <v/>
      </c>
      <c r="I1538" s="13">
        <f>SUMIFS(Movimentacoes!$G:$G,Movimentacoes!$C:$C,$A1538,Movimentacoes!$E:$E,$C1538,Movimentacoes!$B:$B,"SAIDA_DESCARTE")</f>
        <v/>
      </c>
      <c r="J1538" s="13">
        <f>G1538-H1538-I1538</f>
        <v/>
      </c>
      <c r="K1538">
        <f>IF(A1538="","",IF(J1538&lt;=IFERROR(VLOOKUP(A1538,Cadastro_Produtos!$A:$E,5,FALSE),0),"ABAIXO DO MINIMO","OK"))</f>
        <v/>
      </c>
    </row>
    <row r="1539">
      <c r="B1539">
        <f>IFERROR(VLOOKUP(A1539,Cadastro_Produtos!A:B,2,FALSE),"")</f>
        <v/>
      </c>
      <c r="D1539" s="12" t="n"/>
      <c r="E1539" s="13">
        <f>IF(D1539="","",D1539-TODAY())</f>
        <v/>
      </c>
      <c r="F1539">
        <f>IF(D1539="","",IF(E1539&lt;0,"VENCIDO",IF(E1539&lt;=30,"VENCE EM &lt;= 30 DIAS",IF(E1539&lt;=60,"ATENCAO (31-60 DIAS)","OK"))))</f>
        <v/>
      </c>
      <c r="G1539" s="13">
        <f>SUMIFS(Movimentacoes!$G:$G,Movimentacoes!$C:$C,$A1539,Movimentacoes!$E:$E,$C1539,Movimentacoes!$B:$B,"ENTRADA")</f>
        <v/>
      </c>
      <c r="H1539" s="13">
        <f>SUMIFS(Movimentacoes!$G:$G,Movimentacoes!$C:$C,$A1539,Movimentacoes!$E:$E,$C1539,Movimentacoes!$B:$B,"SAIDA_USO")</f>
        <v/>
      </c>
      <c r="I1539" s="13">
        <f>SUMIFS(Movimentacoes!$G:$G,Movimentacoes!$C:$C,$A1539,Movimentacoes!$E:$E,$C1539,Movimentacoes!$B:$B,"SAIDA_DESCARTE")</f>
        <v/>
      </c>
      <c r="J1539" s="13">
        <f>G1539-H1539-I1539</f>
        <v/>
      </c>
      <c r="K1539">
        <f>IF(A1539="","",IF(J1539&lt;=IFERROR(VLOOKUP(A1539,Cadastro_Produtos!$A:$E,5,FALSE),0),"ABAIXO DO MINIMO","OK"))</f>
        <v/>
      </c>
    </row>
    <row r="1540">
      <c r="B1540">
        <f>IFERROR(VLOOKUP(A1540,Cadastro_Produtos!A:B,2,FALSE),"")</f>
        <v/>
      </c>
      <c r="D1540" s="12" t="n"/>
      <c r="E1540" s="13">
        <f>IF(D1540="","",D1540-TODAY())</f>
        <v/>
      </c>
      <c r="F1540">
        <f>IF(D1540="","",IF(E1540&lt;0,"VENCIDO",IF(E1540&lt;=30,"VENCE EM &lt;= 30 DIAS",IF(E1540&lt;=60,"ATENCAO (31-60 DIAS)","OK"))))</f>
        <v/>
      </c>
      <c r="G1540" s="13">
        <f>SUMIFS(Movimentacoes!$G:$G,Movimentacoes!$C:$C,$A1540,Movimentacoes!$E:$E,$C1540,Movimentacoes!$B:$B,"ENTRADA")</f>
        <v/>
      </c>
      <c r="H1540" s="13">
        <f>SUMIFS(Movimentacoes!$G:$G,Movimentacoes!$C:$C,$A1540,Movimentacoes!$E:$E,$C1540,Movimentacoes!$B:$B,"SAIDA_USO")</f>
        <v/>
      </c>
      <c r="I1540" s="13">
        <f>SUMIFS(Movimentacoes!$G:$G,Movimentacoes!$C:$C,$A1540,Movimentacoes!$E:$E,$C1540,Movimentacoes!$B:$B,"SAIDA_DESCARTE")</f>
        <v/>
      </c>
      <c r="J1540" s="13">
        <f>G1540-H1540-I1540</f>
        <v/>
      </c>
      <c r="K1540">
        <f>IF(A1540="","",IF(J1540&lt;=IFERROR(VLOOKUP(A1540,Cadastro_Produtos!$A:$E,5,FALSE),0),"ABAIXO DO MINIMO","OK"))</f>
        <v/>
      </c>
    </row>
    <row r="1541">
      <c r="B1541">
        <f>IFERROR(VLOOKUP(A1541,Cadastro_Produtos!A:B,2,FALSE),"")</f>
        <v/>
      </c>
      <c r="D1541" s="12" t="n"/>
      <c r="E1541" s="13">
        <f>IF(D1541="","",D1541-TODAY())</f>
        <v/>
      </c>
      <c r="F1541">
        <f>IF(D1541="","",IF(E1541&lt;0,"VENCIDO",IF(E1541&lt;=30,"VENCE EM &lt;= 30 DIAS",IF(E1541&lt;=60,"ATENCAO (31-60 DIAS)","OK"))))</f>
        <v/>
      </c>
      <c r="G1541" s="13">
        <f>SUMIFS(Movimentacoes!$G:$G,Movimentacoes!$C:$C,$A1541,Movimentacoes!$E:$E,$C1541,Movimentacoes!$B:$B,"ENTRADA")</f>
        <v/>
      </c>
      <c r="H1541" s="13">
        <f>SUMIFS(Movimentacoes!$G:$G,Movimentacoes!$C:$C,$A1541,Movimentacoes!$E:$E,$C1541,Movimentacoes!$B:$B,"SAIDA_USO")</f>
        <v/>
      </c>
      <c r="I1541" s="13">
        <f>SUMIFS(Movimentacoes!$G:$G,Movimentacoes!$C:$C,$A1541,Movimentacoes!$E:$E,$C1541,Movimentacoes!$B:$B,"SAIDA_DESCARTE")</f>
        <v/>
      </c>
      <c r="J1541" s="13">
        <f>G1541-H1541-I1541</f>
        <v/>
      </c>
      <c r="K1541">
        <f>IF(A1541="","",IF(J1541&lt;=IFERROR(VLOOKUP(A1541,Cadastro_Produtos!$A:$E,5,FALSE),0),"ABAIXO DO MINIMO","OK"))</f>
        <v/>
      </c>
    </row>
    <row r="1542">
      <c r="B1542">
        <f>IFERROR(VLOOKUP(A1542,Cadastro_Produtos!A:B,2,FALSE),"")</f>
        <v/>
      </c>
      <c r="D1542" s="12" t="n"/>
      <c r="E1542" s="13">
        <f>IF(D1542="","",D1542-TODAY())</f>
        <v/>
      </c>
      <c r="F1542">
        <f>IF(D1542="","",IF(E1542&lt;0,"VENCIDO",IF(E1542&lt;=30,"VENCE EM &lt;= 30 DIAS",IF(E1542&lt;=60,"ATENCAO (31-60 DIAS)","OK"))))</f>
        <v/>
      </c>
      <c r="G1542" s="13">
        <f>SUMIFS(Movimentacoes!$G:$G,Movimentacoes!$C:$C,$A1542,Movimentacoes!$E:$E,$C1542,Movimentacoes!$B:$B,"ENTRADA")</f>
        <v/>
      </c>
      <c r="H1542" s="13">
        <f>SUMIFS(Movimentacoes!$G:$G,Movimentacoes!$C:$C,$A1542,Movimentacoes!$E:$E,$C1542,Movimentacoes!$B:$B,"SAIDA_USO")</f>
        <v/>
      </c>
      <c r="I1542" s="13">
        <f>SUMIFS(Movimentacoes!$G:$G,Movimentacoes!$C:$C,$A1542,Movimentacoes!$E:$E,$C1542,Movimentacoes!$B:$B,"SAIDA_DESCARTE")</f>
        <v/>
      </c>
      <c r="J1542" s="13">
        <f>G1542-H1542-I1542</f>
        <v/>
      </c>
      <c r="K1542">
        <f>IF(A1542="","",IF(J1542&lt;=IFERROR(VLOOKUP(A1542,Cadastro_Produtos!$A:$E,5,FALSE),0),"ABAIXO DO MINIMO","OK"))</f>
        <v/>
      </c>
    </row>
    <row r="1543">
      <c r="B1543">
        <f>IFERROR(VLOOKUP(A1543,Cadastro_Produtos!A:B,2,FALSE),"")</f>
        <v/>
      </c>
      <c r="D1543" s="12" t="n"/>
      <c r="E1543" s="13">
        <f>IF(D1543="","",D1543-TODAY())</f>
        <v/>
      </c>
      <c r="F1543">
        <f>IF(D1543="","",IF(E1543&lt;0,"VENCIDO",IF(E1543&lt;=30,"VENCE EM &lt;= 30 DIAS",IF(E1543&lt;=60,"ATENCAO (31-60 DIAS)","OK"))))</f>
        <v/>
      </c>
      <c r="G1543" s="13">
        <f>SUMIFS(Movimentacoes!$G:$G,Movimentacoes!$C:$C,$A1543,Movimentacoes!$E:$E,$C1543,Movimentacoes!$B:$B,"ENTRADA")</f>
        <v/>
      </c>
      <c r="H1543" s="13">
        <f>SUMIFS(Movimentacoes!$G:$G,Movimentacoes!$C:$C,$A1543,Movimentacoes!$E:$E,$C1543,Movimentacoes!$B:$B,"SAIDA_USO")</f>
        <v/>
      </c>
      <c r="I1543" s="13">
        <f>SUMIFS(Movimentacoes!$G:$G,Movimentacoes!$C:$C,$A1543,Movimentacoes!$E:$E,$C1543,Movimentacoes!$B:$B,"SAIDA_DESCARTE")</f>
        <v/>
      </c>
      <c r="J1543" s="13">
        <f>G1543-H1543-I1543</f>
        <v/>
      </c>
      <c r="K1543">
        <f>IF(A1543="","",IF(J1543&lt;=IFERROR(VLOOKUP(A1543,Cadastro_Produtos!$A:$E,5,FALSE),0),"ABAIXO DO MINIMO","OK"))</f>
        <v/>
      </c>
    </row>
    <row r="1544">
      <c r="B1544">
        <f>IFERROR(VLOOKUP(A1544,Cadastro_Produtos!A:B,2,FALSE),"")</f>
        <v/>
      </c>
      <c r="D1544" s="12" t="n"/>
      <c r="E1544" s="13">
        <f>IF(D1544="","",D1544-TODAY())</f>
        <v/>
      </c>
      <c r="F1544">
        <f>IF(D1544="","",IF(E1544&lt;0,"VENCIDO",IF(E1544&lt;=30,"VENCE EM &lt;= 30 DIAS",IF(E1544&lt;=60,"ATENCAO (31-60 DIAS)","OK"))))</f>
        <v/>
      </c>
      <c r="G1544" s="13">
        <f>SUMIFS(Movimentacoes!$G:$G,Movimentacoes!$C:$C,$A1544,Movimentacoes!$E:$E,$C1544,Movimentacoes!$B:$B,"ENTRADA")</f>
        <v/>
      </c>
      <c r="H1544" s="13">
        <f>SUMIFS(Movimentacoes!$G:$G,Movimentacoes!$C:$C,$A1544,Movimentacoes!$E:$E,$C1544,Movimentacoes!$B:$B,"SAIDA_USO")</f>
        <v/>
      </c>
      <c r="I1544" s="13">
        <f>SUMIFS(Movimentacoes!$G:$G,Movimentacoes!$C:$C,$A1544,Movimentacoes!$E:$E,$C1544,Movimentacoes!$B:$B,"SAIDA_DESCARTE")</f>
        <v/>
      </c>
      <c r="J1544" s="13">
        <f>G1544-H1544-I1544</f>
        <v/>
      </c>
      <c r="K1544">
        <f>IF(A1544="","",IF(J1544&lt;=IFERROR(VLOOKUP(A1544,Cadastro_Produtos!$A:$E,5,FALSE),0),"ABAIXO DO MINIMO","OK"))</f>
        <v/>
      </c>
    </row>
    <row r="1545">
      <c r="B1545">
        <f>IFERROR(VLOOKUP(A1545,Cadastro_Produtos!A:B,2,FALSE),"")</f>
        <v/>
      </c>
      <c r="D1545" s="12" t="n"/>
      <c r="E1545" s="13">
        <f>IF(D1545="","",D1545-TODAY())</f>
        <v/>
      </c>
      <c r="F1545">
        <f>IF(D1545="","",IF(E1545&lt;0,"VENCIDO",IF(E1545&lt;=30,"VENCE EM &lt;= 30 DIAS",IF(E1545&lt;=60,"ATENCAO (31-60 DIAS)","OK"))))</f>
        <v/>
      </c>
      <c r="G1545" s="13">
        <f>SUMIFS(Movimentacoes!$G:$G,Movimentacoes!$C:$C,$A1545,Movimentacoes!$E:$E,$C1545,Movimentacoes!$B:$B,"ENTRADA")</f>
        <v/>
      </c>
      <c r="H1545" s="13">
        <f>SUMIFS(Movimentacoes!$G:$G,Movimentacoes!$C:$C,$A1545,Movimentacoes!$E:$E,$C1545,Movimentacoes!$B:$B,"SAIDA_USO")</f>
        <v/>
      </c>
      <c r="I1545" s="13">
        <f>SUMIFS(Movimentacoes!$G:$G,Movimentacoes!$C:$C,$A1545,Movimentacoes!$E:$E,$C1545,Movimentacoes!$B:$B,"SAIDA_DESCARTE")</f>
        <v/>
      </c>
      <c r="J1545" s="13">
        <f>G1545-H1545-I1545</f>
        <v/>
      </c>
      <c r="K1545">
        <f>IF(A1545="","",IF(J1545&lt;=IFERROR(VLOOKUP(A1545,Cadastro_Produtos!$A:$E,5,FALSE),0),"ABAIXO DO MINIMO","OK"))</f>
        <v/>
      </c>
    </row>
    <row r="1546">
      <c r="B1546">
        <f>IFERROR(VLOOKUP(A1546,Cadastro_Produtos!A:B,2,FALSE),"")</f>
        <v/>
      </c>
      <c r="D1546" s="12" t="n"/>
      <c r="E1546" s="13">
        <f>IF(D1546="","",D1546-TODAY())</f>
        <v/>
      </c>
      <c r="F1546">
        <f>IF(D1546="","",IF(E1546&lt;0,"VENCIDO",IF(E1546&lt;=30,"VENCE EM &lt;= 30 DIAS",IF(E1546&lt;=60,"ATENCAO (31-60 DIAS)","OK"))))</f>
        <v/>
      </c>
      <c r="G1546" s="13">
        <f>SUMIFS(Movimentacoes!$G:$G,Movimentacoes!$C:$C,$A1546,Movimentacoes!$E:$E,$C1546,Movimentacoes!$B:$B,"ENTRADA")</f>
        <v/>
      </c>
      <c r="H1546" s="13">
        <f>SUMIFS(Movimentacoes!$G:$G,Movimentacoes!$C:$C,$A1546,Movimentacoes!$E:$E,$C1546,Movimentacoes!$B:$B,"SAIDA_USO")</f>
        <v/>
      </c>
      <c r="I1546" s="13">
        <f>SUMIFS(Movimentacoes!$G:$G,Movimentacoes!$C:$C,$A1546,Movimentacoes!$E:$E,$C1546,Movimentacoes!$B:$B,"SAIDA_DESCARTE")</f>
        <v/>
      </c>
      <c r="J1546" s="13">
        <f>G1546-H1546-I1546</f>
        <v/>
      </c>
      <c r="K1546">
        <f>IF(A1546="","",IF(J1546&lt;=IFERROR(VLOOKUP(A1546,Cadastro_Produtos!$A:$E,5,FALSE),0),"ABAIXO DO MINIMO","OK"))</f>
        <v/>
      </c>
    </row>
    <row r="1547">
      <c r="B1547">
        <f>IFERROR(VLOOKUP(A1547,Cadastro_Produtos!A:B,2,FALSE),"")</f>
        <v/>
      </c>
      <c r="D1547" s="12" t="n"/>
      <c r="E1547" s="13">
        <f>IF(D1547="","",D1547-TODAY())</f>
        <v/>
      </c>
      <c r="F1547">
        <f>IF(D1547="","",IF(E1547&lt;0,"VENCIDO",IF(E1547&lt;=30,"VENCE EM &lt;= 30 DIAS",IF(E1547&lt;=60,"ATENCAO (31-60 DIAS)","OK"))))</f>
        <v/>
      </c>
      <c r="G1547" s="13">
        <f>SUMIFS(Movimentacoes!$G:$G,Movimentacoes!$C:$C,$A1547,Movimentacoes!$E:$E,$C1547,Movimentacoes!$B:$B,"ENTRADA")</f>
        <v/>
      </c>
      <c r="H1547" s="13">
        <f>SUMIFS(Movimentacoes!$G:$G,Movimentacoes!$C:$C,$A1547,Movimentacoes!$E:$E,$C1547,Movimentacoes!$B:$B,"SAIDA_USO")</f>
        <v/>
      </c>
      <c r="I1547" s="13">
        <f>SUMIFS(Movimentacoes!$G:$G,Movimentacoes!$C:$C,$A1547,Movimentacoes!$E:$E,$C1547,Movimentacoes!$B:$B,"SAIDA_DESCARTE")</f>
        <v/>
      </c>
      <c r="J1547" s="13">
        <f>G1547-H1547-I1547</f>
        <v/>
      </c>
      <c r="K1547">
        <f>IF(A1547="","",IF(J1547&lt;=IFERROR(VLOOKUP(A1547,Cadastro_Produtos!$A:$E,5,FALSE),0),"ABAIXO DO MINIMO","OK"))</f>
        <v/>
      </c>
    </row>
    <row r="1548">
      <c r="B1548">
        <f>IFERROR(VLOOKUP(A1548,Cadastro_Produtos!A:B,2,FALSE),"")</f>
        <v/>
      </c>
      <c r="D1548" s="12" t="n"/>
      <c r="E1548" s="13">
        <f>IF(D1548="","",D1548-TODAY())</f>
        <v/>
      </c>
      <c r="F1548">
        <f>IF(D1548="","",IF(E1548&lt;0,"VENCIDO",IF(E1548&lt;=30,"VENCE EM &lt;= 30 DIAS",IF(E1548&lt;=60,"ATENCAO (31-60 DIAS)","OK"))))</f>
        <v/>
      </c>
      <c r="G1548" s="13">
        <f>SUMIFS(Movimentacoes!$G:$G,Movimentacoes!$C:$C,$A1548,Movimentacoes!$E:$E,$C1548,Movimentacoes!$B:$B,"ENTRADA")</f>
        <v/>
      </c>
      <c r="H1548" s="13">
        <f>SUMIFS(Movimentacoes!$G:$G,Movimentacoes!$C:$C,$A1548,Movimentacoes!$E:$E,$C1548,Movimentacoes!$B:$B,"SAIDA_USO")</f>
        <v/>
      </c>
      <c r="I1548" s="13">
        <f>SUMIFS(Movimentacoes!$G:$G,Movimentacoes!$C:$C,$A1548,Movimentacoes!$E:$E,$C1548,Movimentacoes!$B:$B,"SAIDA_DESCARTE")</f>
        <v/>
      </c>
      <c r="J1548" s="13">
        <f>G1548-H1548-I1548</f>
        <v/>
      </c>
      <c r="K1548">
        <f>IF(A1548="","",IF(J1548&lt;=IFERROR(VLOOKUP(A1548,Cadastro_Produtos!$A:$E,5,FALSE),0),"ABAIXO DO MINIMO","OK"))</f>
        <v/>
      </c>
    </row>
    <row r="1549">
      <c r="B1549">
        <f>IFERROR(VLOOKUP(A1549,Cadastro_Produtos!A:B,2,FALSE),"")</f>
        <v/>
      </c>
      <c r="D1549" s="12" t="n"/>
      <c r="E1549" s="13">
        <f>IF(D1549="","",D1549-TODAY())</f>
        <v/>
      </c>
      <c r="F1549">
        <f>IF(D1549="","",IF(E1549&lt;0,"VENCIDO",IF(E1549&lt;=30,"VENCE EM &lt;= 30 DIAS",IF(E1549&lt;=60,"ATENCAO (31-60 DIAS)","OK"))))</f>
        <v/>
      </c>
      <c r="G1549" s="13">
        <f>SUMIFS(Movimentacoes!$G:$G,Movimentacoes!$C:$C,$A1549,Movimentacoes!$E:$E,$C1549,Movimentacoes!$B:$B,"ENTRADA")</f>
        <v/>
      </c>
      <c r="H1549" s="13">
        <f>SUMIFS(Movimentacoes!$G:$G,Movimentacoes!$C:$C,$A1549,Movimentacoes!$E:$E,$C1549,Movimentacoes!$B:$B,"SAIDA_USO")</f>
        <v/>
      </c>
      <c r="I1549" s="13">
        <f>SUMIFS(Movimentacoes!$G:$G,Movimentacoes!$C:$C,$A1549,Movimentacoes!$E:$E,$C1549,Movimentacoes!$B:$B,"SAIDA_DESCARTE")</f>
        <v/>
      </c>
      <c r="J1549" s="13">
        <f>G1549-H1549-I1549</f>
        <v/>
      </c>
      <c r="K1549">
        <f>IF(A1549="","",IF(J1549&lt;=IFERROR(VLOOKUP(A1549,Cadastro_Produtos!$A:$E,5,FALSE),0),"ABAIXO DO MINIMO","OK"))</f>
        <v/>
      </c>
    </row>
    <row r="1550">
      <c r="B1550">
        <f>IFERROR(VLOOKUP(A1550,Cadastro_Produtos!A:B,2,FALSE),"")</f>
        <v/>
      </c>
      <c r="D1550" s="12" t="n"/>
      <c r="E1550" s="13">
        <f>IF(D1550="","",D1550-TODAY())</f>
        <v/>
      </c>
      <c r="F1550">
        <f>IF(D1550="","",IF(E1550&lt;0,"VENCIDO",IF(E1550&lt;=30,"VENCE EM &lt;= 30 DIAS",IF(E1550&lt;=60,"ATENCAO (31-60 DIAS)","OK"))))</f>
        <v/>
      </c>
      <c r="G1550" s="13">
        <f>SUMIFS(Movimentacoes!$G:$G,Movimentacoes!$C:$C,$A1550,Movimentacoes!$E:$E,$C1550,Movimentacoes!$B:$B,"ENTRADA")</f>
        <v/>
      </c>
      <c r="H1550" s="13">
        <f>SUMIFS(Movimentacoes!$G:$G,Movimentacoes!$C:$C,$A1550,Movimentacoes!$E:$E,$C1550,Movimentacoes!$B:$B,"SAIDA_USO")</f>
        <v/>
      </c>
      <c r="I1550" s="13">
        <f>SUMIFS(Movimentacoes!$G:$G,Movimentacoes!$C:$C,$A1550,Movimentacoes!$E:$E,$C1550,Movimentacoes!$B:$B,"SAIDA_DESCARTE")</f>
        <v/>
      </c>
      <c r="J1550" s="13">
        <f>G1550-H1550-I1550</f>
        <v/>
      </c>
      <c r="K1550">
        <f>IF(A1550="","",IF(J1550&lt;=IFERROR(VLOOKUP(A1550,Cadastro_Produtos!$A:$E,5,FALSE),0),"ABAIXO DO MINIMO","OK"))</f>
        <v/>
      </c>
    </row>
    <row r="1551">
      <c r="B1551">
        <f>IFERROR(VLOOKUP(A1551,Cadastro_Produtos!A:B,2,FALSE),"")</f>
        <v/>
      </c>
      <c r="D1551" s="12" t="n"/>
      <c r="E1551" s="13">
        <f>IF(D1551="","",D1551-TODAY())</f>
        <v/>
      </c>
      <c r="F1551">
        <f>IF(D1551="","",IF(E1551&lt;0,"VENCIDO",IF(E1551&lt;=30,"VENCE EM &lt;= 30 DIAS",IF(E1551&lt;=60,"ATENCAO (31-60 DIAS)","OK"))))</f>
        <v/>
      </c>
      <c r="G1551" s="13">
        <f>SUMIFS(Movimentacoes!$G:$G,Movimentacoes!$C:$C,$A1551,Movimentacoes!$E:$E,$C1551,Movimentacoes!$B:$B,"ENTRADA")</f>
        <v/>
      </c>
      <c r="H1551" s="13">
        <f>SUMIFS(Movimentacoes!$G:$G,Movimentacoes!$C:$C,$A1551,Movimentacoes!$E:$E,$C1551,Movimentacoes!$B:$B,"SAIDA_USO")</f>
        <v/>
      </c>
      <c r="I1551" s="13">
        <f>SUMIFS(Movimentacoes!$G:$G,Movimentacoes!$C:$C,$A1551,Movimentacoes!$E:$E,$C1551,Movimentacoes!$B:$B,"SAIDA_DESCARTE")</f>
        <v/>
      </c>
      <c r="J1551" s="13">
        <f>G1551-H1551-I1551</f>
        <v/>
      </c>
      <c r="K1551">
        <f>IF(A1551="","",IF(J1551&lt;=IFERROR(VLOOKUP(A1551,Cadastro_Produtos!$A:$E,5,FALSE),0),"ABAIXO DO MINIMO","OK"))</f>
        <v/>
      </c>
    </row>
    <row r="1552">
      <c r="B1552">
        <f>IFERROR(VLOOKUP(A1552,Cadastro_Produtos!A:B,2,FALSE),"")</f>
        <v/>
      </c>
      <c r="D1552" s="12" t="n"/>
      <c r="E1552" s="13">
        <f>IF(D1552="","",D1552-TODAY())</f>
        <v/>
      </c>
      <c r="F1552">
        <f>IF(D1552="","",IF(E1552&lt;0,"VENCIDO",IF(E1552&lt;=30,"VENCE EM &lt;= 30 DIAS",IF(E1552&lt;=60,"ATENCAO (31-60 DIAS)","OK"))))</f>
        <v/>
      </c>
      <c r="G1552" s="13">
        <f>SUMIFS(Movimentacoes!$G:$G,Movimentacoes!$C:$C,$A1552,Movimentacoes!$E:$E,$C1552,Movimentacoes!$B:$B,"ENTRADA")</f>
        <v/>
      </c>
      <c r="H1552" s="13">
        <f>SUMIFS(Movimentacoes!$G:$G,Movimentacoes!$C:$C,$A1552,Movimentacoes!$E:$E,$C1552,Movimentacoes!$B:$B,"SAIDA_USO")</f>
        <v/>
      </c>
      <c r="I1552" s="13">
        <f>SUMIFS(Movimentacoes!$G:$G,Movimentacoes!$C:$C,$A1552,Movimentacoes!$E:$E,$C1552,Movimentacoes!$B:$B,"SAIDA_DESCARTE")</f>
        <v/>
      </c>
      <c r="J1552" s="13">
        <f>G1552-H1552-I1552</f>
        <v/>
      </c>
      <c r="K1552">
        <f>IF(A1552="","",IF(J1552&lt;=IFERROR(VLOOKUP(A1552,Cadastro_Produtos!$A:$E,5,FALSE),0),"ABAIXO DO MINIMO","OK"))</f>
        <v/>
      </c>
    </row>
    <row r="1553">
      <c r="B1553">
        <f>IFERROR(VLOOKUP(A1553,Cadastro_Produtos!A:B,2,FALSE),"")</f>
        <v/>
      </c>
      <c r="D1553" s="12" t="n"/>
      <c r="E1553" s="13">
        <f>IF(D1553="","",D1553-TODAY())</f>
        <v/>
      </c>
      <c r="F1553">
        <f>IF(D1553="","",IF(E1553&lt;0,"VENCIDO",IF(E1553&lt;=30,"VENCE EM &lt;= 30 DIAS",IF(E1553&lt;=60,"ATENCAO (31-60 DIAS)","OK"))))</f>
        <v/>
      </c>
      <c r="G1553" s="13">
        <f>SUMIFS(Movimentacoes!$G:$G,Movimentacoes!$C:$C,$A1553,Movimentacoes!$E:$E,$C1553,Movimentacoes!$B:$B,"ENTRADA")</f>
        <v/>
      </c>
      <c r="H1553" s="13">
        <f>SUMIFS(Movimentacoes!$G:$G,Movimentacoes!$C:$C,$A1553,Movimentacoes!$E:$E,$C1553,Movimentacoes!$B:$B,"SAIDA_USO")</f>
        <v/>
      </c>
      <c r="I1553" s="13">
        <f>SUMIFS(Movimentacoes!$G:$G,Movimentacoes!$C:$C,$A1553,Movimentacoes!$E:$E,$C1553,Movimentacoes!$B:$B,"SAIDA_DESCARTE")</f>
        <v/>
      </c>
      <c r="J1553" s="13">
        <f>G1553-H1553-I1553</f>
        <v/>
      </c>
      <c r="K1553">
        <f>IF(A1553="","",IF(J1553&lt;=IFERROR(VLOOKUP(A1553,Cadastro_Produtos!$A:$E,5,FALSE),0),"ABAIXO DO MINIMO","OK"))</f>
        <v/>
      </c>
    </row>
    <row r="1554">
      <c r="B1554">
        <f>IFERROR(VLOOKUP(A1554,Cadastro_Produtos!A:B,2,FALSE),"")</f>
        <v/>
      </c>
      <c r="D1554" s="12" t="n"/>
      <c r="E1554" s="13">
        <f>IF(D1554="","",D1554-TODAY())</f>
        <v/>
      </c>
      <c r="F1554">
        <f>IF(D1554="","",IF(E1554&lt;0,"VENCIDO",IF(E1554&lt;=30,"VENCE EM &lt;= 30 DIAS",IF(E1554&lt;=60,"ATENCAO (31-60 DIAS)","OK"))))</f>
        <v/>
      </c>
      <c r="G1554" s="13">
        <f>SUMIFS(Movimentacoes!$G:$G,Movimentacoes!$C:$C,$A1554,Movimentacoes!$E:$E,$C1554,Movimentacoes!$B:$B,"ENTRADA")</f>
        <v/>
      </c>
      <c r="H1554" s="13">
        <f>SUMIFS(Movimentacoes!$G:$G,Movimentacoes!$C:$C,$A1554,Movimentacoes!$E:$E,$C1554,Movimentacoes!$B:$B,"SAIDA_USO")</f>
        <v/>
      </c>
      <c r="I1554" s="13">
        <f>SUMIFS(Movimentacoes!$G:$G,Movimentacoes!$C:$C,$A1554,Movimentacoes!$E:$E,$C1554,Movimentacoes!$B:$B,"SAIDA_DESCARTE")</f>
        <v/>
      </c>
      <c r="J1554" s="13">
        <f>G1554-H1554-I1554</f>
        <v/>
      </c>
      <c r="K1554">
        <f>IF(A1554="","",IF(J1554&lt;=IFERROR(VLOOKUP(A1554,Cadastro_Produtos!$A:$E,5,FALSE),0),"ABAIXO DO MINIMO","OK"))</f>
        <v/>
      </c>
    </row>
    <row r="1555">
      <c r="B1555">
        <f>IFERROR(VLOOKUP(A1555,Cadastro_Produtos!A:B,2,FALSE),"")</f>
        <v/>
      </c>
      <c r="D1555" s="12" t="n"/>
      <c r="E1555" s="13">
        <f>IF(D1555="","",D1555-TODAY())</f>
        <v/>
      </c>
      <c r="F1555">
        <f>IF(D1555="","",IF(E1555&lt;0,"VENCIDO",IF(E1555&lt;=30,"VENCE EM &lt;= 30 DIAS",IF(E1555&lt;=60,"ATENCAO (31-60 DIAS)","OK"))))</f>
        <v/>
      </c>
      <c r="G1555" s="13">
        <f>SUMIFS(Movimentacoes!$G:$G,Movimentacoes!$C:$C,$A1555,Movimentacoes!$E:$E,$C1555,Movimentacoes!$B:$B,"ENTRADA")</f>
        <v/>
      </c>
      <c r="H1555" s="13">
        <f>SUMIFS(Movimentacoes!$G:$G,Movimentacoes!$C:$C,$A1555,Movimentacoes!$E:$E,$C1555,Movimentacoes!$B:$B,"SAIDA_USO")</f>
        <v/>
      </c>
      <c r="I1555" s="13">
        <f>SUMIFS(Movimentacoes!$G:$G,Movimentacoes!$C:$C,$A1555,Movimentacoes!$E:$E,$C1555,Movimentacoes!$B:$B,"SAIDA_DESCARTE")</f>
        <v/>
      </c>
      <c r="J1555" s="13">
        <f>G1555-H1555-I1555</f>
        <v/>
      </c>
      <c r="K1555">
        <f>IF(A1555="","",IF(J1555&lt;=IFERROR(VLOOKUP(A1555,Cadastro_Produtos!$A:$E,5,FALSE),0),"ABAIXO DO MINIMO","OK"))</f>
        <v/>
      </c>
    </row>
    <row r="1556">
      <c r="B1556">
        <f>IFERROR(VLOOKUP(A1556,Cadastro_Produtos!A:B,2,FALSE),"")</f>
        <v/>
      </c>
      <c r="D1556" s="12" t="n"/>
      <c r="E1556" s="13">
        <f>IF(D1556="","",D1556-TODAY())</f>
        <v/>
      </c>
      <c r="F1556">
        <f>IF(D1556="","",IF(E1556&lt;0,"VENCIDO",IF(E1556&lt;=30,"VENCE EM &lt;= 30 DIAS",IF(E1556&lt;=60,"ATENCAO (31-60 DIAS)","OK"))))</f>
        <v/>
      </c>
      <c r="G1556" s="13">
        <f>SUMIFS(Movimentacoes!$G:$G,Movimentacoes!$C:$C,$A1556,Movimentacoes!$E:$E,$C1556,Movimentacoes!$B:$B,"ENTRADA")</f>
        <v/>
      </c>
      <c r="H1556" s="13">
        <f>SUMIFS(Movimentacoes!$G:$G,Movimentacoes!$C:$C,$A1556,Movimentacoes!$E:$E,$C1556,Movimentacoes!$B:$B,"SAIDA_USO")</f>
        <v/>
      </c>
      <c r="I1556" s="13">
        <f>SUMIFS(Movimentacoes!$G:$G,Movimentacoes!$C:$C,$A1556,Movimentacoes!$E:$E,$C1556,Movimentacoes!$B:$B,"SAIDA_DESCARTE")</f>
        <v/>
      </c>
      <c r="J1556" s="13">
        <f>G1556-H1556-I1556</f>
        <v/>
      </c>
      <c r="K1556">
        <f>IF(A1556="","",IF(J1556&lt;=IFERROR(VLOOKUP(A1556,Cadastro_Produtos!$A:$E,5,FALSE),0),"ABAIXO DO MINIMO","OK"))</f>
        <v/>
      </c>
    </row>
    <row r="1557">
      <c r="B1557">
        <f>IFERROR(VLOOKUP(A1557,Cadastro_Produtos!A:B,2,FALSE),"")</f>
        <v/>
      </c>
      <c r="D1557" s="12" t="n"/>
      <c r="E1557" s="13">
        <f>IF(D1557="","",D1557-TODAY())</f>
        <v/>
      </c>
      <c r="F1557">
        <f>IF(D1557="","",IF(E1557&lt;0,"VENCIDO",IF(E1557&lt;=30,"VENCE EM &lt;= 30 DIAS",IF(E1557&lt;=60,"ATENCAO (31-60 DIAS)","OK"))))</f>
        <v/>
      </c>
      <c r="G1557" s="13">
        <f>SUMIFS(Movimentacoes!$G:$G,Movimentacoes!$C:$C,$A1557,Movimentacoes!$E:$E,$C1557,Movimentacoes!$B:$B,"ENTRADA")</f>
        <v/>
      </c>
      <c r="H1557" s="13">
        <f>SUMIFS(Movimentacoes!$G:$G,Movimentacoes!$C:$C,$A1557,Movimentacoes!$E:$E,$C1557,Movimentacoes!$B:$B,"SAIDA_USO")</f>
        <v/>
      </c>
      <c r="I1557" s="13">
        <f>SUMIFS(Movimentacoes!$G:$G,Movimentacoes!$C:$C,$A1557,Movimentacoes!$E:$E,$C1557,Movimentacoes!$B:$B,"SAIDA_DESCARTE")</f>
        <v/>
      </c>
      <c r="J1557" s="13">
        <f>G1557-H1557-I1557</f>
        <v/>
      </c>
      <c r="K1557">
        <f>IF(A1557="","",IF(J1557&lt;=IFERROR(VLOOKUP(A1557,Cadastro_Produtos!$A:$E,5,FALSE),0),"ABAIXO DO MINIMO","OK"))</f>
        <v/>
      </c>
    </row>
    <row r="1558">
      <c r="B1558">
        <f>IFERROR(VLOOKUP(A1558,Cadastro_Produtos!A:B,2,FALSE),"")</f>
        <v/>
      </c>
      <c r="D1558" s="12" t="n"/>
      <c r="E1558" s="13">
        <f>IF(D1558="","",D1558-TODAY())</f>
        <v/>
      </c>
      <c r="F1558">
        <f>IF(D1558="","",IF(E1558&lt;0,"VENCIDO",IF(E1558&lt;=30,"VENCE EM &lt;= 30 DIAS",IF(E1558&lt;=60,"ATENCAO (31-60 DIAS)","OK"))))</f>
        <v/>
      </c>
      <c r="G1558" s="13">
        <f>SUMIFS(Movimentacoes!$G:$G,Movimentacoes!$C:$C,$A1558,Movimentacoes!$E:$E,$C1558,Movimentacoes!$B:$B,"ENTRADA")</f>
        <v/>
      </c>
      <c r="H1558" s="13">
        <f>SUMIFS(Movimentacoes!$G:$G,Movimentacoes!$C:$C,$A1558,Movimentacoes!$E:$E,$C1558,Movimentacoes!$B:$B,"SAIDA_USO")</f>
        <v/>
      </c>
      <c r="I1558" s="13">
        <f>SUMIFS(Movimentacoes!$G:$G,Movimentacoes!$C:$C,$A1558,Movimentacoes!$E:$E,$C1558,Movimentacoes!$B:$B,"SAIDA_DESCARTE")</f>
        <v/>
      </c>
      <c r="J1558" s="13">
        <f>G1558-H1558-I1558</f>
        <v/>
      </c>
      <c r="K1558">
        <f>IF(A1558="","",IF(J1558&lt;=IFERROR(VLOOKUP(A1558,Cadastro_Produtos!$A:$E,5,FALSE),0),"ABAIXO DO MINIMO","OK"))</f>
        <v/>
      </c>
    </row>
    <row r="1559">
      <c r="B1559">
        <f>IFERROR(VLOOKUP(A1559,Cadastro_Produtos!A:B,2,FALSE),"")</f>
        <v/>
      </c>
      <c r="D1559" s="12" t="n"/>
      <c r="E1559" s="13">
        <f>IF(D1559="","",D1559-TODAY())</f>
        <v/>
      </c>
      <c r="F1559">
        <f>IF(D1559="","",IF(E1559&lt;0,"VENCIDO",IF(E1559&lt;=30,"VENCE EM &lt;= 30 DIAS",IF(E1559&lt;=60,"ATENCAO (31-60 DIAS)","OK"))))</f>
        <v/>
      </c>
      <c r="G1559" s="13">
        <f>SUMIFS(Movimentacoes!$G:$G,Movimentacoes!$C:$C,$A1559,Movimentacoes!$E:$E,$C1559,Movimentacoes!$B:$B,"ENTRADA")</f>
        <v/>
      </c>
      <c r="H1559" s="13">
        <f>SUMIFS(Movimentacoes!$G:$G,Movimentacoes!$C:$C,$A1559,Movimentacoes!$E:$E,$C1559,Movimentacoes!$B:$B,"SAIDA_USO")</f>
        <v/>
      </c>
      <c r="I1559" s="13">
        <f>SUMIFS(Movimentacoes!$G:$G,Movimentacoes!$C:$C,$A1559,Movimentacoes!$E:$E,$C1559,Movimentacoes!$B:$B,"SAIDA_DESCARTE")</f>
        <v/>
      </c>
      <c r="J1559" s="13">
        <f>G1559-H1559-I1559</f>
        <v/>
      </c>
      <c r="K1559">
        <f>IF(A1559="","",IF(J1559&lt;=IFERROR(VLOOKUP(A1559,Cadastro_Produtos!$A:$E,5,FALSE),0),"ABAIXO DO MINIMO","OK"))</f>
        <v/>
      </c>
    </row>
    <row r="1560">
      <c r="B1560">
        <f>IFERROR(VLOOKUP(A1560,Cadastro_Produtos!A:B,2,FALSE),"")</f>
        <v/>
      </c>
      <c r="D1560" s="12" t="n"/>
      <c r="E1560" s="13">
        <f>IF(D1560="","",D1560-TODAY())</f>
        <v/>
      </c>
      <c r="F1560">
        <f>IF(D1560="","",IF(E1560&lt;0,"VENCIDO",IF(E1560&lt;=30,"VENCE EM &lt;= 30 DIAS",IF(E1560&lt;=60,"ATENCAO (31-60 DIAS)","OK"))))</f>
        <v/>
      </c>
      <c r="G1560" s="13">
        <f>SUMIFS(Movimentacoes!$G:$G,Movimentacoes!$C:$C,$A1560,Movimentacoes!$E:$E,$C1560,Movimentacoes!$B:$B,"ENTRADA")</f>
        <v/>
      </c>
      <c r="H1560" s="13">
        <f>SUMIFS(Movimentacoes!$G:$G,Movimentacoes!$C:$C,$A1560,Movimentacoes!$E:$E,$C1560,Movimentacoes!$B:$B,"SAIDA_USO")</f>
        <v/>
      </c>
      <c r="I1560" s="13">
        <f>SUMIFS(Movimentacoes!$G:$G,Movimentacoes!$C:$C,$A1560,Movimentacoes!$E:$E,$C1560,Movimentacoes!$B:$B,"SAIDA_DESCARTE")</f>
        <v/>
      </c>
      <c r="J1560" s="13">
        <f>G1560-H1560-I1560</f>
        <v/>
      </c>
      <c r="K1560">
        <f>IF(A1560="","",IF(J1560&lt;=IFERROR(VLOOKUP(A1560,Cadastro_Produtos!$A:$E,5,FALSE),0),"ABAIXO DO MINIMO","OK"))</f>
        <v/>
      </c>
    </row>
    <row r="1561">
      <c r="B1561">
        <f>IFERROR(VLOOKUP(A1561,Cadastro_Produtos!A:B,2,FALSE),"")</f>
        <v/>
      </c>
      <c r="D1561" s="12" t="n"/>
      <c r="E1561" s="13">
        <f>IF(D1561="","",D1561-TODAY())</f>
        <v/>
      </c>
      <c r="F1561">
        <f>IF(D1561="","",IF(E1561&lt;0,"VENCIDO",IF(E1561&lt;=30,"VENCE EM &lt;= 30 DIAS",IF(E1561&lt;=60,"ATENCAO (31-60 DIAS)","OK"))))</f>
        <v/>
      </c>
      <c r="G1561" s="13">
        <f>SUMIFS(Movimentacoes!$G:$G,Movimentacoes!$C:$C,$A1561,Movimentacoes!$E:$E,$C1561,Movimentacoes!$B:$B,"ENTRADA")</f>
        <v/>
      </c>
      <c r="H1561" s="13">
        <f>SUMIFS(Movimentacoes!$G:$G,Movimentacoes!$C:$C,$A1561,Movimentacoes!$E:$E,$C1561,Movimentacoes!$B:$B,"SAIDA_USO")</f>
        <v/>
      </c>
      <c r="I1561" s="13">
        <f>SUMIFS(Movimentacoes!$G:$G,Movimentacoes!$C:$C,$A1561,Movimentacoes!$E:$E,$C1561,Movimentacoes!$B:$B,"SAIDA_DESCARTE")</f>
        <v/>
      </c>
      <c r="J1561" s="13">
        <f>G1561-H1561-I1561</f>
        <v/>
      </c>
      <c r="K1561">
        <f>IF(A1561="","",IF(J1561&lt;=IFERROR(VLOOKUP(A1561,Cadastro_Produtos!$A:$E,5,FALSE),0),"ABAIXO DO MINIMO","OK"))</f>
        <v/>
      </c>
    </row>
    <row r="1562">
      <c r="B1562">
        <f>IFERROR(VLOOKUP(A1562,Cadastro_Produtos!A:B,2,FALSE),"")</f>
        <v/>
      </c>
      <c r="D1562" s="12" t="n"/>
      <c r="E1562" s="13">
        <f>IF(D1562="","",D1562-TODAY())</f>
        <v/>
      </c>
      <c r="F1562">
        <f>IF(D1562="","",IF(E1562&lt;0,"VENCIDO",IF(E1562&lt;=30,"VENCE EM &lt;= 30 DIAS",IF(E1562&lt;=60,"ATENCAO (31-60 DIAS)","OK"))))</f>
        <v/>
      </c>
      <c r="G1562" s="13">
        <f>SUMIFS(Movimentacoes!$G:$G,Movimentacoes!$C:$C,$A1562,Movimentacoes!$E:$E,$C1562,Movimentacoes!$B:$B,"ENTRADA")</f>
        <v/>
      </c>
      <c r="H1562" s="13">
        <f>SUMIFS(Movimentacoes!$G:$G,Movimentacoes!$C:$C,$A1562,Movimentacoes!$E:$E,$C1562,Movimentacoes!$B:$B,"SAIDA_USO")</f>
        <v/>
      </c>
      <c r="I1562" s="13">
        <f>SUMIFS(Movimentacoes!$G:$G,Movimentacoes!$C:$C,$A1562,Movimentacoes!$E:$E,$C1562,Movimentacoes!$B:$B,"SAIDA_DESCARTE")</f>
        <v/>
      </c>
      <c r="J1562" s="13">
        <f>G1562-H1562-I1562</f>
        <v/>
      </c>
      <c r="K1562">
        <f>IF(A1562="","",IF(J1562&lt;=IFERROR(VLOOKUP(A1562,Cadastro_Produtos!$A:$E,5,FALSE),0),"ABAIXO DO MINIMO","OK"))</f>
        <v/>
      </c>
    </row>
    <row r="1563">
      <c r="B1563">
        <f>IFERROR(VLOOKUP(A1563,Cadastro_Produtos!A:B,2,FALSE),"")</f>
        <v/>
      </c>
      <c r="D1563" s="12" t="n"/>
      <c r="E1563" s="13">
        <f>IF(D1563="","",D1563-TODAY())</f>
        <v/>
      </c>
      <c r="F1563">
        <f>IF(D1563="","",IF(E1563&lt;0,"VENCIDO",IF(E1563&lt;=30,"VENCE EM &lt;= 30 DIAS",IF(E1563&lt;=60,"ATENCAO (31-60 DIAS)","OK"))))</f>
        <v/>
      </c>
      <c r="G1563" s="13">
        <f>SUMIFS(Movimentacoes!$G:$G,Movimentacoes!$C:$C,$A1563,Movimentacoes!$E:$E,$C1563,Movimentacoes!$B:$B,"ENTRADA")</f>
        <v/>
      </c>
      <c r="H1563" s="13">
        <f>SUMIFS(Movimentacoes!$G:$G,Movimentacoes!$C:$C,$A1563,Movimentacoes!$E:$E,$C1563,Movimentacoes!$B:$B,"SAIDA_USO")</f>
        <v/>
      </c>
      <c r="I1563" s="13">
        <f>SUMIFS(Movimentacoes!$G:$G,Movimentacoes!$C:$C,$A1563,Movimentacoes!$E:$E,$C1563,Movimentacoes!$B:$B,"SAIDA_DESCARTE")</f>
        <v/>
      </c>
      <c r="J1563" s="13">
        <f>G1563-H1563-I1563</f>
        <v/>
      </c>
      <c r="K1563">
        <f>IF(A1563="","",IF(J1563&lt;=IFERROR(VLOOKUP(A1563,Cadastro_Produtos!$A:$E,5,FALSE),0),"ABAIXO DO MINIMO","OK"))</f>
        <v/>
      </c>
    </row>
    <row r="1564">
      <c r="B1564">
        <f>IFERROR(VLOOKUP(A1564,Cadastro_Produtos!A:B,2,FALSE),"")</f>
        <v/>
      </c>
      <c r="D1564" s="12" t="n"/>
      <c r="E1564" s="13">
        <f>IF(D1564="","",D1564-TODAY())</f>
        <v/>
      </c>
      <c r="F1564">
        <f>IF(D1564="","",IF(E1564&lt;0,"VENCIDO",IF(E1564&lt;=30,"VENCE EM &lt;= 30 DIAS",IF(E1564&lt;=60,"ATENCAO (31-60 DIAS)","OK"))))</f>
        <v/>
      </c>
      <c r="G1564" s="13">
        <f>SUMIFS(Movimentacoes!$G:$G,Movimentacoes!$C:$C,$A1564,Movimentacoes!$E:$E,$C1564,Movimentacoes!$B:$B,"ENTRADA")</f>
        <v/>
      </c>
      <c r="H1564" s="13">
        <f>SUMIFS(Movimentacoes!$G:$G,Movimentacoes!$C:$C,$A1564,Movimentacoes!$E:$E,$C1564,Movimentacoes!$B:$B,"SAIDA_USO")</f>
        <v/>
      </c>
      <c r="I1564" s="13">
        <f>SUMIFS(Movimentacoes!$G:$G,Movimentacoes!$C:$C,$A1564,Movimentacoes!$E:$E,$C1564,Movimentacoes!$B:$B,"SAIDA_DESCARTE")</f>
        <v/>
      </c>
      <c r="J1564" s="13">
        <f>G1564-H1564-I1564</f>
        <v/>
      </c>
      <c r="K1564">
        <f>IF(A1564="","",IF(J1564&lt;=IFERROR(VLOOKUP(A1564,Cadastro_Produtos!$A:$E,5,FALSE),0),"ABAIXO DO MINIMO","OK"))</f>
        <v/>
      </c>
    </row>
    <row r="1565">
      <c r="B1565">
        <f>IFERROR(VLOOKUP(A1565,Cadastro_Produtos!A:B,2,FALSE),"")</f>
        <v/>
      </c>
      <c r="D1565" s="12" t="n"/>
      <c r="E1565" s="13">
        <f>IF(D1565="","",D1565-TODAY())</f>
        <v/>
      </c>
      <c r="F1565">
        <f>IF(D1565="","",IF(E1565&lt;0,"VENCIDO",IF(E1565&lt;=30,"VENCE EM &lt;= 30 DIAS",IF(E1565&lt;=60,"ATENCAO (31-60 DIAS)","OK"))))</f>
        <v/>
      </c>
      <c r="G1565" s="13">
        <f>SUMIFS(Movimentacoes!$G:$G,Movimentacoes!$C:$C,$A1565,Movimentacoes!$E:$E,$C1565,Movimentacoes!$B:$B,"ENTRADA")</f>
        <v/>
      </c>
      <c r="H1565" s="13">
        <f>SUMIFS(Movimentacoes!$G:$G,Movimentacoes!$C:$C,$A1565,Movimentacoes!$E:$E,$C1565,Movimentacoes!$B:$B,"SAIDA_USO")</f>
        <v/>
      </c>
      <c r="I1565" s="13">
        <f>SUMIFS(Movimentacoes!$G:$G,Movimentacoes!$C:$C,$A1565,Movimentacoes!$E:$E,$C1565,Movimentacoes!$B:$B,"SAIDA_DESCARTE")</f>
        <v/>
      </c>
      <c r="J1565" s="13">
        <f>G1565-H1565-I1565</f>
        <v/>
      </c>
      <c r="K1565">
        <f>IF(A1565="","",IF(J1565&lt;=IFERROR(VLOOKUP(A1565,Cadastro_Produtos!$A:$E,5,FALSE),0),"ABAIXO DO MINIMO","OK"))</f>
        <v/>
      </c>
    </row>
    <row r="1566">
      <c r="B1566">
        <f>IFERROR(VLOOKUP(A1566,Cadastro_Produtos!A:B,2,FALSE),"")</f>
        <v/>
      </c>
      <c r="D1566" s="12" t="n"/>
      <c r="E1566" s="13">
        <f>IF(D1566="","",D1566-TODAY())</f>
        <v/>
      </c>
      <c r="F1566">
        <f>IF(D1566="","",IF(E1566&lt;0,"VENCIDO",IF(E1566&lt;=30,"VENCE EM &lt;= 30 DIAS",IF(E1566&lt;=60,"ATENCAO (31-60 DIAS)","OK"))))</f>
        <v/>
      </c>
      <c r="G1566" s="13">
        <f>SUMIFS(Movimentacoes!$G:$G,Movimentacoes!$C:$C,$A1566,Movimentacoes!$E:$E,$C1566,Movimentacoes!$B:$B,"ENTRADA")</f>
        <v/>
      </c>
      <c r="H1566" s="13">
        <f>SUMIFS(Movimentacoes!$G:$G,Movimentacoes!$C:$C,$A1566,Movimentacoes!$E:$E,$C1566,Movimentacoes!$B:$B,"SAIDA_USO")</f>
        <v/>
      </c>
      <c r="I1566" s="13">
        <f>SUMIFS(Movimentacoes!$G:$G,Movimentacoes!$C:$C,$A1566,Movimentacoes!$E:$E,$C1566,Movimentacoes!$B:$B,"SAIDA_DESCARTE")</f>
        <v/>
      </c>
      <c r="J1566" s="13">
        <f>G1566-H1566-I1566</f>
        <v/>
      </c>
      <c r="K1566">
        <f>IF(A1566="","",IF(J1566&lt;=IFERROR(VLOOKUP(A1566,Cadastro_Produtos!$A:$E,5,FALSE),0),"ABAIXO DO MINIMO","OK"))</f>
        <v/>
      </c>
    </row>
    <row r="1567">
      <c r="B1567">
        <f>IFERROR(VLOOKUP(A1567,Cadastro_Produtos!A:B,2,FALSE),"")</f>
        <v/>
      </c>
      <c r="D1567" s="12" t="n"/>
      <c r="E1567" s="13">
        <f>IF(D1567="","",D1567-TODAY())</f>
        <v/>
      </c>
      <c r="F1567">
        <f>IF(D1567="","",IF(E1567&lt;0,"VENCIDO",IF(E1567&lt;=30,"VENCE EM &lt;= 30 DIAS",IF(E1567&lt;=60,"ATENCAO (31-60 DIAS)","OK"))))</f>
        <v/>
      </c>
      <c r="G1567" s="13">
        <f>SUMIFS(Movimentacoes!$G:$G,Movimentacoes!$C:$C,$A1567,Movimentacoes!$E:$E,$C1567,Movimentacoes!$B:$B,"ENTRADA")</f>
        <v/>
      </c>
      <c r="H1567" s="13">
        <f>SUMIFS(Movimentacoes!$G:$G,Movimentacoes!$C:$C,$A1567,Movimentacoes!$E:$E,$C1567,Movimentacoes!$B:$B,"SAIDA_USO")</f>
        <v/>
      </c>
      <c r="I1567" s="13">
        <f>SUMIFS(Movimentacoes!$G:$G,Movimentacoes!$C:$C,$A1567,Movimentacoes!$E:$E,$C1567,Movimentacoes!$B:$B,"SAIDA_DESCARTE")</f>
        <v/>
      </c>
      <c r="J1567" s="13">
        <f>G1567-H1567-I1567</f>
        <v/>
      </c>
      <c r="K1567">
        <f>IF(A1567="","",IF(J1567&lt;=IFERROR(VLOOKUP(A1567,Cadastro_Produtos!$A:$E,5,FALSE),0),"ABAIXO DO MINIMO","OK"))</f>
        <v/>
      </c>
    </row>
    <row r="1568">
      <c r="B1568">
        <f>IFERROR(VLOOKUP(A1568,Cadastro_Produtos!A:B,2,FALSE),"")</f>
        <v/>
      </c>
      <c r="D1568" s="12" t="n"/>
      <c r="E1568" s="13">
        <f>IF(D1568="","",D1568-TODAY())</f>
        <v/>
      </c>
      <c r="F1568">
        <f>IF(D1568="","",IF(E1568&lt;0,"VENCIDO",IF(E1568&lt;=30,"VENCE EM &lt;= 30 DIAS",IF(E1568&lt;=60,"ATENCAO (31-60 DIAS)","OK"))))</f>
        <v/>
      </c>
      <c r="G1568" s="13">
        <f>SUMIFS(Movimentacoes!$G:$G,Movimentacoes!$C:$C,$A1568,Movimentacoes!$E:$E,$C1568,Movimentacoes!$B:$B,"ENTRADA")</f>
        <v/>
      </c>
      <c r="H1568" s="13">
        <f>SUMIFS(Movimentacoes!$G:$G,Movimentacoes!$C:$C,$A1568,Movimentacoes!$E:$E,$C1568,Movimentacoes!$B:$B,"SAIDA_USO")</f>
        <v/>
      </c>
      <c r="I1568" s="13">
        <f>SUMIFS(Movimentacoes!$G:$G,Movimentacoes!$C:$C,$A1568,Movimentacoes!$E:$E,$C1568,Movimentacoes!$B:$B,"SAIDA_DESCARTE")</f>
        <v/>
      </c>
      <c r="J1568" s="13">
        <f>G1568-H1568-I1568</f>
        <v/>
      </c>
      <c r="K1568">
        <f>IF(A1568="","",IF(J1568&lt;=IFERROR(VLOOKUP(A1568,Cadastro_Produtos!$A:$E,5,FALSE),0),"ABAIXO DO MINIMO","OK"))</f>
        <v/>
      </c>
    </row>
    <row r="1569">
      <c r="B1569">
        <f>IFERROR(VLOOKUP(A1569,Cadastro_Produtos!A:B,2,FALSE),"")</f>
        <v/>
      </c>
      <c r="D1569" s="12" t="n"/>
      <c r="E1569" s="13">
        <f>IF(D1569="","",D1569-TODAY())</f>
        <v/>
      </c>
      <c r="F1569">
        <f>IF(D1569="","",IF(E1569&lt;0,"VENCIDO",IF(E1569&lt;=30,"VENCE EM &lt;= 30 DIAS",IF(E1569&lt;=60,"ATENCAO (31-60 DIAS)","OK"))))</f>
        <v/>
      </c>
      <c r="G1569" s="13">
        <f>SUMIFS(Movimentacoes!$G:$G,Movimentacoes!$C:$C,$A1569,Movimentacoes!$E:$E,$C1569,Movimentacoes!$B:$B,"ENTRADA")</f>
        <v/>
      </c>
      <c r="H1569" s="13">
        <f>SUMIFS(Movimentacoes!$G:$G,Movimentacoes!$C:$C,$A1569,Movimentacoes!$E:$E,$C1569,Movimentacoes!$B:$B,"SAIDA_USO")</f>
        <v/>
      </c>
      <c r="I1569" s="13">
        <f>SUMIFS(Movimentacoes!$G:$G,Movimentacoes!$C:$C,$A1569,Movimentacoes!$E:$E,$C1569,Movimentacoes!$B:$B,"SAIDA_DESCARTE")</f>
        <v/>
      </c>
      <c r="J1569" s="13">
        <f>G1569-H1569-I1569</f>
        <v/>
      </c>
      <c r="K1569">
        <f>IF(A1569="","",IF(J1569&lt;=IFERROR(VLOOKUP(A1569,Cadastro_Produtos!$A:$E,5,FALSE),0),"ABAIXO DO MINIMO","OK"))</f>
        <v/>
      </c>
    </row>
    <row r="1570">
      <c r="B1570">
        <f>IFERROR(VLOOKUP(A1570,Cadastro_Produtos!A:B,2,FALSE),"")</f>
        <v/>
      </c>
      <c r="D1570" s="12" t="n"/>
      <c r="E1570" s="13">
        <f>IF(D1570="","",D1570-TODAY())</f>
        <v/>
      </c>
      <c r="F1570">
        <f>IF(D1570="","",IF(E1570&lt;0,"VENCIDO",IF(E1570&lt;=30,"VENCE EM &lt;= 30 DIAS",IF(E1570&lt;=60,"ATENCAO (31-60 DIAS)","OK"))))</f>
        <v/>
      </c>
      <c r="G1570" s="13">
        <f>SUMIFS(Movimentacoes!$G:$G,Movimentacoes!$C:$C,$A1570,Movimentacoes!$E:$E,$C1570,Movimentacoes!$B:$B,"ENTRADA")</f>
        <v/>
      </c>
      <c r="H1570" s="13">
        <f>SUMIFS(Movimentacoes!$G:$G,Movimentacoes!$C:$C,$A1570,Movimentacoes!$E:$E,$C1570,Movimentacoes!$B:$B,"SAIDA_USO")</f>
        <v/>
      </c>
      <c r="I1570" s="13">
        <f>SUMIFS(Movimentacoes!$G:$G,Movimentacoes!$C:$C,$A1570,Movimentacoes!$E:$E,$C1570,Movimentacoes!$B:$B,"SAIDA_DESCARTE")</f>
        <v/>
      </c>
      <c r="J1570" s="13">
        <f>G1570-H1570-I1570</f>
        <v/>
      </c>
      <c r="K1570">
        <f>IF(A1570="","",IF(J1570&lt;=IFERROR(VLOOKUP(A1570,Cadastro_Produtos!$A:$E,5,FALSE),0),"ABAIXO DO MINIMO","OK"))</f>
        <v/>
      </c>
    </row>
    <row r="1571">
      <c r="B1571">
        <f>IFERROR(VLOOKUP(A1571,Cadastro_Produtos!A:B,2,FALSE),"")</f>
        <v/>
      </c>
      <c r="D1571" s="12" t="n"/>
      <c r="E1571" s="13">
        <f>IF(D1571="","",D1571-TODAY())</f>
        <v/>
      </c>
      <c r="F1571">
        <f>IF(D1571="","",IF(E1571&lt;0,"VENCIDO",IF(E1571&lt;=30,"VENCE EM &lt;= 30 DIAS",IF(E1571&lt;=60,"ATENCAO (31-60 DIAS)","OK"))))</f>
        <v/>
      </c>
      <c r="G1571" s="13">
        <f>SUMIFS(Movimentacoes!$G:$G,Movimentacoes!$C:$C,$A1571,Movimentacoes!$E:$E,$C1571,Movimentacoes!$B:$B,"ENTRADA")</f>
        <v/>
      </c>
      <c r="H1571" s="13">
        <f>SUMIFS(Movimentacoes!$G:$G,Movimentacoes!$C:$C,$A1571,Movimentacoes!$E:$E,$C1571,Movimentacoes!$B:$B,"SAIDA_USO")</f>
        <v/>
      </c>
      <c r="I1571" s="13">
        <f>SUMIFS(Movimentacoes!$G:$G,Movimentacoes!$C:$C,$A1571,Movimentacoes!$E:$E,$C1571,Movimentacoes!$B:$B,"SAIDA_DESCARTE")</f>
        <v/>
      </c>
      <c r="J1571" s="13">
        <f>G1571-H1571-I1571</f>
        <v/>
      </c>
      <c r="K1571">
        <f>IF(A1571="","",IF(J1571&lt;=IFERROR(VLOOKUP(A1571,Cadastro_Produtos!$A:$E,5,FALSE),0),"ABAIXO DO MINIMO","OK"))</f>
        <v/>
      </c>
    </row>
    <row r="1572">
      <c r="B1572">
        <f>IFERROR(VLOOKUP(A1572,Cadastro_Produtos!A:B,2,FALSE),"")</f>
        <v/>
      </c>
      <c r="D1572" s="12" t="n"/>
      <c r="E1572" s="13">
        <f>IF(D1572="","",D1572-TODAY())</f>
        <v/>
      </c>
      <c r="F1572">
        <f>IF(D1572="","",IF(E1572&lt;0,"VENCIDO",IF(E1572&lt;=30,"VENCE EM &lt;= 30 DIAS",IF(E1572&lt;=60,"ATENCAO (31-60 DIAS)","OK"))))</f>
        <v/>
      </c>
      <c r="G1572" s="13">
        <f>SUMIFS(Movimentacoes!$G:$G,Movimentacoes!$C:$C,$A1572,Movimentacoes!$E:$E,$C1572,Movimentacoes!$B:$B,"ENTRADA")</f>
        <v/>
      </c>
      <c r="H1572" s="13">
        <f>SUMIFS(Movimentacoes!$G:$G,Movimentacoes!$C:$C,$A1572,Movimentacoes!$E:$E,$C1572,Movimentacoes!$B:$B,"SAIDA_USO")</f>
        <v/>
      </c>
      <c r="I1572" s="13">
        <f>SUMIFS(Movimentacoes!$G:$G,Movimentacoes!$C:$C,$A1572,Movimentacoes!$E:$E,$C1572,Movimentacoes!$B:$B,"SAIDA_DESCARTE")</f>
        <v/>
      </c>
      <c r="J1572" s="13">
        <f>G1572-H1572-I1572</f>
        <v/>
      </c>
      <c r="K1572">
        <f>IF(A1572="","",IF(J1572&lt;=IFERROR(VLOOKUP(A1572,Cadastro_Produtos!$A:$E,5,FALSE),0),"ABAIXO DO MINIMO","OK"))</f>
        <v/>
      </c>
    </row>
    <row r="1573">
      <c r="B1573">
        <f>IFERROR(VLOOKUP(A1573,Cadastro_Produtos!A:B,2,FALSE),"")</f>
        <v/>
      </c>
      <c r="D1573" s="12" t="n"/>
      <c r="E1573" s="13">
        <f>IF(D1573="","",D1573-TODAY())</f>
        <v/>
      </c>
      <c r="F1573">
        <f>IF(D1573="","",IF(E1573&lt;0,"VENCIDO",IF(E1573&lt;=30,"VENCE EM &lt;= 30 DIAS",IF(E1573&lt;=60,"ATENCAO (31-60 DIAS)","OK"))))</f>
        <v/>
      </c>
      <c r="G1573" s="13">
        <f>SUMIFS(Movimentacoes!$G:$G,Movimentacoes!$C:$C,$A1573,Movimentacoes!$E:$E,$C1573,Movimentacoes!$B:$B,"ENTRADA")</f>
        <v/>
      </c>
      <c r="H1573" s="13">
        <f>SUMIFS(Movimentacoes!$G:$G,Movimentacoes!$C:$C,$A1573,Movimentacoes!$E:$E,$C1573,Movimentacoes!$B:$B,"SAIDA_USO")</f>
        <v/>
      </c>
      <c r="I1573" s="13">
        <f>SUMIFS(Movimentacoes!$G:$G,Movimentacoes!$C:$C,$A1573,Movimentacoes!$E:$E,$C1573,Movimentacoes!$B:$B,"SAIDA_DESCARTE")</f>
        <v/>
      </c>
      <c r="J1573" s="13">
        <f>G1573-H1573-I1573</f>
        <v/>
      </c>
      <c r="K1573">
        <f>IF(A1573="","",IF(J1573&lt;=IFERROR(VLOOKUP(A1573,Cadastro_Produtos!$A:$E,5,FALSE),0),"ABAIXO DO MINIMO","OK"))</f>
        <v/>
      </c>
    </row>
    <row r="1574">
      <c r="B1574">
        <f>IFERROR(VLOOKUP(A1574,Cadastro_Produtos!A:B,2,FALSE),"")</f>
        <v/>
      </c>
      <c r="D1574" s="12" t="n"/>
      <c r="E1574" s="13">
        <f>IF(D1574="","",D1574-TODAY())</f>
        <v/>
      </c>
      <c r="F1574">
        <f>IF(D1574="","",IF(E1574&lt;0,"VENCIDO",IF(E1574&lt;=30,"VENCE EM &lt;= 30 DIAS",IF(E1574&lt;=60,"ATENCAO (31-60 DIAS)","OK"))))</f>
        <v/>
      </c>
      <c r="G1574" s="13">
        <f>SUMIFS(Movimentacoes!$G:$G,Movimentacoes!$C:$C,$A1574,Movimentacoes!$E:$E,$C1574,Movimentacoes!$B:$B,"ENTRADA")</f>
        <v/>
      </c>
      <c r="H1574" s="13">
        <f>SUMIFS(Movimentacoes!$G:$G,Movimentacoes!$C:$C,$A1574,Movimentacoes!$E:$E,$C1574,Movimentacoes!$B:$B,"SAIDA_USO")</f>
        <v/>
      </c>
      <c r="I1574" s="13">
        <f>SUMIFS(Movimentacoes!$G:$G,Movimentacoes!$C:$C,$A1574,Movimentacoes!$E:$E,$C1574,Movimentacoes!$B:$B,"SAIDA_DESCARTE")</f>
        <v/>
      </c>
      <c r="J1574" s="13">
        <f>G1574-H1574-I1574</f>
        <v/>
      </c>
      <c r="K1574">
        <f>IF(A1574="","",IF(J1574&lt;=IFERROR(VLOOKUP(A1574,Cadastro_Produtos!$A:$E,5,FALSE),0),"ABAIXO DO MINIMO","OK"))</f>
        <v/>
      </c>
    </row>
    <row r="1575">
      <c r="B1575">
        <f>IFERROR(VLOOKUP(A1575,Cadastro_Produtos!A:B,2,FALSE),"")</f>
        <v/>
      </c>
      <c r="D1575" s="12" t="n"/>
      <c r="E1575" s="13">
        <f>IF(D1575="","",D1575-TODAY())</f>
        <v/>
      </c>
      <c r="F1575">
        <f>IF(D1575="","",IF(E1575&lt;0,"VENCIDO",IF(E1575&lt;=30,"VENCE EM &lt;= 30 DIAS",IF(E1575&lt;=60,"ATENCAO (31-60 DIAS)","OK"))))</f>
        <v/>
      </c>
      <c r="G1575" s="13">
        <f>SUMIFS(Movimentacoes!$G:$G,Movimentacoes!$C:$C,$A1575,Movimentacoes!$E:$E,$C1575,Movimentacoes!$B:$B,"ENTRADA")</f>
        <v/>
      </c>
      <c r="H1575" s="13">
        <f>SUMIFS(Movimentacoes!$G:$G,Movimentacoes!$C:$C,$A1575,Movimentacoes!$E:$E,$C1575,Movimentacoes!$B:$B,"SAIDA_USO")</f>
        <v/>
      </c>
      <c r="I1575" s="13">
        <f>SUMIFS(Movimentacoes!$G:$G,Movimentacoes!$C:$C,$A1575,Movimentacoes!$E:$E,$C1575,Movimentacoes!$B:$B,"SAIDA_DESCARTE")</f>
        <v/>
      </c>
      <c r="J1575" s="13">
        <f>G1575-H1575-I1575</f>
        <v/>
      </c>
      <c r="K1575">
        <f>IF(A1575="","",IF(J1575&lt;=IFERROR(VLOOKUP(A1575,Cadastro_Produtos!$A:$E,5,FALSE),0),"ABAIXO DO MINIMO","OK"))</f>
        <v/>
      </c>
    </row>
    <row r="1576">
      <c r="B1576">
        <f>IFERROR(VLOOKUP(A1576,Cadastro_Produtos!A:B,2,FALSE),"")</f>
        <v/>
      </c>
      <c r="D1576" s="12" t="n"/>
      <c r="E1576" s="13">
        <f>IF(D1576="","",D1576-TODAY())</f>
        <v/>
      </c>
      <c r="F1576">
        <f>IF(D1576="","",IF(E1576&lt;0,"VENCIDO",IF(E1576&lt;=30,"VENCE EM &lt;= 30 DIAS",IF(E1576&lt;=60,"ATENCAO (31-60 DIAS)","OK"))))</f>
        <v/>
      </c>
      <c r="G1576" s="13">
        <f>SUMIFS(Movimentacoes!$G:$G,Movimentacoes!$C:$C,$A1576,Movimentacoes!$E:$E,$C1576,Movimentacoes!$B:$B,"ENTRADA")</f>
        <v/>
      </c>
      <c r="H1576" s="13">
        <f>SUMIFS(Movimentacoes!$G:$G,Movimentacoes!$C:$C,$A1576,Movimentacoes!$E:$E,$C1576,Movimentacoes!$B:$B,"SAIDA_USO")</f>
        <v/>
      </c>
      <c r="I1576" s="13">
        <f>SUMIFS(Movimentacoes!$G:$G,Movimentacoes!$C:$C,$A1576,Movimentacoes!$E:$E,$C1576,Movimentacoes!$B:$B,"SAIDA_DESCARTE")</f>
        <v/>
      </c>
      <c r="J1576" s="13">
        <f>G1576-H1576-I1576</f>
        <v/>
      </c>
      <c r="K1576">
        <f>IF(A1576="","",IF(J1576&lt;=IFERROR(VLOOKUP(A1576,Cadastro_Produtos!$A:$E,5,FALSE),0),"ABAIXO DO MINIMO","OK"))</f>
        <v/>
      </c>
    </row>
    <row r="1577">
      <c r="B1577">
        <f>IFERROR(VLOOKUP(A1577,Cadastro_Produtos!A:B,2,FALSE),"")</f>
        <v/>
      </c>
      <c r="D1577" s="12" t="n"/>
      <c r="E1577" s="13">
        <f>IF(D1577="","",D1577-TODAY())</f>
        <v/>
      </c>
      <c r="F1577">
        <f>IF(D1577="","",IF(E1577&lt;0,"VENCIDO",IF(E1577&lt;=30,"VENCE EM &lt;= 30 DIAS",IF(E1577&lt;=60,"ATENCAO (31-60 DIAS)","OK"))))</f>
        <v/>
      </c>
      <c r="G1577" s="13">
        <f>SUMIFS(Movimentacoes!$G:$G,Movimentacoes!$C:$C,$A1577,Movimentacoes!$E:$E,$C1577,Movimentacoes!$B:$B,"ENTRADA")</f>
        <v/>
      </c>
      <c r="H1577" s="13">
        <f>SUMIFS(Movimentacoes!$G:$G,Movimentacoes!$C:$C,$A1577,Movimentacoes!$E:$E,$C1577,Movimentacoes!$B:$B,"SAIDA_USO")</f>
        <v/>
      </c>
      <c r="I1577" s="13">
        <f>SUMIFS(Movimentacoes!$G:$G,Movimentacoes!$C:$C,$A1577,Movimentacoes!$E:$E,$C1577,Movimentacoes!$B:$B,"SAIDA_DESCARTE")</f>
        <v/>
      </c>
      <c r="J1577" s="13">
        <f>G1577-H1577-I1577</f>
        <v/>
      </c>
      <c r="K1577">
        <f>IF(A1577="","",IF(J1577&lt;=IFERROR(VLOOKUP(A1577,Cadastro_Produtos!$A:$E,5,FALSE),0),"ABAIXO DO MINIMO","OK"))</f>
        <v/>
      </c>
    </row>
    <row r="1578">
      <c r="B1578">
        <f>IFERROR(VLOOKUP(A1578,Cadastro_Produtos!A:B,2,FALSE),"")</f>
        <v/>
      </c>
      <c r="D1578" s="12" t="n"/>
      <c r="E1578" s="13">
        <f>IF(D1578="","",D1578-TODAY())</f>
        <v/>
      </c>
      <c r="F1578">
        <f>IF(D1578="","",IF(E1578&lt;0,"VENCIDO",IF(E1578&lt;=30,"VENCE EM &lt;= 30 DIAS",IF(E1578&lt;=60,"ATENCAO (31-60 DIAS)","OK"))))</f>
        <v/>
      </c>
      <c r="G1578" s="13">
        <f>SUMIFS(Movimentacoes!$G:$G,Movimentacoes!$C:$C,$A1578,Movimentacoes!$E:$E,$C1578,Movimentacoes!$B:$B,"ENTRADA")</f>
        <v/>
      </c>
      <c r="H1578" s="13">
        <f>SUMIFS(Movimentacoes!$G:$G,Movimentacoes!$C:$C,$A1578,Movimentacoes!$E:$E,$C1578,Movimentacoes!$B:$B,"SAIDA_USO")</f>
        <v/>
      </c>
      <c r="I1578" s="13">
        <f>SUMIFS(Movimentacoes!$G:$G,Movimentacoes!$C:$C,$A1578,Movimentacoes!$E:$E,$C1578,Movimentacoes!$B:$B,"SAIDA_DESCARTE")</f>
        <v/>
      </c>
      <c r="J1578" s="13">
        <f>G1578-H1578-I1578</f>
        <v/>
      </c>
      <c r="K1578">
        <f>IF(A1578="","",IF(J1578&lt;=IFERROR(VLOOKUP(A1578,Cadastro_Produtos!$A:$E,5,FALSE),0),"ABAIXO DO MINIMO","OK"))</f>
        <v/>
      </c>
    </row>
    <row r="1579">
      <c r="B1579">
        <f>IFERROR(VLOOKUP(A1579,Cadastro_Produtos!A:B,2,FALSE),"")</f>
        <v/>
      </c>
      <c r="D1579" s="12" t="n"/>
      <c r="E1579" s="13">
        <f>IF(D1579="","",D1579-TODAY())</f>
        <v/>
      </c>
      <c r="F1579">
        <f>IF(D1579="","",IF(E1579&lt;0,"VENCIDO",IF(E1579&lt;=30,"VENCE EM &lt;= 30 DIAS",IF(E1579&lt;=60,"ATENCAO (31-60 DIAS)","OK"))))</f>
        <v/>
      </c>
      <c r="G1579" s="13">
        <f>SUMIFS(Movimentacoes!$G:$G,Movimentacoes!$C:$C,$A1579,Movimentacoes!$E:$E,$C1579,Movimentacoes!$B:$B,"ENTRADA")</f>
        <v/>
      </c>
      <c r="H1579" s="13">
        <f>SUMIFS(Movimentacoes!$G:$G,Movimentacoes!$C:$C,$A1579,Movimentacoes!$E:$E,$C1579,Movimentacoes!$B:$B,"SAIDA_USO")</f>
        <v/>
      </c>
      <c r="I1579" s="13">
        <f>SUMIFS(Movimentacoes!$G:$G,Movimentacoes!$C:$C,$A1579,Movimentacoes!$E:$E,$C1579,Movimentacoes!$B:$B,"SAIDA_DESCARTE")</f>
        <v/>
      </c>
      <c r="J1579" s="13">
        <f>G1579-H1579-I1579</f>
        <v/>
      </c>
      <c r="K1579">
        <f>IF(A1579="","",IF(J1579&lt;=IFERROR(VLOOKUP(A1579,Cadastro_Produtos!$A:$E,5,FALSE),0),"ABAIXO DO MINIMO","OK"))</f>
        <v/>
      </c>
    </row>
    <row r="1580">
      <c r="B1580">
        <f>IFERROR(VLOOKUP(A1580,Cadastro_Produtos!A:B,2,FALSE),"")</f>
        <v/>
      </c>
      <c r="D1580" s="12" t="n"/>
      <c r="E1580" s="13">
        <f>IF(D1580="","",D1580-TODAY())</f>
        <v/>
      </c>
      <c r="F1580">
        <f>IF(D1580="","",IF(E1580&lt;0,"VENCIDO",IF(E1580&lt;=30,"VENCE EM &lt;= 30 DIAS",IF(E1580&lt;=60,"ATENCAO (31-60 DIAS)","OK"))))</f>
        <v/>
      </c>
      <c r="G1580" s="13">
        <f>SUMIFS(Movimentacoes!$G:$G,Movimentacoes!$C:$C,$A1580,Movimentacoes!$E:$E,$C1580,Movimentacoes!$B:$B,"ENTRADA")</f>
        <v/>
      </c>
      <c r="H1580" s="13">
        <f>SUMIFS(Movimentacoes!$G:$G,Movimentacoes!$C:$C,$A1580,Movimentacoes!$E:$E,$C1580,Movimentacoes!$B:$B,"SAIDA_USO")</f>
        <v/>
      </c>
      <c r="I1580" s="13">
        <f>SUMIFS(Movimentacoes!$G:$G,Movimentacoes!$C:$C,$A1580,Movimentacoes!$E:$E,$C1580,Movimentacoes!$B:$B,"SAIDA_DESCARTE")</f>
        <v/>
      </c>
      <c r="J1580" s="13">
        <f>G1580-H1580-I1580</f>
        <v/>
      </c>
      <c r="K1580">
        <f>IF(A1580="","",IF(J1580&lt;=IFERROR(VLOOKUP(A1580,Cadastro_Produtos!$A:$E,5,FALSE),0),"ABAIXO DO MINIMO","OK"))</f>
        <v/>
      </c>
    </row>
    <row r="1581">
      <c r="B1581">
        <f>IFERROR(VLOOKUP(A1581,Cadastro_Produtos!A:B,2,FALSE),"")</f>
        <v/>
      </c>
      <c r="D1581" s="12" t="n"/>
      <c r="E1581" s="13">
        <f>IF(D1581="","",D1581-TODAY())</f>
        <v/>
      </c>
      <c r="F1581">
        <f>IF(D1581="","",IF(E1581&lt;0,"VENCIDO",IF(E1581&lt;=30,"VENCE EM &lt;= 30 DIAS",IF(E1581&lt;=60,"ATENCAO (31-60 DIAS)","OK"))))</f>
        <v/>
      </c>
      <c r="G1581" s="13">
        <f>SUMIFS(Movimentacoes!$G:$G,Movimentacoes!$C:$C,$A1581,Movimentacoes!$E:$E,$C1581,Movimentacoes!$B:$B,"ENTRADA")</f>
        <v/>
      </c>
      <c r="H1581" s="13">
        <f>SUMIFS(Movimentacoes!$G:$G,Movimentacoes!$C:$C,$A1581,Movimentacoes!$E:$E,$C1581,Movimentacoes!$B:$B,"SAIDA_USO")</f>
        <v/>
      </c>
      <c r="I1581" s="13">
        <f>SUMIFS(Movimentacoes!$G:$G,Movimentacoes!$C:$C,$A1581,Movimentacoes!$E:$E,$C1581,Movimentacoes!$B:$B,"SAIDA_DESCARTE")</f>
        <v/>
      </c>
      <c r="J1581" s="13">
        <f>G1581-H1581-I1581</f>
        <v/>
      </c>
      <c r="K1581">
        <f>IF(A1581="","",IF(J1581&lt;=IFERROR(VLOOKUP(A1581,Cadastro_Produtos!$A:$E,5,FALSE),0),"ABAIXO DO MINIMO","OK"))</f>
        <v/>
      </c>
    </row>
    <row r="1582">
      <c r="B1582">
        <f>IFERROR(VLOOKUP(A1582,Cadastro_Produtos!A:B,2,FALSE),"")</f>
        <v/>
      </c>
      <c r="D1582" s="12" t="n"/>
      <c r="E1582" s="13">
        <f>IF(D1582="","",D1582-TODAY())</f>
        <v/>
      </c>
      <c r="F1582">
        <f>IF(D1582="","",IF(E1582&lt;0,"VENCIDO",IF(E1582&lt;=30,"VENCE EM &lt;= 30 DIAS",IF(E1582&lt;=60,"ATENCAO (31-60 DIAS)","OK"))))</f>
        <v/>
      </c>
      <c r="G1582" s="13">
        <f>SUMIFS(Movimentacoes!$G:$G,Movimentacoes!$C:$C,$A1582,Movimentacoes!$E:$E,$C1582,Movimentacoes!$B:$B,"ENTRADA")</f>
        <v/>
      </c>
      <c r="H1582" s="13">
        <f>SUMIFS(Movimentacoes!$G:$G,Movimentacoes!$C:$C,$A1582,Movimentacoes!$E:$E,$C1582,Movimentacoes!$B:$B,"SAIDA_USO")</f>
        <v/>
      </c>
      <c r="I1582" s="13">
        <f>SUMIFS(Movimentacoes!$G:$G,Movimentacoes!$C:$C,$A1582,Movimentacoes!$E:$E,$C1582,Movimentacoes!$B:$B,"SAIDA_DESCARTE")</f>
        <v/>
      </c>
      <c r="J1582" s="13">
        <f>G1582-H1582-I1582</f>
        <v/>
      </c>
      <c r="K1582">
        <f>IF(A1582="","",IF(J1582&lt;=IFERROR(VLOOKUP(A1582,Cadastro_Produtos!$A:$E,5,FALSE),0),"ABAIXO DO MINIMO","OK"))</f>
        <v/>
      </c>
    </row>
    <row r="1583">
      <c r="B1583">
        <f>IFERROR(VLOOKUP(A1583,Cadastro_Produtos!A:B,2,FALSE),"")</f>
        <v/>
      </c>
      <c r="D1583" s="12" t="n"/>
      <c r="E1583" s="13">
        <f>IF(D1583="","",D1583-TODAY())</f>
        <v/>
      </c>
      <c r="F1583">
        <f>IF(D1583="","",IF(E1583&lt;0,"VENCIDO",IF(E1583&lt;=30,"VENCE EM &lt;= 30 DIAS",IF(E1583&lt;=60,"ATENCAO (31-60 DIAS)","OK"))))</f>
        <v/>
      </c>
      <c r="G1583" s="13">
        <f>SUMIFS(Movimentacoes!$G:$G,Movimentacoes!$C:$C,$A1583,Movimentacoes!$E:$E,$C1583,Movimentacoes!$B:$B,"ENTRADA")</f>
        <v/>
      </c>
      <c r="H1583" s="13">
        <f>SUMIFS(Movimentacoes!$G:$G,Movimentacoes!$C:$C,$A1583,Movimentacoes!$E:$E,$C1583,Movimentacoes!$B:$B,"SAIDA_USO")</f>
        <v/>
      </c>
      <c r="I1583" s="13">
        <f>SUMIFS(Movimentacoes!$G:$G,Movimentacoes!$C:$C,$A1583,Movimentacoes!$E:$E,$C1583,Movimentacoes!$B:$B,"SAIDA_DESCARTE")</f>
        <v/>
      </c>
      <c r="J1583" s="13">
        <f>G1583-H1583-I1583</f>
        <v/>
      </c>
      <c r="K1583">
        <f>IF(A1583="","",IF(J1583&lt;=IFERROR(VLOOKUP(A1583,Cadastro_Produtos!$A:$E,5,FALSE),0),"ABAIXO DO MINIMO","OK"))</f>
        <v/>
      </c>
    </row>
    <row r="1584">
      <c r="B1584">
        <f>IFERROR(VLOOKUP(A1584,Cadastro_Produtos!A:B,2,FALSE),"")</f>
        <v/>
      </c>
      <c r="D1584" s="12" t="n"/>
      <c r="E1584" s="13">
        <f>IF(D1584="","",D1584-TODAY())</f>
        <v/>
      </c>
      <c r="F1584">
        <f>IF(D1584="","",IF(E1584&lt;0,"VENCIDO",IF(E1584&lt;=30,"VENCE EM &lt;= 30 DIAS",IF(E1584&lt;=60,"ATENCAO (31-60 DIAS)","OK"))))</f>
        <v/>
      </c>
      <c r="G1584" s="13">
        <f>SUMIFS(Movimentacoes!$G:$G,Movimentacoes!$C:$C,$A1584,Movimentacoes!$E:$E,$C1584,Movimentacoes!$B:$B,"ENTRADA")</f>
        <v/>
      </c>
      <c r="H1584" s="13">
        <f>SUMIFS(Movimentacoes!$G:$G,Movimentacoes!$C:$C,$A1584,Movimentacoes!$E:$E,$C1584,Movimentacoes!$B:$B,"SAIDA_USO")</f>
        <v/>
      </c>
      <c r="I1584" s="13">
        <f>SUMIFS(Movimentacoes!$G:$G,Movimentacoes!$C:$C,$A1584,Movimentacoes!$E:$E,$C1584,Movimentacoes!$B:$B,"SAIDA_DESCARTE")</f>
        <v/>
      </c>
      <c r="J1584" s="13">
        <f>G1584-H1584-I1584</f>
        <v/>
      </c>
      <c r="K1584">
        <f>IF(A1584="","",IF(J1584&lt;=IFERROR(VLOOKUP(A1584,Cadastro_Produtos!$A:$E,5,FALSE),0),"ABAIXO DO MINIMO","OK"))</f>
        <v/>
      </c>
    </row>
    <row r="1585">
      <c r="B1585">
        <f>IFERROR(VLOOKUP(A1585,Cadastro_Produtos!A:B,2,FALSE),"")</f>
        <v/>
      </c>
      <c r="D1585" s="12" t="n"/>
      <c r="E1585" s="13">
        <f>IF(D1585="","",D1585-TODAY())</f>
        <v/>
      </c>
      <c r="F1585">
        <f>IF(D1585="","",IF(E1585&lt;0,"VENCIDO",IF(E1585&lt;=30,"VENCE EM &lt;= 30 DIAS",IF(E1585&lt;=60,"ATENCAO (31-60 DIAS)","OK"))))</f>
        <v/>
      </c>
      <c r="G1585" s="13">
        <f>SUMIFS(Movimentacoes!$G:$G,Movimentacoes!$C:$C,$A1585,Movimentacoes!$E:$E,$C1585,Movimentacoes!$B:$B,"ENTRADA")</f>
        <v/>
      </c>
      <c r="H1585" s="13">
        <f>SUMIFS(Movimentacoes!$G:$G,Movimentacoes!$C:$C,$A1585,Movimentacoes!$E:$E,$C1585,Movimentacoes!$B:$B,"SAIDA_USO")</f>
        <v/>
      </c>
      <c r="I1585" s="13">
        <f>SUMIFS(Movimentacoes!$G:$G,Movimentacoes!$C:$C,$A1585,Movimentacoes!$E:$E,$C1585,Movimentacoes!$B:$B,"SAIDA_DESCARTE")</f>
        <v/>
      </c>
      <c r="J1585" s="13">
        <f>G1585-H1585-I1585</f>
        <v/>
      </c>
      <c r="K1585">
        <f>IF(A1585="","",IF(J1585&lt;=IFERROR(VLOOKUP(A1585,Cadastro_Produtos!$A:$E,5,FALSE),0),"ABAIXO DO MINIMO","OK"))</f>
        <v/>
      </c>
    </row>
    <row r="1586">
      <c r="B1586">
        <f>IFERROR(VLOOKUP(A1586,Cadastro_Produtos!A:B,2,FALSE),"")</f>
        <v/>
      </c>
      <c r="D1586" s="12" t="n"/>
      <c r="E1586" s="13">
        <f>IF(D1586="","",D1586-TODAY())</f>
        <v/>
      </c>
      <c r="F1586">
        <f>IF(D1586="","",IF(E1586&lt;0,"VENCIDO",IF(E1586&lt;=30,"VENCE EM &lt;= 30 DIAS",IF(E1586&lt;=60,"ATENCAO (31-60 DIAS)","OK"))))</f>
        <v/>
      </c>
      <c r="G1586" s="13">
        <f>SUMIFS(Movimentacoes!$G:$G,Movimentacoes!$C:$C,$A1586,Movimentacoes!$E:$E,$C1586,Movimentacoes!$B:$B,"ENTRADA")</f>
        <v/>
      </c>
      <c r="H1586" s="13">
        <f>SUMIFS(Movimentacoes!$G:$G,Movimentacoes!$C:$C,$A1586,Movimentacoes!$E:$E,$C1586,Movimentacoes!$B:$B,"SAIDA_USO")</f>
        <v/>
      </c>
      <c r="I1586" s="13">
        <f>SUMIFS(Movimentacoes!$G:$G,Movimentacoes!$C:$C,$A1586,Movimentacoes!$E:$E,$C1586,Movimentacoes!$B:$B,"SAIDA_DESCARTE")</f>
        <v/>
      </c>
      <c r="J1586" s="13">
        <f>G1586-H1586-I1586</f>
        <v/>
      </c>
      <c r="K1586">
        <f>IF(A1586="","",IF(J1586&lt;=IFERROR(VLOOKUP(A1586,Cadastro_Produtos!$A:$E,5,FALSE),0),"ABAIXO DO MINIMO","OK"))</f>
        <v/>
      </c>
    </row>
    <row r="1587">
      <c r="B1587">
        <f>IFERROR(VLOOKUP(A1587,Cadastro_Produtos!A:B,2,FALSE),"")</f>
        <v/>
      </c>
      <c r="D1587" s="12" t="n"/>
      <c r="E1587" s="13">
        <f>IF(D1587="","",D1587-TODAY())</f>
        <v/>
      </c>
      <c r="F1587">
        <f>IF(D1587="","",IF(E1587&lt;0,"VENCIDO",IF(E1587&lt;=30,"VENCE EM &lt;= 30 DIAS",IF(E1587&lt;=60,"ATENCAO (31-60 DIAS)","OK"))))</f>
        <v/>
      </c>
      <c r="G1587" s="13">
        <f>SUMIFS(Movimentacoes!$G:$G,Movimentacoes!$C:$C,$A1587,Movimentacoes!$E:$E,$C1587,Movimentacoes!$B:$B,"ENTRADA")</f>
        <v/>
      </c>
      <c r="H1587" s="13">
        <f>SUMIFS(Movimentacoes!$G:$G,Movimentacoes!$C:$C,$A1587,Movimentacoes!$E:$E,$C1587,Movimentacoes!$B:$B,"SAIDA_USO")</f>
        <v/>
      </c>
      <c r="I1587" s="13">
        <f>SUMIFS(Movimentacoes!$G:$G,Movimentacoes!$C:$C,$A1587,Movimentacoes!$E:$E,$C1587,Movimentacoes!$B:$B,"SAIDA_DESCARTE")</f>
        <v/>
      </c>
      <c r="J1587" s="13">
        <f>G1587-H1587-I1587</f>
        <v/>
      </c>
      <c r="K1587">
        <f>IF(A1587="","",IF(J1587&lt;=IFERROR(VLOOKUP(A1587,Cadastro_Produtos!$A:$E,5,FALSE),0),"ABAIXO DO MINIMO","OK"))</f>
        <v/>
      </c>
    </row>
    <row r="1588">
      <c r="B1588">
        <f>IFERROR(VLOOKUP(A1588,Cadastro_Produtos!A:B,2,FALSE),"")</f>
        <v/>
      </c>
      <c r="D1588" s="12" t="n"/>
      <c r="E1588" s="13">
        <f>IF(D1588="","",D1588-TODAY())</f>
        <v/>
      </c>
      <c r="F1588">
        <f>IF(D1588="","",IF(E1588&lt;0,"VENCIDO",IF(E1588&lt;=30,"VENCE EM &lt;= 30 DIAS",IF(E1588&lt;=60,"ATENCAO (31-60 DIAS)","OK"))))</f>
        <v/>
      </c>
      <c r="G1588" s="13">
        <f>SUMIFS(Movimentacoes!$G:$G,Movimentacoes!$C:$C,$A1588,Movimentacoes!$E:$E,$C1588,Movimentacoes!$B:$B,"ENTRADA")</f>
        <v/>
      </c>
      <c r="H1588" s="13">
        <f>SUMIFS(Movimentacoes!$G:$G,Movimentacoes!$C:$C,$A1588,Movimentacoes!$E:$E,$C1588,Movimentacoes!$B:$B,"SAIDA_USO")</f>
        <v/>
      </c>
      <c r="I1588" s="13">
        <f>SUMIFS(Movimentacoes!$G:$G,Movimentacoes!$C:$C,$A1588,Movimentacoes!$E:$E,$C1588,Movimentacoes!$B:$B,"SAIDA_DESCARTE")</f>
        <v/>
      </c>
      <c r="J1588" s="13">
        <f>G1588-H1588-I1588</f>
        <v/>
      </c>
      <c r="K1588">
        <f>IF(A1588="","",IF(J1588&lt;=IFERROR(VLOOKUP(A1588,Cadastro_Produtos!$A:$E,5,FALSE),0),"ABAIXO DO MINIMO","OK"))</f>
        <v/>
      </c>
    </row>
    <row r="1589">
      <c r="B1589">
        <f>IFERROR(VLOOKUP(A1589,Cadastro_Produtos!A:B,2,FALSE),"")</f>
        <v/>
      </c>
      <c r="D1589" s="12" t="n"/>
      <c r="E1589" s="13">
        <f>IF(D1589="","",D1589-TODAY())</f>
        <v/>
      </c>
      <c r="F1589">
        <f>IF(D1589="","",IF(E1589&lt;0,"VENCIDO",IF(E1589&lt;=30,"VENCE EM &lt;= 30 DIAS",IF(E1589&lt;=60,"ATENCAO (31-60 DIAS)","OK"))))</f>
        <v/>
      </c>
      <c r="G1589" s="13">
        <f>SUMIFS(Movimentacoes!$G:$G,Movimentacoes!$C:$C,$A1589,Movimentacoes!$E:$E,$C1589,Movimentacoes!$B:$B,"ENTRADA")</f>
        <v/>
      </c>
      <c r="H1589" s="13">
        <f>SUMIFS(Movimentacoes!$G:$G,Movimentacoes!$C:$C,$A1589,Movimentacoes!$E:$E,$C1589,Movimentacoes!$B:$B,"SAIDA_USO")</f>
        <v/>
      </c>
      <c r="I1589" s="13">
        <f>SUMIFS(Movimentacoes!$G:$G,Movimentacoes!$C:$C,$A1589,Movimentacoes!$E:$E,$C1589,Movimentacoes!$B:$B,"SAIDA_DESCARTE")</f>
        <v/>
      </c>
      <c r="J1589" s="13">
        <f>G1589-H1589-I1589</f>
        <v/>
      </c>
      <c r="K1589">
        <f>IF(A1589="","",IF(J1589&lt;=IFERROR(VLOOKUP(A1589,Cadastro_Produtos!$A:$E,5,FALSE),0),"ABAIXO DO MINIMO","OK"))</f>
        <v/>
      </c>
    </row>
    <row r="1590">
      <c r="B1590">
        <f>IFERROR(VLOOKUP(A1590,Cadastro_Produtos!A:B,2,FALSE),"")</f>
        <v/>
      </c>
      <c r="D1590" s="12" t="n"/>
      <c r="E1590" s="13">
        <f>IF(D1590="","",D1590-TODAY())</f>
        <v/>
      </c>
      <c r="F1590">
        <f>IF(D1590="","",IF(E1590&lt;0,"VENCIDO",IF(E1590&lt;=30,"VENCE EM &lt;= 30 DIAS",IF(E1590&lt;=60,"ATENCAO (31-60 DIAS)","OK"))))</f>
        <v/>
      </c>
      <c r="G1590" s="13">
        <f>SUMIFS(Movimentacoes!$G:$G,Movimentacoes!$C:$C,$A1590,Movimentacoes!$E:$E,$C1590,Movimentacoes!$B:$B,"ENTRADA")</f>
        <v/>
      </c>
      <c r="H1590" s="13">
        <f>SUMIFS(Movimentacoes!$G:$G,Movimentacoes!$C:$C,$A1590,Movimentacoes!$E:$E,$C1590,Movimentacoes!$B:$B,"SAIDA_USO")</f>
        <v/>
      </c>
      <c r="I1590" s="13">
        <f>SUMIFS(Movimentacoes!$G:$G,Movimentacoes!$C:$C,$A1590,Movimentacoes!$E:$E,$C1590,Movimentacoes!$B:$B,"SAIDA_DESCARTE")</f>
        <v/>
      </c>
      <c r="J1590" s="13">
        <f>G1590-H1590-I1590</f>
        <v/>
      </c>
      <c r="K1590">
        <f>IF(A1590="","",IF(J1590&lt;=IFERROR(VLOOKUP(A1590,Cadastro_Produtos!$A:$E,5,FALSE),0),"ABAIXO DO MINIMO","OK"))</f>
        <v/>
      </c>
    </row>
    <row r="1591">
      <c r="B1591">
        <f>IFERROR(VLOOKUP(A1591,Cadastro_Produtos!A:B,2,FALSE),"")</f>
        <v/>
      </c>
      <c r="D1591" s="12" t="n"/>
      <c r="E1591" s="13">
        <f>IF(D1591="","",D1591-TODAY())</f>
        <v/>
      </c>
      <c r="F1591">
        <f>IF(D1591="","",IF(E1591&lt;0,"VENCIDO",IF(E1591&lt;=30,"VENCE EM &lt;= 30 DIAS",IF(E1591&lt;=60,"ATENCAO (31-60 DIAS)","OK"))))</f>
        <v/>
      </c>
      <c r="G1591" s="13">
        <f>SUMIFS(Movimentacoes!$G:$G,Movimentacoes!$C:$C,$A1591,Movimentacoes!$E:$E,$C1591,Movimentacoes!$B:$B,"ENTRADA")</f>
        <v/>
      </c>
      <c r="H1591" s="13">
        <f>SUMIFS(Movimentacoes!$G:$G,Movimentacoes!$C:$C,$A1591,Movimentacoes!$E:$E,$C1591,Movimentacoes!$B:$B,"SAIDA_USO")</f>
        <v/>
      </c>
      <c r="I1591" s="13">
        <f>SUMIFS(Movimentacoes!$G:$G,Movimentacoes!$C:$C,$A1591,Movimentacoes!$E:$E,$C1591,Movimentacoes!$B:$B,"SAIDA_DESCARTE")</f>
        <v/>
      </c>
      <c r="J1591" s="13">
        <f>G1591-H1591-I1591</f>
        <v/>
      </c>
      <c r="K1591">
        <f>IF(A1591="","",IF(J1591&lt;=IFERROR(VLOOKUP(A1591,Cadastro_Produtos!$A:$E,5,FALSE),0),"ABAIXO DO MINIMO","OK"))</f>
        <v/>
      </c>
    </row>
    <row r="1592">
      <c r="B1592">
        <f>IFERROR(VLOOKUP(A1592,Cadastro_Produtos!A:B,2,FALSE),"")</f>
        <v/>
      </c>
      <c r="D1592" s="12" t="n"/>
      <c r="E1592" s="13">
        <f>IF(D1592="","",D1592-TODAY())</f>
        <v/>
      </c>
      <c r="F1592">
        <f>IF(D1592="","",IF(E1592&lt;0,"VENCIDO",IF(E1592&lt;=30,"VENCE EM &lt;= 30 DIAS",IF(E1592&lt;=60,"ATENCAO (31-60 DIAS)","OK"))))</f>
        <v/>
      </c>
      <c r="G1592" s="13">
        <f>SUMIFS(Movimentacoes!$G:$G,Movimentacoes!$C:$C,$A1592,Movimentacoes!$E:$E,$C1592,Movimentacoes!$B:$B,"ENTRADA")</f>
        <v/>
      </c>
      <c r="H1592" s="13">
        <f>SUMIFS(Movimentacoes!$G:$G,Movimentacoes!$C:$C,$A1592,Movimentacoes!$E:$E,$C1592,Movimentacoes!$B:$B,"SAIDA_USO")</f>
        <v/>
      </c>
      <c r="I1592" s="13">
        <f>SUMIFS(Movimentacoes!$G:$G,Movimentacoes!$C:$C,$A1592,Movimentacoes!$E:$E,$C1592,Movimentacoes!$B:$B,"SAIDA_DESCARTE")</f>
        <v/>
      </c>
      <c r="J1592" s="13">
        <f>G1592-H1592-I1592</f>
        <v/>
      </c>
      <c r="K1592">
        <f>IF(A1592="","",IF(J1592&lt;=IFERROR(VLOOKUP(A1592,Cadastro_Produtos!$A:$E,5,FALSE),0),"ABAIXO DO MINIMO","OK"))</f>
        <v/>
      </c>
    </row>
    <row r="1593">
      <c r="B1593">
        <f>IFERROR(VLOOKUP(A1593,Cadastro_Produtos!A:B,2,FALSE),"")</f>
        <v/>
      </c>
      <c r="D1593" s="12" t="n"/>
      <c r="E1593" s="13">
        <f>IF(D1593="","",D1593-TODAY())</f>
        <v/>
      </c>
      <c r="F1593">
        <f>IF(D1593="","",IF(E1593&lt;0,"VENCIDO",IF(E1593&lt;=30,"VENCE EM &lt;= 30 DIAS",IF(E1593&lt;=60,"ATENCAO (31-60 DIAS)","OK"))))</f>
        <v/>
      </c>
      <c r="G1593" s="13">
        <f>SUMIFS(Movimentacoes!$G:$G,Movimentacoes!$C:$C,$A1593,Movimentacoes!$E:$E,$C1593,Movimentacoes!$B:$B,"ENTRADA")</f>
        <v/>
      </c>
      <c r="H1593" s="13">
        <f>SUMIFS(Movimentacoes!$G:$G,Movimentacoes!$C:$C,$A1593,Movimentacoes!$E:$E,$C1593,Movimentacoes!$B:$B,"SAIDA_USO")</f>
        <v/>
      </c>
      <c r="I1593" s="13">
        <f>SUMIFS(Movimentacoes!$G:$G,Movimentacoes!$C:$C,$A1593,Movimentacoes!$E:$E,$C1593,Movimentacoes!$B:$B,"SAIDA_DESCARTE")</f>
        <v/>
      </c>
      <c r="J1593" s="13">
        <f>G1593-H1593-I1593</f>
        <v/>
      </c>
      <c r="K1593">
        <f>IF(A1593="","",IF(J1593&lt;=IFERROR(VLOOKUP(A1593,Cadastro_Produtos!$A:$E,5,FALSE),0),"ABAIXO DO MINIMO","OK"))</f>
        <v/>
      </c>
    </row>
    <row r="1594">
      <c r="B1594">
        <f>IFERROR(VLOOKUP(A1594,Cadastro_Produtos!A:B,2,FALSE),"")</f>
        <v/>
      </c>
      <c r="D1594" s="12" t="n"/>
      <c r="E1594" s="13">
        <f>IF(D1594="","",D1594-TODAY())</f>
        <v/>
      </c>
      <c r="F1594">
        <f>IF(D1594="","",IF(E1594&lt;0,"VENCIDO",IF(E1594&lt;=30,"VENCE EM &lt;= 30 DIAS",IF(E1594&lt;=60,"ATENCAO (31-60 DIAS)","OK"))))</f>
        <v/>
      </c>
      <c r="G1594" s="13">
        <f>SUMIFS(Movimentacoes!$G:$G,Movimentacoes!$C:$C,$A1594,Movimentacoes!$E:$E,$C1594,Movimentacoes!$B:$B,"ENTRADA")</f>
        <v/>
      </c>
      <c r="H1594" s="13">
        <f>SUMIFS(Movimentacoes!$G:$G,Movimentacoes!$C:$C,$A1594,Movimentacoes!$E:$E,$C1594,Movimentacoes!$B:$B,"SAIDA_USO")</f>
        <v/>
      </c>
      <c r="I1594" s="13">
        <f>SUMIFS(Movimentacoes!$G:$G,Movimentacoes!$C:$C,$A1594,Movimentacoes!$E:$E,$C1594,Movimentacoes!$B:$B,"SAIDA_DESCARTE")</f>
        <v/>
      </c>
      <c r="J1594" s="13">
        <f>G1594-H1594-I1594</f>
        <v/>
      </c>
      <c r="K1594">
        <f>IF(A1594="","",IF(J1594&lt;=IFERROR(VLOOKUP(A1594,Cadastro_Produtos!$A:$E,5,FALSE),0),"ABAIXO DO MINIMO","OK"))</f>
        <v/>
      </c>
    </row>
    <row r="1595">
      <c r="B1595">
        <f>IFERROR(VLOOKUP(A1595,Cadastro_Produtos!A:B,2,FALSE),"")</f>
        <v/>
      </c>
      <c r="D1595" s="12" t="n"/>
      <c r="E1595" s="13">
        <f>IF(D1595="","",D1595-TODAY())</f>
        <v/>
      </c>
      <c r="F1595">
        <f>IF(D1595="","",IF(E1595&lt;0,"VENCIDO",IF(E1595&lt;=30,"VENCE EM &lt;= 30 DIAS",IF(E1595&lt;=60,"ATENCAO (31-60 DIAS)","OK"))))</f>
        <v/>
      </c>
      <c r="G1595" s="13">
        <f>SUMIFS(Movimentacoes!$G:$G,Movimentacoes!$C:$C,$A1595,Movimentacoes!$E:$E,$C1595,Movimentacoes!$B:$B,"ENTRADA")</f>
        <v/>
      </c>
      <c r="H1595" s="13">
        <f>SUMIFS(Movimentacoes!$G:$G,Movimentacoes!$C:$C,$A1595,Movimentacoes!$E:$E,$C1595,Movimentacoes!$B:$B,"SAIDA_USO")</f>
        <v/>
      </c>
      <c r="I1595" s="13">
        <f>SUMIFS(Movimentacoes!$G:$G,Movimentacoes!$C:$C,$A1595,Movimentacoes!$E:$E,$C1595,Movimentacoes!$B:$B,"SAIDA_DESCARTE")</f>
        <v/>
      </c>
      <c r="J1595" s="13">
        <f>G1595-H1595-I1595</f>
        <v/>
      </c>
      <c r="K1595">
        <f>IF(A1595="","",IF(J1595&lt;=IFERROR(VLOOKUP(A1595,Cadastro_Produtos!$A:$E,5,FALSE),0),"ABAIXO DO MINIMO","OK"))</f>
        <v/>
      </c>
    </row>
    <row r="1596">
      <c r="B1596">
        <f>IFERROR(VLOOKUP(A1596,Cadastro_Produtos!A:B,2,FALSE),"")</f>
        <v/>
      </c>
      <c r="D1596" s="12" t="n"/>
      <c r="E1596" s="13">
        <f>IF(D1596="","",D1596-TODAY())</f>
        <v/>
      </c>
      <c r="F1596">
        <f>IF(D1596="","",IF(E1596&lt;0,"VENCIDO",IF(E1596&lt;=30,"VENCE EM &lt;= 30 DIAS",IF(E1596&lt;=60,"ATENCAO (31-60 DIAS)","OK"))))</f>
        <v/>
      </c>
      <c r="G1596" s="13">
        <f>SUMIFS(Movimentacoes!$G:$G,Movimentacoes!$C:$C,$A1596,Movimentacoes!$E:$E,$C1596,Movimentacoes!$B:$B,"ENTRADA")</f>
        <v/>
      </c>
      <c r="H1596" s="13">
        <f>SUMIFS(Movimentacoes!$G:$G,Movimentacoes!$C:$C,$A1596,Movimentacoes!$E:$E,$C1596,Movimentacoes!$B:$B,"SAIDA_USO")</f>
        <v/>
      </c>
      <c r="I1596" s="13">
        <f>SUMIFS(Movimentacoes!$G:$G,Movimentacoes!$C:$C,$A1596,Movimentacoes!$E:$E,$C1596,Movimentacoes!$B:$B,"SAIDA_DESCARTE")</f>
        <v/>
      </c>
      <c r="J1596" s="13">
        <f>G1596-H1596-I1596</f>
        <v/>
      </c>
      <c r="K1596">
        <f>IF(A1596="","",IF(J1596&lt;=IFERROR(VLOOKUP(A1596,Cadastro_Produtos!$A:$E,5,FALSE),0),"ABAIXO DO MINIMO","OK"))</f>
        <v/>
      </c>
    </row>
    <row r="1597">
      <c r="B1597">
        <f>IFERROR(VLOOKUP(A1597,Cadastro_Produtos!A:B,2,FALSE),"")</f>
        <v/>
      </c>
      <c r="D1597" s="12" t="n"/>
      <c r="E1597" s="13">
        <f>IF(D1597="","",D1597-TODAY())</f>
        <v/>
      </c>
      <c r="F1597">
        <f>IF(D1597="","",IF(E1597&lt;0,"VENCIDO",IF(E1597&lt;=30,"VENCE EM &lt;= 30 DIAS",IF(E1597&lt;=60,"ATENCAO (31-60 DIAS)","OK"))))</f>
        <v/>
      </c>
      <c r="G1597" s="13">
        <f>SUMIFS(Movimentacoes!$G:$G,Movimentacoes!$C:$C,$A1597,Movimentacoes!$E:$E,$C1597,Movimentacoes!$B:$B,"ENTRADA")</f>
        <v/>
      </c>
      <c r="H1597" s="13">
        <f>SUMIFS(Movimentacoes!$G:$G,Movimentacoes!$C:$C,$A1597,Movimentacoes!$E:$E,$C1597,Movimentacoes!$B:$B,"SAIDA_USO")</f>
        <v/>
      </c>
      <c r="I1597" s="13">
        <f>SUMIFS(Movimentacoes!$G:$G,Movimentacoes!$C:$C,$A1597,Movimentacoes!$E:$E,$C1597,Movimentacoes!$B:$B,"SAIDA_DESCARTE")</f>
        <v/>
      </c>
      <c r="J1597" s="13">
        <f>G1597-H1597-I1597</f>
        <v/>
      </c>
      <c r="K1597">
        <f>IF(A1597="","",IF(J1597&lt;=IFERROR(VLOOKUP(A1597,Cadastro_Produtos!$A:$E,5,FALSE),0),"ABAIXO DO MINIMO","OK"))</f>
        <v/>
      </c>
    </row>
    <row r="1598">
      <c r="B1598">
        <f>IFERROR(VLOOKUP(A1598,Cadastro_Produtos!A:B,2,FALSE),"")</f>
        <v/>
      </c>
      <c r="D1598" s="12" t="n"/>
      <c r="E1598" s="13">
        <f>IF(D1598="","",D1598-TODAY())</f>
        <v/>
      </c>
      <c r="F1598">
        <f>IF(D1598="","",IF(E1598&lt;0,"VENCIDO",IF(E1598&lt;=30,"VENCE EM &lt;= 30 DIAS",IF(E1598&lt;=60,"ATENCAO (31-60 DIAS)","OK"))))</f>
        <v/>
      </c>
      <c r="G1598" s="13">
        <f>SUMIFS(Movimentacoes!$G:$G,Movimentacoes!$C:$C,$A1598,Movimentacoes!$E:$E,$C1598,Movimentacoes!$B:$B,"ENTRADA")</f>
        <v/>
      </c>
      <c r="H1598" s="13">
        <f>SUMIFS(Movimentacoes!$G:$G,Movimentacoes!$C:$C,$A1598,Movimentacoes!$E:$E,$C1598,Movimentacoes!$B:$B,"SAIDA_USO")</f>
        <v/>
      </c>
      <c r="I1598" s="13">
        <f>SUMIFS(Movimentacoes!$G:$G,Movimentacoes!$C:$C,$A1598,Movimentacoes!$E:$E,$C1598,Movimentacoes!$B:$B,"SAIDA_DESCARTE")</f>
        <v/>
      </c>
      <c r="J1598" s="13">
        <f>G1598-H1598-I1598</f>
        <v/>
      </c>
      <c r="K1598">
        <f>IF(A1598="","",IF(J1598&lt;=IFERROR(VLOOKUP(A1598,Cadastro_Produtos!$A:$E,5,FALSE),0),"ABAIXO DO MINIMO","OK"))</f>
        <v/>
      </c>
    </row>
    <row r="1599">
      <c r="B1599">
        <f>IFERROR(VLOOKUP(A1599,Cadastro_Produtos!A:B,2,FALSE),"")</f>
        <v/>
      </c>
      <c r="D1599" s="12" t="n"/>
      <c r="E1599" s="13">
        <f>IF(D1599="","",D1599-TODAY())</f>
        <v/>
      </c>
      <c r="F1599">
        <f>IF(D1599="","",IF(E1599&lt;0,"VENCIDO",IF(E1599&lt;=30,"VENCE EM &lt;= 30 DIAS",IF(E1599&lt;=60,"ATENCAO (31-60 DIAS)","OK"))))</f>
        <v/>
      </c>
      <c r="G1599" s="13">
        <f>SUMIFS(Movimentacoes!$G:$G,Movimentacoes!$C:$C,$A1599,Movimentacoes!$E:$E,$C1599,Movimentacoes!$B:$B,"ENTRADA")</f>
        <v/>
      </c>
      <c r="H1599" s="13">
        <f>SUMIFS(Movimentacoes!$G:$G,Movimentacoes!$C:$C,$A1599,Movimentacoes!$E:$E,$C1599,Movimentacoes!$B:$B,"SAIDA_USO")</f>
        <v/>
      </c>
      <c r="I1599" s="13">
        <f>SUMIFS(Movimentacoes!$G:$G,Movimentacoes!$C:$C,$A1599,Movimentacoes!$E:$E,$C1599,Movimentacoes!$B:$B,"SAIDA_DESCARTE")</f>
        <v/>
      </c>
      <c r="J1599" s="13">
        <f>G1599-H1599-I1599</f>
        <v/>
      </c>
      <c r="K1599">
        <f>IF(A1599="","",IF(J1599&lt;=IFERROR(VLOOKUP(A1599,Cadastro_Produtos!$A:$E,5,FALSE),0),"ABAIXO DO MINIMO","OK"))</f>
        <v/>
      </c>
    </row>
    <row r="1600">
      <c r="B1600">
        <f>IFERROR(VLOOKUP(A1600,Cadastro_Produtos!A:B,2,FALSE),"")</f>
        <v/>
      </c>
      <c r="D1600" s="12" t="n"/>
      <c r="E1600" s="13">
        <f>IF(D1600="","",D1600-TODAY())</f>
        <v/>
      </c>
      <c r="F1600">
        <f>IF(D1600="","",IF(E1600&lt;0,"VENCIDO",IF(E1600&lt;=30,"VENCE EM &lt;= 30 DIAS",IF(E1600&lt;=60,"ATENCAO (31-60 DIAS)","OK"))))</f>
        <v/>
      </c>
      <c r="G1600" s="13">
        <f>SUMIFS(Movimentacoes!$G:$G,Movimentacoes!$C:$C,$A1600,Movimentacoes!$E:$E,$C1600,Movimentacoes!$B:$B,"ENTRADA")</f>
        <v/>
      </c>
      <c r="H1600" s="13">
        <f>SUMIFS(Movimentacoes!$G:$G,Movimentacoes!$C:$C,$A1600,Movimentacoes!$E:$E,$C1600,Movimentacoes!$B:$B,"SAIDA_USO")</f>
        <v/>
      </c>
      <c r="I1600" s="13">
        <f>SUMIFS(Movimentacoes!$G:$G,Movimentacoes!$C:$C,$A1600,Movimentacoes!$E:$E,$C1600,Movimentacoes!$B:$B,"SAIDA_DESCARTE")</f>
        <v/>
      </c>
      <c r="J1600" s="13">
        <f>G1600-H1600-I1600</f>
        <v/>
      </c>
      <c r="K1600">
        <f>IF(A1600="","",IF(J1600&lt;=IFERROR(VLOOKUP(A1600,Cadastro_Produtos!$A:$E,5,FALSE),0),"ABAIXO DO MINIMO","OK"))</f>
        <v/>
      </c>
    </row>
    <row r="1601">
      <c r="B1601">
        <f>IFERROR(VLOOKUP(A1601,Cadastro_Produtos!A:B,2,FALSE),"")</f>
        <v/>
      </c>
      <c r="D1601" s="12" t="n"/>
      <c r="E1601" s="13">
        <f>IF(D1601="","",D1601-TODAY())</f>
        <v/>
      </c>
      <c r="F1601">
        <f>IF(D1601="","",IF(E1601&lt;0,"VENCIDO",IF(E1601&lt;=30,"VENCE EM &lt;= 30 DIAS",IF(E1601&lt;=60,"ATENCAO (31-60 DIAS)","OK"))))</f>
        <v/>
      </c>
      <c r="G1601" s="13">
        <f>SUMIFS(Movimentacoes!$G:$G,Movimentacoes!$C:$C,$A1601,Movimentacoes!$E:$E,$C1601,Movimentacoes!$B:$B,"ENTRADA")</f>
        <v/>
      </c>
      <c r="H1601" s="13">
        <f>SUMIFS(Movimentacoes!$G:$G,Movimentacoes!$C:$C,$A1601,Movimentacoes!$E:$E,$C1601,Movimentacoes!$B:$B,"SAIDA_USO")</f>
        <v/>
      </c>
      <c r="I1601" s="13">
        <f>SUMIFS(Movimentacoes!$G:$G,Movimentacoes!$C:$C,$A1601,Movimentacoes!$E:$E,$C1601,Movimentacoes!$B:$B,"SAIDA_DESCARTE")</f>
        <v/>
      </c>
      <c r="J1601" s="13">
        <f>G1601-H1601-I1601</f>
        <v/>
      </c>
      <c r="K1601">
        <f>IF(A1601="","",IF(J1601&lt;=IFERROR(VLOOKUP(A1601,Cadastro_Produtos!$A:$E,5,FALSE),0),"ABAIXO DO MINIMO","OK"))</f>
        <v/>
      </c>
    </row>
    <row r="1602">
      <c r="B1602">
        <f>IFERROR(VLOOKUP(A1602,Cadastro_Produtos!A:B,2,FALSE),"")</f>
        <v/>
      </c>
      <c r="D1602" s="12" t="n"/>
      <c r="E1602" s="13">
        <f>IF(D1602="","",D1602-TODAY())</f>
        <v/>
      </c>
      <c r="F1602">
        <f>IF(D1602="","",IF(E1602&lt;0,"VENCIDO",IF(E1602&lt;=30,"VENCE EM &lt;= 30 DIAS",IF(E1602&lt;=60,"ATENCAO (31-60 DIAS)","OK"))))</f>
        <v/>
      </c>
      <c r="G1602" s="13">
        <f>SUMIFS(Movimentacoes!$G:$G,Movimentacoes!$C:$C,$A1602,Movimentacoes!$E:$E,$C1602,Movimentacoes!$B:$B,"ENTRADA")</f>
        <v/>
      </c>
      <c r="H1602" s="13">
        <f>SUMIFS(Movimentacoes!$G:$G,Movimentacoes!$C:$C,$A1602,Movimentacoes!$E:$E,$C1602,Movimentacoes!$B:$B,"SAIDA_USO")</f>
        <v/>
      </c>
      <c r="I1602" s="13">
        <f>SUMIFS(Movimentacoes!$G:$G,Movimentacoes!$C:$C,$A1602,Movimentacoes!$E:$E,$C1602,Movimentacoes!$B:$B,"SAIDA_DESCARTE")</f>
        <v/>
      </c>
      <c r="J1602" s="13">
        <f>G1602-H1602-I1602</f>
        <v/>
      </c>
      <c r="K1602">
        <f>IF(A1602="","",IF(J1602&lt;=IFERROR(VLOOKUP(A1602,Cadastro_Produtos!$A:$E,5,FALSE),0),"ABAIXO DO MINIMO","OK"))</f>
        <v/>
      </c>
    </row>
    <row r="1603">
      <c r="B1603">
        <f>IFERROR(VLOOKUP(A1603,Cadastro_Produtos!A:B,2,FALSE),"")</f>
        <v/>
      </c>
      <c r="D1603" s="12" t="n"/>
      <c r="E1603" s="13">
        <f>IF(D1603="","",D1603-TODAY())</f>
        <v/>
      </c>
      <c r="F1603">
        <f>IF(D1603="","",IF(E1603&lt;0,"VENCIDO",IF(E1603&lt;=30,"VENCE EM &lt;= 30 DIAS",IF(E1603&lt;=60,"ATENCAO (31-60 DIAS)","OK"))))</f>
        <v/>
      </c>
      <c r="G1603" s="13">
        <f>SUMIFS(Movimentacoes!$G:$G,Movimentacoes!$C:$C,$A1603,Movimentacoes!$E:$E,$C1603,Movimentacoes!$B:$B,"ENTRADA")</f>
        <v/>
      </c>
      <c r="H1603" s="13">
        <f>SUMIFS(Movimentacoes!$G:$G,Movimentacoes!$C:$C,$A1603,Movimentacoes!$E:$E,$C1603,Movimentacoes!$B:$B,"SAIDA_USO")</f>
        <v/>
      </c>
      <c r="I1603" s="13">
        <f>SUMIFS(Movimentacoes!$G:$G,Movimentacoes!$C:$C,$A1603,Movimentacoes!$E:$E,$C1603,Movimentacoes!$B:$B,"SAIDA_DESCARTE")</f>
        <v/>
      </c>
      <c r="J1603" s="13">
        <f>G1603-H1603-I1603</f>
        <v/>
      </c>
      <c r="K1603">
        <f>IF(A1603="","",IF(J1603&lt;=IFERROR(VLOOKUP(A1603,Cadastro_Produtos!$A:$E,5,FALSE),0),"ABAIXO DO MINIMO","OK"))</f>
        <v/>
      </c>
    </row>
    <row r="1604">
      <c r="B1604">
        <f>IFERROR(VLOOKUP(A1604,Cadastro_Produtos!A:B,2,FALSE),"")</f>
        <v/>
      </c>
      <c r="D1604" s="12" t="n"/>
      <c r="E1604" s="13">
        <f>IF(D1604="","",D1604-TODAY())</f>
        <v/>
      </c>
      <c r="F1604">
        <f>IF(D1604="","",IF(E1604&lt;0,"VENCIDO",IF(E1604&lt;=30,"VENCE EM &lt;= 30 DIAS",IF(E1604&lt;=60,"ATENCAO (31-60 DIAS)","OK"))))</f>
        <v/>
      </c>
      <c r="G1604" s="13">
        <f>SUMIFS(Movimentacoes!$G:$G,Movimentacoes!$C:$C,$A1604,Movimentacoes!$E:$E,$C1604,Movimentacoes!$B:$B,"ENTRADA")</f>
        <v/>
      </c>
      <c r="H1604" s="13">
        <f>SUMIFS(Movimentacoes!$G:$G,Movimentacoes!$C:$C,$A1604,Movimentacoes!$E:$E,$C1604,Movimentacoes!$B:$B,"SAIDA_USO")</f>
        <v/>
      </c>
      <c r="I1604" s="13">
        <f>SUMIFS(Movimentacoes!$G:$G,Movimentacoes!$C:$C,$A1604,Movimentacoes!$E:$E,$C1604,Movimentacoes!$B:$B,"SAIDA_DESCARTE")</f>
        <v/>
      </c>
      <c r="J1604" s="13">
        <f>G1604-H1604-I1604</f>
        <v/>
      </c>
      <c r="K1604">
        <f>IF(A1604="","",IF(J1604&lt;=IFERROR(VLOOKUP(A1604,Cadastro_Produtos!$A:$E,5,FALSE),0),"ABAIXO DO MINIMO","OK"))</f>
        <v/>
      </c>
    </row>
    <row r="1605">
      <c r="B1605">
        <f>IFERROR(VLOOKUP(A1605,Cadastro_Produtos!A:B,2,FALSE),"")</f>
        <v/>
      </c>
      <c r="D1605" s="12" t="n"/>
      <c r="E1605" s="13">
        <f>IF(D1605="","",D1605-TODAY())</f>
        <v/>
      </c>
      <c r="F1605">
        <f>IF(D1605="","",IF(E1605&lt;0,"VENCIDO",IF(E1605&lt;=30,"VENCE EM &lt;= 30 DIAS",IF(E1605&lt;=60,"ATENCAO (31-60 DIAS)","OK"))))</f>
        <v/>
      </c>
      <c r="G1605" s="13">
        <f>SUMIFS(Movimentacoes!$G:$G,Movimentacoes!$C:$C,$A1605,Movimentacoes!$E:$E,$C1605,Movimentacoes!$B:$B,"ENTRADA")</f>
        <v/>
      </c>
      <c r="H1605" s="13">
        <f>SUMIFS(Movimentacoes!$G:$G,Movimentacoes!$C:$C,$A1605,Movimentacoes!$E:$E,$C1605,Movimentacoes!$B:$B,"SAIDA_USO")</f>
        <v/>
      </c>
      <c r="I1605" s="13">
        <f>SUMIFS(Movimentacoes!$G:$G,Movimentacoes!$C:$C,$A1605,Movimentacoes!$E:$E,$C1605,Movimentacoes!$B:$B,"SAIDA_DESCARTE")</f>
        <v/>
      </c>
      <c r="J1605" s="13">
        <f>G1605-H1605-I1605</f>
        <v/>
      </c>
      <c r="K1605">
        <f>IF(A1605="","",IF(J1605&lt;=IFERROR(VLOOKUP(A1605,Cadastro_Produtos!$A:$E,5,FALSE),0),"ABAIXO DO MINIMO","OK"))</f>
        <v/>
      </c>
    </row>
    <row r="1606">
      <c r="B1606">
        <f>IFERROR(VLOOKUP(A1606,Cadastro_Produtos!A:B,2,FALSE),"")</f>
        <v/>
      </c>
      <c r="D1606" s="12" t="n"/>
      <c r="E1606" s="13">
        <f>IF(D1606="","",D1606-TODAY())</f>
        <v/>
      </c>
      <c r="F1606">
        <f>IF(D1606="","",IF(E1606&lt;0,"VENCIDO",IF(E1606&lt;=30,"VENCE EM &lt;= 30 DIAS",IF(E1606&lt;=60,"ATENCAO (31-60 DIAS)","OK"))))</f>
        <v/>
      </c>
      <c r="G1606" s="13">
        <f>SUMIFS(Movimentacoes!$G:$G,Movimentacoes!$C:$C,$A1606,Movimentacoes!$E:$E,$C1606,Movimentacoes!$B:$B,"ENTRADA")</f>
        <v/>
      </c>
      <c r="H1606" s="13">
        <f>SUMIFS(Movimentacoes!$G:$G,Movimentacoes!$C:$C,$A1606,Movimentacoes!$E:$E,$C1606,Movimentacoes!$B:$B,"SAIDA_USO")</f>
        <v/>
      </c>
      <c r="I1606" s="13">
        <f>SUMIFS(Movimentacoes!$G:$G,Movimentacoes!$C:$C,$A1606,Movimentacoes!$E:$E,$C1606,Movimentacoes!$B:$B,"SAIDA_DESCARTE")</f>
        <v/>
      </c>
      <c r="J1606" s="13">
        <f>G1606-H1606-I1606</f>
        <v/>
      </c>
      <c r="K1606">
        <f>IF(A1606="","",IF(J1606&lt;=IFERROR(VLOOKUP(A1606,Cadastro_Produtos!$A:$E,5,FALSE),0),"ABAIXO DO MINIMO","OK"))</f>
        <v/>
      </c>
    </row>
    <row r="1607">
      <c r="B1607">
        <f>IFERROR(VLOOKUP(A1607,Cadastro_Produtos!A:B,2,FALSE),"")</f>
        <v/>
      </c>
      <c r="D1607" s="12" t="n"/>
      <c r="E1607" s="13">
        <f>IF(D1607="","",D1607-TODAY())</f>
        <v/>
      </c>
      <c r="F1607">
        <f>IF(D1607="","",IF(E1607&lt;0,"VENCIDO",IF(E1607&lt;=30,"VENCE EM &lt;= 30 DIAS",IF(E1607&lt;=60,"ATENCAO (31-60 DIAS)","OK"))))</f>
        <v/>
      </c>
      <c r="G1607" s="13">
        <f>SUMIFS(Movimentacoes!$G:$G,Movimentacoes!$C:$C,$A1607,Movimentacoes!$E:$E,$C1607,Movimentacoes!$B:$B,"ENTRADA")</f>
        <v/>
      </c>
      <c r="H1607" s="13">
        <f>SUMIFS(Movimentacoes!$G:$G,Movimentacoes!$C:$C,$A1607,Movimentacoes!$E:$E,$C1607,Movimentacoes!$B:$B,"SAIDA_USO")</f>
        <v/>
      </c>
      <c r="I1607" s="13">
        <f>SUMIFS(Movimentacoes!$G:$G,Movimentacoes!$C:$C,$A1607,Movimentacoes!$E:$E,$C1607,Movimentacoes!$B:$B,"SAIDA_DESCARTE")</f>
        <v/>
      </c>
      <c r="J1607" s="13">
        <f>G1607-H1607-I1607</f>
        <v/>
      </c>
      <c r="K1607">
        <f>IF(A1607="","",IF(J1607&lt;=IFERROR(VLOOKUP(A1607,Cadastro_Produtos!$A:$E,5,FALSE),0),"ABAIXO DO MINIMO","OK"))</f>
        <v/>
      </c>
    </row>
    <row r="1608">
      <c r="B1608">
        <f>IFERROR(VLOOKUP(A1608,Cadastro_Produtos!A:B,2,FALSE),"")</f>
        <v/>
      </c>
      <c r="D1608" s="12" t="n"/>
      <c r="E1608" s="13">
        <f>IF(D1608="","",D1608-TODAY())</f>
        <v/>
      </c>
      <c r="F1608">
        <f>IF(D1608="","",IF(E1608&lt;0,"VENCIDO",IF(E1608&lt;=30,"VENCE EM &lt;= 30 DIAS",IF(E1608&lt;=60,"ATENCAO (31-60 DIAS)","OK"))))</f>
        <v/>
      </c>
      <c r="G1608" s="13">
        <f>SUMIFS(Movimentacoes!$G:$G,Movimentacoes!$C:$C,$A1608,Movimentacoes!$E:$E,$C1608,Movimentacoes!$B:$B,"ENTRADA")</f>
        <v/>
      </c>
      <c r="H1608" s="13">
        <f>SUMIFS(Movimentacoes!$G:$G,Movimentacoes!$C:$C,$A1608,Movimentacoes!$E:$E,$C1608,Movimentacoes!$B:$B,"SAIDA_USO")</f>
        <v/>
      </c>
      <c r="I1608" s="13">
        <f>SUMIFS(Movimentacoes!$G:$G,Movimentacoes!$C:$C,$A1608,Movimentacoes!$E:$E,$C1608,Movimentacoes!$B:$B,"SAIDA_DESCARTE")</f>
        <v/>
      </c>
      <c r="J1608" s="13">
        <f>G1608-H1608-I1608</f>
        <v/>
      </c>
      <c r="K1608">
        <f>IF(A1608="","",IF(J1608&lt;=IFERROR(VLOOKUP(A1608,Cadastro_Produtos!$A:$E,5,FALSE),0),"ABAIXO DO MINIMO","OK"))</f>
        <v/>
      </c>
    </row>
    <row r="1609">
      <c r="B1609">
        <f>IFERROR(VLOOKUP(A1609,Cadastro_Produtos!A:B,2,FALSE),"")</f>
        <v/>
      </c>
      <c r="D1609" s="12" t="n"/>
      <c r="E1609" s="13">
        <f>IF(D1609="","",D1609-TODAY())</f>
        <v/>
      </c>
      <c r="F1609">
        <f>IF(D1609="","",IF(E1609&lt;0,"VENCIDO",IF(E1609&lt;=30,"VENCE EM &lt;= 30 DIAS",IF(E1609&lt;=60,"ATENCAO (31-60 DIAS)","OK"))))</f>
        <v/>
      </c>
      <c r="G1609" s="13">
        <f>SUMIFS(Movimentacoes!$G:$G,Movimentacoes!$C:$C,$A1609,Movimentacoes!$E:$E,$C1609,Movimentacoes!$B:$B,"ENTRADA")</f>
        <v/>
      </c>
      <c r="H1609" s="13">
        <f>SUMIFS(Movimentacoes!$G:$G,Movimentacoes!$C:$C,$A1609,Movimentacoes!$E:$E,$C1609,Movimentacoes!$B:$B,"SAIDA_USO")</f>
        <v/>
      </c>
      <c r="I1609" s="13">
        <f>SUMIFS(Movimentacoes!$G:$G,Movimentacoes!$C:$C,$A1609,Movimentacoes!$E:$E,$C1609,Movimentacoes!$B:$B,"SAIDA_DESCARTE")</f>
        <v/>
      </c>
      <c r="J1609" s="13">
        <f>G1609-H1609-I1609</f>
        <v/>
      </c>
      <c r="K1609">
        <f>IF(A1609="","",IF(J1609&lt;=IFERROR(VLOOKUP(A1609,Cadastro_Produtos!$A:$E,5,FALSE),0),"ABAIXO DO MINIMO","OK"))</f>
        <v/>
      </c>
    </row>
    <row r="1610">
      <c r="B1610">
        <f>IFERROR(VLOOKUP(A1610,Cadastro_Produtos!A:B,2,FALSE),"")</f>
        <v/>
      </c>
      <c r="D1610" s="12" t="n"/>
      <c r="E1610" s="13">
        <f>IF(D1610="","",D1610-TODAY())</f>
        <v/>
      </c>
      <c r="F1610">
        <f>IF(D1610="","",IF(E1610&lt;0,"VENCIDO",IF(E1610&lt;=30,"VENCE EM &lt;= 30 DIAS",IF(E1610&lt;=60,"ATENCAO (31-60 DIAS)","OK"))))</f>
        <v/>
      </c>
      <c r="G1610" s="13">
        <f>SUMIFS(Movimentacoes!$G:$G,Movimentacoes!$C:$C,$A1610,Movimentacoes!$E:$E,$C1610,Movimentacoes!$B:$B,"ENTRADA")</f>
        <v/>
      </c>
      <c r="H1610" s="13">
        <f>SUMIFS(Movimentacoes!$G:$G,Movimentacoes!$C:$C,$A1610,Movimentacoes!$E:$E,$C1610,Movimentacoes!$B:$B,"SAIDA_USO")</f>
        <v/>
      </c>
      <c r="I1610" s="13">
        <f>SUMIFS(Movimentacoes!$G:$G,Movimentacoes!$C:$C,$A1610,Movimentacoes!$E:$E,$C1610,Movimentacoes!$B:$B,"SAIDA_DESCARTE")</f>
        <v/>
      </c>
      <c r="J1610" s="13">
        <f>G1610-H1610-I1610</f>
        <v/>
      </c>
      <c r="K1610">
        <f>IF(A1610="","",IF(J1610&lt;=IFERROR(VLOOKUP(A1610,Cadastro_Produtos!$A:$E,5,FALSE),0),"ABAIXO DO MINIMO","OK"))</f>
        <v/>
      </c>
    </row>
    <row r="1611">
      <c r="B1611">
        <f>IFERROR(VLOOKUP(A1611,Cadastro_Produtos!A:B,2,FALSE),"")</f>
        <v/>
      </c>
      <c r="D1611" s="12" t="n"/>
      <c r="E1611" s="13">
        <f>IF(D1611="","",D1611-TODAY())</f>
        <v/>
      </c>
      <c r="F1611">
        <f>IF(D1611="","",IF(E1611&lt;0,"VENCIDO",IF(E1611&lt;=30,"VENCE EM &lt;= 30 DIAS",IF(E1611&lt;=60,"ATENCAO (31-60 DIAS)","OK"))))</f>
        <v/>
      </c>
      <c r="G1611" s="13">
        <f>SUMIFS(Movimentacoes!$G:$G,Movimentacoes!$C:$C,$A1611,Movimentacoes!$E:$E,$C1611,Movimentacoes!$B:$B,"ENTRADA")</f>
        <v/>
      </c>
      <c r="H1611" s="13">
        <f>SUMIFS(Movimentacoes!$G:$G,Movimentacoes!$C:$C,$A1611,Movimentacoes!$E:$E,$C1611,Movimentacoes!$B:$B,"SAIDA_USO")</f>
        <v/>
      </c>
      <c r="I1611" s="13">
        <f>SUMIFS(Movimentacoes!$G:$G,Movimentacoes!$C:$C,$A1611,Movimentacoes!$E:$E,$C1611,Movimentacoes!$B:$B,"SAIDA_DESCARTE")</f>
        <v/>
      </c>
      <c r="J1611" s="13">
        <f>G1611-H1611-I1611</f>
        <v/>
      </c>
      <c r="K1611">
        <f>IF(A1611="","",IF(J1611&lt;=IFERROR(VLOOKUP(A1611,Cadastro_Produtos!$A:$E,5,FALSE),0),"ABAIXO DO MINIMO","OK"))</f>
        <v/>
      </c>
    </row>
    <row r="1612">
      <c r="B1612">
        <f>IFERROR(VLOOKUP(A1612,Cadastro_Produtos!A:B,2,FALSE),"")</f>
        <v/>
      </c>
      <c r="D1612" s="12" t="n"/>
      <c r="E1612" s="13">
        <f>IF(D1612="","",D1612-TODAY())</f>
        <v/>
      </c>
      <c r="F1612">
        <f>IF(D1612="","",IF(E1612&lt;0,"VENCIDO",IF(E1612&lt;=30,"VENCE EM &lt;= 30 DIAS",IF(E1612&lt;=60,"ATENCAO (31-60 DIAS)","OK"))))</f>
        <v/>
      </c>
      <c r="G1612" s="13">
        <f>SUMIFS(Movimentacoes!$G:$G,Movimentacoes!$C:$C,$A1612,Movimentacoes!$E:$E,$C1612,Movimentacoes!$B:$B,"ENTRADA")</f>
        <v/>
      </c>
      <c r="H1612" s="13">
        <f>SUMIFS(Movimentacoes!$G:$G,Movimentacoes!$C:$C,$A1612,Movimentacoes!$E:$E,$C1612,Movimentacoes!$B:$B,"SAIDA_USO")</f>
        <v/>
      </c>
      <c r="I1612" s="13">
        <f>SUMIFS(Movimentacoes!$G:$G,Movimentacoes!$C:$C,$A1612,Movimentacoes!$E:$E,$C1612,Movimentacoes!$B:$B,"SAIDA_DESCARTE")</f>
        <v/>
      </c>
      <c r="J1612" s="13">
        <f>G1612-H1612-I1612</f>
        <v/>
      </c>
      <c r="K1612">
        <f>IF(A1612="","",IF(J1612&lt;=IFERROR(VLOOKUP(A1612,Cadastro_Produtos!$A:$E,5,FALSE),0),"ABAIXO DO MINIMO","OK"))</f>
        <v/>
      </c>
    </row>
    <row r="1613">
      <c r="B1613">
        <f>IFERROR(VLOOKUP(A1613,Cadastro_Produtos!A:B,2,FALSE),"")</f>
        <v/>
      </c>
      <c r="D1613" s="12" t="n"/>
      <c r="E1613" s="13">
        <f>IF(D1613="","",D1613-TODAY())</f>
        <v/>
      </c>
      <c r="F1613">
        <f>IF(D1613="","",IF(E1613&lt;0,"VENCIDO",IF(E1613&lt;=30,"VENCE EM &lt;= 30 DIAS",IF(E1613&lt;=60,"ATENCAO (31-60 DIAS)","OK"))))</f>
        <v/>
      </c>
      <c r="G1613" s="13">
        <f>SUMIFS(Movimentacoes!$G:$G,Movimentacoes!$C:$C,$A1613,Movimentacoes!$E:$E,$C1613,Movimentacoes!$B:$B,"ENTRADA")</f>
        <v/>
      </c>
      <c r="H1613" s="13">
        <f>SUMIFS(Movimentacoes!$G:$G,Movimentacoes!$C:$C,$A1613,Movimentacoes!$E:$E,$C1613,Movimentacoes!$B:$B,"SAIDA_USO")</f>
        <v/>
      </c>
      <c r="I1613" s="13">
        <f>SUMIFS(Movimentacoes!$G:$G,Movimentacoes!$C:$C,$A1613,Movimentacoes!$E:$E,$C1613,Movimentacoes!$B:$B,"SAIDA_DESCARTE")</f>
        <v/>
      </c>
      <c r="J1613" s="13">
        <f>G1613-H1613-I1613</f>
        <v/>
      </c>
      <c r="K1613">
        <f>IF(A1613="","",IF(J1613&lt;=IFERROR(VLOOKUP(A1613,Cadastro_Produtos!$A:$E,5,FALSE),0),"ABAIXO DO MINIMO","OK"))</f>
        <v/>
      </c>
    </row>
    <row r="1614">
      <c r="B1614">
        <f>IFERROR(VLOOKUP(A1614,Cadastro_Produtos!A:B,2,FALSE),"")</f>
        <v/>
      </c>
      <c r="D1614" s="12" t="n"/>
      <c r="E1614" s="13">
        <f>IF(D1614="","",D1614-TODAY())</f>
        <v/>
      </c>
      <c r="F1614">
        <f>IF(D1614="","",IF(E1614&lt;0,"VENCIDO",IF(E1614&lt;=30,"VENCE EM &lt;= 30 DIAS",IF(E1614&lt;=60,"ATENCAO (31-60 DIAS)","OK"))))</f>
        <v/>
      </c>
      <c r="G1614" s="13">
        <f>SUMIFS(Movimentacoes!$G:$G,Movimentacoes!$C:$C,$A1614,Movimentacoes!$E:$E,$C1614,Movimentacoes!$B:$B,"ENTRADA")</f>
        <v/>
      </c>
      <c r="H1614" s="13">
        <f>SUMIFS(Movimentacoes!$G:$G,Movimentacoes!$C:$C,$A1614,Movimentacoes!$E:$E,$C1614,Movimentacoes!$B:$B,"SAIDA_USO")</f>
        <v/>
      </c>
      <c r="I1614" s="13">
        <f>SUMIFS(Movimentacoes!$G:$G,Movimentacoes!$C:$C,$A1614,Movimentacoes!$E:$E,$C1614,Movimentacoes!$B:$B,"SAIDA_DESCARTE")</f>
        <v/>
      </c>
      <c r="J1614" s="13">
        <f>G1614-H1614-I1614</f>
        <v/>
      </c>
      <c r="K1614">
        <f>IF(A1614="","",IF(J1614&lt;=IFERROR(VLOOKUP(A1614,Cadastro_Produtos!$A:$E,5,FALSE),0),"ABAIXO DO MINIMO","OK"))</f>
        <v/>
      </c>
    </row>
    <row r="1615">
      <c r="B1615">
        <f>IFERROR(VLOOKUP(A1615,Cadastro_Produtos!A:B,2,FALSE),"")</f>
        <v/>
      </c>
      <c r="D1615" s="12" t="n"/>
      <c r="E1615" s="13">
        <f>IF(D1615="","",D1615-TODAY())</f>
        <v/>
      </c>
      <c r="F1615">
        <f>IF(D1615="","",IF(E1615&lt;0,"VENCIDO",IF(E1615&lt;=30,"VENCE EM &lt;= 30 DIAS",IF(E1615&lt;=60,"ATENCAO (31-60 DIAS)","OK"))))</f>
        <v/>
      </c>
      <c r="G1615" s="13">
        <f>SUMIFS(Movimentacoes!$G:$G,Movimentacoes!$C:$C,$A1615,Movimentacoes!$E:$E,$C1615,Movimentacoes!$B:$B,"ENTRADA")</f>
        <v/>
      </c>
      <c r="H1615" s="13">
        <f>SUMIFS(Movimentacoes!$G:$G,Movimentacoes!$C:$C,$A1615,Movimentacoes!$E:$E,$C1615,Movimentacoes!$B:$B,"SAIDA_USO")</f>
        <v/>
      </c>
      <c r="I1615" s="13">
        <f>SUMIFS(Movimentacoes!$G:$G,Movimentacoes!$C:$C,$A1615,Movimentacoes!$E:$E,$C1615,Movimentacoes!$B:$B,"SAIDA_DESCARTE")</f>
        <v/>
      </c>
      <c r="J1615" s="13">
        <f>G1615-H1615-I1615</f>
        <v/>
      </c>
      <c r="K1615">
        <f>IF(A1615="","",IF(J1615&lt;=IFERROR(VLOOKUP(A1615,Cadastro_Produtos!$A:$E,5,FALSE),0),"ABAIXO DO MINIMO","OK"))</f>
        <v/>
      </c>
    </row>
    <row r="1616">
      <c r="B1616">
        <f>IFERROR(VLOOKUP(A1616,Cadastro_Produtos!A:B,2,FALSE),"")</f>
        <v/>
      </c>
      <c r="D1616" s="12" t="n"/>
      <c r="E1616" s="13">
        <f>IF(D1616="","",D1616-TODAY())</f>
        <v/>
      </c>
      <c r="F1616">
        <f>IF(D1616="","",IF(E1616&lt;0,"VENCIDO",IF(E1616&lt;=30,"VENCE EM &lt;= 30 DIAS",IF(E1616&lt;=60,"ATENCAO (31-60 DIAS)","OK"))))</f>
        <v/>
      </c>
      <c r="G1616" s="13">
        <f>SUMIFS(Movimentacoes!$G:$G,Movimentacoes!$C:$C,$A1616,Movimentacoes!$E:$E,$C1616,Movimentacoes!$B:$B,"ENTRADA")</f>
        <v/>
      </c>
      <c r="H1616" s="13">
        <f>SUMIFS(Movimentacoes!$G:$G,Movimentacoes!$C:$C,$A1616,Movimentacoes!$E:$E,$C1616,Movimentacoes!$B:$B,"SAIDA_USO")</f>
        <v/>
      </c>
      <c r="I1616" s="13">
        <f>SUMIFS(Movimentacoes!$G:$G,Movimentacoes!$C:$C,$A1616,Movimentacoes!$E:$E,$C1616,Movimentacoes!$B:$B,"SAIDA_DESCARTE")</f>
        <v/>
      </c>
      <c r="J1616" s="13">
        <f>G1616-H1616-I1616</f>
        <v/>
      </c>
      <c r="K1616">
        <f>IF(A1616="","",IF(J1616&lt;=IFERROR(VLOOKUP(A1616,Cadastro_Produtos!$A:$E,5,FALSE),0),"ABAIXO DO MINIMO","OK"))</f>
        <v/>
      </c>
    </row>
    <row r="1617">
      <c r="B1617">
        <f>IFERROR(VLOOKUP(A1617,Cadastro_Produtos!A:B,2,FALSE),"")</f>
        <v/>
      </c>
      <c r="D1617" s="12" t="n"/>
      <c r="E1617" s="13">
        <f>IF(D1617="","",D1617-TODAY())</f>
        <v/>
      </c>
      <c r="F1617">
        <f>IF(D1617="","",IF(E1617&lt;0,"VENCIDO",IF(E1617&lt;=30,"VENCE EM &lt;= 30 DIAS",IF(E1617&lt;=60,"ATENCAO (31-60 DIAS)","OK"))))</f>
        <v/>
      </c>
      <c r="G1617" s="13">
        <f>SUMIFS(Movimentacoes!$G:$G,Movimentacoes!$C:$C,$A1617,Movimentacoes!$E:$E,$C1617,Movimentacoes!$B:$B,"ENTRADA")</f>
        <v/>
      </c>
      <c r="H1617" s="13">
        <f>SUMIFS(Movimentacoes!$G:$G,Movimentacoes!$C:$C,$A1617,Movimentacoes!$E:$E,$C1617,Movimentacoes!$B:$B,"SAIDA_USO")</f>
        <v/>
      </c>
      <c r="I1617" s="13">
        <f>SUMIFS(Movimentacoes!$G:$G,Movimentacoes!$C:$C,$A1617,Movimentacoes!$E:$E,$C1617,Movimentacoes!$B:$B,"SAIDA_DESCARTE")</f>
        <v/>
      </c>
      <c r="J1617" s="13">
        <f>G1617-H1617-I1617</f>
        <v/>
      </c>
      <c r="K1617">
        <f>IF(A1617="","",IF(J1617&lt;=IFERROR(VLOOKUP(A1617,Cadastro_Produtos!$A:$E,5,FALSE),0),"ABAIXO DO MINIMO","OK"))</f>
        <v/>
      </c>
    </row>
    <row r="1618">
      <c r="B1618">
        <f>IFERROR(VLOOKUP(A1618,Cadastro_Produtos!A:B,2,FALSE),"")</f>
        <v/>
      </c>
      <c r="D1618" s="12" t="n"/>
      <c r="E1618" s="13">
        <f>IF(D1618="","",D1618-TODAY())</f>
        <v/>
      </c>
      <c r="F1618">
        <f>IF(D1618="","",IF(E1618&lt;0,"VENCIDO",IF(E1618&lt;=30,"VENCE EM &lt;= 30 DIAS",IF(E1618&lt;=60,"ATENCAO (31-60 DIAS)","OK"))))</f>
        <v/>
      </c>
      <c r="G1618" s="13">
        <f>SUMIFS(Movimentacoes!$G:$G,Movimentacoes!$C:$C,$A1618,Movimentacoes!$E:$E,$C1618,Movimentacoes!$B:$B,"ENTRADA")</f>
        <v/>
      </c>
      <c r="H1618" s="13">
        <f>SUMIFS(Movimentacoes!$G:$G,Movimentacoes!$C:$C,$A1618,Movimentacoes!$E:$E,$C1618,Movimentacoes!$B:$B,"SAIDA_USO")</f>
        <v/>
      </c>
      <c r="I1618" s="13">
        <f>SUMIFS(Movimentacoes!$G:$G,Movimentacoes!$C:$C,$A1618,Movimentacoes!$E:$E,$C1618,Movimentacoes!$B:$B,"SAIDA_DESCARTE")</f>
        <v/>
      </c>
      <c r="J1618" s="13">
        <f>G1618-H1618-I1618</f>
        <v/>
      </c>
      <c r="K1618">
        <f>IF(A1618="","",IF(J1618&lt;=IFERROR(VLOOKUP(A1618,Cadastro_Produtos!$A:$E,5,FALSE),0),"ABAIXO DO MINIMO","OK"))</f>
        <v/>
      </c>
    </row>
    <row r="1619">
      <c r="B1619">
        <f>IFERROR(VLOOKUP(A1619,Cadastro_Produtos!A:B,2,FALSE),"")</f>
        <v/>
      </c>
      <c r="D1619" s="12" t="n"/>
      <c r="E1619" s="13">
        <f>IF(D1619="","",D1619-TODAY())</f>
        <v/>
      </c>
      <c r="F1619">
        <f>IF(D1619="","",IF(E1619&lt;0,"VENCIDO",IF(E1619&lt;=30,"VENCE EM &lt;= 30 DIAS",IF(E1619&lt;=60,"ATENCAO (31-60 DIAS)","OK"))))</f>
        <v/>
      </c>
      <c r="G1619" s="13">
        <f>SUMIFS(Movimentacoes!$G:$G,Movimentacoes!$C:$C,$A1619,Movimentacoes!$E:$E,$C1619,Movimentacoes!$B:$B,"ENTRADA")</f>
        <v/>
      </c>
      <c r="H1619" s="13">
        <f>SUMIFS(Movimentacoes!$G:$G,Movimentacoes!$C:$C,$A1619,Movimentacoes!$E:$E,$C1619,Movimentacoes!$B:$B,"SAIDA_USO")</f>
        <v/>
      </c>
      <c r="I1619" s="13">
        <f>SUMIFS(Movimentacoes!$G:$G,Movimentacoes!$C:$C,$A1619,Movimentacoes!$E:$E,$C1619,Movimentacoes!$B:$B,"SAIDA_DESCARTE")</f>
        <v/>
      </c>
      <c r="J1619" s="13">
        <f>G1619-H1619-I1619</f>
        <v/>
      </c>
      <c r="K1619">
        <f>IF(A1619="","",IF(J1619&lt;=IFERROR(VLOOKUP(A1619,Cadastro_Produtos!$A:$E,5,FALSE),0),"ABAIXO DO MINIMO","OK"))</f>
        <v/>
      </c>
    </row>
    <row r="1620">
      <c r="B1620">
        <f>IFERROR(VLOOKUP(A1620,Cadastro_Produtos!A:B,2,FALSE),"")</f>
        <v/>
      </c>
      <c r="D1620" s="12" t="n"/>
      <c r="E1620" s="13">
        <f>IF(D1620="","",D1620-TODAY())</f>
        <v/>
      </c>
      <c r="F1620">
        <f>IF(D1620="","",IF(E1620&lt;0,"VENCIDO",IF(E1620&lt;=30,"VENCE EM &lt;= 30 DIAS",IF(E1620&lt;=60,"ATENCAO (31-60 DIAS)","OK"))))</f>
        <v/>
      </c>
      <c r="G1620" s="13">
        <f>SUMIFS(Movimentacoes!$G:$G,Movimentacoes!$C:$C,$A1620,Movimentacoes!$E:$E,$C1620,Movimentacoes!$B:$B,"ENTRADA")</f>
        <v/>
      </c>
      <c r="H1620" s="13">
        <f>SUMIFS(Movimentacoes!$G:$G,Movimentacoes!$C:$C,$A1620,Movimentacoes!$E:$E,$C1620,Movimentacoes!$B:$B,"SAIDA_USO")</f>
        <v/>
      </c>
      <c r="I1620" s="13">
        <f>SUMIFS(Movimentacoes!$G:$G,Movimentacoes!$C:$C,$A1620,Movimentacoes!$E:$E,$C1620,Movimentacoes!$B:$B,"SAIDA_DESCARTE")</f>
        <v/>
      </c>
      <c r="J1620" s="13">
        <f>G1620-H1620-I1620</f>
        <v/>
      </c>
      <c r="K1620">
        <f>IF(A1620="","",IF(J1620&lt;=IFERROR(VLOOKUP(A1620,Cadastro_Produtos!$A:$E,5,FALSE),0),"ABAIXO DO MINIMO","OK"))</f>
        <v/>
      </c>
    </row>
    <row r="1621">
      <c r="B1621">
        <f>IFERROR(VLOOKUP(A1621,Cadastro_Produtos!A:B,2,FALSE),"")</f>
        <v/>
      </c>
      <c r="D1621" s="12" t="n"/>
      <c r="E1621" s="13">
        <f>IF(D1621="","",D1621-TODAY())</f>
        <v/>
      </c>
      <c r="F1621">
        <f>IF(D1621="","",IF(E1621&lt;0,"VENCIDO",IF(E1621&lt;=30,"VENCE EM &lt;= 30 DIAS",IF(E1621&lt;=60,"ATENCAO (31-60 DIAS)","OK"))))</f>
        <v/>
      </c>
      <c r="G1621" s="13">
        <f>SUMIFS(Movimentacoes!$G:$G,Movimentacoes!$C:$C,$A1621,Movimentacoes!$E:$E,$C1621,Movimentacoes!$B:$B,"ENTRADA")</f>
        <v/>
      </c>
      <c r="H1621" s="13">
        <f>SUMIFS(Movimentacoes!$G:$G,Movimentacoes!$C:$C,$A1621,Movimentacoes!$E:$E,$C1621,Movimentacoes!$B:$B,"SAIDA_USO")</f>
        <v/>
      </c>
      <c r="I1621" s="13">
        <f>SUMIFS(Movimentacoes!$G:$G,Movimentacoes!$C:$C,$A1621,Movimentacoes!$E:$E,$C1621,Movimentacoes!$B:$B,"SAIDA_DESCARTE")</f>
        <v/>
      </c>
      <c r="J1621" s="13">
        <f>G1621-H1621-I1621</f>
        <v/>
      </c>
      <c r="K1621">
        <f>IF(A1621="","",IF(J1621&lt;=IFERROR(VLOOKUP(A1621,Cadastro_Produtos!$A:$E,5,FALSE),0),"ABAIXO DO MINIMO","OK"))</f>
        <v/>
      </c>
    </row>
    <row r="1622">
      <c r="B1622">
        <f>IFERROR(VLOOKUP(A1622,Cadastro_Produtos!A:B,2,FALSE),"")</f>
        <v/>
      </c>
      <c r="D1622" s="12" t="n"/>
      <c r="E1622" s="13">
        <f>IF(D1622="","",D1622-TODAY())</f>
        <v/>
      </c>
      <c r="F1622">
        <f>IF(D1622="","",IF(E1622&lt;0,"VENCIDO",IF(E1622&lt;=30,"VENCE EM &lt;= 30 DIAS",IF(E1622&lt;=60,"ATENCAO (31-60 DIAS)","OK"))))</f>
        <v/>
      </c>
      <c r="G1622" s="13">
        <f>SUMIFS(Movimentacoes!$G:$G,Movimentacoes!$C:$C,$A1622,Movimentacoes!$E:$E,$C1622,Movimentacoes!$B:$B,"ENTRADA")</f>
        <v/>
      </c>
      <c r="H1622" s="13">
        <f>SUMIFS(Movimentacoes!$G:$G,Movimentacoes!$C:$C,$A1622,Movimentacoes!$E:$E,$C1622,Movimentacoes!$B:$B,"SAIDA_USO")</f>
        <v/>
      </c>
      <c r="I1622" s="13">
        <f>SUMIFS(Movimentacoes!$G:$G,Movimentacoes!$C:$C,$A1622,Movimentacoes!$E:$E,$C1622,Movimentacoes!$B:$B,"SAIDA_DESCARTE")</f>
        <v/>
      </c>
      <c r="J1622" s="13">
        <f>G1622-H1622-I1622</f>
        <v/>
      </c>
      <c r="K1622">
        <f>IF(A1622="","",IF(J1622&lt;=IFERROR(VLOOKUP(A1622,Cadastro_Produtos!$A:$E,5,FALSE),0),"ABAIXO DO MINIMO","OK"))</f>
        <v/>
      </c>
    </row>
    <row r="1623">
      <c r="B1623">
        <f>IFERROR(VLOOKUP(A1623,Cadastro_Produtos!A:B,2,FALSE),"")</f>
        <v/>
      </c>
      <c r="D1623" s="12" t="n"/>
      <c r="E1623" s="13">
        <f>IF(D1623="","",D1623-TODAY())</f>
        <v/>
      </c>
      <c r="F1623">
        <f>IF(D1623="","",IF(E1623&lt;0,"VENCIDO",IF(E1623&lt;=30,"VENCE EM &lt;= 30 DIAS",IF(E1623&lt;=60,"ATENCAO (31-60 DIAS)","OK"))))</f>
        <v/>
      </c>
      <c r="G1623" s="13">
        <f>SUMIFS(Movimentacoes!$G:$G,Movimentacoes!$C:$C,$A1623,Movimentacoes!$E:$E,$C1623,Movimentacoes!$B:$B,"ENTRADA")</f>
        <v/>
      </c>
      <c r="H1623" s="13">
        <f>SUMIFS(Movimentacoes!$G:$G,Movimentacoes!$C:$C,$A1623,Movimentacoes!$E:$E,$C1623,Movimentacoes!$B:$B,"SAIDA_USO")</f>
        <v/>
      </c>
      <c r="I1623" s="13">
        <f>SUMIFS(Movimentacoes!$G:$G,Movimentacoes!$C:$C,$A1623,Movimentacoes!$E:$E,$C1623,Movimentacoes!$B:$B,"SAIDA_DESCARTE")</f>
        <v/>
      </c>
      <c r="J1623" s="13">
        <f>G1623-H1623-I1623</f>
        <v/>
      </c>
      <c r="K1623">
        <f>IF(A1623="","",IF(J1623&lt;=IFERROR(VLOOKUP(A1623,Cadastro_Produtos!$A:$E,5,FALSE),0),"ABAIXO DO MINIMO","OK"))</f>
        <v/>
      </c>
    </row>
    <row r="1624">
      <c r="B1624">
        <f>IFERROR(VLOOKUP(A1624,Cadastro_Produtos!A:B,2,FALSE),"")</f>
        <v/>
      </c>
      <c r="D1624" s="12" t="n"/>
      <c r="E1624" s="13">
        <f>IF(D1624="","",D1624-TODAY())</f>
        <v/>
      </c>
      <c r="F1624">
        <f>IF(D1624="","",IF(E1624&lt;0,"VENCIDO",IF(E1624&lt;=30,"VENCE EM &lt;= 30 DIAS",IF(E1624&lt;=60,"ATENCAO (31-60 DIAS)","OK"))))</f>
        <v/>
      </c>
      <c r="G1624" s="13">
        <f>SUMIFS(Movimentacoes!$G:$G,Movimentacoes!$C:$C,$A1624,Movimentacoes!$E:$E,$C1624,Movimentacoes!$B:$B,"ENTRADA")</f>
        <v/>
      </c>
      <c r="H1624" s="13">
        <f>SUMIFS(Movimentacoes!$G:$G,Movimentacoes!$C:$C,$A1624,Movimentacoes!$E:$E,$C1624,Movimentacoes!$B:$B,"SAIDA_USO")</f>
        <v/>
      </c>
      <c r="I1624" s="13">
        <f>SUMIFS(Movimentacoes!$G:$G,Movimentacoes!$C:$C,$A1624,Movimentacoes!$E:$E,$C1624,Movimentacoes!$B:$B,"SAIDA_DESCARTE")</f>
        <v/>
      </c>
      <c r="J1624" s="13">
        <f>G1624-H1624-I1624</f>
        <v/>
      </c>
      <c r="K1624">
        <f>IF(A1624="","",IF(J1624&lt;=IFERROR(VLOOKUP(A1624,Cadastro_Produtos!$A:$E,5,FALSE),0),"ABAIXO DO MINIMO","OK"))</f>
        <v/>
      </c>
    </row>
    <row r="1625">
      <c r="B1625">
        <f>IFERROR(VLOOKUP(A1625,Cadastro_Produtos!A:B,2,FALSE),"")</f>
        <v/>
      </c>
      <c r="D1625" s="12" t="n"/>
      <c r="E1625" s="13">
        <f>IF(D1625="","",D1625-TODAY())</f>
        <v/>
      </c>
      <c r="F1625">
        <f>IF(D1625="","",IF(E1625&lt;0,"VENCIDO",IF(E1625&lt;=30,"VENCE EM &lt;= 30 DIAS",IF(E1625&lt;=60,"ATENCAO (31-60 DIAS)","OK"))))</f>
        <v/>
      </c>
      <c r="G1625" s="13">
        <f>SUMIFS(Movimentacoes!$G:$G,Movimentacoes!$C:$C,$A1625,Movimentacoes!$E:$E,$C1625,Movimentacoes!$B:$B,"ENTRADA")</f>
        <v/>
      </c>
      <c r="H1625" s="13">
        <f>SUMIFS(Movimentacoes!$G:$G,Movimentacoes!$C:$C,$A1625,Movimentacoes!$E:$E,$C1625,Movimentacoes!$B:$B,"SAIDA_USO")</f>
        <v/>
      </c>
      <c r="I1625" s="13">
        <f>SUMIFS(Movimentacoes!$G:$G,Movimentacoes!$C:$C,$A1625,Movimentacoes!$E:$E,$C1625,Movimentacoes!$B:$B,"SAIDA_DESCARTE")</f>
        <v/>
      </c>
      <c r="J1625" s="13">
        <f>G1625-H1625-I1625</f>
        <v/>
      </c>
      <c r="K1625">
        <f>IF(A1625="","",IF(J1625&lt;=IFERROR(VLOOKUP(A1625,Cadastro_Produtos!$A:$E,5,FALSE),0),"ABAIXO DO MINIMO","OK"))</f>
        <v/>
      </c>
    </row>
    <row r="1626">
      <c r="B1626">
        <f>IFERROR(VLOOKUP(A1626,Cadastro_Produtos!A:B,2,FALSE),"")</f>
        <v/>
      </c>
      <c r="D1626" s="12" t="n"/>
      <c r="E1626" s="13">
        <f>IF(D1626="","",D1626-TODAY())</f>
        <v/>
      </c>
      <c r="F1626">
        <f>IF(D1626="","",IF(E1626&lt;0,"VENCIDO",IF(E1626&lt;=30,"VENCE EM &lt;= 30 DIAS",IF(E1626&lt;=60,"ATENCAO (31-60 DIAS)","OK"))))</f>
        <v/>
      </c>
      <c r="G1626" s="13">
        <f>SUMIFS(Movimentacoes!$G:$G,Movimentacoes!$C:$C,$A1626,Movimentacoes!$E:$E,$C1626,Movimentacoes!$B:$B,"ENTRADA")</f>
        <v/>
      </c>
      <c r="H1626" s="13">
        <f>SUMIFS(Movimentacoes!$G:$G,Movimentacoes!$C:$C,$A1626,Movimentacoes!$E:$E,$C1626,Movimentacoes!$B:$B,"SAIDA_USO")</f>
        <v/>
      </c>
      <c r="I1626" s="13">
        <f>SUMIFS(Movimentacoes!$G:$G,Movimentacoes!$C:$C,$A1626,Movimentacoes!$E:$E,$C1626,Movimentacoes!$B:$B,"SAIDA_DESCARTE")</f>
        <v/>
      </c>
      <c r="J1626" s="13">
        <f>G1626-H1626-I1626</f>
        <v/>
      </c>
      <c r="K1626">
        <f>IF(A1626="","",IF(J1626&lt;=IFERROR(VLOOKUP(A1626,Cadastro_Produtos!$A:$E,5,FALSE),0),"ABAIXO DO MINIMO","OK"))</f>
        <v/>
      </c>
    </row>
    <row r="1627">
      <c r="B1627">
        <f>IFERROR(VLOOKUP(A1627,Cadastro_Produtos!A:B,2,FALSE),"")</f>
        <v/>
      </c>
      <c r="D1627" s="12" t="n"/>
      <c r="E1627" s="13">
        <f>IF(D1627="","",D1627-TODAY())</f>
        <v/>
      </c>
      <c r="F1627">
        <f>IF(D1627="","",IF(E1627&lt;0,"VENCIDO",IF(E1627&lt;=30,"VENCE EM &lt;= 30 DIAS",IF(E1627&lt;=60,"ATENCAO (31-60 DIAS)","OK"))))</f>
        <v/>
      </c>
      <c r="G1627" s="13">
        <f>SUMIFS(Movimentacoes!$G:$G,Movimentacoes!$C:$C,$A1627,Movimentacoes!$E:$E,$C1627,Movimentacoes!$B:$B,"ENTRADA")</f>
        <v/>
      </c>
      <c r="H1627" s="13">
        <f>SUMIFS(Movimentacoes!$G:$G,Movimentacoes!$C:$C,$A1627,Movimentacoes!$E:$E,$C1627,Movimentacoes!$B:$B,"SAIDA_USO")</f>
        <v/>
      </c>
      <c r="I1627" s="13">
        <f>SUMIFS(Movimentacoes!$G:$G,Movimentacoes!$C:$C,$A1627,Movimentacoes!$E:$E,$C1627,Movimentacoes!$B:$B,"SAIDA_DESCARTE")</f>
        <v/>
      </c>
      <c r="J1627" s="13">
        <f>G1627-H1627-I1627</f>
        <v/>
      </c>
      <c r="K1627">
        <f>IF(A1627="","",IF(J1627&lt;=IFERROR(VLOOKUP(A1627,Cadastro_Produtos!$A:$E,5,FALSE),0),"ABAIXO DO MINIMO","OK"))</f>
        <v/>
      </c>
    </row>
    <row r="1628">
      <c r="B1628">
        <f>IFERROR(VLOOKUP(A1628,Cadastro_Produtos!A:B,2,FALSE),"")</f>
        <v/>
      </c>
      <c r="D1628" s="12" t="n"/>
      <c r="E1628" s="13">
        <f>IF(D1628="","",D1628-TODAY())</f>
        <v/>
      </c>
      <c r="F1628">
        <f>IF(D1628="","",IF(E1628&lt;0,"VENCIDO",IF(E1628&lt;=30,"VENCE EM &lt;= 30 DIAS",IF(E1628&lt;=60,"ATENCAO (31-60 DIAS)","OK"))))</f>
        <v/>
      </c>
      <c r="G1628" s="13">
        <f>SUMIFS(Movimentacoes!$G:$G,Movimentacoes!$C:$C,$A1628,Movimentacoes!$E:$E,$C1628,Movimentacoes!$B:$B,"ENTRADA")</f>
        <v/>
      </c>
      <c r="H1628" s="13">
        <f>SUMIFS(Movimentacoes!$G:$G,Movimentacoes!$C:$C,$A1628,Movimentacoes!$E:$E,$C1628,Movimentacoes!$B:$B,"SAIDA_USO")</f>
        <v/>
      </c>
      <c r="I1628" s="13">
        <f>SUMIFS(Movimentacoes!$G:$G,Movimentacoes!$C:$C,$A1628,Movimentacoes!$E:$E,$C1628,Movimentacoes!$B:$B,"SAIDA_DESCARTE")</f>
        <v/>
      </c>
      <c r="J1628" s="13">
        <f>G1628-H1628-I1628</f>
        <v/>
      </c>
      <c r="K1628">
        <f>IF(A1628="","",IF(J1628&lt;=IFERROR(VLOOKUP(A1628,Cadastro_Produtos!$A:$E,5,FALSE),0),"ABAIXO DO MINIMO","OK"))</f>
        <v/>
      </c>
    </row>
    <row r="1629">
      <c r="B1629">
        <f>IFERROR(VLOOKUP(A1629,Cadastro_Produtos!A:B,2,FALSE),"")</f>
        <v/>
      </c>
      <c r="D1629" s="12" t="n"/>
      <c r="E1629" s="13">
        <f>IF(D1629="","",D1629-TODAY())</f>
        <v/>
      </c>
      <c r="F1629">
        <f>IF(D1629="","",IF(E1629&lt;0,"VENCIDO",IF(E1629&lt;=30,"VENCE EM &lt;= 30 DIAS",IF(E1629&lt;=60,"ATENCAO (31-60 DIAS)","OK"))))</f>
        <v/>
      </c>
      <c r="G1629" s="13">
        <f>SUMIFS(Movimentacoes!$G:$G,Movimentacoes!$C:$C,$A1629,Movimentacoes!$E:$E,$C1629,Movimentacoes!$B:$B,"ENTRADA")</f>
        <v/>
      </c>
      <c r="H1629" s="13">
        <f>SUMIFS(Movimentacoes!$G:$G,Movimentacoes!$C:$C,$A1629,Movimentacoes!$E:$E,$C1629,Movimentacoes!$B:$B,"SAIDA_USO")</f>
        <v/>
      </c>
      <c r="I1629" s="13">
        <f>SUMIFS(Movimentacoes!$G:$G,Movimentacoes!$C:$C,$A1629,Movimentacoes!$E:$E,$C1629,Movimentacoes!$B:$B,"SAIDA_DESCARTE")</f>
        <v/>
      </c>
      <c r="J1629" s="13">
        <f>G1629-H1629-I1629</f>
        <v/>
      </c>
      <c r="K1629">
        <f>IF(A1629="","",IF(J1629&lt;=IFERROR(VLOOKUP(A1629,Cadastro_Produtos!$A:$E,5,FALSE),0),"ABAIXO DO MINIMO","OK"))</f>
        <v/>
      </c>
    </row>
    <row r="1630">
      <c r="B1630">
        <f>IFERROR(VLOOKUP(A1630,Cadastro_Produtos!A:B,2,FALSE),"")</f>
        <v/>
      </c>
      <c r="D1630" s="12" t="n"/>
      <c r="E1630" s="13">
        <f>IF(D1630="","",D1630-TODAY())</f>
        <v/>
      </c>
      <c r="F1630">
        <f>IF(D1630="","",IF(E1630&lt;0,"VENCIDO",IF(E1630&lt;=30,"VENCE EM &lt;= 30 DIAS",IF(E1630&lt;=60,"ATENCAO (31-60 DIAS)","OK"))))</f>
        <v/>
      </c>
      <c r="G1630" s="13">
        <f>SUMIFS(Movimentacoes!$G:$G,Movimentacoes!$C:$C,$A1630,Movimentacoes!$E:$E,$C1630,Movimentacoes!$B:$B,"ENTRADA")</f>
        <v/>
      </c>
      <c r="H1630" s="13">
        <f>SUMIFS(Movimentacoes!$G:$G,Movimentacoes!$C:$C,$A1630,Movimentacoes!$E:$E,$C1630,Movimentacoes!$B:$B,"SAIDA_USO")</f>
        <v/>
      </c>
      <c r="I1630" s="13">
        <f>SUMIFS(Movimentacoes!$G:$G,Movimentacoes!$C:$C,$A1630,Movimentacoes!$E:$E,$C1630,Movimentacoes!$B:$B,"SAIDA_DESCARTE")</f>
        <v/>
      </c>
      <c r="J1630" s="13">
        <f>G1630-H1630-I1630</f>
        <v/>
      </c>
      <c r="K1630">
        <f>IF(A1630="","",IF(J1630&lt;=IFERROR(VLOOKUP(A1630,Cadastro_Produtos!$A:$E,5,FALSE),0),"ABAIXO DO MINIMO","OK"))</f>
        <v/>
      </c>
    </row>
    <row r="1631">
      <c r="B1631">
        <f>IFERROR(VLOOKUP(A1631,Cadastro_Produtos!A:B,2,FALSE),"")</f>
        <v/>
      </c>
      <c r="D1631" s="12" t="n"/>
      <c r="E1631" s="13">
        <f>IF(D1631="","",D1631-TODAY())</f>
        <v/>
      </c>
      <c r="F1631">
        <f>IF(D1631="","",IF(E1631&lt;0,"VENCIDO",IF(E1631&lt;=30,"VENCE EM &lt;= 30 DIAS",IF(E1631&lt;=60,"ATENCAO (31-60 DIAS)","OK"))))</f>
        <v/>
      </c>
      <c r="G1631" s="13">
        <f>SUMIFS(Movimentacoes!$G:$G,Movimentacoes!$C:$C,$A1631,Movimentacoes!$E:$E,$C1631,Movimentacoes!$B:$B,"ENTRADA")</f>
        <v/>
      </c>
      <c r="H1631" s="13">
        <f>SUMIFS(Movimentacoes!$G:$G,Movimentacoes!$C:$C,$A1631,Movimentacoes!$E:$E,$C1631,Movimentacoes!$B:$B,"SAIDA_USO")</f>
        <v/>
      </c>
      <c r="I1631" s="13">
        <f>SUMIFS(Movimentacoes!$G:$G,Movimentacoes!$C:$C,$A1631,Movimentacoes!$E:$E,$C1631,Movimentacoes!$B:$B,"SAIDA_DESCARTE")</f>
        <v/>
      </c>
      <c r="J1631" s="13">
        <f>G1631-H1631-I1631</f>
        <v/>
      </c>
      <c r="K1631">
        <f>IF(A1631="","",IF(J1631&lt;=IFERROR(VLOOKUP(A1631,Cadastro_Produtos!$A:$E,5,FALSE),0),"ABAIXO DO MINIMO","OK"))</f>
        <v/>
      </c>
    </row>
    <row r="1632">
      <c r="B1632">
        <f>IFERROR(VLOOKUP(A1632,Cadastro_Produtos!A:B,2,FALSE),"")</f>
        <v/>
      </c>
      <c r="D1632" s="12" t="n"/>
      <c r="E1632" s="13">
        <f>IF(D1632="","",D1632-TODAY())</f>
        <v/>
      </c>
      <c r="F1632">
        <f>IF(D1632="","",IF(E1632&lt;0,"VENCIDO",IF(E1632&lt;=30,"VENCE EM &lt;= 30 DIAS",IF(E1632&lt;=60,"ATENCAO (31-60 DIAS)","OK"))))</f>
        <v/>
      </c>
      <c r="G1632" s="13">
        <f>SUMIFS(Movimentacoes!$G:$G,Movimentacoes!$C:$C,$A1632,Movimentacoes!$E:$E,$C1632,Movimentacoes!$B:$B,"ENTRADA")</f>
        <v/>
      </c>
      <c r="H1632" s="13">
        <f>SUMIFS(Movimentacoes!$G:$G,Movimentacoes!$C:$C,$A1632,Movimentacoes!$E:$E,$C1632,Movimentacoes!$B:$B,"SAIDA_USO")</f>
        <v/>
      </c>
      <c r="I1632" s="13">
        <f>SUMIFS(Movimentacoes!$G:$G,Movimentacoes!$C:$C,$A1632,Movimentacoes!$E:$E,$C1632,Movimentacoes!$B:$B,"SAIDA_DESCARTE")</f>
        <v/>
      </c>
      <c r="J1632" s="13">
        <f>G1632-H1632-I1632</f>
        <v/>
      </c>
      <c r="K1632">
        <f>IF(A1632="","",IF(J1632&lt;=IFERROR(VLOOKUP(A1632,Cadastro_Produtos!$A:$E,5,FALSE),0),"ABAIXO DO MINIMO","OK"))</f>
        <v/>
      </c>
    </row>
    <row r="1633">
      <c r="B1633">
        <f>IFERROR(VLOOKUP(A1633,Cadastro_Produtos!A:B,2,FALSE),"")</f>
        <v/>
      </c>
      <c r="D1633" s="12" t="n"/>
      <c r="E1633" s="13">
        <f>IF(D1633="","",D1633-TODAY())</f>
        <v/>
      </c>
      <c r="F1633">
        <f>IF(D1633="","",IF(E1633&lt;0,"VENCIDO",IF(E1633&lt;=30,"VENCE EM &lt;= 30 DIAS",IF(E1633&lt;=60,"ATENCAO (31-60 DIAS)","OK"))))</f>
        <v/>
      </c>
      <c r="G1633" s="13">
        <f>SUMIFS(Movimentacoes!$G:$G,Movimentacoes!$C:$C,$A1633,Movimentacoes!$E:$E,$C1633,Movimentacoes!$B:$B,"ENTRADA")</f>
        <v/>
      </c>
      <c r="H1633" s="13">
        <f>SUMIFS(Movimentacoes!$G:$G,Movimentacoes!$C:$C,$A1633,Movimentacoes!$E:$E,$C1633,Movimentacoes!$B:$B,"SAIDA_USO")</f>
        <v/>
      </c>
      <c r="I1633" s="13">
        <f>SUMIFS(Movimentacoes!$G:$G,Movimentacoes!$C:$C,$A1633,Movimentacoes!$E:$E,$C1633,Movimentacoes!$B:$B,"SAIDA_DESCARTE")</f>
        <v/>
      </c>
      <c r="J1633" s="13">
        <f>G1633-H1633-I1633</f>
        <v/>
      </c>
      <c r="K1633">
        <f>IF(A1633="","",IF(J1633&lt;=IFERROR(VLOOKUP(A1633,Cadastro_Produtos!$A:$E,5,FALSE),0),"ABAIXO DO MINIMO","OK"))</f>
        <v/>
      </c>
    </row>
    <row r="1634">
      <c r="B1634">
        <f>IFERROR(VLOOKUP(A1634,Cadastro_Produtos!A:B,2,FALSE),"")</f>
        <v/>
      </c>
      <c r="D1634" s="12" t="n"/>
      <c r="E1634" s="13">
        <f>IF(D1634="","",D1634-TODAY())</f>
        <v/>
      </c>
      <c r="F1634">
        <f>IF(D1634="","",IF(E1634&lt;0,"VENCIDO",IF(E1634&lt;=30,"VENCE EM &lt;= 30 DIAS",IF(E1634&lt;=60,"ATENCAO (31-60 DIAS)","OK"))))</f>
        <v/>
      </c>
      <c r="G1634" s="13">
        <f>SUMIFS(Movimentacoes!$G:$G,Movimentacoes!$C:$C,$A1634,Movimentacoes!$E:$E,$C1634,Movimentacoes!$B:$B,"ENTRADA")</f>
        <v/>
      </c>
      <c r="H1634" s="13">
        <f>SUMIFS(Movimentacoes!$G:$G,Movimentacoes!$C:$C,$A1634,Movimentacoes!$E:$E,$C1634,Movimentacoes!$B:$B,"SAIDA_USO")</f>
        <v/>
      </c>
      <c r="I1634" s="13">
        <f>SUMIFS(Movimentacoes!$G:$G,Movimentacoes!$C:$C,$A1634,Movimentacoes!$E:$E,$C1634,Movimentacoes!$B:$B,"SAIDA_DESCARTE")</f>
        <v/>
      </c>
      <c r="J1634" s="13">
        <f>G1634-H1634-I1634</f>
        <v/>
      </c>
      <c r="K1634">
        <f>IF(A1634="","",IF(J1634&lt;=IFERROR(VLOOKUP(A1634,Cadastro_Produtos!$A:$E,5,FALSE),0),"ABAIXO DO MINIMO","OK"))</f>
        <v/>
      </c>
    </row>
    <row r="1635">
      <c r="B1635">
        <f>IFERROR(VLOOKUP(A1635,Cadastro_Produtos!A:B,2,FALSE),"")</f>
        <v/>
      </c>
      <c r="D1635" s="12" t="n"/>
      <c r="E1635" s="13">
        <f>IF(D1635="","",D1635-TODAY())</f>
        <v/>
      </c>
      <c r="F1635">
        <f>IF(D1635="","",IF(E1635&lt;0,"VENCIDO",IF(E1635&lt;=30,"VENCE EM &lt;= 30 DIAS",IF(E1635&lt;=60,"ATENCAO (31-60 DIAS)","OK"))))</f>
        <v/>
      </c>
      <c r="G1635" s="13">
        <f>SUMIFS(Movimentacoes!$G:$G,Movimentacoes!$C:$C,$A1635,Movimentacoes!$E:$E,$C1635,Movimentacoes!$B:$B,"ENTRADA")</f>
        <v/>
      </c>
      <c r="H1635" s="13">
        <f>SUMIFS(Movimentacoes!$G:$G,Movimentacoes!$C:$C,$A1635,Movimentacoes!$E:$E,$C1635,Movimentacoes!$B:$B,"SAIDA_USO")</f>
        <v/>
      </c>
      <c r="I1635" s="13">
        <f>SUMIFS(Movimentacoes!$G:$G,Movimentacoes!$C:$C,$A1635,Movimentacoes!$E:$E,$C1635,Movimentacoes!$B:$B,"SAIDA_DESCARTE")</f>
        <v/>
      </c>
      <c r="J1635" s="13">
        <f>G1635-H1635-I1635</f>
        <v/>
      </c>
      <c r="K1635">
        <f>IF(A1635="","",IF(J1635&lt;=IFERROR(VLOOKUP(A1635,Cadastro_Produtos!$A:$E,5,FALSE),0),"ABAIXO DO MINIMO","OK"))</f>
        <v/>
      </c>
    </row>
    <row r="1636">
      <c r="B1636">
        <f>IFERROR(VLOOKUP(A1636,Cadastro_Produtos!A:B,2,FALSE),"")</f>
        <v/>
      </c>
      <c r="D1636" s="12" t="n"/>
      <c r="E1636" s="13">
        <f>IF(D1636="","",D1636-TODAY())</f>
        <v/>
      </c>
      <c r="F1636">
        <f>IF(D1636="","",IF(E1636&lt;0,"VENCIDO",IF(E1636&lt;=30,"VENCE EM &lt;= 30 DIAS",IF(E1636&lt;=60,"ATENCAO (31-60 DIAS)","OK"))))</f>
        <v/>
      </c>
      <c r="G1636" s="13">
        <f>SUMIFS(Movimentacoes!$G:$G,Movimentacoes!$C:$C,$A1636,Movimentacoes!$E:$E,$C1636,Movimentacoes!$B:$B,"ENTRADA")</f>
        <v/>
      </c>
      <c r="H1636" s="13">
        <f>SUMIFS(Movimentacoes!$G:$G,Movimentacoes!$C:$C,$A1636,Movimentacoes!$E:$E,$C1636,Movimentacoes!$B:$B,"SAIDA_USO")</f>
        <v/>
      </c>
      <c r="I1636" s="13">
        <f>SUMIFS(Movimentacoes!$G:$G,Movimentacoes!$C:$C,$A1636,Movimentacoes!$E:$E,$C1636,Movimentacoes!$B:$B,"SAIDA_DESCARTE")</f>
        <v/>
      </c>
      <c r="J1636" s="13">
        <f>G1636-H1636-I1636</f>
        <v/>
      </c>
      <c r="K1636">
        <f>IF(A1636="","",IF(J1636&lt;=IFERROR(VLOOKUP(A1636,Cadastro_Produtos!$A:$E,5,FALSE),0),"ABAIXO DO MINIMO","OK"))</f>
        <v/>
      </c>
    </row>
    <row r="1637">
      <c r="B1637">
        <f>IFERROR(VLOOKUP(A1637,Cadastro_Produtos!A:B,2,FALSE),"")</f>
        <v/>
      </c>
      <c r="D1637" s="12" t="n"/>
      <c r="E1637" s="13">
        <f>IF(D1637="","",D1637-TODAY())</f>
        <v/>
      </c>
      <c r="F1637">
        <f>IF(D1637="","",IF(E1637&lt;0,"VENCIDO",IF(E1637&lt;=30,"VENCE EM &lt;= 30 DIAS",IF(E1637&lt;=60,"ATENCAO (31-60 DIAS)","OK"))))</f>
        <v/>
      </c>
      <c r="G1637" s="13">
        <f>SUMIFS(Movimentacoes!$G:$G,Movimentacoes!$C:$C,$A1637,Movimentacoes!$E:$E,$C1637,Movimentacoes!$B:$B,"ENTRADA")</f>
        <v/>
      </c>
      <c r="H1637" s="13">
        <f>SUMIFS(Movimentacoes!$G:$G,Movimentacoes!$C:$C,$A1637,Movimentacoes!$E:$E,$C1637,Movimentacoes!$B:$B,"SAIDA_USO")</f>
        <v/>
      </c>
      <c r="I1637" s="13">
        <f>SUMIFS(Movimentacoes!$G:$G,Movimentacoes!$C:$C,$A1637,Movimentacoes!$E:$E,$C1637,Movimentacoes!$B:$B,"SAIDA_DESCARTE")</f>
        <v/>
      </c>
      <c r="J1637" s="13">
        <f>G1637-H1637-I1637</f>
        <v/>
      </c>
      <c r="K1637">
        <f>IF(A1637="","",IF(J1637&lt;=IFERROR(VLOOKUP(A1637,Cadastro_Produtos!$A:$E,5,FALSE),0),"ABAIXO DO MINIMO","OK"))</f>
        <v/>
      </c>
    </row>
    <row r="1638">
      <c r="B1638">
        <f>IFERROR(VLOOKUP(A1638,Cadastro_Produtos!A:B,2,FALSE),"")</f>
        <v/>
      </c>
      <c r="D1638" s="12" t="n"/>
      <c r="E1638" s="13">
        <f>IF(D1638="","",D1638-TODAY())</f>
        <v/>
      </c>
      <c r="F1638">
        <f>IF(D1638="","",IF(E1638&lt;0,"VENCIDO",IF(E1638&lt;=30,"VENCE EM &lt;= 30 DIAS",IF(E1638&lt;=60,"ATENCAO (31-60 DIAS)","OK"))))</f>
        <v/>
      </c>
      <c r="G1638" s="13">
        <f>SUMIFS(Movimentacoes!$G:$G,Movimentacoes!$C:$C,$A1638,Movimentacoes!$E:$E,$C1638,Movimentacoes!$B:$B,"ENTRADA")</f>
        <v/>
      </c>
      <c r="H1638" s="13">
        <f>SUMIFS(Movimentacoes!$G:$G,Movimentacoes!$C:$C,$A1638,Movimentacoes!$E:$E,$C1638,Movimentacoes!$B:$B,"SAIDA_USO")</f>
        <v/>
      </c>
      <c r="I1638" s="13">
        <f>SUMIFS(Movimentacoes!$G:$G,Movimentacoes!$C:$C,$A1638,Movimentacoes!$E:$E,$C1638,Movimentacoes!$B:$B,"SAIDA_DESCARTE")</f>
        <v/>
      </c>
      <c r="J1638" s="13">
        <f>G1638-H1638-I1638</f>
        <v/>
      </c>
      <c r="K1638">
        <f>IF(A1638="","",IF(J1638&lt;=IFERROR(VLOOKUP(A1638,Cadastro_Produtos!$A:$E,5,FALSE),0),"ABAIXO DO MINIMO","OK"))</f>
        <v/>
      </c>
    </row>
    <row r="1639">
      <c r="B1639">
        <f>IFERROR(VLOOKUP(A1639,Cadastro_Produtos!A:B,2,FALSE),"")</f>
        <v/>
      </c>
      <c r="D1639" s="12" t="n"/>
      <c r="E1639" s="13">
        <f>IF(D1639="","",D1639-TODAY())</f>
        <v/>
      </c>
      <c r="F1639">
        <f>IF(D1639="","",IF(E1639&lt;0,"VENCIDO",IF(E1639&lt;=30,"VENCE EM &lt;= 30 DIAS",IF(E1639&lt;=60,"ATENCAO (31-60 DIAS)","OK"))))</f>
        <v/>
      </c>
      <c r="G1639" s="13">
        <f>SUMIFS(Movimentacoes!$G:$G,Movimentacoes!$C:$C,$A1639,Movimentacoes!$E:$E,$C1639,Movimentacoes!$B:$B,"ENTRADA")</f>
        <v/>
      </c>
      <c r="H1639" s="13">
        <f>SUMIFS(Movimentacoes!$G:$G,Movimentacoes!$C:$C,$A1639,Movimentacoes!$E:$E,$C1639,Movimentacoes!$B:$B,"SAIDA_USO")</f>
        <v/>
      </c>
      <c r="I1639" s="13">
        <f>SUMIFS(Movimentacoes!$G:$G,Movimentacoes!$C:$C,$A1639,Movimentacoes!$E:$E,$C1639,Movimentacoes!$B:$B,"SAIDA_DESCARTE")</f>
        <v/>
      </c>
      <c r="J1639" s="13">
        <f>G1639-H1639-I1639</f>
        <v/>
      </c>
      <c r="K1639">
        <f>IF(A1639="","",IF(J1639&lt;=IFERROR(VLOOKUP(A1639,Cadastro_Produtos!$A:$E,5,FALSE),0),"ABAIXO DO MINIMO","OK"))</f>
        <v/>
      </c>
    </row>
    <row r="1640">
      <c r="B1640">
        <f>IFERROR(VLOOKUP(A1640,Cadastro_Produtos!A:B,2,FALSE),"")</f>
        <v/>
      </c>
      <c r="D1640" s="12" t="n"/>
      <c r="E1640" s="13">
        <f>IF(D1640="","",D1640-TODAY())</f>
        <v/>
      </c>
      <c r="F1640">
        <f>IF(D1640="","",IF(E1640&lt;0,"VENCIDO",IF(E1640&lt;=30,"VENCE EM &lt;= 30 DIAS",IF(E1640&lt;=60,"ATENCAO (31-60 DIAS)","OK"))))</f>
        <v/>
      </c>
      <c r="G1640" s="13">
        <f>SUMIFS(Movimentacoes!$G:$G,Movimentacoes!$C:$C,$A1640,Movimentacoes!$E:$E,$C1640,Movimentacoes!$B:$B,"ENTRADA")</f>
        <v/>
      </c>
      <c r="H1640" s="13">
        <f>SUMIFS(Movimentacoes!$G:$G,Movimentacoes!$C:$C,$A1640,Movimentacoes!$E:$E,$C1640,Movimentacoes!$B:$B,"SAIDA_USO")</f>
        <v/>
      </c>
      <c r="I1640" s="13">
        <f>SUMIFS(Movimentacoes!$G:$G,Movimentacoes!$C:$C,$A1640,Movimentacoes!$E:$E,$C1640,Movimentacoes!$B:$B,"SAIDA_DESCARTE")</f>
        <v/>
      </c>
      <c r="J1640" s="13">
        <f>G1640-H1640-I1640</f>
        <v/>
      </c>
      <c r="K1640">
        <f>IF(A1640="","",IF(J1640&lt;=IFERROR(VLOOKUP(A1640,Cadastro_Produtos!$A:$E,5,FALSE),0),"ABAIXO DO MINIMO","OK"))</f>
        <v/>
      </c>
    </row>
    <row r="1641">
      <c r="B1641">
        <f>IFERROR(VLOOKUP(A1641,Cadastro_Produtos!A:B,2,FALSE),"")</f>
        <v/>
      </c>
      <c r="D1641" s="12" t="n"/>
      <c r="E1641" s="13">
        <f>IF(D1641="","",D1641-TODAY())</f>
        <v/>
      </c>
      <c r="F1641">
        <f>IF(D1641="","",IF(E1641&lt;0,"VENCIDO",IF(E1641&lt;=30,"VENCE EM &lt;= 30 DIAS",IF(E1641&lt;=60,"ATENCAO (31-60 DIAS)","OK"))))</f>
        <v/>
      </c>
      <c r="G1641" s="13">
        <f>SUMIFS(Movimentacoes!$G:$G,Movimentacoes!$C:$C,$A1641,Movimentacoes!$E:$E,$C1641,Movimentacoes!$B:$B,"ENTRADA")</f>
        <v/>
      </c>
      <c r="H1641" s="13">
        <f>SUMIFS(Movimentacoes!$G:$G,Movimentacoes!$C:$C,$A1641,Movimentacoes!$E:$E,$C1641,Movimentacoes!$B:$B,"SAIDA_USO")</f>
        <v/>
      </c>
      <c r="I1641" s="13">
        <f>SUMIFS(Movimentacoes!$G:$G,Movimentacoes!$C:$C,$A1641,Movimentacoes!$E:$E,$C1641,Movimentacoes!$B:$B,"SAIDA_DESCARTE")</f>
        <v/>
      </c>
      <c r="J1641" s="13">
        <f>G1641-H1641-I1641</f>
        <v/>
      </c>
      <c r="K1641">
        <f>IF(A1641="","",IF(J1641&lt;=IFERROR(VLOOKUP(A1641,Cadastro_Produtos!$A:$E,5,FALSE),0),"ABAIXO DO MINIMO","OK"))</f>
        <v/>
      </c>
    </row>
    <row r="1642">
      <c r="B1642">
        <f>IFERROR(VLOOKUP(A1642,Cadastro_Produtos!A:B,2,FALSE),"")</f>
        <v/>
      </c>
      <c r="D1642" s="12" t="n"/>
      <c r="E1642" s="13">
        <f>IF(D1642="","",D1642-TODAY())</f>
        <v/>
      </c>
      <c r="F1642">
        <f>IF(D1642="","",IF(E1642&lt;0,"VENCIDO",IF(E1642&lt;=30,"VENCE EM &lt;= 30 DIAS",IF(E1642&lt;=60,"ATENCAO (31-60 DIAS)","OK"))))</f>
        <v/>
      </c>
      <c r="G1642" s="13">
        <f>SUMIFS(Movimentacoes!$G:$G,Movimentacoes!$C:$C,$A1642,Movimentacoes!$E:$E,$C1642,Movimentacoes!$B:$B,"ENTRADA")</f>
        <v/>
      </c>
      <c r="H1642" s="13">
        <f>SUMIFS(Movimentacoes!$G:$G,Movimentacoes!$C:$C,$A1642,Movimentacoes!$E:$E,$C1642,Movimentacoes!$B:$B,"SAIDA_USO")</f>
        <v/>
      </c>
      <c r="I1642" s="13">
        <f>SUMIFS(Movimentacoes!$G:$G,Movimentacoes!$C:$C,$A1642,Movimentacoes!$E:$E,$C1642,Movimentacoes!$B:$B,"SAIDA_DESCARTE")</f>
        <v/>
      </c>
      <c r="J1642" s="13">
        <f>G1642-H1642-I1642</f>
        <v/>
      </c>
      <c r="K1642">
        <f>IF(A1642="","",IF(J1642&lt;=IFERROR(VLOOKUP(A1642,Cadastro_Produtos!$A:$E,5,FALSE),0),"ABAIXO DO MINIMO","OK"))</f>
        <v/>
      </c>
    </row>
    <row r="1643">
      <c r="B1643">
        <f>IFERROR(VLOOKUP(A1643,Cadastro_Produtos!A:B,2,FALSE),"")</f>
        <v/>
      </c>
      <c r="D1643" s="12" t="n"/>
      <c r="E1643" s="13">
        <f>IF(D1643="","",D1643-TODAY())</f>
        <v/>
      </c>
      <c r="F1643">
        <f>IF(D1643="","",IF(E1643&lt;0,"VENCIDO",IF(E1643&lt;=30,"VENCE EM &lt;= 30 DIAS",IF(E1643&lt;=60,"ATENCAO (31-60 DIAS)","OK"))))</f>
        <v/>
      </c>
      <c r="G1643" s="13">
        <f>SUMIFS(Movimentacoes!$G:$G,Movimentacoes!$C:$C,$A1643,Movimentacoes!$E:$E,$C1643,Movimentacoes!$B:$B,"ENTRADA")</f>
        <v/>
      </c>
      <c r="H1643" s="13">
        <f>SUMIFS(Movimentacoes!$G:$G,Movimentacoes!$C:$C,$A1643,Movimentacoes!$E:$E,$C1643,Movimentacoes!$B:$B,"SAIDA_USO")</f>
        <v/>
      </c>
      <c r="I1643" s="13">
        <f>SUMIFS(Movimentacoes!$G:$G,Movimentacoes!$C:$C,$A1643,Movimentacoes!$E:$E,$C1643,Movimentacoes!$B:$B,"SAIDA_DESCARTE")</f>
        <v/>
      </c>
      <c r="J1643" s="13">
        <f>G1643-H1643-I1643</f>
        <v/>
      </c>
      <c r="K1643">
        <f>IF(A1643="","",IF(J1643&lt;=IFERROR(VLOOKUP(A1643,Cadastro_Produtos!$A:$E,5,FALSE),0),"ABAIXO DO MINIMO","OK"))</f>
        <v/>
      </c>
    </row>
    <row r="1644">
      <c r="B1644">
        <f>IFERROR(VLOOKUP(A1644,Cadastro_Produtos!A:B,2,FALSE),"")</f>
        <v/>
      </c>
      <c r="D1644" s="12" t="n"/>
      <c r="E1644" s="13">
        <f>IF(D1644="","",D1644-TODAY())</f>
        <v/>
      </c>
      <c r="F1644">
        <f>IF(D1644="","",IF(E1644&lt;0,"VENCIDO",IF(E1644&lt;=30,"VENCE EM &lt;= 30 DIAS",IF(E1644&lt;=60,"ATENCAO (31-60 DIAS)","OK"))))</f>
        <v/>
      </c>
      <c r="G1644" s="13">
        <f>SUMIFS(Movimentacoes!$G:$G,Movimentacoes!$C:$C,$A1644,Movimentacoes!$E:$E,$C1644,Movimentacoes!$B:$B,"ENTRADA")</f>
        <v/>
      </c>
      <c r="H1644" s="13">
        <f>SUMIFS(Movimentacoes!$G:$G,Movimentacoes!$C:$C,$A1644,Movimentacoes!$E:$E,$C1644,Movimentacoes!$B:$B,"SAIDA_USO")</f>
        <v/>
      </c>
      <c r="I1644" s="13">
        <f>SUMIFS(Movimentacoes!$G:$G,Movimentacoes!$C:$C,$A1644,Movimentacoes!$E:$E,$C1644,Movimentacoes!$B:$B,"SAIDA_DESCARTE")</f>
        <v/>
      </c>
      <c r="J1644" s="13">
        <f>G1644-H1644-I1644</f>
        <v/>
      </c>
      <c r="K1644">
        <f>IF(A1644="","",IF(J1644&lt;=IFERROR(VLOOKUP(A1644,Cadastro_Produtos!$A:$E,5,FALSE),0),"ABAIXO DO MINIMO","OK"))</f>
        <v/>
      </c>
    </row>
    <row r="1645">
      <c r="B1645">
        <f>IFERROR(VLOOKUP(A1645,Cadastro_Produtos!A:B,2,FALSE),"")</f>
        <v/>
      </c>
      <c r="D1645" s="12" t="n"/>
      <c r="E1645" s="13">
        <f>IF(D1645="","",D1645-TODAY())</f>
        <v/>
      </c>
      <c r="F1645">
        <f>IF(D1645="","",IF(E1645&lt;0,"VENCIDO",IF(E1645&lt;=30,"VENCE EM &lt;= 30 DIAS",IF(E1645&lt;=60,"ATENCAO (31-60 DIAS)","OK"))))</f>
        <v/>
      </c>
      <c r="G1645" s="13">
        <f>SUMIFS(Movimentacoes!$G:$G,Movimentacoes!$C:$C,$A1645,Movimentacoes!$E:$E,$C1645,Movimentacoes!$B:$B,"ENTRADA")</f>
        <v/>
      </c>
      <c r="H1645" s="13">
        <f>SUMIFS(Movimentacoes!$G:$G,Movimentacoes!$C:$C,$A1645,Movimentacoes!$E:$E,$C1645,Movimentacoes!$B:$B,"SAIDA_USO")</f>
        <v/>
      </c>
      <c r="I1645" s="13">
        <f>SUMIFS(Movimentacoes!$G:$G,Movimentacoes!$C:$C,$A1645,Movimentacoes!$E:$E,$C1645,Movimentacoes!$B:$B,"SAIDA_DESCARTE")</f>
        <v/>
      </c>
      <c r="J1645" s="13">
        <f>G1645-H1645-I1645</f>
        <v/>
      </c>
      <c r="K1645">
        <f>IF(A1645="","",IF(J1645&lt;=IFERROR(VLOOKUP(A1645,Cadastro_Produtos!$A:$E,5,FALSE),0),"ABAIXO DO MINIMO","OK"))</f>
        <v/>
      </c>
    </row>
    <row r="1646">
      <c r="B1646">
        <f>IFERROR(VLOOKUP(A1646,Cadastro_Produtos!A:B,2,FALSE),"")</f>
        <v/>
      </c>
      <c r="D1646" s="12" t="n"/>
      <c r="E1646" s="13">
        <f>IF(D1646="","",D1646-TODAY())</f>
        <v/>
      </c>
      <c r="F1646">
        <f>IF(D1646="","",IF(E1646&lt;0,"VENCIDO",IF(E1646&lt;=30,"VENCE EM &lt;= 30 DIAS",IF(E1646&lt;=60,"ATENCAO (31-60 DIAS)","OK"))))</f>
        <v/>
      </c>
      <c r="G1646" s="13">
        <f>SUMIFS(Movimentacoes!$G:$G,Movimentacoes!$C:$C,$A1646,Movimentacoes!$E:$E,$C1646,Movimentacoes!$B:$B,"ENTRADA")</f>
        <v/>
      </c>
      <c r="H1646" s="13">
        <f>SUMIFS(Movimentacoes!$G:$G,Movimentacoes!$C:$C,$A1646,Movimentacoes!$E:$E,$C1646,Movimentacoes!$B:$B,"SAIDA_USO")</f>
        <v/>
      </c>
      <c r="I1646" s="13">
        <f>SUMIFS(Movimentacoes!$G:$G,Movimentacoes!$C:$C,$A1646,Movimentacoes!$E:$E,$C1646,Movimentacoes!$B:$B,"SAIDA_DESCARTE")</f>
        <v/>
      </c>
      <c r="J1646" s="13">
        <f>G1646-H1646-I1646</f>
        <v/>
      </c>
      <c r="K1646">
        <f>IF(A1646="","",IF(J1646&lt;=IFERROR(VLOOKUP(A1646,Cadastro_Produtos!$A:$E,5,FALSE),0),"ABAIXO DO MINIMO","OK"))</f>
        <v/>
      </c>
    </row>
    <row r="1647">
      <c r="B1647">
        <f>IFERROR(VLOOKUP(A1647,Cadastro_Produtos!A:B,2,FALSE),"")</f>
        <v/>
      </c>
      <c r="D1647" s="12" t="n"/>
      <c r="E1647" s="13">
        <f>IF(D1647="","",D1647-TODAY())</f>
        <v/>
      </c>
      <c r="F1647">
        <f>IF(D1647="","",IF(E1647&lt;0,"VENCIDO",IF(E1647&lt;=30,"VENCE EM &lt;= 30 DIAS",IF(E1647&lt;=60,"ATENCAO (31-60 DIAS)","OK"))))</f>
        <v/>
      </c>
      <c r="G1647" s="13">
        <f>SUMIFS(Movimentacoes!$G:$G,Movimentacoes!$C:$C,$A1647,Movimentacoes!$E:$E,$C1647,Movimentacoes!$B:$B,"ENTRADA")</f>
        <v/>
      </c>
      <c r="H1647" s="13">
        <f>SUMIFS(Movimentacoes!$G:$G,Movimentacoes!$C:$C,$A1647,Movimentacoes!$E:$E,$C1647,Movimentacoes!$B:$B,"SAIDA_USO")</f>
        <v/>
      </c>
      <c r="I1647" s="13">
        <f>SUMIFS(Movimentacoes!$G:$G,Movimentacoes!$C:$C,$A1647,Movimentacoes!$E:$E,$C1647,Movimentacoes!$B:$B,"SAIDA_DESCARTE")</f>
        <v/>
      </c>
      <c r="J1647" s="13">
        <f>G1647-H1647-I1647</f>
        <v/>
      </c>
      <c r="K1647">
        <f>IF(A1647="","",IF(J1647&lt;=IFERROR(VLOOKUP(A1647,Cadastro_Produtos!$A:$E,5,FALSE),0),"ABAIXO DO MINIMO","OK"))</f>
        <v/>
      </c>
    </row>
    <row r="1648">
      <c r="B1648">
        <f>IFERROR(VLOOKUP(A1648,Cadastro_Produtos!A:B,2,FALSE),"")</f>
        <v/>
      </c>
      <c r="D1648" s="12" t="n"/>
      <c r="E1648" s="13">
        <f>IF(D1648="","",D1648-TODAY())</f>
        <v/>
      </c>
      <c r="F1648">
        <f>IF(D1648="","",IF(E1648&lt;0,"VENCIDO",IF(E1648&lt;=30,"VENCE EM &lt;= 30 DIAS",IF(E1648&lt;=60,"ATENCAO (31-60 DIAS)","OK"))))</f>
        <v/>
      </c>
      <c r="G1648" s="13">
        <f>SUMIFS(Movimentacoes!$G:$G,Movimentacoes!$C:$C,$A1648,Movimentacoes!$E:$E,$C1648,Movimentacoes!$B:$B,"ENTRADA")</f>
        <v/>
      </c>
      <c r="H1648" s="13">
        <f>SUMIFS(Movimentacoes!$G:$G,Movimentacoes!$C:$C,$A1648,Movimentacoes!$E:$E,$C1648,Movimentacoes!$B:$B,"SAIDA_USO")</f>
        <v/>
      </c>
      <c r="I1648" s="13">
        <f>SUMIFS(Movimentacoes!$G:$G,Movimentacoes!$C:$C,$A1648,Movimentacoes!$E:$E,$C1648,Movimentacoes!$B:$B,"SAIDA_DESCARTE")</f>
        <v/>
      </c>
      <c r="J1648" s="13">
        <f>G1648-H1648-I1648</f>
        <v/>
      </c>
      <c r="K1648">
        <f>IF(A1648="","",IF(J1648&lt;=IFERROR(VLOOKUP(A1648,Cadastro_Produtos!$A:$E,5,FALSE),0),"ABAIXO DO MINIMO","OK"))</f>
        <v/>
      </c>
    </row>
    <row r="1649">
      <c r="B1649">
        <f>IFERROR(VLOOKUP(A1649,Cadastro_Produtos!A:B,2,FALSE),"")</f>
        <v/>
      </c>
      <c r="D1649" s="12" t="n"/>
      <c r="E1649" s="13">
        <f>IF(D1649="","",D1649-TODAY())</f>
        <v/>
      </c>
      <c r="F1649">
        <f>IF(D1649="","",IF(E1649&lt;0,"VENCIDO",IF(E1649&lt;=30,"VENCE EM &lt;= 30 DIAS",IF(E1649&lt;=60,"ATENCAO (31-60 DIAS)","OK"))))</f>
        <v/>
      </c>
      <c r="G1649" s="13">
        <f>SUMIFS(Movimentacoes!$G:$G,Movimentacoes!$C:$C,$A1649,Movimentacoes!$E:$E,$C1649,Movimentacoes!$B:$B,"ENTRADA")</f>
        <v/>
      </c>
      <c r="H1649" s="13">
        <f>SUMIFS(Movimentacoes!$G:$G,Movimentacoes!$C:$C,$A1649,Movimentacoes!$E:$E,$C1649,Movimentacoes!$B:$B,"SAIDA_USO")</f>
        <v/>
      </c>
      <c r="I1649" s="13">
        <f>SUMIFS(Movimentacoes!$G:$G,Movimentacoes!$C:$C,$A1649,Movimentacoes!$E:$E,$C1649,Movimentacoes!$B:$B,"SAIDA_DESCARTE")</f>
        <v/>
      </c>
      <c r="J1649" s="13">
        <f>G1649-H1649-I1649</f>
        <v/>
      </c>
      <c r="K1649">
        <f>IF(A1649="","",IF(J1649&lt;=IFERROR(VLOOKUP(A1649,Cadastro_Produtos!$A:$E,5,FALSE),0),"ABAIXO DO MINIMO","OK"))</f>
        <v/>
      </c>
    </row>
    <row r="1650">
      <c r="B1650">
        <f>IFERROR(VLOOKUP(A1650,Cadastro_Produtos!A:B,2,FALSE),"")</f>
        <v/>
      </c>
      <c r="D1650" s="12" t="n"/>
      <c r="E1650" s="13">
        <f>IF(D1650="","",D1650-TODAY())</f>
        <v/>
      </c>
      <c r="F1650">
        <f>IF(D1650="","",IF(E1650&lt;0,"VENCIDO",IF(E1650&lt;=30,"VENCE EM &lt;= 30 DIAS",IF(E1650&lt;=60,"ATENCAO (31-60 DIAS)","OK"))))</f>
        <v/>
      </c>
      <c r="G1650" s="13">
        <f>SUMIFS(Movimentacoes!$G:$G,Movimentacoes!$C:$C,$A1650,Movimentacoes!$E:$E,$C1650,Movimentacoes!$B:$B,"ENTRADA")</f>
        <v/>
      </c>
      <c r="H1650" s="13">
        <f>SUMIFS(Movimentacoes!$G:$G,Movimentacoes!$C:$C,$A1650,Movimentacoes!$E:$E,$C1650,Movimentacoes!$B:$B,"SAIDA_USO")</f>
        <v/>
      </c>
      <c r="I1650" s="13">
        <f>SUMIFS(Movimentacoes!$G:$G,Movimentacoes!$C:$C,$A1650,Movimentacoes!$E:$E,$C1650,Movimentacoes!$B:$B,"SAIDA_DESCARTE")</f>
        <v/>
      </c>
      <c r="J1650" s="13">
        <f>G1650-H1650-I1650</f>
        <v/>
      </c>
      <c r="K1650">
        <f>IF(A1650="","",IF(J1650&lt;=IFERROR(VLOOKUP(A1650,Cadastro_Produtos!$A:$E,5,FALSE),0),"ABAIXO DO MINIMO","OK"))</f>
        <v/>
      </c>
    </row>
    <row r="1651">
      <c r="B1651">
        <f>IFERROR(VLOOKUP(A1651,Cadastro_Produtos!A:B,2,FALSE),"")</f>
        <v/>
      </c>
      <c r="D1651" s="12" t="n"/>
      <c r="E1651" s="13">
        <f>IF(D1651="","",D1651-TODAY())</f>
        <v/>
      </c>
      <c r="F1651">
        <f>IF(D1651="","",IF(E1651&lt;0,"VENCIDO",IF(E1651&lt;=30,"VENCE EM &lt;= 30 DIAS",IF(E1651&lt;=60,"ATENCAO (31-60 DIAS)","OK"))))</f>
        <v/>
      </c>
      <c r="G1651" s="13">
        <f>SUMIFS(Movimentacoes!$G:$G,Movimentacoes!$C:$C,$A1651,Movimentacoes!$E:$E,$C1651,Movimentacoes!$B:$B,"ENTRADA")</f>
        <v/>
      </c>
      <c r="H1651" s="13">
        <f>SUMIFS(Movimentacoes!$G:$G,Movimentacoes!$C:$C,$A1651,Movimentacoes!$E:$E,$C1651,Movimentacoes!$B:$B,"SAIDA_USO")</f>
        <v/>
      </c>
      <c r="I1651" s="13">
        <f>SUMIFS(Movimentacoes!$G:$G,Movimentacoes!$C:$C,$A1651,Movimentacoes!$E:$E,$C1651,Movimentacoes!$B:$B,"SAIDA_DESCARTE")</f>
        <v/>
      </c>
      <c r="J1651" s="13">
        <f>G1651-H1651-I1651</f>
        <v/>
      </c>
      <c r="K1651">
        <f>IF(A1651="","",IF(J1651&lt;=IFERROR(VLOOKUP(A1651,Cadastro_Produtos!$A:$E,5,FALSE),0),"ABAIXO DO MINIMO","OK"))</f>
        <v/>
      </c>
    </row>
    <row r="1652">
      <c r="B1652">
        <f>IFERROR(VLOOKUP(A1652,Cadastro_Produtos!A:B,2,FALSE),"")</f>
        <v/>
      </c>
      <c r="D1652" s="12" t="n"/>
      <c r="E1652" s="13">
        <f>IF(D1652="","",D1652-TODAY())</f>
        <v/>
      </c>
      <c r="F1652">
        <f>IF(D1652="","",IF(E1652&lt;0,"VENCIDO",IF(E1652&lt;=30,"VENCE EM &lt;= 30 DIAS",IF(E1652&lt;=60,"ATENCAO (31-60 DIAS)","OK"))))</f>
        <v/>
      </c>
      <c r="G1652" s="13">
        <f>SUMIFS(Movimentacoes!$G:$G,Movimentacoes!$C:$C,$A1652,Movimentacoes!$E:$E,$C1652,Movimentacoes!$B:$B,"ENTRADA")</f>
        <v/>
      </c>
      <c r="H1652" s="13">
        <f>SUMIFS(Movimentacoes!$G:$G,Movimentacoes!$C:$C,$A1652,Movimentacoes!$E:$E,$C1652,Movimentacoes!$B:$B,"SAIDA_USO")</f>
        <v/>
      </c>
      <c r="I1652" s="13">
        <f>SUMIFS(Movimentacoes!$G:$G,Movimentacoes!$C:$C,$A1652,Movimentacoes!$E:$E,$C1652,Movimentacoes!$B:$B,"SAIDA_DESCARTE")</f>
        <v/>
      </c>
      <c r="J1652" s="13">
        <f>G1652-H1652-I1652</f>
        <v/>
      </c>
      <c r="K1652">
        <f>IF(A1652="","",IF(J1652&lt;=IFERROR(VLOOKUP(A1652,Cadastro_Produtos!$A:$E,5,FALSE),0),"ABAIXO DO MINIMO","OK"))</f>
        <v/>
      </c>
    </row>
    <row r="1653">
      <c r="B1653">
        <f>IFERROR(VLOOKUP(A1653,Cadastro_Produtos!A:B,2,FALSE),"")</f>
        <v/>
      </c>
      <c r="D1653" s="12" t="n"/>
      <c r="E1653" s="13">
        <f>IF(D1653="","",D1653-TODAY())</f>
        <v/>
      </c>
      <c r="F1653">
        <f>IF(D1653="","",IF(E1653&lt;0,"VENCIDO",IF(E1653&lt;=30,"VENCE EM &lt;= 30 DIAS",IF(E1653&lt;=60,"ATENCAO (31-60 DIAS)","OK"))))</f>
        <v/>
      </c>
      <c r="G1653" s="13">
        <f>SUMIFS(Movimentacoes!$G:$G,Movimentacoes!$C:$C,$A1653,Movimentacoes!$E:$E,$C1653,Movimentacoes!$B:$B,"ENTRADA")</f>
        <v/>
      </c>
      <c r="H1653" s="13">
        <f>SUMIFS(Movimentacoes!$G:$G,Movimentacoes!$C:$C,$A1653,Movimentacoes!$E:$E,$C1653,Movimentacoes!$B:$B,"SAIDA_USO")</f>
        <v/>
      </c>
      <c r="I1653" s="13">
        <f>SUMIFS(Movimentacoes!$G:$G,Movimentacoes!$C:$C,$A1653,Movimentacoes!$E:$E,$C1653,Movimentacoes!$B:$B,"SAIDA_DESCARTE")</f>
        <v/>
      </c>
      <c r="J1653" s="13">
        <f>G1653-H1653-I1653</f>
        <v/>
      </c>
      <c r="K1653">
        <f>IF(A1653="","",IF(J1653&lt;=IFERROR(VLOOKUP(A1653,Cadastro_Produtos!$A:$E,5,FALSE),0),"ABAIXO DO MINIMO","OK"))</f>
        <v/>
      </c>
    </row>
    <row r="1654">
      <c r="B1654">
        <f>IFERROR(VLOOKUP(A1654,Cadastro_Produtos!A:B,2,FALSE),"")</f>
        <v/>
      </c>
      <c r="D1654" s="12" t="n"/>
      <c r="E1654" s="13">
        <f>IF(D1654="","",D1654-TODAY())</f>
        <v/>
      </c>
      <c r="F1654">
        <f>IF(D1654="","",IF(E1654&lt;0,"VENCIDO",IF(E1654&lt;=30,"VENCE EM &lt;= 30 DIAS",IF(E1654&lt;=60,"ATENCAO (31-60 DIAS)","OK"))))</f>
        <v/>
      </c>
      <c r="G1654" s="13">
        <f>SUMIFS(Movimentacoes!$G:$G,Movimentacoes!$C:$C,$A1654,Movimentacoes!$E:$E,$C1654,Movimentacoes!$B:$B,"ENTRADA")</f>
        <v/>
      </c>
      <c r="H1654" s="13">
        <f>SUMIFS(Movimentacoes!$G:$G,Movimentacoes!$C:$C,$A1654,Movimentacoes!$E:$E,$C1654,Movimentacoes!$B:$B,"SAIDA_USO")</f>
        <v/>
      </c>
      <c r="I1654" s="13">
        <f>SUMIFS(Movimentacoes!$G:$G,Movimentacoes!$C:$C,$A1654,Movimentacoes!$E:$E,$C1654,Movimentacoes!$B:$B,"SAIDA_DESCARTE")</f>
        <v/>
      </c>
      <c r="J1654" s="13">
        <f>G1654-H1654-I1654</f>
        <v/>
      </c>
      <c r="K1654">
        <f>IF(A1654="","",IF(J1654&lt;=IFERROR(VLOOKUP(A1654,Cadastro_Produtos!$A:$E,5,FALSE),0),"ABAIXO DO MINIMO","OK"))</f>
        <v/>
      </c>
    </row>
    <row r="1655">
      <c r="B1655">
        <f>IFERROR(VLOOKUP(A1655,Cadastro_Produtos!A:B,2,FALSE),"")</f>
        <v/>
      </c>
      <c r="D1655" s="12" t="n"/>
      <c r="E1655" s="13">
        <f>IF(D1655="","",D1655-TODAY())</f>
        <v/>
      </c>
      <c r="F1655">
        <f>IF(D1655="","",IF(E1655&lt;0,"VENCIDO",IF(E1655&lt;=30,"VENCE EM &lt;= 30 DIAS",IF(E1655&lt;=60,"ATENCAO (31-60 DIAS)","OK"))))</f>
        <v/>
      </c>
      <c r="G1655" s="13">
        <f>SUMIFS(Movimentacoes!$G:$G,Movimentacoes!$C:$C,$A1655,Movimentacoes!$E:$E,$C1655,Movimentacoes!$B:$B,"ENTRADA")</f>
        <v/>
      </c>
      <c r="H1655" s="13">
        <f>SUMIFS(Movimentacoes!$G:$G,Movimentacoes!$C:$C,$A1655,Movimentacoes!$E:$E,$C1655,Movimentacoes!$B:$B,"SAIDA_USO")</f>
        <v/>
      </c>
      <c r="I1655" s="13">
        <f>SUMIFS(Movimentacoes!$G:$G,Movimentacoes!$C:$C,$A1655,Movimentacoes!$E:$E,$C1655,Movimentacoes!$B:$B,"SAIDA_DESCARTE")</f>
        <v/>
      </c>
      <c r="J1655" s="13">
        <f>G1655-H1655-I1655</f>
        <v/>
      </c>
      <c r="K1655">
        <f>IF(A1655="","",IF(J1655&lt;=IFERROR(VLOOKUP(A1655,Cadastro_Produtos!$A:$E,5,FALSE),0),"ABAIXO DO MINIMO","OK"))</f>
        <v/>
      </c>
    </row>
    <row r="1656">
      <c r="B1656">
        <f>IFERROR(VLOOKUP(A1656,Cadastro_Produtos!A:B,2,FALSE),"")</f>
        <v/>
      </c>
      <c r="D1656" s="12" t="n"/>
      <c r="E1656" s="13">
        <f>IF(D1656="","",D1656-TODAY())</f>
        <v/>
      </c>
      <c r="F1656">
        <f>IF(D1656="","",IF(E1656&lt;0,"VENCIDO",IF(E1656&lt;=30,"VENCE EM &lt;= 30 DIAS",IF(E1656&lt;=60,"ATENCAO (31-60 DIAS)","OK"))))</f>
        <v/>
      </c>
      <c r="G1656" s="13">
        <f>SUMIFS(Movimentacoes!$G:$G,Movimentacoes!$C:$C,$A1656,Movimentacoes!$E:$E,$C1656,Movimentacoes!$B:$B,"ENTRADA")</f>
        <v/>
      </c>
      <c r="H1656" s="13">
        <f>SUMIFS(Movimentacoes!$G:$G,Movimentacoes!$C:$C,$A1656,Movimentacoes!$E:$E,$C1656,Movimentacoes!$B:$B,"SAIDA_USO")</f>
        <v/>
      </c>
      <c r="I1656" s="13">
        <f>SUMIFS(Movimentacoes!$G:$G,Movimentacoes!$C:$C,$A1656,Movimentacoes!$E:$E,$C1656,Movimentacoes!$B:$B,"SAIDA_DESCARTE")</f>
        <v/>
      </c>
      <c r="J1656" s="13">
        <f>G1656-H1656-I1656</f>
        <v/>
      </c>
      <c r="K1656">
        <f>IF(A1656="","",IF(J1656&lt;=IFERROR(VLOOKUP(A1656,Cadastro_Produtos!$A:$E,5,FALSE),0),"ABAIXO DO MINIMO","OK"))</f>
        <v/>
      </c>
    </row>
    <row r="1657">
      <c r="B1657">
        <f>IFERROR(VLOOKUP(A1657,Cadastro_Produtos!A:B,2,FALSE),"")</f>
        <v/>
      </c>
      <c r="D1657" s="12" t="n"/>
      <c r="E1657" s="13">
        <f>IF(D1657="","",D1657-TODAY())</f>
        <v/>
      </c>
      <c r="F1657">
        <f>IF(D1657="","",IF(E1657&lt;0,"VENCIDO",IF(E1657&lt;=30,"VENCE EM &lt;= 30 DIAS",IF(E1657&lt;=60,"ATENCAO (31-60 DIAS)","OK"))))</f>
        <v/>
      </c>
      <c r="G1657" s="13">
        <f>SUMIFS(Movimentacoes!$G:$G,Movimentacoes!$C:$C,$A1657,Movimentacoes!$E:$E,$C1657,Movimentacoes!$B:$B,"ENTRADA")</f>
        <v/>
      </c>
      <c r="H1657" s="13">
        <f>SUMIFS(Movimentacoes!$G:$G,Movimentacoes!$C:$C,$A1657,Movimentacoes!$E:$E,$C1657,Movimentacoes!$B:$B,"SAIDA_USO")</f>
        <v/>
      </c>
      <c r="I1657" s="13">
        <f>SUMIFS(Movimentacoes!$G:$G,Movimentacoes!$C:$C,$A1657,Movimentacoes!$E:$E,$C1657,Movimentacoes!$B:$B,"SAIDA_DESCARTE")</f>
        <v/>
      </c>
      <c r="J1657" s="13">
        <f>G1657-H1657-I1657</f>
        <v/>
      </c>
      <c r="K1657">
        <f>IF(A1657="","",IF(J1657&lt;=IFERROR(VLOOKUP(A1657,Cadastro_Produtos!$A:$E,5,FALSE),0),"ABAIXO DO MINIMO","OK"))</f>
        <v/>
      </c>
    </row>
    <row r="1658">
      <c r="B1658">
        <f>IFERROR(VLOOKUP(A1658,Cadastro_Produtos!A:B,2,FALSE),"")</f>
        <v/>
      </c>
      <c r="D1658" s="12" t="n"/>
      <c r="E1658" s="13">
        <f>IF(D1658="","",D1658-TODAY())</f>
        <v/>
      </c>
      <c r="F1658">
        <f>IF(D1658="","",IF(E1658&lt;0,"VENCIDO",IF(E1658&lt;=30,"VENCE EM &lt;= 30 DIAS",IF(E1658&lt;=60,"ATENCAO (31-60 DIAS)","OK"))))</f>
        <v/>
      </c>
      <c r="G1658" s="13">
        <f>SUMIFS(Movimentacoes!$G:$G,Movimentacoes!$C:$C,$A1658,Movimentacoes!$E:$E,$C1658,Movimentacoes!$B:$B,"ENTRADA")</f>
        <v/>
      </c>
      <c r="H1658" s="13">
        <f>SUMIFS(Movimentacoes!$G:$G,Movimentacoes!$C:$C,$A1658,Movimentacoes!$E:$E,$C1658,Movimentacoes!$B:$B,"SAIDA_USO")</f>
        <v/>
      </c>
      <c r="I1658" s="13">
        <f>SUMIFS(Movimentacoes!$G:$G,Movimentacoes!$C:$C,$A1658,Movimentacoes!$E:$E,$C1658,Movimentacoes!$B:$B,"SAIDA_DESCARTE")</f>
        <v/>
      </c>
      <c r="J1658" s="13">
        <f>G1658-H1658-I1658</f>
        <v/>
      </c>
      <c r="K1658">
        <f>IF(A1658="","",IF(J1658&lt;=IFERROR(VLOOKUP(A1658,Cadastro_Produtos!$A:$E,5,FALSE),0),"ABAIXO DO MINIMO","OK"))</f>
        <v/>
      </c>
    </row>
    <row r="1659">
      <c r="B1659">
        <f>IFERROR(VLOOKUP(A1659,Cadastro_Produtos!A:B,2,FALSE),"")</f>
        <v/>
      </c>
      <c r="D1659" s="12" t="n"/>
      <c r="E1659" s="13">
        <f>IF(D1659="","",D1659-TODAY())</f>
        <v/>
      </c>
      <c r="F1659">
        <f>IF(D1659="","",IF(E1659&lt;0,"VENCIDO",IF(E1659&lt;=30,"VENCE EM &lt;= 30 DIAS",IF(E1659&lt;=60,"ATENCAO (31-60 DIAS)","OK"))))</f>
        <v/>
      </c>
      <c r="G1659" s="13">
        <f>SUMIFS(Movimentacoes!$G:$G,Movimentacoes!$C:$C,$A1659,Movimentacoes!$E:$E,$C1659,Movimentacoes!$B:$B,"ENTRADA")</f>
        <v/>
      </c>
      <c r="H1659" s="13">
        <f>SUMIFS(Movimentacoes!$G:$G,Movimentacoes!$C:$C,$A1659,Movimentacoes!$E:$E,$C1659,Movimentacoes!$B:$B,"SAIDA_USO")</f>
        <v/>
      </c>
      <c r="I1659" s="13">
        <f>SUMIFS(Movimentacoes!$G:$G,Movimentacoes!$C:$C,$A1659,Movimentacoes!$E:$E,$C1659,Movimentacoes!$B:$B,"SAIDA_DESCARTE")</f>
        <v/>
      </c>
      <c r="J1659" s="13">
        <f>G1659-H1659-I1659</f>
        <v/>
      </c>
      <c r="K1659">
        <f>IF(A1659="","",IF(J1659&lt;=IFERROR(VLOOKUP(A1659,Cadastro_Produtos!$A:$E,5,FALSE),0),"ABAIXO DO MINIMO","OK"))</f>
        <v/>
      </c>
    </row>
    <row r="1660">
      <c r="B1660">
        <f>IFERROR(VLOOKUP(A1660,Cadastro_Produtos!A:B,2,FALSE),"")</f>
        <v/>
      </c>
      <c r="D1660" s="12" t="n"/>
      <c r="E1660" s="13">
        <f>IF(D1660="","",D1660-TODAY())</f>
        <v/>
      </c>
      <c r="F1660">
        <f>IF(D1660="","",IF(E1660&lt;0,"VENCIDO",IF(E1660&lt;=30,"VENCE EM &lt;= 30 DIAS",IF(E1660&lt;=60,"ATENCAO (31-60 DIAS)","OK"))))</f>
        <v/>
      </c>
      <c r="G1660" s="13">
        <f>SUMIFS(Movimentacoes!$G:$G,Movimentacoes!$C:$C,$A1660,Movimentacoes!$E:$E,$C1660,Movimentacoes!$B:$B,"ENTRADA")</f>
        <v/>
      </c>
      <c r="H1660" s="13">
        <f>SUMIFS(Movimentacoes!$G:$G,Movimentacoes!$C:$C,$A1660,Movimentacoes!$E:$E,$C1660,Movimentacoes!$B:$B,"SAIDA_USO")</f>
        <v/>
      </c>
      <c r="I1660" s="13">
        <f>SUMIFS(Movimentacoes!$G:$G,Movimentacoes!$C:$C,$A1660,Movimentacoes!$E:$E,$C1660,Movimentacoes!$B:$B,"SAIDA_DESCARTE")</f>
        <v/>
      </c>
      <c r="J1660" s="13">
        <f>G1660-H1660-I1660</f>
        <v/>
      </c>
      <c r="K1660">
        <f>IF(A1660="","",IF(J1660&lt;=IFERROR(VLOOKUP(A1660,Cadastro_Produtos!$A:$E,5,FALSE),0),"ABAIXO DO MINIMO","OK"))</f>
        <v/>
      </c>
    </row>
    <row r="1661">
      <c r="B1661">
        <f>IFERROR(VLOOKUP(A1661,Cadastro_Produtos!A:B,2,FALSE),"")</f>
        <v/>
      </c>
      <c r="D1661" s="12" t="n"/>
      <c r="E1661" s="13">
        <f>IF(D1661="","",D1661-TODAY())</f>
        <v/>
      </c>
      <c r="F1661">
        <f>IF(D1661="","",IF(E1661&lt;0,"VENCIDO",IF(E1661&lt;=30,"VENCE EM &lt;= 30 DIAS",IF(E1661&lt;=60,"ATENCAO (31-60 DIAS)","OK"))))</f>
        <v/>
      </c>
      <c r="G1661" s="13">
        <f>SUMIFS(Movimentacoes!$G:$G,Movimentacoes!$C:$C,$A1661,Movimentacoes!$E:$E,$C1661,Movimentacoes!$B:$B,"ENTRADA")</f>
        <v/>
      </c>
      <c r="H1661" s="13">
        <f>SUMIFS(Movimentacoes!$G:$G,Movimentacoes!$C:$C,$A1661,Movimentacoes!$E:$E,$C1661,Movimentacoes!$B:$B,"SAIDA_USO")</f>
        <v/>
      </c>
      <c r="I1661" s="13">
        <f>SUMIFS(Movimentacoes!$G:$G,Movimentacoes!$C:$C,$A1661,Movimentacoes!$E:$E,$C1661,Movimentacoes!$B:$B,"SAIDA_DESCARTE")</f>
        <v/>
      </c>
      <c r="J1661" s="13">
        <f>G1661-H1661-I1661</f>
        <v/>
      </c>
      <c r="K1661">
        <f>IF(A1661="","",IF(J1661&lt;=IFERROR(VLOOKUP(A1661,Cadastro_Produtos!$A:$E,5,FALSE),0),"ABAIXO DO MINIMO","OK"))</f>
        <v/>
      </c>
    </row>
    <row r="1662">
      <c r="B1662">
        <f>IFERROR(VLOOKUP(A1662,Cadastro_Produtos!A:B,2,FALSE),"")</f>
        <v/>
      </c>
      <c r="D1662" s="12" t="n"/>
      <c r="E1662" s="13">
        <f>IF(D1662="","",D1662-TODAY())</f>
        <v/>
      </c>
      <c r="F1662">
        <f>IF(D1662="","",IF(E1662&lt;0,"VENCIDO",IF(E1662&lt;=30,"VENCE EM &lt;= 30 DIAS",IF(E1662&lt;=60,"ATENCAO (31-60 DIAS)","OK"))))</f>
        <v/>
      </c>
      <c r="G1662" s="13">
        <f>SUMIFS(Movimentacoes!$G:$G,Movimentacoes!$C:$C,$A1662,Movimentacoes!$E:$E,$C1662,Movimentacoes!$B:$B,"ENTRADA")</f>
        <v/>
      </c>
      <c r="H1662" s="13">
        <f>SUMIFS(Movimentacoes!$G:$G,Movimentacoes!$C:$C,$A1662,Movimentacoes!$E:$E,$C1662,Movimentacoes!$B:$B,"SAIDA_USO")</f>
        <v/>
      </c>
      <c r="I1662" s="13">
        <f>SUMIFS(Movimentacoes!$G:$G,Movimentacoes!$C:$C,$A1662,Movimentacoes!$E:$E,$C1662,Movimentacoes!$B:$B,"SAIDA_DESCARTE")</f>
        <v/>
      </c>
      <c r="J1662" s="13">
        <f>G1662-H1662-I1662</f>
        <v/>
      </c>
      <c r="K1662">
        <f>IF(A1662="","",IF(J1662&lt;=IFERROR(VLOOKUP(A1662,Cadastro_Produtos!$A:$E,5,FALSE),0),"ABAIXO DO MINIMO","OK"))</f>
        <v/>
      </c>
    </row>
    <row r="1663">
      <c r="B1663">
        <f>IFERROR(VLOOKUP(A1663,Cadastro_Produtos!A:B,2,FALSE),"")</f>
        <v/>
      </c>
      <c r="D1663" s="12" t="n"/>
      <c r="E1663" s="13">
        <f>IF(D1663="","",D1663-TODAY())</f>
        <v/>
      </c>
      <c r="F1663">
        <f>IF(D1663="","",IF(E1663&lt;0,"VENCIDO",IF(E1663&lt;=30,"VENCE EM &lt;= 30 DIAS",IF(E1663&lt;=60,"ATENCAO (31-60 DIAS)","OK"))))</f>
        <v/>
      </c>
      <c r="G1663" s="13">
        <f>SUMIFS(Movimentacoes!$G:$G,Movimentacoes!$C:$C,$A1663,Movimentacoes!$E:$E,$C1663,Movimentacoes!$B:$B,"ENTRADA")</f>
        <v/>
      </c>
      <c r="H1663" s="13">
        <f>SUMIFS(Movimentacoes!$G:$G,Movimentacoes!$C:$C,$A1663,Movimentacoes!$E:$E,$C1663,Movimentacoes!$B:$B,"SAIDA_USO")</f>
        <v/>
      </c>
      <c r="I1663" s="13">
        <f>SUMIFS(Movimentacoes!$G:$G,Movimentacoes!$C:$C,$A1663,Movimentacoes!$E:$E,$C1663,Movimentacoes!$B:$B,"SAIDA_DESCARTE")</f>
        <v/>
      </c>
      <c r="J1663" s="13">
        <f>G1663-H1663-I1663</f>
        <v/>
      </c>
      <c r="K1663">
        <f>IF(A1663="","",IF(J1663&lt;=IFERROR(VLOOKUP(A1663,Cadastro_Produtos!$A:$E,5,FALSE),0),"ABAIXO DO MINIMO","OK"))</f>
        <v/>
      </c>
    </row>
    <row r="1664">
      <c r="B1664">
        <f>IFERROR(VLOOKUP(A1664,Cadastro_Produtos!A:B,2,FALSE),"")</f>
        <v/>
      </c>
      <c r="D1664" s="12" t="n"/>
      <c r="E1664" s="13">
        <f>IF(D1664="","",D1664-TODAY())</f>
        <v/>
      </c>
      <c r="F1664">
        <f>IF(D1664="","",IF(E1664&lt;0,"VENCIDO",IF(E1664&lt;=30,"VENCE EM &lt;= 30 DIAS",IF(E1664&lt;=60,"ATENCAO (31-60 DIAS)","OK"))))</f>
        <v/>
      </c>
      <c r="G1664" s="13">
        <f>SUMIFS(Movimentacoes!$G:$G,Movimentacoes!$C:$C,$A1664,Movimentacoes!$E:$E,$C1664,Movimentacoes!$B:$B,"ENTRADA")</f>
        <v/>
      </c>
      <c r="H1664" s="13">
        <f>SUMIFS(Movimentacoes!$G:$G,Movimentacoes!$C:$C,$A1664,Movimentacoes!$E:$E,$C1664,Movimentacoes!$B:$B,"SAIDA_USO")</f>
        <v/>
      </c>
      <c r="I1664" s="13">
        <f>SUMIFS(Movimentacoes!$G:$G,Movimentacoes!$C:$C,$A1664,Movimentacoes!$E:$E,$C1664,Movimentacoes!$B:$B,"SAIDA_DESCARTE")</f>
        <v/>
      </c>
      <c r="J1664" s="13">
        <f>G1664-H1664-I1664</f>
        <v/>
      </c>
      <c r="K1664">
        <f>IF(A1664="","",IF(J1664&lt;=IFERROR(VLOOKUP(A1664,Cadastro_Produtos!$A:$E,5,FALSE),0),"ABAIXO DO MINIMO","OK"))</f>
        <v/>
      </c>
    </row>
    <row r="1665">
      <c r="B1665">
        <f>IFERROR(VLOOKUP(A1665,Cadastro_Produtos!A:B,2,FALSE),"")</f>
        <v/>
      </c>
      <c r="D1665" s="12" t="n"/>
      <c r="E1665" s="13">
        <f>IF(D1665="","",D1665-TODAY())</f>
        <v/>
      </c>
      <c r="F1665">
        <f>IF(D1665="","",IF(E1665&lt;0,"VENCIDO",IF(E1665&lt;=30,"VENCE EM &lt;= 30 DIAS",IF(E1665&lt;=60,"ATENCAO (31-60 DIAS)","OK"))))</f>
        <v/>
      </c>
      <c r="G1665" s="13">
        <f>SUMIFS(Movimentacoes!$G:$G,Movimentacoes!$C:$C,$A1665,Movimentacoes!$E:$E,$C1665,Movimentacoes!$B:$B,"ENTRADA")</f>
        <v/>
      </c>
      <c r="H1665" s="13">
        <f>SUMIFS(Movimentacoes!$G:$G,Movimentacoes!$C:$C,$A1665,Movimentacoes!$E:$E,$C1665,Movimentacoes!$B:$B,"SAIDA_USO")</f>
        <v/>
      </c>
      <c r="I1665" s="13">
        <f>SUMIFS(Movimentacoes!$G:$G,Movimentacoes!$C:$C,$A1665,Movimentacoes!$E:$E,$C1665,Movimentacoes!$B:$B,"SAIDA_DESCARTE")</f>
        <v/>
      </c>
      <c r="J1665" s="13">
        <f>G1665-H1665-I1665</f>
        <v/>
      </c>
      <c r="K1665">
        <f>IF(A1665="","",IF(J1665&lt;=IFERROR(VLOOKUP(A1665,Cadastro_Produtos!$A:$E,5,FALSE),0),"ABAIXO DO MINIMO","OK"))</f>
        <v/>
      </c>
    </row>
    <row r="1666">
      <c r="B1666">
        <f>IFERROR(VLOOKUP(A1666,Cadastro_Produtos!A:B,2,FALSE),"")</f>
        <v/>
      </c>
      <c r="D1666" s="12" t="n"/>
      <c r="E1666" s="13">
        <f>IF(D1666="","",D1666-TODAY())</f>
        <v/>
      </c>
      <c r="F1666">
        <f>IF(D1666="","",IF(E1666&lt;0,"VENCIDO",IF(E1666&lt;=30,"VENCE EM &lt;= 30 DIAS",IF(E1666&lt;=60,"ATENCAO (31-60 DIAS)","OK"))))</f>
        <v/>
      </c>
      <c r="G1666" s="13">
        <f>SUMIFS(Movimentacoes!$G:$G,Movimentacoes!$C:$C,$A1666,Movimentacoes!$E:$E,$C1666,Movimentacoes!$B:$B,"ENTRADA")</f>
        <v/>
      </c>
      <c r="H1666" s="13">
        <f>SUMIFS(Movimentacoes!$G:$G,Movimentacoes!$C:$C,$A1666,Movimentacoes!$E:$E,$C1666,Movimentacoes!$B:$B,"SAIDA_USO")</f>
        <v/>
      </c>
      <c r="I1666" s="13">
        <f>SUMIFS(Movimentacoes!$G:$G,Movimentacoes!$C:$C,$A1666,Movimentacoes!$E:$E,$C1666,Movimentacoes!$B:$B,"SAIDA_DESCARTE")</f>
        <v/>
      </c>
      <c r="J1666" s="13">
        <f>G1666-H1666-I1666</f>
        <v/>
      </c>
      <c r="K1666">
        <f>IF(A1666="","",IF(J1666&lt;=IFERROR(VLOOKUP(A1666,Cadastro_Produtos!$A:$E,5,FALSE),0),"ABAIXO DO MINIMO","OK"))</f>
        <v/>
      </c>
    </row>
    <row r="1667">
      <c r="B1667">
        <f>IFERROR(VLOOKUP(A1667,Cadastro_Produtos!A:B,2,FALSE),"")</f>
        <v/>
      </c>
      <c r="D1667" s="12" t="n"/>
      <c r="E1667" s="13">
        <f>IF(D1667="","",D1667-TODAY())</f>
        <v/>
      </c>
      <c r="F1667">
        <f>IF(D1667="","",IF(E1667&lt;0,"VENCIDO",IF(E1667&lt;=30,"VENCE EM &lt;= 30 DIAS",IF(E1667&lt;=60,"ATENCAO (31-60 DIAS)","OK"))))</f>
        <v/>
      </c>
      <c r="G1667" s="13">
        <f>SUMIFS(Movimentacoes!$G:$G,Movimentacoes!$C:$C,$A1667,Movimentacoes!$E:$E,$C1667,Movimentacoes!$B:$B,"ENTRADA")</f>
        <v/>
      </c>
      <c r="H1667" s="13">
        <f>SUMIFS(Movimentacoes!$G:$G,Movimentacoes!$C:$C,$A1667,Movimentacoes!$E:$E,$C1667,Movimentacoes!$B:$B,"SAIDA_USO")</f>
        <v/>
      </c>
      <c r="I1667" s="13">
        <f>SUMIFS(Movimentacoes!$G:$G,Movimentacoes!$C:$C,$A1667,Movimentacoes!$E:$E,$C1667,Movimentacoes!$B:$B,"SAIDA_DESCARTE")</f>
        <v/>
      </c>
      <c r="J1667" s="13">
        <f>G1667-H1667-I1667</f>
        <v/>
      </c>
      <c r="K1667">
        <f>IF(A1667="","",IF(J1667&lt;=IFERROR(VLOOKUP(A1667,Cadastro_Produtos!$A:$E,5,FALSE),0),"ABAIXO DO MINIMO","OK"))</f>
        <v/>
      </c>
    </row>
    <row r="1668">
      <c r="B1668">
        <f>IFERROR(VLOOKUP(A1668,Cadastro_Produtos!A:B,2,FALSE),"")</f>
        <v/>
      </c>
      <c r="D1668" s="12" t="n"/>
      <c r="E1668" s="13">
        <f>IF(D1668="","",D1668-TODAY())</f>
        <v/>
      </c>
      <c r="F1668">
        <f>IF(D1668="","",IF(E1668&lt;0,"VENCIDO",IF(E1668&lt;=30,"VENCE EM &lt;= 30 DIAS",IF(E1668&lt;=60,"ATENCAO (31-60 DIAS)","OK"))))</f>
        <v/>
      </c>
      <c r="G1668" s="13">
        <f>SUMIFS(Movimentacoes!$G:$G,Movimentacoes!$C:$C,$A1668,Movimentacoes!$E:$E,$C1668,Movimentacoes!$B:$B,"ENTRADA")</f>
        <v/>
      </c>
      <c r="H1668" s="13">
        <f>SUMIFS(Movimentacoes!$G:$G,Movimentacoes!$C:$C,$A1668,Movimentacoes!$E:$E,$C1668,Movimentacoes!$B:$B,"SAIDA_USO")</f>
        <v/>
      </c>
      <c r="I1668" s="13">
        <f>SUMIFS(Movimentacoes!$G:$G,Movimentacoes!$C:$C,$A1668,Movimentacoes!$E:$E,$C1668,Movimentacoes!$B:$B,"SAIDA_DESCARTE")</f>
        <v/>
      </c>
      <c r="J1668" s="13">
        <f>G1668-H1668-I1668</f>
        <v/>
      </c>
      <c r="K1668">
        <f>IF(A1668="","",IF(J1668&lt;=IFERROR(VLOOKUP(A1668,Cadastro_Produtos!$A:$E,5,FALSE),0),"ABAIXO DO MINIMO","OK"))</f>
        <v/>
      </c>
    </row>
    <row r="1669">
      <c r="B1669">
        <f>IFERROR(VLOOKUP(A1669,Cadastro_Produtos!A:B,2,FALSE),"")</f>
        <v/>
      </c>
      <c r="D1669" s="12" t="n"/>
      <c r="E1669" s="13">
        <f>IF(D1669="","",D1669-TODAY())</f>
        <v/>
      </c>
      <c r="F1669">
        <f>IF(D1669="","",IF(E1669&lt;0,"VENCIDO",IF(E1669&lt;=30,"VENCE EM &lt;= 30 DIAS",IF(E1669&lt;=60,"ATENCAO (31-60 DIAS)","OK"))))</f>
        <v/>
      </c>
      <c r="G1669" s="13">
        <f>SUMIFS(Movimentacoes!$G:$G,Movimentacoes!$C:$C,$A1669,Movimentacoes!$E:$E,$C1669,Movimentacoes!$B:$B,"ENTRADA")</f>
        <v/>
      </c>
      <c r="H1669" s="13">
        <f>SUMIFS(Movimentacoes!$G:$G,Movimentacoes!$C:$C,$A1669,Movimentacoes!$E:$E,$C1669,Movimentacoes!$B:$B,"SAIDA_USO")</f>
        <v/>
      </c>
      <c r="I1669" s="13">
        <f>SUMIFS(Movimentacoes!$G:$G,Movimentacoes!$C:$C,$A1669,Movimentacoes!$E:$E,$C1669,Movimentacoes!$B:$B,"SAIDA_DESCARTE")</f>
        <v/>
      </c>
      <c r="J1669" s="13">
        <f>G1669-H1669-I1669</f>
        <v/>
      </c>
      <c r="K1669">
        <f>IF(A1669="","",IF(J1669&lt;=IFERROR(VLOOKUP(A1669,Cadastro_Produtos!$A:$E,5,FALSE),0),"ABAIXO DO MINIMO","OK"))</f>
        <v/>
      </c>
    </row>
    <row r="1670">
      <c r="B1670">
        <f>IFERROR(VLOOKUP(A1670,Cadastro_Produtos!A:B,2,FALSE),"")</f>
        <v/>
      </c>
      <c r="D1670" s="12" t="n"/>
      <c r="E1670" s="13">
        <f>IF(D1670="","",D1670-TODAY())</f>
        <v/>
      </c>
      <c r="F1670">
        <f>IF(D1670="","",IF(E1670&lt;0,"VENCIDO",IF(E1670&lt;=30,"VENCE EM &lt;= 30 DIAS",IF(E1670&lt;=60,"ATENCAO (31-60 DIAS)","OK"))))</f>
        <v/>
      </c>
      <c r="G1670" s="13">
        <f>SUMIFS(Movimentacoes!$G:$G,Movimentacoes!$C:$C,$A1670,Movimentacoes!$E:$E,$C1670,Movimentacoes!$B:$B,"ENTRADA")</f>
        <v/>
      </c>
      <c r="H1670" s="13">
        <f>SUMIFS(Movimentacoes!$G:$G,Movimentacoes!$C:$C,$A1670,Movimentacoes!$E:$E,$C1670,Movimentacoes!$B:$B,"SAIDA_USO")</f>
        <v/>
      </c>
      <c r="I1670" s="13">
        <f>SUMIFS(Movimentacoes!$G:$G,Movimentacoes!$C:$C,$A1670,Movimentacoes!$E:$E,$C1670,Movimentacoes!$B:$B,"SAIDA_DESCARTE")</f>
        <v/>
      </c>
      <c r="J1670" s="13">
        <f>G1670-H1670-I1670</f>
        <v/>
      </c>
      <c r="K1670">
        <f>IF(A1670="","",IF(J1670&lt;=IFERROR(VLOOKUP(A1670,Cadastro_Produtos!$A:$E,5,FALSE),0),"ABAIXO DO MINIMO","OK"))</f>
        <v/>
      </c>
    </row>
    <row r="1671">
      <c r="B1671">
        <f>IFERROR(VLOOKUP(A1671,Cadastro_Produtos!A:B,2,FALSE),"")</f>
        <v/>
      </c>
      <c r="D1671" s="12" t="n"/>
      <c r="E1671" s="13">
        <f>IF(D1671="","",D1671-TODAY())</f>
        <v/>
      </c>
      <c r="F1671">
        <f>IF(D1671="","",IF(E1671&lt;0,"VENCIDO",IF(E1671&lt;=30,"VENCE EM &lt;= 30 DIAS",IF(E1671&lt;=60,"ATENCAO (31-60 DIAS)","OK"))))</f>
        <v/>
      </c>
      <c r="G1671" s="13">
        <f>SUMIFS(Movimentacoes!$G:$G,Movimentacoes!$C:$C,$A1671,Movimentacoes!$E:$E,$C1671,Movimentacoes!$B:$B,"ENTRADA")</f>
        <v/>
      </c>
      <c r="H1671" s="13">
        <f>SUMIFS(Movimentacoes!$G:$G,Movimentacoes!$C:$C,$A1671,Movimentacoes!$E:$E,$C1671,Movimentacoes!$B:$B,"SAIDA_USO")</f>
        <v/>
      </c>
      <c r="I1671" s="13">
        <f>SUMIFS(Movimentacoes!$G:$G,Movimentacoes!$C:$C,$A1671,Movimentacoes!$E:$E,$C1671,Movimentacoes!$B:$B,"SAIDA_DESCARTE")</f>
        <v/>
      </c>
      <c r="J1671" s="13">
        <f>G1671-H1671-I1671</f>
        <v/>
      </c>
      <c r="K1671">
        <f>IF(A1671="","",IF(J1671&lt;=IFERROR(VLOOKUP(A1671,Cadastro_Produtos!$A:$E,5,FALSE),0),"ABAIXO DO MINIMO","OK"))</f>
        <v/>
      </c>
    </row>
    <row r="1672">
      <c r="B1672">
        <f>IFERROR(VLOOKUP(A1672,Cadastro_Produtos!A:B,2,FALSE),"")</f>
        <v/>
      </c>
      <c r="D1672" s="12" t="n"/>
      <c r="E1672" s="13">
        <f>IF(D1672="","",D1672-TODAY())</f>
        <v/>
      </c>
      <c r="F1672">
        <f>IF(D1672="","",IF(E1672&lt;0,"VENCIDO",IF(E1672&lt;=30,"VENCE EM &lt;= 30 DIAS",IF(E1672&lt;=60,"ATENCAO (31-60 DIAS)","OK"))))</f>
        <v/>
      </c>
      <c r="G1672" s="13">
        <f>SUMIFS(Movimentacoes!$G:$G,Movimentacoes!$C:$C,$A1672,Movimentacoes!$E:$E,$C1672,Movimentacoes!$B:$B,"ENTRADA")</f>
        <v/>
      </c>
      <c r="H1672" s="13">
        <f>SUMIFS(Movimentacoes!$G:$G,Movimentacoes!$C:$C,$A1672,Movimentacoes!$E:$E,$C1672,Movimentacoes!$B:$B,"SAIDA_USO")</f>
        <v/>
      </c>
      <c r="I1672" s="13">
        <f>SUMIFS(Movimentacoes!$G:$G,Movimentacoes!$C:$C,$A1672,Movimentacoes!$E:$E,$C1672,Movimentacoes!$B:$B,"SAIDA_DESCARTE")</f>
        <v/>
      </c>
      <c r="J1672" s="13">
        <f>G1672-H1672-I1672</f>
        <v/>
      </c>
      <c r="K1672">
        <f>IF(A1672="","",IF(J1672&lt;=IFERROR(VLOOKUP(A1672,Cadastro_Produtos!$A:$E,5,FALSE),0),"ABAIXO DO MINIMO","OK"))</f>
        <v/>
      </c>
    </row>
    <row r="1673">
      <c r="B1673">
        <f>IFERROR(VLOOKUP(A1673,Cadastro_Produtos!A:B,2,FALSE),"")</f>
        <v/>
      </c>
      <c r="D1673" s="12" t="n"/>
      <c r="E1673" s="13">
        <f>IF(D1673="","",D1673-TODAY())</f>
        <v/>
      </c>
      <c r="F1673">
        <f>IF(D1673="","",IF(E1673&lt;0,"VENCIDO",IF(E1673&lt;=30,"VENCE EM &lt;= 30 DIAS",IF(E1673&lt;=60,"ATENCAO (31-60 DIAS)","OK"))))</f>
        <v/>
      </c>
      <c r="G1673" s="13">
        <f>SUMIFS(Movimentacoes!$G:$G,Movimentacoes!$C:$C,$A1673,Movimentacoes!$E:$E,$C1673,Movimentacoes!$B:$B,"ENTRADA")</f>
        <v/>
      </c>
      <c r="H1673" s="13">
        <f>SUMIFS(Movimentacoes!$G:$G,Movimentacoes!$C:$C,$A1673,Movimentacoes!$E:$E,$C1673,Movimentacoes!$B:$B,"SAIDA_USO")</f>
        <v/>
      </c>
      <c r="I1673" s="13">
        <f>SUMIFS(Movimentacoes!$G:$G,Movimentacoes!$C:$C,$A1673,Movimentacoes!$E:$E,$C1673,Movimentacoes!$B:$B,"SAIDA_DESCARTE")</f>
        <v/>
      </c>
      <c r="J1673" s="13">
        <f>G1673-H1673-I1673</f>
        <v/>
      </c>
      <c r="K1673">
        <f>IF(A1673="","",IF(J1673&lt;=IFERROR(VLOOKUP(A1673,Cadastro_Produtos!$A:$E,5,FALSE),0),"ABAIXO DO MINIMO","OK"))</f>
        <v/>
      </c>
    </row>
    <row r="1674">
      <c r="B1674">
        <f>IFERROR(VLOOKUP(A1674,Cadastro_Produtos!A:B,2,FALSE),"")</f>
        <v/>
      </c>
      <c r="D1674" s="12" t="n"/>
      <c r="E1674" s="13">
        <f>IF(D1674="","",D1674-TODAY())</f>
        <v/>
      </c>
      <c r="F1674">
        <f>IF(D1674="","",IF(E1674&lt;0,"VENCIDO",IF(E1674&lt;=30,"VENCE EM &lt;= 30 DIAS",IF(E1674&lt;=60,"ATENCAO (31-60 DIAS)","OK"))))</f>
        <v/>
      </c>
      <c r="G1674" s="13">
        <f>SUMIFS(Movimentacoes!$G:$G,Movimentacoes!$C:$C,$A1674,Movimentacoes!$E:$E,$C1674,Movimentacoes!$B:$B,"ENTRADA")</f>
        <v/>
      </c>
      <c r="H1674" s="13">
        <f>SUMIFS(Movimentacoes!$G:$G,Movimentacoes!$C:$C,$A1674,Movimentacoes!$E:$E,$C1674,Movimentacoes!$B:$B,"SAIDA_USO")</f>
        <v/>
      </c>
      <c r="I1674" s="13">
        <f>SUMIFS(Movimentacoes!$G:$G,Movimentacoes!$C:$C,$A1674,Movimentacoes!$E:$E,$C1674,Movimentacoes!$B:$B,"SAIDA_DESCARTE")</f>
        <v/>
      </c>
      <c r="J1674" s="13">
        <f>G1674-H1674-I1674</f>
        <v/>
      </c>
      <c r="K1674">
        <f>IF(A1674="","",IF(J1674&lt;=IFERROR(VLOOKUP(A1674,Cadastro_Produtos!$A:$E,5,FALSE),0),"ABAIXO DO MINIMO","OK"))</f>
        <v/>
      </c>
    </row>
    <row r="1675">
      <c r="B1675">
        <f>IFERROR(VLOOKUP(A1675,Cadastro_Produtos!A:B,2,FALSE),"")</f>
        <v/>
      </c>
      <c r="D1675" s="12" t="n"/>
      <c r="E1675" s="13">
        <f>IF(D1675="","",D1675-TODAY())</f>
        <v/>
      </c>
      <c r="F1675">
        <f>IF(D1675="","",IF(E1675&lt;0,"VENCIDO",IF(E1675&lt;=30,"VENCE EM &lt;= 30 DIAS",IF(E1675&lt;=60,"ATENCAO (31-60 DIAS)","OK"))))</f>
        <v/>
      </c>
      <c r="G1675" s="13">
        <f>SUMIFS(Movimentacoes!$G:$G,Movimentacoes!$C:$C,$A1675,Movimentacoes!$E:$E,$C1675,Movimentacoes!$B:$B,"ENTRADA")</f>
        <v/>
      </c>
      <c r="H1675" s="13">
        <f>SUMIFS(Movimentacoes!$G:$G,Movimentacoes!$C:$C,$A1675,Movimentacoes!$E:$E,$C1675,Movimentacoes!$B:$B,"SAIDA_USO")</f>
        <v/>
      </c>
      <c r="I1675" s="13">
        <f>SUMIFS(Movimentacoes!$G:$G,Movimentacoes!$C:$C,$A1675,Movimentacoes!$E:$E,$C1675,Movimentacoes!$B:$B,"SAIDA_DESCARTE")</f>
        <v/>
      </c>
      <c r="J1675" s="13">
        <f>G1675-H1675-I1675</f>
        <v/>
      </c>
      <c r="K1675">
        <f>IF(A1675="","",IF(J1675&lt;=IFERROR(VLOOKUP(A1675,Cadastro_Produtos!$A:$E,5,FALSE),0),"ABAIXO DO MINIMO","OK"))</f>
        <v/>
      </c>
    </row>
    <row r="1676">
      <c r="B1676">
        <f>IFERROR(VLOOKUP(A1676,Cadastro_Produtos!A:B,2,FALSE),"")</f>
        <v/>
      </c>
      <c r="D1676" s="12" t="n"/>
      <c r="E1676" s="13">
        <f>IF(D1676="","",D1676-TODAY())</f>
        <v/>
      </c>
      <c r="F1676">
        <f>IF(D1676="","",IF(E1676&lt;0,"VENCIDO",IF(E1676&lt;=30,"VENCE EM &lt;= 30 DIAS",IF(E1676&lt;=60,"ATENCAO (31-60 DIAS)","OK"))))</f>
        <v/>
      </c>
      <c r="G1676" s="13">
        <f>SUMIFS(Movimentacoes!$G:$G,Movimentacoes!$C:$C,$A1676,Movimentacoes!$E:$E,$C1676,Movimentacoes!$B:$B,"ENTRADA")</f>
        <v/>
      </c>
      <c r="H1676" s="13">
        <f>SUMIFS(Movimentacoes!$G:$G,Movimentacoes!$C:$C,$A1676,Movimentacoes!$E:$E,$C1676,Movimentacoes!$B:$B,"SAIDA_USO")</f>
        <v/>
      </c>
      <c r="I1676" s="13">
        <f>SUMIFS(Movimentacoes!$G:$G,Movimentacoes!$C:$C,$A1676,Movimentacoes!$E:$E,$C1676,Movimentacoes!$B:$B,"SAIDA_DESCARTE")</f>
        <v/>
      </c>
      <c r="J1676" s="13">
        <f>G1676-H1676-I1676</f>
        <v/>
      </c>
      <c r="K1676">
        <f>IF(A1676="","",IF(J1676&lt;=IFERROR(VLOOKUP(A1676,Cadastro_Produtos!$A:$E,5,FALSE),0),"ABAIXO DO MINIMO","OK"))</f>
        <v/>
      </c>
    </row>
    <row r="1677">
      <c r="B1677">
        <f>IFERROR(VLOOKUP(A1677,Cadastro_Produtos!A:B,2,FALSE),"")</f>
        <v/>
      </c>
      <c r="D1677" s="12" t="n"/>
      <c r="E1677" s="13">
        <f>IF(D1677="","",D1677-TODAY())</f>
        <v/>
      </c>
      <c r="F1677">
        <f>IF(D1677="","",IF(E1677&lt;0,"VENCIDO",IF(E1677&lt;=30,"VENCE EM &lt;= 30 DIAS",IF(E1677&lt;=60,"ATENCAO (31-60 DIAS)","OK"))))</f>
        <v/>
      </c>
      <c r="G1677" s="13">
        <f>SUMIFS(Movimentacoes!$G:$G,Movimentacoes!$C:$C,$A1677,Movimentacoes!$E:$E,$C1677,Movimentacoes!$B:$B,"ENTRADA")</f>
        <v/>
      </c>
      <c r="H1677" s="13">
        <f>SUMIFS(Movimentacoes!$G:$G,Movimentacoes!$C:$C,$A1677,Movimentacoes!$E:$E,$C1677,Movimentacoes!$B:$B,"SAIDA_USO")</f>
        <v/>
      </c>
      <c r="I1677" s="13">
        <f>SUMIFS(Movimentacoes!$G:$G,Movimentacoes!$C:$C,$A1677,Movimentacoes!$E:$E,$C1677,Movimentacoes!$B:$B,"SAIDA_DESCARTE")</f>
        <v/>
      </c>
      <c r="J1677" s="13">
        <f>G1677-H1677-I1677</f>
        <v/>
      </c>
      <c r="K1677">
        <f>IF(A1677="","",IF(J1677&lt;=IFERROR(VLOOKUP(A1677,Cadastro_Produtos!$A:$E,5,FALSE),0),"ABAIXO DO MINIMO","OK"))</f>
        <v/>
      </c>
    </row>
    <row r="1678">
      <c r="B1678">
        <f>IFERROR(VLOOKUP(A1678,Cadastro_Produtos!A:B,2,FALSE),"")</f>
        <v/>
      </c>
      <c r="D1678" s="12" t="n"/>
      <c r="E1678" s="13">
        <f>IF(D1678="","",D1678-TODAY())</f>
        <v/>
      </c>
      <c r="F1678">
        <f>IF(D1678="","",IF(E1678&lt;0,"VENCIDO",IF(E1678&lt;=30,"VENCE EM &lt;= 30 DIAS",IF(E1678&lt;=60,"ATENCAO (31-60 DIAS)","OK"))))</f>
        <v/>
      </c>
      <c r="G1678" s="13">
        <f>SUMIFS(Movimentacoes!$G:$G,Movimentacoes!$C:$C,$A1678,Movimentacoes!$E:$E,$C1678,Movimentacoes!$B:$B,"ENTRADA")</f>
        <v/>
      </c>
      <c r="H1678" s="13">
        <f>SUMIFS(Movimentacoes!$G:$G,Movimentacoes!$C:$C,$A1678,Movimentacoes!$E:$E,$C1678,Movimentacoes!$B:$B,"SAIDA_USO")</f>
        <v/>
      </c>
      <c r="I1678" s="13">
        <f>SUMIFS(Movimentacoes!$G:$G,Movimentacoes!$C:$C,$A1678,Movimentacoes!$E:$E,$C1678,Movimentacoes!$B:$B,"SAIDA_DESCARTE")</f>
        <v/>
      </c>
      <c r="J1678" s="13">
        <f>G1678-H1678-I1678</f>
        <v/>
      </c>
      <c r="K1678">
        <f>IF(A1678="","",IF(J1678&lt;=IFERROR(VLOOKUP(A1678,Cadastro_Produtos!$A:$E,5,FALSE),0),"ABAIXO DO MINIMO","OK"))</f>
        <v/>
      </c>
    </row>
    <row r="1679">
      <c r="B1679">
        <f>IFERROR(VLOOKUP(A1679,Cadastro_Produtos!A:B,2,FALSE),"")</f>
        <v/>
      </c>
      <c r="D1679" s="12" t="n"/>
      <c r="E1679" s="13">
        <f>IF(D1679="","",D1679-TODAY())</f>
        <v/>
      </c>
      <c r="F1679">
        <f>IF(D1679="","",IF(E1679&lt;0,"VENCIDO",IF(E1679&lt;=30,"VENCE EM &lt;= 30 DIAS",IF(E1679&lt;=60,"ATENCAO (31-60 DIAS)","OK"))))</f>
        <v/>
      </c>
      <c r="G1679" s="13">
        <f>SUMIFS(Movimentacoes!$G:$G,Movimentacoes!$C:$C,$A1679,Movimentacoes!$E:$E,$C1679,Movimentacoes!$B:$B,"ENTRADA")</f>
        <v/>
      </c>
      <c r="H1679" s="13">
        <f>SUMIFS(Movimentacoes!$G:$G,Movimentacoes!$C:$C,$A1679,Movimentacoes!$E:$E,$C1679,Movimentacoes!$B:$B,"SAIDA_USO")</f>
        <v/>
      </c>
      <c r="I1679" s="13">
        <f>SUMIFS(Movimentacoes!$G:$G,Movimentacoes!$C:$C,$A1679,Movimentacoes!$E:$E,$C1679,Movimentacoes!$B:$B,"SAIDA_DESCARTE")</f>
        <v/>
      </c>
      <c r="J1679" s="13">
        <f>G1679-H1679-I1679</f>
        <v/>
      </c>
      <c r="K1679">
        <f>IF(A1679="","",IF(J1679&lt;=IFERROR(VLOOKUP(A1679,Cadastro_Produtos!$A:$E,5,FALSE),0),"ABAIXO DO MINIMO","OK"))</f>
        <v/>
      </c>
    </row>
    <row r="1680">
      <c r="B1680">
        <f>IFERROR(VLOOKUP(A1680,Cadastro_Produtos!A:B,2,FALSE),"")</f>
        <v/>
      </c>
      <c r="D1680" s="12" t="n"/>
      <c r="E1680" s="13">
        <f>IF(D1680="","",D1680-TODAY())</f>
        <v/>
      </c>
      <c r="F1680">
        <f>IF(D1680="","",IF(E1680&lt;0,"VENCIDO",IF(E1680&lt;=30,"VENCE EM &lt;= 30 DIAS",IF(E1680&lt;=60,"ATENCAO (31-60 DIAS)","OK"))))</f>
        <v/>
      </c>
      <c r="G1680" s="13">
        <f>SUMIFS(Movimentacoes!$G:$G,Movimentacoes!$C:$C,$A1680,Movimentacoes!$E:$E,$C1680,Movimentacoes!$B:$B,"ENTRADA")</f>
        <v/>
      </c>
      <c r="H1680" s="13">
        <f>SUMIFS(Movimentacoes!$G:$G,Movimentacoes!$C:$C,$A1680,Movimentacoes!$E:$E,$C1680,Movimentacoes!$B:$B,"SAIDA_USO")</f>
        <v/>
      </c>
      <c r="I1680" s="13">
        <f>SUMIFS(Movimentacoes!$G:$G,Movimentacoes!$C:$C,$A1680,Movimentacoes!$E:$E,$C1680,Movimentacoes!$B:$B,"SAIDA_DESCARTE")</f>
        <v/>
      </c>
      <c r="J1680" s="13">
        <f>G1680-H1680-I1680</f>
        <v/>
      </c>
      <c r="K1680">
        <f>IF(A1680="","",IF(J1680&lt;=IFERROR(VLOOKUP(A1680,Cadastro_Produtos!$A:$E,5,FALSE),0),"ABAIXO DO MINIMO","OK"))</f>
        <v/>
      </c>
    </row>
    <row r="1681">
      <c r="B1681">
        <f>IFERROR(VLOOKUP(A1681,Cadastro_Produtos!A:B,2,FALSE),"")</f>
        <v/>
      </c>
      <c r="D1681" s="12" t="n"/>
      <c r="E1681" s="13">
        <f>IF(D1681="","",D1681-TODAY())</f>
        <v/>
      </c>
      <c r="F1681">
        <f>IF(D1681="","",IF(E1681&lt;0,"VENCIDO",IF(E1681&lt;=30,"VENCE EM &lt;= 30 DIAS",IF(E1681&lt;=60,"ATENCAO (31-60 DIAS)","OK"))))</f>
        <v/>
      </c>
      <c r="G1681" s="13">
        <f>SUMIFS(Movimentacoes!$G:$G,Movimentacoes!$C:$C,$A1681,Movimentacoes!$E:$E,$C1681,Movimentacoes!$B:$B,"ENTRADA")</f>
        <v/>
      </c>
      <c r="H1681" s="13">
        <f>SUMIFS(Movimentacoes!$G:$G,Movimentacoes!$C:$C,$A1681,Movimentacoes!$E:$E,$C1681,Movimentacoes!$B:$B,"SAIDA_USO")</f>
        <v/>
      </c>
      <c r="I1681" s="13">
        <f>SUMIFS(Movimentacoes!$G:$G,Movimentacoes!$C:$C,$A1681,Movimentacoes!$E:$E,$C1681,Movimentacoes!$B:$B,"SAIDA_DESCARTE")</f>
        <v/>
      </c>
      <c r="J1681" s="13">
        <f>G1681-H1681-I1681</f>
        <v/>
      </c>
      <c r="K1681">
        <f>IF(A1681="","",IF(J1681&lt;=IFERROR(VLOOKUP(A1681,Cadastro_Produtos!$A:$E,5,FALSE),0),"ABAIXO DO MINIMO","OK"))</f>
        <v/>
      </c>
    </row>
    <row r="1682">
      <c r="B1682">
        <f>IFERROR(VLOOKUP(A1682,Cadastro_Produtos!A:B,2,FALSE),"")</f>
        <v/>
      </c>
      <c r="D1682" s="12" t="n"/>
      <c r="E1682" s="13">
        <f>IF(D1682="","",D1682-TODAY())</f>
        <v/>
      </c>
      <c r="F1682">
        <f>IF(D1682="","",IF(E1682&lt;0,"VENCIDO",IF(E1682&lt;=30,"VENCE EM &lt;= 30 DIAS",IF(E1682&lt;=60,"ATENCAO (31-60 DIAS)","OK"))))</f>
        <v/>
      </c>
      <c r="G1682" s="13">
        <f>SUMIFS(Movimentacoes!$G:$G,Movimentacoes!$C:$C,$A1682,Movimentacoes!$E:$E,$C1682,Movimentacoes!$B:$B,"ENTRADA")</f>
        <v/>
      </c>
      <c r="H1682" s="13">
        <f>SUMIFS(Movimentacoes!$G:$G,Movimentacoes!$C:$C,$A1682,Movimentacoes!$E:$E,$C1682,Movimentacoes!$B:$B,"SAIDA_USO")</f>
        <v/>
      </c>
      <c r="I1682" s="13">
        <f>SUMIFS(Movimentacoes!$G:$G,Movimentacoes!$C:$C,$A1682,Movimentacoes!$E:$E,$C1682,Movimentacoes!$B:$B,"SAIDA_DESCARTE")</f>
        <v/>
      </c>
      <c r="J1682" s="13">
        <f>G1682-H1682-I1682</f>
        <v/>
      </c>
      <c r="K1682">
        <f>IF(A1682="","",IF(J1682&lt;=IFERROR(VLOOKUP(A1682,Cadastro_Produtos!$A:$E,5,FALSE),0),"ABAIXO DO MINIMO","OK"))</f>
        <v/>
      </c>
    </row>
    <row r="1683">
      <c r="B1683">
        <f>IFERROR(VLOOKUP(A1683,Cadastro_Produtos!A:B,2,FALSE),"")</f>
        <v/>
      </c>
      <c r="D1683" s="12" t="n"/>
      <c r="E1683" s="13">
        <f>IF(D1683="","",D1683-TODAY())</f>
        <v/>
      </c>
      <c r="F1683">
        <f>IF(D1683="","",IF(E1683&lt;0,"VENCIDO",IF(E1683&lt;=30,"VENCE EM &lt;= 30 DIAS",IF(E1683&lt;=60,"ATENCAO (31-60 DIAS)","OK"))))</f>
        <v/>
      </c>
      <c r="G1683" s="13">
        <f>SUMIFS(Movimentacoes!$G:$G,Movimentacoes!$C:$C,$A1683,Movimentacoes!$E:$E,$C1683,Movimentacoes!$B:$B,"ENTRADA")</f>
        <v/>
      </c>
      <c r="H1683" s="13">
        <f>SUMIFS(Movimentacoes!$G:$G,Movimentacoes!$C:$C,$A1683,Movimentacoes!$E:$E,$C1683,Movimentacoes!$B:$B,"SAIDA_USO")</f>
        <v/>
      </c>
      <c r="I1683" s="13">
        <f>SUMIFS(Movimentacoes!$G:$G,Movimentacoes!$C:$C,$A1683,Movimentacoes!$E:$E,$C1683,Movimentacoes!$B:$B,"SAIDA_DESCARTE")</f>
        <v/>
      </c>
      <c r="J1683" s="13">
        <f>G1683-H1683-I1683</f>
        <v/>
      </c>
      <c r="K1683">
        <f>IF(A1683="","",IF(J1683&lt;=IFERROR(VLOOKUP(A1683,Cadastro_Produtos!$A:$E,5,FALSE),0),"ABAIXO DO MINIMO","OK"))</f>
        <v/>
      </c>
    </row>
    <row r="1684">
      <c r="B1684">
        <f>IFERROR(VLOOKUP(A1684,Cadastro_Produtos!A:B,2,FALSE),"")</f>
        <v/>
      </c>
      <c r="D1684" s="12" t="n"/>
      <c r="E1684" s="13">
        <f>IF(D1684="","",D1684-TODAY())</f>
        <v/>
      </c>
      <c r="F1684">
        <f>IF(D1684="","",IF(E1684&lt;0,"VENCIDO",IF(E1684&lt;=30,"VENCE EM &lt;= 30 DIAS",IF(E1684&lt;=60,"ATENCAO (31-60 DIAS)","OK"))))</f>
        <v/>
      </c>
      <c r="G1684" s="13">
        <f>SUMIFS(Movimentacoes!$G:$G,Movimentacoes!$C:$C,$A1684,Movimentacoes!$E:$E,$C1684,Movimentacoes!$B:$B,"ENTRADA")</f>
        <v/>
      </c>
      <c r="H1684" s="13">
        <f>SUMIFS(Movimentacoes!$G:$G,Movimentacoes!$C:$C,$A1684,Movimentacoes!$E:$E,$C1684,Movimentacoes!$B:$B,"SAIDA_USO")</f>
        <v/>
      </c>
      <c r="I1684" s="13">
        <f>SUMIFS(Movimentacoes!$G:$G,Movimentacoes!$C:$C,$A1684,Movimentacoes!$E:$E,$C1684,Movimentacoes!$B:$B,"SAIDA_DESCARTE")</f>
        <v/>
      </c>
      <c r="J1684" s="13">
        <f>G1684-H1684-I1684</f>
        <v/>
      </c>
      <c r="K1684">
        <f>IF(A1684="","",IF(J1684&lt;=IFERROR(VLOOKUP(A1684,Cadastro_Produtos!$A:$E,5,FALSE),0),"ABAIXO DO MINIMO","OK"))</f>
        <v/>
      </c>
    </row>
    <row r="1685">
      <c r="B1685">
        <f>IFERROR(VLOOKUP(A1685,Cadastro_Produtos!A:B,2,FALSE),"")</f>
        <v/>
      </c>
      <c r="D1685" s="12" t="n"/>
      <c r="E1685" s="13">
        <f>IF(D1685="","",D1685-TODAY())</f>
        <v/>
      </c>
      <c r="F1685">
        <f>IF(D1685="","",IF(E1685&lt;0,"VENCIDO",IF(E1685&lt;=30,"VENCE EM &lt;= 30 DIAS",IF(E1685&lt;=60,"ATENCAO (31-60 DIAS)","OK"))))</f>
        <v/>
      </c>
      <c r="G1685" s="13">
        <f>SUMIFS(Movimentacoes!$G:$G,Movimentacoes!$C:$C,$A1685,Movimentacoes!$E:$E,$C1685,Movimentacoes!$B:$B,"ENTRADA")</f>
        <v/>
      </c>
      <c r="H1685" s="13">
        <f>SUMIFS(Movimentacoes!$G:$G,Movimentacoes!$C:$C,$A1685,Movimentacoes!$E:$E,$C1685,Movimentacoes!$B:$B,"SAIDA_USO")</f>
        <v/>
      </c>
      <c r="I1685" s="13">
        <f>SUMIFS(Movimentacoes!$G:$G,Movimentacoes!$C:$C,$A1685,Movimentacoes!$E:$E,$C1685,Movimentacoes!$B:$B,"SAIDA_DESCARTE")</f>
        <v/>
      </c>
      <c r="J1685" s="13">
        <f>G1685-H1685-I1685</f>
        <v/>
      </c>
      <c r="K1685">
        <f>IF(A1685="","",IF(J1685&lt;=IFERROR(VLOOKUP(A1685,Cadastro_Produtos!$A:$E,5,FALSE),0),"ABAIXO DO MINIMO","OK"))</f>
        <v/>
      </c>
    </row>
    <row r="1686">
      <c r="B1686">
        <f>IFERROR(VLOOKUP(A1686,Cadastro_Produtos!A:B,2,FALSE),"")</f>
        <v/>
      </c>
      <c r="D1686" s="12" t="n"/>
      <c r="E1686" s="13">
        <f>IF(D1686="","",D1686-TODAY())</f>
        <v/>
      </c>
      <c r="F1686">
        <f>IF(D1686="","",IF(E1686&lt;0,"VENCIDO",IF(E1686&lt;=30,"VENCE EM &lt;= 30 DIAS",IF(E1686&lt;=60,"ATENCAO (31-60 DIAS)","OK"))))</f>
        <v/>
      </c>
      <c r="G1686" s="13">
        <f>SUMIFS(Movimentacoes!$G:$G,Movimentacoes!$C:$C,$A1686,Movimentacoes!$E:$E,$C1686,Movimentacoes!$B:$B,"ENTRADA")</f>
        <v/>
      </c>
      <c r="H1686" s="13">
        <f>SUMIFS(Movimentacoes!$G:$G,Movimentacoes!$C:$C,$A1686,Movimentacoes!$E:$E,$C1686,Movimentacoes!$B:$B,"SAIDA_USO")</f>
        <v/>
      </c>
      <c r="I1686" s="13">
        <f>SUMIFS(Movimentacoes!$G:$G,Movimentacoes!$C:$C,$A1686,Movimentacoes!$E:$E,$C1686,Movimentacoes!$B:$B,"SAIDA_DESCARTE")</f>
        <v/>
      </c>
      <c r="J1686" s="13">
        <f>G1686-H1686-I1686</f>
        <v/>
      </c>
      <c r="K1686">
        <f>IF(A1686="","",IF(J1686&lt;=IFERROR(VLOOKUP(A1686,Cadastro_Produtos!$A:$E,5,FALSE),0),"ABAIXO DO MINIMO","OK"))</f>
        <v/>
      </c>
    </row>
    <row r="1687">
      <c r="B1687">
        <f>IFERROR(VLOOKUP(A1687,Cadastro_Produtos!A:B,2,FALSE),"")</f>
        <v/>
      </c>
      <c r="D1687" s="12" t="n"/>
      <c r="E1687" s="13">
        <f>IF(D1687="","",D1687-TODAY())</f>
        <v/>
      </c>
      <c r="F1687">
        <f>IF(D1687="","",IF(E1687&lt;0,"VENCIDO",IF(E1687&lt;=30,"VENCE EM &lt;= 30 DIAS",IF(E1687&lt;=60,"ATENCAO (31-60 DIAS)","OK"))))</f>
        <v/>
      </c>
      <c r="G1687" s="13">
        <f>SUMIFS(Movimentacoes!$G:$G,Movimentacoes!$C:$C,$A1687,Movimentacoes!$E:$E,$C1687,Movimentacoes!$B:$B,"ENTRADA")</f>
        <v/>
      </c>
      <c r="H1687" s="13">
        <f>SUMIFS(Movimentacoes!$G:$G,Movimentacoes!$C:$C,$A1687,Movimentacoes!$E:$E,$C1687,Movimentacoes!$B:$B,"SAIDA_USO")</f>
        <v/>
      </c>
      <c r="I1687" s="13">
        <f>SUMIFS(Movimentacoes!$G:$G,Movimentacoes!$C:$C,$A1687,Movimentacoes!$E:$E,$C1687,Movimentacoes!$B:$B,"SAIDA_DESCARTE")</f>
        <v/>
      </c>
      <c r="J1687" s="13">
        <f>G1687-H1687-I1687</f>
        <v/>
      </c>
      <c r="K1687">
        <f>IF(A1687="","",IF(J1687&lt;=IFERROR(VLOOKUP(A1687,Cadastro_Produtos!$A:$E,5,FALSE),0),"ABAIXO DO MINIMO","OK"))</f>
        <v/>
      </c>
    </row>
    <row r="1688">
      <c r="B1688">
        <f>IFERROR(VLOOKUP(A1688,Cadastro_Produtos!A:B,2,FALSE),"")</f>
        <v/>
      </c>
      <c r="D1688" s="12" t="n"/>
      <c r="E1688" s="13">
        <f>IF(D1688="","",D1688-TODAY())</f>
        <v/>
      </c>
      <c r="F1688">
        <f>IF(D1688="","",IF(E1688&lt;0,"VENCIDO",IF(E1688&lt;=30,"VENCE EM &lt;= 30 DIAS",IF(E1688&lt;=60,"ATENCAO (31-60 DIAS)","OK"))))</f>
        <v/>
      </c>
      <c r="G1688" s="13">
        <f>SUMIFS(Movimentacoes!$G:$G,Movimentacoes!$C:$C,$A1688,Movimentacoes!$E:$E,$C1688,Movimentacoes!$B:$B,"ENTRADA")</f>
        <v/>
      </c>
      <c r="H1688" s="13">
        <f>SUMIFS(Movimentacoes!$G:$G,Movimentacoes!$C:$C,$A1688,Movimentacoes!$E:$E,$C1688,Movimentacoes!$B:$B,"SAIDA_USO")</f>
        <v/>
      </c>
      <c r="I1688" s="13">
        <f>SUMIFS(Movimentacoes!$G:$G,Movimentacoes!$C:$C,$A1688,Movimentacoes!$E:$E,$C1688,Movimentacoes!$B:$B,"SAIDA_DESCARTE")</f>
        <v/>
      </c>
      <c r="J1688" s="13">
        <f>G1688-H1688-I1688</f>
        <v/>
      </c>
      <c r="K1688">
        <f>IF(A1688="","",IF(J1688&lt;=IFERROR(VLOOKUP(A1688,Cadastro_Produtos!$A:$E,5,FALSE),0),"ABAIXO DO MINIMO","OK"))</f>
        <v/>
      </c>
    </row>
    <row r="1689">
      <c r="B1689">
        <f>IFERROR(VLOOKUP(A1689,Cadastro_Produtos!A:B,2,FALSE),"")</f>
        <v/>
      </c>
      <c r="D1689" s="12" t="n"/>
      <c r="E1689" s="13">
        <f>IF(D1689="","",D1689-TODAY())</f>
        <v/>
      </c>
      <c r="F1689">
        <f>IF(D1689="","",IF(E1689&lt;0,"VENCIDO",IF(E1689&lt;=30,"VENCE EM &lt;= 30 DIAS",IF(E1689&lt;=60,"ATENCAO (31-60 DIAS)","OK"))))</f>
        <v/>
      </c>
      <c r="G1689" s="13">
        <f>SUMIFS(Movimentacoes!$G:$G,Movimentacoes!$C:$C,$A1689,Movimentacoes!$E:$E,$C1689,Movimentacoes!$B:$B,"ENTRADA")</f>
        <v/>
      </c>
      <c r="H1689" s="13">
        <f>SUMIFS(Movimentacoes!$G:$G,Movimentacoes!$C:$C,$A1689,Movimentacoes!$E:$E,$C1689,Movimentacoes!$B:$B,"SAIDA_USO")</f>
        <v/>
      </c>
      <c r="I1689" s="13">
        <f>SUMIFS(Movimentacoes!$G:$G,Movimentacoes!$C:$C,$A1689,Movimentacoes!$E:$E,$C1689,Movimentacoes!$B:$B,"SAIDA_DESCARTE")</f>
        <v/>
      </c>
      <c r="J1689" s="13">
        <f>G1689-H1689-I1689</f>
        <v/>
      </c>
      <c r="K1689">
        <f>IF(A1689="","",IF(J1689&lt;=IFERROR(VLOOKUP(A1689,Cadastro_Produtos!$A:$E,5,FALSE),0),"ABAIXO DO MINIMO","OK"))</f>
        <v/>
      </c>
    </row>
    <row r="1690">
      <c r="B1690">
        <f>IFERROR(VLOOKUP(A1690,Cadastro_Produtos!A:B,2,FALSE),"")</f>
        <v/>
      </c>
      <c r="D1690" s="12" t="n"/>
      <c r="E1690" s="13">
        <f>IF(D1690="","",D1690-TODAY())</f>
        <v/>
      </c>
      <c r="F1690">
        <f>IF(D1690="","",IF(E1690&lt;0,"VENCIDO",IF(E1690&lt;=30,"VENCE EM &lt;= 30 DIAS",IF(E1690&lt;=60,"ATENCAO (31-60 DIAS)","OK"))))</f>
        <v/>
      </c>
      <c r="G1690" s="13">
        <f>SUMIFS(Movimentacoes!$G:$G,Movimentacoes!$C:$C,$A1690,Movimentacoes!$E:$E,$C1690,Movimentacoes!$B:$B,"ENTRADA")</f>
        <v/>
      </c>
      <c r="H1690" s="13">
        <f>SUMIFS(Movimentacoes!$G:$G,Movimentacoes!$C:$C,$A1690,Movimentacoes!$E:$E,$C1690,Movimentacoes!$B:$B,"SAIDA_USO")</f>
        <v/>
      </c>
      <c r="I1690" s="13">
        <f>SUMIFS(Movimentacoes!$G:$G,Movimentacoes!$C:$C,$A1690,Movimentacoes!$E:$E,$C1690,Movimentacoes!$B:$B,"SAIDA_DESCARTE")</f>
        <v/>
      </c>
      <c r="J1690" s="13">
        <f>G1690-H1690-I1690</f>
        <v/>
      </c>
      <c r="K1690">
        <f>IF(A1690="","",IF(J1690&lt;=IFERROR(VLOOKUP(A1690,Cadastro_Produtos!$A:$E,5,FALSE),0),"ABAIXO DO MINIMO","OK"))</f>
        <v/>
      </c>
    </row>
    <row r="1691">
      <c r="B1691">
        <f>IFERROR(VLOOKUP(A1691,Cadastro_Produtos!A:B,2,FALSE),"")</f>
        <v/>
      </c>
      <c r="D1691" s="12" t="n"/>
      <c r="E1691" s="13">
        <f>IF(D1691="","",D1691-TODAY())</f>
        <v/>
      </c>
      <c r="F1691">
        <f>IF(D1691="","",IF(E1691&lt;0,"VENCIDO",IF(E1691&lt;=30,"VENCE EM &lt;= 30 DIAS",IF(E1691&lt;=60,"ATENCAO (31-60 DIAS)","OK"))))</f>
        <v/>
      </c>
      <c r="G1691" s="13">
        <f>SUMIFS(Movimentacoes!$G:$G,Movimentacoes!$C:$C,$A1691,Movimentacoes!$E:$E,$C1691,Movimentacoes!$B:$B,"ENTRADA")</f>
        <v/>
      </c>
      <c r="H1691" s="13">
        <f>SUMIFS(Movimentacoes!$G:$G,Movimentacoes!$C:$C,$A1691,Movimentacoes!$E:$E,$C1691,Movimentacoes!$B:$B,"SAIDA_USO")</f>
        <v/>
      </c>
      <c r="I1691" s="13">
        <f>SUMIFS(Movimentacoes!$G:$G,Movimentacoes!$C:$C,$A1691,Movimentacoes!$E:$E,$C1691,Movimentacoes!$B:$B,"SAIDA_DESCARTE")</f>
        <v/>
      </c>
      <c r="J1691" s="13">
        <f>G1691-H1691-I1691</f>
        <v/>
      </c>
      <c r="K1691">
        <f>IF(A1691="","",IF(J1691&lt;=IFERROR(VLOOKUP(A1691,Cadastro_Produtos!$A:$E,5,FALSE),0),"ABAIXO DO MINIMO","OK"))</f>
        <v/>
      </c>
    </row>
    <row r="1692">
      <c r="B1692">
        <f>IFERROR(VLOOKUP(A1692,Cadastro_Produtos!A:B,2,FALSE),"")</f>
        <v/>
      </c>
      <c r="D1692" s="12" t="n"/>
      <c r="E1692" s="13">
        <f>IF(D1692="","",D1692-TODAY())</f>
        <v/>
      </c>
      <c r="F1692">
        <f>IF(D1692="","",IF(E1692&lt;0,"VENCIDO",IF(E1692&lt;=30,"VENCE EM &lt;= 30 DIAS",IF(E1692&lt;=60,"ATENCAO (31-60 DIAS)","OK"))))</f>
        <v/>
      </c>
      <c r="G1692" s="13">
        <f>SUMIFS(Movimentacoes!$G:$G,Movimentacoes!$C:$C,$A1692,Movimentacoes!$E:$E,$C1692,Movimentacoes!$B:$B,"ENTRADA")</f>
        <v/>
      </c>
      <c r="H1692" s="13">
        <f>SUMIFS(Movimentacoes!$G:$G,Movimentacoes!$C:$C,$A1692,Movimentacoes!$E:$E,$C1692,Movimentacoes!$B:$B,"SAIDA_USO")</f>
        <v/>
      </c>
      <c r="I1692" s="13">
        <f>SUMIFS(Movimentacoes!$G:$G,Movimentacoes!$C:$C,$A1692,Movimentacoes!$E:$E,$C1692,Movimentacoes!$B:$B,"SAIDA_DESCARTE")</f>
        <v/>
      </c>
      <c r="J1692" s="13">
        <f>G1692-H1692-I1692</f>
        <v/>
      </c>
      <c r="K1692">
        <f>IF(A1692="","",IF(J1692&lt;=IFERROR(VLOOKUP(A1692,Cadastro_Produtos!$A:$E,5,FALSE),0),"ABAIXO DO MINIMO","OK"))</f>
        <v/>
      </c>
    </row>
    <row r="1693">
      <c r="B1693">
        <f>IFERROR(VLOOKUP(A1693,Cadastro_Produtos!A:B,2,FALSE),"")</f>
        <v/>
      </c>
      <c r="D1693" s="12" t="n"/>
      <c r="E1693" s="13">
        <f>IF(D1693="","",D1693-TODAY())</f>
        <v/>
      </c>
      <c r="F1693">
        <f>IF(D1693="","",IF(E1693&lt;0,"VENCIDO",IF(E1693&lt;=30,"VENCE EM &lt;= 30 DIAS",IF(E1693&lt;=60,"ATENCAO (31-60 DIAS)","OK"))))</f>
        <v/>
      </c>
      <c r="G1693" s="13">
        <f>SUMIFS(Movimentacoes!$G:$G,Movimentacoes!$C:$C,$A1693,Movimentacoes!$E:$E,$C1693,Movimentacoes!$B:$B,"ENTRADA")</f>
        <v/>
      </c>
      <c r="H1693" s="13">
        <f>SUMIFS(Movimentacoes!$G:$G,Movimentacoes!$C:$C,$A1693,Movimentacoes!$E:$E,$C1693,Movimentacoes!$B:$B,"SAIDA_USO")</f>
        <v/>
      </c>
      <c r="I1693" s="13">
        <f>SUMIFS(Movimentacoes!$G:$G,Movimentacoes!$C:$C,$A1693,Movimentacoes!$E:$E,$C1693,Movimentacoes!$B:$B,"SAIDA_DESCARTE")</f>
        <v/>
      </c>
      <c r="J1693" s="13">
        <f>G1693-H1693-I1693</f>
        <v/>
      </c>
      <c r="K1693">
        <f>IF(A1693="","",IF(J1693&lt;=IFERROR(VLOOKUP(A1693,Cadastro_Produtos!$A:$E,5,FALSE),0),"ABAIXO DO MINIMO","OK"))</f>
        <v/>
      </c>
    </row>
    <row r="1694">
      <c r="B1694">
        <f>IFERROR(VLOOKUP(A1694,Cadastro_Produtos!A:B,2,FALSE),"")</f>
        <v/>
      </c>
      <c r="D1694" s="12" t="n"/>
      <c r="E1694" s="13">
        <f>IF(D1694="","",D1694-TODAY())</f>
        <v/>
      </c>
      <c r="F1694">
        <f>IF(D1694="","",IF(E1694&lt;0,"VENCIDO",IF(E1694&lt;=30,"VENCE EM &lt;= 30 DIAS",IF(E1694&lt;=60,"ATENCAO (31-60 DIAS)","OK"))))</f>
        <v/>
      </c>
      <c r="G1694" s="13">
        <f>SUMIFS(Movimentacoes!$G:$G,Movimentacoes!$C:$C,$A1694,Movimentacoes!$E:$E,$C1694,Movimentacoes!$B:$B,"ENTRADA")</f>
        <v/>
      </c>
      <c r="H1694" s="13">
        <f>SUMIFS(Movimentacoes!$G:$G,Movimentacoes!$C:$C,$A1694,Movimentacoes!$E:$E,$C1694,Movimentacoes!$B:$B,"SAIDA_USO")</f>
        <v/>
      </c>
      <c r="I1694" s="13">
        <f>SUMIFS(Movimentacoes!$G:$G,Movimentacoes!$C:$C,$A1694,Movimentacoes!$E:$E,$C1694,Movimentacoes!$B:$B,"SAIDA_DESCARTE")</f>
        <v/>
      </c>
      <c r="J1694" s="13">
        <f>G1694-H1694-I1694</f>
        <v/>
      </c>
      <c r="K1694">
        <f>IF(A1694="","",IF(J1694&lt;=IFERROR(VLOOKUP(A1694,Cadastro_Produtos!$A:$E,5,FALSE),0),"ABAIXO DO MINIMO","OK"))</f>
        <v/>
      </c>
    </row>
    <row r="1695">
      <c r="B1695">
        <f>IFERROR(VLOOKUP(A1695,Cadastro_Produtos!A:B,2,FALSE),"")</f>
        <v/>
      </c>
      <c r="D1695" s="12" t="n"/>
      <c r="E1695" s="13">
        <f>IF(D1695="","",D1695-TODAY())</f>
        <v/>
      </c>
      <c r="F1695">
        <f>IF(D1695="","",IF(E1695&lt;0,"VENCIDO",IF(E1695&lt;=30,"VENCE EM &lt;= 30 DIAS",IF(E1695&lt;=60,"ATENCAO (31-60 DIAS)","OK"))))</f>
        <v/>
      </c>
      <c r="G1695" s="13">
        <f>SUMIFS(Movimentacoes!$G:$G,Movimentacoes!$C:$C,$A1695,Movimentacoes!$E:$E,$C1695,Movimentacoes!$B:$B,"ENTRADA")</f>
        <v/>
      </c>
      <c r="H1695" s="13">
        <f>SUMIFS(Movimentacoes!$G:$G,Movimentacoes!$C:$C,$A1695,Movimentacoes!$E:$E,$C1695,Movimentacoes!$B:$B,"SAIDA_USO")</f>
        <v/>
      </c>
      <c r="I1695" s="13">
        <f>SUMIFS(Movimentacoes!$G:$G,Movimentacoes!$C:$C,$A1695,Movimentacoes!$E:$E,$C1695,Movimentacoes!$B:$B,"SAIDA_DESCARTE")</f>
        <v/>
      </c>
      <c r="J1695" s="13">
        <f>G1695-H1695-I1695</f>
        <v/>
      </c>
      <c r="K1695">
        <f>IF(A1695="","",IF(J1695&lt;=IFERROR(VLOOKUP(A1695,Cadastro_Produtos!$A:$E,5,FALSE),0),"ABAIXO DO MINIMO","OK"))</f>
        <v/>
      </c>
    </row>
    <row r="1696">
      <c r="B1696">
        <f>IFERROR(VLOOKUP(A1696,Cadastro_Produtos!A:B,2,FALSE),"")</f>
        <v/>
      </c>
      <c r="D1696" s="12" t="n"/>
      <c r="E1696" s="13">
        <f>IF(D1696="","",D1696-TODAY())</f>
        <v/>
      </c>
      <c r="F1696">
        <f>IF(D1696="","",IF(E1696&lt;0,"VENCIDO",IF(E1696&lt;=30,"VENCE EM &lt;= 30 DIAS",IF(E1696&lt;=60,"ATENCAO (31-60 DIAS)","OK"))))</f>
        <v/>
      </c>
      <c r="G1696" s="13">
        <f>SUMIFS(Movimentacoes!$G:$G,Movimentacoes!$C:$C,$A1696,Movimentacoes!$E:$E,$C1696,Movimentacoes!$B:$B,"ENTRADA")</f>
        <v/>
      </c>
      <c r="H1696" s="13">
        <f>SUMIFS(Movimentacoes!$G:$G,Movimentacoes!$C:$C,$A1696,Movimentacoes!$E:$E,$C1696,Movimentacoes!$B:$B,"SAIDA_USO")</f>
        <v/>
      </c>
      <c r="I1696" s="13">
        <f>SUMIFS(Movimentacoes!$G:$G,Movimentacoes!$C:$C,$A1696,Movimentacoes!$E:$E,$C1696,Movimentacoes!$B:$B,"SAIDA_DESCARTE")</f>
        <v/>
      </c>
      <c r="J1696" s="13">
        <f>G1696-H1696-I1696</f>
        <v/>
      </c>
      <c r="K1696">
        <f>IF(A1696="","",IF(J1696&lt;=IFERROR(VLOOKUP(A1696,Cadastro_Produtos!$A:$E,5,FALSE),0),"ABAIXO DO MINIMO","OK"))</f>
        <v/>
      </c>
    </row>
    <row r="1697">
      <c r="B1697">
        <f>IFERROR(VLOOKUP(A1697,Cadastro_Produtos!A:B,2,FALSE),"")</f>
        <v/>
      </c>
      <c r="D1697" s="12" t="n"/>
      <c r="E1697" s="13">
        <f>IF(D1697="","",D1697-TODAY())</f>
        <v/>
      </c>
      <c r="F1697">
        <f>IF(D1697="","",IF(E1697&lt;0,"VENCIDO",IF(E1697&lt;=30,"VENCE EM &lt;= 30 DIAS",IF(E1697&lt;=60,"ATENCAO (31-60 DIAS)","OK"))))</f>
        <v/>
      </c>
      <c r="G1697" s="13">
        <f>SUMIFS(Movimentacoes!$G:$G,Movimentacoes!$C:$C,$A1697,Movimentacoes!$E:$E,$C1697,Movimentacoes!$B:$B,"ENTRADA")</f>
        <v/>
      </c>
      <c r="H1697" s="13">
        <f>SUMIFS(Movimentacoes!$G:$G,Movimentacoes!$C:$C,$A1697,Movimentacoes!$E:$E,$C1697,Movimentacoes!$B:$B,"SAIDA_USO")</f>
        <v/>
      </c>
      <c r="I1697" s="13">
        <f>SUMIFS(Movimentacoes!$G:$G,Movimentacoes!$C:$C,$A1697,Movimentacoes!$E:$E,$C1697,Movimentacoes!$B:$B,"SAIDA_DESCARTE")</f>
        <v/>
      </c>
      <c r="J1697" s="13">
        <f>G1697-H1697-I1697</f>
        <v/>
      </c>
      <c r="K1697">
        <f>IF(A1697="","",IF(J1697&lt;=IFERROR(VLOOKUP(A1697,Cadastro_Produtos!$A:$E,5,FALSE),0),"ABAIXO DO MINIMO","OK"))</f>
        <v/>
      </c>
    </row>
    <row r="1698">
      <c r="B1698">
        <f>IFERROR(VLOOKUP(A1698,Cadastro_Produtos!A:B,2,FALSE),"")</f>
        <v/>
      </c>
      <c r="D1698" s="12" t="n"/>
      <c r="E1698" s="13">
        <f>IF(D1698="","",D1698-TODAY())</f>
        <v/>
      </c>
      <c r="F1698">
        <f>IF(D1698="","",IF(E1698&lt;0,"VENCIDO",IF(E1698&lt;=30,"VENCE EM &lt;= 30 DIAS",IF(E1698&lt;=60,"ATENCAO (31-60 DIAS)","OK"))))</f>
        <v/>
      </c>
      <c r="G1698" s="13">
        <f>SUMIFS(Movimentacoes!$G:$G,Movimentacoes!$C:$C,$A1698,Movimentacoes!$E:$E,$C1698,Movimentacoes!$B:$B,"ENTRADA")</f>
        <v/>
      </c>
      <c r="H1698" s="13">
        <f>SUMIFS(Movimentacoes!$G:$G,Movimentacoes!$C:$C,$A1698,Movimentacoes!$E:$E,$C1698,Movimentacoes!$B:$B,"SAIDA_USO")</f>
        <v/>
      </c>
      <c r="I1698" s="13">
        <f>SUMIFS(Movimentacoes!$G:$G,Movimentacoes!$C:$C,$A1698,Movimentacoes!$E:$E,$C1698,Movimentacoes!$B:$B,"SAIDA_DESCARTE")</f>
        <v/>
      </c>
      <c r="J1698" s="13">
        <f>G1698-H1698-I1698</f>
        <v/>
      </c>
      <c r="K1698">
        <f>IF(A1698="","",IF(J1698&lt;=IFERROR(VLOOKUP(A1698,Cadastro_Produtos!$A:$E,5,FALSE),0),"ABAIXO DO MINIMO","OK"))</f>
        <v/>
      </c>
    </row>
    <row r="1699">
      <c r="B1699">
        <f>IFERROR(VLOOKUP(A1699,Cadastro_Produtos!A:B,2,FALSE),"")</f>
        <v/>
      </c>
      <c r="D1699" s="12" t="n"/>
      <c r="E1699" s="13">
        <f>IF(D1699="","",D1699-TODAY())</f>
        <v/>
      </c>
      <c r="F1699">
        <f>IF(D1699="","",IF(E1699&lt;0,"VENCIDO",IF(E1699&lt;=30,"VENCE EM &lt;= 30 DIAS",IF(E1699&lt;=60,"ATENCAO (31-60 DIAS)","OK"))))</f>
        <v/>
      </c>
      <c r="G1699" s="13">
        <f>SUMIFS(Movimentacoes!$G:$G,Movimentacoes!$C:$C,$A1699,Movimentacoes!$E:$E,$C1699,Movimentacoes!$B:$B,"ENTRADA")</f>
        <v/>
      </c>
      <c r="H1699" s="13">
        <f>SUMIFS(Movimentacoes!$G:$G,Movimentacoes!$C:$C,$A1699,Movimentacoes!$E:$E,$C1699,Movimentacoes!$B:$B,"SAIDA_USO")</f>
        <v/>
      </c>
      <c r="I1699" s="13">
        <f>SUMIFS(Movimentacoes!$G:$G,Movimentacoes!$C:$C,$A1699,Movimentacoes!$E:$E,$C1699,Movimentacoes!$B:$B,"SAIDA_DESCARTE")</f>
        <v/>
      </c>
      <c r="J1699" s="13">
        <f>G1699-H1699-I1699</f>
        <v/>
      </c>
      <c r="K1699">
        <f>IF(A1699="","",IF(J1699&lt;=IFERROR(VLOOKUP(A1699,Cadastro_Produtos!$A:$E,5,FALSE),0),"ABAIXO DO MINIMO","OK"))</f>
        <v/>
      </c>
    </row>
    <row r="1700">
      <c r="B1700">
        <f>IFERROR(VLOOKUP(A1700,Cadastro_Produtos!A:B,2,FALSE),"")</f>
        <v/>
      </c>
      <c r="D1700" s="12" t="n"/>
      <c r="E1700" s="13">
        <f>IF(D1700="","",D1700-TODAY())</f>
        <v/>
      </c>
      <c r="F1700">
        <f>IF(D1700="","",IF(E1700&lt;0,"VENCIDO",IF(E1700&lt;=30,"VENCE EM &lt;= 30 DIAS",IF(E1700&lt;=60,"ATENCAO (31-60 DIAS)","OK"))))</f>
        <v/>
      </c>
      <c r="G1700" s="13">
        <f>SUMIFS(Movimentacoes!$G:$G,Movimentacoes!$C:$C,$A1700,Movimentacoes!$E:$E,$C1700,Movimentacoes!$B:$B,"ENTRADA")</f>
        <v/>
      </c>
      <c r="H1700" s="13">
        <f>SUMIFS(Movimentacoes!$G:$G,Movimentacoes!$C:$C,$A1700,Movimentacoes!$E:$E,$C1700,Movimentacoes!$B:$B,"SAIDA_USO")</f>
        <v/>
      </c>
      <c r="I1700" s="13">
        <f>SUMIFS(Movimentacoes!$G:$G,Movimentacoes!$C:$C,$A1700,Movimentacoes!$E:$E,$C1700,Movimentacoes!$B:$B,"SAIDA_DESCARTE")</f>
        <v/>
      </c>
      <c r="J1700" s="13">
        <f>G1700-H1700-I1700</f>
        <v/>
      </c>
      <c r="K1700">
        <f>IF(A1700="","",IF(J1700&lt;=IFERROR(VLOOKUP(A1700,Cadastro_Produtos!$A:$E,5,FALSE),0),"ABAIXO DO MINIMO","OK"))</f>
        <v/>
      </c>
    </row>
    <row r="1701">
      <c r="B1701">
        <f>IFERROR(VLOOKUP(A1701,Cadastro_Produtos!A:B,2,FALSE),"")</f>
        <v/>
      </c>
      <c r="D1701" s="12" t="n"/>
      <c r="E1701" s="13">
        <f>IF(D1701="","",D1701-TODAY())</f>
        <v/>
      </c>
      <c r="F1701">
        <f>IF(D1701="","",IF(E1701&lt;0,"VENCIDO",IF(E1701&lt;=30,"VENCE EM &lt;= 30 DIAS",IF(E1701&lt;=60,"ATENCAO (31-60 DIAS)","OK"))))</f>
        <v/>
      </c>
      <c r="G1701" s="13">
        <f>SUMIFS(Movimentacoes!$G:$G,Movimentacoes!$C:$C,$A1701,Movimentacoes!$E:$E,$C1701,Movimentacoes!$B:$B,"ENTRADA")</f>
        <v/>
      </c>
      <c r="H1701" s="13">
        <f>SUMIFS(Movimentacoes!$G:$G,Movimentacoes!$C:$C,$A1701,Movimentacoes!$E:$E,$C1701,Movimentacoes!$B:$B,"SAIDA_USO")</f>
        <v/>
      </c>
      <c r="I1701" s="13">
        <f>SUMIFS(Movimentacoes!$G:$G,Movimentacoes!$C:$C,$A1701,Movimentacoes!$E:$E,$C1701,Movimentacoes!$B:$B,"SAIDA_DESCARTE")</f>
        <v/>
      </c>
      <c r="J1701" s="13">
        <f>G1701-H1701-I1701</f>
        <v/>
      </c>
      <c r="K1701">
        <f>IF(A1701="","",IF(J1701&lt;=IFERROR(VLOOKUP(A1701,Cadastro_Produtos!$A:$E,5,FALSE),0),"ABAIXO DO MINIMO","OK"))</f>
        <v/>
      </c>
    </row>
    <row r="1702">
      <c r="B1702">
        <f>IFERROR(VLOOKUP(A1702,Cadastro_Produtos!A:B,2,FALSE),"")</f>
        <v/>
      </c>
      <c r="D1702" s="12" t="n"/>
      <c r="E1702" s="13">
        <f>IF(D1702="","",D1702-TODAY())</f>
        <v/>
      </c>
      <c r="F1702">
        <f>IF(D1702="","",IF(E1702&lt;0,"VENCIDO",IF(E1702&lt;=30,"VENCE EM &lt;= 30 DIAS",IF(E1702&lt;=60,"ATENCAO (31-60 DIAS)","OK"))))</f>
        <v/>
      </c>
      <c r="G1702" s="13">
        <f>SUMIFS(Movimentacoes!$G:$G,Movimentacoes!$C:$C,$A1702,Movimentacoes!$E:$E,$C1702,Movimentacoes!$B:$B,"ENTRADA")</f>
        <v/>
      </c>
      <c r="H1702" s="13">
        <f>SUMIFS(Movimentacoes!$G:$G,Movimentacoes!$C:$C,$A1702,Movimentacoes!$E:$E,$C1702,Movimentacoes!$B:$B,"SAIDA_USO")</f>
        <v/>
      </c>
      <c r="I1702" s="13">
        <f>SUMIFS(Movimentacoes!$G:$G,Movimentacoes!$C:$C,$A1702,Movimentacoes!$E:$E,$C1702,Movimentacoes!$B:$B,"SAIDA_DESCARTE")</f>
        <v/>
      </c>
      <c r="J1702" s="13">
        <f>G1702-H1702-I1702</f>
        <v/>
      </c>
      <c r="K1702">
        <f>IF(A1702="","",IF(J1702&lt;=IFERROR(VLOOKUP(A1702,Cadastro_Produtos!$A:$E,5,FALSE),0),"ABAIXO DO MINIMO","OK"))</f>
        <v/>
      </c>
    </row>
    <row r="1703">
      <c r="B1703">
        <f>IFERROR(VLOOKUP(A1703,Cadastro_Produtos!A:B,2,FALSE),"")</f>
        <v/>
      </c>
      <c r="D1703" s="12" t="n"/>
      <c r="E1703" s="13">
        <f>IF(D1703="","",D1703-TODAY())</f>
        <v/>
      </c>
      <c r="F1703">
        <f>IF(D1703="","",IF(E1703&lt;0,"VENCIDO",IF(E1703&lt;=30,"VENCE EM &lt;= 30 DIAS",IF(E1703&lt;=60,"ATENCAO (31-60 DIAS)","OK"))))</f>
        <v/>
      </c>
      <c r="G1703" s="13">
        <f>SUMIFS(Movimentacoes!$G:$G,Movimentacoes!$C:$C,$A1703,Movimentacoes!$E:$E,$C1703,Movimentacoes!$B:$B,"ENTRADA")</f>
        <v/>
      </c>
      <c r="H1703" s="13">
        <f>SUMIFS(Movimentacoes!$G:$G,Movimentacoes!$C:$C,$A1703,Movimentacoes!$E:$E,$C1703,Movimentacoes!$B:$B,"SAIDA_USO")</f>
        <v/>
      </c>
      <c r="I1703" s="13">
        <f>SUMIFS(Movimentacoes!$G:$G,Movimentacoes!$C:$C,$A1703,Movimentacoes!$E:$E,$C1703,Movimentacoes!$B:$B,"SAIDA_DESCARTE")</f>
        <v/>
      </c>
      <c r="J1703" s="13">
        <f>G1703-H1703-I1703</f>
        <v/>
      </c>
      <c r="K1703">
        <f>IF(A1703="","",IF(J1703&lt;=IFERROR(VLOOKUP(A1703,Cadastro_Produtos!$A:$E,5,FALSE),0),"ABAIXO DO MINIMO","OK"))</f>
        <v/>
      </c>
    </row>
    <row r="1704">
      <c r="B1704">
        <f>IFERROR(VLOOKUP(A1704,Cadastro_Produtos!A:B,2,FALSE),"")</f>
        <v/>
      </c>
      <c r="D1704" s="12" t="n"/>
      <c r="E1704" s="13">
        <f>IF(D1704="","",D1704-TODAY())</f>
        <v/>
      </c>
      <c r="F1704">
        <f>IF(D1704="","",IF(E1704&lt;0,"VENCIDO",IF(E1704&lt;=30,"VENCE EM &lt;= 30 DIAS",IF(E1704&lt;=60,"ATENCAO (31-60 DIAS)","OK"))))</f>
        <v/>
      </c>
      <c r="G1704" s="13">
        <f>SUMIFS(Movimentacoes!$G:$G,Movimentacoes!$C:$C,$A1704,Movimentacoes!$E:$E,$C1704,Movimentacoes!$B:$B,"ENTRADA")</f>
        <v/>
      </c>
      <c r="H1704" s="13">
        <f>SUMIFS(Movimentacoes!$G:$G,Movimentacoes!$C:$C,$A1704,Movimentacoes!$E:$E,$C1704,Movimentacoes!$B:$B,"SAIDA_USO")</f>
        <v/>
      </c>
      <c r="I1704" s="13">
        <f>SUMIFS(Movimentacoes!$G:$G,Movimentacoes!$C:$C,$A1704,Movimentacoes!$E:$E,$C1704,Movimentacoes!$B:$B,"SAIDA_DESCARTE")</f>
        <v/>
      </c>
      <c r="J1704" s="13">
        <f>G1704-H1704-I1704</f>
        <v/>
      </c>
      <c r="K1704">
        <f>IF(A1704="","",IF(J1704&lt;=IFERROR(VLOOKUP(A1704,Cadastro_Produtos!$A:$E,5,FALSE),0),"ABAIXO DO MINIMO","OK"))</f>
        <v/>
      </c>
    </row>
    <row r="1705">
      <c r="B1705">
        <f>IFERROR(VLOOKUP(A1705,Cadastro_Produtos!A:B,2,FALSE),"")</f>
        <v/>
      </c>
      <c r="D1705" s="12" t="n"/>
      <c r="E1705" s="13">
        <f>IF(D1705="","",D1705-TODAY())</f>
        <v/>
      </c>
      <c r="F1705">
        <f>IF(D1705="","",IF(E1705&lt;0,"VENCIDO",IF(E1705&lt;=30,"VENCE EM &lt;= 30 DIAS",IF(E1705&lt;=60,"ATENCAO (31-60 DIAS)","OK"))))</f>
        <v/>
      </c>
      <c r="G1705" s="13">
        <f>SUMIFS(Movimentacoes!$G:$G,Movimentacoes!$C:$C,$A1705,Movimentacoes!$E:$E,$C1705,Movimentacoes!$B:$B,"ENTRADA")</f>
        <v/>
      </c>
      <c r="H1705" s="13">
        <f>SUMIFS(Movimentacoes!$G:$G,Movimentacoes!$C:$C,$A1705,Movimentacoes!$E:$E,$C1705,Movimentacoes!$B:$B,"SAIDA_USO")</f>
        <v/>
      </c>
      <c r="I1705" s="13">
        <f>SUMIFS(Movimentacoes!$G:$G,Movimentacoes!$C:$C,$A1705,Movimentacoes!$E:$E,$C1705,Movimentacoes!$B:$B,"SAIDA_DESCARTE")</f>
        <v/>
      </c>
      <c r="J1705" s="13">
        <f>G1705-H1705-I1705</f>
        <v/>
      </c>
      <c r="K1705">
        <f>IF(A1705="","",IF(J1705&lt;=IFERROR(VLOOKUP(A1705,Cadastro_Produtos!$A:$E,5,FALSE),0),"ABAIXO DO MINIMO","OK"))</f>
        <v/>
      </c>
    </row>
    <row r="1706">
      <c r="B1706">
        <f>IFERROR(VLOOKUP(A1706,Cadastro_Produtos!A:B,2,FALSE),"")</f>
        <v/>
      </c>
      <c r="D1706" s="12" t="n"/>
      <c r="E1706" s="13">
        <f>IF(D1706="","",D1706-TODAY())</f>
        <v/>
      </c>
      <c r="F1706">
        <f>IF(D1706="","",IF(E1706&lt;0,"VENCIDO",IF(E1706&lt;=30,"VENCE EM &lt;= 30 DIAS",IF(E1706&lt;=60,"ATENCAO (31-60 DIAS)","OK"))))</f>
        <v/>
      </c>
      <c r="G1706" s="13">
        <f>SUMIFS(Movimentacoes!$G:$G,Movimentacoes!$C:$C,$A1706,Movimentacoes!$E:$E,$C1706,Movimentacoes!$B:$B,"ENTRADA")</f>
        <v/>
      </c>
      <c r="H1706" s="13">
        <f>SUMIFS(Movimentacoes!$G:$G,Movimentacoes!$C:$C,$A1706,Movimentacoes!$E:$E,$C1706,Movimentacoes!$B:$B,"SAIDA_USO")</f>
        <v/>
      </c>
      <c r="I1706" s="13">
        <f>SUMIFS(Movimentacoes!$G:$G,Movimentacoes!$C:$C,$A1706,Movimentacoes!$E:$E,$C1706,Movimentacoes!$B:$B,"SAIDA_DESCARTE")</f>
        <v/>
      </c>
      <c r="J1706" s="13">
        <f>G1706-H1706-I1706</f>
        <v/>
      </c>
      <c r="K1706">
        <f>IF(A1706="","",IF(J1706&lt;=IFERROR(VLOOKUP(A1706,Cadastro_Produtos!$A:$E,5,FALSE),0),"ABAIXO DO MINIMO","OK"))</f>
        <v/>
      </c>
    </row>
    <row r="1707">
      <c r="B1707">
        <f>IFERROR(VLOOKUP(A1707,Cadastro_Produtos!A:B,2,FALSE),"")</f>
        <v/>
      </c>
      <c r="D1707" s="12" t="n"/>
      <c r="E1707" s="13">
        <f>IF(D1707="","",D1707-TODAY())</f>
        <v/>
      </c>
      <c r="F1707">
        <f>IF(D1707="","",IF(E1707&lt;0,"VENCIDO",IF(E1707&lt;=30,"VENCE EM &lt;= 30 DIAS",IF(E1707&lt;=60,"ATENCAO (31-60 DIAS)","OK"))))</f>
        <v/>
      </c>
      <c r="G1707" s="13">
        <f>SUMIFS(Movimentacoes!$G:$G,Movimentacoes!$C:$C,$A1707,Movimentacoes!$E:$E,$C1707,Movimentacoes!$B:$B,"ENTRADA")</f>
        <v/>
      </c>
      <c r="H1707" s="13">
        <f>SUMIFS(Movimentacoes!$G:$G,Movimentacoes!$C:$C,$A1707,Movimentacoes!$E:$E,$C1707,Movimentacoes!$B:$B,"SAIDA_USO")</f>
        <v/>
      </c>
      <c r="I1707" s="13">
        <f>SUMIFS(Movimentacoes!$G:$G,Movimentacoes!$C:$C,$A1707,Movimentacoes!$E:$E,$C1707,Movimentacoes!$B:$B,"SAIDA_DESCARTE")</f>
        <v/>
      </c>
      <c r="J1707" s="13">
        <f>G1707-H1707-I1707</f>
        <v/>
      </c>
      <c r="K1707">
        <f>IF(A1707="","",IF(J1707&lt;=IFERROR(VLOOKUP(A1707,Cadastro_Produtos!$A:$E,5,FALSE),0),"ABAIXO DO MINIMO","OK"))</f>
        <v/>
      </c>
    </row>
    <row r="1708">
      <c r="B1708">
        <f>IFERROR(VLOOKUP(A1708,Cadastro_Produtos!A:B,2,FALSE),"")</f>
        <v/>
      </c>
      <c r="D1708" s="12" t="n"/>
      <c r="E1708" s="13">
        <f>IF(D1708="","",D1708-TODAY())</f>
        <v/>
      </c>
      <c r="F1708">
        <f>IF(D1708="","",IF(E1708&lt;0,"VENCIDO",IF(E1708&lt;=30,"VENCE EM &lt;= 30 DIAS",IF(E1708&lt;=60,"ATENCAO (31-60 DIAS)","OK"))))</f>
        <v/>
      </c>
      <c r="G1708" s="13">
        <f>SUMIFS(Movimentacoes!$G:$G,Movimentacoes!$C:$C,$A1708,Movimentacoes!$E:$E,$C1708,Movimentacoes!$B:$B,"ENTRADA")</f>
        <v/>
      </c>
      <c r="H1708" s="13">
        <f>SUMIFS(Movimentacoes!$G:$G,Movimentacoes!$C:$C,$A1708,Movimentacoes!$E:$E,$C1708,Movimentacoes!$B:$B,"SAIDA_USO")</f>
        <v/>
      </c>
      <c r="I1708" s="13">
        <f>SUMIFS(Movimentacoes!$G:$G,Movimentacoes!$C:$C,$A1708,Movimentacoes!$E:$E,$C1708,Movimentacoes!$B:$B,"SAIDA_DESCARTE")</f>
        <v/>
      </c>
      <c r="J1708" s="13">
        <f>G1708-H1708-I1708</f>
        <v/>
      </c>
      <c r="K1708">
        <f>IF(A1708="","",IF(J1708&lt;=IFERROR(VLOOKUP(A1708,Cadastro_Produtos!$A:$E,5,FALSE),0),"ABAIXO DO MINIMO","OK"))</f>
        <v/>
      </c>
    </row>
    <row r="1709">
      <c r="B1709">
        <f>IFERROR(VLOOKUP(A1709,Cadastro_Produtos!A:B,2,FALSE),"")</f>
        <v/>
      </c>
      <c r="D1709" s="12" t="n"/>
      <c r="E1709" s="13">
        <f>IF(D1709="","",D1709-TODAY())</f>
        <v/>
      </c>
      <c r="F1709">
        <f>IF(D1709="","",IF(E1709&lt;0,"VENCIDO",IF(E1709&lt;=30,"VENCE EM &lt;= 30 DIAS",IF(E1709&lt;=60,"ATENCAO (31-60 DIAS)","OK"))))</f>
        <v/>
      </c>
      <c r="G1709" s="13">
        <f>SUMIFS(Movimentacoes!$G:$G,Movimentacoes!$C:$C,$A1709,Movimentacoes!$E:$E,$C1709,Movimentacoes!$B:$B,"ENTRADA")</f>
        <v/>
      </c>
      <c r="H1709" s="13">
        <f>SUMIFS(Movimentacoes!$G:$G,Movimentacoes!$C:$C,$A1709,Movimentacoes!$E:$E,$C1709,Movimentacoes!$B:$B,"SAIDA_USO")</f>
        <v/>
      </c>
      <c r="I1709" s="13">
        <f>SUMIFS(Movimentacoes!$G:$G,Movimentacoes!$C:$C,$A1709,Movimentacoes!$E:$E,$C1709,Movimentacoes!$B:$B,"SAIDA_DESCARTE")</f>
        <v/>
      </c>
      <c r="J1709" s="13">
        <f>G1709-H1709-I1709</f>
        <v/>
      </c>
      <c r="K1709">
        <f>IF(A1709="","",IF(J1709&lt;=IFERROR(VLOOKUP(A1709,Cadastro_Produtos!$A:$E,5,FALSE),0),"ABAIXO DO MINIMO","OK"))</f>
        <v/>
      </c>
    </row>
    <row r="1710">
      <c r="B1710">
        <f>IFERROR(VLOOKUP(A1710,Cadastro_Produtos!A:B,2,FALSE),"")</f>
        <v/>
      </c>
      <c r="D1710" s="12" t="n"/>
      <c r="E1710" s="13">
        <f>IF(D1710="","",D1710-TODAY())</f>
        <v/>
      </c>
      <c r="F1710">
        <f>IF(D1710="","",IF(E1710&lt;0,"VENCIDO",IF(E1710&lt;=30,"VENCE EM &lt;= 30 DIAS",IF(E1710&lt;=60,"ATENCAO (31-60 DIAS)","OK"))))</f>
        <v/>
      </c>
      <c r="G1710" s="13">
        <f>SUMIFS(Movimentacoes!$G:$G,Movimentacoes!$C:$C,$A1710,Movimentacoes!$E:$E,$C1710,Movimentacoes!$B:$B,"ENTRADA")</f>
        <v/>
      </c>
      <c r="H1710" s="13">
        <f>SUMIFS(Movimentacoes!$G:$G,Movimentacoes!$C:$C,$A1710,Movimentacoes!$E:$E,$C1710,Movimentacoes!$B:$B,"SAIDA_USO")</f>
        <v/>
      </c>
      <c r="I1710" s="13">
        <f>SUMIFS(Movimentacoes!$G:$G,Movimentacoes!$C:$C,$A1710,Movimentacoes!$E:$E,$C1710,Movimentacoes!$B:$B,"SAIDA_DESCARTE")</f>
        <v/>
      </c>
      <c r="J1710" s="13">
        <f>G1710-H1710-I1710</f>
        <v/>
      </c>
      <c r="K1710">
        <f>IF(A1710="","",IF(J1710&lt;=IFERROR(VLOOKUP(A1710,Cadastro_Produtos!$A:$E,5,FALSE),0),"ABAIXO DO MINIMO","OK"))</f>
        <v/>
      </c>
    </row>
    <row r="1711">
      <c r="B1711">
        <f>IFERROR(VLOOKUP(A1711,Cadastro_Produtos!A:B,2,FALSE),"")</f>
        <v/>
      </c>
      <c r="D1711" s="12" t="n"/>
      <c r="E1711" s="13">
        <f>IF(D1711="","",D1711-TODAY())</f>
        <v/>
      </c>
      <c r="F1711">
        <f>IF(D1711="","",IF(E1711&lt;0,"VENCIDO",IF(E1711&lt;=30,"VENCE EM &lt;= 30 DIAS",IF(E1711&lt;=60,"ATENCAO (31-60 DIAS)","OK"))))</f>
        <v/>
      </c>
      <c r="G1711" s="13">
        <f>SUMIFS(Movimentacoes!$G:$G,Movimentacoes!$C:$C,$A1711,Movimentacoes!$E:$E,$C1711,Movimentacoes!$B:$B,"ENTRADA")</f>
        <v/>
      </c>
      <c r="H1711" s="13">
        <f>SUMIFS(Movimentacoes!$G:$G,Movimentacoes!$C:$C,$A1711,Movimentacoes!$E:$E,$C1711,Movimentacoes!$B:$B,"SAIDA_USO")</f>
        <v/>
      </c>
      <c r="I1711" s="13">
        <f>SUMIFS(Movimentacoes!$G:$G,Movimentacoes!$C:$C,$A1711,Movimentacoes!$E:$E,$C1711,Movimentacoes!$B:$B,"SAIDA_DESCARTE")</f>
        <v/>
      </c>
      <c r="J1711" s="13">
        <f>G1711-H1711-I1711</f>
        <v/>
      </c>
      <c r="K1711">
        <f>IF(A1711="","",IF(J1711&lt;=IFERROR(VLOOKUP(A1711,Cadastro_Produtos!$A:$E,5,FALSE),0),"ABAIXO DO MINIMO","OK"))</f>
        <v/>
      </c>
    </row>
    <row r="1712">
      <c r="B1712">
        <f>IFERROR(VLOOKUP(A1712,Cadastro_Produtos!A:B,2,FALSE),"")</f>
        <v/>
      </c>
      <c r="D1712" s="12" t="n"/>
      <c r="E1712" s="13">
        <f>IF(D1712="","",D1712-TODAY())</f>
        <v/>
      </c>
      <c r="F1712">
        <f>IF(D1712="","",IF(E1712&lt;0,"VENCIDO",IF(E1712&lt;=30,"VENCE EM &lt;= 30 DIAS",IF(E1712&lt;=60,"ATENCAO (31-60 DIAS)","OK"))))</f>
        <v/>
      </c>
      <c r="G1712" s="13">
        <f>SUMIFS(Movimentacoes!$G:$G,Movimentacoes!$C:$C,$A1712,Movimentacoes!$E:$E,$C1712,Movimentacoes!$B:$B,"ENTRADA")</f>
        <v/>
      </c>
      <c r="H1712" s="13">
        <f>SUMIFS(Movimentacoes!$G:$G,Movimentacoes!$C:$C,$A1712,Movimentacoes!$E:$E,$C1712,Movimentacoes!$B:$B,"SAIDA_USO")</f>
        <v/>
      </c>
      <c r="I1712" s="13">
        <f>SUMIFS(Movimentacoes!$G:$G,Movimentacoes!$C:$C,$A1712,Movimentacoes!$E:$E,$C1712,Movimentacoes!$B:$B,"SAIDA_DESCARTE")</f>
        <v/>
      </c>
      <c r="J1712" s="13">
        <f>G1712-H1712-I1712</f>
        <v/>
      </c>
      <c r="K1712">
        <f>IF(A1712="","",IF(J1712&lt;=IFERROR(VLOOKUP(A1712,Cadastro_Produtos!$A:$E,5,FALSE),0),"ABAIXO DO MINIMO","OK"))</f>
        <v/>
      </c>
    </row>
    <row r="1713">
      <c r="B1713">
        <f>IFERROR(VLOOKUP(A1713,Cadastro_Produtos!A:B,2,FALSE),"")</f>
        <v/>
      </c>
      <c r="D1713" s="12" t="n"/>
      <c r="E1713" s="13">
        <f>IF(D1713="","",D1713-TODAY())</f>
        <v/>
      </c>
      <c r="F1713">
        <f>IF(D1713="","",IF(E1713&lt;0,"VENCIDO",IF(E1713&lt;=30,"VENCE EM &lt;= 30 DIAS",IF(E1713&lt;=60,"ATENCAO (31-60 DIAS)","OK"))))</f>
        <v/>
      </c>
      <c r="G1713" s="13">
        <f>SUMIFS(Movimentacoes!$G:$G,Movimentacoes!$C:$C,$A1713,Movimentacoes!$E:$E,$C1713,Movimentacoes!$B:$B,"ENTRADA")</f>
        <v/>
      </c>
      <c r="H1713" s="13">
        <f>SUMIFS(Movimentacoes!$G:$G,Movimentacoes!$C:$C,$A1713,Movimentacoes!$E:$E,$C1713,Movimentacoes!$B:$B,"SAIDA_USO")</f>
        <v/>
      </c>
      <c r="I1713" s="13">
        <f>SUMIFS(Movimentacoes!$G:$G,Movimentacoes!$C:$C,$A1713,Movimentacoes!$E:$E,$C1713,Movimentacoes!$B:$B,"SAIDA_DESCARTE")</f>
        <v/>
      </c>
      <c r="J1713" s="13">
        <f>G1713-H1713-I1713</f>
        <v/>
      </c>
      <c r="K1713">
        <f>IF(A1713="","",IF(J1713&lt;=IFERROR(VLOOKUP(A1713,Cadastro_Produtos!$A:$E,5,FALSE),0),"ABAIXO DO MINIMO","OK"))</f>
        <v/>
      </c>
    </row>
    <row r="1714">
      <c r="B1714">
        <f>IFERROR(VLOOKUP(A1714,Cadastro_Produtos!A:B,2,FALSE),"")</f>
        <v/>
      </c>
      <c r="D1714" s="12" t="n"/>
      <c r="E1714" s="13">
        <f>IF(D1714="","",D1714-TODAY())</f>
        <v/>
      </c>
      <c r="F1714">
        <f>IF(D1714="","",IF(E1714&lt;0,"VENCIDO",IF(E1714&lt;=30,"VENCE EM &lt;= 30 DIAS",IF(E1714&lt;=60,"ATENCAO (31-60 DIAS)","OK"))))</f>
        <v/>
      </c>
      <c r="G1714" s="13">
        <f>SUMIFS(Movimentacoes!$G:$G,Movimentacoes!$C:$C,$A1714,Movimentacoes!$E:$E,$C1714,Movimentacoes!$B:$B,"ENTRADA")</f>
        <v/>
      </c>
      <c r="H1714" s="13">
        <f>SUMIFS(Movimentacoes!$G:$G,Movimentacoes!$C:$C,$A1714,Movimentacoes!$E:$E,$C1714,Movimentacoes!$B:$B,"SAIDA_USO")</f>
        <v/>
      </c>
      <c r="I1714" s="13">
        <f>SUMIFS(Movimentacoes!$G:$G,Movimentacoes!$C:$C,$A1714,Movimentacoes!$E:$E,$C1714,Movimentacoes!$B:$B,"SAIDA_DESCARTE")</f>
        <v/>
      </c>
      <c r="J1714" s="13">
        <f>G1714-H1714-I1714</f>
        <v/>
      </c>
      <c r="K1714">
        <f>IF(A1714="","",IF(J1714&lt;=IFERROR(VLOOKUP(A1714,Cadastro_Produtos!$A:$E,5,FALSE),0),"ABAIXO DO MINIMO","OK"))</f>
        <v/>
      </c>
    </row>
    <row r="1715">
      <c r="B1715">
        <f>IFERROR(VLOOKUP(A1715,Cadastro_Produtos!A:B,2,FALSE),"")</f>
        <v/>
      </c>
      <c r="D1715" s="12" t="n"/>
      <c r="E1715" s="13">
        <f>IF(D1715="","",D1715-TODAY())</f>
        <v/>
      </c>
      <c r="F1715">
        <f>IF(D1715="","",IF(E1715&lt;0,"VENCIDO",IF(E1715&lt;=30,"VENCE EM &lt;= 30 DIAS",IF(E1715&lt;=60,"ATENCAO (31-60 DIAS)","OK"))))</f>
        <v/>
      </c>
      <c r="G1715" s="13">
        <f>SUMIFS(Movimentacoes!$G:$G,Movimentacoes!$C:$C,$A1715,Movimentacoes!$E:$E,$C1715,Movimentacoes!$B:$B,"ENTRADA")</f>
        <v/>
      </c>
      <c r="H1715" s="13">
        <f>SUMIFS(Movimentacoes!$G:$G,Movimentacoes!$C:$C,$A1715,Movimentacoes!$E:$E,$C1715,Movimentacoes!$B:$B,"SAIDA_USO")</f>
        <v/>
      </c>
      <c r="I1715" s="13">
        <f>SUMIFS(Movimentacoes!$G:$G,Movimentacoes!$C:$C,$A1715,Movimentacoes!$E:$E,$C1715,Movimentacoes!$B:$B,"SAIDA_DESCARTE")</f>
        <v/>
      </c>
      <c r="J1715" s="13">
        <f>G1715-H1715-I1715</f>
        <v/>
      </c>
      <c r="K1715">
        <f>IF(A1715="","",IF(J1715&lt;=IFERROR(VLOOKUP(A1715,Cadastro_Produtos!$A:$E,5,FALSE),0),"ABAIXO DO MINIMO","OK"))</f>
        <v/>
      </c>
    </row>
    <row r="1716">
      <c r="B1716">
        <f>IFERROR(VLOOKUP(A1716,Cadastro_Produtos!A:B,2,FALSE),"")</f>
        <v/>
      </c>
      <c r="D1716" s="12" t="n"/>
      <c r="E1716" s="13">
        <f>IF(D1716="","",D1716-TODAY())</f>
        <v/>
      </c>
      <c r="F1716">
        <f>IF(D1716="","",IF(E1716&lt;0,"VENCIDO",IF(E1716&lt;=30,"VENCE EM &lt;= 30 DIAS",IF(E1716&lt;=60,"ATENCAO (31-60 DIAS)","OK"))))</f>
        <v/>
      </c>
      <c r="G1716" s="13">
        <f>SUMIFS(Movimentacoes!$G:$G,Movimentacoes!$C:$C,$A1716,Movimentacoes!$E:$E,$C1716,Movimentacoes!$B:$B,"ENTRADA")</f>
        <v/>
      </c>
      <c r="H1716" s="13">
        <f>SUMIFS(Movimentacoes!$G:$G,Movimentacoes!$C:$C,$A1716,Movimentacoes!$E:$E,$C1716,Movimentacoes!$B:$B,"SAIDA_USO")</f>
        <v/>
      </c>
      <c r="I1716" s="13">
        <f>SUMIFS(Movimentacoes!$G:$G,Movimentacoes!$C:$C,$A1716,Movimentacoes!$E:$E,$C1716,Movimentacoes!$B:$B,"SAIDA_DESCARTE")</f>
        <v/>
      </c>
      <c r="J1716" s="13">
        <f>G1716-H1716-I1716</f>
        <v/>
      </c>
      <c r="K1716">
        <f>IF(A1716="","",IF(J1716&lt;=IFERROR(VLOOKUP(A1716,Cadastro_Produtos!$A:$E,5,FALSE),0),"ABAIXO DO MINIMO","OK"))</f>
        <v/>
      </c>
    </row>
    <row r="1717">
      <c r="B1717">
        <f>IFERROR(VLOOKUP(A1717,Cadastro_Produtos!A:B,2,FALSE),"")</f>
        <v/>
      </c>
      <c r="D1717" s="12" t="n"/>
      <c r="E1717" s="13">
        <f>IF(D1717="","",D1717-TODAY())</f>
        <v/>
      </c>
      <c r="F1717">
        <f>IF(D1717="","",IF(E1717&lt;0,"VENCIDO",IF(E1717&lt;=30,"VENCE EM &lt;= 30 DIAS",IF(E1717&lt;=60,"ATENCAO (31-60 DIAS)","OK"))))</f>
        <v/>
      </c>
      <c r="G1717" s="13">
        <f>SUMIFS(Movimentacoes!$G:$G,Movimentacoes!$C:$C,$A1717,Movimentacoes!$E:$E,$C1717,Movimentacoes!$B:$B,"ENTRADA")</f>
        <v/>
      </c>
      <c r="H1717" s="13">
        <f>SUMIFS(Movimentacoes!$G:$G,Movimentacoes!$C:$C,$A1717,Movimentacoes!$E:$E,$C1717,Movimentacoes!$B:$B,"SAIDA_USO")</f>
        <v/>
      </c>
      <c r="I1717" s="13">
        <f>SUMIFS(Movimentacoes!$G:$G,Movimentacoes!$C:$C,$A1717,Movimentacoes!$E:$E,$C1717,Movimentacoes!$B:$B,"SAIDA_DESCARTE")</f>
        <v/>
      </c>
      <c r="J1717" s="13">
        <f>G1717-H1717-I1717</f>
        <v/>
      </c>
      <c r="K1717">
        <f>IF(A1717="","",IF(J1717&lt;=IFERROR(VLOOKUP(A1717,Cadastro_Produtos!$A:$E,5,FALSE),0),"ABAIXO DO MINIMO","OK"))</f>
        <v/>
      </c>
    </row>
    <row r="1718">
      <c r="B1718">
        <f>IFERROR(VLOOKUP(A1718,Cadastro_Produtos!A:B,2,FALSE),"")</f>
        <v/>
      </c>
      <c r="D1718" s="12" t="n"/>
      <c r="E1718" s="13">
        <f>IF(D1718="","",D1718-TODAY())</f>
        <v/>
      </c>
      <c r="F1718">
        <f>IF(D1718="","",IF(E1718&lt;0,"VENCIDO",IF(E1718&lt;=30,"VENCE EM &lt;= 30 DIAS",IF(E1718&lt;=60,"ATENCAO (31-60 DIAS)","OK"))))</f>
        <v/>
      </c>
      <c r="G1718" s="13">
        <f>SUMIFS(Movimentacoes!$G:$G,Movimentacoes!$C:$C,$A1718,Movimentacoes!$E:$E,$C1718,Movimentacoes!$B:$B,"ENTRADA")</f>
        <v/>
      </c>
      <c r="H1718" s="13">
        <f>SUMIFS(Movimentacoes!$G:$G,Movimentacoes!$C:$C,$A1718,Movimentacoes!$E:$E,$C1718,Movimentacoes!$B:$B,"SAIDA_USO")</f>
        <v/>
      </c>
      <c r="I1718" s="13">
        <f>SUMIFS(Movimentacoes!$G:$G,Movimentacoes!$C:$C,$A1718,Movimentacoes!$E:$E,$C1718,Movimentacoes!$B:$B,"SAIDA_DESCARTE")</f>
        <v/>
      </c>
      <c r="J1718" s="13">
        <f>G1718-H1718-I1718</f>
        <v/>
      </c>
      <c r="K1718">
        <f>IF(A1718="","",IF(J1718&lt;=IFERROR(VLOOKUP(A1718,Cadastro_Produtos!$A:$E,5,FALSE),0),"ABAIXO DO MINIMO","OK"))</f>
        <v/>
      </c>
    </row>
    <row r="1719">
      <c r="B1719">
        <f>IFERROR(VLOOKUP(A1719,Cadastro_Produtos!A:B,2,FALSE),"")</f>
        <v/>
      </c>
      <c r="D1719" s="12" t="n"/>
      <c r="E1719" s="13">
        <f>IF(D1719="","",D1719-TODAY())</f>
        <v/>
      </c>
      <c r="F1719">
        <f>IF(D1719="","",IF(E1719&lt;0,"VENCIDO",IF(E1719&lt;=30,"VENCE EM &lt;= 30 DIAS",IF(E1719&lt;=60,"ATENCAO (31-60 DIAS)","OK"))))</f>
        <v/>
      </c>
      <c r="G1719" s="13">
        <f>SUMIFS(Movimentacoes!$G:$G,Movimentacoes!$C:$C,$A1719,Movimentacoes!$E:$E,$C1719,Movimentacoes!$B:$B,"ENTRADA")</f>
        <v/>
      </c>
      <c r="H1719" s="13">
        <f>SUMIFS(Movimentacoes!$G:$G,Movimentacoes!$C:$C,$A1719,Movimentacoes!$E:$E,$C1719,Movimentacoes!$B:$B,"SAIDA_USO")</f>
        <v/>
      </c>
      <c r="I1719" s="13">
        <f>SUMIFS(Movimentacoes!$G:$G,Movimentacoes!$C:$C,$A1719,Movimentacoes!$E:$E,$C1719,Movimentacoes!$B:$B,"SAIDA_DESCARTE")</f>
        <v/>
      </c>
      <c r="J1719" s="13">
        <f>G1719-H1719-I1719</f>
        <v/>
      </c>
      <c r="K1719">
        <f>IF(A1719="","",IF(J1719&lt;=IFERROR(VLOOKUP(A1719,Cadastro_Produtos!$A:$E,5,FALSE),0),"ABAIXO DO MINIMO","OK"))</f>
        <v/>
      </c>
    </row>
    <row r="1720">
      <c r="B1720">
        <f>IFERROR(VLOOKUP(A1720,Cadastro_Produtos!A:B,2,FALSE),"")</f>
        <v/>
      </c>
      <c r="D1720" s="12" t="n"/>
      <c r="E1720" s="13">
        <f>IF(D1720="","",D1720-TODAY())</f>
        <v/>
      </c>
      <c r="F1720">
        <f>IF(D1720="","",IF(E1720&lt;0,"VENCIDO",IF(E1720&lt;=30,"VENCE EM &lt;= 30 DIAS",IF(E1720&lt;=60,"ATENCAO (31-60 DIAS)","OK"))))</f>
        <v/>
      </c>
      <c r="G1720" s="13">
        <f>SUMIFS(Movimentacoes!$G:$G,Movimentacoes!$C:$C,$A1720,Movimentacoes!$E:$E,$C1720,Movimentacoes!$B:$B,"ENTRADA")</f>
        <v/>
      </c>
      <c r="H1720" s="13">
        <f>SUMIFS(Movimentacoes!$G:$G,Movimentacoes!$C:$C,$A1720,Movimentacoes!$E:$E,$C1720,Movimentacoes!$B:$B,"SAIDA_USO")</f>
        <v/>
      </c>
      <c r="I1720" s="13">
        <f>SUMIFS(Movimentacoes!$G:$G,Movimentacoes!$C:$C,$A1720,Movimentacoes!$E:$E,$C1720,Movimentacoes!$B:$B,"SAIDA_DESCARTE")</f>
        <v/>
      </c>
      <c r="J1720" s="13">
        <f>G1720-H1720-I1720</f>
        <v/>
      </c>
      <c r="K1720">
        <f>IF(A1720="","",IF(J1720&lt;=IFERROR(VLOOKUP(A1720,Cadastro_Produtos!$A:$E,5,FALSE),0),"ABAIXO DO MINIMO","OK"))</f>
        <v/>
      </c>
    </row>
    <row r="1721">
      <c r="B1721">
        <f>IFERROR(VLOOKUP(A1721,Cadastro_Produtos!A:B,2,FALSE),"")</f>
        <v/>
      </c>
      <c r="D1721" s="12" t="n"/>
      <c r="E1721" s="13">
        <f>IF(D1721="","",D1721-TODAY())</f>
        <v/>
      </c>
      <c r="F1721">
        <f>IF(D1721="","",IF(E1721&lt;0,"VENCIDO",IF(E1721&lt;=30,"VENCE EM &lt;= 30 DIAS",IF(E1721&lt;=60,"ATENCAO (31-60 DIAS)","OK"))))</f>
        <v/>
      </c>
      <c r="G1721" s="13">
        <f>SUMIFS(Movimentacoes!$G:$G,Movimentacoes!$C:$C,$A1721,Movimentacoes!$E:$E,$C1721,Movimentacoes!$B:$B,"ENTRADA")</f>
        <v/>
      </c>
      <c r="H1721" s="13">
        <f>SUMIFS(Movimentacoes!$G:$G,Movimentacoes!$C:$C,$A1721,Movimentacoes!$E:$E,$C1721,Movimentacoes!$B:$B,"SAIDA_USO")</f>
        <v/>
      </c>
      <c r="I1721" s="13">
        <f>SUMIFS(Movimentacoes!$G:$G,Movimentacoes!$C:$C,$A1721,Movimentacoes!$E:$E,$C1721,Movimentacoes!$B:$B,"SAIDA_DESCARTE")</f>
        <v/>
      </c>
      <c r="J1721" s="13">
        <f>G1721-H1721-I1721</f>
        <v/>
      </c>
      <c r="K1721">
        <f>IF(A1721="","",IF(J1721&lt;=IFERROR(VLOOKUP(A1721,Cadastro_Produtos!$A:$E,5,FALSE),0),"ABAIXO DO MINIMO","OK"))</f>
        <v/>
      </c>
    </row>
    <row r="1722">
      <c r="B1722">
        <f>IFERROR(VLOOKUP(A1722,Cadastro_Produtos!A:B,2,FALSE),"")</f>
        <v/>
      </c>
      <c r="D1722" s="12" t="n"/>
      <c r="E1722" s="13">
        <f>IF(D1722="","",D1722-TODAY())</f>
        <v/>
      </c>
      <c r="F1722">
        <f>IF(D1722="","",IF(E1722&lt;0,"VENCIDO",IF(E1722&lt;=30,"VENCE EM &lt;= 30 DIAS",IF(E1722&lt;=60,"ATENCAO (31-60 DIAS)","OK"))))</f>
        <v/>
      </c>
      <c r="G1722" s="13">
        <f>SUMIFS(Movimentacoes!$G:$G,Movimentacoes!$C:$C,$A1722,Movimentacoes!$E:$E,$C1722,Movimentacoes!$B:$B,"ENTRADA")</f>
        <v/>
      </c>
      <c r="H1722" s="13">
        <f>SUMIFS(Movimentacoes!$G:$G,Movimentacoes!$C:$C,$A1722,Movimentacoes!$E:$E,$C1722,Movimentacoes!$B:$B,"SAIDA_USO")</f>
        <v/>
      </c>
      <c r="I1722" s="13">
        <f>SUMIFS(Movimentacoes!$G:$G,Movimentacoes!$C:$C,$A1722,Movimentacoes!$E:$E,$C1722,Movimentacoes!$B:$B,"SAIDA_DESCARTE")</f>
        <v/>
      </c>
      <c r="J1722" s="13">
        <f>G1722-H1722-I1722</f>
        <v/>
      </c>
      <c r="K1722">
        <f>IF(A1722="","",IF(J1722&lt;=IFERROR(VLOOKUP(A1722,Cadastro_Produtos!$A:$E,5,FALSE),0),"ABAIXO DO MINIMO","OK"))</f>
        <v/>
      </c>
    </row>
    <row r="1723">
      <c r="B1723">
        <f>IFERROR(VLOOKUP(A1723,Cadastro_Produtos!A:B,2,FALSE),"")</f>
        <v/>
      </c>
      <c r="D1723" s="12" t="n"/>
      <c r="E1723" s="13">
        <f>IF(D1723="","",D1723-TODAY())</f>
        <v/>
      </c>
      <c r="F1723">
        <f>IF(D1723="","",IF(E1723&lt;0,"VENCIDO",IF(E1723&lt;=30,"VENCE EM &lt;= 30 DIAS",IF(E1723&lt;=60,"ATENCAO (31-60 DIAS)","OK"))))</f>
        <v/>
      </c>
      <c r="G1723" s="13">
        <f>SUMIFS(Movimentacoes!$G:$G,Movimentacoes!$C:$C,$A1723,Movimentacoes!$E:$E,$C1723,Movimentacoes!$B:$B,"ENTRADA")</f>
        <v/>
      </c>
      <c r="H1723" s="13">
        <f>SUMIFS(Movimentacoes!$G:$G,Movimentacoes!$C:$C,$A1723,Movimentacoes!$E:$E,$C1723,Movimentacoes!$B:$B,"SAIDA_USO")</f>
        <v/>
      </c>
      <c r="I1723" s="13">
        <f>SUMIFS(Movimentacoes!$G:$G,Movimentacoes!$C:$C,$A1723,Movimentacoes!$E:$E,$C1723,Movimentacoes!$B:$B,"SAIDA_DESCARTE")</f>
        <v/>
      </c>
      <c r="J1723" s="13">
        <f>G1723-H1723-I1723</f>
        <v/>
      </c>
      <c r="K1723">
        <f>IF(A1723="","",IF(J1723&lt;=IFERROR(VLOOKUP(A1723,Cadastro_Produtos!$A:$E,5,FALSE),0),"ABAIXO DO MINIMO","OK"))</f>
        <v/>
      </c>
    </row>
    <row r="1724">
      <c r="B1724">
        <f>IFERROR(VLOOKUP(A1724,Cadastro_Produtos!A:B,2,FALSE),"")</f>
        <v/>
      </c>
      <c r="D1724" s="12" t="n"/>
      <c r="E1724" s="13">
        <f>IF(D1724="","",D1724-TODAY())</f>
        <v/>
      </c>
      <c r="F1724">
        <f>IF(D1724="","",IF(E1724&lt;0,"VENCIDO",IF(E1724&lt;=30,"VENCE EM &lt;= 30 DIAS",IF(E1724&lt;=60,"ATENCAO (31-60 DIAS)","OK"))))</f>
        <v/>
      </c>
      <c r="G1724" s="13">
        <f>SUMIFS(Movimentacoes!$G:$G,Movimentacoes!$C:$C,$A1724,Movimentacoes!$E:$E,$C1724,Movimentacoes!$B:$B,"ENTRADA")</f>
        <v/>
      </c>
      <c r="H1724" s="13">
        <f>SUMIFS(Movimentacoes!$G:$G,Movimentacoes!$C:$C,$A1724,Movimentacoes!$E:$E,$C1724,Movimentacoes!$B:$B,"SAIDA_USO")</f>
        <v/>
      </c>
      <c r="I1724" s="13">
        <f>SUMIFS(Movimentacoes!$G:$G,Movimentacoes!$C:$C,$A1724,Movimentacoes!$E:$E,$C1724,Movimentacoes!$B:$B,"SAIDA_DESCARTE")</f>
        <v/>
      </c>
      <c r="J1724" s="13">
        <f>G1724-H1724-I1724</f>
        <v/>
      </c>
      <c r="K1724">
        <f>IF(A1724="","",IF(J1724&lt;=IFERROR(VLOOKUP(A1724,Cadastro_Produtos!$A:$E,5,FALSE),0),"ABAIXO DO MINIMO","OK"))</f>
        <v/>
      </c>
    </row>
    <row r="1725">
      <c r="B1725">
        <f>IFERROR(VLOOKUP(A1725,Cadastro_Produtos!A:B,2,FALSE),"")</f>
        <v/>
      </c>
      <c r="D1725" s="12" t="n"/>
      <c r="E1725" s="13">
        <f>IF(D1725="","",D1725-TODAY())</f>
        <v/>
      </c>
      <c r="F1725">
        <f>IF(D1725="","",IF(E1725&lt;0,"VENCIDO",IF(E1725&lt;=30,"VENCE EM &lt;= 30 DIAS",IF(E1725&lt;=60,"ATENCAO (31-60 DIAS)","OK"))))</f>
        <v/>
      </c>
      <c r="G1725" s="13">
        <f>SUMIFS(Movimentacoes!$G:$G,Movimentacoes!$C:$C,$A1725,Movimentacoes!$E:$E,$C1725,Movimentacoes!$B:$B,"ENTRADA")</f>
        <v/>
      </c>
      <c r="H1725" s="13">
        <f>SUMIFS(Movimentacoes!$G:$G,Movimentacoes!$C:$C,$A1725,Movimentacoes!$E:$E,$C1725,Movimentacoes!$B:$B,"SAIDA_USO")</f>
        <v/>
      </c>
      <c r="I1725" s="13">
        <f>SUMIFS(Movimentacoes!$G:$G,Movimentacoes!$C:$C,$A1725,Movimentacoes!$E:$E,$C1725,Movimentacoes!$B:$B,"SAIDA_DESCARTE")</f>
        <v/>
      </c>
      <c r="J1725" s="13">
        <f>G1725-H1725-I1725</f>
        <v/>
      </c>
      <c r="K1725">
        <f>IF(A1725="","",IF(J1725&lt;=IFERROR(VLOOKUP(A1725,Cadastro_Produtos!$A:$E,5,FALSE),0),"ABAIXO DO MINIMO","OK"))</f>
        <v/>
      </c>
    </row>
    <row r="1726">
      <c r="B1726">
        <f>IFERROR(VLOOKUP(A1726,Cadastro_Produtos!A:B,2,FALSE),"")</f>
        <v/>
      </c>
      <c r="D1726" s="12" t="n"/>
      <c r="E1726" s="13">
        <f>IF(D1726="","",D1726-TODAY())</f>
        <v/>
      </c>
      <c r="F1726">
        <f>IF(D1726="","",IF(E1726&lt;0,"VENCIDO",IF(E1726&lt;=30,"VENCE EM &lt;= 30 DIAS",IF(E1726&lt;=60,"ATENCAO (31-60 DIAS)","OK"))))</f>
        <v/>
      </c>
      <c r="G1726" s="13">
        <f>SUMIFS(Movimentacoes!$G:$G,Movimentacoes!$C:$C,$A1726,Movimentacoes!$E:$E,$C1726,Movimentacoes!$B:$B,"ENTRADA")</f>
        <v/>
      </c>
      <c r="H1726" s="13">
        <f>SUMIFS(Movimentacoes!$G:$G,Movimentacoes!$C:$C,$A1726,Movimentacoes!$E:$E,$C1726,Movimentacoes!$B:$B,"SAIDA_USO")</f>
        <v/>
      </c>
      <c r="I1726" s="13">
        <f>SUMIFS(Movimentacoes!$G:$G,Movimentacoes!$C:$C,$A1726,Movimentacoes!$E:$E,$C1726,Movimentacoes!$B:$B,"SAIDA_DESCARTE")</f>
        <v/>
      </c>
      <c r="J1726" s="13">
        <f>G1726-H1726-I1726</f>
        <v/>
      </c>
      <c r="K1726">
        <f>IF(A1726="","",IF(J1726&lt;=IFERROR(VLOOKUP(A1726,Cadastro_Produtos!$A:$E,5,FALSE),0),"ABAIXO DO MINIMO","OK"))</f>
        <v/>
      </c>
    </row>
    <row r="1727">
      <c r="B1727">
        <f>IFERROR(VLOOKUP(A1727,Cadastro_Produtos!A:B,2,FALSE),"")</f>
        <v/>
      </c>
      <c r="D1727" s="12" t="n"/>
      <c r="E1727" s="13">
        <f>IF(D1727="","",D1727-TODAY())</f>
        <v/>
      </c>
      <c r="F1727">
        <f>IF(D1727="","",IF(E1727&lt;0,"VENCIDO",IF(E1727&lt;=30,"VENCE EM &lt;= 30 DIAS",IF(E1727&lt;=60,"ATENCAO (31-60 DIAS)","OK"))))</f>
        <v/>
      </c>
      <c r="G1727" s="13">
        <f>SUMIFS(Movimentacoes!$G:$G,Movimentacoes!$C:$C,$A1727,Movimentacoes!$E:$E,$C1727,Movimentacoes!$B:$B,"ENTRADA")</f>
        <v/>
      </c>
      <c r="H1727" s="13">
        <f>SUMIFS(Movimentacoes!$G:$G,Movimentacoes!$C:$C,$A1727,Movimentacoes!$E:$E,$C1727,Movimentacoes!$B:$B,"SAIDA_USO")</f>
        <v/>
      </c>
      <c r="I1727" s="13">
        <f>SUMIFS(Movimentacoes!$G:$G,Movimentacoes!$C:$C,$A1727,Movimentacoes!$E:$E,$C1727,Movimentacoes!$B:$B,"SAIDA_DESCARTE")</f>
        <v/>
      </c>
      <c r="J1727" s="13">
        <f>G1727-H1727-I1727</f>
        <v/>
      </c>
      <c r="K1727">
        <f>IF(A1727="","",IF(J1727&lt;=IFERROR(VLOOKUP(A1727,Cadastro_Produtos!$A:$E,5,FALSE),0),"ABAIXO DO MINIMO","OK"))</f>
        <v/>
      </c>
    </row>
    <row r="1728">
      <c r="B1728">
        <f>IFERROR(VLOOKUP(A1728,Cadastro_Produtos!A:B,2,FALSE),"")</f>
        <v/>
      </c>
      <c r="D1728" s="12" t="n"/>
      <c r="E1728" s="13">
        <f>IF(D1728="","",D1728-TODAY())</f>
        <v/>
      </c>
      <c r="F1728">
        <f>IF(D1728="","",IF(E1728&lt;0,"VENCIDO",IF(E1728&lt;=30,"VENCE EM &lt;= 30 DIAS",IF(E1728&lt;=60,"ATENCAO (31-60 DIAS)","OK"))))</f>
        <v/>
      </c>
      <c r="G1728" s="13">
        <f>SUMIFS(Movimentacoes!$G:$G,Movimentacoes!$C:$C,$A1728,Movimentacoes!$E:$E,$C1728,Movimentacoes!$B:$B,"ENTRADA")</f>
        <v/>
      </c>
      <c r="H1728" s="13">
        <f>SUMIFS(Movimentacoes!$G:$G,Movimentacoes!$C:$C,$A1728,Movimentacoes!$E:$E,$C1728,Movimentacoes!$B:$B,"SAIDA_USO")</f>
        <v/>
      </c>
      <c r="I1728" s="13">
        <f>SUMIFS(Movimentacoes!$G:$G,Movimentacoes!$C:$C,$A1728,Movimentacoes!$E:$E,$C1728,Movimentacoes!$B:$B,"SAIDA_DESCARTE")</f>
        <v/>
      </c>
      <c r="J1728" s="13">
        <f>G1728-H1728-I1728</f>
        <v/>
      </c>
      <c r="K1728">
        <f>IF(A1728="","",IF(J1728&lt;=IFERROR(VLOOKUP(A1728,Cadastro_Produtos!$A:$E,5,FALSE),0),"ABAIXO DO MINIMO","OK"))</f>
        <v/>
      </c>
    </row>
    <row r="1729">
      <c r="B1729">
        <f>IFERROR(VLOOKUP(A1729,Cadastro_Produtos!A:B,2,FALSE),"")</f>
        <v/>
      </c>
      <c r="D1729" s="12" t="n"/>
      <c r="E1729" s="13">
        <f>IF(D1729="","",D1729-TODAY())</f>
        <v/>
      </c>
      <c r="F1729">
        <f>IF(D1729="","",IF(E1729&lt;0,"VENCIDO",IF(E1729&lt;=30,"VENCE EM &lt;= 30 DIAS",IF(E1729&lt;=60,"ATENCAO (31-60 DIAS)","OK"))))</f>
        <v/>
      </c>
      <c r="G1729" s="13">
        <f>SUMIFS(Movimentacoes!$G:$G,Movimentacoes!$C:$C,$A1729,Movimentacoes!$E:$E,$C1729,Movimentacoes!$B:$B,"ENTRADA")</f>
        <v/>
      </c>
      <c r="H1729" s="13">
        <f>SUMIFS(Movimentacoes!$G:$G,Movimentacoes!$C:$C,$A1729,Movimentacoes!$E:$E,$C1729,Movimentacoes!$B:$B,"SAIDA_USO")</f>
        <v/>
      </c>
      <c r="I1729" s="13">
        <f>SUMIFS(Movimentacoes!$G:$G,Movimentacoes!$C:$C,$A1729,Movimentacoes!$E:$E,$C1729,Movimentacoes!$B:$B,"SAIDA_DESCARTE")</f>
        <v/>
      </c>
      <c r="J1729" s="13">
        <f>G1729-H1729-I1729</f>
        <v/>
      </c>
      <c r="K1729">
        <f>IF(A1729="","",IF(J1729&lt;=IFERROR(VLOOKUP(A1729,Cadastro_Produtos!$A:$E,5,FALSE),0),"ABAIXO DO MINIMO","OK"))</f>
        <v/>
      </c>
    </row>
    <row r="1730">
      <c r="B1730">
        <f>IFERROR(VLOOKUP(A1730,Cadastro_Produtos!A:B,2,FALSE),"")</f>
        <v/>
      </c>
      <c r="D1730" s="12" t="n"/>
      <c r="E1730" s="13">
        <f>IF(D1730="","",D1730-TODAY())</f>
        <v/>
      </c>
      <c r="F1730">
        <f>IF(D1730="","",IF(E1730&lt;0,"VENCIDO",IF(E1730&lt;=30,"VENCE EM &lt;= 30 DIAS",IF(E1730&lt;=60,"ATENCAO (31-60 DIAS)","OK"))))</f>
        <v/>
      </c>
      <c r="G1730" s="13">
        <f>SUMIFS(Movimentacoes!$G:$G,Movimentacoes!$C:$C,$A1730,Movimentacoes!$E:$E,$C1730,Movimentacoes!$B:$B,"ENTRADA")</f>
        <v/>
      </c>
      <c r="H1730" s="13">
        <f>SUMIFS(Movimentacoes!$G:$G,Movimentacoes!$C:$C,$A1730,Movimentacoes!$E:$E,$C1730,Movimentacoes!$B:$B,"SAIDA_USO")</f>
        <v/>
      </c>
      <c r="I1730" s="13">
        <f>SUMIFS(Movimentacoes!$G:$G,Movimentacoes!$C:$C,$A1730,Movimentacoes!$E:$E,$C1730,Movimentacoes!$B:$B,"SAIDA_DESCARTE")</f>
        <v/>
      </c>
      <c r="J1730" s="13">
        <f>G1730-H1730-I1730</f>
        <v/>
      </c>
      <c r="K1730">
        <f>IF(A1730="","",IF(J1730&lt;=IFERROR(VLOOKUP(A1730,Cadastro_Produtos!$A:$E,5,FALSE),0),"ABAIXO DO MINIMO","OK"))</f>
        <v/>
      </c>
    </row>
    <row r="1731">
      <c r="B1731">
        <f>IFERROR(VLOOKUP(A1731,Cadastro_Produtos!A:B,2,FALSE),"")</f>
        <v/>
      </c>
      <c r="D1731" s="12" t="n"/>
      <c r="E1731" s="13">
        <f>IF(D1731="","",D1731-TODAY())</f>
        <v/>
      </c>
      <c r="F1731">
        <f>IF(D1731="","",IF(E1731&lt;0,"VENCIDO",IF(E1731&lt;=30,"VENCE EM &lt;= 30 DIAS",IF(E1731&lt;=60,"ATENCAO (31-60 DIAS)","OK"))))</f>
        <v/>
      </c>
      <c r="G1731" s="13">
        <f>SUMIFS(Movimentacoes!$G:$G,Movimentacoes!$C:$C,$A1731,Movimentacoes!$E:$E,$C1731,Movimentacoes!$B:$B,"ENTRADA")</f>
        <v/>
      </c>
      <c r="H1731" s="13">
        <f>SUMIFS(Movimentacoes!$G:$G,Movimentacoes!$C:$C,$A1731,Movimentacoes!$E:$E,$C1731,Movimentacoes!$B:$B,"SAIDA_USO")</f>
        <v/>
      </c>
      <c r="I1731" s="13">
        <f>SUMIFS(Movimentacoes!$G:$G,Movimentacoes!$C:$C,$A1731,Movimentacoes!$E:$E,$C1731,Movimentacoes!$B:$B,"SAIDA_DESCARTE")</f>
        <v/>
      </c>
      <c r="J1731" s="13">
        <f>G1731-H1731-I1731</f>
        <v/>
      </c>
      <c r="K1731">
        <f>IF(A1731="","",IF(J1731&lt;=IFERROR(VLOOKUP(A1731,Cadastro_Produtos!$A:$E,5,FALSE),0),"ABAIXO DO MINIMO","OK"))</f>
        <v/>
      </c>
    </row>
    <row r="1732">
      <c r="B1732">
        <f>IFERROR(VLOOKUP(A1732,Cadastro_Produtos!A:B,2,FALSE),"")</f>
        <v/>
      </c>
      <c r="D1732" s="12" t="n"/>
      <c r="E1732" s="13">
        <f>IF(D1732="","",D1732-TODAY())</f>
        <v/>
      </c>
      <c r="F1732">
        <f>IF(D1732="","",IF(E1732&lt;0,"VENCIDO",IF(E1732&lt;=30,"VENCE EM &lt;= 30 DIAS",IF(E1732&lt;=60,"ATENCAO (31-60 DIAS)","OK"))))</f>
        <v/>
      </c>
      <c r="G1732" s="13">
        <f>SUMIFS(Movimentacoes!$G:$G,Movimentacoes!$C:$C,$A1732,Movimentacoes!$E:$E,$C1732,Movimentacoes!$B:$B,"ENTRADA")</f>
        <v/>
      </c>
      <c r="H1732" s="13">
        <f>SUMIFS(Movimentacoes!$G:$G,Movimentacoes!$C:$C,$A1732,Movimentacoes!$E:$E,$C1732,Movimentacoes!$B:$B,"SAIDA_USO")</f>
        <v/>
      </c>
      <c r="I1732" s="13">
        <f>SUMIFS(Movimentacoes!$G:$G,Movimentacoes!$C:$C,$A1732,Movimentacoes!$E:$E,$C1732,Movimentacoes!$B:$B,"SAIDA_DESCARTE")</f>
        <v/>
      </c>
      <c r="J1732" s="13">
        <f>G1732-H1732-I1732</f>
        <v/>
      </c>
      <c r="K1732">
        <f>IF(A1732="","",IF(J1732&lt;=IFERROR(VLOOKUP(A1732,Cadastro_Produtos!$A:$E,5,FALSE),0),"ABAIXO DO MINIMO","OK"))</f>
        <v/>
      </c>
    </row>
    <row r="1733">
      <c r="B1733">
        <f>IFERROR(VLOOKUP(A1733,Cadastro_Produtos!A:B,2,FALSE),"")</f>
        <v/>
      </c>
      <c r="D1733" s="12" t="n"/>
      <c r="E1733" s="13">
        <f>IF(D1733="","",D1733-TODAY())</f>
        <v/>
      </c>
      <c r="F1733">
        <f>IF(D1733="","",IF(E1733&lt;0,"VENCIDO",IF(E1733&lt;=30,"VENCE EM &lt;= 30 DIAS",IF(E1733&lt;=60,"ATENCAO (31-60 DIAS)","OK"))))</f>
        <v/>
      </c>
      <c r="G1733" s="13">
        <f>SUMIFS(Movimentacoes!$G:$G,Movimentacoes!$C:$C,$A1733,Movimentacoes!$E:$E,$C1733,Movimentacoes!$B:$B,"ENTRADA")</f>
        <v/>
      </c>
      <c r="H1733" s="13">
        <f>SUMIFS(Movimentacoes!$G:$G,Movimentacoes!$C:$C,$A1733,Movimentacoes!$E:$E,$C1733,Movimentacoes!$B:$B,"SAIDA_USO")</f>
        <v/>
      </c>
      <c r="I1733" s="13">
        <f>SUMIFS(Movimentacoes!$G:$G,Movimentacoes!$C:$C,$A1733,Movimentacoes!$E:$E,$C1733,Movimentacoes!$B:$B,"SAIDA_DESCARTE")</f>
        <v/>
      </c>
      <c r="J1733" s="13">
        <f>G1733-H1733-I1733</f>
        <v/>
      </c>
      <c r="K1733">
        <f>IF(A1733="","",IF(J1733&lt;=IFERROR(VLOOKUP(A1733,Cadastro_Produtos!$A:$E,5,FALSE),0),"ABAIXO DO MINIMO","OK"))</f>
        <v/>
      </c>
    </row>
    <row r="1734">
      <c r="B1734">
        <f>IFERROR(VLOOKUP(A1734,Cadastro_Produtos!A:B,2,FALSE),"")</f>
        <v/>
      </c>
      <c r="D1734" s="12" t="n"/>
      <c r="E1734" s="13">
        <f>IF(D1734="","",D1734-TODAY())</f>
        <v/>
      </c>
      <c r="F1734">
        <f>IF(D1734="","",IF(E1734&lt;0,"VENCIDO",IF(E1734&lt;=30,"VENCE EM &lt;= 30 DIAS",IF(E1734&lt;=60,"ATENCAO (31-60 DIAS)","OK"))))</f>
        <v/>
      </c>
      <c r="G1734" s="13">
        <f>SUMIFS(Movimentacoes!$G:$G,Movimentacoes!$C:$C,$A1734,Movimentacoes!$E:$E,$C1734,Movimentacoes!$B:$B,"ENTRADA")</f>
        <v/>
      </c>
      <c r="H1734" s="13">
        <f>SUMIFS(Movimentacoes!$G:$G,Movimentacoes!$C:$C,$A1734,Movimentacoes!$E:$E,$C1734,Movimentacoes!$B:$B,"SAIDA_USO")</f>
        <v/>
      </c>
      <c r="I1734" s="13">
        <f>SUMIFS(Movimentacoes!$G:$G,Movimentacoes!$C:$C,$A1734,Movimentacoes!$E:$E,$C1734,Movimentacoes!$B:$B,"SAIDA_DESCARTE")</f>
        <v/>
      </c>
      <c r="J1734" s="13">
        <f>G1734-H1734-I1734</f>
        <v/>
      </c>
      <c r="K1734">
        <f>IF(A1734="","",IF(J1734&lt;=IFERROR(VLOOKUP(A1734,Cadastro_Produtos!$A:$E,5,FALSE),0),"ABAIXO DO MINIMO","OK"))</f>
        <v/>
      </c>
    </row>
    <row r="1735">
      <c r="B1735">
        <f>IFERROR(VLOOKUP(A1735,Cadastro_Produtos!A:B,2,FALSE),"")</f>
        <v/>
      </c>
      <c r="D1735" s="12" t="n"/>
      <c r="E1735" s="13">
        <f>IF(D1735="","",D1735-TODAY())</f>
        <v/>
      </c>
      <c r="F1735">
        <f>IF(D1735="","",IF(E1735&lt;0,"VENCIDO",IF(E1735&lt;=30,"VENCE EM &lt;= 30 DIAS",IF(E1735&lt;=60,"ATENCAO (31-60 DIAS)","OK"))))</f>
        <v/>
      </c>
      <c r="G1735" s="13">
        <f>SUMIFS(Movimentacoes!$G:$G,Movimentacoes!$C:$C,$A1735,Movimentacoes!$E:$E,$C1735,Movimentacoes!$B:$B,"ENTRADA")</f>
        <v/>
      </c>
      <c r="H1735" s="13">
        <f>SUMIFS(Movimentacoes!$G:$G,Movimentacoes!$C:$C,$A1735,Movimentacoes!$E:$E,$C1735,Movimentacoes!$B:$B,"SAIDA_USO")</f>
        <v/>
      </c>
      <c r="I1735" s="13">
        <f>SUMIFS(Movimentacoes!$G:$G,Movimentacoes!$C:$C,$A1735,Movimentacoes!$E:$E,$C1735,Movimentacoes!$B:$B,"SAIDA_DESCARTE")</f>
        <v/>
      </c>
      <c r="J1735" s="13">
        <f>G1735-H1735-I1735</f>
        <v/>
      </c>
      <c r="K1735">
        <f>IF(A1735="","",IF(J1735&lt;=IFERROR(VLOOKUP(A1735,Cadastro_Produtos!$A:$E,5,FALSE),0),"ABAIXO DO MINIMO","OK"))</f>
        <v/>
      </c>
    </row>
    <row r="1736">
      <c r="B1736">
        <f>IFERROR(VLOOKUP(A1736,Cadastro_Produtos!A:B,2,FALSE),"")</f>
        <v/>
      </c>
      <c r="D1736" s="12" t="n"/>
      <c r="E1736" s="13">
        <f>IF(D1736="","",D1736-TODAY())</f>
        <v/>
      </c>
      <c r="F1736">
        <f>IF(D1736="","",IF(E1736&lt;0,"VENCIDO",IF(E1736&lt;=30,"VENCE EM &lt;= 30 DIAS",IF(E1736&lt;=60,"ATENCAO (31-60 DIAS)","OK"))))</f>
        <v/>
      </c>
      <c r="G1736" s="13">
        <f>SUMIFS(Movimentacoes!$G:$G,Movimentacoes!$C:$C,$A1736,Movimentacoes!$E:$E,$C1736,Movimentacoes!$B:$B,"ENTRADA")</f>
        <v/>
      </c>
      <c r="H1736" s="13">
        <f>SUMIFS(Movimentacoes!$G:$G,Movimentacoes!$C:$C,$A1736,Movimentacoes!$E:$E,$C1736,Movimentacoes!$B:$B,"SAIDA_USO")</f>
        <v/>
      </c>
      <c r="I1736" s="13">
        <f>SUMIFS(Movimentacoes!$G:$G,Movimentacoes!$C:$C,$A1736,Movimentacoes!$E:$E,$C1736,Movimentacoes!$B:$B,"SAIDA_DESCARTE")</f>
        <v/>
      </c>
      <c r="J1736" s="13">
        <f>G1736-H1736-I1736</f>
        <v/>
      </c>
      <c r="K1736">
        <f>IF(A1736="","",IF(J1736&lt;=IFERROR(VLOOKUP(A1736,Cadastro_Produtos!$A:$E,5,FALSE),0),"ABAIXO DO MINIMO","OK"))</f>
        <v/>
      </c>
    </row>
    <row r="1737">
      <c r="B1737">
        <f>IFERROR(VLOOKUP(A1737,Cadastro_Produtos!A:B,2,FALSE),"")</f>
        <v/>
      </c>
      <c r="D1737" s="12" t="n"/>
      <c r="E1737" s="13">
        <f>IF(D1737="","",D1737-TODAY())</f>
        <v/>
      </c>
      <c r="F1737">
        <f>IF(D1737="","",IF(E1737&lt;0,"VENCIDO",IF(E1737&lt;=30,"VENCE EM &lt;= 30 DIAS",IF(E1737&lt;=60,"ATENCAO (31-60 DIAS)","OK"))))</f>
        <v/>
      </c>
      <c r="G1737" s="13">
        <f>SUMIFS(Movimentacoes!$G:$G,Movimentacoes!$C:$C,$A1737,Movimentacoes!$E:$E,$C1737,Movimentacoes!$B:$B,"ENTRADA")</f>
        <v/>
      </c>
      <c r="H1737" s="13">
        <f>SUMIFS(Movimentacoes!$G:$G,Movimentacoes!$C:$C,$A1737,Movimentacoes!$E:$E,$C1737,Movimentacoes!$B:$B,"SAIDA_USO")</f>
        <v/>
      </c>
      <c r="I1737" s="13">
        <f>SUMIFS(Movimentacoes!$G:$G,Movimentacoes!$C:$C,$A1737,Movimentacoes!$E:$E,$C1737,Movimentacoes!$B:$B,"SAIDA_DESCARTE")</f>
        <v/>
      </c>
      <c r="J1737" s="13">
        <f>G1737-H1737-I1737</f>
        <v/>
      </c>
      <c r="K1737">
        <f>IF(A1737="","",IF(J1737&lt;=IFERROR(VLOOKUP(A1737,Cadastro_Produtos!$A:$E,5,FALSE),0),"ABAIXO DO MINIMO","OK"))</f>
        <v/>
      </c>
    </row>
    <row r="1738">
      <c r="B1738">
        <f>IFERROR(VLOOKUP(A1738,Cadastro_Produtos!A:B,2,FALSE),"")</f>
        <v/>
      </c>
      <c r="D1738" s="12" t="n"/>
      <c r="E1738" s="13">
        <f>IF(D1738="","",D1738-TODAY())</f>
        <v/>
      </c>
      <c r="F1738">
        <f>IF(D1738="","",IF(E1738&lt;0,"VENCIDO",IF(E1738&lt;=30,"VENCE EM &lt;= 30 DIAS",IF(E1738&lt;=60,"ATENCAO (31-60 DIAS)","OK"))))</f>
        <v/>
      </c>
      <c r="G1738" s="13">
        <f>SUMIFS(Movimentacoes!$G:$G,Movimentacoes!$C:$C,$A1738,Movimentacoes!$E:$E,$C1738,Movimentacoes!$B:$B,"ENTRADA")</f>
        <v/>
      </c>
      <c r="H1738" s="13">
        <f>SUMIFS(Movimentacoes!$G:$G,Movimentacoes!$C:$C,$A1738,Movimentacoes!$E:$E,$C1738,Movimentacoes!$B:$B,"SAIDA_USO")</f>
        <v/>
      </c>
      <c r="I1738" s="13">
        <f>SUMIFS(Movimentacoes!$G:$G,Movimentacoes!$C:$C,$A1738,Movimentacoes!$E:$E,$C1738,Movimentacoes!$B:$B,"SAIDA_DESCARTE")</f>
        <v/>
      </c>
      <c r="J1738" s="13">
        <f>G1738-H1738-I1738</f>
        <v/>
      </c>
      <c r="K1738">
        <f>IF(A1738="","",IF(J1738&lt;=IFERROR(VLOOKUP(A1738,Cadastro_Produtos!$A:$E,5,FALSE),0),"ABAIXO DO MINIMO","OK"))</f>
        <v/>
      </c>
    </row>
    <row r="1739">
      <c r="B1739">
        <f>IFERROR(VLOOKUP(A1739,Cadastro_Produtos!A:B,2,FALSE),"")</f>
        <v/>
      </c>
      <c r="D1739" s="12" t="n"/>
      <c r="E1739" s="13">
        <f>IF(D1739="","",D1739-TODAY())</f>
        <v/>
      </c>
      <c r="F1739">
        <f>IF(D1739="","",IF(E1739&lt;0,"VENCIDO",IF(E1739&lt;=30,"VENCE EM &lt;= 30 DIAS",IF(E1739&lt;=60,"ATENCAO (31-60 DIAS)","OK"))))</f>
        <v/>
      </c>
      <c r="G1739" s="13">
        <f>SUMIFS(Movimentacoes!$G:$G,Movimentacoes!$C:$C,$A1739,Movimentacoes!$E:$E,$C1739,Movimentacoes!$B:$B,"ENTRADA")</f>
        <v/>
      </c>
      <c r="H1739" s="13">
        <f>SUMIFS(Movimentacoes!$G:$G,Movimentacoes!$C:$C,$A1739,Movimentacoes!$E:$E,$C1739,Movimentacoes!$B:$B,"SAIDA_USO")</f>
        <v/>
      </c>
      <c r="I1739" s="13">
        <f>SUMIFS(Movimentacoes!$G:$G,Movimentacoes!$C:$C,$A1739,Movimentacoes!$E:$E,$C1739,Movimentacoes!$B:$B,"SAIDA_DESCARTE")</f>
        <v/>
      </c>
      <c r="J1739" s="13">
        <f>G1739-H1739-I1739</f>
        <v/>
      </c>
      <c r="K1739">
        <f>IF(A1739="","",IF(J1739&lt;=IFERROR(VLOOKUP(A1739,Cadastro_Produtos!$A:$E,5,FALSE),0),"ABAIXO DO MINIMO","OK"))</f>
        <v/>
      </c>
    </row>
    <row r="1740">
      <c r="B1740">
        <f>IFERROR(VLOOKUP(A1740,Cadastro_Produtos!A:B,2,FALSE),"")</f>
        <v/>
      </c>
      <c r="D1740" s="12" t="n"/>
      <c r="E1740" s="13">
        <f>IF(D1740="","",D1740-TODAY())</f>
        <v/>
      </c>
      <c r="F1740">
        <f>IF(D1740="","",IF(E1740&lt;0,"VENCIDO",IF(E1740&lt;=30,"VENCE EM &lt;= 30 DIAS",IF(E1740&lt;=60,"ATENCAO (31-60 DIAS)","OK"))))</f>
        <v/>
      </c>
      <c r="G1740" s="13">
        <f>SUMIFS(Movimentacoes!$G:$G,Movimentacoes!$C:$C,$A1740,Movimentacoes!$E:$E,$C1740,Movimentacoes!$B:$B,"ENTRADA")</f>
        <v/>
      </c>
      <c r="H1740" s="13">
        <f>SUMIFS(Movimentacoes!$G:$G,Movimentacoes!$C:$C,$A1740,Movimentacoes!$E:$E,$C1740,Movimentacoes!$B:$B,"SAIDA_USO")</f>
        <v/>
      </c>
      <c r="I1740" s="13">
        <f>SUMIFS(Movimentacoes!$G:$G,Movimentacoes!$C:$C,$A1740,Movimentacoes!$E:$E,$C1740,Movimentacoes!$B:$B,"SAIDA_DESCARTE")</f>
        <v/>
      </c>
      <c r="J1740" s="13">
        <f>G1740-H1740-I1740</f>
        <v/>
      </c>
      <c r="K1740">
        <f>IF(A1740="","",IF(J1740&lt;=IFERROR(VLOOKUP(A1740,Cadastro_Produtos!$A:$E,5,FALSE),0),"ABAIXO DO MINIMO","OK"))</f>
        <v/>
      </c>
    </row>
    <row r="1741">
      <c r="B1741">
        <f>IFERROR(VLOOKUP(A1741,Cadastro_Produtos!A:B,2,FALSE),"")</f>
        <v/>
      </c>
      <c r="D1741" s="12" t="n"/>
      <c r="E1741" s="13">
        <f>IF(D1741="","",D1741-TODAY())</f>
        <v/>
      </c>
      <c r="F1741">
        <f>IF(D1741="","",IF(E1741&lt;0,"VENCIDO",IF(E1741&lt;=30,"VENCE EM &lt;= 30 DIAS",IF(E1741&lt;=60,"ATENCAO (31-60 DIAS)","OK"))))</f>
        <v/>
      </c>
      <c r="G1741" s="13">
        <f>SUMIFS(Movimentacoes!$G:$G,Movimentacoes!$C:$C,$A1741,Movimentacoes!$E:$E,$C1741,Movimentacoes!$B:$B,"ENTRADA")</f>
        <v/>
      </c>
      <c r="H1741" s="13">
        <f>SUMIFS(Movimentacoes!$G:$G,Movimentacoes!$C:$C,$A1741,Movimentacoes!$E:$E,$C1741,Movimentacoes!$B:$B,"SAIDA_USO")</f>
        <v/>
      </c>
      <c r="I1741" s="13">
        <f>SUMIFS(Movimentacoes!$G:$G,Movimentacoes!$C:$C,$A1741,Movimentacoes!$E:$E,$C1741,Movimentacoes!$B:$B,"SAIDA_DESCARTE")</f>
        <v/>
      </c>
      <c r="J1741" s="13">
        <f>G1741-H1741-I1741</f>
        <v/>
      </c>
      <c r="K1741">
        <f>IF(A1741="","",IF(J1741&lt;=IFERROR(VLOOKUP(A1741,Cadastro_Produtos!$A:$E,5,FALSE),0),"ABAIXO DO MINIMO","OK"))</f>
        <v/>
      </c>
    </row>
    <row r="1742">
      <c r="B1742">
        <f>IFERROR(VLOOKUP(A1742,Cadastro_Produtos!A:B,2,FALSE),"")</f>
        <v/>
      </c>
      <c r="D1742" s="12" t="n"/>
      <c r="E1742" s="13">
        <f>IF(D1742="","",D1742-TODAY())</f>
        <v/>
      </c>
      <c r="F1742">
        <f>IF(D1742="","",IF(E1742&lt;0,"VENCIDO",IF(E1742&lt;=30,"VENCE EM &lt;= 30 DIAS",IF(E1742&lt;=60,"ATENCAO (31-60 DIAS)","OK"))))</f>
        <v/>
      </c>
      <c r="G1742" s="13">
        <f>SUMIFS(Movimentacoes!$G:$G,Movimentacoes!$C:$C,$A1742,Movimentacoes!$E:$E,$C1742,Movimentacoes!$B:$B,"ENTRADA")</f>
        <v/>
      </c>
      <c r="H1742" s="13">
        <f>SUMIFS(Movimentacoes!$G:$G,Movimentacoes!$C:$C,$A1742,Movimentacoes!$E:$E,$C1742,Movimentacoes!$B:$B,"SAIDA_USO")</f>
        <v/>
      </c>
      <c r="I1742" s="13">
        <f>SUMIFS(Movimentacoes!$G:$G,Movimentacoes!$C:$C,$A1742,Movimentacoes!$E:$E,$C1742,Movimentacoes!$B:$B,"SAIDA_DESCARTE")</f>
        <v/>
      </c>
      <c r="J1742" s="13">
        <f>G1742-H1742-I1742</f>
        <v/>
      </c>
      <c r="K1742">
        <f>IF(A1742="","",IF(J1742&lt;=IFERROR(VLOOKUP(A1742,Cadastro_Produtos!$A:$E,5,FALSE),0),"ABAIXO DO MINIMO","OK"))</f>
        <v/>
      </c>
    </row>
    <row r="1743">
      <c r="B1743">
        <f>IFERROR(VLOOKUP(A1743,Cadastro_Produtos!A:B,2,FALSE),"")</f>
        <v/>
      </c>
      <c r="D1743" s="12" t="n"/>
      <c r="E1743" s="13">
        <f>IF(D1743="","",D1743-TODAY())</f>
        <v/>
      </c>
      <c r="F1743">
        <f>IF(D1743="","",IF(E1743&lt;0,"VENCIDO",IF(E1743&lt;=30,"VENCE EM &lt;= 30 DIAS",IF(E1743&lt;=60,"ATENCAO (31-60 DIAS)","OK"))))</f>
        <v/>
      </c>
      <c r="G1743" s="13">
        <f>SUMIFS(Movimentacoes!$G:$G,Movimentacoes!$C:$C,$A1743,Movimentacoes!$E:$E,$C1743,Movimentacoes!$B:$B,"ENTRADA")</f>
        <v/>
      </c>
      <c r="H1743" s="13">
        <f>SUMIFS(Movimentacoes!$G:$G,Movimentacoes!$C:$C,$A1743,Movimentacoes!$E:$E,$C1743,Movimentacoes!$B:$B,"SAIDA_USO")</f>
        <v/>
      </c>
      <c r="I1743" s="13">
        <f>SUMIFS(Movimentacoes!$G:$G,Movimentacoes!$C:$C,$A1743,Movimentacoes!$E:$E,$C1743,Movimentacoes!$B:$B,"SAIDA_DESCARTE")</f>
        <v/>
      </c>
      <c r="J1743" s="13">
        <f>G1743-H1743-I1743</f>
        <v/>
      </c>
      <c r="K1743">
        <f>IF(A1743="","",IF(J1743&lt;=IFERROR(VLOOKUP(A1743,Cadastro_Produtos!$A:$E,5,FALSE),0),"ABAIXO DO MINIMO","OK"))</f>
        <v/>
      </c>
    </row>
    <row r="1744">
      <c r="B1744">
        <f>IFERROR(VLOOKUP(A1744,Cadastro_Produtos!A:B,2,FALSE),"")</f>
        <v/>
      </c>
      <c r="D1744" s="12" t="n"/>
      <c r="E1744" s="13">
        <f>IF(D1744="","",D1744-TODAY())</f>
        <v/>
      </c>
      <c r="F1744">
        <f>IF(D1744="","",IF(E1744&lt;0,"VENCIDO",IF(E1744&lt;=30,"VENCE EM &lt;= 30 DIAS",IF(E1744&lt;=60,"ATENCAO (31-60 DIAS)","OK"))))</f>
        <v/>
      </c>
      <c r="G1744" s="13">
        <f>SUMIFS(Movimentacoes!$G:$G,Movimentacoes!$C:$C,$A1744,Movimentacoes!$E:$E,$C1744,Movimentacoes!$B:$B,"ENTRADA")</f>
        <v/>
      </c>
      <c r="H1744" s="13">
        <f>SUMIFS(Movimentacoes!$G:$G,Movimentacoes!$C:$C,$A1744,Movimentacoes!$E:$E,$C1744,Movimentacoes!$B:$B,"SAIDA_USO")</f>
        <v/>
      </c>
      <c r="I1744" s="13">
        <f>SUMIFS(Movimentacoes!$G:$G,Movimentacoes!$C:$C,$A1744,Movimentacoes!$E:$E,$C1744,Movimentacoes!$B:$B,"SAIDA_DESCARTE")</f>
        <v/>
      </c>
      <c r="J1744" s="13">
        <f>G1744-H1744-I1744</f>
        <v/>
      </c>
      <c r="K1744">
        <f>IF(A1744="","",IF(J1744&lt;=IFERROR(VLOOKUP(A1744,Cadastro_Produtos!$A:$E,5,FALSE),0),"ABAIXO DO MINIMO","OK"))</f>
        <v/>
      </c>
    </row>
    <row r="1745">
      <c r="B1745">
        <f>IFERROR(VLOOKUP(A1745,Cadastro_Produtos!A:B,2,FALSE),"")</f>
        <v/>
      </c>
      <c r="D1745" s="12" t="n"/>
      <c r="E1745" s="13">
        <f>IF(D1745="","",D1745-TODAY())</f>
        <v/>
      </c>
      <c r="F1745">
        <f>IF(D1745="","",IF(E1745&lt;0,"VENCIDO",IF(E1745&lt;=30,"VENCE EM &lt;= 30 DIAS",IF(E1745&lt;=60,"ATENCAO (31-60 DIAS)","OK"))))</f>
        <v/>
      </c>
      <c r="G1745" s="13">
        <f>SUMIFS(Movimentacoes!$G:$G,Movimentacoes!$C:$C,$A1745,Movimentacoes!$E:$E,$C1745,Movimentacoes!$B:$B,"ENTRADA")</f>
        <v/>
      </c>
      <c r="H1745" s="13">
        <f>SUMIFS(Movimentacoes!$G:$G,Movimentacoes!$C:$C,$A1745,Movimentacoes!$E:$E,$C1745,Movimentacoes!$B:$B,"SAIDA_USO")</f>
        <v/>
      </c>
      <c r="I1745" s="13">
        <f>SUMIFS(Movimentacoes!$G:$G,Movimentacoes!$C:$C,$A1745,Movimentacoes!$E:$E,$C1745,Movimentacoes!$B:$B,"SAIDA_DESCARTE")</f>
        <v/>
      </c>
      <c r="J1745" s="13">
        <f>G1745-H1745-I1745</f>
        <v/>
      </c>
      <c r="K1745">
        <f>IF(A1745="","",IF(J1745&lt;=IFERROR(VLOOKUP(A1745,Cadastro_Produtos!$A:$E,5,FALSE),0),"ABAIXO DO MINIMO","OK"))</f>
        <v/>
      </c>
    </row>
    <row r="1746">
      <c r="B1746">
        <f>IFERROR(VLOOKUP(A1746,Cadastro_Produtos!A:B,2,FALSE),"")</f>
        <v/>
      </c>
      <c r="D1746" s="12" t="n"/>
      <c r="E1746" s="13">
        <f>IF(D1746="","",D1746-TODAY())</f>
        <v/>
      </c>
      <c r="F1746">
        <f>IF(D1746="","",IF(E1746&lt;0,"VENCIDO",IF(E1746&lt;=30,"VENCE EM &lt;= 30 DIAS",IF(E1746&lt;=60,"ATENCAO (31-60 DIAS)","OK"))))</f>
        <v/>
      </c>
      <c r="G1746" s="13">
        <f>SUMIFS(Movimentacoes!$G:$G,Movimentacoes!$C:$C,$A1746,Movimentacoes!$E:$E,$C1746,Movimentacoes!$B:$B,"ENTRADA")</f>
        <v/>
      </c>
      <c r="H1746" s="13">
        <f>SUMIFS(Movimentacoes!$G:$G,Movimentacoes!$C:$C,$A1746,Movimentacoes!$E:$E,$C1746,Movimentacoes!$B:$B,"SAIDA_USO")</f>
        <v/>
      </c>
      <c r="I1746" s="13">
        <f>SUMIFS(Movimentacoes!$G:$G,Movimentacoes!$C:$C,$A1746,Movimentacoes!$E:$E,$C1746,Movimentacoes!$B:$B,"SAIDA_DESCARTE")</f>
        <v/>
      </c>
      <c r="J1746" s="13">
        <f>G1746-H1746-I1746</f>
        <v/>
      </c>
      <c r="K1746">
        <f>IF(A1746="","",IF(J1746&lt;=IFERROR(VLOOKUP(A1746,Cadastro_Produtos!$A:$E,5,FALSE),0),"ABAIXO DO MINIMO","OK"))</f>
        <v/>
      </c>
    </row>
    <row r="1747">
      <c r="B1747">
        <f>IFERROR(VLOOKUP(A1747,Cadastro_Produtos!A:B,2,FALSE),"")</f>
        <v/>
      </c>
      <c r="D1747" s="12" t="n"/>
      <c r="E1747" s="13">
        <f>IF(D1747="","",D1747-TODAY())</f>
        <v/>
      </c>
      <c r="F1747">
        <f>IF(D1747="","",IF(E1747&lt;0,"VENCIDO",IF(E1747&lt;=30,"VENCE EM &lt;= 30 DIAS",IF(E1747&lt;=60,"ATENCAO (31-60 DIAS)","OK"))))</f>
        <v/>
      </c>
      <c r="G1747" s="13">
        <f>SUMIFS(Movimentacoes!$G:$G,Movimentacoes!$C:$C,$A1747,Movimentacoes!$E:$E,$C1747,Movimentacoes!$B:$B,"ENTRADA")</f>
        <v/>
      </c>
      <c r="H1747" s="13">
        <f>SUMIFS(Movimentacoes!$G:$G,Movimentacoes!$C:$C,$A1747,Movimentacoes!$E:$E,$C1747,Movimentacoes!$B:$B,"SAIDA_USO")</f>
        <v/>
      </c>
      <c r="I1747" s="13">
        <f>SUMIFS(Movimentacoes!$G:$G,Movimentacoes!$C:$C,$A1747,Movimentacoes!$E:$E,$C1747,Movimentacoes!$B:$B,"SAIDA_DESCARTE")</f>
        <v/>
      </c>
      <c r="J1747" s="13">
        <f>G1747-H1747-I1747</f>
        <v/>
      </c>
      <c r="K1747">
        <f>IF(A1747="","",IF(J1747&lt;=IFERROR(VLOOKUP(A1747,Cadastro_Produtos!$A:$E,5,FALSE),0),"ABAIXO DO MINIMO","OK"))</f>
        <v/>
      </c>
    </row>
    <row r="1748">
      <c r="B1748">
        <f>IFERROR(VLOOKUP(A1748,Cadastro_Produtos!A:B,2,FALSE),"")</f>
        <v/>
      </c>
      <c r="D1748" s="12" t="n"/>
      <c r="E1748" s="13">
        <f>IF(D1748="","",D1748-TODAY())</f>
        <v/>
      </c>
      <c r="F1748">
        <f>IF(D1748="","",IF(E1748&lt;0,"VENCIDO",IF(E1748&lt;=30,"VENCE EM &lt;= 30 DIAS",IF(E1748&lt;=60,"ATENCAO (31-60 DIAS)","OK"))))</f>
        <v/>
      </c>
      <c r="G1748" s="13">
        <f>SUMIFS(Movimentacoes!$G:$G,Movimentacoes!$C:$C,$A1748,Movimentacoes!$E:$E,$C1748,Movimentacoes!$B:$B,"ENTRADA")</f>
        <v/>
      </c>
      <c r="H1748" s="13">
        <f>SUMIFS(Movimentacoes!$G:$G,Movimentacoes!$C:$C,$A1748,Movimentacoes!$E:$E,$C1748,Movimentacoes!$B:$B,"SAIDA_USO")</f>
        <v/>
      </c>
      <c r="I1748" s="13">
        <f>SUMIFS(Movimentacoes!$G:$G,Movimentacoes!$C:$C,$A1748,Movimentacoes!$E:$E,$C1748,Movimentacoes!$B:$B,"SAIDA_DESCARTE")</f>
        <v/>
      </c>
      <c r="J1748" s="13">
        <f>G1748-H1748-I1748</f>
        <v/>
      </c>
      <c r="K1748">
        <f>IF(A1748="","",IF(J1748&lt;=IFERROR(VLOOKUP(A1748,Cadastro_Produtos!$A:$E,5,FALSE),0),"ABAIXO DO MINIMO","OK"))</f>
        <v/>
      </c>
    </row>
    <row r="1749">
      <c r="B1749">
        <f>IFERROR(VLOOKUP(A1749,Cadastro_Produtos!A:B,2,FALSE),"")</f>
        <v/>
      </c>
      <c r="D1749" s="12" t="n"/>
      <c r="E1749" s="13">
        <f>IF(D1749="","",D1749-TODAY())</f>
        <v/>
      </c>
      <c r="F1749">
        <f>IF(D1749="","",IF(E1749&lt;0,"VENCIDO",IF(E1749&lt;=30,"VENCE EM &lt;= 30 DIAS",IF(E1749&lt;=60,"ATENCAO (31-60 DIAS)","OK"))))</f>
        <v/>
      </c>
      <c r="G1749" s="13">
        <f>SUMIFS(Movimentacoes!$G:$G,Movimentacoes!$C:$C,$A1749,Movimentacoes!$E:$E,$C1749,Movimentacoes!$B:$B,"ENTRADA")</f>
        <v/>
      </c>
      <c r="H1749" s="13">
        <f>SUMIFS(Movimentacoes!$G:$G,Movimentacoes!$C:$C,$A1749,Movimentacoes!$E:$E,$C1749,Movimentacoes!$B:$B,"SAIDA_USO")</f>
        <v/>
      </c>
      <c r="I1749" s="13">
        <f>SUMIFS(Movimentacoes!$G:$G,Movimentacoes!$C:$C,$A1749,Movimentacoes!$E:$E,$C1749,Movimentacoes!$B:$B,"SAIDA_DESCARTE")</f>
        <v/>
      </c>
      <c r="J1749" s="13">
        <f>G1749-H1749-I1749</f>
        <v/>
      </c>
      <c r="K1749">
        <f>IF(A1749="","",IF(J1749&lt;=IFERROR(VLOOKUP(A1749,Cadastro_Produtos!$A:$E,5,FALSE),0),"ABAIXO DO MINIMO","OK"))</f>
        <v/>
      </c>
    </row>
    <row r="1750">
      <c r="B1750">
        <f>IFERROR(VLOOKUP(A1750,Cadastro_Produtos!A:B,2,FALSE),"")</f>
        <v/>
      </c>
      <c r="D1750" s="12" t="n"/>
      <c r="E1750" s="13">
        <f>IF(D1750="","",D1750-TODAY())</f>
        <v/>
      </c>
      <c r="F1750">
        <f>IF(D1750="","",IF(E1750&lt;0,"VENCIDO",IF(E1750&lt;=30,"VENCE EM &lt;= 30 DIAS",IF(E1750&lt;=60,"ATENCAO (31-60 DIAS)","OK"))))</f>
        <v/>
      </c>
      <c r="G1750" s="13">
        <f>SUMIFS(Movimentacoes!$G:$G,Movimentacoes!$C:$C,$A1750,Movimentacoes!$E:$E,$C1750,Movimentacoes!$B:$B,"ENTRADA")</f>
        <v/>
      </c>
      <c r="H1750" s="13">
        <f>SUMIFS(Movimentacoes!$G:$G,Movimentacoes!$C:$C,$A1750,Movimentacoes!$E:$E,$C1750,Movimentacoes!$B:$B,"SAIDA_USO")</f>
        <v/>
      </c>
      <c r="I1750" s="13">
        <f>SUMIFS(Movimentacoes!$G:$G,Movimentacoes!$C:$C,$A1750,Movimentacoes!$E:$E,$C1750,Movimentacoes!$B:$B,"SAIDA_DESCARTE")</f>
        <v/>
      </c>
      <c r="J1750" s="13">
        <f>G1750-H1750-I1750</f>
        <v/>
      </c>
      <c r="K1750">
        <f>IF(A1750="","",IF(J1750&lt;=IFERROR(VLOOKUP(A1750,Cadastro_Produtos!$A:$E,5,FALSE),0),"ABAIXO DO MINIMO","OK"))</f>
        <v/>
      </c>
    </row>
    <row r="1751">
      <c r="B1751">
        <f>IFERROR(VLOOKUP(A1751,Cadastro_Produtos!A:B,2,FALSE),"")</f>
        <v/>
      </c>
      <c r="D1751" s="12" t="n"/>
      <c r="E1751" s="13">
        <f>IF(D1751="","",D1751-TODAY())</f>
        <v/>
      </c>
      <c r="F1751">
        <f>IF(D1751="","",IF(E1751&lt;0,"VENCIDO",IF(E1751&lt;=30,"VENCE EM &lt;= 30 DIAS",IF(E1751&lt;=60,"ATENCAO (31-60 DIAS)","OK"))))</f>
        <v/>
      </c>
      <c r="G1751" s="13">
        <f>SUMIFS(Movimentacoes!$G:$G,Movimentacoes!$C:$C,$A1751,Movimentacoes!$E:$E,$C1751,Movimentacoes!$B:$B,"ENTRADA")</f>
        <v/>
      </c>
      <c r="H1751" s="13">
        <f>SUMIFS(Movimentacoes!$G:$G,Movimentacoes!$C:$C,$A1751,Movimentacoes!$E:$E,$C1751,Movimentacoes!$B:$B,"SAIDA_USO")</f>
        <v/>
      </c>
      <c r="I1751" s="13">
        <f>SUMIFS(Movimentacoes!$G:$G,Movimentacoes!$C:$C,$A1751,Movimentacoes!$E:$E,$C1751,Movimentacoes!$B:$B,"SAIDA_DESCARTE")</f>
        <v/>
      </c>
      <c r="J1751" s="13">
        <f>G1751-H1751-I1751</f>
        <v/>
      </c>
      <c r="K1751">
        <f>IF(A1751="","",IF(J1751&lt;=IFERROR(VLOOKUP(A1751,Cadastro_Produtos!$A:$E,5,FALSE),0),"ABAIXO DO MINIMO","OK"))</f>
        <v/>
      </c>
    </row>
    <row r="1752">
      <c r="B1752">
        <f>IFERROR(VLOOKUP(A1752,Cadastro_Produtos!A:B,2,FALSE),"")</f>
        <v/>
      </c>
      <c r="D1752" s="12" t="n"/>
      <c r="E1752" s="13">
        <f>IF(D1752="","",D1752-TODAY())</f>
        <v/>
      </c>
      <c r="F1752">
        <f>IF(D1752="","",IF(E1752&lt;0,"VENCIDO",IF(E1752&lt;=30,"VENCE EM &lt;= 30 DIAS",IF(E1752&lt;=60,"ATENCAO (31-60 DIAS)","OK"))))</f>
        <v/>
      </c>
      <c r="G1752" s="13">
        <f>SUMIFS(Movimentacoes!$G:$G,Movimentacoes!$C:$C,$A1752,Movimentacoes!$E:$E,$C1752,Movimentacoes!$B:$B,"ENTRADA")</f>
        <v/>
      </c>
      <c r="H1752" s="13">
        <f>SUMIFS(Movimentacoes!$G:$G,Movimentacoes!$C:$C,$A1752,Movimentacoes!$E:$E,$C1752,Movimentacoes!$B:$B,"SAIDA_USO")</f>
        <v/>
      </c>
      <c r="I1752" s="13">
        <f>SUMIFS(Movimentacoes!$G:$G,Movimentacoes!$C:$C,$A1752,Movimentacoes!$E:$E,$C1752,Movimentacoes!$B:$B,"SAIDA_DESCARTE")</f>
        <v/>
      </c>
      <c r="J1752" s="13">
        <f>G1752-H1752-I1752</f>
        <v/>
      </c>
      <c r="K1752">
        <f>IF(A1752="","",IF(J1752&lt;=IFERROR(VLOOKUP(A1752,Cadastro_Produtos!$A:$E,5,FALSE),0),"ABAIXO DO MINIMO","OK"))</f>
        <v/>
      </c>
    </row>
    <row r="1753">
      <c r="B1753">
        <f>IFERROR(VLOOKUP(A1753,Cadastro_Produtos!A:B,2,FALSE),"")</f>
        <v/>
      </c>
      <c r="D1753" s="12" t="n"/>
      <c r="E1753" s="13">
        <f>IF(D1753="","",D1753-TODAY())</f>
        <v/>
      </c>
      <c r="F1753">
        <f>IF(D1753="","",IF(E1753&lt;0,"VENCIDO",IF(E1753&lt;=30,"VENCE EM &lt;= 30 DIAS",IF(E1753&lt;=60,"ATENCAO (31-60 DIAS)","OK"))))</f>
        <v/>
      </c>
      <c r="G1753" s="13">
        <f>SUMIFS(Movimentacoes!$G:$G,Movimentacoes!$C:$C,$A1753,Movimentacoes!$E:$E,$C1753,Movimentacoes!$B:$B,"ENTRADA")</f>
        <v/>
      </c>
      <c r="H1753" s="13">
        <f>SUMIFS(Movimentacoes!$G:$G,Movimentacoes!$C:$C,$A1753,Movimentacoes!$E:$E,$C1753,Movimentacoes!$B:$B,"SAIDA_USO")</f>
        <v/>
      </c>
      <c r="I1753" s="13">
        <f>SUMIFS(Movimentacoes!$G:$G,Movimentacoes!$C:$C,$A1753,Movimentacoes!$E:$E,$C1753,Movimentacoes!$B:$B,"SAIDA_DESCARTE")</f>
        <v/>
      </c>
      <c r="J1753" s="13">
        <f>G1753-H1753-I1753</f>
        <v/>
      </c>
      <c r="K1753">
        <f>IF(A1753="","",IF(J1753&lt;=IFERROR(VLOOKUP(A1753,Cadastro_Produtos!$A:$E,5,FALSE),0),"ABAIXO DO MINIMO","OK"))</f>
        <v/>
      </c>
    </row>
    <row r="1754">
      <c r="B1754">
        <f>IFERROR(VLOOKUP(A1754,Cadastro_Produtos!A:B,2,FALSE),"")</f>
        <v/>
      </c>
      <c r="D1754" s="12" t="n"/>
      <c r="E1754" s="13">
        <f>IF(D1754="","",D1754-TODAY())</f>
        <v/>
      </c>
      <c r="F1754">
        <f>IF(D1754="","",IF(E1754&lt;0,"VENCIDO",IF(E1754&lt;=30,"VENCE EM &lt;= 30 DIAS",IF(E1754&lt;=60,"ATENCAO (31-60 DIAS)","OK"))))</f>
        <v/>
      </c>
      <c r="G1754" s="13">
        <f>SUMIFS(Movimentacoes!$G:$G,Movimentacoes!$C:$C,$A1754,Movimentacoes!$E:$E,$C1754,Movimentacoes!$B:$B,"ENTRADA")</f>
        <v/>
      </c>
      <c r="H1754" s="13">
        <f>SUMIFS(Movimentacoes!$G:$G,Movimentacoes!$C:$C,$A1754,Movimentacoes!$E:$E,$C1754,Movimentacoes!$B:$B,"SAIDA_USO")</f>
        <v/>
      </c>
      <c r="I1754" s="13">
        <f>SUMIFS(Movimentacoes!$G:$G,Movimentacoes!$C:$C,$A1754,Movimentacoes!$E:$E,$C1754,Movimentacoes!$B:$B,"SAIDA_DESCARTE")</f>
        <v/>
      </c>
      <c r="J1754" s="13">
        <f>G1754-H1754-I1754</f>
        <v/>
      </c>
      <c r="K1754">
        <f>IF(A1754="","",IF(J1754&lt;=IFERROR(VLOOKUP(A1754,Cadastro_Produtos!$A:$E,5,FALSE),0),"ABAIXO DO MINIMO","OK"))</f>
        <v/>
      </c>
    </row>
    <row r="1755">
      <c r="B1755">
        <f>IFERROR(VLOOKUP(A1755,Cadastro_Produtos!A:B,2,FALSE),"")</f>
        <v/>
      </c>
      <c r="D1755" s="12" t="n"/>
      <c r="E1755" s="13">
        <f>IF(D1755="","",D1755-TODAY())</f>
        <v/>
      </c>
      <c r="F1755">
        <f>IF(D1755="","",IF(E1755&lt;0,"VENCIDO",IF(E1755&lt;=30,"VENCE EM &lt;= 30 DIAS",IF(E1755&lt;=60,"ATENCAO (31-60 DIAS)","OK"))))</f>
        <v/>
      </c>
      <c r="G1755" s="13">
        <f>SUMIFS(Movimentacoes!$G:$G,Movimentacoes!$C:$C,$A1755,Movimentacoes!$E:$E,$C1755,Movimentacoes!$B:$B,"ENTRADA")</f>
        <v/>
      </c>
      <c r="H1755" s="13">
        <f>SUMIFS(Movimentacoes!$G:$G,Movimentacoes!$C:$C,$A1755,Movimentacoes!$E:$E,$C1755,Movimentacoes!$B:$B,"SAIDA_USO")</f>
        <v/>
      </c>
      <c r="I1755" s="13">
        <f>SUMIFS(Movimentacoes!$G:$G,Movimentacoes!$C:$C,$A1755,Movimentacoes!$E:$E,$C1755,Movimentacoes!$B:$B,"SAIDA_DESCARTE")</f>
        <v/>
      </c>
      <c r="J1755" s="13">
        <f>G1755-H1755-I1755</f>
        <v/>
      </c>
      <c r="K1755">
        <f>IF(A1755="","",IF(J1755&lt;=IFERROR(VLOOKUP(A1755,Cadastro_Produtos!$A:$E,5,FALSE),0),"ABAIXO DO MINIMO","OK"))</f>
        <v/>
      </c>
    </row>
    <row r="1756">
      <c r="B1756">
        <f>IFERROR(VLOOKUP(A1756,Cadastro_Produtos!A:B,2,FALSE),"")</f>
        <v/>
      </c>
      <c r="D1756" s="12" t="n"/>
      <c r="E1756" s="13">
        <f>IF(D1756="","",D1756-TODAY())</f>
        <v/>
      </c>
      <c r="F1756">
        <f>IF(D1756="","",IF(E1756&lt;0,"VENCIDO",IF(E1756&lt;=30,"VENCE EM &lt;= 30 DIAS",IF(E1756&lt;=60,"ATENCAO (31-60 DIAS)","OK"))))</f>
        <v/>
      </c>
      <c r="G1756" s="13">
        <f>SUMIFS(Movimentacoes!$G:$G,Movimentacoes!$C:$C,$A1756,Movimentacoes!$E:$E,$C1756,Movimentacoes!$B:$B,"ENTRADA")</f>
        <v/>
      </c>
      <c r="H1756" s="13">
        <f>SUMIFS(Movimentacoes!$G:$G,Movimentacoes!$C:$C,$A1756,Movimentacoes!$E:$E,$C1756,Movimentacoes!$B:$B,"SAIDA_USO")</f>
        <v/>
      </c>
      <c r="I1756" s="13">
        <f>SUMIFS(Movimentacoes!$G:$G,Movimentacoes!$C:$C,$A1756,Movimentacoes!$E:$E,$C1756,Movimentacoes!$B:$B,"SAIDA_DESCARTE")</f>
        <v/>
      </c>
      <c r="J1756" s="13">
        <f>G1756-H1756-I1756</f>
        <v/>
      </c>
      <c r="K1756">
        <f>IF(A1756="","",IF(J1756&lt;=IFERROR(VLOOKUP(A1756,Cadastro_Produtos!$A:$E,5,FALSE),0),"ABAIXO DO MINIMO","OK"))</f>
        <v/>
      </c>
    </row>
    <row r="1757">
      <c r="B1757">
        <f>IFERROR(VLOOKUP(A1757,Cadastro_Produtos!A:B,2,FALSE),"")</f>
        <v/>
      </c>
      <c r="D1757" s="12" t="n"/>
      <c r="E1757" s="13">
        <f>IF(D1757="","",D1757-TODAY())</f>
        <v/>
      </c>
      <c r="F1757">
        <f>IF(D1757="","",IF(E1757&lt;0,"VENCIDO",IF(E1757&lt;=30,"VENCE EM &lt;= 30 DIAS",IF(E1757&lt;=60,"ATENCAO (31-60 DIAS)","OK"))))</f>
        <v/>
      </c>
      <c r="G1757" s="13">
        <f>SUMIFS(Movimentacoes!$G:$G,Movimentacoes!$C:$C,$A1757,Movimentacoes!$E:$E,$C1757,Movimentacoes!$B:$B,"ENTRADA")</f>
        <v/>
      </c>
      <c r="H1757" s="13">
        <f>SUMIFS(Movimentacoes!$G:$G,Movimentacoes!$C:$C,$A1757,Movimentacoes!$E:$E,$C1757,Movimentacoes!$B:$B,"SAIDA_USO")</f>
        <v/>
      </c>
      <c r="I1757" s="13">
        <f>SUMIFS(Movimentacoes!$G:$G,Movimentacoes!$C:$C,$A1757,Movimentacoes!$E:$E,$C1757,Movimentacoes!$B:$B,"SAIDA_DESCARTE")</f>
        <v/>
      </c>
      <c r="J1757" s="13">
        <f>G1757-H1757-I1757</f>
        <v/>
      </c>
      <c r="K1757">
        <f>IF(A1757="","",IF(J1757&lt;=IFERROR(VLOOKUP(A1757,Cadastro_Produtos!$A:$E,5,FALSE),0),"ABAIXO DO MINIMO","OK"))</f>
        <v/>
      </c>
    </row>
    <row r="1758">
      <c r="B1758">
        <f>IFERROR(VLOOKUP(A1758,Cadastro_Produtos!A:B,2,FALSE),"")</f>
        <v/>
      </c>
      <c r="D1758" s="12" t="n"/>
      <c r="E1758" s="13">
        <f>IF(D1758="","",D1758-TODAY())</f>
        <v/>
      </c>
      <c r="F1758">
        <f>IF(D1758="","",IF(E1758&lt;0,"VENCIDO",IF(E1758&lt;=30,"VENCE EM &lt;= 30 DIAS",IF(E1758&lt;=60,"ATENCAO (31-60 DIAS)","OK"))))</f>
        <v/>
      </c>
      <c r="G1758" s="13">
        <f>SUMIFS(Movimentacoes!$G:$G,Movimentacoes!$C:$C,$A1758,Movimentacoes!$E:$E,$C1758,Movimentacoes!$B:$B,"ENTRADA")</f>
        <v/>
      </c>
      <c r="H1758" s="13">
        <f>SUMIFS(Movimentacoes!$G:$G,Movimentacoes!$C:$C,$A1758,Movimentacoes!$E:$E,$C1758,Movimentacoes!$B:$B,"SAIDA_USO")</f>
        <v/>
      </c>
      <c r="I1758" s="13">
        <f>SUMIFS(Movimentacoes!$G:$G,Movimentacoes!$C:$C,$A1758,Movimentacoes!$E:$E,$C1758,Movimentacoes!$B:$B,"SAIDA_DESCARTE")</f>
        <v/>
      </c>
      <c r="J1758" s="13">
        <f>G1758-H1758-I1758</f>
        <v/>
      </c>
      <c r="K1758">
        <f>IF(A1758="","",IF(J1758&lt;=IFERROR(VLOOKUP(A1758,Cadastro_Produtos!$A:$E,5,FALSE),0),"ABAIXO DO MINIMO","OK"))</f>
        <v/>
      </c>
    </row>
    <row r="1759">
      <c r="B1759">
        <f>IFERROR(VLOOKUP(A1759,Cadastro_Produtos!A:B,2,FALSE),"")</f>
        <v/>
      </c>
      <c r="D1759" s="12" t="n"/>
      <c r="E1759" s="13">
        <f>IF(D1759="","",D1759-TODAY())</f>
        <v/>
      </c>
      <c r="F1759">
        <f>IF(D1759="","",IF(E1759&lt;0,"VENCIDO",IF(E1759&lt;=30,"VENCE EM &lt;= 30 DIAS",IF(E1759&lt;=60,"ATENCAO (31-60 DIAS)","OK"))))</f>
        <v/>
      </c>
      <c r="G1759" s="13">
        <f>SUMIFS(Movimentacoes!$G:$G,Movimentacoes!$C:$C,$A1759,Movimentacoes!$E:$E,$C1759,Movimentacoes!$B:$B,"ENTRADA")</f>
        <v/>
      </c>
      <c r="H1759" s="13">
        <f>SUMIFS(Movimentacoes!$G:$G,Movimentacoes!$C:$C,$A1759,Movimentacoes!$E:$E,$C1759,Movimentacoes!$B:$B,"SAIDA_USO")</f>
        <v/>
      </c>
      <c r="I1759" s="13">
        <f>SUMIFS(Movimentacoes!$G:$G,Movimentacoes!$C:$C,$A1759,Movimentacoes!$E:$E,$C1759,Movimentacoes!$B:$B,"SAIDA_DESCARTE")</f>
        <v/>
      </c>
      <c r="J1759" s="13">
        <f>G1759-H1759-I1759</f>
        <v/>
      </c>
      <c r="K1759">
        <f>IF(A1759="","",IF(J1759&lt;=IFERROR(VLOOKUP(A1759,Cadastro_Produtos!$A:$E,5,FALSE),0),"ABAIXO DO MINIMO","OK"))</f>
        <v/>
      </c>
    </row>
    <row r="1760">
      <c r="B1760">
        <f>IFERROR(VLOOKUP(A1760,Cadastro_Produtos!A:B,2,FALSE),"")</f>
        <v/>
      </c>
      <c r="D1760" s="12" t="n"/>
      <c r="E1760" s="13">
        <f>IF(D1760="","",D1760-TODAY())</f>
        <v/>
      </c>
      <c r="F1760">
        <f>IF(D1760="","",IF(E1760&lt;0,"VENCIDO",IF(E1760&lt;=30,"VENCE EM &lt;= 30 DIAS",IF(E1760&lt;=60,"ATENCAO (31-60 DIAS)","OK"))))</f>
        <v/>
      </c>
      <c r="G1760" s="13">
        <f>SUMIFS(Movimentacoes!$G:$G,Movimentacoes!$C:$C,$A1760,Movimentacoes!$E:$E,$C1760,Movimentacoes!$B:$B,"ENTRADA")</f>
        <v/>
      </c>
      <c r="H1760" s="13">
        <f>SUMIFS(Movimentacoes!$G:$G,Movimentacoes!$C:$C,$A1760,Movimentacoes!$E:$E,$C1760,Movimentacoes!$B:$B,"SAIDA_USO")</f>
        <v/>
      </c>
      <c r="I1760" s="13">
        <f>SUMIFS(Movimentacoes!$G:$G,Movimentacoes!$C:$C,$A1760,Movimentacoes!$E:$E,$C1760,Movimentacoes!$B:$B,"SAIDA_DESCARTE")</f>
        <v/>
      </c>
      <c r="J1760" s="13">
        <f>G1760-H1760-I1760</f>
        <v/>
      </c>
      <c r="K1760">
        <f>IF(A1760="","",IF(J1760&lt;=IFERROR(VLOOKUP(A1760,Cadastro_Produtos!$A:$E,5,FALSE),0),"ABAIXO DO MINIMO","OK"))</f>
        <v/>
      </c>
    </row>
    <row r="1761">
      <c r="B1761">
        <f>IFERROR(VLOOKUP(A1761,Cadastro_Produtos!A:B,2,FALSE),"")</f>
        <v/>
      </c>
      <c r="D1761" s="12" t="n"/>
      <c r="E1761" s="13">
        <f>IF(D1761="","",D1761-TODAY())</f>
        <v/>
      </c>
      <c r="F1761">
        <f>IF(D1761="","",IF(E1761&lt;0,"VENCIDO",IF(E1761&lt;=30,"VENCE EM &lt;= 30 DIAS",IF(E1761&lt;=60,"ATENCAO (31-60 DIAS)","OK"))))</f>
        <v/>
      </c>
      <c r="G1761" s="13">
        <f>SUMIFS(Movimentacoes!$G:$G,Movimentacoes!$C:$C,$A1761,Movimentacoes!$E:$E,$C1761,Movimentacoes!$B:$B,"ENTRADA")</f>
        <v/>
      </c>
      <c r="H1761" s="13">
        <f>SUMIFS(Movimentacoes!$G:$G,Movimentacoes!$C:$C,$A1761,Movimentacoes!$E:$E,$C1761,Movimentacoes!$B:$B,"SAIDA_USO")</f>
        <v/>
      </c>
      <c r="I1761" s="13">
        <f>SUMIFS(Movimentacoes!$G:$G,Movimentacoes!$C:$C,$A1761,Movimentacoes!$E:$E,$C1761,Movimentacoes!$B:$B,"SAIDA_DESCARTE")</f>
        <v/>
      </c>
      <c r="J1761" s="13">
        <f>G1761-H1761-I1761</f>
        <v/>
      </c>
      <c r="K1761">
        <f>IF(A1761="","",IF(J1761&lt;=IFERROR(VLOOKUP(A1761,Cadastro_Produtos!$A:$E,5,FALSE),0),"ABAIXO DO MINIMO","OK"))</f>
        <v/>
      </c>
    </row>
    <row r="1762">
      <c r="B1762">
        <f>IFERROR(VLOOKUP(A1762,Cadastro_Produtos!A:B,2,FALSE),"")</f>
        <v/>
      </c>
      <c r="D1762" s="12" t="n"/>
      <c r="E1762" s="13">
        <f>IF(D1762="","",D1762-TODAY())</f>
        <v/>
      </c>
      <c r="F1762">
        <f>IF(D1762="","",IF(E1762&lt;0,"VENCIDO",IF(E1762&lt;=30,"VENCE EM &lt;= 30 DIAS",IF(E1762&lt;=60,"ATENCAO (31-60 DIAS)","OK"))))</f>
        <v/>
      </c>
      <c r="G1762" s="13">
        <f>SUMIFS(Movimentacoes!$G:$G,Movimentacoes!$C:$C,$A1762,Movimentacoes!$E:$E,$C1762,Movimentacoes!$B:$B,"ENTRADA")</f>
        <v/>
      </c>
      <c r="H1762" s="13">
        <f>SUMIFS(Movimentacoes!$G:$G,Movimentacoes!$C:$C,$A1762,Movimentacoes!$E:$E,$C1762,Movimentacoes!$B:$B,"SAIDA_USO")</f>
        <v/>
      </c>
      <c r="I1762" s="13">
        <f>SUMIFS(Movimentacoes!$G:$G,Movimentacoes!$C:$C,$A1762,Movimentacoes!$E:$E,$C1762,Movimentacoes!$B:$B,"SAIDA_DESCARTE")</f>
        <v/>
      </c>
      <c r="J1762" s="13">
        <f>G1762-H1762-I1762</f>
        <v/>
      </c>
      <c r="K1762">
        <f>IF(A1762="","",IF(J1762&lt;=IFERROR(VLOOKUP(A1762,Cadastro_Produtos!$A:$E,5,FALSE),0),"ABAIXO DO MINIMO","OK"))</f>
        <v/>
      </c>
    </row>
    <row r="1763">
      <c r="B1763">
        <f>IFERROR(VLOOKUP(A1763,Cadastro_Produtos!A:B,2,FALSE),"")</f>
        <v/>
      </c>
      <c r="D1763" s="12" t="n"/>
      <c r="E1763" s="13">
        <f>IF(D1763="","",D1763-TODAY())</f>
        <v/>
      </c>
      <c r="F1763">
        <f>IF(D1763="","",IF(E1763&lt;0,"VENCIDO",IF(E1763&lt;=30,"VENCE EM &lt;= 30 DIAS",IF(E1763&lt;=60,"ATENCAO (31-60 DIAS)","OK"))))</f>
        <v/>
      </c>
      <c r="G1763" s="13">
        <f>SUMIFS(Movimentacoes!$G:$G,Movimentacoes!$C:$C,$A1763,Movimentacoes!$E:$E,$C1763,Movimentacoes!$B:$B,"ENTRADA")</f>
        <v/>
      </c>
      <c r="H1763" s="13">
        <f>SUMIFS(Movimentacoes!$G:$G,Movimentacoes!$C:$C,$A1763,Movimentacoes!$E:$E,$C1763,Movimentacoes!$B:$B,"SAIDA_USO")</f>
        <v/>
      </c>
      <c r="I1763" s="13">
        <f>SUMIFS(Movimentacoes!$G:$G,Movimentacoes!$C:$C,$A1763,Movimentacoes!$E:$E,$C1763,Movimentacoes!$B:$B,"SAIDA_DESCARTE")</f>
        <v/>
      </c>
      <c r="J1763" s="13">
        <f>G1763-H1763-I1763</f>
        <v/>
      </c>
      <c r="K1763">
        <f>IF(A1763="","",IF(J1763&lt;=IFERROR(VLOOKUP(A1763,Cadastro_Produtos!$A:$E,5,FALSE),0),"ABAIXO DO MINIMO","OK"))</f>
        <v/>
      </c>
    </row>
    <row r="1764">
      <c r="B1764">
        <f>IFERROR(VLOOKUP(A1764,Cadastro_Produtos!A:B,2,FALSE),"")</f>
        <v/>
      </c>
      <c r="D1764" s="12" t="n"/>
      <c r="E1764" s="13">
        <f>IF(D1764="","",D1764-TODAY())</f>
        <v/>
      </c>
      <c r="F1764">
        <f>IF(D1764="","",IF(E1764&lt;0,"VENCIDO",IF(E1764&lt;=30,"VENCE EM &lt;= 30 DIAS",IF(E1764&lt;=60,"ATENCAO (31-60 DIAS)","OK"))))</f>
        <v/>
      </c>
      <c r="G1764" s="13">
        <f>SUMIFS(Movimentacoes!$G:$G,Movimentacoes!$C:$C,$A1764,Movimentacoes!$E:$E,$C1764,Movimentacoes!$B:$B,"ENTRADA")</f>
        <v/>
      </c>
      <c r="H1764" s="13">
        <f>SUMIFS(Movimentacoes!$G:$G,Movimentacoes!$C:$C,$A1764,Movimentacoes!$E:$E,$C1764,Movimentacoes!$B:$B,"SAIDA_USO")</f>
        <v/>
      </c>
      <c r="I1764" s="13">
        <f>SUMIFS(Movimentacoes!$G:$G,Movimentacoes!$C:$C,$A1764,Movimentacoes!$E:$E,$C1764,Movimentacoes!$B:$B,"SAIDA_DESCARTE")</f>
        <v/>
      </c>
      <c r="J1764" s="13">
        <f>G1764-H1764-I1764</f>
        <v/>
      </c>
      <c r="K1764">
        <f>IF(A1764="","",IF(J1764&lt;=IFERROR(VLOOKUP(A1764,Cadastro_Produtos!$A:$E,5,FALSE),0),"ABAIXO DO MINIMO","OK"))</f>
        <v/>
      </c>
    </row>
    <row r="1765">
      <c r="B1765">
        <f>IFERROR(VLOOKUP(A1765,Cadastro_Produtos!A:B,2,FALSE),"")</f>
        <v/>
      </c>
      <c r="D1765" s="12" t="n"/>
      <c r="E1765" s="13">
        <f>IF(D1765="","",D1765-TODAY())</f>
        <v/>
      </c>
      <c r="F1765">
        <f>IF(D1765="","",IF(E1765&lt;0,"VENCIDO",IF(E1765&lt;=30,"VENCE EM &lt;= 30 DIAS",IF(E1765&lt;=60,"ATENCAO (31-60 DIAS)","OK"))))</f>
        <v/>
      </c>
      <c r="G1765" s="13">
        <f>SUMIFS(Movimentacoes!$G:$G,Movimentacoes!$C:$C,$A1765,Movimentacoes!$E:$E,$C1765,Movimentacoes!$B:$B,"ENTRADA")</f>
        <v/>
      </c>
      <c r="H1765" s="13">
        <f>SUMIFS(Movimentacoes!$G:$G,Movimentacoes!$C:$C,$A1765,Movimentacoes!$E:$E,$C1765,Movimentacoes!$B:$B,"SAIDA_USO")</f>
        <v/>
      </c>
      <c r="I1765" s="13">
        <f>SUMIFS(Movimentacoes!$G:$G,Movimentacoes!$C:$C,$A1765,Movimentacoes!$E:$E,$C1765,Movimentacoes!$B:$B,"SAIDA_DESCARTE")</f>
        <v/>
      </c>
      <c r="J1765" s="13">
        <f>G1765-H1765-I1765</f>
        <v/>
      </c>
      <c r="K1765">
        <f>IF(A1765="","",IF(J1765&lt;=IFERROR(VLOOKUP(A1765,Cadastro_Produtos!$A:$E,5,FALSE),0),"ABAIXO DO MINIMO","OK"))</f>
        <v/>
      </c>
    </row>
    <row r="1766">
      <c r="B1766">
        <f>IFERROR(VLOOKUP(A1766,Cadastro_Produtos!A:B,2,FALSE),"")</f>
        <v/>
      </c>
      <c r="D1766" s="12" t="n"/>
      <c r="E1766" s="13">
        <f>IF(D1766="","",D1766-TODAY())</f>
        <v/>
      </c>
      <c r="F1766">
        <f>IF(D1766="","",IF(E1766&lt;0,"VENCIDO",IF(E1766&lt;=30,"VENCE EM &lt;= 30 DIAS",IF(E1766&lt;=60,"ATENCAO (31-60 DIAS)","OK"))))</f>
        <v/>
      </c>
      <c r="G1766" s="13">
        <f>SUMIFS(Movimentacoes!$G:$G,Movimentacoes!$C:$C,$A1766,Movimentacoes!$E:$E,$C1766,Movimentacoes!$B:$B,"ENTRADA")</f>
        <v/>
      </c>
      <c r="H1766" s="13">
        <f>SUMIFS(Movimentacoes!$G:$G,Movimentacoes!$C:$C,$A1766,Movimentacoes!$E:$E,$C1766,Movimentacoes!$B:$B,"SAIDA_USO")</f>
        <v/>
      </c>
      <c r="I1766" s="13">
        <f>SUMIFS(Movimentacoes!$G:$G,Movimentacoes!$C:$C,$A1766,Movimentacoes!$E:$E,$C1766,Movimentacoes!$B:$B,"SAIDA_DESCARTE")</f>
        <v/>
      </c>
      <c r="J1766" s="13">
        <f>G1766-H1766-I1766</f>
        <v/>
      </c>
      <c r="K1766">
        <f>IF(A1766="","",IF(J1766&lt;=IFERROR(VLOOKUP(A1766,Cadastro_Produtos!$A:$E,5,FALSE),0),"ABAIXO DO MINIMO","OK"))</f>
        <v/>
      </c>
    </row>
    <row r="1767">
      <c r="B1767">
        <f>IFERROR(VLOOKUP(A1767,Cadastro_Produtos!A:B,2,FALSE),"")</f>
        <v/>
      </c>
      <c r="D1767" s="12" t="n"/>
      <c r="E1767" s="13">
        <f>IF(D1767="","",D1767-TODAY())</f>
        <v/>
      </c>
      <c r="F1767">
        <f>IF(D1767="","",IF(E1767&lt;0,"VENCIDO",IF(E1767&lt;=30,"VENCE EM &lt;= 30 DIAS",IF(E1767&lt;=60,"ATENCAO (31-60 DIAS)","OK"))))</f>
        <v/>
      </c>
      <c r="G1767" s="13">
        <f>SUMIFS(Movimentacoes!$G:$G,Movimentacoes!$C:$C,$A1767,Movimentacoes!$E:$E,$C1767,Movimentacoes!$B:$B,"ENTRADA")</f>
        <v/>
      </c>
      <c r="H1767" s="13">
        <f>SUMIFS(Movimentacoes!$G:$G,Movimentacoes!$C:$C,$A1767,Movimentacoes!$E:$E,$C1767,Movimentacoes!$B:$B,"SAIDA_USO")</f>
        <v/>
      </c>
      <c r="I1767" s="13">
        <f>SUMIFS(Movimentacoes!$G:$G,Movimentacoes!$C:$C,$A1767,Movimentacoes!$E:$E,$C1767,Movimentacoes!$B:$B,"SAIDA_DESCARTE")</f>
        <v/>
      </c>
      <c r="J1767" s="13">
        <f>G1767-H1767-I1767</f>
        <v/>
      </c>
      <c r="K1767">
        <f>IF(A1767="","",IF(J1767&lt;=IFERROR(VLOOKUP(A1767,Cadastro_Produtos!$A:$E,5,FALSE),0),"ABAIXO DO MINIMO","OK"))</f>
        <v/>
      </c>
    </row>
    <row r="1768">
      <c r="B1768">
        <f>IFERROR(VLOOKUP(A1768,Cadastro_Produtos!A:B,2,FALSE),"")</f>
        <v/>
      </c>
      <c r="D1768" s="12" t="n"/>
      <c r="E1768" s="13">
        <f>IF(D1768="","",D1768-TODAY())</f>
        <v/>
      </c>
      <c r="F1768">
        <f>IF(D1768="","",IF(E1768&lt;0,"VENCIDO",IF(E1768&lt;=30,"VENCE EM &lt;= 30 DIAS",IF(E1768&lt;=60,"ATENCAO (31-60 DIAS)","OK"))))</f>
        <v/>
      </c>
      <c r="G1768" s="13">
        <f>SUMIFS(Movimentacoes!$G:$G,Movimentacoes!$C:$C,$A1768,Movimentacoes!$E:$E,$C1768,Movimentacoes!$B:$B,"ENTRADA")</f>
        <v/>
      </c>
      <c r="H1768" s="13">
        <f>SUMIFS(Movimentacoes!$G:$G,Movimentacoes!$C:$C,$A1768,Movimentacoes!$E:$E,$C1768,Movimentacoes!$B:$B,"SAIDA_USO")</f>
        <v/>
      </c>
      <c r="I1768" s="13">
        <f>SUMIFS(Movimentacoes!$G:$G,Movimentacoes!$C:$C,$A1768,Movimentacoes!$E:$E,$C1768,Movimentacoes!$B:$B,"SAIDA_DESCARTE")</f>
        <v/>
      </c>
      <c r="J1768" s="13">
        <f>G1768-H1768-I1768</f>
        <v/>
      </c>
      <c r="K1768">
        <f>IF(A1768="","",IF(J1768&lt;=IFERROR(VLOOKUP(A1768,Cadastro_Produtos!$A:$E,5,FALSE),0),"ABAIXO DO MINIMO","OK"))</f>
        <v/>
      </c>
    </row>
    <row r="1769">
      <c r="B1769">
        <f>IFERROR(VLOOKUP(A1769,Cadastro_Produtos!A:B,2,FALSE),"")</f>
        <v/>
      </c>
      <c r="D1769" s="12" t="n"/>
      <c r="E1769" s="13">
        <f>IF(D1769="","",D1769-TODAY())</f>
        <v/>
      </c>
      <c r="F1769">
        <f>IF(D1769="","",IF(E1769&lt;0,"VENCIDO",IF(E1769&lt;=30,"VENCE EM &lt;= 30 DIAS",IF(E1769&lt;=60,"ATENCAO (31-60 DIAS)","OK"))))</f>
        <v/>
      </c>
      <c r="G1769" s="13">
        <f>SUMIFS(Movimentacoes!$G:$G,Movimentacoes!$C:$C,$A1769,Movimentacoes!$E:$E,$C1769,Movimentacoes!$B:$B,"ENTRADA")</f>
        <v/>
      </c>
      <c r="H1769" s="13">
        <f>SUMIFS(Movimentacoes!$G:$G,Movimentacoes!$C:$C,$A1769,Movimentacoes!$E:$E,$C1769,Movimentacoes!$B:$B,"SAIDA_USO")</f>
        <v/>
      </c>
      <c r="I1769" s="13">
        <f>SUMIFS(Movimentacoes!$G:$G,Movimentacoes!$C:$C,$A1769,Movimentacoes!$E:$E,$C1769,Movimentacoes!$B:$B,"SAIDA_DESCARTE")</f>
        <v/>
      </c>
      <c r="J1769" s="13">
        <f>G1769-H1769-I1769</f>
        <v/>
      </c>
      <c r="K1769">
        <f>IF(A1769="","",IF(J1769&lt;=IFERROR(VLOOKUP(A1769,Cadastro_Produtos!$A:$E,5,FALSE),0),"ABAIXO DO MINIMO","OK"))</f>
        <v/>
      </c>
    </row>
    <row r="1770">
      <c r="B1770">
        <f>IFERROR(VLOOKUP(A1770,Cadastro_Produtos!A:B,2,FALSE),"")</f>
        <v/>
      </c>
      <c r="D1770" s="12" t="n"/>
      <c r="E1770" s="13">
        <f>IF(D1770="","",D1770-TODAY())</f>
        <v/>
      </c>
      <c r="F1770">
        <f>IF(D1770="","",IF(E1770&lt;0,"VENCIDO",IF(E1770&lt;=30,"VENCE EM &lt;= 30 DIAS",IF(E1770&lt;=60,"ATENCAO (31-60 DIAS)","OK"))))</f>
        <v/>
      </c>
      <c r="G1770" s="13">
        <f>SUMIFS(Movimentacoes!$G:$G,Movimentacoes!$C:$C,$A1770,Movimentacoes!$E:$E,$C1770,Movimentacoes!$B:$B,"ENTRADA")</f>
        <v/>
      </c>
      <c r="H1770" s="13">
        <f>SUMIFS(Movimentacoes!$G:$G,Movimentacoes!$C:$C,$A1770,Movimentacoes!$E:$E,$C1770,Movimentacoes!$B:$B,"SAIDA_USO")</f>
        <v/>
      </c>
      <c r="I1770" s="13">
        <f>SUMIFS(Movimentacoes!$G:$G,Movimentacoes!$C:$C,$A1770,Movimentacoes!$E:$E,$C1770,Movimentacoes!$B:$B,"SAIDA_DESCARTE")</f>
        <v/>
      </c>
      <c r="J1770" s="13">
        <f>G1770-H1770-I1770</f>
        <v/>
      </c>
      <c r="K1770">
        <f>IF(A1770="","",IF(J1770&lt;=IFERROR(VLOOKUP(A1770,Cadastro_Produtos!$A:$E,5,FALSE),0),"ABAIXO DO MINIMO","OK"))</f>
        <v/>
      </c>
    </row>
    <row r="1771">
      <c r="B1771">
        <f>IFERROR(VLOOKUP(A1771,Cadastro_Produtos!A:B,2,FALSE),"")</f>
        <v/>
      </c>
      <c r="D1771" s="12" t="n"/>
      <c r="E1771" s="13">
        <f>IF(D1771="","",D1771-TODAY())</f>
        <v/>
      </c>
      <c r="F1771">
        <f>IF(D1771="","",IF(E1771&lt;0,"VENCIDO",IF(E1771&lt;=30,"VENCE EM &lt;= 30 DIAS",IF(E1771&lt;=60,"ATENCAO (31-60 DIAS)","OK"))))</f>
        <v/>
      </c>
      <c r="G1771" s="13">
        <f>SUMIFS(Movimentacoes!$G:$G,Movimentacoes!$C:$C,$A1771,Movimentacoes!$E:$E,$C1771,Movimentacoes!$B:$B,"ENTRADA")</f>
        <v/>
      </c>
      <c r="H1771" s="13">
        <f>SUMIFS(Movimentacoes!$G:$G,Movimentacoes!$C:$C,$A1771,Movimentacoes!$E:$E,$C1771,Movimentacoes!$B:$B,"SAIDA_USO")</f>
        <v/>
      </c>
      <c r="I1771" s="13">
        <f>SUMIFS(Movimentacoes!$G:$G,Movimentacoes!$C:$C,$A1771,Movimentacoes!$E:$E,$C1771,Movimentacoes!$B:$B,"SAIDA_DESCARTE")</f>
        <v/>
      </c>
      <c r="J1771" s="13">
        <f>G1771-H1771-I1771</f>
        <v/>
      </c>
      <c r="K1771">
        <f>IF(A1771="","",IF(J1771&lt;=IFERROR(VLOOKUP(A1771,Cadastro_Produtos!$A:$E,5,FALSE),0),"ABAIXO DO MINIMO","OK"))</f>
        <v/>
      </c>
    </row>
    <row r="1772">
      <c r="B1772">
        <f>IFERROR(VLOOKUP(A1772,Cadastro_Produtos!A:B,2,FALSE),"")</f>
        <v/>
      </c>
      <c r="D1772" s="12" t="n"/>
      <c r="E1772" s="13">
        <f>IF(D1772="","",D1772-TODAY())</f>
        <v/>
      </c>
      <c r="F1772">
        <f>IF(D1772="","",IF(E1772&lt;0,"VENCIDO",IF(E1772&lt;=30,"VENCE EM &lt;= 30 DIAS",IF(E1772&lt;=60,"ATENCAO (31-60 DIAS)","OK"))))</f>
        <v/>
      </c>
      <c r="G1772" s="13">
        <f>SUMIFS(Movimentacoes!$G:$G,Movimentacoes!$C:$C,$A1772,Movimentacoes!$E:$E,$C1772,Movimentacoes!$B:$B,"ENTRADA")</f>
        <v/>
      </c>
      <c r="H1772" s="13">
        <f>SUMIFS(Movimentacoes!$G:$G,Movimentacoes!$C:$C,$A1772,Movimentacoes!$E:$E,$C1772,Movimentacoes!$B:$B,"SAIDA_USO")</f>
        <v/>
      </c>
      <c r="I1772" s="13">
        <f>SUMIFS(Movimentacoes!$G:$G,Movimentacoes!$C:$C,$A1772,Movimentacoes!$E:$E,$C1772,Movimentacoes!$B:$B,"SAIDA_DESCARTE")</f>
        <v/>
      </c>
      <c r="J1772" s="13">
        <f>G1772-H1772-I1772</f>
        <v/>
      </c>
      <c r="K1772">
        <f>IF(A1772="","",IF(J1772&lt;=IFERROR(VLOOKUP(A1772,Cadastro_Produtos!$A:$E,5,FALSE),0),"ABAIXO DO MINIMO","OK"))</f>
        <v/>
      </c>
    </row>
    <row r="1773">
      <c r="B1773">
        <f>IFERROR(VLOOKUP(A1773,Cadastro_Produtos!A:B,2,FALSE),"")</f>
        <v/>
      </c>
      <c r="D1773" s="12" t="n"/>
      <c r="E1773" s="13">
        <f>IF(D1773="","",D1773-TODAY())</f>
        <v/>
      </c>
      <c r="F1773">
        <f>IF(D1773="","",IF(E1773&lt;0,"VENCIDO",IF(E1773&lt;=30,"VENCE EM &lt;= 30 DIAS",IF(E1773&lt;=60,"ATENCAO (31-60 DIAS)","OK"))))</f>
        <v/>
      </c>
      <c r="G1773" s="13">
        <f>SUMIFS(Movimentacoes!$G:$G,Movimentacoes!$C:$C,$A1773,Movimentacoes!$E:$E,$C1773,Movimentacoes!$B:$B,"ENTRADA")</f>
        <v/>
      </c>
      <c r="H1773" s="13">
        <f>SUMIFS(Movimentacoes!$G:$G,Movimentacoes!$C:$C,$A1773,Movimentacoes!$E:$E,$C1773,Movimentacoes!$B:$B,"SAIDA_USO")</f>
        <v/>
      </c>
      <c r="I1773" s="13">
        <f>SUMIFS(Movimentacoes!$G:$G,Movimentacoes!$C:$C,$A1773,Movimentacoes!$E:$E,$C1773,Movimentacoes!$B:$B,"SAIDA_DESCARTE")</f>
        <v/>
      </c>
      <c r="J1773" s="13">
        <f>G1773-H1773-I1773</f>
        <v/>
      </c>
      <c r="K1773">
        <f>IF(A1773="","",IF(J1773&lt;=IFERROR(VLOOKUP(A1773,Cadastro_Produtos!$A:$E,5,FALSE),0),"ABAIXO DO MINIMO","OK"))</f>
        <v/>
      </c>
    </row>
    <row r="1774">
      <c r="B1774">
        <f>IFERROR(VLOOKUP(A1774,Cadastro_Produtos!A:B,2,FALSE),"")</f>
        <v/>
      </c>
      <c r="D1774" s="12" t="n"/>
      <c r="E1774" s="13">
        <f>IF(D1774="","",D1774-TODAY())</f>
        <v/>
      </c>
      <c r="F1774">
        <f>IF(D1774="","",IF(E1774&lt;0,"VENCIDO",IF(E1774&lt;=30,"VENCE EM &lt;= 30 DIAS",IF(E1774&lt;=60,"ATENCAO (31-60 DIAS)","OK"))))</f>
        <v/>
      </c>
      <c r="G1774" s="13">
        <f>SUMIFS(Movimentacoes!$G:$G,Movimentacoes!$C:$C,$A1774,Movimentacoes!$E:$E,$C1774,Movimentacoes!$B:$B,"ENTRADA")</f>
        <v/>
      </c>
      <c r="H1774" s="13">
        <f>SUMIFS(Movimentacoes!$G:$G,Movimentacoes!$C:$C,$A1774,Movimentacoes!$E:$E,$C1774,Movimentacoes!$B:$B,"SAIDA_USO")</f>
        <v/>
      </c>
      <c r="I1774" s="13">
        <f>SUMIFS(Movimentacoes!$G:$G,Movimentacoes!$C:$C,$A1774,Movimentacoes!$E:$E,$C1774,Movimentacoes!$B:$B,"SAIDA_DESCARTE")</f>
        <v/>
      </c>
      <c r="J1774" s="13">
        <f>G1774-H1774-I1774</f>
        <v/>
      </c>
      <c r="K1774">
        <f>IF(A1774="","",IF(J1774&lt;=IFERROR(VLOOKUP(A1774,Cadastro_Produtos!$A:$E,5,FALSE),0),"ABAIXO DO MINIMO","OK"))</f>
        <v/>
      </c>
    </row>
    <row r="1775">
      <c r="B1775">
        <f>IFERROR(VLOOKUP(A1775,Cadastro_Produtos!A:B,2,FALSE),"")</f>
        <v/>
      </c>
      <c r="D1775" s="12" t="n"/>
      <c r="E1775" s="13">
        <f>IF(D1775="","",D1775-TODAY())</f>
        <v/>
      </c>
      <c r="F1775">
        <f>IF(D1775="","",IF(E1775&lt;0,"VENCIDO",IF(E1775&lt;=30,"VENCE EM &lt;= 30 DIAS",IF(E1775&lt;=60,"ATENCAO (31-60 DIAS)","OK"))))</f>
        <v/>
      </c>
      <c r="G1775" s="13">
        <f>SUMIFS(Movimentacoes!$G:$G,Movimentacoes!$C:$C,$A1775,Movimentacoes!$E:$E,$C1775,Movimentacoes!$B:$B,"ENTRADA")</f>
        <v/>
      </c>
      <c r="H1775" s="13">
        <f>SUMIFS(Movimentacoes!$G:$G,Movimentacoes!$C:$C,$A1775,Movimentacoes!$E:$E,$C1775,Movimentacoes!$B:$B,"SAIDA_USO")</f>
        <v/>
      </c>
      <c r="I1775" s="13">
        <f>SUMIFS(Movimentacoes!$G:$G,Movimentacoes!$C:$C,$A1775,Movimentacoes!$E:$E,$C1775,Movimentacoes!$B:$B,"SAIDA_DESCARTE")</f>
        <v/>
      </c>
      <c r="J1775" s="13">
        <f>G1775-H1775-I1775</f>
        <v/>
      </c>
      <c r="K1775">
        <f>IF(A1775="","",IF(J1775&lt;=IFERROR(VLOOKUP(A1775,Cadastro_Produtos!$A:$E,5,FALSE),0),"ABAIXO DO MINIMO","OK"))</f>
        <v/>
      </c>
    </row>
    <row r="1776">
      <c r="B1776">
        <f>IFERROR(VLOOKUP(A1776,Cadastro_Produtos!A:B,2,FALSE),"")</f>
        <v/>
      </c>
      <c r="D1776" s="12" t="n"/>
      <c r="E1776" s="13">
        <f>IF(D1776="","",D1776-TODAY())</f>
        <v/>
      </c>
      <c r="F1776">
        <f>IF(D1776="","",IF(E1776&lt;0,"VENCIDO",IF(E1776&lt;=30,"VENCE EM &lt;= 30 DIAS",IF(E1776&lt;=60,"ATENCAO (31-60 DIAS)","OK"))))</f>
        <v/>
      </c>
      <c r="G1776" s="13">
        <f>SUMIFS(Movimentacoes!$G:$G,Movimentacoes!$C:$C,$A1776,Movimentacoes!$E:$E,$C1776,Movimentacoes!$B:$B,"ENTRADA")</f>
        <v/>
      </c>
      <c r="H1776" s="13">
        <f>SUMIFS(Movimentacoes!$G:$G,Movimentacoes!$C:$C,$A1776,Movimentacoes!$E:$E,$C1776,Movimentacoes!$B:$B,"SAIDA_USO")</f>
        <v/>
      </c>
      <c r="I1776" s="13">
        <f>SUMIFS(Movimentacoes!$G:$G,Movimentacoes!$C:$C,$A1776,Movimentacoes!$E:$E,$C1776,Movimentacoes!$B:$B,"SAIDA_DESCARTE")</f>
        <v/>
      </c>
      <c r="J1776" s="13">
        <f>G1776-H1776-I1776</f>
        <v/>
      </c>
      <c r="K1776">
        <f>IF(A1776="","",IF(J1776&lt;=IFERROR(VLOOKUP(A1776,Cadastro_Produtos!$A:$E,5,FALSE),0),"ABAIXO DO MINIMO","OK"))</f>
        <v/>
      </c>
    </row>
    <row r="1777">
      <c r="B1777">
        <f>IFERROR(VLOOKUP(A1777,Cadastro_Produtos!A:B,2,FALSE),"")</f>
        <v/>
      </c>
      <c r="D1777" s="12" t="n"/>
      <c r="E1777" s="13">
        <f>IF(D1777="","",D1777-TODAY())</f>
        <v/>
      </c>
      <c r="F1777">
        <f>IF(D1777="","",IF(E1777&lt;0,"VENCIDO",IF(E1777&lt;=30,"VENCE EM &lt;= 30 DIAS",IF(E1777&lt;=60,"ATENCAO (31-60 DIAS)","OK"))))</f>
        <v/>
      </c>
      <c r="G1777" s="13">
        <f>SUMIFS(Movimentacoes!$G:$G,Movimentacoes!$C:$C,$A1777,Movimentacoes!$E:$E,$C1777,Movimentacoes!$B:$B,"ENTRADA")</f>
        <v/>
      </c>
      <c r="H1777" s="13">
        <f>SUMIFS(Movimentacoes!$G:$G,Movimentacoes!$C:$C,$A1777,Movimentacoes!$E:$E,$C1777,Movimentacoes!$B:$B,"SAIDA_USO")</f>
        <v/>
      </c>
      <c r="I1777" s="13">
        <f>SUMIFS(Movimentacoes!$G:$G,Movimentacoes!$C:$C,$A1777,Movimentacoes!$E:$E,$C1777,Movimentacoes!$B:$B,"SAIDA_DESCARTE")</f>
        <v/>
      </c>
      <c r="J1777" s="13">
        <f>G1777-H1777-I1777</f>
        <v/>
      </c>
      <c r="K1777">
        <f>IF(A1777="","",IF(J1777&lt;=IFERROR(VLOOKUP(A1777,Cadastro_Produtos!$A:$E,5,FALSE),0),"ABAIXO DO MINIMO","OK"))</f>
        <v/>
      </c>
    </row>
    <row r="1778">
      <c r="B1778">
        <f>IFERROR(VLOOKUP(A1778,Cadastro_Produtos!A:B,2,FALSE),"")</f>
        <v/>
      </c>
      <c r="D1778" s="12" t="n"/>
      <c r="E1778" s="13">
        <f>IF(D1778="","",D1778-TODAY())</f>
        <v/>
      </c>
      <c r="F1778">
        <f>IF(D1778="","",IF(E1778&lt;0,"VENCIDO",IF(E1778&lt;=30,"VENCE EM &lt;= 30 DIAS",IF(E1778&lt;=60,"ATENCAO (31-60 DIAS)","OK"))))</f>
        <v/>
      </c>
      <c r="G1778" s="13">
        <f>SUMIFS(Movimentacoes!$G:$G,Movimentacoes!$C:$C,$A1778,Movimentacoes!$E:$E,$C1778,Movimentacoes!$B:$B,"ENTRADA")</f>
        <v/>
      </c>
      <c r="H1778" s="13">
        <f>SUMIFS(Movimentacoes!$G:$G,Movimentacoes!$C:$C,$A1778,Movimentacoes!$E:$E,$C1778,Movimentacoes!$B:$B,"SAIDA_USO")</f>
        <v/>
      </c>
      <c r="I1778" s="13">
        <f>SUMIFS(Movimentacoes!$G:$G,Movimentacoes!$C:$C,$A1778,Movimentacoes!$E:$E,$C1778,Movimentacoes!$B:$B,"SAIDA_DESCARTE")</f>
        <v/>
      </c>
      <c r="J1778" s="13">
        <f>G1778-H1778-I1778</f>
        <v/>
      </c>
      <c r="K1778">
        <f>IF(A1778="","",IF(J1778&lt;=IFERROR(VLOOKUP(A1778,Cadastro_Produtos!$A:$E,5,FALSE),0),"ABAIXO DO MINIMO","OK"))</f>
        <v/>
      </c>
    </row>
    <row r="1779">
      <c r="B1779">
        <f>IFERROR(VLOOKUP(A1779,Cadastro_Produtos!A:B,2,FALSE),"")</f>
        <v/>
      </c>
      <c r="D1779" s="12" t="n"/>
      <c r="E1779" s="13">
        <f>IF(D1779="","",D1779-TODAY())</f>
        <v/>
      </c>
      <c r="F1779">
        <f>IF(D1779="","",IF(E1779&lt;0,"VENCIDO",IF(E1779&lt;=30,"VENCE EM &lt;= 30 DIAS",IF(E1779&lt;=60,"ATENCAO (31-60 DIAS)","OK"))))</f>
        <v/>
      </c>
      <c r="G1779" s="13">
        <f>SUMIFS(Movimentacoes!$G:$G,Movimentacoes!$C:$C,$A1779,Movimentacoes!$E:$E,$C1779,Movimentacoes!$B:$B,"ENTRADA")</f>
        <v/>
      </c>
      <c r="H1779" s="13">
        <f>SUMIFS(Movimentacoes!$G:$G,Movimentacoes!$C:$C,$A1779,Movimentacoes!$E:$E,$C1779,Movimentacoes!$B:$B,"SAIDA_USO")</f>
        <v/>
      </c>
      <c r="I1779" s="13">
        <f>SUMIFS(Movimentacoes!$G:$G,Movimentacoes!$C:$C,$A1779,Movimentacoes!$E:$E,$C1779,Movimentacoes!$B:$B,"SAIDA_DESCARTE")</f>
        <v/>
      </c>
      <c r="J1779" s="13">
        <f>G1779-H1779-I1779</f>
        <v/>
      </c>
      <c r="K1779">
        <f>IF(A1779="","",IF(J1779&lt;=IFERROR(VLOOKUP(A1779,Cadastro_Produtos!$A:$E,5,FALSE),0),"ABAIXO DO MINIMO","OK"))</f>
        <v/>
      </c>
    </row>
    <row r="1780">
      <c r="B1780">
        <f>IFERROR(VLOOKUP(A1780,Cadastro_Produtos!A:B,2,FALSE),"")</f>
        <v/>
      </c>
      <c r="D1780" s="12" t="n"/>
      <c r="E1780" s="13">
        <f>IF(D1780="","",D1780-TODAY())</f>
        <v/>
      </c>
      <c r="F1780">
        <f>IF(D1780="","",IF(E1780&lt;0,"VENCIDO",IF(E1780&lt;=30,"VENCE EM &lt;= 30 DIAS",IF(E1780&lt;=60,"ATENCAO (31-60 DIAS)","OK"))))</f>
        <v/>
      </c>
      <c r="G1780" s="13">
        <f>SUMIFS(Movimentacoes!$G:$G,Movimentacoes!$C:$C,$A1780,Movimentacoes!$E:$E,$C1780,Movimentacoes!$B:$B,"ENTRADA")</f>
        <v/>
      </c>
      <c r="H1780" s="13">
        <f>SUMIFS(Movimentacoes!$G:$G,Movimentacoes!$C:$C,$A1780,Movimentacoes!$E:$E,$C1780,Movimentacoes!$B:$B,"SAIDA_USO")</f>
        <v/>
      </c>
      <c r="I1780" s="13">
        <f>SUMIFS(Movimentacoes!$G:$G,Movimentacoes!$C:$C,$A1780,Movimentacoes!$E:$E,$C1780,Movimentacoes!$B:$B,"SAIDA_DESCARTE")</f>
        <v/>
      </c>
      <c r="J1780" s="13">
        <f>G1780-H1780-I1780</f>
        <v/>
      </c>
      <c r="K1780">
        <f>IF(A1780="","",IF(J1780&lt;=IFERROR(VLOOKUP(A1780,Cadastro_Produtos!$A:$E,5,FALSE),0),"ABAIXO DO MINIMO","OK"))</f>
        <v/>
      </c>
    </row>
    <row r="1781">
      <c r="B1781">
        <f>IFERROR(VLOOKUP(A1781,Cadastro_Produtos!A:B,2,FALSE),"")</f>
        <v/>
      </c>
      <c r="D1781" s="12" t="n"/>
      <c r="E1781" s="13">
        <f>IF(D1781="","",D1781-TODAY())</f>
        <v/>
      </c>
      <c r="F1781">
        <f>IF(D1781="","",IF(E1781&lt;0,"VENCIDO",IF(E1781&lt;=30,"VENCE EM &lt;= 30 DIAS",IF(E1781&lt;=60,"ATENCAO (31-60 DIAS)","OK"))))</f>
        <v/>
      </c>
      <c r="G1781" s="13">
        <f>SUMIFS(Movimentacoes!$G:$G,Movimentacoes!$C:$C,$A1781,Movimentacoes!$E:$E,$C1781,Movimentacoes!$B:$B,"ENTRADA")</f>
        <v/>
      </c>
      <c r="H1781" s="13">
        <f>SUMIFS(Movimentacoes!$G:$G,Movimentacoes!$C:$C,$A1781,Movimentacoes!$E:$E,$C1781,Movimentacoes!$B:$B,"SAIDA_USO")</f>
        <v/>
      </c>
      <c r="I1781" s="13">
        <f>SUMIFS(Movimentacoes!$G:$G,Movimentacoes!$C:$C,$A1781,Movimentacoes!$E:$E,$C1781,Movimentacoes!$B:$B,"SAIDA_DESCARTE")</f>
        <v/>
      </c>
      <c r="J1781" s="13">
        <f>G1781-H1781-I1781</f>
        <v/>
      </c>
      <c r="K1781">
        <f>IF(A1781="","",IF(J1781&lt;=IFERROR(VLOOKUP(A1781,Cadastro_Produtos!$A:$E,5,FALSE),0),"ABAIXO DO MINIMO","OK"))</f>
        <v/>
      </c>
    </row>
    <row r="1782">
      <c r="B1782">
        <f>IFERROR(VLOOKUP(A1782,Cadastro_Produtos!A:B,2,FALSE),"")</f>
        <v/>
      </c>
      <c r="D1782" s="12" t="n"/>
      <c r="E1782" s="13">
        <f>IF(D1782="","",D1782-TODAY())</f>
        <v/>
      </c>
      <c r="F1782">
        <f>IF(D1782="","",IF(E1782&lt;0,"VENCIDO",IF(E1782&lt;=30,"VENCE EM &lt;= 30 DIAS",IF(E1782&lt;=60,"ATENCAO (31-60 DIAS)","OK"))))</f>
        <v/>
      </c>
      <c r="G1782" s="13">
        <f>SUMIFS(Movimentacoes!$G:$G,Movimentacoes!$C:$C,$A1782,Movimentacoes!$E:$E,$C1782,Movimentacoes!$B:$B,"ENTRADA")</f>
        <v/>
      </c>
      <c r="H1782" s="13">
        <f>SUMIFS(Movimentacoes!$G:$G,Movimentacoes!$C:$C,$A1782,Movimentacoes!$E:$E,$C1782,Movimentacoes!$B:$B,"SAIDA_USO")</f>
        <v/>
      </c>
      <c r="I1782" s="13">
        <f>SUMIFS(Movimentacoes!$G:$G,Movimentacoes!$C:$C,$A1782,Movimentacoes!$E:$E,$C1782,Movimentacoes!$B:$B,"SAIDA_DESCARTE")</f>
        <v/>
      </c>
      <c r="J1782" s="13">
        <f>G1782-H1782-I1782</f>
        <v/>
      </c>
      <c r="K1782">
        <f>IF(A1782="","",IF(J1782&lt;=IFERROR(VLOOKUP(A1782,Cadastro_Produtos!$A:$E,5,FALSE),0),"ABAIXO DO MINIMO","OK"))</f>
        <v/>
      </c>
    </row>
    <row r="1783">
      <c r="B1783">
        <f>IFERROR(VLOOKUP(A1783,Cadastro_Produtos!A:B,2,FALSE),"")</f>
        <v/>
      </c>
      <c r="D1783" s="12" t="n"/>
      <c r="E1783" s="13">
        <f>IF(D1783="","",D1783-TODAY())</f>
        <v/>
      </c>
      <c r="F1783">
        <f>IF(D1783="","",IF(E1783&lt;0,"VENCIDO",IF(E1783&lt;=30,"VENCE EM &lt;= 30 DIAS",IF(E1783&lt;=60,"ATENCAO (31-60 DIAS)","OK"))))</f>
        <v/>
      </c>
      <c r="G1783" s="13">
        <f>SUMIFS(Movimentacoes!$G:$G,Movimentacoes!$C:$C,$A1783,Movimentacoes!$E:$E,$C1783,Movimentacoes!$B:$B,"ENTRADA")</f>
        <v/>
      </c>
      <c r="H1783" s="13">
        <f>SUMIFS(Movimentacoes!$G:$G,Movimentacoes!$C:$C,$A1783,Movimentacoes!$E:$E,$C1783,Movimentacoes!$B:$B,"SAIDA_USO")</f>
        <v/>
      </c>
      <c r="I1783" s="13">
        <f>SUMIFS(Movimentacoes!$G:$G,Movimentacoes!$C:$C,$A1783,Movimentacoes!$E:$E,$C1783,Movimentacoes!$B:$B,"SAIDA_DESCARTE")</f>
        <v/>
      </c>
      <c r="J1783" s="13">
        <f>G1783-H1783-I1783</f>
        <v/>
      </c>
      <c r="K1783">
        <f>IF(A1783="","",IF(J1783&lt;=IFERROR(VLOOKUP(A1783,Cadastro_Produtos!$A:$E,5,FALSE),0),"ABAIXO DO MINIMO","OK"))</f>
        <v/>
      </c>
    </row>
    <row r="1784">
      <c r="B1784">
        <f>IFERROR(VLOOKUP(A1784,Cadastro_Produtos!A:B,2,FALSE),"")</f>
        <v/>
      </c>
      <c r="D1784" s="12" t="n"/>
      <c r="E1784" s="13">
        <f>IF(D1784="","",D1784-TODAY())</f>
        <v/>
      </c>
      <c r="F1784">
        <f>IF(D1784="","",IF(E1784&lt;0,"VENCIDO",IF(E1784&lt;=30,"VENCE EM &lt;= 30 DIAS",IF(E1784&lt;=60,"ATENCAO (31-60 DIAS)","OK"))))</f>
        <v/>
      </c>
      <c r="G1784" s="13">
        <f>SUMIFS(Movimentacoes!$G:$G,Movimentacoes!$C:$C,$A1784,Movimentacoes!$E:$E,$C1784,Movimentacoes!$B:$B,"ENTRADA")</f>
        <v/>
      </c>
      <c r="H1784" s="13">
        <f>SUMIFS(Movimentacoes!$G:$G,Movimentacoes!$C:$C,$A1784,Movimentacoes!$E:$E,$C1784,Movimentacoes!$B:$B,"SAIDA_USO")</f>
        <v/>
      </c>
      <c r="I1784" s="13">
        <f>SUMIFS(Movimentacoes!$G:$G,Movimentacoes!$C:$C,$A1784,Movimentacoes!$E:$E,$C1784,Movimentacoes!$B:$B,"SAIDA_DESCARTE")</f>
        <v/>
      </c>
      <c r="J1784" s="13">
        <f>G1784-H1784-I1784</f>
        <v/>
      </c>
      <c r="K1784">
        <f>IF(A1784="","",IF(J1784&lt;=IFERROR(VLOOKUP(A1784,Cadastro_Produtos!$A:$E,5,FALSE),0),"ABAIXO DO MINIMO","OK"))</f>
        <v/>
      </c>
    </row>
    <row r="1785">
      <c r="B1785">
        <f>IFERROR(VLOOKUP(A1785,Cadastro_Produtos!A:B,2,FALSE),"")</f>
        <v/>
      </c>
      <c r="D1785" s="12" t="n"/>
      <c r="E1785" s="13">
        <f>IF(D1785="","",D1785-TODAY())</f>
        <v/>
      </c>
      <c r="F1785">
        <f>IF(D1785="","",IF(E1785&lt;0,"VENCIDO",IF(E1785&lt;=30,"VENCE EM &lt;= 30 DIAS",IF(E1785&lt;=60,"ATENCAO (31-60 DIAS)","OK"))))</f>
        <v/>
      </c>
      <c r="G1785" s="13">
        <f>SUMIFS(Movimentacoes!$G:$G,Movimentacoes!$C:$C,$A1785,Movimentacoes!$E:$E,$C1785,Movimentacoes!$B:$B,"ENTRADA")</f>
        <v/>
      </c>
      <c r="H1785" s="13">
        <f>SUMIFS(Movimentacoes!$G:$G,Movimentacoes!$C:$C,$A1785,Movimentacoes!$E:$E,$C1785,Movimentacoes!$B:$B,"SAIDA_USO")</f>
        <v/>
      </c>
      <c r="I1785" s="13">
        <f>SUMIFS(Movimentacoes!$G:$G,Movimentacoes!$C:$C,$A1785,Movimentacoes!$E:$E,$C1785,Movimentacoes!$B:$B,"SAIDA_DESCARTE")</f>
        <v/>
      </c>
      <c r="J1785" s="13">
        <f>G1785-H1785-I1785</f>
        <v/>
      </c>
      <c r="K1785">
        <f>IF(A1785="","",IF(J1785&lt;=IFERROR(VLOOKUP(A1785,Cadastro_Produtos!$A:$E,5,FALSE),0),"ABAIXO DO MINIMO","OK"))</f>
        <v/>
      </c>
    </row>
    <row r="1786">
      <c r="B1786">
        <f>IFERROR(VLOOKUP(A1786,Cadastro_Produtos!A:B,2,FALSE),"")</f>
        <v/>
      </c>
      <c r="D1786" s="12" t="n"/>
      <c r="E1786" s="13">
        <f>IF(D1786="","",D1786-TODAY())</f>
        <v/>
      </c>
      <c r="F1786">
        <f>IF(D1786="","",IF(E1786&lt;0,"VENCIDO",IF(E1786&lt;=30,"VENCE EM &lt;= 30 DIAS",IF(E1786&lt;=60,"ATENCAO (31-60 DIAS)","OK"))))</f>
        <v/>
      </c>
      <c r="G1786" s="13">
        <f>SUMIFS(Movimentacoes!$G:$G,Movimentacoes!$C:$C,$A1786,Movimentacoes!$E:$E,$C1786,Movimentacoes!$B:$B,"ENTRADA")</f>
        <v/>
      </c>
      <c r="H1786" s="13">
        <f>SUMIFS(Movimentacoes!$G:$G,Movimentacoes!$C:$C,$A1786,Movimentacoes!$E:$E,$C1786,Movimentacoes!$B:$B,"SAIDA_USO")</f>
        <v/>
      </c>
      <c r="I1786" s="13">
        <f>SUMIFS(Movimentacoes!$G:$G,Movimentacoes!$C:$C,$A1786,Movimentacoes!$E:$E,$C1786,Movimentacoes!$B:$B,"SAIDA_DESCARTE")</f>
        <v/>
      </c>
      <c r="J1786" s="13">
        <f>G1786-H1786-I1786</f>
        <v/>
      </c>
      <c r="K1786">
        <f>IF(A1786="","",IF(J1786&lt;=IFERROR(VLOOKUP(A1786,Cadastro_Produtos!$A:$E,5,FALSE),0),"ABAIXO DO MINIMO","OK"))</f>
        <v/>
      </c>
    </row>
    <row r="1787">
      <c r="B1787">
        <f>IFERROR(VLOOKUP(A1787,Cadastro_Produtos!A:B,2,FALSE),"")</f>
        <v/>
      </c>
      <c r="D1787" s="12" t="n"/>
      <c r="E1787" s="13">
        <f>IF(D1787="","",D1787-TODAY())</f>
        <v/>
      </c>
      <c r="F1787">
        <f>IF(D1787="","",IF(E1787&lt;0,"VENCIDO",IF(E1787&lt;=30,"VENCE EM &lt;= 30 DIAS",IF(E1787&lt;=60,"ATENCAO (31-60 DIAS)","OK"))))</f>
        <v/>
      </c>
      <c r="G1787" s="13">
        <f>SUMIFS(Movimentacoes!$G:$G,Movimentacoes!$C:$C,$A1787,Movimentacoes!$E:$E,$C1787,Movimentacoes!$B:$B,"ENTRADA")</f>
        <v/>
      </c>
      <c r="H1787" s="13">
        <f>SUMIFS(Movimentacoes!$G:$G,Movimentacoes!$C:$C,$A1787,Movimentacoes!$E:$E,$C1787,Movimentacoes!$B:$B,"SAIDA_USO")</f>
        <v/>
      </c>
      <c r="I1787" s="13">
        <f>SUMIFS(Movimentacoes!$G:$G,Movimentacoes!$C:$C,$A1787,Movimentacoes!$E:$E,$C1787,Movimentacoes!$B:$B,"SAIDA_DESCARTE")</f>
        <v/>
      </c>
      <c r="J1787" s="13">
        <f>G1787-H1787-I1787</f>
        <v/>
      </c>
      <c r="K1787">
        <f>IF(A1787="","",IF(J1787&lt;=IFERROR(VLOOKUP(A1787,Cadastro_Produtos!$A:$E,5,FALSE),0),"ABAIXO DO MINIMO","OK"))</f>
        <v/>
      </c>
    </row>
    <row r="1788">
      <c r="B1788">
        <f>IFERROR(VLOOKUP(A1788,Cadastro_Produtos!A:B,2,FALSE),"")</f>
        <v/>
      </c>
      <c r="D1788" s="12" t="n"/>
      <c r="E1788" s="13">
        <f>IF(D1788="","",D1788-TODAY())</f>
        <v/>
      </c>
      <c r="F1788">
        <f>IF(D1788="","",IF(E1788&lt;0,"VENCIDO",IF(E1788&lt;=30,"VENCE EM &lt;= 30 DIAS",IF(E1788&lt;=60,"ATENCAO (31-60 DIAS)","OK"))))</f>
        <v/>
      </c>
      <c r="G1788" s="13">
        <f>SUMIFS(Movimentacoes!$G:$G,Movimentacoes!$C:$C,$A1788,Movimentacoes!$E:$E,$C1788,Movimentacoes!$B:$B,"ENTRADA")</f>
        <v/>
      </c>
      <c r="H1788" s="13">
        <f>SUMIFS(Movimentacoes!$G:$G,Movimentacoes!$C:$C,$A1788,Movimentacoes!$E:$E,$C1788,Movimentacoes!$B:$B,"SAIDA_USO")</f>
        <v/>
      </c>
      <c r="I1788" s="13">
        <f>SUMIFS(Movimentacoes!$G:$G,Movimentacoes!$C:$C,$A1788,Movimentacoes!$E:$E,$C1788,Movimentacoes!$B:$B,"SAIDA_DESCARTE")</f>
        <v/>
      </c>
      <c r="J1788" s="13">
        <f>G1788-H1788-I1788</f>
        <v/>
      </c>
      <c r="K1788">
        <f>IF(A1788="","",IF(J1788&lt;=IFERROR(VLOOKUP(A1788,Cadastro_Produtos!$A:$E,5,FALSE),0),"ABAIXO DO MINIMO","OK"))</f>
        <v/>
      </c>
    </row>
    <row r="1789">
      <c r="B1789">
        <f>IFERROR(VLOOKUP(A1789,Cadastro_Produtos!A:B,2,FALSE),"")</f>
        <v/>
      </c>
      <c r="D1789" s="12" t="n"/>
      <c r="E1789" s="13">
        <f>IF(D1789="","",D1789-TODAY())</f>
        <v/>
      </c>
      <c r="F1789">
        <f>IF(D1789="","",IF(E1789&lt;0,"VENCIDO",IF(E1789&lt;=30,"VENCE EM &lt;= 30 DIAS",IF(E1789&lt;=60,"ATENCAO (31-60 DIAS)","OK"))))</f>
        <v/>
      </c>
      <c r="G1789" s="13">
        <f>SUMIFS(Movimentacoes!$G:$G,Movimentacoes!$C:$C,$A1789,Movimentacoes!$E:$E,$C1789,Movimentacoes!$B:$B,"ENTRADA")</f>
        <v/>
      </c>
      <c r="H1789" s="13">
        <f>SUMIFS(Movimentacoes!$G:$G,Movimentacoes!$C:$C,$A1789,Movimentacoes!$E:$E,$C1789,Movimentacoes!$B:$B,"SAIDA_USO")</f>
        <v/>
      </c>
      <c r="I1789" s="13">
        <f>SUMIFS(Movimentacoes!$G:$G,Movimentacoes!$C:$C,$A1789,Movimentacoes!$E:$E,$C1789,Movimentacoes!$B:$B,"SAIDA_DESCARTE")</f>
        <v/>
      </c>
      <c r="J1789" s="13">
        <f>G1789-H1789-I1789</f>
        <v/>
      </c>
      <c r="K1789">
        <f>IF(A1789="","",IF(J1789&lt;=IFERROR(VLOOKUP(A1789,Cadastro_Produtos!$A:$E,5,FALSE),0),"ABAIXO DO MINIMO","OK"))</f>
        <v/>
      </c>
    </row>
    <row r="1790">
      <c r="B1790">
        <f>IFERROR(VLOOKUP(A1790,Cadastro_Produtos!A:B,2,FALSE),"")</f>
        <v/>
      </c>
      <c r="D1790" s="12" t="n"/>
      <c r="E1790" s="13">
        <f>IF(D1790="","",D1790-TODAY())</f>
        <v/>
      </c>
      <c r="F1790">
        <f>IF(D1790="","",IF(E1790&lt;0,"VENCIDO",IF(E1790&lt;=30,"VENCE EM &lt;= 30 DIAS",IF(E1790&lt;=60,"ATENCAO (31-60 DIAS)","OK"))))</f>
        <v/>
      </c>
      <c r="G1790" s="13">
        <f>SUMIFS(Movimentacoes!$G:$G,Movimentacoes!$C:$C,$A1790,Movimentacoes!$E:$E,$C1790,Movimentacoes!$B:$B,"ENTRADA")</f>
        <v/>
      </c>
      <c r="H1790" s="13">
        <f>SUMIFS(Movimentacoes!$G:$G,Movimentacoes!$C:$C,$A1790,Movimentacoes!$E:$E,$C1790,Movimentacoes!$B:$B,"SAIDA_USO")</f>
        <v/>
      </c>
      <c r="I1790" s="13">
        <f>SUMIFS(Movimentacoes!$G:$G,Movimentacoes!$C:$C,$A1790,Movimentacoes!$E:$E,$C1790,Movimentacoes!$B:$B,"SAIDA_DESCARTE")</f>
        <v/>
      </c>
      <c r="J1790" s="13">
        <f>G1790-H1790-I1790</f>
        <v/>
      </c>
      <c r="K1790">
        <f>IF(A1790="","",IF(J1790&lt;=IFERROR(VLOOKUP(A1790,Cadastro_Produtos!$A:$E,5,FALSE),0),"ABAIXO DO MINIMO","OK"))</f>
        <v/>
      </c>
    </row>
    <row r="1791">
      <c r="B1791">
        <f>IFERROR(VLOOKUP(A1791,Cadastro_Produtos!A:B,2,FALSE),"")</f>
        <v/>
      </c>
      <c r="D1791" s="12" t="n"/>
      <c r="E1791" s="13">
        <f>IF(D1791="","",D1791-TODAY())</f>
        <v/>
      </c>
      <c r="F1791">
        <f>IF(D1791="","",IF(E1791&lt;0,"VENCIDO",IF(E1791&lt;=30,"VENCE EM &lt;= 30 DIAS",IF(E1791&lt;=60,"ATENCAO (31-60 DIAS)","OK"))))</f>
        <v/>
      </c>
      <c r="G1791" s="13">
        <f>SUMIFS(Movimentacoes!$G:$G,Movimentacoes!$C:$C,$A1791,Movimentacoes!$E:$E,$C1791,Movimentacoes!$B:$B,"ENTRADA")</f>
        <v/>
      </c>
      <c r="H1791" s="13">
        <f>SUMIFS(Movimentacoes!$G:$G,Movimentacoes!$C:$C,$A1791,Movimentacoes!$E:$E,$C1791,Movimentacoes!$B:$B,"SAIDA_USO")</f>
        <v/>
      </c>
      <c r="I1791" s="13">
        <f>SUMIFS(Movimentacoes!$G:$G,Movimentacoes!$C:$C,$A1791,Movimentacoes!$E:$E,$C1791,Movimentacoes!$B:$B,"SAIDA_DESCARTE")</f>
        <v/>
      </c>
      <c r="J1791" s="13">
        <f>G1791-H1791-I1791</f>
        <v/>
      </c>
      <c r="K1791">
        <f>IF(A1791="","",IF(J1791&lt;=IFERROR(VLOOKUP(A1791,Cadastro_Produtos!$A:$E,5,FALSE),0),"ABAIXO DO MINIMO","OK"))</f>
        <v/>
      </c>
    </row>
    <row r="1792">
      <c r="B1792">
        <f>IFERROR(VLOOKUP(A1792,Cadastro_Produtos!A:B,2,FALSE),"")</f>
        <v/>
      </c>
      <c r="D1792" s="12" t="n"/>
      <c r="E1792" s="13">
        <f>IF(D1792="","",D1792-TODAY())</f>
        <v/>
      </c>
      <c r="F1792">
        <f>IF(D1792="","",IF(E1792&lt;0,"VENCIDO",IF(E1792&lt;=30,"VENCE EM &lt;= 30 DIAS",IF(E1792&lt;=60,"ATENCAO (31-60 DIAS)","OK"))))</f>
        <v/>
      </c>
      <c r="G1792" s="13">
        <f>SUMIFS(Movimentacoes!$G:$G,Movimentacoes!$C:$C,$A1792,Movimentacoes!$E:$E,$C1792,Movimentacoes!$B:$B,"ENTRADA")</f>
        <v/>
      </c>
      <c r="H1792" s="13">
        <f>SUMIFS(Movimentacoes!$G:$G,Movimentacoes!$C:$C,$A1792,Movimentacoes!$E:$E,$C1792,Movimentacoes!$B:$B,"SAIDA_USO")</f>
        <v/>
      </c>
      <c r="I1792" s="13">
        <f>SUMIFS(Movimentacoes!$G:$G,Movimentacoes!$C:$C,$A1792,Movimentacoes!$E:$E,$C1792,Movimentacoes!$B:$B,"SAIDA_DESCARTE")</f>
        <v/>
      </c>
      <c r="J1792" s="13">
        <f>G1792-H1792-I1792</f>
        <v/>
      </c>
      <c r="K1792">
        <f>IF(A1792="","",IF(J1792&lt;=IFERROR(VLOOKUP(A1792,Cadastro_Produtos!$A:$E,5,FALSE),0),"ABAIXO DO MINIMO","OK"))</f>
        <v/>
      </c>
    </row>
    <row r="1793">
      <c r="B1793">
        <f>IFERROR(VLOOKUP(A1793,Cadastro_Produtos!A:B,2,FALSE),"")</f>
        <v/>
      </c>
      <c r="D1793" s="12" t="n"/>
      <c r="E1793" s="13">
        <f>IF(D1793="","",D1793-TODAY())</f>
        <v/>
      </c>
      <c r="F1793">
        <f>IF(D1793="","",IF(E1793&lt;0,"VENCIDO",IF(E1793&lt;=30,"VENCE EM &lt;= 30 DIAS",IF(E1793&lt;=60,"ATENCAO (31-60 DIAS)","OK"))))</f>
        <v/>
      </c>
      <c r="G1793" s="13">
        <f>SUMIFS(Movimentacoes!$G:$G,Movimentacoes!$C:$C,$A1793,Movimentacoes!$E:$E,$C1793,Movimentacoes!$B:$B,"ENTRADA")</f>
        <v/>
      </c>
      <c r="H1793" s="13">
        <f>SUMIFS(Movimentacoes!$G:$G,Movimentacoes!$C:$C,$A1793,Movimentacoes!$E:$E,$C1793,Movimentacoes!$B:$B,"SAIDA_USO")</f>
        <v/>
      </c>
      <c r="I1793" s="13">
        <f>SUMIFS(Movimentacoes!$G:$G,Movimentacoes!$C:$C,$A1793,Movimentacoes!$E:$E,$C1793,Movimentacoes!$B:$B,"SAIDA_DESCARTE")</f>
        <v/>
      </c>
      <c r="J1793" s="13">
        <f>G1793-H1793-I1793</f>
        <v/>
      </c>
      <c r="K1793">
        <f>IF(A1793="","",IF(J1793&lt;=IFERROR(VLOOKUP(A1793,Cadastro_Produtos!$A:$E,5,FALSE),0),"ABAIXO DO MINIMO","OK"))</f>
        <v/>
      </c>
    </row>
    <row r="1794">
      <c r="B1794">
        <f>IFERROR(VLOOKUP(A1794,Cadastro_Produtos!A:B,2,FALSE),"")</f>
        <v/>
      </c>
      <c r="D1794" s="12" t="n"/>
      <c r="E1794" s="13">
        <f>IF(D1794="","",D1794-TODAY())</f>
        <v/>
      </c>
      <c r="F1794">
        <f>IF(D1794="","",IF(E1794&lt;0,"VENCIDO",IF(E1794&lt;=30,"VENCE EM &lt;= 30 DIAS",IF(E1794&lt;=60,"ATENCAO (31-60 DIAS)","OK"))))</f>
        <v/>
      </c>
      <c r="G1794" s="13">
        <f>SUMIFS(Movimentacoes!$G:$G,Movimentacoes!$C:$C,$A1794,Movimentacoes!$E:$E,$C1794,Movimentacoes!$B:$B,"ENTRADA")</f>
        <v/>
      </c>
      <c r="H1794" s="13">
        <f>SUMIFS(Movimentacoes!$G:$G,Movimentacoes!$C:$C,$A1794,Movimentacoes!$E:$E,$C1794,Movimentacoes!$B:$B,"SAIDA_USO")</f>
        <v/>
      </c>
      <c r="I1794" s="13">
        <f>SUMIFS(Movimentacoes!$G:$G,Movimentacoes!$C:$C,$A1794,Movimentacoes!$E:$E,$C1794,Movimentacoes!$B:$B,"SAIDA_DESCARTE")</f>
        <v/>
      </c>
      <c r="J1794" s="13">
        <f>G1794-H1794-I1794</f>
        <v/>
      </c>
      <c r="K1794">
        <f>IF(A1794="","",IF(J1794&lt;=IFERROR(VLOOKUP(A1794,Cadastro_Produtos!$A:$E,5,FALSE),0),"ABAIXO DO MINIMO","OK"))</f>
        <v/>
      </c>
    </row>
    <row r="1795">
      <c r="B1795">
        <f>IFERROR(VLOOKUP(A1795,Cadastro_Produtos!A:B,2,FALSE),"")</f>
        <v/>
      </c>
      <c r="D1795" s="12" t="n"/>
      <c r="E1795" s="13">
        <f>IF(D1795="","",D1795-TODAY())</f>
        <v/>
      </c>
      <c r="F1795">
        <f>IF(D1795="","",IF(E1795&lt;0,"VENCIDO",IF(E1795&lt;=30,"VENCE EM &lt;= 30 DIAS",IF(E1795&lt;=60,"ATENCAO (31-60 DIAS)","OK"))))</f>
        <v/>
      </c>
      <c r="G1795" s="13">
        <f>SUMIFS(Movimentacoes!$G:$G,Movimentacoes!$C:$C,$A1795,Movimentacoes!$E:$E,$C1795,Movimentacoes!$B:$B,"ENTRADA")</f>
        <v/>
      </c>
      <c r="H1795" s="13">
        <f>SUMIFS(Movimentacoes!$G:$G,Movimentacoes!$C:$C,$A1795,Movimentacoes!$E:$E,$C1795,Movimentacoes!$B:$B,"SAIDA_USO")</f>
        <v/>
      </c>
      <c r="I1795" s="13">
        <f>SUMIFS(Movimentacoes!$G:$G,Movimentacoes!$C:$C,$A1795,Movimentacoes!$E:$E,$C1795,Movimentacoes!$B:$B,"SAIDA_DESCARTE")</f>
        <v/>
      </c>
      <c r="J1795" s="13">
        <f>G1795-H1795-I1795</f>
        <v/>
      </c>
      <c r="K1795">
        <f>IF(A1795="","",IF(J1795&lt;=IFERROR(VLOOKUP(A1795,Cadastro_Produtos!$A:$E,5,FALSE),0),"ABAIXO DO MINIMO","OK"))</f>
        <v/>
      </c>
    </row>
    <row r="1796">
      <c r="B1796">
        <f>IFERROR(VLOOKUP(A1796,Cadastro_Produtos!A:B,2,FALSE),"")</f>
        <v/>
      </c>
      <c r="D1796" s="12" t="n"/>
      <c r="E1796" s="13">
        <f>IF(D1796="","",D1796-TODAY())</f>
        <v/>
      </c>
      <c r="F1796">
        <f>IF(D1796="","",IF(E1796&lt;0,"VENCIDO",IF(E1796&lt;=30,"VENCE EM &lt;= 30 DIAS",IF(E1796&lt;=60,"ATENCAO (31-60 DIAS)","OK"))))</f>
        <v/>
      </c>
      <c r="G1796" s="13">
        <f>SUMIFS(Movimentacoes!$G:$G,Movimentacoes!$C:$C,$A1796,Movimentacoes!$E:$E,$C1796,Movimentacoes!$B:$B,"ENTRADA")</f>
        <v/>
      </c>
      <c r="H1796" s="13">
        <f>SUMIFS(Movimentacoes!$G:$G,Movimentacoes!$C:$C,$A1796,Movimentacoes!$E:$E,$C1796,Movimentacoes!$B:$B,"SAIDA_USO")</f>
        <v/>
      </c>
      <c r="I1796" s="13">
        <f>SUMIFS(Movimentacoes!$G:$G,Movimentacoes!$C:$C,$A1796,Movimentacoes!$E:$E,$C1796,Movimentacoes!$B:$B,"SAIDA_DESCARTE")</f>
        <v/>
      </c>
      <c r="J1796" s="13">
        <f>G1796-H1796-I1796</f>
        <v/>
      </c>
      <c r="K1796">
        <f>IF(A1796="","",IF(J1796&lt;=IFERROR(VLOOKUP(A1796,Cadastro_Produtos!$A:$E,5,FALSE),0),"ABAIXO DO MINIMO","OK"))</f>
        <v/>
      </c>
    </row>
    <row r="1797">
      <c r="B1797">
        <f>IFERROR(VLOOKUP(A1797,Cadastro_Produtos!A:B,2,FALSE),"")</f>
        <v/>
      </c>
      <c r="D1797" s="12" t="n"/>
      <c r="E1797" s="13">
        <f>IF(D1797="","",D1797-TODAY())</f>
        <v/>
      </c>
      <c r="F1797">
        <f>IF(D1797="","",IF(E1797&lt;0,"VENCIDO",IF(E1797&lt;=30,"VENCE EM &lt;= 30 DIAS",IF(E1797&lt;=60,"ATENCAO (31-60 DIAS)","OK"))))</f>
        <v/>
      </c>
      <c r="G1797" s="13">
        <f>SUMIFS(Movimentacoes!$G:$G,Movimentacoes!$C:$C,$A1797,Movimentacoes!$E:$E,$C1797,Movimentacoes!$B:$B,"ENTRADA")</f>
        <v/>
      </c>
      <c r="H1797" s="13">
        <f>SUMIFS(Movimentacoes!$G:$G,Movimentacoes!$C:$C,$A1797,Movimentacoes!$E:$E,$C1797,Movimentacoes!$B:$B,"SAIDA_USO")</f>
        <v/>
      </c>
      <c r="I1797" s="13">
        <f>SUMIFS(Movimentacoes!$G:$G,Movimentacoes!$C:$C,$A1797,Movimentacoes!$E:$E,$C1797,Movimentacoes!$B:$B,"SAIDA_DESCARTE")</f>
        <v/>
      </c>
      <c r="J1797" s="13">
        <f>G1797-H1797-I1797</f>
        <v/>
      </c>
      <c r="K1797">
        <f>IF(A1797="","",IF(J1797&lt;=IFERROR(VLOOKUP(A1797,Cadastro_Produtos!$A:$E,5,FALSE),0),"ABAIXO DO MINIMO","OK"))</f>
        <v/>
      </c>
    </row>
    <row r="1798">
      <c r="B1798">
        <f>IFERROR(VLOOKUP(A1798,Cadastro_Produtos!A:B,2,FALSE),"")</f>
        <v/>
      </c>
      <c r="D1798" s="12" t="n"/>
      <c r="E1798" s="13">
        <f>IF(D1798="","",D1798-TODAY())</f>
        <v/>
      </c>
      <c r="F1798">
        <f>IF(D1798="","",IF(E1798&lt;0,"VENCIDO",IF(E1798&lt;=30,"VENCE EM &lt;= 30 DIAS",IF(E1798&lt;=60,"ATENCAO (31-60 DIAS)","OK"))))</f>
        <v/>
      </c>
      <c r="G1798" s="13">
        <f>SUMIFS(Movimentacoes!$G:$G,Movimentacoes!$C:$C,$A1798,Movimentacoes!$E:$E,$C1798,Movimentacoes!$B:$B,"ENTRADA")</f>
        <v/>
      </c>
      <c r="H1798" s="13">
        <f>SUMIFS(Movimentacoes!$G:$G,Movimentacoes!$C:$C,$A1798,Movimentacoes!$E:$E,$C1798,Movimentacoes!$B:$B,"SAIDA_USO")</f>
        <v/>
      </c>
      <c r="I1798" s="13">
        <f>SUMIFS(Movimentacoes!$G:$G,Movimentacoes!$C:$C,$A1798,Movimentacoes!$E:$E,$C1798,Movimentacoes!$B:$B,"SAIDA_DESCARTE")</f>
        <v/>
      </c>
      <c r="J1798" s="13">
        <f>G1798-H1798-I1798</f>
        <v/>
      </c>
      <c r="K1798">
        <f>IF(A1798="","",IF(J1798&lt;=IFERROR(VLOOKUP(A1798,Cadastro_Produtos!$A:$E,5,FALSE),0),"ABAIXO DO MINIMO","OK"))</f>
        <v/>
      </c>
    </row>
    <row r="1799">
      <c r="B1799">
        <f>IFERROR(VLOOKUP(A1799,Cadastro_Produtos!A:B,2,FALSE),"")</f>
        <v/>
      </c>
      <c r="D1799" s="12" t="n"/>
      <c r="E1799" s="13">
        <f>IF(D1799="","",D1799-TODAY())</f>
        <v/>
      </c>
      <c r="F1799">
        <f>IF(D1799="","",IF(E1799&lt;0,"VENCIDO",IF(E1799&lt;=30,"VENCE EM &lt;= 30 DIAS",IF(E1799&lt;=60,"ATENCAO (31-60 DIAS)","OK"))))</f>
        <v/>
      </c>
      <c r="G1799" s="13">
        <f>SUMIFS(Movimentacoes!$G:$G,Movimentacoes!$C:$C,$A1799,Movimentacoes!$E:$E,$C1799,Movimentacoes!$B:$B,"ENTRADA")</f>
        <v/>
      </c>
      <c r="H1799" s="13">
        <f>SUMIFS(Movimentacoes!$G:$G,Movimentacoes!$C:$C,$A1799,Movimentacoes!$E:$E,$C1799,Movimentacoes!$B:$B,"SAIDA_USO")</f>
        <v/>
      </c>
      <c r="I1799" s="13">
        <f>SUMIFS(Movimentacoes!$G:$G,Movimentacoes!$C:$C,$A1799,Movimentacoes!$E:$E,$C1799,Movimentacoes!$B:$B,"SAIDA_DESCARTE")</f>
        <v/>
      </c>
      <c r="J1799" s="13">
        <f>G1799-H1799-I1799</f>
        <v/>
      </c>
      <c r="K1799">
        <f>IF(A1799="","",IF(J1799&lt;=IFERROR(VLOOKUP(A1799,Cadastro_Produtos!$A:$E,5,FALSE),0),"ABAIXO DO MINIMO","OK"))</f>
        <v/>
      </c>
    </row>
    <row r="1800">
      <c r="B1800">
        <f>IFERROR(VLOOKUP(A1800,Cadastro_Produtos!A:B,2,FALSE),"")</f>
        <v/>
      </c>
      <c r="D1800" s="12" t="n"/>
      <c r="E1800" s="13">
        <f>IF(D1800="","",D1800-TODAY())</f>
        <v/>
      </c>
      <c r="F1800">
        <f>IF(D1800="","",IF(E1800&lt;0,"VENCIDO",IF(E1800&lt;=30,"VENCE EM &lt;= 30 DIAS",IF(E1800&lt;=60,"ATENCAO (31-60 DIAS)","OK"))))</f>
        <v/>
      </c>
      <c r="G1800" s="13">
        <f>SUMIFS(Movimentacoes!$G:$G,Movimentacoes!$C:$C,$A1800,Movimentacoes!$E:$E,$C1800,Movimentacoes!$B:$B,"ENTRADA")</f>
        <v/>
      </c>
      <c r="H1800" s="13">
        <f>SUMIFS(Movimentacoes!$G:$G,Movimentacoes!$C:$C,$A1800,Movimentacoes!$E:$E,$C1800,Movimentacoes!$B:$B,"SAIDA_USO")</f>
        <v/>
      </c>
      <c r="I1800" s="13">
        <f>SUMIFS(Movimentacoes!$G:$G,Movimentacoes!$C:$C,$A1800,Movimentacoes!$E:$E,$C1800,Movimentacoes!$B:$B,"SAIDA_DESCARTE")</f>
        <v/>
      </c>
      <c r="J1800" s="13">
        <f>G1800-H1800-I1800</f>
        <v/>
      </c>
      <c r="K1800">
        <f>IF(A1800="","",IF(J1800&lt;=IFERROR(VLOOKUP(A1800,Cadastro_Produtos!$A:$E,5,FALSE),0),"ABAIXO DO MINIMO","OK"))</f>
        <v/>
      </c>
    </row>
    <row r="1801">
      <c r="B1801">
        <f>IFERROR(VLOOKUP(A1801,Cadastro_Produtos!A:B,2,FALSE),"")</f>
        <v/>
      </c>
      <c r="D1801" s="12" t="n"/>
      <c r="E1801" s="13">
        <f>IF(D1801="","",D1801-TODAY())</f>
        <v/>
      </c>
      <c r="F1801">
        <f>IF(D1801="","",IF(E1801&lt;0,"VENCIDO",IF(E1801&lt;=30,"VENCE EM &lt;= 30 DIAS",IF(E1801&lt;=60,"ATENCAO (31-60 DIAS)","OK"))))</f>
        <v/>
      </c>
      <c r="G1801" s="13">
        <f>SUMIFS(Movimentacoes!$G:$G,Movimentacoes!$C:$C,$A1801,Movimentacoes!$E:$E,$C1801,Movimentacoes!$B:$B,"ENTRADA")</f>
        <v/>
      </c>
      <c r="H1801" s="13">
        <f>SUMIFS(Movimentacoes!$G:$G,Movimentacoes!$C:$C,$A1801,Movimentacoes!$E:$E,$C1801,Movimentacoes!$B:$B,"SAIDA_USO")</f>
        <v/>
      </c>
      <c r="I1801" s="13">
        <f>SUMIFS(Movimentacoes!$G:$G,Movimentacoes!$C:$C,$A1801,Movimentacoes!$E:$E,$C1801,Movimentacoes!$B:$B,"SAIDA_DESCARTE")</f>
        <v/>
      </c>
      <c r="J1801" s="13">
        <f>G1801-H1801-I1801</f>
        <v/>
      </c>
      <c r="K1801">
        <f>IF(A1801="","",IF(J1801&lt;=IFERROR(VLOOKUP(A1801,Cadastro_Produtos!$A:$E,5,FALSE),0),"ABAIXO DO MINIMO","OK"))</f>
        <v/>
      </c>
    </row>
    <row r="1802">
      <c r="B1802">
        <f>IFERROR(VLOOKUP(A1802,Cadastro_Produtos!A:B,2,FALSE),"")</f>
        <v/>
      </c>
      <c r="D1802" s="12" t="n"/>
      <c r="E1802" s="13">
        <f>IF(D1802="","",D1802-TODAY())</f>
        <v/>
      </c>
      <c r="F1802">
        <f>IF(D1802="","",IF(E1802&lt;0,"VENCIDO",IF(E1802&lt;=30,"VENCE EM &lt;= 30 DIAS",IF(E1802&lt;=60,"ATENCAO (31-60 DIAS)","OK"))))</f>
        <v/>
      </c>
      <c r="G1802" s="13">
        <f>SUMIFS(Movimentacoes!$G:$G,Movimentacoes!$C:$C,$A1802,Movimentacoes!$E:$E,$C1802,Movimentacoes!$B:$B,"ENTRADA")</f>
        <v/>
      </c>
      <c r="H1802" s="13">
        <f>SUMIFS(Movimentacoes!$G:$G,Movimentacoes!$C:$C,$A1802,Movimentacoes!$E:$E,$C1802,Movimentacoes!$B:$B,"SAIDA_USO")</f>
        <v/>
      </c>
      <c r="I1802" s="13">
        <f>SUMIFS(Movimentacoes!$G:$G,Movimentacoes!$C:$C,$A1802,Movimentacoes!$E:$E,$C1802,Movimentacoes!$B:$B,"SAIDA_DESCARTE")</f>
        <v/>
      </c>
      <c r="J1802" s="13">
        <f>G1802-H1802-I1802</f>
        <v/>
      </c>
      <c r="K1802">
        <f>IF(A1802="","",IF(J1802&lt;=IFERROR(VLOOKUP(A1802,Cadastro_Produtos!$A:$E,5,FALSE),0),"ABAIXO DO MINIMO","OK"))</f>
        <v/>
      </c>
    </row>
    <row r="1803">
      <c r="B1803">
        <f>IFERROR(VLOOKUP(A1803,Cadastro_Produtos!A:B,2,FALSE),"")</f>
        <v/>
      </c>
      <c r="D1803" s="12" t="n"/>
      <c r="E1803" s="13">
        <f>IF(D1803="","",D1803-TODAY())</f>
        <v/>
      </c>
      <c r="F1803">
        <f>IF(D1803="","",IF(E1803&lt;0,"VENCIDO",IF(E1803&lt;=30,"VENCE EM &lt;= 30 DIAS",IF(E1803&lt;=60,"ATENCAO (31-60 DIAS)","OK"))))</f>
        <v/>
      </c>
      <c r="G1803" s="13">
        <f>SUMIFS(Movimentacoes!$G:$G,Movimentacoes!$C:$C,$A1803,Movimentacoes!$E:$E,$C1803,Movimentacoes!$B:$B,"ENTRADA")</f>
        <v/>
      </c>
      <c r="H1803" s="13">
        <f>SUMIFS(Movimentacoes!$G:$G,Movimentacoes!$C:$C,$A1803,Movimentacoes!$E:$E,$C1803,Movimentacoes!$B:$B,"SAIDA_USO")</f>
        <v/>
      </c>
      <c r="I1803" s="13">
        <f>SUMIFS(Movimentacoes!$G:$G,Movimentacoes!$C:$C,$A1803,Movimentacoes!$E:$E,$C1803,Movimentacoes!$B:$B,"SAIDA_DESCARTE")</f>
        <v/>
      </c>
      <c r="J1803" s="13">
        <f>G1803-H1803-I1803</f>
        <v/>
      </c>
      <c r="K1803">
        <f>IF(A1803="","",IF(J1803&lt;=IFERROR(VLOOKUP(A1803,Cadastro_Produtos!$A:$E,5,FALSE),0),"ABAIXO DO MINIMO","OK"))</f>
        <v/>
      </c>
    </row>
    <row r="1804">
      <c r="B1804">
        <f>IFERROR(VLOOKUP(A1804,Cadastro_Produtos!A:B,2,FALSE),"")</f>
        <v/>
      </c>
      <c r="D1804" s="12" t="n"/>
      <c r="E1804" s="13">
        <f>IF(D1804="","",D1804-TODAY())</f>
        <v/>
      </c>
      <c r="F1804">
        <f>IF(D1804="","",IF(E1804&lt;0,"VENCIDO",IF(E1804&lt;=30,"VENCE EM &lt;= 30 DIAS",IF(E1804&lt;=60,"ATENCAO (31-60 DIAS)","OK"))))</f>
        <v/>
      </c>
      <c r="G1804" s="13">
        <f>SUMIFS(Movimentacoes!$G:$G,Movimentacoes!$C:$C,$A1804,Movimentacoes!$E:$E,$C1804,Movimentacoes!$B:$B,"ENTRADA")</f>
        <v/>
      </c>
      <c r="H1804" s="13">
        <f>SUMIFS(Movimentacoes!$G:$G,Movimentacoes!$C:$C,$A1804,Movimentacoes!$E:$E,$C1804,Movimentacoes!$B:$B,"SAIDA_USO")</f>
        <v/>
      </c>
      <c r="I1804" s="13">
        <f>SUMIFS(Movimentacoes!$G:$G,Movimentacoes!$C:$C,$A1804,Movimentacoes!$E:$E,$C1804,Movimentacoes!$B:$B,"SAIDA_DESCARTE")</f>
        <v/>
      </c>
      <c r="J1804" s="13">
        <f>G1804-H1804-I1804</f>
        <v/>
      </c>
      <c r="K1804">
        <f>IF(A1804="","",IF(J1804&lt;=IFERROR(VLOOKUP(A1804,Cadastro_Produtos!$A:$E,5,FALSE),0),"ABAIXO DO MINIMO","OK"))</f>
        <v/>
      </c>
    </row>
    <row r="1805">
      <c r="B1805">
        <f>IFERROR(VLOOKUP(A1805,Cadastro_Produtos!A:B,2,FALSE),"")</f>
        <v/>
      </c>
      <c r="D1805" s="12" t="n"/>
      <c r="E1805" s="13">
        <f>IF(D1805="","",D1805-TODAY())</f>
        <v/>
      </c>
      <c r="F1805">
        <f>IF(D1805="","",IF(E1805&lt;0,"VENCIDO",IF(E1805&lt;=30,"VENCE EM &lt;= 30 DIAS",IF(E1805&lt;=60,"ATENCAO (31-60 DIAS)","OK"))))</f>
        <v/>
      </c>
      <c r="G1805" s="13">
        <f>SUMIFS(Movimentacoes!$G:$G,Movimentacoes!$C:$C,$A1805,Movimentacoes!$E:$E,$C1805,Movimentacoes!$B:$B,"ENTRADA")</f>
        <v/>
      </c>
      <c r="H1805" s="13">
        <f>SUMIFS(Movimentacoes!$G:$G,Movimentacoes!$C:$C,$A1805,Movimentacoes!$E:$E,$C1805,Movimentacoes!$B:$B,"SAIDA_USO")</f>
        <v/>
      </c>
      <c r="I1805" s="13">
        <f>SUMIFS(Movimentacoes!$G:$G,Movimentacoes!$C:$C,$A1805,Movimentacoes!$E:$E,$C1805,Movimentacoes!$B:$B,"SAIDA_DESCARTE")</f>
        <v/>
      </c>
      <c r="J1805" s="13">
        <f>G1805-H1805-I1805</f>
        <v/>
      </c>
      <c r="K1805">
        <f>IF(A1805="","",IF(J1805&lt;=IFERROR(VLOOKUP(A1805,Cadastro_Produtos!$A:$E,5,FALSE),0),"ABAIXO DO MINIMO","OK"))</f>
        <v/>
      </c>
    </row>
    <row r="1806">
      <c r="B1806">
        <f>IFERROR(VLOOKUP(A1806,Cadastro_Produtos!A:B,2,FALSE),"")</f>
        <v/>
      </c>
      <c r="D1806" s="12" t="n"/>
      <c r="E1806" s="13">
        <f>IF(D1806="","",D1806-TODAY())</f>
        <v/>
      </c>
      <c r="F1806">
        <f>IF(D1806="","",IF(E1806&lt;0,"VENCIDO",IF(E1806&lt;=30,"VENCE EM &lt;= 30 DIAS",IF(E1806&lt;=60,"ATENCAO (31-60 DIAS)","OK"))))</f>
        <v/>
      </c>
      <c r="G1806" s="13">
        <f>SUMIFS(Movimentacoes!$G:$G,Movimentacoes!$C:$C,$A1806,Movimentacoes!$E:$E,$C1806,Movimentacoes!$B:$B,"ENTRADA")</f>
        <v/>
      </c>
      <c r="H1806" s="13">
        <f>SUMIFS(Movimentacoes!$G:$G,Movimentacoes!$C:$C,$A1806,Movimentacoes!$E:$E,$C1806,Movimentacoes!$B:$B,"SAIDA_USO")</f>
        <v/>
      </c>
      <c r="I1806" s="13">
        <f>SUMIFS(Movimentacoes!$G:$G,Movimentacoes!$C:$C,$A1806,Movimentacoes!$E:$E,$C1806,Movimentacoes!$B:$B,"SAIDA_DESCARTE")</f>
        <v/>
      </c>
      <c r="J1806" s="13">
        <f>G1806-H1806-I1806</f>
        <v/>
      </c>
      <c r="K1806">
        <f>IF(A1806="","",IF(J1806&lt;=IFERROR(VLOOKUP(A1806,Cadastro_Produtos!$A:$E,5,FALSE),0),"ABAIXO DO MINIMO","OK"))</f>
        <v/>
      </c>
    </row>
    <row r="1807">
      <c r="B1807">
        <f>IFERROR(VLOOKUP(A1807,Cadastro_Produtos!A:B,2,FALSE),"")</f>
        <v/>
      </c>
      <c r="D1807" s="12" t="n"/>
      <c r="E1807" s="13">
        <f>IF(D1807="","",D1807-TODAY())</f>
        <v/>
      </c>
      <c r="F1807">
        <f>IF(D1807="","",IF(E1807&lt;0,"VENCIDO",IF(E1807&lt;=30,"VENCE EM &lt;= 30 DIAS",IF(E1807&lt;=60,"ATENCAO (31-60 DIAS)","OK"))))</f>
        <v/>
      </c>
      <c r="G1807" s="13">
        <f>SUMIFS(Movimentacoes!$G:$G,Movimentacoes!$C:$C,$A1807,Movimentacoes!$E:$E,$C1807,Movimentacoes!$B:$B,"ENTRADA")</f>
        <v/>
      </c>
      <c r="H1807" s="13">
        <f>SUMIFS(Movimentacoes!$G:$G,Movimentacoes!$C:$C,$A1807,Movimentacoes!$E:$E,$C1807,Movimentacoes!$B:$B,"SAIDA_USO")</f>
        <v/>
      </c>
      <c r="I1807" s="13">
        <f>SUMIFS(Movimentacoes!$G:$G,Movimentacoes!$C:$C,$A1807,Movimentacoes!$E:$E,$C1807,Movimentacoes!$B:$B,"SAIDA_DESCARTE")</f>
        <v/>
      </c>
      <c r="J1807" s="13">
        <f>G1807-H1807-I1807</f>
        <v/>
      </c>
      <c r="K1807">
        <f>IF(A1807="","",IF(J1807&lt;=IFERROR(VLOOKUP(A1807,Cadastro_Produtos!$A:$E,5,FALSE),0),"ABAIXO DO MINIMO","OK"))</f>
        <v/>
      </c>
    </row>
    <row r="1808">
      <c r="B1808">
        <f>IFERROR(VLOOKUP(A1808,Cadastro_Produtos!A:B,2,FALSE),"")</f>
        <v/>
      </c>
      <c r="D1808" s="12" t="n"/>
      <c r="E1808" s="13">
        <f>IF(D1808="","",D1808-TODAY())</f>
        <v/>
      </c>
      <c r="F1808">
        <f>IF(D1808="","",IF(E1808&lt;0,"VENCIDO",IF(E1808&lt;=30,"VENCE EM &lt;= 30 DIAS",IF(E1808&lt;=60,"ATENCAO (31-60 DIAS)","OK"))))</f>
        <v/>
      </c>
      <c r="G1808" s="13">
        <f>SUMIFS(Movimentacoes!$G:$G,Movimentacoes!$C:$C,$A1808,Movimentacoes!$E:$E,$C1808,Movimentacoes!$B:$B,"ENTRADA")</f>
        <v/>
      </c>
      <c r="H1808" s="13">
        <f>SUMIFS(Movimentacoes!$G:$G,Movimentacoes!$C:$C,$A1808,Movimentacoes!$E:$E,$C1808,Movimentacoes!$B:$B,"SAIDA_USO")</f>
        <v/>
      </c>
      <c r="I1808" s="13">
        <f>SUMIFS(Movimentacoes!$G:$G,Movimentacoes!$C:$C,$A1808,Movimentacoes!$E:$E,$C1808,Movimentacoes!$B:$B,"SAIDA_DESCARTE")</f>
        <v/>
      </c>
      <c r="J1808" s="13">
        <f>G1808-H1808-I1808</f>
        <v/>
      </c>
      <c r="K1808">
        <f>IF(A1808="","",IF(J1808&lt;=IFERROR(VLOOKUP(A1808,Cadastro_Produtos!$A:$E,5,FALSE),0),"ABAIXO DO MINIMO","OK"))</f>
        <v/>
      </c>
    </row>
    <row r="1809">
      <c r="B1809">
        <f>IFERROR(VLOOKUP(A1809,Cadastro_Produtos!A:B,2,FALSE),"")</f>
        <v/>
      </c>
      <c r="D1809" s="12" t="n"/>
      <c r="E1809" s="13">
        <f>IF(D1809="","",D1809-TODAY())</f>
        <v/>
      </c>
      <c r="F1809">
        <f>IF(D1809="","",IF(E1809&lt;0,"VENCIDO",IF(E1809&lt;=30,"VENCE EM &lt;= 30 DIAS",IF(E1809&lt;=60,"ATENCAO (31-60 DIAS)","OK"))))</f>
        <v/>
      </c>
      <c r="G1809" s="13">
        <f>SUMIFS(Movimentacoes!$G:$G,Movimentacoes!$C:$C,$A1809,Movimentacoes!$E:$E,$C1809,Movimentacoes!$B:$B,"ENTRADA")</f>
        <v/>
      </c>
      <c r="H1809" s="13">
        <f>SUMIFS(Movimentacoes!$G:$G,Movimentacoes!$C:$C,$A1809,Movimentacoes!$E:$E,$C1809,Movimentacoes!$B:$B,"SAIDA_USO")</f>
        <v/>
      </c>
      <c r="I1809" s="13">
        <f>SUMIFS(Movimentacoes!$G:$G,Movimentacoes!$C:$C,$A1809,Movimentacoes!$E:$E,$C1809,Movimentacoes!$B:$B,"SAIDA_DESCARTE")</f>
        <v/>
      </c>
      <c r="J1809" s="13">
        <f>G1809-H1809-I1809</f>
        <v/>
      </c>
      <c r="K1809">
        <f>IF(A1809="","",IF(J1809&lt;=IFERROR(VLOOKUP(A1809,Cadastro_Produtos!$A:$E,5,FALSE),0),"ABAIXO DO MINIMO","OK"))</f>
        <v/>
      </c>
    </row>
    <row r="1810">
      <c r="B1810">
        <f>IFERROR(VLOOKUP(A1810,Cadastro_Produtos!A:B,2,FALSE),"")</f>
        <v/>
      </c>
      <c r="D1810" s="12" t="n"/>
      <c r="E1810" s="13">
        <f>IF(D1810="","",D1810-TODAY())</f>
        <v/>
      </c>
      <c r="F1810">
        <f>IF(D1810="","",IF(E1810&lt;0,"VENCIDO",IF(E1810&lt;=30,"VENCE EM &lt;= 30 DIAS",IF(E1810&lt;=60,"ATENCAO (31-60 DIAS)","OK"))))</f>
        <v/>
      </c>
      <c r="G1810" s="13">
        <f>SUMIFS(Movimentacoes!$G:$G,Movimentacoes!$C:$C,$A1810,Movimentacoes!$E:$E,$C1810,Movimentacoes!$B:$B,"ENTRADA")</f>
        <v/>
      </c>
      <c r="H1810" s="13">
        <f>SUMIFS(Movimentacoes!$G:$G,Movimentacoes!$C:$C,$A1810,Movimentacoes!$E:$E,$C1810,Movimentacoes!$B:$B,"SAIDA_USO")</f>
        <v/>
      </c>
      <c r="I1810" s="13">
        <f>SUMIFS(Movimentacoes!$G:$G,Movimentacoes!$C:$C,$A1810,Movimentacoes!$E:$E,$C1810,Movimentacoes!$B:$B,"SAIDA_DESCARTE")</f>
        <v/>
      </c>
      <c r="J1810" s="13">
        <f>G1810-H1810-I1810</f>
        <v/>
      </c>
      <c r="K1810">
        <f>IF(A1810="","",IF(J1810&lt;=IFERROR(VLOOKUP(A1810,Cadastro_Produtos!$A:$E,5,FALSE),0),"ABAIXO DO MINIMO","OK"))</f>
        <v/>
      </c>
    </row>
    <row r="1811">
      <c r="B1811">
        <f>IFERROR(VLOOKUP(A1811,Cadastro_Produtos!A:B,2,FALSE),"")</f>
        <v/>
      </c>
      <c r="D1811" s="12" t="n"/>
      <c r="E1811" s="13">
        <f>IF(D1811="","",D1811-TODAY())</f>
        <v/>
      </c>
      <c r="F1811">
        <f>IF(D1811="","",IF(E1811&lt;0,"VENCIDO",IF(E1811&lt;=30,"VENCE EM &lt;= 30 DIAS",IF(E1811&lt;=60,"ATENCAO (31-60 DIAS)","OK"))))</f>
        <v/>
      </c>
      <c r="G1811" s="13">
        <f>SUMIFS(Movimentacoes!$G:$G,Movimentacoes!$C:$C,$A1811,Movimentacoes!$E:$E,$C1811,Movimentacoes!$B:$B,"ENTRADA")</f>
        <v/>
      </c>
      <c r="H1811" s="13">
        <f>SUMIFS(Movimentacoes!$G:$G,Movimentacoes!$C:$C,$A1811,Movimentacoes!$E:$E,$C1811,Movimentacoes!$B:$B,"SAIDA_USO")</f>
        <v/>
      </c>
      <c r="I1811" s="13">
        <f>SUMIFS(Movimentacoes!$G:$G,Movimentacoes!$C:$C,$A1811,Movimentacoes!$E:$E,$C1811,Movimentacoes!$B:$B,"SAIDA_DESCARTE")</f>
        <v/>
      </c>
      <c r="J1811" s="13">
        <f>G1811-H1811-I1811</f>
        <v/>
      </c>
      <c r="K1811">
        <f>IF(A1811="","",IF(J1811&lt;=IFERROR(VLOOKUP(A1811,Cadastro_Produtos!$A:$E,5,FALSE),0),"ABAIXO DO MINIMO","OK"))</f>
        <v/>
      </c>
    </row>
    <row r="1812">
      <c r="B1812">
        <f>IFERROR(VLOOKUP(A1812,Cadastro_Produtos!A:B,2,FALSE),"")</f>
        <v/>
      </c>
      <c r="D1812" s="12" t="n"/>
      <c r="E1812" s="13">
        <f>IF(D1812="","",D1812-TODAY())</f>
        <v/>
      </c>
      <c r="F1812">
        <f>IF(D1812="","",IF(E1812&lt;0,"VENCIDO",IF(E1812&lt;=30,"VENCE EM &lt;= 30 DIAS",IF(E1812&lt;=60,"ATENCAO (31-60 DIAS)","OK"))))</f>
        <v/>
      </c>
      <c r="G1812" s="13">
        <f>SUMIFS(Movimentacoes!$G:$G,Movimentacoes!$C:$C,$A1812,Movimentacoes!$E:$E,$C1812,Movimentacoes!$B:$B,"ENTRADA")</f>
        <v/>
      </c>
      <c r="H1812" s="13">
        <f>SUMIFS(Movimentacoes!$G:$G,Movimentacoes!$C:$C,$A1812,Movimentacoes!$E:$E,$C1812,Movimentacoes!$B:$B,"SAIDA_USO")</f>
        <v/>
      </c>
      <c r="I1812" s="13">
        <f>SUMIFS(Movimentacoes!$G:$G,Movimentacoes!$C:$C,$A1812,Movimentacoes!$E:$E,$C1812,Movimentacoes!$B:$B,"SAIDA_DESCARTE")</f>
        <v/>
      </c>
      <c r="J1812" s="13">
        <f>G1812-H1812-I1812</f>
        <v/>
      </c>
      <c r="K1812">
        <f>IF(A1812="","",IF(J1812&lt;=IFERROR(VLOOKUP(A1812,Cadastro_Produtos!$A:$E,5,FALSE),0),"ABAIXO DO MINIMO","OK"))</f>
        <v/>
      </c>
    </row>
    <row r="1813">
      <c r="B1813">
        <f>IFERROR(VLOOKUP(A1813,Cadastro_Produtos!A:B,2,FALSE),"")</f>
        <v/>
      </c>
      <c r="D1813" s="12" t="n"/>
      <c r="E1813" s="13">
        <f>IF(D1813="","",D1813-TODAY())</f>
        <v/>
      </c>
      <c r="F1813">
        <f>IF(D1813="","",IF(E1813&lt;0,"VENCIDO",IF(E1813&lt;=30,"VENCE EM &lt;= 30 DIAS",IF(E1813&lt;=60,"ATENCAO (31-60 DIAS)","OK"))))</f>
        <v/>
      </c>
      <c r="G1813" s="13">
        <f>SUMIFS(Movimentacoes!$G:$G,Movimentacoes!$C:$C,$A1813,Movimentacoes!$E:$E,$C1813,Movimentacoes!$B:$B,"ENTRADA")</f>
        <v/>
      </c>
      <c r="H1813" s="13">
        <f>SUMIFS(Movimentacoes!$G:$G,Movimentacoes!$C:$C,$A1813,Movimentacoes!$E:$E,$C1813,Movimentacoes!$B:$B,"SAIDA_USO")</f>
        <v/>
      </c>
      <c r="I1813" s="13">
        <f>SUMIFS(Movimentacoes!$G:$G,Movimentacoes!$C:$C,$A1813,Movimentacoes!$E:$E,$C1813,Movimentacoes!$B:$B,"SAIDA_DESCARTE")</f>
        <v/>
      </c>
      <c r="J1813" s="13">
        <f>G1813-H1813-I1813</f>
        <v/>
      </c>
      <c r="K1813">
        <f>IF(A1813="","",IF(J1813&lt;=IFERROR(VLOOKUP(A1813,Cadastro_Produtos!$A:$E,5,FALSE),0),"ABAIXO DO MINIMO","OK"))</f>
        <v/>
      </c>
    </row>
    <row r="1814">
      <c r="B1814">
        <f>IFERROR(VLOOKUP(A1814,Cadastro_Produtos!A:B,2,FALSE),"")</f>
        <v/>
      </c>
      <c r="D1814" s="12" t="n"/>
      <c r="E1814" s="13">
        <f>IF(D1814="","",D1814-TODAY())</f>
        <v/>
      </c>
      <c r="F1814">
        <f>IF(D1814="","",IF(E1814&lt;0,"VENCIDO",IF(E1814&lt;=30,"VENCE EM &lt;= 30 DIAS",IF(E1814&lt;=60,"ATENCAO (31-60 DIAS)","OK"))))</f>
        <v/>
      </c>
      <c r="G1814" s="13">
        <f>SUMIFS(Movimentacoes!$G:$G,Movimentacoes!$C:$C,$A1814,Movimentacoes!$E:$E,$C1814,Movimentacoes!$B:$B,"ENTRADA")</f>
        <v/>
      </c>
      <c r="H1814" s="13">
        <f>SUMIFS(Movimentacoes!$G:$G,Movimentacoes!$C:$C,$A1814,Movimentacoes!$E:$E,$C1814,Movimentacoes!$B:$B,"SAIDA_USO")</f>
        <v/>
      </c>
      <c r="I1814" s="13">
        <f>SUMIFS(Movimentacoes!$G:$G,Movimentacoes!$C:$C,$A1814,Movimentacoes!$E:$E,$C1814,Movimentacoes!$B:$B,"SAIDA_DESCARTE")</f>
        <v/>
      </c>
      <c r="J1814" s="13">
        <f>G1814-H1814-I1814</f>
        <v/>
      </c>
      <c r="K1814">
        <f>IF(A1814="","",IF(J1814&lt;=IFERROR(VLOOKUP(A1814,Cadastro_Produtos!$A:$E,5,FALSE),0),"ABAIXO DO MINIMO","OK"))</f>
        <v/>
      </c>
    </row>
    <row r="1815">
      <c r="B1815">
        <f>IFERROR(VLOOKUP(A1815,Cadastro_Produtos!A:B,2,FALSE),"")</f>
        <v/>
      </c>
      <c r="D1815" s="12" t="n"/>
      <c r="E1815" s="13">
        <f>IF(D1815="","",D1815-TODAY())</f>
        <v/>
      </c>
      <c r="F1815">
        <f>IF(D1815="","",IF(E1815&lt;0,"VENCIDO",IF(E1815&lt;=30,"VENCE EM &lt;= 30 DIAS",IF(E1815&lt;=60,"ATENCAO (31-60 DIAS)","OK"))))</f>
        <v/>
      </c>
      <c r="G1815" s="13">
        <f>SUMIFS(Movimentacoes!$G:$G,Movimentacoes!$C:$C,$A1815,Movimentacoes!$E:$E,$C1815,Movimentacoes!$B:$B,"ENTRADA")</f>
        <v/>
      </c>
      <c r="H1815" s="13">
        <f>SUMIFS(Movimentacoes!$G:$G,Movimentacoes!$C:$C,$A1815,Movimentacoes!$E:$E,$C1815,Movimentacoes!$B:$B,"SAIDA_USO")</f>
        <v/>
      </c>
      <c r="I1815" s="13">
        <f>SUMIFS(Movimentacoes!$G:$G,Movimentacoes!$C:$C,$A1815,Movimentacoes!$E:$E,$C1815,Movimentacoes!$B:$B,"SAIDA_DESCARTE")</f>
        <v/>
      </c>
      <c r="J1815" s="13">
        <f>G1815-H1815-I1815</f>
        <v/>
      </c>
      <c r="K1815">
        <f>IF(A1815="","",IF(J1815&lt;=IFERROR(VLOOKUP(A1815,Cadastro_Produtos!$A:$E,5,FALSE),0),"ABAIXO DO MINIMO","OK"))</f>
        <v/>
      </c>
    </row>
    <row r="1816">
      <c r="B1816">
        <f>IFERROR(VLOOKUP(A1816,Cadastro_Produtos!A:B,2,FALSE),"")</f>
        <v/>
      </c>
      <c r="D1816" s="12" t="n"/>
      <c r="E1816" s="13">
        <f>IF(D1816="","",D1816-TODAY())</f>
        <v/>
      </c>
      <c r="F1816">
        <f>IF(D1816="","",IF(E1816&lt;0,"VENCIDO",IF(E1816&lt;=30,"VENCE EM &lt;= 30 DIAS",IF(E1816&lt;=60,"ATENCAO (31-60 DIAS)","OK"))))</f>
        <v/>
      </c>
      <c r="G1816" s="13">
        <f>SUMIFS(Movimentacoes!$G:$G,Movimentacoes!$C:$C,$A1816,Movimentacoes!$E:$E,$C1816,Movimentacoes!$B:$B,"ENTRADA")</f>
        <v/>
      </c>
      <c r="H1816" s="13">
        <f>SUMIFS(Movimentacoes!$G:$G,Movimentacoes!$C:$C,$A1816,Movimentacoes!$E:$E,$C1816,Movimentacoes!$B:$B,"SAIDA_USO")</f>
        <v/>
      </c>
      <c r="I1816" s="13">
        <f>SUMIFS(Movimentacoes!$G:$G,Movimentacoes!$C:$C,$A1816,Movimentacoes!$E:$E,$C1816,Movimentacoes!$B:$B,"SAIDA_DESCARTE")</f>
        <v/>
      </c>
      <c r="J1816" s="13">
        <f>G1816-H1816-I1816</f>
        <v/>
      </c>
      <c r="K1816">
        <f>IF(A1816="","",IF(J1816&lt;=IFERROR(VLOOKUP(A1816,Cadastro_Produtos!$A:$E,5,FALSE),0),"ABAIXO DO MINIMO","OK"))</f>
        <v/>
      </c>
    </row>
    <row r="1817">
      <c r="B1817">
        <f>IFERROR(VLOOKUP(A1817,Cadastro_Produtos!A:B,2,FALSE),"")</f>
        <v/>
      </c>
      <c r="D1817" s="12" t="n"/>
      <c r="E1817" s="13">
        <f>IF(D1817="","",D1817-TODAY())</f>
        <v/>
      </c>
      <c r="F1817">
        <f>IF(D1817="","",IF(E1817&lt;0,"VENCIDO",IF(E1817&lt;=30,"VENCE EM &lt;= 30 DIAS",IF(E1817&lt;=60,"ATENCAO (31-60 DIAS)","OK"))))</f>
        <v/>
      </c>
      <c r="G1817" s="13">
        <f>SUMIFS(Movimentacoes!$G:$G,Movimentacoes!$C:$C,$A1817,Movimentacoes!$E:$E,$C1817,Movimentacoes!$B:$B,"ENTRADA")</f>
        <v/>
      </c>
      <c r="H1817" s="13">
        <f>SUMIFS(Movimentacoes!$G:$G,Movimentacoes!$C:$C,$A1817,Movimentacoes!$E:$E,$C1817,Movimentacoes!$B:$B,"SAIDA_USO")</f>
        <v/>
      </c>
      <c r="I1817" s="13">
        <f>SUMIFS(Movimentacoes!$G:$G,Movimentacoes!$C:$C,$A1817,Movimentacoes!$E:$E,$C1817,Movimentacoes!$B:$B,"SAIDA_DESCARTE")</f>
        <v/>
      </c>
      <c r="J1817" s="13">
        <f>G1817-H1817-I1817</f>
        <v/>
      </c>
      <c r="K1817">
        <f>IF(A1817="","",IF(J1817&lt;=IFERROR(VLOOKUP(A1817,Cadastro_Produtos!$A:$E,5,FALSE),0),"ABAIXO DO MINIMO","OK"))</f>
        <v/>
      </c>
    </row>
    <row r="1818">
      <c r="B1818">
        <f>IFERROR(VLOOKUP(A1818,Cadastro_Produtos!A:B,2,FALSE),"")</f>
        <v/>
      </c>
      <c r="D1818" s="12" t="n"/>
      <c r="E1818" s="13">
        <f>IF(D1818="","",D1818-TODAY())</f>
        <v/>
      </c>
      <c r="F1818">
        <f>IF(D1818="","",IF(E1818&lt;0,"VENCIDO",IF(E1818&lt;=30,"VENCE EM &lt;= 30 DIAS",IF(E1818&lt;=60,"ATENCAO (31-60 DIAS)","OK"))))</f>
        <v/>
      </c>
      <c r="G1818" s="13">
        <f>SUMIFS(Movimentacoes!$G:$G,Movimentacoes!$C:$C,$A1818,Movimentacoes!$E:$E,$C1818,Movimentacoes!$B:$B,"ENTRADA")</f>
        <v/>
      </c>
      <c r="H1818" s="13">
        <f>SUMIFS(Movimentacoes!$G:$G,Movimentacoes!$C:$C,$A1818,Movimentacoes!$E:$E,$C1818,Movimentacoes!$B:$B,"SAIDA_USO")</f>
        <v/>
      </c>
      <c r="I1818" s="13">
        <f>SUMIFS(Movimentacoes!$G:$G,Movimentacoes!$C:$C,$A1818,Movimentacoes!$E:$E,$C1818,Movimentacoes!$B:$B,"SAIDA_DESCARTE")</f>
        <v/>
      </c>
      <c r="J1818" s="13">
        <f>G1818-H1818-I1818</f>
        <v/>
      </c>
      <c r="K1818">
        <f>IF(A1818="","",IF(J1818&lt;=IFERROR(VLOOKUP(A1818,Cadastro_Produtos!$A:$E,5,FALSE),0),"ABAIXO DO MINIMO","OK"))</f>
        <v/>
      </c>
    </row>
    <row r="1819">
      <c r="B1819">
        <f>IFERROR(VLOOKUP(A1819,Cadastro_Produtos!A:B,2,FALSE),"")</f>
        <v/>
      </c>
      <c r="D1819" s="12" t="n"/>
      <c r="E1819" s="13">
        <f>IF(D1819="","",D1819-TODAY())</f>
        <v/>
      </c>
      <c r="F1819">
        <f>IF(D1819="","",IF(E1819&lt;0,"VENCIDO",IF(E1819&lt;=30,"VENCE EM &lt;= 30 DIAS",IF(E1819&lt;=60,"ATENCAO (31-60 DIAS)","OK"))))</f>
        <v/>
      </c>
      <c r="G1819" s="13">
        <f>SUMIFS(Movimentacoes!$G:$G,Movimentacoes!$C:$C,$A1819,Movimentacoes!$E:$E,$C1819,Movimentacoes!$B:$B,"ENTRADA")</f>
        <v/>
      </c>
      <c r="H1819" s="13">
        <f>SUMIFS(Movimentacoes!$G:$G,Movimentacoes!$C:$C,$A1819,Movimentacoes!$E:$E,$C1819,Movimentacoes!$B:$B,"SAIDA_USO")</f>
        <v/>
      </c>
      <c r="I1819" s="13">
        <f>SUMIFS(Movimentacoes!$G:$G,Movimentacoes!$C:$C,$A1819,Movimentacoes!$E:$E,$C1819,Movimentacoes!$B:$B,"SAIDA_DESCARTE")</f>
        <v/>
      </c>
      <c r="J1819" s="13">
        <f>G1819-H1819-I1819</f>
        <v/>
      </c>
      <c r="K1819">
        <f>IF(A1819="","",IF(J1819&lt;=IFERROR(VLOOKUP(A1819,Cadastro_Produtos!$A:$E,5,FALSE),0),"ABAIXO DO MINIMO","OK"))</f>
        <v/>
      </c>
    </row>
    <row r="1820">
      <c r="B1820">
        <f>IFERROR(VLOOKUP(A1820,Cadastro_Produtos!A:B,2,FALSE),"")</f>
        <v/>
      </c>
      <c r="D1820" s="12" t="n"/>
      <c r="E1820" s="13">
        <f>IF(D1820="","",D1820-TODAY())</f>
        <v/>
      </c>
      <c r="F1820">
        <f>IF(D1820="","",IF(E1820&lt;0,"VENCIDO",IF(E1820&lt;=30,"VENCE EM &lt;= 30 DIAS",IF(E1820&lt;=60,"ATENCAO (31-60 DIAS)","OK"))))</f>
        <v/>
      </c>
      <c r="G1820" s="13">
        <f>SUMIFS(Movimentacoes!$G:$G,Movimentacoes!$C:$C,$A1820,Movimentacoes!$E:$E,$C1820,Movimentacoes!$B:$B,"ENTRADA")</f>
        <v/>
      </c>
      <c r="H1820" s="13">
        <f>SUMIFS(Movimentacoes!$G:$G,Movimentacoes!$C:$C,$A1820,Movimentacoes!$E:$E,$C1820,Movimentacoes!$B:$B,"SAIDA_USO")</f>
        <v/>
      </c>
      <c r="I1820" s="13">
        <f>SUMIFS(Movimentacoes!$G:$G,Movimentacoes!$C:$C,$A1820,Movimentacoes!$E:$E,$C1820,Movimentacoes!$B:$B,"SAIDA_DESCARTE")</f>
        <v/>
      </c>
      <c r="J1820" s="13">
        <f>G1820-H1820-I1820</f>
        <v/>
      </c>
      <c r="K1820">
        <f>IF(A1820="","",IF(J1820&lt;=IFERROR(VLOOKUP(A1820,Cadastro_Produtos!$A:$E,5,FALSE),0),"ABAIXO DO MINIMO","OK"))</f>
        <v/>
      </c>
    </row>
    <row r="1821">
      <c r="B1821">
        <f>IFERROR(VLOOKUP(A1821,Cadastro_Produtos!A:B,2,FALSE),"")</f>
        <v/>
      </c>
      <c r="D1821" s="12" t="n"/>
      <c r="E1821" s="13">
        <f>IF(D1821="","",D1821-TODAY())</f>
        <v/>
      </c>
      <c r="F1821">
        <f>IF(D1821="","",IF(E1821&lt;0,"VENCIDO",IF(E1821&lt;=30,"VENCE EM &lt;= 30 DIAS",IF(E1821&lt;=60,"ATENCAO (31-60 DIAS)","OK"))))</f>
        <v/>
      </c>
      <c r="G1821" s="13">
        <f>SUMIFS(Movimentacoes!$G:$G,Movimentacoes!$C:$C,$A1821,Movimentacoes!$E:$E,$C1821,Movimentacoes!$B:$B,"ENTRADA")</f>
        <v/>
      </c>
      <c r="H1821" s="13">
        <f>SUMIFS(Movimentacoes!$G:$G,Movimentacoes!$C:$C,$A1821,Movimentacoes!$E:$E,$C1821,Movimentacoes!$B:$B,"SAIDA_USO")</f>
        <v/>
      </c>
      <c r="I1821" s="13">
        <f>SUMIFS(Movimentacoes!$G:$G,Movimentacoes!$C:$C,$A1821,Movimentacoes!$E:$E,$C1821,Movimentacoes!$B:$B,"SAIDA_DESCARTE")</f>
        <v/>
      </c>
      <c r="J1821" s="13">
        <f>G1821-H1821-I1821</f>
        <v/>
      </c>
      <c r="K1821">
        <f>IF(A1821="","",IF(J1821&lt;=IFERROR(VLOOKUP(A1821,Cadastro_Produtos!$A:$E,5,FALSE),0),"ABAIXO DO MINIMO","OK"))</f>
        <v/>
      </c>
    </row>
    <row r="1822">
      <c r="B1822">
        <f>IFERROR(VLOOKUP(A1822,Cadastro_Produtos!A:B,2,FALSE),"")</f>
        <v/>
      </c>
      <c r="D1822" s="12" t="n"/>
      <c r="E1822" s="13">
        <f>IF(D1822="","",D1822-TODAY())</f>
        <v/>
      </c>
      <c r="F1822">
        <f>IF(D1822="","",IF(E1822&lt;0,"VENCIDO",IF(E1822&lt;=30,"VENCE EM &lt;= 30 DIAS",IF(E1822&lt;=60,"ATENCAO (31-60 DIAS)","OK"))))</f>
        <v/>
      </c>
      <c r="G1822" s="13">
        <f>SUMIFS(Movimentacoes!$G:$G,Movimentacoes!$C:$C,$A1822,Movimentacoes!$E:$E,$C1822,Movimentacoes!$B:$B,"ENTRADA")</f>
        <v/>
      </c>
      <c r="H1822" s="13">
        <f>SUMIFS(Movimentacoes!$G:$G,Movimentacoes!$C:$C,$A1822,Movimentacoes!$E:$E,$C1822,Movimentacoes!$B:$B,"SAIDA_USO")</f>
        <v/>
      </c>
      <c r="I1822" s="13">
        <f>SUMIFS(Movimentacoes!$G:$G,Movimentacoes!$C:$C,$A1822,Movimentacoes!$E:$E,$C1822,Movimentacoes!$B:$B,"SAIDA_DESCARTE")</f>
        <v/>
      </c>
      <c r="J1822" s="13">
        <f>G1822-H1822-I1822</f>
        <v/>
      </c>
      <c r="K1822">
        <f>IF(A1822="","",IF(J1822&lt;=IFERROR(VLOOKUP(A1822,Cadastro_Produtos!$A:$E,5,FALSE),0),"ABAIXO DO MINIMO","OK"))</f>
        <v/>
      </c>
    </row>
    <row r="1823">
      <c r="B1823">
        <f>IFERROR(VLOOKUP(A1823,Cadastro_Produtos!A:B,2,FALSE),"")</f>
        <v/>
      </c>
      <c r="D1823" s="12" t="n"/>
      <c r="E1823" s="13">
        <f>IF(D1823="","",D1823-TODAY())</f>
        <v/>
      </c>
      <c r="F1823">
        <f>IF(D1823="","",IF(E1823&lt;0,"VENCIDO",IF(E1823&lt;=30,"VENCE EM &lt;= 30 DIAS",IF(E1823&lt;=60,"ATENCAO (31-60 DIAS)","OK"))))</f>
        <v/>
      </c>
      <c r="G1823" s="13">
        <f>SUMIFS(Movimentacoes!$G:$G,Movimentacoes!$C:$C,$A1823,Movimentacoes!$E:$E,$C1823,Movimentacoes!$B:$B,"ENTRADA")</f>
        <v/>
      </c>
      <c r="H1823" s="13">
        <f>SUMIFS(Movimentacoes!$G:$G,Movimentacoes!$C:$C,$A1823,Movimentacoes!$E:$E,$C1823,Movimentacoes!$B:$B,"SAIDA_USO")</f>
        <v/>
      </c>
      <c r="I1823" s="13">
        <f>SUMIFS(Movimentacoes!$G:$G,Movimentacoes!$C:$C,$A1823,Movimentacoes!$E:$E,$C1823,Movimentacoes!$B:$B,"SAIDA_DESCARTE")</f>
        <v/>
      </c>
      <c r="J1823" s="13">
        <f>G1823-H1823-I1823</f>
        <v/>
      </c>
      <c r="K1823">
        <f>IF(A1823="","",IF(J1823&lt;=IFERROR(VLOOKUP(A1823,Cadastro_Produtos!$A:$E,5,FALSE),0),"ABAIXO DO MINIMO","OK"))</f>
        <v/>
      </c>
    </row>
    <row r="1824">
      <c r="B1824">
        <f>IFERROR(VLOOKUP(A1824,Cadastro_Produtos!A:B,2,FALSE),"")</f>
        <v/>
      </c>
      <c r="D1824" s="12" t="n"/>
      <c r="E1824" s="13">
        <f>IF(D1824="","",D1824-TODAY())</f>
        <v/>
      </c>
      <c r="F1824">
        <f>IF(D1824="","",IF(E1824&lt;0,"VENCIDO",IF(E1824&lt;=30,"VENCE EM &lt;= 30 DIAS",IF(E1824&lt;=60,"ATENCAO (31-60 DIAS)","OK"))))</f>
        <v/>
      </c>
      <c r="G1824" s="13">
        <f>SUMIFS(Movimentacoes!$G:$G,Movimentacoes!$C:$C,$A1824,Movimentacoes!$E:$E,$C1824,Movimentacoes!$B:$B,"ENTRADA")</f>
        <v/>
      </c>
      <c r="H1824" s="13">
        <f>SUMIFS(Movimentacoes!$G:$G,Movimentacoes!$C:$C,$A1824,Movimentacoes!$E:$E,$C1824,Movimentacoes!$B:$B,"SAIDA_USO")</f>
        <v/>
      </c>
      <c r="I1824" s="13">
        <f>SUMIFS(Movimentacoes!$G:$G,Movimentacoes!$C:$C,$A1824,Movimentacoes!$E:$E,$C1824,Movimentacoes!$B:$B,"SAIDA_DESCARTE")</f>
        <v/>
      </c>
      <c r="J1824" s="13">
        <f>G1824-H1824-I1824</f>
        <v/>
      </c>
      <c r="K1824">
        <f>IF(A1824="","",IF(J1824&lt;=IFERROR(VLOOKUP(A1824,Cadastro_Produtos!$A:$E,5,FALSE),0),"ABAIXO DO MINIMO","OK"))</f>
        <v/>
      </c>
    </row>
    <row r="1825">
      <c r="B1825">
        <f>IFERROR(VLOOKUP(A1825,Cadastro_Produtos!A:B,2,FALSE),"")</f>
        <v/>
      </c>
      <c r="D1825" s="12" t="n"/>
      <c r="E1825" s="13">
        <f>IF(D1825="","",D1825-TODAY())</f>
        <v/>
      </c>
      <c r="F1825">
        <f>IF(D1825="","",IF(E1825&lt;0,"VENCIDO",IF(E1825&lt;=30,"VENCE EM &lt;= 30 DIAS",IF(E1825&lt;=60,"ATENCAO (31-60 DIAS)","OK"))))</f>
        <v/>
      </c>
      <c r="G1825" s="13">
        <f>SUMIFS(Movimentacoes!$G:$G,Movimentacoes!$C:$C,$A1825,Movimentacoes!$E:$E,$C1825,Movimentacoes!$B:$B,"ENTRADA")</f>
        <v/>
      </c>
      <c r="H1825" s="13">
        <f>SUMIFS(Movimentacoes!$G:$G,Movimentacoes!$C:$C,$A1825,Movimentacoes!$E:$E,$C1825,Movimentacoes!$B:$B,"SAIDA_USO")</f>
        <v/>
      </c>
      <c r="I1825" s="13">
        <f>SUMIFS(Movimentacoes!$G:$G,Movimentacoes!$C:$C,$A1825,Movimentacoes!$E:$E,$C1825,Movimentacoes!$B:$B,"SAIDA_DESCARTE")</f>
        <v/>
      </c>
      <c r="J1825" s="13">
        <f>G1825-H1825-I1825</f>
        <v/>
      </c>
      <c r="K1825">
        <f>IF(A1825="","",IF(J1825&lt;=IFERROR(VLOOKUP(A1825,Cadastro_Produtos!$A:$E,5,FALSE),0),"ABAIXO DO MINIMO","OK"))</f>
        <v/>
      </c>
    </row>
    <row r="1826">
      <c r="B1826">
        <f>IFERROR(VLOOKUP(A1826,Cadastro_Produtos!A:B,2,FALSE),"")</f>
        <v/>
      </c>
      <c r="D1826" s="12" t="n"/>
      <c r="E1826" s="13">
        <f>IF(D1826="","",D1826-TODAY())</f>
        <v/>
      </c>
      <c r="F1826">
        <f>IF(D1826="","",IF(E1826&lt;0,"VENCIDO",IF(E1826&lt;=30,"VENCE EM &lt;= 30 DIAS",IF(E1826&lt;=60,"ATENCAO (31-60 DIAS)","OK"))))</f>
        <v/>
      </c>
      <c r="G1826" s="13">
        <f>SUMIFS(Movimentacoes!$G:$G,Movimentacoes!$C:$C,$A1826,Movimentacoes!$E:$E,$C1826,Movimentacoes!$B:$B,"ENTRADA")</f>
        <v/>
      </c>
      <c r="H1826" s="13">
        <f>SUMIFS(Movimentacoes!$G:$G,Movimentacoes!$C:$C,$A1826,Movimentacoes!$E:$E,$C1826,Movimentacoes!$B:$B,"SAIDA_USO")</f>
        <v/>
      </c>
      <c r="I1826" s="13">
        <f>SUMIFS(Movimentacoes!$G:$G,Movimentacoes!$C:$C,$A1826,Movimentacoes!$E:$E,$C1826,Movimentacoes!$B:$B,"SAIDA_DESCARTE")</f>
        <v/>
      </c>
      <c r="J1826" s="13">
        <f>G1826-H1826-I1826</f>
        <v/>
      </c>
      <c r="K1826">
        <f>IF(A1826="","",IF(J1826&lt;=IFERROR(VLOOKUP(A1826,Cadastro_Produtos!$A:$E,5,FALSE),0),"ABAIXO DO MINIMO","OK"))</f>
        <v/>
      </c>
    </row>
    <row r="1827">
      <c r="B1827">
        <f>IFERROR(VLOOKUP(A1827,Cadastro_Produtos!A:B,2,FALSE),"")</f>
        <v/>
      </c>
      <c r="D1827" s="12" t="n"/>
      <c r="E1827" s="13">
        <f>IF(D1827="","",D1827-TODAY())</f>
        <v/>
      </c>
      <c r="F1827">
        <f>IF(D1827="","",IF(E1827&lt;0,"VENCIDO",IF(E1827&lt;=30,"VENCE EM &lt;= 30 DIAS",IF(E1827&lt;=60,"ATENCAO (31-60 DIAS)","OK"))))</f>
        <v/>
      </c>
      <c r="G1827" s="13">
        <f>SUMIFS(Movimentacoes!$G:$G,Movimentacoes!$C:$C,$A1827,Movimentacoes!$E:$E,$C1827,Movimentacoes!$B:$B,"ENTRADA")</f>
        <v/>
      </c>
      <c r="H1827" s="13">
        <f>SUMIFS(Movimentacoes!$G:$G,Movimentacoes!$C:$C,$A1827,Movimentacoes!$E:$E,$C1827,Movimentacoes!$B:$B,"SAIDA_USO")</f>
        <v/>
      </c>
      <c r="I1827" s="13">
        <f>SUMIFS(Movimentacoes!$G:$G,Movimentacoes!$C:$C,$A1827,Movimentacoes!$E:$E,$C1827,Movimentacoes!$B:$B,"SAIDA_DESCARTE")</f>
        <v/>
      </c>
      <c r="J1827" s="13">
        <f>G1827-H1827-I1827</f>
        <v/>
      </c>
      <c r="K1827">
        <f>IF(A1827="","",IF(J1827&lt;=IFERROR(VLOOKUP(A1827,Cadastro_Produtos!$A:$E,5,FALSE),0),"ABAIXO DO MINIMO","OK"))</f>
        <v/>
      </c>
    </row>
    <row r="1828">
      <c r="B1828">
        <f>IFERROR(VLOOKUP(A1828,Cadastro_Produtos!A:B,2,FALSE),"")</f>
        <v/>
      </c>
      <c r="D1828" s="12" t="n"/>
      <c r="E1828" s="13">
        <f>IF(D1828="","",D1828-TODAY())</f>
        <v/>
      </c>
      <c r="F1828">
        <f>IF(D1828="","",IF(E1828&lt;0,"VENCIDO",IF(E1828&lt;=30,"VENCE EM &lt;= 30 DIAS",IF(E1828&lt;=60,"ATENCAO (31-60 DIAS)","OK"))))</f>
        <v/>
      </c>
      <c r="G1828" s="13">
        <f>SUMIFS(Movimentacoes!$G:$G,Movimentacoes!$C:$C,$A1828,Movimentacoes!$E:$E,$C1828,Movimentacoes!$B:$B,"ENTRADA")</f>
        <v/>
      </c>
      <c r="H1828" s="13">
        <f>SUMIFS(Movimentacoes!$G:$G,Movimentacoes!$C:$C,$A1828,Movimentacoes!$E:$E,$C1828,Movimentacoes!$B:$B,"SAIDA_USO")</f>
        <v/>
      </c>
      <c r="I1828" s="13">
        <f>SUMIFS(Movimentacoes!$G:$G,Movimentacoes!$C:$C,$A1828,Movimentacoes!$E:$E,$C1828,Movimentacoes!$B:$B,"SAIDA_DESCARTE")</f>
        <v/>
      </c>
      <c r="J1828" s="13">
        <f>G1828-H1828-I1828</f>
        <v/>
      </c>
      <c r="K1828">
        <f>IF(A1828="","",IF(J1828&lt;=IFERROR(VLOOKUP(A1828,Cadastro_Produtos!$A:$E,5,FALSE),0),"ABAIXO DO MINIMO","OK"))</f>
        <v/>
      </c>
    </row>
    <row r="1829">
      <c r="B1829">
        <f>IFERROR(VLOOKUP(A1829,Cadastro_Produtos!A:B,2,FALSE),"")</f>
        <v/>
      </c>
      <c r="D1829" s="12" t="n"/>
      <c r="E1829" s="13">
        <f>IF(D1829="","",D1829-TODAY())</f>
        <v/>
      </c>
      <c r="F1829">
        <f>IF(D1829="","",IF(E1829&lt;0,"VENCIDO",IF(E1829&lt;=30,"VENCE EM &lt;= 30 DIAS",IF(E1829&lt;=60,"ATENCAO (31-60 DIAS)","OK"))))</f>
        <v/>
      </c>
      <c r="G1829" s="13">
        <f>SUMIFS(Movimentacoes!$G:$G,Movimentacoes!$C:$C,$A1829,Movimentacoes!$E:$E,$C1829,Movimentacoes!$B:$B,"ENTRADA")</f>
        <v/>
      </c>
      <c r="H1829" s="13">
        <f>SUMIFS(Movimentacoes!$G:$G,Movimentacoes!$C:$C,$A1829,Movimentacoes!$E:$E,$C1829,Movimentacoes!$B:$B,"SAIDA_USO")</f>
        <v/>
      </c>
      <c r="I1829" s="13">
        <f>SUMIFS(Movimentacoes!$G:$G,Movimentacoes!$C:$C,$A1829,Movimentacoes!$E:$E,$C1829,Movimentacoes!$B:$B,"SAIDA_DESCARTE")</f>
        <v/>
      </c>
      <c r="J1829" s="13">
        <f>G1829-H1829-I1829</f>
        <v/>
      </c>
      <c r="K1829">
        <f>IF(A1829="","",IF(J1829&lt;=IFERROR(VLOOKUP(A1829,Cadastro_Produtos!$A:$E,5,FALSE),0),"ABAIXO DO MINIMO","OK"))</f>
        <v/>
      </c>
    </row>
    <row r="1830">
      <c r="B1830">
        <f>IFERROR(VLOOKUP(A1830,Cadastro_Produtos!A:B,2,FALSE),"")</f>
        <v/>
      </c>
      <c r="D1830" s="12" t="n"/>
      <c r="E1830" s="13">
        <f>IF(D1830="","",D1830-TODAY())</f>
        <v/>
      </c>
      <c r="F1830">
        <f>IF(D1830="","",IF(E1830&lt;0,"VENCIDO",IF(E1830&lt;=30,"VENCE EM &lt;= 30 DIAS",IF(E1830&lt;=60,"ATENCAO (31-60 DIAS)","OK"))))</f>
        <v/>
      </c>
      <c r="G1830" s="13">
        <f>SUMIFS(Movimentacoes!$G:$G,Movimentacoes!$C:$C,$A1830,Movimentacoes!$E:$E,$C1830,Movimentacoes!$B:$B,"ENTRADA")</f>
        <v/>
      </c>
      <c r="H1830" s="13">
        <f>SUMIFS(Movimentacoes!$G:$G,Movimentacoes!$C:$C,$A1830,Movimentacoes!$E:$E,$C1830,Movimentacoes!$B:$B,"SAIDA_USO")</f>
        <v/>
      </c>
      <c r="I1830" s="13">
        <f>SUMIFS(Movimentacoes!$G:$G,Movimentacoes!$C:$C,$A1830,Movimentacoes!$E:$E,$C1830,Movimentacoes!$B:$B,"SAIDA_DESCARTE")</f>
        <v/>
      </c>
      <c r="J1830" s="13">
        <f>G1830-H1830-I1830</f>
        <v/>
      </c>
      <c r="K1830">
        <f>IF(A1830="","",IF(J1830&lt;=IFERROR(VLOOKUP(A1830,Cadastro_Produtos!$A:$E,5,FALSE),0),"ABAIXO DO MINIMO","OK"))</f>
        <v/>
      </c>
    </row>
    <row r="1831">
      <c r="B1831">
        <f>IFERROR(VLOOKUP(A1831,Cadastro_Produtos!A:B,2,FALSE),"")</f>
        <v/>
      </c>
      <c r="D1831" s="12" t="n"/>
      <c r="E1831" s="13">
        <f>IF(D1831="","",D1831-TODAY())</f>
        <v/>
      </c>
      <c r="F1831">
        <f>IF(D1831="","",IF(E1831&lt;0,"VENCIDO",IF(E1831&lt;=30,"VENCE EM &lt;= 30 DIAS",IF(E1831&lt;=60,"ATENCAO (31-60 DIAS)","OK"))))</f>
        <v/>
      </c>
      <c r="G1831" s="13">
        <f>SUMIFS(Movimentacoes!$G:$G,Movimentacoes!$C:$C,$A1831,Movimentacoes!$E:$E,$C1831,Movimentacoes!$B:$B,"ENTRADA")</f>
        <v/>
      </c>
      <c r="H1831" s="13">
        <f>SUMIFS(Movimentacoes!$G:$G,Movimentacoes!$C:$C,$A1831,Movimentacoes!$E:$E,$C1831,Movimentacoes!$B:$B,"SAIDA_USO")</f>
        <v/>
      </c>
      <c r="I1831" s="13">
        <f>SUMIFS(Movimentacoes!$G:$G,Movimentacoes!$C:$C,$A1831,Movimentacoes!$E:$E,$C1831,Movimentacoes!$B:$B,"SAIDA_DESCARTE")</f>
        <v/>
      </c>
      <c r="J1831" s="13">
        <f>G1831-H1831-I1831</f>
        <v/>
      </c>
      <c r="K1831">
        <f>IF(A1831="","",IF(J1831&lt;=IFERROR(VLOOKUP(A1831,Cadastro_Produtos!$A:$E,5,FALSE),0),"ABAIXO DO MINIMO","OK"))</f>
        <v/>
      </c>
    </row>
    <row r="1832">
      <c r="B1832">
        <f>IFERROR(VLOOKUP(A1832,Cadastro_Produtos!A:B,2,FALSE),"")</f>
        <v/>
      </c>
      <c r="D1832" s="12" t="n"/>
      <c r="E1832" s="13">
        <f>IF(D1832="","",D1832-TODAY())</f>
        <v/>
      </c>
      <c r="F1832">
        <f>IF(D1832="","",IF(E1832&lt;0,"VENCIDO",IF(E1832&lt;=30,"VENCE EM &lt;= 30 DIAS",IF(E1832&lt;=60,"ATENCAO (31-60 DIAS)","OK"))))</f>
        <v/>
      </c>
      <c r="G1832" s="13">
        <f>SUMIFS(Movimentacoes!$G:$G,Movimentacoes!$C:$C,$A1832,Movimentacoes!$E:$E,$C1832,Movimentacoes!$B:$B,"ENTRADA")</f>
        <v/>
      </c>
      <c r="H1832" s="13">
        <f>SUMIFS(Movimentacoes!$G:$G,Movimentacoes!$C:$C,$A1832,Movimentacoes!$E:$E,$C1832,Movimentacoes!$B:$B,"SAIDA_USO")</f>
        <v/>
      </c>
      <c r="I1832" s="13">
        <f>SUMIFS(Movimentacoes!$G:$G,Movimentacoes!$C:$C,$A1832,Movimentacoes!$E:$E,$C1832,Movimentacoes!$B:$B,"SAIDA_DESCARTE")</f>
        <v/>
      </c>
      <c r="J1832" s="13">
        <f>G1832-H1832-I1832</f>
        <v/>
      </c>
      <c r="K1832">
        <f>IF(A1832="","",IF(J1832&lt;=IFERROR(VLOOKUP(A1832,Cadastro_Produtos!$A:$E,5,FALSE),0),"ABAIXO DO MINIMO","OK"))</f>
        <v/>
      </c>
    </row>
    <row r="1833">
      <c r="B1833">
        <f>IFERROR(VLOOKUP(A1833,Cadastro_Produtos!A:B,2,FALSE),"")</f>
        <v/>
      </c>
      <c r="D1833" s="12" t="n"/>
      <c r="E1833" s="13">
        <f>IF(D1833="","",D1833-TODAY())</f>
        <v/>
      </c>
      <c r="F1833">
        <f>IF(D1833="","",IF(E1833&lt;0,"VENCIDO",IF(E1833&lt;=30,"VENCE EM &lt;= 30 DIAS",IF(E1833&lt;=60,"ATENCAO (31-60 DIAS)","OK"))))</f>
        <v/>
      </c>
      <c r="G1833" s="13">
        <f>SUMIFS(Movimentacoes!$G:$G,Movimentacoes!$C:$C,$A1833,Movimentacoes!$E:$E,$C1833,Movimentacoes!$B:$B,"ENTRADA")</f>
        <v/>
      </c>
      <c r="H1833" s="13">
        <f>SUMIFS(Movimentacoes!$G:$G,Movimentacoes!$C:$C,$A1833,Movimentacoes!$E:$E,$C1833,Movimentacoes!$B:$B,"SAIDA_USO")</f>
        <v/>
      </c>
      <c r="I1833" s="13">
        <f>SUMIFS(Movimentacoes!$G:$G,Movimentacoes!$C:$C,$A1833,Movimentacoes!$E:$E,$C1833,Movimentacoes!$B:$B,"SAIDA_DESCARTE")</f>
        <v/>
      </c>
      <c r="J1833" s="13">
        <f>G1833-H1833-I1833</f>
        <v/>
      </c>
      <c r="K1833">
        <f>IF(A1833="","",IF(J1833&lt;=IFERROR(VLOOKUP(A1833,Cadastro_Produtos!$A:$E,5,FALSE),0),"ABAIXO DO MINIMO","OK"))</f>
        <v/>
      </c>
    </row>
    <row r="1834">
      <c r="B1834">
        <f>IFERROR(VLOOKUP(A1834,Cadastro_Produtos!A:B,2,FALSE),"")</f>
        <v/>
      </c>
      <c r="D1834" s="12" t="n"/>
      <c r="E1834" s="13">
        <f>IF(D1834="","",D1834-TODAY())</f>
        <v/>
      </c>
      <c r="F1834">
        <f>IF(D1834="","",IF(E1834&lt;0,"VENCIDO",IF(E1834&lt;=30,"VENCE EM &lt;= 30 DIAS",IF(E1834&lt;=60,"ATENCAO (31-60 DIAS)","OK"))))</f>
        <v/>
      </c>
      <c r="G1834" s="13">
        <f>SUMIFS(Movimentacoes!$G:$G,Movimentacoes!$C:$C,$A1834,Movimentacoes!$E:$E,$C1834,Movimentacoes!$B:$B,"ENTRADA")</f>
        <v/>
      </c>
      <c r="H1834" s="13">
        <f>SUMIFS(Movimentacoes!$G:$G,Movimentacoes!$C:$C,$A1834,Movimentacoes!$E:$E,$C1834,Movimentacoes!$B:$B,"SAIDA_USO")</f>
        <v/>
      </c>
      <c r="I1834" s="13">
        <f>SUMIFS(Movimentacoes!$G:$G,Movimentacoes!$C:$C,$A1834,Movimentacoes!$E:$E,$C1834,Movimentacoes!$B:$B,"SAIDA_DESCARTE")</f>
        <v/>
      </c>
      <c r="J1834" s="13">
        <f>G1834-H1834-I1834</f>
        <v/>
      </c>
      <c r="K1834">
        <f>IF(A1834="","",IF(J1834&lt;=IFERROR(VLOOKUP(A1834,Cadastro_Produtos!$A:$E,5,FALSE),0),"ABAIXO DO MINIMO","OK"))</f>
        <v/>
      </c>
    </row>
    <row r="1835">
      <c r="B1835">
        <f>IFERROR(VLOOKUP(A1835,Cadastro_Produtos!A:B,2,FALSE),"")</f>
        <v/>
      </c>
      <c r="D1835" s="12" t="n"/>
      <c r="E1835" s="13">
        <f>IF(D1835="","",D1835-TODAY())</f>
        <v/>
      </c>
      <c r="F1835">
        <f>IF(D1835="","",IF(E1835&lt;0,"VENCIDO",IF(E1835&lt;=30,"VENCE EM &lt;= 30 DIAS",IF(E1835&lt;=60,"ATENCAO (31-60 DIAS)","OK"))))</f>
        <v/>
      </c>
      <c r="G1835" s="13">
        <f>SUMIFS(Movimentacoes!$G:$G,Movimentacoes!$C:$C,$A1835,Movimentacoes!$E:$E,$C1835,Movimentacoes!$B:$B,"ENTRADA")</f>
        <v/>
      </c>
      <c r="H1835" s="13">
        <f>SUMIFS(Movimentacoes!$G:$G,Movimentacoes!$C:$C,$A1835,Movimentacoes!$E:$E,$C1835,Movimentacoes!$B:$B,"SAIDA_USO")</f>
        <v/>
      </c>
      <c r="I1835" s="13">
        <f>SUMIFS(Movimentacoes!$G:$G,Movimentacoes!$C:$C,$A1835,Movimentacoes!$E:$E,$C1835,Movimentacoes!$B:$B,"SAIDA_DESCARTE")</f>
        <v/>
      </c>
      <c r="J1835" s="13">
        <f>G1835-H1835-I1835</f>
        <v/>
      </c>
      <c r="K1835">
        <f>IF(A1835="","",IF(J1835&lt;=IFERROR(VLOOKUP(A1835,Cadastro_Produtos!$A:$E,5,FALSE),0),"ABAIXO DO MINIMO","OK"))</f>
        <v/>
      </c>
    </row>
    <row r="1836">
      <c r="B1836">
        <f>IFERROR(VLOOKUP(A1836,Cadastro_Produtos!A:B,2,FALSE),"")</f>
        <v/>
      </c>
      <c r="D1836" s="12" t="n"/>
      <c r="E1836" s="13">
        <f>IF(D1836="","",D1836-TODAY())</f>
        <v/>
      </c>
      <c r="F1836">
        <f>IF(D1836="","",IF(E1836&lt;0,"VENCIDO",IF(E1836&lt;=30,"VENCE EM &lt;= 30 DIAS",IF(E1836&lt;=60,"ATENCAO (31-60 DIAS)","OK"))))</f>
        <v/>
      </c>
      <c r="G1836" s="13">
        <f>SUMIFS(Movimentacoes!$G:$G,Movimentacoes!$C:$C,$A1836,Movimentacoes!$E:$E,$C1836,Movimentacoes!$B:$B,"ENTRADA")</f>
        <v/>
      </c>
      <c r="H1836" s="13">
        <f>SUMIFS(Movimentacoes!$G:$G,Movimentacoes!$C:$C,$A1836,Movimentacoes!$E:$E,$C1836,Movimentacoes!$B:$B,"SAIDA_USO")</f>
        <v/>
      </c>
      <c r="I1836" s="13">
        <f>SUMIFS(Movimentacoes!$G:$G,Movimentacoes!$C:$C,$A1836,Movimentacoes!$E:$E,$C1836,Movimentacoes!$B:$B,"SAIDA_DESCARTE")</f>
        <v/>
      </c>
      <c r="J1836" s="13">
        <f>G1836-H1836-I1836</f>
        <v/>
      </c>
      <c r="K1836">
        <f>IF(A1836="","",IF(J1836&lt;=IFERROR(VLOOKUP(A1836,Cadastro_Produtos!$A:$E,5,FALSE),0),"ABAIXO DO MINIMO","OK"))</f>
        <v/>
      </c>
    </row>
    <row r="1837">
      <c r="B1837">
        <f>IFERROR(VLOOKUP(A1837,Cadastro_Produtos!A:B,2,FALSE),"")</f>
        <v/>
      </c>
      <c r="D1837" s="12" t="n"/>
      <c r="E1837" s="13">
        <f>IF(D1837="","",D1837-TODAY())</f>
        <v/>
      </c>
      <c r="F1837">
        <f>IF(D1837="","",IF(E1837&lt;0,"VENCIDO",IF(E1837&lt;=30,"VENCE EM &lt;= 30 DIAS",IF(E1837&lt;=60,"ATENCAO (31-60 DIAS)","OK"))))</f>
        <v/>
      </c>
      <c r="G1837" s="13">
        <f>SUMIFS(Movimentacoes!$G:$G,Movimentacoes!$C:$C,$A1837,Movimentacoes!$E:$E,$C1837,Movimentacoes!$B:$B,"ENTRADA")</f>
        <v/>
      </c>
      <c r="H1837" s="13">
        <f>SUMIFS(Movimentacoes!$G:$G,Movimentacoes!$C:$C,$A1837,Movimentacoes!$E:$E,$C1837,Movimentacoes!$B:$B,"SAIDA_USO")</f>
        <v/>
      </c>
      <c r="I1837" s="13">
        <f>SUMIFS(Movimentacoes!$G:$G,Movimentacoes!$C:$C,$A1837,Movimentacoes!$E:$E,$C1837,Movimentacoes!$B:$B,"SAIDA_DESCARTE")</f>
        <v/>
      </c>
      <c r="J1837" s="13">
        <f>G1837-H1837-I1837</f>
        <v/>
      </c>
      <c r="K1837">
        <f>IF(A1837="","",IF(J1837&lt;=IFERROR(VLOOKUP(A1837,Cadastro_Produtos!$A:$E,5,FALSE),0),"ABAIXO DO MINIMO","OK"))</f>
        <v/>
      </c>
    </row>
    <row r="1838">
      <c r="B1838">
        <f>IFERROR(VLOOKUP(A1838,Cadastro_Produtos!A:B,2,FALSE),"")</f>
        <v/>
      </c>
      <c r="D1838" s="12" t="n"/>
      <c r="E1838" s="13">
        <f>IF(D1838="","",D1838-TODAY())</f>
        <v/>
      </c>
      <c r="F1838">
        <f>IF(D1838="","",IF(E1838&lt;0,"VENCIDO",IF(E1838&lt;=30,"VENCE EM &lt;= 30 DIAS",IF(E1838&lt;=60,"ATENCAO (31-60 DIAS)","OK"))))</f>
        <v/>
      </c>
      <c r="G1838" s="13">
        <f>SUMIFS(Movimentacoes!$G:$G,Movimentacoes!$C:$C,$A1838,Movimentacoes!$E:$E,$C1838,Movimentacoes!$B:$B,"ENTRADA")</f>
        <v/>
      </c>
      <c r="H1838" s="13">
        <f>SUMIFS(Movimentacoes!$G:$G,Movimentacoes!$C:$C,$A1838,Movimentacoes!$E:$E,$C1838,Movimentacoes!$B:$B,"SAIDA_USO")</f>
        <v/>
      </c>
      <c r="I1838" s="13">
        <f>SUMIFS(Movimentacoes!$G:$G,Movimentacoes!$C:$C,$A1838,Movimentacoes!$E:$E,$C1838,Movimentacoes!$B:$B,"SAIDA_DESCARTE")</f>
        <v/>
      </c>
      <c r="J1838" s="13">
        <f>G1838-H1838-I1838</f>
        <v/>
      </c>
      <c r="K1838">
        <f>IF(A1838="","",IF(J1838&lt;=IFERROR(VLOOKUP(A1838,Cadastro_Produtos!$A:$E,5,FALSE),0),"ABAIXO DO MINIMO","OK"))</f>
        <v/>
      </c>
    </row>
    <row r="1839">
      <c r="B1839">
        <f>IFERROR(VLOOKUP(A1839,Cadastro_Produtos!A:B,2,FALSE),"")</f>
        <v/>
      </c>
      <c r="D1839" s="12" t="n"/>
      <c r="E1839" s="13">
        <f>IF(D1839="","",D1839-TODAY())</f>
        <v/>
      </c>
      <c r="F1839">
        <f>IF(D1839="","",IF(E1839&lt;0,"VENCIDO",IF(E1839&lt;=30,"VENCE EM &lt;= 30 DIAS",IF(E1839&lt;=60,"ATENCAO (31-60 DIAS)","OK"))))</f>
        <v/>
      </c>
      <c r="G1839" s="13">
        <f>SUMIFS(Movimentacoes!$G:$G,Movimentacoes!$C:$C,$A1839,Movimentacoes!$E:$E,$C1839,Movimentacoes!$B:$B,"ENTRADA")</f>
        <v/>
      </c>
      <c r="H1839" s="13">
        <f>SUMIFS(Movimentacoes!$G:$G,Movimentacoes!$C:$C,$A1839,Movimentacoes!$E:$E,$C1839,Movimentacoes!$B:$B,"SAIDA_USO")</f>
        <v/>
      </c>
      <c r="I1839" s="13">
        <f>SUMIFS(Movimentacoes!$G:$G,Movimentacoes!$C:$C,$A1839,Movimentacoes!$E:$E,$C1839,Movimentacoes!$B:$B,"SAIDA_DESCARTE")</f>
        <v/>
      </c>
      <c r="J1839" s="13">
        <f>G1839-H1839-I1839</f>
        <v/>
      </c>
      <c r="K1839">
        <f>IF(A1839="","",IF(J1839&lt;=IFERROR(VLOOKUP(A1839,Cadastro_Produtos!$A:$E,5,FALSE),0),"ABAIXO DO MINIMO","OK"))</f>
        <v/>
      </c>
    </row>
    <row r="1840">
      <c r="B1840">
        <f>IFERROR(VLOOKUP(A1840,Cadastro_Produtos!A:B,2,FALSE),"")</f>
        <v/>
      </c>
      <c r="D1840" s="12" t="n"/>
      <c r="E1840" s="13">
        <f>IF(D1840="","",D1840-TODAY())</f>
        <v/>
      </c>
      <c r="F1840">
        <f>IF(D1840="","",IF(E1840&lt;0,"VENCIDO",IF(E1840&lt;=30,"VENCE EM &lt;= 30 DIAS",IF(E1840&lt;=60,"ATENCAO (31-60 DIAS)","OK"))))</f>
        <v/>
      </c>
      <c r="G1840" s="13">
        <f>SUMIFS(Movimentacoes!$G:$G,Movimentacoes!$C:$C,$A1840,Movimentacoes!$E:$E,$C1840,Movimentacoes!$B:$B,"ENTRADA")</f>
        <v/>
      </c>
      <c r="H1840" s="13">
        <f>SUMIFS(Movimentacoes!$G:$G,Movimentacoes!$C:$C,$A1840,Movimentacoes!$E:$E,$C1840,Movimentacoes!$B:$B,"SAIDA_USO")</f>
        <v/>
      </c>
      <c r="I1840" s="13">
        <f>SUMIFS(Movimentacoes!$G:$G,Movimentacoes!$C:$C,$A1840,Movimentacoes!$E:$E,$C1840,Movimentacoes!$B:$B,"SAIDA_DESCARTE")</f>
        <v/>
      </c>
      <c r="J1840" s="13">
        <f>G1840-H1840-I1840</f>
        <v/>
      </c>
      <c r="K1840">
        <f>IF(A1840="","",IF(J1840&lt;=IFERROR(VLOOKUP(A1840,Cadastro_Produtos!$A:$E,5,FALSE),0),"ABAIXO DO MINIMO","OK"))</f>
        <v/>
      </c>
    </row>
    <row r="1841">
      <c r="B1841">
        <f>IFERROR(VLOOKUP(A1841,Cadastro_Produtos!A:B,2,FALSE),"")</f>
        <v/>
      </c>
      <c r="D1841" s="12" t="n"/>
      <c r="E1841" s="13">
        <f>IF(D1841="","",D1841-TODAY())</f>
        <v/>
      </c>
      <c r="F1841">
        <f>IF(D1841="","",IF(E1841&lt;0,"VENCIDO",IF(E1841&lt;=30,"VENCE EM &lt;= 30 DIAS",IF(E1841&lt;=60,"ATENCAO (31-60 DIAS)","OK"))))</f>
        <v/>
      </c>
      <c r="G1841" s="13">
        <f>SUMIFS(Movimentacoes!$G:$G,Movimentacoes!$C:$C,$A1841,Movimentacoes!$E:$E,$C1841,Movimentacoes!$B:$B,"ENTRADA")</f>
        <v/>
      </c>
      <c r="H1841" s="13">
        <f>SUMIFS(Movimentacoes!$G:$G,Movimentacoes!$C:$C,$A1841,Movimentacoes!$E:$E,$C1841,Movimentacoes!$B:$B,"SAIDA_USO")</f>
        <v/>
      </c>
      <c r="I1841" s="13">
        <f>SUMIFS(Movimentacoes!$G:$G,Movimentacoes!$C:$C,$A1841,Movimentacoes!$E:$E,$C1841,Movimentacoes!$B:$B,"SAIDA_DESCARTE")</f>
        <v/>
      </c>
      <c r="J1841" s="13">
        <f>G1841-H1841-I1841</f>
        <v/>
      </c>
      <c r="K1841">
        <f>IF(A1841="","",IF(J1841&lt;=IFERROR(VLOOKUP(A1841,Cadastro_Produtos!$A:$E,5,FALSE),0),"ABAIXO DO MINIMO","OK"))</f>
        <v/>
      </c>
    </row>
    <row r="1842">
      <c r="B1842">
        <f>IFERROR(VLOOKUP(A1842,Cadastro_Produtos!A:B,2,FALSE),"")</f>
        <v/>
      </c>
      <c r="D1842" s="12" t="n"/>
      <c r="E1842" s="13">
        <f>IF(D1842="","",D1842-TODAY())</f>
        <v/>
      </c>
      <c r="F1842">
        <f>IF(D1842="","",IF(E1842&lt;0,"VENCIDO",IF(E1842&lt;=30,"VENCE EM &lt;= 30 DIAS",IF(E1842&lt;=60,"ATENCAO (31-60 DIAS)","OK"))))</f>
        <v/>
      </c>
      <c r="G1842" s="13">
        <f>SUMIFS(Movimentacoes!$G:$G,Movimentacoes!$C:$C,$A1842,Movimentacoes!$E:$E,$C1842,Movimentacoes!$B:$B,"ENTRADA")</f>
        <v/>
      </c>
      <c r="H1842" s="13">
        <f>SUMIFS(Movimentacoes!$G:$G,Movimentacoes!$C:$C,$A1842,Movimentacoes!$E:$E,$C1842,Movimentacoes!$B:$B,"SAIDA_USO")</f>
        <v/>
      </c>
      <c r="I1842" s="13">
        <f>SUMIFS(Movimentacoes!$G:$G,Movimentacoes!$C:$C,$A1842,Movimentacoes!$E:$E,$C1842,Movimentacoes!$B:$B,"SAIDA_DESCARTE")</f>
        <v/>
      </c>
      <c r="J1842" s="13">
        <f>G1842-H1842-I1842</f>
        <v/>
      </c>
      <c r="K1842">
        <f>IF(A1842="","",IF(J1842&lt;=IFERROR(VLOOKUP(A1842,Cadastro_Produtos!$A:$E,5,FALSE),0),"ABAIXO DO MINIMO","OK"))</f>
        <v/>
      </c>
    </row>
    <row r="1843">
      <c r="B1843">
        <f>IFERROR(VLOOKUP(A1843,Cadastro_Produtos!A:B,2,FALSE),"")</f>
        <v/>
      </c>
      <c r="D1843" s="12" t="n"/>
      <c r="E1843" s="13">
        <f>IF(D1843="","",D1843-TODAY())</f>
        <v/>
      </c>
      <c r="F1843">
        <f>IF(D1843="","",IF(E1843&lt;0,"VENCIDO",IF(E1843&lt;=30,"VENCE EM &lt;= 30 DIAS",IF(E1843&lt;=60,"ATENCAO (31-60 DIAS)","OK"))))</f>
        <v/>
      </c>
      <c r="G1843" s="13">
        <f>SUMIFS(Movimentacoes!$G:$G,Movimentacoes!$C:$C,$A1843,Movimentacoes!$E:$E,$C1843,Movimentacoes!$B:$B,"ENTRADA")</f>
        <v/>
      </c>
      <c r="H1843" s="13">
        <f>SUMIFS(Movimentacoes!$G:$G,Movimentacoes!$C:$C,$A1843,Movimentacoes!$E:$E,$C1843,Movimentacoes!$B:$B,"SAIDA_USO")</f>
        <v/>
      </c>
      <c r="I1843" s="13">
        <f>SUMIFS(Movimentacoes!$G:$G,Movimentacoes!$C:$C,$A1843,Movimentacoes!$E:$E,$C1843,Movimentacoes!$B:$B,"SAIDA_DESCARTE")</f>
        <v/>
      </c>
      <c r="J1843" s="13">
        <f>G1843-H1843-I1843</f>
        <v/>
      </c>
      <c r="K1843">
        <f>IF(A1843="","",IF(J1843&lt;=IFERROR(VLOOKUP(A1843,Cadastro_Produtos!$A:$E,5,FALSE),0),"ABAIXO DO MINIMO","OK"))</f>
        <v/>
      </c>
    </row>
    <row r="1844">
      <c r="B1844">
        <f>IFERROR(VLOOKUP(A1844,Cadastro_Produtos!A:B,2,FALSE),"")</f>
        <v/>
      </c>
      <c r="D1844" s="12" t="n"/>
      <c r="E1844" s="13">
        <f>IF(D1844="","",D1844-TODAY())</f>
        <v/>
      </c>
      <c r="F1844">
        <f>IF(D1844="","",IF(E1844&lt;0,"VENCIDO",IF(E1844&lt;=30,"VENCE EM &lt;= 30 DIAS",IF(E1844&lt;=60,"ATENCAO (31-60 DIAS)","OK"))))</f>
        <v/>
      </c>
      <c r="G1844" s="13">
        <f>SUMIFS(Movimentacoes!$G:$G,Movimentacoes!$C:$C,$A1844,Movimentacoes!$E:$E,$C1844,Movimentacoes!$B:$B,"ENTRADA")</f>
        <v/>
      </c>
      <c r="H1844" s="13">
        <f>SUMIFS(Movimentacoes!$G:$G,Movimentacoes!$C:$C,$A1844,Movimentacoes!$E:$E,$C1844,Movimentacoes!$B:$B,"SAIDA_USO")</f>
        <v/>
      </c>
      <c r="I1844" s="13">
        <f>SUMIFS(Movimentacoes!$G:$G,Movimentacoes!$C:$C,$A1844,Movimentacoes!$E:$E,$C1844,Movimentacoes!$B:$B,"SAIDA_DESCARTE")</f>
        <v/>
      </c>
      <c r="J1844" s="13">
        <f>G1844-H1844-I1844</f>
        <v/>
      </c>
      <c r="K1844">
        <f>IF(A1844="","",IF(J1844&lt;=IFERROR(VLOOKUP(A1844,Cadastro_Produtos!$A:$E,5,FALSE),0),"ABAIXO DO MINIMO","OK"))</f>
        <v/>
      </c>
    </row>
    <row r="1845">
      <c r="B1845">
        <f>IFERROR(VLOOKUP(A1845,Cadastro_Produtos!A:B,2,FALSE),"")</f>
        <v/>
      </c>
      <c r="D1845" s="12" t="n"/>
      <c r="E1845" s="13">
        <f>IF(D1845="","",D1845-TODAY())</f>
        <v/>
      </c>
      <c r="F1845">
        <f>IF(D1845="","",IF(E1845&lt;0,"VENCIDO",IF(E1845&lt;=30,"VENCE EM &lt;= 30 DIAS",IF(E1845&lt;=60,"ATENCAO (31-60 DIAS)","OK"))))</f>
        <v/>
      </c>
      <c r="G1845" s="13">
        <f>SUMIFS(Movimentacoes!$G:$G,Movimentacoes!$C:$C,$A1845,Movimentacoes!$E:$E,$C1845,Movimentacoes!$B:$B,"ENTRADA")</f>
        <v/>
      </c>
      <c r="H1845" s="13">
        <f>SUMIFS(Movimentacoes!$G:$G,Movimentacoes!$C:$C,$A1845,Movimentacoes!$E:$E,$C1845,Movimentacoes!$B:$B,"SAIDA_USO")</f>
        <v/>
      </c>
      <c r="I1845" s="13">
        <f>SUMIFS(Movimentacoes!$G:$G,Movimentacoes!$C:$C,$A1845,Movimentacoes!$E:$E,$C1845,Movimentacoes!$B:$B,"SAIDA_DESCARTE")</f>
        <v/>
      </c>
      <c r="J1845" s="13">
        <f>G1845-H1845-I1845</f>
        <v/>
      </c>
      <c r="K1845">
        <f>IF(A1845="","",IF(J1845&lt;=IFERROR(VLOOKUP(A1845,Cadastro_Produtos!$A:$E,5,FALSE),0),"ABAIXO DO MINIMO","OK"))</f>
        <v/>
      </c>
    </row>
    <row r="1846">
      <c r="B1846">
        <f>IFERROR(VLOOKUP(A1846,Cadastro_Produtos!A:B,2,FALSE),"")</f>
        <v/>
      </c>
      <c r="D1846" s="12" t="n"/>
      <c r="E1846" s="13">
        <f>IF(D1846="","",D1846-TODAY())</f>
        <v/>
      </c>
      <c r="F1846">
        <f>IF(D1846="","",IF(E1846&lt;0,"VENCIDO",IF(E1846&lt;=30,"VENCE EM &lt;= 30 DIAS",IF(E1846&lt;=60,"ATENCAO (31-60 DIAS)","OK"))))</f>
        <v/>
      </c>
      <c r="G1846" s="13">
        <f>SUMIFS(Movimentacoes!$G:$G,Movimentacoes!$C:$C,$A1846,Movimentacoes!$E:$E,$C1846,Movimentacoes!$B:$B,"ENTRADA")</f>
        <v/>
      </c>
      <c r="H1846" s="13">
        <f>SUMIFS(Movimentacoes!$G:$G,Movimentacoes!$C:$C,$A1846,Movimentacoes!$E:$E,$C1846,Movimentacoes!$B:$B,"SAIDA_USO")</f>
        <v/>
      </c>
      <c r="I1846" s="13">
        <f>SUMIFS(Movimentacoes!$G:$G,Movimentacoes!$C:$C,$A1846,Movimentacoes!$E:$E,$C1846,Movimentacoes!$B:$B,"SAIDA_DESCARTE")</f>
        <v/>
      </c>
      <c r="J1846" s="13">
        <f>G1846-H1846-I1846</f>
        <v/>
      </c>
      <c r="K1846">
        <f>IF(A1846="","",IF(J1846&lt;=IFERROR(VLOOKUP(A1846,Cadastro_Produtos!$A:$E,5,FALSE),0),"ABAIXO DO MINIMO","OK"))</f>
        <v/>
      </c>
    </row>
    <row r="1847">
      <c r="B1847">
        <f>IFERROR(VLOOKUP(A1847,Cadastro_Produtos!A:B,2,FALSE),"")</f>
        <v/>
      </c>
      <c r="D1847" s="12" t="n"/>
      <c r="E1847" s="13">
        <f>IF(D1847="","",D1847-TODAY())</f>
        <v/>
      </c>
      <c r="F1847">
        <f>IF(D1847="","",IF(E1847&lt;0,"VENCIDO",IF(E1847&lt;=30,"VENCE EM &lt;= 30 DIAS",IF(E1847&lt;=60,"ATENCAO (31-60 DIAS)","OK"))))</f>
        <v/>
      </c>
      <c r="G1847" s="13">
        <f>SUMIFS(Movimentacoes!$G:$G,Movimentacoes!$C:$C,$A1847,Movimentacoes!$E:$E,$C1847,Movimentacoes!$B:$B,"ENTRADA")</f>
        <v/>
      </c>
      <c r="H1847" s="13">
        <f>SUMIFS(Movimentacoes!$G:$G,Movimentacoes!$C:$C,$A1847,Movimentacoes!$E:$E,$C1847,Movimentacoes!$B:$B,"SAIDA_USO")</f>
        <v/>
      </c>
      <c r="I1847" s="13">
        <f>SUMIFS(Movimentacoes!$G:$G,Movimentacoes!$C:$C,$A1847,Movimentacoes!$E:$E,$C1847,Movimentacoes!$B:$B,"SAIDA_DESCARTE")</f>
        <v/>
      </c>
      <c r="J1847" s="13">
        <f>G1847-H1847-I1847</f>
        <v/>
      </c>
      <c r="K1847">
        <f>IF(A1847="","",IF(J1847&lt;=IFERROR(VLOOKUP(A1847,Cadastro_Produtos!$A:$E,5,FALSE),0),"ABAIXO DO MINIMO","OK"))</f>
        <v/>
      </c>
    </row>
    <row r="1848">
      <c r="B1848">
        <f>IFERROR(VLOOKUP(A1848,Cadastro_Produtos!A:B,2,FALSE),"")</f>
        <v/>
      </c>
      <c r="D1848" s="12" t="n"/>
      <c r="E1848" s="13">
        <f>IF(D1848="","",D1848-TODAY())</f>
        <v/>
      </c>
      <c r="F1848">
        <f>IF(D1848="","",IF(E1848&lt;0,"VENCIDO",IF(E1848&lt;=30,"VENCE EM &lt;= 30 DIAS",IF(E1848&lt;=60,"ATENCAO (31-60 DIAS)","OK"))))</f>
        <v/>
      </c>
      <c r="G1848" s="13">
        <f>SUMIFS(Movimentacoes!$G:$G,Movimentacoes!$C:$C,$A1848,Movimentacoes!$E:$E,$C1848,Movimentacoes!$B:$B,"ENTRADA")</f>
        <v/>
      </c>
      <c r="H1848" s="13">
        <f>SUMIFS(Movimentacoes!$G:$G,Movimentacoes!$C:$C,$A1848,Movimentacoes!$E:$E,$C1848,Movimentacoes!$B:$B,"SAIDA_USO")</f>
        <v/>
      </c>
      <c r="I1848" s="13">
        <f>SUMIFS(Movimentacoes!$G:$G,Movimentacoes!$C:$C,$A1848,Movimentacoes!$E:$E,$C1848,Movimentacoes!$B:$B,"SAIDA_DESCARTE")</f>
        <v/>
      </c>
      <c r="J1848" s="13">
        <f>G1848-H1848-I1848</f>
        <v/>
      </c>
      <c r="K1848">
        <f>IF(A1848="","",IF(J1848&lt;=IFERROR(VLOOKUP(A1848,Cadastro_Produtos!$A:$E,5,FALSE),0),"ABAIXO DO MINIMO","OK"))</f>
        <v/>
      </c>
    </row>
    <row r="1849">
      <c r="B1849">
        <f>IFERROR(VLOOKUP(A1849,Cadastro_Produtos!A:B,2,FALSE),"")</f>
        <v/>
      </c>
      <c r="D1849" s="12" t="n"/>
      <c r="E1849" s="13">
        <f>IF(D1849="","",D1849-TODAY())</f>
        <v/>
      </c>
      <c r="F1849">
        <f>IF(D1849="","",IF(E1849&lt;0,"VENCIDO",IF(E1849&lt;=30,"VENCE EM &lt;= 30 DIAS",IF(E1849&lt;=60,"ATENCAO (31-60 DIAS)","OK"))))</f>
        <v/>
      </c>
      <c r="G1849" s="13">
        <f>SUMIFS(Movimentacoes!$G:$G,Movimentacoes!$C:$C,$A1849,Movimentacoes!$E:$E,$C1849,Movimentacoes!$B:$B,"ENTRADA")</f>
        <v/>
      </c>
      <c r="H1849" s="13">
        <f>SUMIFS(Movimentacoes!$G:$G,Movimentacoes!$C:$C,$A1849,Movimentacoes!$E:$E,$C1849,Movimentacoes!$B:$B,"SAIDA_USO")</f>
        <v/>
      </c>
      <c r="I1849" s="13">
        <f>SUMIFS(Movimentacoes!$G:$G,Movimentacoes!$C:$C,$A1849,Movimentacoes!$E:$E,$C1849,Movimentacoes!$B:$B,"SAIDA_DESCARTE")</f>
        <v/>
      </c>
      <c r="J1849" s="13">
        <f>G1849-H1849-I1849</f>
        <v/>
      </c>
      <c r="K1849">
        <f>IF(A1849="","",IF(J1849&lt;=IFERROR(VLOOKUP(A1849,Cadastro_Produtos!$A:$E,5,FALSE),0),"ABAIXO DO MINIMO","OK"))</f>
        <v/>
      </c>
    </row>
    <row r="1850">
      <c r="B1850">
        <f>IFERROR(VLOOKUP(A1850,Cadastro_Produtos!A:B,2,FALSE),"")</f>
        <v/>
      </c>
      <c r="D1850" s="12" t="n"/>
      <c r="E1850" s="13">
        <f>IF(D1850="","",D1850-TODAY())</f>
        <v/>
      </c>
      <c r="F1850">
        <f>IF(D1850="","",IF(E1850&lt;0,"VENCIDO",IF(E1850&lt;=30,"VENCE EM &lt;= 30 DIAS",IF(E1850&lt;=60,"ATENCAO (31-60 DIAS)","OK"))))</f>
        <v/>
      </c>
      <c r="G1850" s="13">
        <f>SUMIFS(Movimentacoes!$G:$G,Movimentacoes!$C:$C,$A1850,Movimentacoes!$E:$E,$C1850,Movimentacoes!$B:$B,"ENTRADA")</f>
        <v/>
      </c>
      <c r="H1850" s="13">
        <f>SUMIFS(Movimentacoes!$G:$G,Movimentacoes!$C:$C,$A1850,Movimentacoes!$E:$E,$C1850,Movimentacoes!$B:$B,"SAIDA_USO")</f>
        <v/>
      </c>
      <c r="I1850" s="13">
        <f>SUMIFS(Movimentacoes!$G:$G,Movimentacoes!$C:$C,$A1850,Movimentacoes!$E:$E,$C1850,Movimentacoes!$B:$B,"SAIDA_DESCARTE")</f>
        <v/>
      </c>
      <c r="J1850" s="13">
        <f>G1850-H1850-I1850</f>
        <v/>
      </c>
      <c r="K1850">
        <f>IF(A1850="","",IF(J1850&lt;=IFERROR(VLOOKUP(A1850,Cadastro_Produtos!$A:$E,5,FALSE),0),"ABAIXO DO MINIMO","OK"))</f>
        <v/>
      </c>
    </row>
    <row r="1851">
      <c r="B1851">
        <f>IFERROR(VLOOKUP(A1851,Cadastro_Produtos!A:B,2,FALSE),"")</f>
        <v/>
      </c>
      <c r="D1851" s="12" t="n"/>
      <c r="E1851" s="13">
        <f>IF(D1851="","",D1851-TODAY())</f>
        <v/>
      </c>
      <c r="F1851">
        <f>IF(D1851="","",IF(E1851&lt;0,"VENCIDO",IF(E1851&lt;=30,"VENCE EM &lt;= 30 DIAS",IF(E1851&lt;=60,"ATENCAO (31-60 DIAS)","OK"))))</f>
        <v/>
      </c>
      <c r="G1851" s="13">
        <f>SUMIFS(Movimentacoes!$G:$G,Movimentacoes!$C:$C,$A1851,Movimentacoes!$E:$E,$C1851,Movimentacoes!$B:$B,"ENTRADA")</f>
        <v/>
      </c>
      <c r="H1851" s="13">
        <f>SUMIFS(Movimentacoes!$G:$G,Movimentacoes!$C:$C,$A1851,Movimentacoes!$E:$E,$C1851,Movimentacoes!$B:$B,"SAIDA_USO")</f>
        <v/>
      </c>
      <c r="I1851" s="13">
        <f>SUMIFS(Movimentacoes!$G:$G,Movimentacoes!$C:$C,$A1851,Movimentacoes!$E:$E,$C1851,Movimentacoes!$B:$B,"SAIDA_DESCARTE")</f>
        <v/>
      </c>
      <c r="J1851" s="13">
        <f>G1851-H1851-I1851</f>
        <v/>
      </c>
      <c r="K1851">
        <f>IF(A1851="","",IF(J1851&lt;=IFERROR(VLOOKUP(A1851,Cadastro_Produtos!$A:$E,5,FALSE),0),"ABAIXO DO MINIMO","OK"))</f>
        <v/>
      </c>
    </row>
    <row r="1852">
      <c r="B1852">
        <f>IFERROR(VLOOKUP(A1852,Cadastro_Produtos!A:B,2,FALSE),"")</f>
        <v/>
      </c>
      <c r="D1852" s="12" t="n"/>
      <c r="E1852" s="13">
        <f>IF(D1852="","",D1852-TODAY())</f>
        <v/>
      </c>
      <c r="F1852">
        <f>IF(D1852="","",IF(E1852&lt;0,"VENCIDO",IF(E1852&lt;=30,"VENCE EM &lt;= 30 DIAS",IF(E1852&lt;=60,"ATENCAO (31-60 DIAS)","OK"))))</f>
        <v/>
      </c>
      <c r="G1852" s="13">
        <f>SUMIFS(Movimentacoes!$G:$G,Movimentacoes!$C:$C,$A1852,Movimentacoes!$E:$E,$C1852,Movimentacoes!$B:$B,"ENTRADA")</f>
        <v/>
      </c>
      <c r="H1852" s="13">
        <f>SUMIFS(Movimentacoes!$G:$G,Movimentacoes!$C:$C,$A1852,Movimentacoes!$E:$E,$C1852,Movimentacoes!$B:$B,"SAIDA_USO")</f>
        <v/>
      </c>
      <c r="I1852" s="13">
        <f>SUMIFS(Movimentacoes!$G:$G,Movimentacoes!$C:$C,$A1852,Movimentacoes!$E:$E,$C1852,Movimentacoes!$B:$B,"SAIDA_DESCARTE")</f>
        <v/>
      </c>
      <c r="J1852" s="13">
        <f>G1852-H1852-I1852</f>
        <v/>
      </c>
      <c r="K1852">
        <f>IF(A1852="","",IF(J1852&lt;=IFERROR(VLOOKUP(A1852,Cadastro_Produtos!$A:$E,5,FALSE),0),"ABAIXO DO MINIMO","OK"))</f>
        <v/>
      </c>
    </row>
    <row r="1853">
      <c r="B1853">
        <f>IFERROR(VLOOKUP(A1853,Cadastro_Produtos!A:B,2,FALSE),"")</f>
        <v/>
      </c>
      <c r="D1853" s="12" t="n"/>
      <c r="E1853" s="13">
        <f>IF(D1853="","",D1853-TODAY())</f>
        <v/>
      </c>
      <c r="F1853">
        <f>IF(D1853="","",IF(E1853&lt;0,"VENCIDO",IF(E1853&lt;=30,"VENCE EM &lt;= 30 DIAS",IF(E1853&lt;=60,"ATENCAO (31-60 DIAS)","OK"))))</f>
        <v/>
      </c>
      <c r="G1853" s="13">
        <f>SUMIFS(Movimentacoes!$G:$G,Movimentacoes!$C:$C,$A1853,Movimentacoes!$E:$E,$C1853,Movimentacoes!$B:$B,"ENTRADA")</f>
        <v/>
      </c>
      <c r="H1853" s="13">
        <f>SUMIFS(Movimentacoes!$G:$G,Movimentacoes!$C:$C,$A1853,Movimentacoes!$E:$E,$C1853,Movimentacoes!$B:$B,"SAIDA_USO")</f>
        <v/>
      </c>
      <c r="I1853" s="13">
        <f>SUMIFS(Movimentacoes!$G:$G,Movimentacoes!$C:$C,$A1853,Movimentacoes!$E:$E,$C1853,Movimentacoes!$B:$B,"SAIDA_DESCARTE")</f>
        <v/>
      </c>
      <c r="J1853" s="13">
        <f>G1853-H1853-I1853</f>
        <v/>
      </c>
      <c r="K1853">
        <f>IF(A1853="","",IF(J1853&lt;=IFERROR(VLOOKUP(A1853,Cadastro_Produtos!$A:$E,5,FALSE),0),"ABAIXO DO MINIMO","OK"))</f>
        <v/>
      </c>
    </row>
    <row r="1854">
      <c r="B1854">
        <f>IFERROR(VLOOKUP(A1854,Cadastro_Produtos!A:B,2,FALSE),"")</f>
        <v/>
      </c>
      <c r="D1854" s="12" t="n"/>
      <c r="E1854" s="13">
        <f>IF(D1854="","",D1854-TODAY())</f>
        <v/>
      </c>
      <c r="F1854">
        <f>IF(D1854="","",IF(E1854&lt;0,"VENCIDO",IF(E1854&lt;=30,"VENCE EM &lt;= 30 DIAS",IF(E1854&lt;=60,"ATENCAO (31-60 DIAS)","OK"))))</f>
        <v/>
      </c>
      <c r="G1854" s="13">
        <f>SUMIFS(Movimentacoes!$G:$G,Movimentacoes!$C:$C,$A1854,Movimentacoes!$E:$E,$C1854,Movimentacoes!$B:$B,"ENTRADA")</f>
        <v/>
      </c>
      <c r="H1854" s="13">
        <f>SUMIFS(Movimentacoes!$G:$G,Movimentacoes!$C:$C,$A1854,Movimentacoes!$E:$E,$C1854,Movimentacoes!$B:$B,"SAIDA_USO")</f>
        <v/>
      </c>
      <c r="I1854" s="13">
        <f>SUMIFS(Movimentacoes!$G:$G,Movimentacoes!$C:$C,$A1854,Movimentacoes!$E:$E,$C1854,Movimentacoes!$B:$B,"SAIDA_DESCARTE")</f>
        <v/>
      </c>
      <c r="J1854" s="13">
        <f>G1854-H1854-I1854</f>
        <v/>
      </c>
      <c r="K1854">
        <f>IF(A1854="","",IF(J1854&lt;=IFERROR(VLOOKUP(A1854,Cadastro_Produtos!$A:$E,5,FALSE),0),"ABAIXO DO MINIMO","OK"))</f>
        <v/>
      </c>
    </row>
    <row r="1855">
      <c r="B1855">
        <f>IFERROR(VLOOKUP(A1855,Cadastro_Produtos!A:B,2,FALSE),"")</f>
        <v/>
      </c>
      <c r="D1855" s="12" t="n"/>
      <c r="E1855" s="13">
        <f>IF(D1855="","",D1855-TODAY())</f>
        <v/>
      </c>
      <c r="F1855">
        <f>IF(D1855="","",IF(E1855&lt;0,"VENCIDO",IF(E1855&lt;=30,"VENCE EM &lt;= 30 DIAS",IF(E1855&lt;=60,"ATENCAO (31-60 DIAS)","OK"))))</f>
        <v/>
      </c>
      <c r="G1855" s="13">
        <f>SUMIFS(Movimentacoes!$G:$G,Movimentacoes!$C:$C,$A1855,Movimentacoes!$E:$E,$C1855,Movimentacoes!$B:$B,"ENTRADA")</f>
        <v/>
      </c>
      <c r="H1855" s="13">
        <f>SUMIFS(Movimentacoes!$G:$G,Movimentacoes!$C:$C,$A1855,Movimentacoes!$E:$E,$C1855,Movimentacoes!$B:$B,"SAIDA_USO")</f>
        <v/>
      </c>
      <c r="I1855" s="13">
        <f>SUMIFS(Movimentacoes!$G:$G,Movimentacoes!$C:$C,$A1855,Movimentacoes!$E:$E,$C1855,Movimentacoes!$B:$B,"SAIDA_DESCARTE")</f>
        <v/>
      </c>
      <c r="J1855" s="13">
        <f>G1855-H1855-I1855</f>
        <v/>
      </c>
      <c r="K1855">
        <f>IF(A1855="","",IF(J1855&lt;=IFERROR(VLOOKUP(A1855,Cadastro_Produtos!$A:$E,5,FALSE),0),"ABAIXO DO MINIMO","OK"))</f>
        <v/>
      </c>
    </row>
    <row r="1856">
      <c r="B1856">
        <f>IFERROR(VLOOKUP(A1856,Cadastro_Produtos!A:B,2,FALSE),"")</f>
        <v/>
      </c>
      <c r="D1856" s="12" t="n"/>
      <c r="E1856" s="13">
        <f>IF(D1856="","",D1856-TODAY())</f>
        <v/>
      </c>
      <c r="F1856">
        <f>IF(D1856="","",IF(E1856&lt;0,"VENCIDO",IF(E1856&lt;=30,"VENCE EM &lt;= 30 DIAS",IF(E1856&lt;=60,"ATENCAO (31-60 DIAS)","OK"))))</f>
        <v/>
      </c>
      <c r="G1856" s="13">
        <f>SUMIFS(Movimentacoes!$G:$G,Movimentacoes!$C:$C,$A1856,Movimentacoes!$E:$E,$C1856,Movimentacoes!$B:$B,"ENTRADA")</f>
        <v/>
      </c>
      <c r="H1856" s="13">
        <f>SUMIFS(Movimentacoes!$G:$G,Movimentacoes!$C:$C,$A1856,Movimentacoes!$E:$E,$C1856,Movimentacoes!$B:$B,"SAIDA_USO")</f>
        <v/>
      </c>
      <c r="I1856" s="13">
        <f>SUMIFS(Movimentacoes!$G:$G,Movimentacoes!$C:$C,$A1856,Movimentacoes!$E:$E,$C1856,Movimentacoes!$B:$B,"SAIDA_DESCARTE")</f>
        <v/>
      </c>
      <c r="J1856" s="13">
        <f>G1856-H1856-I1856</f>
        <v/>
      </c>
      <c r="K1856">
        <f>IF(A1856="","",IF(J1856&lt;=IFERROR(VLOOKUP(A1856,Cadastro_Produtos!$A:$E,5,FALSE),0),"ABAIXO DO MINIMO","OK"))</f>
        <v/>
      </c>
    </row>
    <row r="1857">
      <c r="B1857">
        <f>IFERROR(VLOOKUP(A1857,Cadastro_Produtos!A:B,2,FALSE),"")</f>
        <v/>
      </c>
      <c r="D1857" s="12" t="n"/>
      <c r="E1857" s="13">
        <f>IF(D1857="","",D1857-TODAY())</f>
        <v/>
      </c>
      <c r="F1857">
        <f>IF(D1857="","",IF(E1857&lt;0,"VENCIDO",IF(E1857&lt;=30,"VENCE EM &lt;= 30 DIAS",IF(E1857&lt;=60,"ATENCAO (31-60 DIAS)","OK"))))</f>
        <v/>
      </c>
      <c r="G1857" s="13">
        <f>SUMIFS(Movimentacoes!$G:$G,Movimentacoes!$C:$C,$A1857,Movimentacoes!$E:$E,$C1857,Movimentacoes!$B:$B,"ENTRADA")</f>
        <v/>
      </c>
      <c r="H1857" s="13">
        <f>SUMIFS(Movimentacoes!$G:$G,Movimentacoes!$C:$C,$A1857,Movimentacoes!$E:$E,$C1857,Movimentacoes!$B:$B,"SAIDA_USO")</f>
        <v/>
      </c>
      <c r="I1857" s="13">
        <f>SUMIFS(Movimentacoes!$G:$G,Movimentacoes!$C:$C,$A1857,Movimentacoes!$E:$E,$C1857,Movimentacoes!$B:$B,"SAIDA_DESCARTE")</f>
        <v/>
      </c>
      <c r="J1857" s="13">
        <f>G1857-H1857-I1857</f>
        <v/>
      </c>
      <c r="K1857">
        <f>IF(A1857="","",IF(J1857&lt;=IFERROR(VLOOKUP(A1857,Cadastro_Produtos!$A:$E,5,FALSE),0),"ABAIXO DO MINIMO","OK"))</f>
        <v/>
      </c>
    </row>
    <row r="1858">
      <c r="B1858">
        <f>IFERROR(VLOOKUP(A1858,Cadastro_Produtos!A:B,2,FALSE),"")</f>
        <v/>
      </c>
      <c r="D1858" s="12" t="n"/>
      <c r="E1858" s="13">
        <f>IF(D1858="","",D1858-TODAY())</f>
        <v/>
      </c>
      <c r="F1858">
        <f>IF(D1858="","",IF(E1858&lt;0,"VENCIDO",IF(E1858&lt;=30,"VENCE EM &lt;= 30 DIAS",IF(E1858&lt;=60,"ATENCAO (31-60 DIAS)","OK"))))</f>
        <v/>
      </c>
      <c r="G1858" s="13">
        <f>SUMIFS(Movimentacoes!$G:$G,Movimentacoes!$C:$C,$A1858,Movimentacoes!$E:$E,$C1858,Movimentacoes!$B:$B,"ENTRADA")</f>
        <v/>
      </c>
      <c r="H1858" s="13">
        <f>SUMIFS(Movimentacoes!$G:$G,Movimentacoes!$C:$C,$A1858,Movimentacoes!$E:$E,$C1858,Movimentacoes!$B:$B,"SAIDA_USO")</f>
        <v/>
      </c>
      <c r="I1858" s="13">
        <f>SUMIFS(Movimentacoes!$G:$G,Movimentacoes!$C:$C,$A1858,Movimentacoes!$E:$E,$C1858,Movimentacoes!$B:$B,"SAIDA_DESCARTE")</f>
        <v/>
      </c>
      <c r="J1858" s="13">
        <f>G1858-H1858-I1858</f>
        <v/>
      </c>
      <c r="K1858">
        <f>IF(A1858="","",IF(J1858&lt;=IFERROR(VLOOKUP(A1858,Cadastro_Produtos!$A:$E,5,FALSE),0),"ABAIXO DO MINIMO","OK"))</f>
        <v/>
      </c>
    </row>
    <row r="1859">
      <c r="B1859">
        <f>IFERROR(VLOOKUP(A1859,Cadastro_Produtos!A:B,2,FALSE),"")</f>
        <v/>
      </c>
      <c r="D1859" s="12" t="n"/>
      <c r="E1859" s="13">
        <f>IF(D1859="","",D1859-TODAY())</f>
        <v/>
      </c>
      <c r="F1859">
        <f>IF(D1859="","",IF(E1859&lt;0,"VENCIDO",IF(E1859&lt;=30,"VENCE EM &lt;= 30 DIAS",IF(E1859&lt;=60,"ATENCAO (31-60 DIAS)","OK"))))</f>
        <v/>
      </c>
      <c r="G1859" s="13">
        <f>SUMIFS(Movimentacoes!$G:$G,Movimentacoes!$C:$C,$A1859,Movimentacoes!$E:$E,$C1859,Movimentacoes!$B:$B,"ENTRADA")</f>
        <v/>
      </c>
      <c r="H1859" s="13">
        <f>SUMIFS(Movimentacoes!$G:$G,Movimentacoes!$C:$C,$A1859,Movimentacoes!$E:$E,$C1859,Movimentacoes!$B:$B,"SAIDA_USO")</f>
        <v/>
      </c>
      <c r="I1859" s="13">
        <f>SUMIFS(Movimentacoes!$G:$G,Movimentacoes!$C:$C,$A1859,Movimentacoes!$E:$E,$C1859,Movimentacoes!$B:$B,"SAIDA_DESCARTE")</f>
        <v/>
      </c>
      <c r="J1859" s="13">
        <f>G1859-H1859-I1859</f>
        <v/>
      </c>
      <c r="K1859">
        <f>IF(A1859="","",IF(J1859&lt;=IFERROR(VLOOKUP(A1859,Cadastro_Produtos!$A:$E,5,FALSE),0),"ABAIXO DO MINIMO","OK"))</f>
        <v/>
      </c>
    </row>
    <row r="1860">
      <c r="B1860">
        <f>IFERROR(VLOOKUP(A1860,Cadastro_Produtos!A:B,2,FALSE),"")</f>
        <v/>
      </c>
      <c r="D1860" s="12" t="n"/>
      <c r="E1860" s="13">
        <f>IF(D1860="","",D1860-TODAY())</f>
        <v/>
      </c>
      <c r="F1860">
        <f>IF(D1860="","",IF(E1860&lt;0,"VENCIDO",IF(E1860&lt;=30,"VENCE EM &lt;= 30 DIAS",IF(E1860&lt;=60,"ATENCAO (31-60 DIAS)","OK"))))</f>
        <v/>
      </c>
      <c r="G1860" s="13">
        <f>SUMIFS(Movimentacoes!$G:$G,Movimentacoes!$C:$C,$A1860,Movimentacoes!$E:$E,$C1860,Movimentacoes!$B:$B,"ENTRADA")</f>
        <v/>
      </c>
      <c r="H1860" s="13">
        <f>SUMIFS(Movimentacoes!$G:$G,Movimentacoes!$C:$C,$A1860,Movimentacoes!$E:$E,$C1860,Movimentacoes!$B:$B,"SAIDA_USO")</f>
        <v/>
      </c>
      <c r="I1860" s="13">
        <f>SUMIFS(Movimentacoes!$G:$G,Movimentacoes!$C:$C,$A1860,Movimentacoes!$E:$E,$C1860,Movimentacoes!$B:$B,"SAIDA_DESCARTE")</f>
        <v/>
      </c>
      <c r="J1860" s="13">
        <f>G1860-H1860-I1860</f>
        <v/>
      </c>
      <c r="K1860">
        <f>IF(A1860="","",IF(J1860&lt;=IFERROR(VLOOKUP(A1860,Cadastro_Produtos!$A:$E,5,FALSE),0),"ABAIXO DO MINIMO","OK"))</f>
        <v/>
      </c>
    </row>
    <row r="1861">
      <c r="B1861">
        <f>IFERROR(VLOOKUP(A1861,Cadastro_Produtos!A:B,2,FALSE),"")</f>
        <v/>
      </c>
      <c r="D1861" s="12" t="n"/>
      <c r="E1861" s="13">
        <f>IF(D1861="","",D1861-TODAY())</f>
        <v/>
      </c>
      <c r="F1861">
        <f>IF(D1861="","",IF(E1861&lt;0,"VENCIDO",IF(E1861&lt;=30,"VENCE EM &lt;= 30 DIAS",IF(E1861&lt;=60,"ATENCAO (31-60 DIAS)","OK"))))</f>
        <v/>
      </c>
      <c r="G1861" s="13">
        <f>SUMIFS(Movimentacoes!$G:$G,Movimentacoes!$C:$C,$A1861,Movimentacoes!$E:$E,$C1861,Movimentacoes!$B:$B,"ENTRADA")</f>
        <v/>
      </c>
      <c r="H1861" s="13">
        <f>SUMIFS(Movimentacoes!$G:$G,Movimentacoes!$C:$C,$A1861,Movimentacoes!$E:$E,$C1861,Movimentacoes!$B:$B,"SAIDA_USO")</f>
        <v/>
      </c>
      <c r="I1861" s="13">
        <f>SUMIFS(Movimentacoes!$G:$G,Movimentacoes!$C:$C,$A1861,Movimentacoes!$E:$E,$C1861,Movimentacoes!$B:$B,"SAIDA_DESCARTE")</f>
        <v/>
      </c>
      <c r="J1861" s="13">
        <f>G1861-H1861-I1861</f>
        <v/>
      </c>
      <c r="K1861">
        <f>IF(A1861="","",IF(J1861&lt;=IFERROR(VLOOKUP(A1861,Cadastro_Produtos!$A:$E,5,FALSE),0),"ABAIXO DO MINIMO","OK"))</f>
        <v/>
      </c>
    </row>
    <row r="1862">
      <c r="B1862">
        <f>IFERROR(VLOOKUP(A1862,Cadastro_Produtos!A:B,2,FALSE),"")</f>
        <v/>
      </c>
      <c r="D1862" s="12" t="n"/>
      <c r="E1862" s="13">
        <f>IF(D1862="","",D1862-TODAY())</f>
        <v/>
      </c>
      <c r="F1862">
        <f>IF(D1862="","",IF(E1862&lt;0,"VENCIDO",IF(E1862&lt;=30,"VENCE EM &lt;= 30 DIAS",IF(E1862&lt;=60,"ATENCAO (31-60 DIAS)","OK"))))</f>
        <v/>
      </c>
      <c r="G1862" s="13">
        <f>SUMIFS(Movimentacoes!$G:$G,Movimentacoes!$C:$C,$A1862,Movimentacoes!$E:$E,$C1862,Movimentacoes!$B:$B,"ENTRADA")</f>
        <v/>
      </c>
      <c r="H1862" s="13">
        <f>SUMIFS(Movimentacoes!$G:$G,Movimentacoes!$C:$C,$A1862,Movimentacoes!$E:$E,$C1862,Movimentacoes!$B:$B,"SAIDA_USO")</f>
        <v/>
      </c>
      <c r="I1862" s="13">
        <f>SUMIFS(Movimentacoes!$G:$G,Movimentacoes!$C:$C,$A1862,Movimentacoes!$E:$E,$C1862,Movimentacoes!$B:$B,"SAIDA_DESCARTE")</f>
        <v/>
      </c>
      <c r="J1862" s="13">
        <f>G1862-H1862-I1862</f>
        <v/>
      </c>
      <c r="K1862">
        <f>IF(A1862="","",IF(J1862&lt;=IFERROR(VLOOKUP(A1862,Cadastro_Produtos!$A:$E,5,FALSE),0),"ABAIXO DO MINIMO","OK"))</f>
        <v/>
      </c>
    </row>
    <row r="1863">
      <c r="B1863">
        <f>IFERROR(VLOOKUP(A1863,Cadastro_Produtos!A:B,2,FALSE),"")</f>
        <v/>
      </c>
      <c r="D1863" s="12" t="n"/>
      <c r="E1863" s="13">
        <f>IF(D1863="","",D1863-TODAY())</f>
        <v/>
      </c>
      <c r="F1863">
        <f>IF(D1863="","",IF(E1863&lt;0,"VENCIDO",IF(E1863&lt;=30,"VENCE EM &lt;= 30 DIAS",IF(E1863&lt;=60,"ATENCAO (31-60 DIAS)","OK"))))</f>
        <v/>
      </c>
      <c r="G1863" s="13">
        <f>SUMIFS(Movimentacoes!$G:$G,Movimentacoes!$C:$C,$A1863,Movimentacoes!$E:$E,$C1863,Movimentacoes!$B:$B,"ENTRADA")</f>
        <v/>
      </c>
      <c r="H1863" s="13">
        <f>SUMIFS(Movimentacoes!$G:$G,Movimentacoes!$C:$C,$A1863,Movimentacoes!$E:$E,$C1863,Movimentacoes!$B:$B,"SAIDA_USO")</f>
        <v/>
      </c>
      <c r="I1863" s="13">
        <f>SUMIFS(Movimentacoes!$G:$G,Movimentacoes!$C:$C,$A1863,Movimentacoes!$E:$E,$C1863,Movimentacoes!$B:$B,"SAIDA_DESCARTE")</f>
        <v/>
      </c>
      <c r="J1863" s="13">
        <f>G1863-H1863-I1863</f>
        <v/>
      </c>
      <c r="K1863">
        <f>IF(A1863="","",IF(J1863&lt;=IFERROR(VLOOKUP(A1863,Cadastro_Produtos!$A:$E,5,FALSE),0),"ABAIXO DO MINIMO","OK"))</f>
        <v/>
      </c>
    </row>
    <row r="1864">
      <c r="B1864">
        <f>IFERROR(VLOOKUP(A1864,Cadastro_Produtos!A:B,2,FALSE),"")</f>
        <v/>
      </c>
      <c r="D1864" s="12" t="n"/>
      <c r="E1864" s="13">
        <f>IF(D1864="","",D1864-TODAY())</f>
        <v/>
      </c>
      <c r="F1864">
        <f>IF(D1864="","",IF(E1864&lt;0,"VENCIDO",IF(E1864&lt;=30,"VENCE EM &lt;= 30 DIAS",IF(E1864&lt;=60,"ATENCAO (31-60 DIAS)","OK"))))</f>
        <v/>
      </c>
      <c r="G1864" s="13">
        <f>SUMIFS(Movimentacoes!$G:$G,Movimentacoes!$C:$C,$A1864,Movimentacoes!$E:$E,$C1864,Movimentacoes!$B:$B,"ENTRADA")</f>
        <v/>
      </c>
      <c r="H1864" s="13">
        <f>SUMIFS(Movimentacoes!$G:$G,Movimentacoes!$C:$C,$A1864,Movimentacoes!$E:$E,$C1864,Movimentacoes!$B:$B,"SAIDA_USO")</f>
        <v/>
      </c>
      <c r="I1864" s="13">
        <f>SUMIFS(Movimentacoes!$G:$G,Movimentacoes!$C:$C,$A1864,Movimentacoes!$E:$E,$C1864,Movimentacoes!$B:$B,"SAIDA_DESCARTE")</f>
        <v/>
      </c>
      <c r="J1864" s="13">
        <f>G1864-H1864-I1864</f>
        <v/>
      </c>
      <c r="K1864">
        <f>IF(A1864="","",IF(J1864&lt;=IFERROR(VLOOKUP(A1864,Cadastro_Produtos!$A:$E,5,FALSE),0),"ABAIXO DO MINIMO","OK"))</f>
        <v/>
      </c>
    </row>
    <row r="1865">
      <c r="B1865">
        <f>IFERROR(VLOOKUP(A1865,Cadastro_Produtos!A:B,2,FALSE),"")</f>
        <v/>
      </c>
      <c r="D1865" s="12" t="n"/>
      <c r="E1865" s="13">
        <f>IF(D1865="","",D1865-TODAY())</f>
        <v/>
      </c>
      <c r="F1865">
        <f>IF(D1865="","",IF(E1865&lt;0,"VENCIDO",IF(E1865&lt;=30,"VENCE EM &lt;= 30 DIAS",IF(E1865&lt;=60,"ATENCAO (31-60 DIAS)","OK"))))</f>
        <v/>
      </c>
      <c r="G1865" s="13">
        <f>SUMIFS(Movimentacoes!$G:$G,Movimentacoes!$C:$C,$A1865,Movimentacoes!$E:$E,$C1865,Movimentacoes!$B:$B,"ENTRADA")</f>
        <v/>
      </c>
      <c r="H1865" s="13">
        <f>SUMIFS(Movimentacoes!$G:$G,Movimentacoes!$C:$C,$A1865,Movimentacoes!$E:$E,$C1865,Movimentacoes!$B:$B,"SAIDA_USO")</f>
        <v/>
      </c>
      <c r="I1865" s="13">
        <f>SUMIFS(Movimentacoes!$G:$G,Movimentacoes!$C:$C,$A1865,Movimentacoes!$E:$E,$C1865,Movimentacoes!$B:$B,"SAIDA_DESCARTE")</f>
        <v/>
      </c>
      <c r="J1865" s="13">
        <f>G1865-H1865-I1865</f>
        <v/>
      </c>
      <c r="K1865">
        <f>IF(A1865="","",IF(J1865&lt;=IFERROR(VLOOKUP(A1865,Cadastro_Produtos!$A:$E,5,FALSE),0),"ABAIXO DO MINIMO","OK"))</f>
        <v/>
      </c>
    </row>
    <row r="1866">
      <c r="B1866">
        <f>IFERROR(VLOOKUP(A1866,Cadastro_Produtos!A:B,2,FALSE),"")</f>
        <v/>
      </c>
      <c r="D1866" s="12" t="n"/>
      <c r="E1866" s="13">
        <f>IF(D1866="","",D1866-TODAY())</f>
        <v/>
      </c>
      <c r="F1866">
        <f>IF(D1866="","",IF(E1866&lt;0,"VENCIDO",IF(E1866&lt;=30,"VENCE EM &lt;= 30 DIAS",IF(E1866&lt;=60,"ATENCAO (31-60 DIAS)","OK"))))</f>
        <v/>
      </c>
      <c r="G1866" s="13">
        <f>SUMIFS(Movimentacoes!$G:$G,Movimentacoes!$C:$C,$A1866,Movimentacoes!$E:$E,$C1866,Movimentacoes!$B:$B,"ENTRADA")</f>
        <v/>
      </c>
      <c r="H1866" s="13">
        <f>SUMIFS(Movimentacoes!$G:$G,Movimentacoes!$C:$C,$A1866,Movimentacoes!$E:$E,$C1866,Movimentacoes!$B:$B,"SAIDA_USO")</f>
        <v/>
      </c>
      <c r="I1866" s="13">
        <f>SUMIFS(Movimentacoes!$G:$G,Movimentacoes!$C:$C,$A1866,Movimentacoes!$E:$E,$C1866,Movimentacoes!$B:$B,"SAIDA_DESCARTE")</f>
        <v/>
      </c>
      <c r="J1866" s="13">
        <f>G1866-H1866-I1866</f>
        <v/>
      </c>
      <c r="K1866">
        <f>IF(A1866="","",IF(J1866&lt;=IFERROR(VLOOKUP(A1866,Cadastro_Produtos!$A:$E,5,FALSE),0),"ABAIXO DO MINIMO","OK"))</f>
        <v/>
      </c>
    </row>
    <row r="1867">
      <c r="B1867">
        <f>IFERROR(VLOOKUP(A1867,Cadastro_Produtos!A:B,2,FALSE),"")</f>
        <v/>
      </c>
      <c r="D1867" s="12" t="n"/>
      <c r="E1867" s="13">
        <f>IF(D1867="","",D1867-TODAY())</f>
        <v/>
      </c>
      <c r="F1867">
        <f>IF(D1867="","",IF(E1867&lt;0,"VENCIDO",IF(E1867&lt;=30,"VENCE EM &lt;= 30 DIAS",IF(E1867&lt;=60,"ATENCAO (31-60 DIAS)","OK"))))</f>
        <v/>
      </c>
      <c r="G1867" s="13">
        <f>SUMIFS(Movimentacoes!$G:$G,Movimentacoes!$C:$C,$A1867,Movimentacoes!$E:$E,$C1867,Movimentacoes!$B:$B,"ENTRADA")</f>
        <v/>
      </c>
      <c r="H1867" s="13">
        <f>SUMIFS(Movimentacoes!$G:$G,Movimentacoes!$C:$C,$A1867,Movimentacoes!$E:$E,$C1867,Movimentacoes!$B:$B,"SAIDA_USO")</f>
        <v/>
      </c>
      <c r="I1867" s="13">
        <f>SUMIFS(Movimentacoes!$G:$G,Movimentacoes!$C:$C,$A1867,Movimentacoes!$E:$E,$C1867,Movimentacoes!$B:$B,"SAIDA_DESCARTE")</f>
        <v/>
      </c>
      <c r="J1867" s="13">
        <f>G1867-H1867-I1867</f>
        <v/>
      </c>
      <c r="K1867">
        <f>IF(A1867="","",IF(J1867&lt;=IFERROR(VLOOKUP(A1867,Cadastro_Produtos!$A:$E,5,FALSE),0),"ABAIXO DO MINIMO","OK"))</f>
        <v/>
      </c>
    </row>
    <row r="1868">
      <c r="B1868">
        <f>IFERROR(VLOOKUP(A1868,Cadastro_Produtos!A:B,2,FALSE),"")</f>
        <v/>
      </c>
      <c r="D1868" s="12" t="n"/>
      <c r="E1868" s="13">
        <f>IF(D1868="","",D1868-TODAY())</f>
        <v/>
      </c>
      <c r="F1868">
        <f>IF(D1868="","",IF(E1868&lt;0,"VENCIDO",IF(E1868&lt;=30,"VENCE EM &lt;= 30 DIAS",IF(E1868&lt;=60,"ATENCAO (31-60 DIAS)","OK"))))</f>
        <v/>
      </c>
      <c r="G1868" s="13">
        <f>SUMIFS(Movimentacoes!$G:$G,Movimentacoes!$C:$C,$A1868,Movimentacoes!$E:$E,$C1868,Movimentacoes!$B:$B,"ENTRADA")</f>
        <v/>
      </c>
      <c r="H1868" s="13">
        <f>SUMIFS(Movimentacoes!$G:$G,Movimentacoes!$C:$C,$A1868,Movimentacoes!$E:$E,$C1868,Movimentacoes!$B:$B,"SAIDA_USO")</f>
        <v/>
      </c>
      <c r="I1868" s="13">
        <f>SUMIFS(Movimentacoes!$G:$G,Movimentacoes!$C:$C,$A1868,Movimentacoes!$E:$E,$C1868,Movimentacoes!$B:$B,"SAIDA_DESCARTE")</f>
        <v/>
      </c>
      <c r="J1868" s="13">
        <f>G1868-H1868-I1868</f>
        <v/>
      </c>
      <c r="K1868">
        <f>IF(A1868="","",IF(J1868&lt;=IFERROR(VLOOKUP(A1868,Cadastro_Produtos!$A:$E,5,FALSE),0),"ABAIXO DO MINIMO","OK"))</f>
        <v/>
      </c>
    </row>
    <row r="1869">
      <c r="B1869">
        <f>IFERROR(VLOOKUP(A1869,Cadastro_Produtos!A:B,2,FALSE),"")</f>
        <v/>
      </c>
      <c r="D1869" s="12" t="n"/>
      <c r="E1869" s="13">
        <f>IF(D1869="","",D1869-TODAY())</f>
        <v/>
      </c>
      <c r="F1869">
        <f>IF(D1869="","",IF(E1869&lt;0,"VENCIDO",IF(E1869&lt;=30,"VENCE EM &lt;= 30 DIAS",IF(E1869&lt;=60,"ATENCAO (31-60 DIAS)","OK"))))</f>
        <v/>
      </c>
      <c r="G1869" s="13">
        <f>SUMIFS(Movimentacoes!$G:$G,Movimentacoes!$C:$C,$A1869,Movimentacoes!$E:$E,$C1869,Movimentacoes!$B:$B,"ENTRADA")</f>
        <v/>
      </c>
      <c r="H1869" s="13">
        <f>SUMIFS(Movimentacoes!$G:$G,Movimentacoes!$C:$C,$A1869,Movimentacoes!$E:$E,$C1869,Movimentacoes!$B:$B,"SAIDA_USO")</f>
        <v/>
      </c>
      <c r="I1869" s="13">
        <f>SUMIFS(Movimentacoes!$G:$G,Movimentacoes!$C:$C,$A1869,Movimentacoes!$E:$E,$C1869,Movimentacoes!$B:$B,"SAIDA_DESCARTE")</f>
        <v/>
      </c>
      <c r="J1869" s="13">
        <f>G1869-H1869-I1869</f>
        <v/>
      </c>
      <c r="K1869">
        <f>IF(A1869="","",IF(J1869&lt;=IFERROR(VLOOKUP(A1869,Cadastro_Produtos!$A:$E,5,FALSE),0),"ABAIXO DO MINIMO","OK"))</f>
        <v/>
      </c>
    </row>
    <row r="1870">
      <c r="B1870">
        <f>IFERROR(VLOOKUP(A1870,Cadastro_Produtos!A:B,2,FALSE),"")</f>
        <v/>
      </c>
      <c r="D1870" s="12" t="n"/>
      <c r="E1870" s="13">
        <f>IF(D1870="","",D1870-TODAY())</f>
        <v/>
      </c>
      <c r="F1870">
        <f>IF(D1870="","",IF(E1870&lt;0,"VENCIDO",IF(E1870&lt;=30,"VENCE EM &lt;= 30 DIAS",IF(E1870&lt;=60,"ATENCAO (31-60 DIAS)","OK"))))</f>
        <v/>
      </c>
      <c r="G1870" s="13">
        <f>SUMIFS(Movimentacoes!$G:$G,Movimentacoes!$C:$C,$A1870,Movimentacoes!$E:$E,$C1870,Movimentacoes!$B:$B,"ENTRADA")</f>
        <v/>
      </c>
      <c r="H1870" s="13">
        <f>SUMIFS(Movimentacoes!$G:$G,Movimentacoes!$C:$C,$A1870,Movimentacoes!$E:$E,$C1870,Movimentacoes!$B:$B,"SAIDA_USO")</f>
        <v/>
      </c>
      <c r="I1870" s="13">
        <f>SUMIFS(Movimentacoes!$G:$G,Movimentacoes!$C:$C,$A1870,Movimentacoes!$E:$E,$C1870,Movimentacoes!$B:$B,"SAIDA_DESCARTE")</f>
        <v/>
      </c>
      <c r="J1870" s="13">
        <f>G1870-H1870-I1870</f>
        <v/>
      </c>
      <c r="K1870">
        <f>IF(A1870="","",IF(J1870&lt;=IFERROR(VLOOKUP(A1870,Cadastro_Produtos!$A:$E,5,FALSE),0),"ABAIXO DO MINIMO","OK"))</f>
        <v/>
      </c>
    </row>
    <row r="1871">
      <c r="B1871">
        <f>IFERROR(VLOOKUP(A1871,Cadastro_Produtos!A:B,2,FALSE),"")</f>
        <v/>
      </c>
      <c r="D1871" s="12" t="n"/>
      <c r="E1871" s="13">
        <f>IF(D1871="","",D1871-TODAY())</f>
        <v/>
      </c>
      <c r="F1871">
        <f>IF(D1871="","",IF(E1871&lt;0,"VENCIDO",IF(E1871&lt;=30,"VENCE EM &lt;= 30 DIAS",IF(E1871&lt;=60,"ATENCAO (31-60 DIAS)","OK"))))</f>
        <v/>
      </c>
      <c r="G1871" s="13">
        <f>SUMIFS(Movimentacoes!$G:$G,Movimentacoes!$C:$C,$A1871,Movimentacoes!$E:$E,$C1871,Movimentacoes!$B:$B,"ENTRADA")</f>
        <v/>
      </c>
      <c r="H1871" s="13">
        <f>SUMIFS(Movimentacoes!$G:$G,Movimentacoes!$C:$C,$A1871,Movimentacoes!$E:$E,$C1871,Movimentacoes!$B:$B,"SAIDA_USO")</f>
        <v/>
      </c>
      <c r="I1871" s="13">
        <f>SUMIFS(Movimentacoes!$G:$G,Movimentacoes!$C:$C,$A1871,Movimentacoes!$E:$E,$C1871,Movimentacoes!$B:$B,"SAIDA_DESCARTE")</f>
        <v/>
      </c>
      <c r="J1871" s="13">
        <f>G1871-H1871-I1871</f>
        <v/>
      </c>
      <c r="K1871">
        <f>IF(A1871="","",IF(J1871&lt;=IFERROR(VLOOKUP(A1871,Cadastro_Produtos!$A:$E,5,FALSE),0),"ABAIXO DO MINIMO","OK"))</f>
        <v/>
      </c>
    </row>
    <row r="1872">
      <c r="B1872">
        <f>IFERROR(VLOOKUP(A1872,Cadastro_Produtos!A:B,2,FALSE),"")</f>
        <v/>
      </c>
      <c r="D1872" s="12" t="n"/>
      <c r="E1872" s="13">
        <f>IF(D1872="","",D1872-TODAY())</f>
        <v/>
      </c>
      <c r="F1872">
        <f>IF(D1872="","",IF(E1872&lt;0,"VENCIDO",IF(E1872&lt;=30,"VENCE EM &lt;= 30 DIAS",IF(E1872&lt;=60,"ATENCAO (31-60 DIAS)","OK"))))</f>
        <v/>
      </c>
      <c r="G1872" s="13">
        <f>SUMIFS(Movimentacoes!$G:$G,Movimentacoes!$C:$C,$A1872,Movimentacoes!$E:$E,$C1872,Movimentacoes!$B:$B,"ENTRADA")</f>
        <v/>
      </c>
      <c r="H1872" s="13">
        <f>SUMIFS(Movimentacoes!$G:$G,Movimentacoes!$C:$C,$A1872,Movimentacoes!$E:$E,$C1872,Movimentacoes!$B:$B,"SAIDA_USO")</f>
        <v/>
      </c>
      <c r="I1872" s="13">
        <f>SUMIFS(Movimentacoes!$G:$G,Movimentacoes!$C:$C,$A1872,Movimentacoes!$E:$E,$C1872,Movimentacoes!$B:$B,"SAIDA_DESCARTE")</f>
        <v/>
      </c>
      <c r="J1872" s="13">
        <f>G1872-H1872-I1872</f>
        <v/>
      </c>
      <c r="K1872">
        <f>IF(A1872="","",IF(J1872&lt;=IFERROR(VLOOKUP(A1872,Cadastro_Produtos!$A:$E,5,FALSE),0),"ABAIXO DO MINIMO","OK"))</f>
        <v/>
      </c>
    </row>
    <row r="1873">
      <c r="B1873">
        <f>IFERROR(VLOOKUP(A1873,Cadastro_Produtos!A:B,2,FALSE),"")</f>
        <v/>
      </c>
      <c r="D1873" s="12" t="n"/>
      <c r="E1873" s="13">
        <f>IF(D1873="","",D1873-TODAY())</f>
        <v/>
      </c>
      <c r="F1873">
        <f>IF(D1873="","",IF(E1873&lt;0,"VENCIDO",IF(E1873&lt;=30,"VENCE EM &lt;= 30 DIAS",IF(E1873&lt;=60,"ATENCAO (31-60 DIAS)","OK"))))</f>
        <v/>
      </c>
      <c r="G1873" s="13">
        <f>SUMIFS(Movimentacoes!$G:$G,Movimentacoes!$C:$C,$A1873,Movimentacoes!$E:$E,$C1873,Movimentacoes!$B:$B,"ENTRADA")</f>
        <v/>
      </c>
      <c r="H1873" s="13">
        <f>SUMIFS(Movimentacoes!$G:$G,Movimentacoes!$C:$C,$A1873,Movimentacoes!$E:$E,$C1873,Movimentacoes!$B:$B,"SAIDA_USO")</f>
        <v/>
      </c>
      <c r="I1873" s="13">
        <f>SUMIFS(Movimentacoes!$G:$G,Movimentacoes!$C:$C,$A1873,Movimentacoes!$E:$E,$C1873,Movimentacoes!$B:$B,"SAIDA_DESCARTE")</f>
        <v/>
      </c>
      <c r="J1873" s="13">
        <f>G1873-H1873-I1873</f>
        <v/>
      </c>
      <c r="K1873">
        <f>IF(A1873="","",IF(J1873&lt;=IFERROR(VLOOKUP(A1873,Cadastro_Produtos!$A:$E,5,FALSE),0),"ABAIXO DO MINIMO","OK"))</f>
        <v/>
      </c>
    </row>
    <row r="1874">
      <c r="B1874">
        <f>IFERROR(VLOOKUP(A1874,Cadastro_Produtos!A:B,2,FALSE),"")</f>
        <v/>
      </c>
      <c r="D1874" s="12" t="n"/>
      <c r="E1874" s="13">
        <f>IF(D1874="","",D1874-TODAY())</f>
        <v/>
      </c>
      <c r="F1874">
        <f>IF(D1874="","",IF(E1874&lt;0,"VENCIDO",IF(E1874&lt;=30,"VENCE EM &lt;= 30 DIAS",IF(E1874&lt;=60,"ATENCAO (31-60 DIAS)","OK"))))</f>
        <v/>
      </c>
      <c r="G1874" s="13">
        <f>SUMIFS(Movimentacoes!$G:$G,Movimentacoes!$C:$C,$A1874,Movimentacoes!$E:$E,$C1874,Movimentacoes!$B:$B,"ENTRADA")</f>
        <v/>
      </c>
      <c r="H1874" s="13">
        <f>SUMIFS(Movimentacoes!$G:$G,Movimentacoes!$C:$C,$A1874,Movimentacoes!$E:$E,$C1874,Movimentacoes!$B:$B,"SAIDA_USO")</f>
        <v/>
      </c>
      <c r="I1874" s="13">
        <f>SUMIFS(Movimentacoes!$G:$G,Movimentacoes!$C:$C,$A1874,Movimentacoes!$E:$E,$C1874,Movimentacoes!$B:$B,"SAIDA_DESCARTE")</f>
        <v/>
      </c>
      <c r="J1874" s="13">
        <f>G1874-H1874-I1874</f>
        <v/>
      </c>
      <c r="K1874">
        <f>IF(A1874="","",IF(J1874&lt;=IFERROR(VLOOKUP(A1874,Cadastro_Produtos!$A:$E,5,FALSE),0),"ABAIXO DO MINIMO","OK"))</f>
        <v/>
      </c>
    </row>
    <row r="1875">
      <c r="B1875">
        <f>IFERROR(VLOOKUP(A1875,Cadastro_Produtos!A:B,2,FALSE),"")</f>
        <v/>
      </c>
      <c r="D1875" s="12" t="n"/>
      <c r="E1875" s="13">
        <f>IF(D1875="","",D1875-TODAY())</f>
        <v/>
      </c>
      <c r="F1875">
        <f>IF(D1875="","",IF(E1875&lt;0,"VENCIDO",IF(E1875&lt;=30,"VENCE EM &lt;= 30 DIAS",IF(E1875&lt;=60,"ATENCAO (31-60 DIAS)","OK"))))</f>
        <v/>
      </c>
      <c r="G1875" s="13">
        <f>SUMIFS(Movimentacoes!$G:$G,Movimentacoes!$C:$C,$A1875,Movimentacoes!$E:$E,$C1875,Movimentacoes!$B:$B,"ENTRADA")</f>
        <v/>
      </c>
      <c r="H1875" s="13">
        <f>SUMIFS(Movimentacoes!$G:$G,Movimentacoes!$C:$C,$A1875,Movimentacoes!$E:$E,$C1875,Movimentacoes!$B:$B,"SAIDA_USO")</f>
        <v/>
      </c>
      <c r="I1875" s="13">
        <f>SUMIFS(Movimentacoes!$G:$G,Movimentacoes!$C:$C,$A1875,Movimentacoes!$E:$E,$C1875,Movimentacoes!$B:$B,"SAIDA_DESCARTE")</f>
        <v/>
      </c>
      <c r="J1875" s="13">
        <f>G1875-H1875-I1875</f>
        <v/>
      </c>
      <c r="K1875">
        <f>IF(A1875="","",IF(J1875&lt;=IFERROR(VLOOKUP(A1875,Cadastro_Produtos!$A:$E,5,FALSE),0),"ABAIXO DO MINIMO","OK"))</f>
        <v/>
      </c>
    </row>
    <row r="1876">
      <c r="B1876">
        <f>IFERROR(VLOOKUP(A1876,Cadastro_Produtos!A:B,2,FALSE),"")</f>
        <v/>
      </c>
      <c r="D1876" s="12" t="n"/>
      <c r="E1876" s="13">
        <f>IF(D1876="","",D1876-TODAY())</f>
        <v/>
      </c>
      <c r="F1876">
        <f>IF(D1876="","",IF(E1876&lt;0,"VENCIDO",IF(E1876&lt;=30,"VENCE EM &lt;= 30 DIAS",IF(E1876&lt;=60,"ATENCAO (31-60 DIAS)","OK"))))</f>
        <v/>
      </c>
      <c r="G1876" s="13">
        <f>SUMIFS(Movimentacoes!$G:$G,Movimentacoes!$C:$C,$A1876,Movimentacoes!$E:$E,$C1876,Movimentacoes!$B:$B,"ENTRADA")</f>
        <v/>
      </c>
      <c r="H1876" s="13">
        <f>SUMIFS(Movimentacoes!$G:$G,Movimentacoes!$C:$C,$A1876,Movimentacoes!$E:$E,$C1876,Movimentacoes!$B:$B,"SAIDA_USO")</f>
        <v/>
      </c>
      <c r="I1876" s="13">
        <f>SUMIFS(Movimentacoes!$G:$G,Movimentacoes!$C:$C,$A1876,Movimentacoes!$E:$E,$C1876,Movimentacoes!$B:$B,"SAIDA_DESCARTE")</f>
        <v/>
      </c>
      <c r="J1876" s="13">
        <f>G1876-H1876-I1876</f>
        <v/>
      </c>
      <c r="K1876">
        <f>IF(A1876="","",IF(J1876&lt;=IFERROR(VLOOKUP(A1876,Cadastro_Produtos!$A:$E,5,FALSE),0),"ABAIXO DO MINIMO","OK"))</f>
        <v/>
      </c>
    </row>
    <row r="1877">
      <c r="B1877">
        <f>IFERROR(VLOOKUP(A1877,Cadastro_Produtos!A:B,2,FALSE),"")</f>
        <v/>
      </c>
      <c r="D1877" s="12" t="n"/>
      <c r="E1877" s="13">
        <f>IF(D1877="","",D1877-TODAY())</f>
        <v/>
      </c>
      <c r="F1877">
        <f>IF(D1877="","",IF(E1877&lt;0,"VENCIDO",IF(E1877&lt;=30,"VENCE EM &lt;= 30 DIAS",IF(E1877&lt;=60,"ATENCAO (31-60 DIAS)","OK"))))</f>
        <v/>
      </c>
      <c r="G1877" s="13">
        <f>SUMIFS(Movimentacoes!$G:$G,Movimentacoes!$C:$C,$A1877,Movimentacoes!$E:$E,$C1877,Movimentacoes!$B:$B,"ENTRADA")</f>
        <v/>
      </c>
      <c r="H1877" s="13">
        <f>SUMIFS(Movimentacoes!$G:$G,Movimentacoes!$C:$C,$A1877,Movimentacoes!$E:$E,$C1877,Movimentacoes!$B:$B,"SAIDA_USO")</f>
        <v/>
      </c>
      <c r="I1877" s="13">
        <f>SUMIFS(Movimentacoes!$G:$G,Movimentacoes!$C:$C,$A1877,Movimentacoes!$E:$E,$C1877,Movimentacoes!$B:$B,"SAIDA_DESCARTE")</f>
        <v/>
      </c>
      <c r="J1877" s="13">
        <f>G1877-H1877-I1877</f>
        <v/>
      </c>
      <c r="K1877">
        <f>IF(A1877="","",IF(J1877&lt;=IFERROR(VLOOKUP(A1877,Cadastro_Produtos!$A:$E,5,FALSE),0),"ABAIXO DO MINIMO","OK"))</f>
        <v/>
      </c>
    </row>
    <row r="1878">
      <c r="B1878">
        <f>IFERROR(VLOOKUP(A1878,Cadastro_Produtos!A:B,2,FALSE),"")</f>
        <v/>
      </c>
      <c r="D1878" s="12" t="n"/>
      <c r="E1878" s="13">
        <f>IF(D1878="","",D1878-TODAY())</f>
        <v/>
      </c>
      <c r="F1878">
        <f>IF(D1878="","",IF(E1878&lt;0,"VENCIDO",IF(E1878&lt;=30,"VENCE EM &lt;= 30 DIAS",IF(E1878&lt;=60,"ATENCAO (31-60 DIAS)","OK"))))</f>
        <v/>
      </c>
      <c r="G1878" s="13">
        <f>SUMIFS(Movimentacoes!$G:$G,Movimentacoes!$C:$C,$A1878,Movimentacoes!$E:$E,$C1878,Movimentacoes!$B:$B,"ENTRADA")</f>
        <v/>
      </c>
      <c r="H1878" s="13">
        <f>SUMIFS(Movimentacoes!$G:$G,Movimentacoes!$C:$C,$A1878,Movimentacoes!$E:$E,$C1878,Movimentacoes!$B:$B,"SAIDA_USO")</f>
        <v/>
      </c>
      <c r="I1878" s="13">
        <f>SUMIFS(Movimentacoes!$G:$G,Movimentacoes!$C:$C,$A1878,Movimentacoes!$E:$E,$C1878,Movimentacoes!$B:$B,"SAIDA_DESCARTE")</f>
        <v/>
      </c>
      <c r="J1878" s="13">
        <f>G1878-H1878-I1878</f>
        <v/>
      </c>
      <c r="K1878">
        <f>IF(A1878="","",IF(J1878&lt;=IFERROR(VLOOKUP(A1878,Cadastro_Produtos!$A:$E,5,FALSE),0),"ABAIXO DO MINIMO","OK"))</f>
        <v/>
      </c>
    </row>
    <row r="1879">
      <c r="B1879">
        <f>IFERROR(VLOOKUP(A1879,Cadastro_Produtos!A:B,2,FALSE),"")</f>
        <v/>
      </c>
      <c r="D1879" s="12" t="n"/>
      <c r="E1879" s="13">
        <f>IF(D1879="","",D1879-TODAY())</f>
        <v/>
      </c>
      <c r="F1879">
        <f>IF(D1879="","",IF(E1879&lt;0,"VENCIDO",IF(E1879&lt;=30,"VENCE EM &lt;= 30 DIAS",IF(E1879&lt;=60,"ATENCAO (31-60 DIAS)","OK"))))</f>
        <v/>
      </c>
      <c r="G1879" s="13">
        <f>SUMIFS(Movimentacoes!$G:$G,Movimentacoes!$C:$C,$A1879,Movimentacoes!$E:$E,$C1879,Movimentacoes!$B:$B,"ENTRADA")</f>
        <v/>
      </c>
      <c r="H1879" s="13">
        <f>SUMIFS(Movimentacoes!$G:$G,Movimentacoes!$C:$C,$A1879,Movimentacoes!$E:$E,$C1879,Movimentacoes!$B:$B,"SAIDA_USO")</f>
        <v/>
      </c>
      <c r="I1879" s="13">
        <f>SUMIFS(Movimentacoes!$G:$G,Movimentacoes!$C:$C,$A1879,Movimentacoes!$E:$E,$C1879,Movimentacoes!$B:$B,"SAIDA_DESCARTE")</f>
        <v/>
      </c>
      <c r="J1879" s="13">
        <f>G1879-H1879-I1879</f>
        <v/>
      </c>
      <c r="K1879">
        <f>IF(A1879="","",IF(J1879&lt;=IFERROR(VLOOKUP(A1879,Cadastro_Produtos!$A:$E,5,FALSE),0),"ABAIXO DO MINIMO","OK"))</f>
        <v/>
      </c>
    </row>
    <row r="1880">
      <c r="B1880">
        <f>IFERROR(VLOOKUP(A1880,Cadastro_Produtos!A:B,2,FALSE),"")</f>
        <v/>
      </c>
      <c r="D1880" s="12" t="n"/>
      <c r="E1880" s="13">
        <f>IF(D1880="","",D1880-TODAY())</f>
        <v/>
      </c>
      <c r="F1880">
        <f>IF(D1880="","",IF(E1880&lt;0,"VENCIDO",IF(E1880&lt;=30,"VENCE EM &lt;= 30 DIAS",IF(E1880&lt;=60,"ATENCAO (31-60 DIAS)","OK"))))</f>
        <v/>
      </c>
      <c r="G1880" s="13">
        <f>SUMIFS(Movimentacoes!$G:$G,Movimentacoes!$C:$C,$A1880,Movimentacoes!$E:$E,$C1880,Movimentacoes!$B:$B,"ENTRADA")</f>
        <v/>
      </c>
      <c r="H1880" s="13">
        <f>SUMIFS(Movimentacoes!$G:$G,Movimentacoes!$C:$C,$A1880,Movimentacoes!$E:$E,$C1880,Movimentacoes!$B:$B,"SAIDA_USO")</f>
        <v/>
      </c>
      <c r="I1880" s="13">
        <f>SUMIFS(Movimentacoes!$G:$G,Movimentacoes!$C:$C,$A1880,Movimentacoes!$E:$E,$C1880,Movimentacoes!$B:$B,"SAIDA_DESCARTE")</f>
        <v/>
      </c>
      <c r="J1880" s="13">
        <f>G1880-H1880-I1880</f>
        <v/>
      </c>
      <c r="K1880">
        <f>IF(A1880="","",IF(J1880&lt;=IFERROR(VLOOKUP(A1880,Cadastro_Produtos!$A:$E,5,FALSE),0),"ABAIXO DO MINIMO","OK"))</f>
        <v/>
      </c>
    </row>
    <row r="1881">
      <c r="B1881">
        <f>IFERROR(VLOOKUP(A1881,Cadastro_Produtos!A:B,2,FALSE),"")</f>
        <v/>
      </c>
      <c r="D1881" s="12" t="n"/>
      <c r="E1881" s="13">
        <f>IF(D1881="","",D1881-TODAY())</f>
        <v/>
      </c>
      <c r="F1881">
        <f>IF(D1881="","",IF(E1881&lt;0,"VENCIDO",IF(E1881&lt;=30,"VENCE EM &lt;= 30 DIAS",IF(E1881&lt;=60,"ATENCAO (31-60 DIAS)","OK"))))</f>
        <v/>
      </c>
      <c r="G1881" s="13">
        <f>SUMIFS(Movimentacoes!$G:$G,Movimentacoes!$C:$C,$A1881,Movimentacoes!$E:$E,$C1881,Movimentacoes!$B:$B,"ENTRADA")</f>
        <v/>
      </c>
      <c r="H1881" s="13">
        <f>SUMIFS(Movimentacoes!$G:$G,Movimentacoes!$C:$C,$A1881,Movimentacoes!$E:$E,$C1881,Movimentacoes!$B:$B,"SAIDA_USO")</f>
        <v/>
      </c>
      <c r="I1881" s="13">
        <f>SUMIFS(Movimentacoes!$G:$G,Movimentacoes!$C:$C,$A1881,Movimentacoes!$E:$E,$C1881,Movimentacoes!$B:$B,"SAIDA_DESCARTE")</f>
        <v/>
      </c>
      <c r="J1881" s="13">
        <f>G1881-H1881-I1881</f>
        <v/>
      </c>
      <c r="K1881">
        <f>IF(A1881="","",IF(J1881&lt;=IFERROR(VLOOKUP(A1881,Cadastro_Produtos!$A:$E,5,FALSE),0),"ABAIXO DO MINIMO","OK"))</f>
        <v/>
      </c>
    </row>
    <row r="1882">
      <c r="B1882">
        <f>IFERROR(VLOOKUP(A1882,Cadastro_Produtos!A:B,2,FALSE),"")</f>
        <v/>
      </c>
      <c r="D1882" s="12" t="n"/>
      <c r="E1882" s="13">
        <f>IF(D1882="","",D1882-TODAY())</f>
        <v/>
      </c>
      <c r="F1882">
        <f>IF(D1882="","",IF(E1882&lt;0,"VENCIDO",IF(E1882&lt;=30,"VENCE EM &lt;= 30 DIAS",IF(E1882&lt;=60,"ATENCAO (31-60 DIAS)","OK"))))</f>
        <v/>
      </c>
      <c r="G1882" s="13">
        <f>SUMIFS(Movimentacoes!$G:$G,Movimentacoes!$C:$C,$A1882,Movimentacoes!$E:$E,$C1882,Movimentacoes!$B:$B,"ENTRADA")</f>
        <v/>
      </c>
      <c r="H1882" s="13">
        <f>SUMIFS(Movimentacoes!$G:$G,Movimentacoes!$C:$C,$A1882,Movimentacoes!$E:$E,$C1882,Movimentacoes!$B:$B,"SAIDA_USO")</f>
        <v/>
      </c>
      <c r="I1882" s="13">
        <f>SUMIFS(Movimentacoes!$G:$G,Movimentacoes!$C:$C,$A1882,Movimentacoes!$E:$E,$C1882,Movimentacoes!$B:$B,"SAIDA_DESCARTE")</f>
        <v/>
      </c>
      <c r="J1882" s="13">
        <f>G1882-H1882-I1882</f>
        <v/>
      </c>
      <c r="K1882">
        <f>IF(A1882="","",IF(J1882&lt;=IFERROR(VLOOKUP(A1882,Cadastro_Produtos!$A:$E,5,FALSE),0),"ABAIXO DO MINIMO","OK"))</f>
        <v/>
      </c>
    </row>
    <row r="1883">
      <c r="B1883">
        <f>IFERROR(VLOOKUP(A1883,Cadastro_Produtos!A:B,2,FALSE),"")</f>
        <v/>
      </c>
      <c r="D1883" s="12" t="n"/>
      <c r="E1883" s="13">
        <f>IF(D1883="","",D1883-TODAY())</f>
        <v/>
      </c>
      <c r="F1883">
        <f>IF(D1883="","",IF(E1883&lt;0,"VENCIDO",IF(E1883&lt;=30,"VENCE EM &lt;= 30 DIAS",IF(E1883&lt;=60,"ATENCAO (31-60 DIAS)","OK"))))</f>
        <v/>
      </c>
      <c r="G1883" s="13">
        <f>SUMIFS(Movimentacoes!$G:$G,Movimentacoes!$C:$C,$A1883,Movimentacoes!$E:$E,$C1883,Movimentacoes!$B:$B,"ENTRADA")</f>
        <v/>
      </c>
      <c r="H1883" s="13">
        <f>SUMIFS(Movimentacoes!$G:$G,Movimentacoes!$C:$C,$A1883,Movimentacoes!$E:$E,$C1883,Movimentacoes!$B:$B,"SAIDA_USO")</f>
        <v/>
      </c>
      <c r="I1883" s="13">
        <f>SUMIFS(Movimentacoes!$G:$G,Movimentacoes!$C:$C,$A1883,Movimentacoes!$E:$E,$C1883,Movimentacoes!$B:$B,"SAIDA_DESCARTE")</f>
        <v/>
      </c>
      <c r="J1883" s="13">
        <f>G1883-H1883-I1883</f>
        <v/>
      </c>
      <c r="K1883">
        <f>IF(A1883="","",IF(J1883&lt;=IFERROR(VLOOKUP(A1883,Cadastro_Produtos!$A:$E,5,FALSE),0),"ABAIXO DO MINIMO","OK"))</f>
        <v/>
      </c>
    </row>
    <row r="1884">
      <c r="B1884">
        <f>IFERROR(VLOOKUP(A1884,Cadastro_Produtos!A:B,2,FALSE),"")</f>
        <v/>
      </c>
      <c r="D1884" s="12" t="n"/>
      <c r="E1884" s="13">
        <f>IF(D1884="","",D1884-TODAY())</f>
        <v/>
      </c>
      <c r="F1884">
        <f>IF(D1884="","",IF(E1884&lt;0,"VENCIDO",IF(E1884&lt;=30,"VENCE EM &lt;= 30 DIAS",IF(E1884&lt;=60,"ATENCAO (31-60 DIAS)","OK"))))</f>
        <v/>
      </c>
      <c r="G1884" s="13">
        <f>SUMIFS(Movimentacoes!$G:$G,Movimentacoes!$C:$C,$A1884,Movimentacoes!$E:$E,$C1884,Movimentacoes!$B:$B,"ENTRADA")</f>
        <v/>
      </c>
      <c r="H1884" s="13">
        <f>SUMIFS(Movimentacoes!$G:$G,Movimentacoes!$C:$C,$A1884,Movimentacoes!$E:$E,$C1884,Movimentacoes!$B:$B,"SAIDA_USO")</f>
        <v/>
      </c>
      <c r="I1884" s="13">
        <f>SUMIFS(Movimentacoes!$G:$G,Movimentacoes!$C:$C,$A1884,Movimentacoes!$E:$E,$C1884,Movimentacoes!$B:$B,"SAIDA_DESCARTE")</f>
        <v/>
      </c>
      <c r="J1884" s="13">
        <f>G1884-H1884-I1884</f>
        <v/>
      </c>
      <c r="K1884">
        <f>IF(A1884="","",IF(J1884&lt;=IFERROR(VLOOKUP(A1884,Cadastro_Produtos!$A:$E,5,FALSE),0),"ABAIXO DO MINIMO","OK"))</f>
        <v/>
      </c>
    </row>
    <row r="1885">
      <c r="B1885">
        <f>IFERROR(VLOOKUP(A1885,Cadastro_Produtos!A:B,2,FALSE),"")</f>
        <v/>
      </c>
      <c r="D1885" s="12" t="n"/>
      <c r="E1885" s="13">
        <f>IF(D1885="","",D1885-TODAY())</f>
        <v/>
      </c>
      <c r="F1885">
        <f>IF(D1885="","",IF(E1885&lt;0,"VENCIDO",IF(E1885&lt;=30,"VENCE EM &lt;= 30 DIAS",IF(E1885&lt;=60,"ATENCAO (31-60 DIAS)","OK"))))</f>
        <v/>
      </c>
      <c r="G1885" s="13">
        <f>SUMIFS(Movimentacoes!$G:$G,Movimentacoes!$C:$C,$A1885,Movimentacoes!$E:$E,$C1885,Movimentacoes!$B:$B,"ENTRADA")</f>
        <v/>
      </c>
      <c r="H1885" s="13">
        <f>SUMIFS(Movimentacoes!$G:$G,Movimentacoes!$C:$C,$A1885,Movimentacoes!$E:$E,$C1885,Movimentacoes!$B:$B,"SAIDA_USO")</f>
        <v/>
      </c>
      <c r="I1885" s="13">
        <f>SUMIFS(Movimentacoes!$G:$G,Movimentacoes!$C:$C,$A1885,Movimentacoes!$E:$E,$C1885,Movimentacoes!$B:$B,"SAIDA_DESCARTE")</f>
        <v/>
      </c>
      <c r="J1885" s="13">
        <f>G1885-H1885-I1885</f>
        <v/>
      </c>
      <c r="K1885">
        <f>IF(A1885="","",IF(J1885&lt;=IFERROR(VLOOKUP(A1885,Cadastro_Produtos!$A:$E,5,FALSE),0),"ABAIXO DO MINIMO","OK"))</f>
        <v/>
      </c>
    </row>
    <row r="1886">
      <c r="B1886">
        <f>IFERROR(VLOOKUP(A1886,Cadastro_Produtos!A:B,2,FALSE),"")</f>
        <v/>
      </c>
      <c r="D1886" s="12" t="n"/>
      <c r="E1886" s="13">
        <f>IF(D1886="","",D1886-TODAY())</f>
        <v/>
      </c>
      <c r="F1886">
        <f>IF(D1886="","",IF(E1886&lt;0,"VENCIDO",IF(E1886&lt;=30,"VENCE EM &lt;= 30 DIAS",IF(E1886&lt;=60,"ATENCAO (31-60 DIAS)","OK"))))</f>
        <v/>
      </c>
      <c r="G1886" s="13">
        <f>SUMIFS(Movimentacoes!$G:$G,Movimentacoes!$C:$C,$A1886,Movimentacoes!$E:$E,$C1886,Movimentacoes!$B:$B,"ENTRADA")</f>
        <v/>
      </c>
      <c r="H1886" s="13">
        <f>SUMIFS(Movimentacoes!$G:$G,Movimentacoes!$C:$C,$A1886,Movimentacoes!$E:$E,$C1886,Movimentacoes!$B:$B,"SAIDA_USO")</f>
        <v/>
      </c>
      <c r="I1886" s="13">
        <f>SUMIFS(Movimentacoes!$G:$G,Movimentacoes!$C:$C,$A1886,Movimentacoes!$E:$E,$C1886,Movimentacoes!$B:$B,"SAIDA_DESCARTE")</f>
        <v/>
      </c>
      <c r="J1886" s="13">
        <f>G1886-H1886-I1886</f>
        <v/>
      </c>
      <c r="K1886">
        <f>IF(A1886="","",IF(J1886&lt;=IFERROR(VLOOKUP(A1886,Cadastro_Produtos!$A:$E,5,FALSE),0),"ABAIXO DO MINIMO","OK"))</f>
        <v/>
      </c>
    </row>
    <row r="1887">
      <c r="B1887">
        <f>IFERROR(VLOOKUP(A1887,Cadastro_Produtos!A:B,2,FALSE),"")</f>
        <v/>
      </c>
      <c r="D1887" s="12" t="n"/>
      <c r="E1887" s="13">
        <f>IF(D1887="","",D1887-TODAY())</f>
        <v/>
      </c>
      <c r="F1887">
        <f>IF(D1887="","",IF(E1887&lt;0,"VENCIDO",IF(E1887&lt;=30,"VENCE EM &lt;= 30 DIAS",IF(E1887&lt;=60,"ATENCAO (31-60 DIAS)","OK"))))</f>
        <v/>
      </c>
      <c r="G1887" s="13">
        <f>SUMIFS(Movimentacoes!$G:$G,Movimentacoes!$C:$C,$A1887,Movimentacoes!$E:$E,$C1887,Movimentacoes!$B:$B,"ENTRADA")</f>
        <v/>
      </c>
      <c r="H1887" s="13">
        <f>SUMIFS(Movimentacoes!$G:$G,Movimentacoes!$C:$C,$A1887,Movimentacoes!$E:$E,$C1887,Movimentacoes!$B:$B,"SAIDA_USO")</f>
        <v/>
      </c>
      <c r="I1887" s="13">
        <f>SUMIFS(Movimentacoes!$G:$G,Movimentacoes!$C:$C,$A1887,Movimentacoes!$E:$E,$C1887,Movimentacoes!$B:$B,"SAIDA_DESCARTE")</f>
        <v/>
      </c>
      <c r="J1887" s="13">
        <f>G1887-H1887-I1887</f>
        <v/>
      </c>
      <c r="K1887">
        <f>IF(A1887="","",IF(J1887&lt;=IFERROR(VLOOKUP(A1887,Cadastro_Produtos!$A:$E,5,FALSE),0),"ABAIXO DO MINIMO","OK"))</f>
        <v/>
      </c>
    </row>
    <row r="1888">
      <c r="B1888">
        <f>IFERROR(VLOOKUP(A1888,Cadastro_Produtos!A:B,2,FALSE),"")</f>
        <v/>
      </c>
      <c r="D1888" s="12" t="n"/>
      <c r="E1888" s="13">
        <f>IF(D1888="","",D1888-TODAY())</f>
        <v/>
      </c>
      <c r="F1888">
        <f>IF(D1888="","",IF(E1888&lt;0,"VENCIDO",IF(E1888&lt;=30,"VENCE EM &lt;= 30 DIAS",IF(E1888&lt;=60,"ATENCAO (31-60 DIAS)","OK"))))</f>
        <v/>
      </c>
      <c r="G1888" s="13">
        <f>SUMIFS(Movimentacoes!$G:$G,Movimentacoes!$C:$C,$A1888,Movimentacoes!$E:$E,$C1888,Movimentacoes!$B:$B,"ENTRADA")</f>
        <v/>
      </c>
      <c r="H1888" s="13">
        <f>SUMIFS(Movimentacoes!$G:$G,Movimentacoes!$C:$C,$A1888,Movimentacoes!$E:$E,$C1888,Movimentacoes!$B:$B,"SAIDA_USO")</f>
        <v/>
      </c>
      <c r="I1888" s="13">
        <f>SUMIFS(Movimentacoes!$G:$G,Movimentacoes!$C:$C,$A1888,Movimentacoes!$E:$E,$C1888,Movimentacoes!$B:$B,"SAIDA_DESCARTE")</f>
        <v/>
      </c>
      <c r="J1888" s="13">
        <f>G1888-H1888-I1888</f>
        <v/>
      </c>
      <c r="K1888">
        <f>IF(A1888="","",IF(J1888&lt;=IFERROR(VLOOKUP(A1888,Cadastro_Produtos!$A:$E,5,FALSE),0),"ABAIXO DO MINIMO","OK"))</f>
        <v/>
      </c>
    </row>
    <row r="1889">
      <c r="B1889">
        <f>IFERROR(VLOOKUP(A1889,Cadastro_Produtos!A:B,2,FALSE),"")</f>
        <v/>
      </c>
      <c r="D1889" s="12" t="n"/>
      <c r="E1889" s="13">
        <f>IF(D1889="","",D1889-TODAY())</f>
        <v/>
      </c>
      <c r="F1889">
        <f>IF(D1889="","",IF(E1889&lt;0,"VENCIDO",IF(E1889&lt;=30,"VENCE EM &lt;= 30 DIAS",IF(E1889&lt;=60,"ATENCAO (31-60 DIAS)","OK"))))</f>
        <v/>
      </c>
      <c r="G1889" s="13">
        <f>SUMIFS(Movimentacoes!$G:$G,Movimentacoes!$C:$C,$A1889,Movimentacoes!$E:$E,$C1889,Movimentacoes!$B:$B,"ENTRADA")</f>
        <v/>
      </c>
      <c r="H1889" s="13">
        <f>SUMIFS(Movimentacoes!$G:$G,Movimentacoes!$C:$C,$A1889,Movimentacoes!$E:$E,$C1889,Movimentacoes!$B:$B,"SAIDA_USO")</f>
        <v/>
      </c>
      <c r="I1889" s="13">
        <f>SUMIFS(Movimentacoes!$G:$G,Movimentacoes!$C:$C,$A1889,Movimentacoes!$E:$E,$C1889,Movimentacoes!$B:$B,"SAIDA_DESCARTE")</f>
        <v/>
      </c>
      <c r="J1889" s="13">
        <f>G1889-H1889-I1889</f>
        <v/>
      </c>
      <c r="K1889">
        <f>IF(A1889="","",IF(J1889&lt;=IFERROR(VLOOKUP(A1889,Cadastro_Produtos!$A:$E,5,FALSE),0),"ABAIXO DO MINIMO","OK"))</f>
        <v/>
      </c>
    </row>
    <row r="1890">
      <c r="B1890">
        <f>IFERROR(VLOOKUP(A1890,Cadastro_Produtos!A:B,2,FALSE),"")</f>
        <v/>
      </c>
      <c r="D1890" s="12" t="n"/>
      <c r="E1890" s="13">
        <f>IF(D1890="","",D1890-TODAY())</f>
        <v/>
      </c>
      <c r="F1890">
        <f>IF(D1890="","",IF(E1890&lt;0,"VENCIDO",IF(E1890&lt;=30,"VENCE EM &lt;= 30 DIAS",IF(E1890&lt;=60,"ATENCAO (31-60 DIAS)","OK"))))</f>
        <v/>
      </c>
      <c r="G1890" s="13">
        <f>SUMIFS(Movimentacoes!$G:$G,Movimentacoes!$C:$C,$A1890,Movimentacoes!$E:$E,$C1890,Movimentacoes!$B:$B,"ENTRADA")</f>
        <v/>
      </c>
      <c r="H1890" s="13">
        <f>SUMIFS(Movimentacoes!$G:$G,Movimentacoes!$C:$C,$A1890,Movimentacoes!$E:$E,$C1890,Movimentacoes!$B:$B,"SAIDA_USO")</f>
        <v/>
      </c>
      <c r="I1890" s="13">
        <f>SUMIFS(Movimentacoes!$G:$G,Movimentacoes!$C:$C,$A1890,Movimentacoes!$E:$E,$C1890,Movimentacoes!$B:$B,"SAIDA_DESCARTE")</f>
        <v/>
      </c>
      <c r="J1890" s="13">
        <f>G1890-H1890-I1890</f>
        <v/>
      </c>
      <c r="K1890">
        <f>IF(A1890="","",IF(J1890&lt;=IFERROR(VLOOKUP(A1890,Cadastro_Produtos!$A:$E,5,FALSE),0),"ABAIXO DO MINIMO","OK"))</f>
        <v/>
      </c>
    </row>
    <row r="1891">
      <c r="B1891">
        <f>IFERROR(VLOOKUP(A1891,Cadastro_Produtos!A:B,2,FALSE),"")</f>
        <v/>
      </c>
      <c r="D1891" s="12" t="n"/>
      <c r="E1891" s="13">
        <f>IF(D1891="","",D1891-TODAY())</f>
        <v/>
      </c>
      <c r="F1891">
        <f>IF(D1891="","",IF(E1891&lt;0,"VENCIDO",IF(E1891&lt;=30,"VENCE EM &lt;= 30 DIAS",IF(E1891&lt;=60,"ATENCAO (31-60 DIAS)","OK"))))</f>
        <v/>
      </c>
      <c r="G1891" s="13">
        <f>SUMIFS(Movimentacoes!$G:$G,Movimentacoes!$C:$C,$A1891,Movimentacoes!$E:$E,$C1891,Movimentacoes!$B:$B,"ENTRADA")</f>
        <v/>
      </c>
      <c r="H1891" s="13">
        <f>SUMIFS(Movimentacoes!$G:$G,Movimentacoes!$C:$C,$A1891,Movimentacoes!$E:$E,$C1891,Movimentacoes!$B:$B,"SAIDA_USO")</f>
        <v/>
      </c>
      <c r="I1891" s="13">
        <f>SUMIFS(Movimentacoes!$G:$G,Movimentacoes!$C:$C,$A1891,Movimentacoes!$E:$E,$C1891,Movimentacoes!$B:$B,"SAIDA_DESCARTE")</f>
        <v/>
      </c>
      <c r="J1891" s="13">
        <f>G1891-H1891-I1891</f>
        <v/>
      </c>
      <c r="K1891">
        <f>IF(A1891="","",IF(J1891&lt;=IFERROR(VLOOKUP(A1891,Cadastro_Produtos!$A:$E,5,FALSE),0),"ABAIXO DO MINIMO","OK"))</f>
        <v/>
      </c>
    </row>
    <row r="1892">
      <c r="B1892">
        <f>IFERROR(VLOOKUP(A1892,Cadastro_Produtos!A:B,2,FALSE),"")</f>
        <v/>
      </c>
      <c r="D1892" s="12" t="n"/>
      <c r="E1892" s="13">
        <f>IF(D1892="","",D1892-TODAY())</f>
        <v/>
      </c>
      <c r="F1892">
        <f>IF(D1892="","",IF(E1892&lt;0,"VENCIDO",IF(E1892&lt;=30,"VENCE EM &lt;= 30 DIAS",IF(E1892&lt;=60,"ATENCAO (31-60 DIAS)","OK"))))</f>
        <v/>
      </c>
      <c r="G1892" s="13">
        <f>SUMIFS(Movimentacoes!$G:$G,Movimentacoes!$C:$C,$A1892,Movimentacoes!$E:$E,$C1892,Movimentacoes!$B:$B,"ENTRADA")</f>
        <v/>
      </c>
      <c r="H1892" s="13">
        <f>SUMIFS(Movimentacoes!$G:$G,Movimentacoes!$C:$C,$A1892,Movimentacoes!$E:$E,$C1892,Movimentacoes!$B:$B,"SAIDA_USO")</f>
        <v/>
      </c>
      <c r="I1892" s="13">
        <f>SUMIFS(Movimentacoes!$G:$G,Movimentacoes!$C:$C,$A1892,Movimentacoes!$E:$E,$C1892,Movimentacoes!$B:$B,"SAIDA_DESCARTE")</f>
        <v/>
      </c>
      <c r="J1892" s="13">
        <f>G1892-H1892-I1892</f>
        <v/>
      </c>
      <c r="K1892">
        <f>IF(A1892="","",IF(J1892&lt;=IFERROR(VLOOKUP(A1892,Cadastro_Produtos!$A:$E,5,FALSE),0),"ABAIXO DO MINIMO","OK"))</f>
        <v/>
      </c>
    </row>
    <row r="1893">
      <c r="B1893">
        <f>IFERROR(VLOOKUP(A1893,Cadastro_Produtos!A:B,2,FALSE),"")</f>
        <v/>
      </c>
      <c r="D1893" s="12" t="n"/>
      <c r="E1893" s="13">
        <f>IF(D1893="","",D1893-TODAY())</f>
        <v/>
      </c>
      <c r="F1893">
        <f>IF(D1893="","",IF(E1893&lt;0,"VENCIDO",IF(E1893&lt;=30,"VENCE EM &lt;= 30 DIAS",IF(E1893&lt;=60,"ATENCAO (31-60 DIAS)","OK"))))</f>
        <v/>
      </c>
      <c r="G1893" s="13">
        <f>SUMIFS(Movimentacoes!$G:$G,Movimentacoes!$C:$C,$A1893,Movimentacoes!$E:$E,$C1893,Movimentacoes!$B:$B,"ENTRADA")</f>
        <v/>
      </c>
      <c r="H1893" s="13">
        <f>SUMIFS(Movimentacoes!$G:$G,Movimentacoes!$C:$C,$A1893,Movimentacoes!$E:$E,$C1893,Movimentacoes!$B:$B,"SAIDA_USO")</f>
        <v/>
      </c>
      <c r="I1893" s="13">
        <f>SUMIFS(Movimentacoes!$G:$G,Movimentacoes!$C:$C,$A1893,Movimentacoes!$E:$E,$C1893,Movimentacoes!$B:$B,"SAIDA_DESCARTE")</f>
        <v/>
      </c>
      <c r="J1893" s="13">
        <f>G1893-H1893-I1893</f>
        <v/>
      </c>
      <c r="K1893">
        <f>IF(A1893="","",IF(J1893&lt;=IFERROR(VLOOKUP(A1893,Cadastro_Produtos!$A:$E,5,FALSE),0),"ABAIXO DO MINIMO","OK"))</f>
        <v/>
      </c>
    </row>
    <row r="1894">
      <c r="B1894">
        <f>IFERROR(VLOOKUP(A1894,Cadastro_Produtos!A:B,2,FALSE),"")</f>
        <v/>
      </c>
      <c r="D1894" s="12" t="n"/>
      <c r="E1894" s="13">
        <f>IF(D1894="","",D1894-TODAY())</f>
        <v/>
      </c>
      <c r="F1894">
        <f>IF(D1894="","",IF(E1894&lt;0,"VENCIDO",IF(E1894&lt;=30,"VENCE EM &lt;= 30 DIAS",IF(E1894&lt;=60,"ATENCAO (31-60 DIAS)","OK"))))</f>
        <v/>
      </c>
      <c r="G1894" s="13">
        <f>SUMIFS(Movimentacoes!$G:$G,Movimentacoes!$C:$C,$A1894,Movimentacoes!$E:$E,$C1894,Movimentacoes!$B:$B,"ENTRADA")</f>
        <v/>
      </c>
      <c r="H1894" s="13">
        <f>SUMIFS(Movimentacoes!$G:$G,Movimentacoes!$C:$C,$A1894,Movimentacoes!$E:$E,$C1894,Movimentacoes!$B:$B,"SAIDA_USO")</f>
        <v/>
      </c>
      <c r="I1894" s="13">
        <f>SUMIFS(Movimentacoes!$G:$G,Movimentacoes!$C:$C,$A1894,Movimentacoes!$E:$E,$C1894,Movimentacoes!$B:$B,"SAIDA_DESCARTE")</f>
        <v/>
      </c>
      <c r="J1894" s="13">
        <f>G1894-H1894-I1894</f>
        <v/>
      </c>
      <c r="K1894">
        <f>IF(A1894="","",IF(J1894&lt;=IFERROR(VLOOKUP(A1894,Cadastro_Produtos!$A:$E,5,FALSE),0),"ABAIXO DO MINIMO","OK"))</f>
        <v/>
      </c>
    </row>
    <row r="1895">
      <c r="B1895">
        <f>IFERROR(VLOOKUP(A1895,Cadastro_Produtos!A:B,2,FALSE),"")</f>
        <v/>
      </c>
      <c r="D1895" s="12" t="n"/>
      <c r="E1895" s="13">
        <f>IF(D1895="","",D1895-TODAY())</f>
        <v/>
      </c>
      <c r="F1895">
        <f>IF(D1895="","",IF(E1895&lt;0,"VENCIDO",IF(E1895&lt;=30,"VENCE EM &lt;= 30 DIAS",IF(E1895&lt;=60,"ATENCAO (31-60 DIAS)","OK"))))</f>
        <v/>
      </c>
      <c r="G1895" s="13">
        <f>SUMIFS(Movimentacoes!$G:$G,Movimentacoes!$C:$C,$A1895,Movimentacoes!$E:$E,$C1895,Movimentacoes!$B:$B,"ENTRADA")</f>
        <v/>
      </c>
      <c r="H1895" s="13">
        <f>SUMIFS(Movimentacoes!$G:$G,Movimentacoes!$C:$C,$A1895,Movimentacoes!$E:$E,$C1895,Movimentacoes!$B:$B,"SAIDA_USO")</f>
        <v/>
      </c>
      <c r="I1895" s="13">
        <f>SUMIFS(Movimentacoes!$G:$G,Movimentacoes!$C:$C,$A1895,Movimentacoes!$E:$E,$C1895,Movimentacoes!$B:$B,"SAIDA_DESCARTE")</f>
        <v/>
      </c>
      <c r="J1895" s="13">
        <f>G1895-H1895-I1895</f>
        <v/>
      </c>
      <c r="K1895">
        <f>IF(A1895="","",IF(J1895&lt;=IFERROR(VLOOKUP(A1895,Cadastro_Produtos!$A:$E,5,FALSE),0),"ABAIXO DO MINIMO","OK"))</f>
        <v/>
      </c>
    </row>
    <row r="1896">
      <c r="B1896">
        <f>IFERROR(VLOOKUP(A1896,Cadastro_Produtos!A:B,2,FALSE),"")</f>
        <v/>
      </c>
      <c r="D1896" s="12" t="n"/>
      <c r="E1896" s="13">
        <f>IF(D1896="","",D1896-TODAY())</f>
        <v/>
      </c>
      <c r="F1896">
        <f>IF(D1896="","",IF(E1896&lt;0,"VENCIDO",IF(E1896&lt;=30,"VENCE EM &lt;= 30 DIAS",IF(E1896&lt;=60,"ATENCAO (31-60 DIAS)","OK"))))</f>
        <v/>
      </c>
      <c r="G1896" s="13">
        <f>SUMIFS(Movimentacoes!$G:$G,Movimentacoes!$C:$C,$A1896,Movimentacoes!$E:$E,$C1896,Movimentacoes!$B:$B,"ENTRADA")</f>
        <v/>
      </c>
      <c r="H1896" s="13">
        <f>SUMIFS(Movimentacoes!$G:$G,Movimentacoes!$C:$C,$A1896,Movimentacoes!$E:$E,$C1896,Movimentacoes!$B:$B,"SAIDA_USO")</f>
        <v/>
      </c>
      <c r="I1896" s="13">
        <f>SUMIFS(Movimentacoes!$G:$G,Movimentacoes!$C:$C,$A1896,Movimentacoes!$E:$E,$C1896,Movimentacoes!$B:$B,"SAIDA_DESCARTE")</f>
        <v/>
      </c>
      <c r="J1896" s="13">
        <f>G1896-H1896-I1896</f>
        <v/>
      </c>
      <c r="K1896">
        <f>IF(A1896="","",IF(J1896&lt;=IFERROR(VLOOKUP(A1896,Cadastro_Produtos!$A:$E,5,FALSE),0),"ABAIXO DO MINIMO","OK"))</f>
        <v/>
      </c>
    </row>
    <row r="1897">
      <c r="B1897">
        <f>IFERROR(VLOOKUP(A1897,Cadastro_Produtos!A:B,2,FALSE),"")</f>
        <v/>
      </c>
      <c r="D1897" s="12" t="n"/>
      <c r="E1897" s="13">
        <f>IF(D1897="","",D1897-TODAY())</f>
        <v/>
      </c>
      <c r="F1897">
        <f>IF(D1897="","",IF(E1897&lt;0,"VENCIDO",IF(E1897&lt;=30,"VENCE EM &lt;= 30 DIAS",IF(E1897&lt;=60,"ATENCAO (31-60 DIAS)","OK"))))</f>
        <v/>
      </c>
      <c r="G1897" s="13">
        <f>SUMIFS(Movimentacoes!$G:$G,Movimentacoes!$C:$C,$A1897,Movimentacoes!$E:$E,$C1897,Movimentacoes!$B:$B,"ENTRADA")</f>
        <v/>
      </c>
      <c r="H1897" s="13">
        <f>SUMIFS(Movimentacoes!$G:$G,Movimentacoes!$C:$C,$A1897,Movimentacoes!$E:$E,$C1897,Movimentacoes!$B:$B,"SAIDA_USO")</f>
        <v/>
      </c>
      <c r="I1897" s="13">
        <f>SUMIFS(Movimentacoes!$G:$G,Movimentacoes!$C:$C,$A1897,Movimentacoes!$E:$E,$C1897,Movimentacoes!$B:$B,"SAIDA_DESCARTE")</f>
        <v/>
      </c>
      <c r="J1897" s="13">
        <f>G1897-H1897-I1897</f>
        <v/>
      </c>
      <c r="K1897">
        <f>IF(A1897="","",IF(J1897&lt;=IFERROR(VLOOKUP(A1897,Cadastro_Produtos!$A:$E,5,FALSE),0),"ABAIXO DO MINIMO","OK"))</f>
        <v/>
      </c>
    </row>
    <row r="1898">
      <c r="B1898">
        <f>IFERROR(VLOOKUP(A1898,Cadastro_Produtos!A:B,2,FALSE),"")</f>
        <v/>
      </c>
      <c r="D1898" s="12" t="n"/>
      <c r="E1898" s="13">
        <f>IF(D1898="","",D1898-TODAY())</f>
        <v/>
      </c>
      <c r="F1898">
        <f>IF(D1898="","",IF(E1898&lt;0,"VENCIDO",IF(E1898&lt;=30,"VENCE EM &lt;= 30 DIAS",IF(E1898&lt;=60,"ATENCAO (31-60 DIAS)","OK"))))</f>
        <v/>
      </c>
      <c r="G1898" s="13">
        <f>SUMIFS(Movimentacoes!$G:$G,Movimentacoes!$C:$C,$A1898,Movimentacoes!$E:$E,$C1898,Movimentacoes!$B:$B,"ENTRADA")</f>
        <v/>
      </c>
      <c r="H1898" s="13">
        <f>SUMIFS(Movimentacoes!$G:$G,Movimentacoes!$C:$C,$A1898,Movimentacoes!$E:$E,$C1898,Movimentacoes!$B:$B,"SAIDA_USO")</f>
        <v/>
      </c>
      <c r="I1898" s="13">
        <f>SUMIFS(Movimentacoes!$G:$G,Movimentacoes!$C:$C,$A1898,Movimentacoes!$E:$E,$C1898,Movimentacoes!$B:$B,"SAIDA_DESCARTE")</f>
        <v/>
      </c>
      <c r="J1898" s="13">
        <f>G1898-H1898-I1898</f>
        <v/>
      </c>
      <c r="K1898">
        <f>IF(A1898="","",IF(J1898&lt;=IFERROR(VLOOKUP(A1898,Cadastro_Produtos!$A:$E,5,FALSE),0),"ABAIXO DO MINIMO","OK"))</f>
        <v/>
      </c>
    </row>
    <row r="1899">
      <c r="B1899">
        <f>IFERROR(VLOOKUP(A1899,Cadastro_Produtos!A:B,2,FALSE),"")</f>
        <v/>
      </c>
      <c r="D1899" s="12" t="n"/>
      <c r="E1899" s="13">
        <f>IF(D1899="","",D1899-TODAY())</f>
        <v/>
      </c>
      <c r="F1899">
        <f>IF(D1899="","",IF(E1899&lt;0,"VENCIDO",IF(E1899&lt;=30,"VENCE EM &lt;= 30 DIAS",IF(E1899&lt;=60,"ATENCAO (31-60 DIAS)","OK"))))</f>
        <v/>
      </c>
      <c r="G1899" s="13">
        <f>SUMIFS(Movimentacoes!$G:$G,Movimentacoes!$C:$C,$A1899,Movimentacoes!$E:$E,$C1899,Movimentacoes!$B:$B,"ENTRADA")</f>
        <v/>
      </c>
      <c r="H1899" s="13">
        <f>SUMIFS(Movimentacoes!$G:$G,Movimentacoes!$C:$C,$A1899,Movimentacoes!$E:$E,$C1899,Movimentacoes!$B:$B,"SAIDA_USO")</f>
        <v/>
      </c>
      <c r="I1899" s="13">
        <f>SUMIFS(Movimentacoes!$G:$G,Movimentacoes!$C:$C,$A1899,Movimentacoes!$E:$E,$C1899,Movimentacoes!$B:$B,"SAIDA_DESCARTE")</f>
        <v/>
      </c>
      <c r="J1899" s="13">
        <f>G1899-H1899-I1899</f>
        <v/>
      </c>
      <c r="K1899">
        <f>IF(A1899="","",IF(J1899&lt;=IFERROR(VLOOKUP(A1899,Cadastro_Produtos!$A:$E,5,FALSE),0),"ABAIXO DO MINIMO","OK"))</f>
        <v/>
      </c>
    </row>
    <row r="1900">
      <c r="B1900">
        <f>IFERROR(VLOOKUP(A1900,Cadastro_Produtos!A:B,2,FALSE),"")</f>
        <v/>
      </c>
      <c r="D1900" s="12" t="n"/>
      <c r="E1900" s="13">
        <f>IF(D1900="","",D1900-TODAY())</f>
        <v/>
      </c>
      <c r="F1900">
        <f>IF(D1900="","",IF(E1900&lt;0,"VENCIDO",IF(E1900&lt;=30,"VENCE EM &lt;= 30 DIAS",IF(E1900&lt;=60,"ATENCAO (31-60 DIAS)","OK"))))</f>
        <v/>
      </c>
      <c r="G1900" s="13">
        <f>SUMIFS(Movimentacoes!$G:$G,Movimentacoes!$C:$C,$A1900,Movimentacoes!$E:$E,$C1900,Movimentacoes!$B:$B,"ENTRADA")</f>
        <v/>
      </c>
      <c r="H1900" s="13">
        <f>SUMIFS(Movimentacoes!$G:$G,Movimentacoes!$C:$C,$A1900,Movimentacoes!$E:$E,$C1900,Movimentacoes!$B:$B,"SAIDA_USO")</f>
        <v/>
      </c>
      <c r="I1900" s="13">
        <f>SUMIFS(Movimentacoes!$G:$G,Movimentacoes!$C:$C,$A1900,Movimentacoes!$E:$E,$C1900,Movimentacoes!$B:$B,"SAIDA_DESCARTE")</f>
        <v/>
      </c>
      <c r="J1900" s="13">
        <f>G1900-H1900-I1900</f>
        <v/>
      </c>
      <c r="K1900">
        <f>IF(A1900="","",IF(J1900&lt;=IFERROR(VLOOKUP(A1900,Cadastro_Produtos!$A:$E,5,FALSE),0),"ABAIXO DO MINIMO","OK"))</f>
        <v/>
      </c>
    </row>
    <row r="1901">
      <c r="B1901">
        <f>IFERROR(VLOOKUP(A1901,Cadastro_Produtos!A:B,2,FALSE),"")</f>
        <v/>
      </c>
      <c r="D1901" s="12" t="n"/>
      <c r="E1901" s="13">
        <f>IF(D1901="","",D1901-TODAY())</f>
        <v/>
      </c>
      <c r="F1901">
        <f>IF(D1901="","",IF(E1901&lt;0,"VENCIDO",IF(E1901&lt;=30,"VENCE EM &lt;= 30 DIAS",IF(E1901&lt;=60,"ATENCAO (31-60 DIAS)","OK"))))</f>
        <v/>
      </c>
      <c r="G1901" s="13">
        <f>SUMIFS(Movimentacoes!$G:$G,Movimentacoes!$C:$C,$A1901,Movimentacoes!$E:$E,$C1901,Movimentacoes!$B:$B,"ENTRADA")</f>
        <v/>
      </c>
      <c r="H1901" s="13">
        <f>SUMIFS(Movimentacoes!$G:$G,Movimentacoes!$C:$C,$A1901,Movimentacoes!$E:$E,$C1901,Movimentacoes!$B:$B,"SAIDA_USO")</f>
        <v/>
      </c>
      <c r="I1901" s="13">
        <f>SUMIFS(Movimentacoes!$G:$G,Movimentacoes!$C:$C,$A1901,Movimentacoes!$E:$E,$C1901,Movimentacoes!$B:$B,"SAIDA_DESCARTE")</f>
        <v/>
      </c>
      <c r="J1901" s="13">
        <f>G1901-H1901-I1901</f>
        <v/>
      </c>
      <c r="K1901">
        <f>IF(A1901="","",IF(J1901&lt;=IFERROR(VLOOKUP(A1901,Cadastro_Produtos!$A:$E,5,FALSE),0),"ABAIXO DO MINIMO","OK"))</f>
        <v/>
      </c>
    </row>
    <row r="1902">
      <c r="B1902">
        <f>IFERROR(VLOOKUP(A1902,Cadastro_Produtos!A:B,2,FALSE),"")</f>
        <v/>
      </c>
      <c r="D1902" s="12" t="n"/>
      <c r="E1902" s="13">
        <f>IF(D1902="","",D1902-TODAY())</f>
        <v/>
      </c>
      <c r="F1902">
        <f>IF(D1902="","",IF(E1902&lt;0,"VENCIDO",IF(E1902&lt;=30,"VENCE EM &lt;= 30 DIAS",IF(E1902&lt;=60,"ATENCAO (31-60 DIAS)","OK"))))</f>
        <v/>
      </c>
      <c r="G1902" s="13">
        <f>SUMIFS(Movimentacoes!$G:$G,Movimentacoes!$C:$C,$A1902,Movimentacoes!$E:$E,$C1902,Movimentacoes!$B:$B,"ENTRADA")</f>
        <v/>
      </c>
      <c r="H1902" s="13">
        <f>SUMIFS(Movimentacoes!$G:$G,Movimentacoes!$C:$C,$A1902,Movimentacoes!$E:$E,$C1902,Movimentacoes!$B:$B,"SAIDA_USO")</f>
        <v/>
      </c>
      <c r="I1902" s="13">
        <f>SUMIFS(Movimentacoes!$G:$G,Movimentacoes!$C:$C,$A1902,Movimentacoes!$E:$E,$C1902,Movimentacoes!$B:$B,"SAIDA_DESCARTE")</f>
        <v/>
      </c>
      <c r="J1902" s="13">
        <f>G1902-H1902-I1902</f>
        <v/>
      </c>
      <c r="K1902">
        <f>IF(A1902="","",IF(J1902&lt;=IFERROR(VLOOKUP(A1902,Cadastro_Produtos!$A:$E,5,FALSE),0),"ABAIXO DO MINIMO","OK"))</f>
        <v/>
      </c>
    </row>
    <row r="1903">
      <c r="B1903">
        <f>IFERROR(VLOOKUP(A1903,Cadastro_Produtos!A:B,2,FALSE),"")</f>
        <v/>
      </c>
      <c r="D1903" s="12" t="n"/>
      <c r="E1903" s="13">
        <f>IF(D1903="","",D1903-TODAY())</f>
        <v/>
      </c>
      <c r="F1903">
        <f>IF(D1903="","",IF(E1903&lt;0,"VENCIDO",IF(E1903&lt;=30,"VENCE EM &lt;= 30 DIAS",IF(E1903&lt;=60,"ATENCAO (31-60 DIAS)","OK"))))</f>
        <v/>
      </c>
      <c r="G1903" s="13">
        <f>SUMIFS(Movimentacoes!$G:$G,Movimentacoes!$C:$C,$A1903,Movimentacoes!$E:$E,$C1903,Movimentacoes!$B:$B,"ENTRADA")</f>
        <v/>
      </c>
      <c r="H1903" s="13">
        <f>SUMIFS(Movimentacoes!$G:$G,Movimentacoes!$C:$C,$A1903,Movimentacoes!$E:$E,$C1903,Movimentacoes!$B:$B,"SAIDA_USO")</f>
        <v/>
      </c>
      <c r="I1903" s="13">
        <f>SUMIFS(Movimentacoes!$G:$G,Movimentacoes!$C:$C,$A1903,Movimentacoes!$E:$E,$C1903,Movimentacoes!$B:$B,"SAIDA_DESCARTE")</f>
        <v/>
      </c>
      <c r="J1903" s="13">
        <f>G1903-H1903-I1903</f>
        <v/>
      </c>
      <c r="K1903">
        <f>IF(A1903="","",IF(J1903&lt;=IFERROR(VLOOKUP(A1903,Cadastro_Produtos!$A:$E,5,FALSE),0),"ABAIXO DO MINIMO","OK"))</f>
        <v/>
      </c>
    </row>
    <row r="1904">
      <c r="B1904">
        <f>IFERROR(VLOOKUP(A1904,Cadastro_Produtos!A:B,2,FALSE),"")</f>
        <v/>
      </c>
      <c r="D1904" s="12" t="n"/>
      <c r="E1904" s="13">
        <f>IF(D1904="","",D1904-TODAY())</f>
        <v/>
      </c>
      <c r="F1904">
        <f>IF(D1904="","",IF(E1904&lt;0,"VENCIDO",IF(E1904&lt;=30,"VENCE EM &lt;= 30 DIAS",IF(E1904&lt;=60,"ATENCAO (31-60 DIAS)","OK"))))</f>
        <v/>
      </c>
      <c r="G1904" s="13">
        <f>SUMIFS(Movimentacoes!$G:$G,Movimentacoes!$C:$C,$A1904,Movimentacoes!$E:$E,$C1904,Movimentacoes!$B:$B,"ENTRADA")</f>
        <v/>
      </c>
      <c r="H1904" s="13">
        <f>SUMIFS(Movimentacoes!$G:$G,Movimentacoes!$C:$C,$A1904,Movimentacoes!$E:$E,$C1904,Movimentacoes!$B:$B,"SAIDA_USO")</f>
        <v/>
      </c>
      <c r="I1904" s="13">
        <f>SUMIFS(Movimentacoes!$G:$G,Movimentacoes!$C:$C,$A1904,Movimentacoes!$E:$E,$C1904,Movimentacoes!$B:$B,"SAIDA_DESCARTE")</f>
        <v/>
      </c>
      <c r="J1904" s="13">
        <f>G1904-H1904-I1904</f>
        <v/>
      </c>
      <c r="K1904">
        <f>IF(A1904="","",IF(J1904&lt;=IFERROR(VLOOKUP(A1904,Cadastro_Produtos!$A:$E,5,FALSE),0),"ABAIXO DO MINIMO","OK"))</f>
        <v/>
      </c>
    </row>
    <row r="1905">
      <c r="B1905">
        <f>IFERROR(VLOOKUP(A1905,Cadastro_Produtos!A:B,2,FALSE),"")</f>
        <v/>
      </c>
      <c r="D1905" s="12" t="n"/>
      <c r="E1905" s="13">
        <f>IF(D1905="","",D1905-TODAY())</f>
        <v/>
      </c>
      <c r="F1905">
        <f>IF(D1905="","",IF(E1905&lt;0,"VENCIDO",IF(E1905&lt;=30,"VENCE EM &lt;= 30 DIAS",IF(E1905&lt;=60,"ATENCAO (31-60 DIAS)","OK"))))</f>
        <v/>
      </c>
      <c r="G1905" s="13">
        <f>SUMIFS(Movimentacoes!$G:$G,Movimentacoes!$C:$C,$A1905,Movimentacoes!$E:$E,$C1905,Movimentacoes!$B:$B,"ENTRADA")</f>
        <v/>
      </c>
      <c r="H1905" s="13">
        <f>SUMIFS(Movimentacoes!$G:$G,Movimentacoes!$C:$C,$A1905,Movimentacoes!$E:$E,$C1905,Movimentacoes!$B:$B,"SAIDA_USO")</f>
        <v/>
      </c>
      <c r="I1905" s="13">
        <f>SUMIFS(Movimentacoes!$G:$G,Movimentacoes!$C:$C,$A1905,Movimentacoes!$E:$E,$C1905,Movimentacoes!$B:$B,"SAIDA_DESCARTE")</f>
        <v/>
      </c>
      <c r="J1905" s="13">
        <f>G1905-H1905-I1905</f>
        <v/>
      </c>
      <c r="K1905">
        <f>IF(A1905="","",IF(J1905&lt;=IFERROR(VLOOKUP(A1905,Cadastro_Produtos!$A:$E,5,FALSE),0),"ABAIXO DO MINIMO","OK"))</f>
        <v/>
      </c>
    </row>
    <row r="1906">
      <c r="B1906">
        <f>IFERROR(VLOOKUP(A1906,Cadastro_Produtos!A:B,2,FALSE),"")</f>
        <v/>
      </c>
      <c r="D1906" s="12" t="n"/>
      <c r="E1906" s="13">
        <f>IF(D1906="","",D1906-TODAY())</f>
        <v/>
      </c>
      <c r="F1906">
        <f>IF(D1906="","",IF(E1906&lt;0,"VENCIDO",IF(E1906&lt;=30,"VENCE EM &lt;= 30 DIAS",IF(E1906&lt;=60,"ATENCAO (31-60 DIAS)","OK"))))</f>
        <v/>
      </c>
      <c r="G1906" s="13">
        <f>SUMIFS(Movimentacoes!$G:$G,Movimentacoes!$C:$C,$A1906,Movimentacoes!$E:$E,$C1906,Movimentacoes!$B:$B,"ENTRADA")</f>
        <v/>
      </c>
      <c r="H1906" s="13">
        <f>SUMIFS(Movimentacoes!$G:$G,Movimentacoes!$C:$C,$A1906,Movimentacoes!$E:$E,$C1906,Movimentacoes!$B:$B,"SAIDA_USO")</f>
        <v/>
      </c>
      <c r="I1906" s="13">
        <f>SUMIFS(Movimentacoes!$G:$G,Movimentacoes!$C:$C,$A1906,Movimentacoes!$E:$E,$C1906,Movimentacoes!$B:$B,"SAIDA_DESCARTE")</f>
        <v/>
      </c>
      <c r="J1906" s="13">
        <f>G1906-H1906-I1906</f>
        <v/>
      </c>
      <c r="K1906">
        <f>IF(A1906="","",IF(J1906&lt;=IFERROR(VLOOKUP(A1906,Cadastro_Produtos!$A:$E,5,FALSE),0),"ABAIXO DO MINIMO","OK"))</f>
        <v/>
      </c>
    </row>
    <row r="1907">
      <c r="B1907">
        <f>IFERROR(VLOOKUP(A1907,Cadastro_Produtos!A:B,2,FALSE),"")</f>
        <v/>
      </c>
      <c r="D1907" s="12" t="n"/>
      <c r="E1907" s="13">
        <f>IF(D1907="","",D1907-TODAY())</f>
        <v/>
      </c>
      <c r="F1907">
        <f>IF(D1907="","",IF(E1907&lt;0,"VENCIDO",IF(E1907&lt;=30,"VENCE EM &lt;= 30 DIAS",IF(E1907&lt;=60,"ATENCAO (31-60 DIAS)","OK"))))</f>
        <v/>
      </c>
      <c r="G1907" s="13">
        <f>SUMIFS(Movimentacoes!$G:$G,Movimentacoes!$C:$C,$A1907,Movimentacoes!$E:$E,$C1907,Movimentacoes!$B:$B,"ENTRADA")</f>
        <v/>
      </c>
      <c r="H1907" s="13">
        <f>SUMIFS(Movimentacoes!$G:$G,Movimentacoes!$C:$C,$A1907,Movimentacoes!$E:$E,$C1907,Movimentacoes!$B:$B,"SAIDA_USO")</f>
        <v/>
      </c>
      <c r="I1907" s="13">
        <f>SUMIFS(Movimentacoes!$G:$G,Movimentacoes!$C:$C,$A1907,Movimentacoes!$E:$E,$C1907,Movimentacoes!$B:$B,"SAIDA_DESCARTE")</f>
        <v/>
      </c>
      <c r="J1907" s="13">
        <f>G1907-H1907-I1907</f>
        <v/>
      </c>
      <c r="K1907">
        <f>IF(A1907="","",IF(J1907&lt;=IFERROR(VLOOKUP(A1907,Cadastro_Produtos!$A:$E,5,FALSE),0),"ABAIXO DO MINIMO","OK"))</f>
        <v/>
      </c>
    </row>
    <row r="1908">
      <c r="B1908">
        <f>IFERROR(VLOOKUP(A1908,Cadastro_Produtos!A:B,2,FALSE),"")</f>
        <v/>
      </c>
      <c r="D1908" s="12" t="n"/>
      <c r="E1908" s="13">
        <f>IF(D1908="","",D1908-TODAY())</f>
        <v/>
      </c>
      <c r="F1908">
        <f>IF(D1908="","",IF(E1908&lt;0,"VENCIDO",IF(E1908&lt;=30,"VENCE EM &lt;= 30 DIAS",IF(E1908&lt;=60,"ATENCAO (31-60 DIAS)","OK"))))</f>
        <v/>
      </c>
      <c r="G1908" s="13">
        <f>SUMIFS(Movimentacoes!$G:$G,Movimentacoes!$C:$C,$A1908,Movimentacoes!$E:$E,$C1908,Movimentacoes!$B:$B,"ENTRADA")</f>
        <v/>
      </c>
      <c r="H1908" s="13">
        <f>SUMIFS(Movimentacoes!$G:$G,Movimentacoes!$C:$C,$A1908,Movimentacoes!$E:$E,$C1908,Movimentacoes!$B:$B,"SAIDA_USO")</f>
        <v/>
      </c>
      <c r="I1908" s="13">
        <f>SUMIFS(Movimentacoes!$G:$G,Movimentacoes!$C:$C,$A1908,Movimentacoes!$E:$E,$C1908,Movimentacoes!$B:$B,"SAIDA_DESCARTE")</f>
        <v/>
      </c>
      <c r="J1908" s="13">
        <f>G1908-H1908-I1908</f>
        <v/>
      </c>
      <c r="K1908">
        <f>IF(A1908="","",IF(J1908&lt;=IFERROR(VLOOKUP(A1908,Cadastro_Produtos!$A:$E,5,FALSE),0),"ABAIXO DO MINIMO","OK"))</f>
        <v/>
      </c>
    </row>
    <row r="1909">
      <c r="B1909">
        <f>IFERROR(VLOOKUP(A1909,Cadastro_Produtos!A:B,2,FALSE),"")</f>
        <v/>
      </c>
      <c r="D1909" s="12" t="n"/>
      <c r="E1909" s="13">
        <f>IF(D1909="","",D1909-TODAY())</f>
        <v/>
      </c>
      <c r="F1909">
        <f>IF(D1909="","",IF(E1909&lt;0,"VENCIDO",IF(E1909&lt;=30,"VENCE EM &lt;= 30 DIAS",IF(E1909&lt;=60,"ATENCAO (31-60 DIAS)","OK"))))</f>
        <v/>
      </c>
      <c r="G1909" s="13">
        <f>SUMIFS(Movimentacoes!$G:$G,Movimentacoes!$C:$C,$A1909,Movimentacoes!$E:$E,$C1909,Movimentacoes!$B:$B,"ENTRADA")</f>
        <v/>
      </c>
      <c r="H1909" s="13">
        <f>SUMIFS(Movimentacoes!$G:$G,Movimentacoes!$C:$C,$A1909,Movimentacoes!$E:$E,$C1909,Movimentacoes!$B:$B,"SAIDA_USO")</f>
        <v/>
      </c>
      <c r="I1909" s="13">
        <f>SUMIFS(Movimentacoes!$G:$G,Movimentacoes!$C:$C,$A1909,Movimentacoes!$E:$E,$C1909,Movimentacoes!$B:$B,"SAIDA_DESCARTE")</f>
        <v/>
      </c>
      <c r="J1909" s="13">
        <f>G1909-H1909-I1909</f>
        <v/>
      </c>
      <c r="K1909">
        <f>IF(A1909="","",IF(J1909&lt;=IFERROR(VLOOKUP(A1909,Cadastro_Produtos!$A:$E,5,FALSE),0),"ABAIXO DO MINIMO","OK"))</f>
        <v/>
      </c>
    </row>
    <row r="1910">
      <c r="B1910">
        <f>IFERROR(VLOOKUP(A1910,Cadastro_Produtos!A:B,2,FALSE),"")</f>
        <v/>
      </c>
      <c r="D1910" s="12" t="n"/>
      <c r="E1910" s="13">
        <f>IF(D1910="","",D1910-TODAY())</f>
        <v/>
      </c>
      <c r="F1910">
        <f>IF(D1910="","",IF(E1910&lt;0,"VENCIDO",IF(E1910&lt;=30,"VENCE EM &lt;= 30 DIAS",IF(E1910&lt;=60,"ATENCAO (31-60 DIAS)","OK"))))</f>
        <v/>
      </c>
      <c r="G1910" s="13">
        <f>SUMIFS(Movimentacoes!$G:$G,Movimentacoes!$C:$C,$A1910,Movimentacoes!$E:$E,$C1910,Movimentacoes!$B:$B,"ENTRADA")</f>
        <v/>
      </c>
      <c r="H1910" s="13">
        <f>SUMIFS(Movimentacoes!$G:$G,Movimentacoes!$C:$C,$A1910,Movimentacoes!$E:$E,$C1910,Movimentacoes!$B:$B,"SAIDA_USO")</f>
        <v/>
      </c>
      <c r="I1910" s="13">
        <f>SUMIFS(Movimentacoes!$G:$G,Movimentacoes!$C:$C,$A1910,Movimentacoes!$E:$E,$C1910,Movimentacoes!$B:$B,"SAIDA_DESCARTE")</f>
        <v/>
      </c>
      <c r="J1910" s="13">
        <f>G1910-H1910-I1910</f>
        <v/>
      </c>
      <c r="K1910">
        <f>IF(A1910="","",IF(J1910&lt;=IFERROR(VLOOKUP(A1910,Cadastro_Produtos!$A:$E,5,FALSE),0),"ABAIXO DO MINIMO","OK"))</f>
        <v/>
      </c>
    </row>
    <row r="1911">
      <c r="B1911">
        <f>IFERROR(VLOOKUP(A1911,Cadastro_Produtos!A:B,2,FALSE),"")</f>
        <v/>
      </c>
      <c r="D1911" s="12" t="n"/>
      <c r="E1911" s="13">
        <f>IF(D1911="","",D1911-TODAY())</f>
        <v/>
      </c>
      <c r="F1911">
        <f>IF(D1911="","",IF(E1911&lt;0,"VENCIDO",IF(E1911&lt;=30,"VENCE EM &lt;= 30 DIAS",IF(E1911&lt;=60,"ATENCAO (31-60 DIAS)","OK"))))</f>
        <v/>
      </c>
      <c r="G1911" s="13">
        <f>SUMIFS(Movimentacoes!$G:$G,Movimentacoes!$C:$C,$A1911,Movimentacoes!$E:$E,$C1911,Movimentacoes!$B:$B,"ENTRADA")</f>
        <v/>
      </c>
      <c r="H1911" s="13">
        <f>SUMIFS(Movimentacoes!$G:$G,Movimentacoes!$C:$C,$A1911,Movimentacoes!$E:$E,$C1911,Movimentacoes!$B:$B,"SAIDA_USO")</f>
        <v/>
      </c>
      <c r="I1911" s="13">
        <f>SUMIFS(Movimentacoes!$G:$G,Movimentacoes!$C:$C,$A1911,Movimentacoes!$E:$E,$C1911,Movimentacoes!$B:$B,"SAIDA_DESCARTE")</f>
        <v/>
      </c>
      <c r="J1911" s="13">
        <f>G1911-H1911-I1911</f>
        <v/>
      </c>
      <c r="K1911">
        <f>IF(A1911="","",IF(J1911&lt;=IFERROR(VLOOKUP(A1911,Cadastro_Produtos!$A:$E,5,FALSE),0),"ABAIXO DO MINIMO","OK"))</f>
        <v/>
      </c>
    </row>
    <row r="1912">
      <c r="B1912">
        <f>IFERROR(VLOOKUP(A1912,Cadastro_Produtos!A:B,2,FALSE),"")</f>
        <v/>
      </c>
      <c r="D1912" s="12" t="n"/>
      <c r="E1912" s="13">
        <f>IF(D1912="","",D1912-TODAY())</f>
        <v/>
      </c>
      <c r="F1912">
        <f>IF(D1912="","",IF(E1912&lt;0,"VENCIDO",IF(E1912&lt;=30,"VENCE EM &lt;= 30 DIAS",IF(E1912&lt;=60,"ATENCAO (31-60 DIAS)","OK"))))</f>
        <v/>
      </c>
      <c r="G1912" s="13">
        <f>SUMIFS(Movimentacoes!$G:$G,Movimentacoes!$C:$C,$A1912,Movimentacoes!$E:$E,$C1912,Movimentacoes!$B:$B,"ENTRADA")</f>
        <v/>
      </c>
      <c r="H1912" s="13">
        <f>SUMIFS(Movimentacoes!$G:$G,Movimentacoes!$C:$C,$A1912,Movimentacoes!$E:$E,$C1912,Movimentacoes!$B:$B,"SAIDA_USO")</f>
        <v/>
      </c>
      <c r="I1912" s="13">
        <f>SUMIFS(Movimentacoes!$G:$G,Movimentacoes!$C:$C,$A1912,Movimentacoes!$E:$E,$C1912,Movimentacoes!$B:$B,"SAIDA_DESCARTE")</f>
        <v/>
      </c>
      <c r="J1912" s="13">
        <f>G1912-H1912-I1912</f>
        <v/>
      </c>
      <c r="K1912">
        <f>IF(A1912="","",IF(J1912&lt;=IFERROR(VLOOKUP(A1912,Cadastro_Produtos!$A:$E,5,FALSE),0),"ABAIXO DO MINIMO","OK"))</f>
        <v/>
      </c>
    </row>
    <row r="1913">
      <c r="B1913">
        <f>IFERROR(VLOOKUP(A1913,Cadastro_Produtos!A:B,2,FALSE),"")</f>
        <v/>
      </c>
      <c r="D1913" s="12" t="n"/>
      <c r="E1913" s="13">
        <f>IF(D1913="","",D1913-TODAY())</f>
        <v/>
      </c>
      <c r="F1913">
        <f>IF(D1913="","",IF(E1913&lt;0,"VENCIDO",IF(E1913&lt;=30,"VENCE EM &lt;= 30 DIAS",IF(E1913&lt;=60,"ATENCAO (31-60 DIAS)","OK"))))</f>
        <v/>
      </c>
      <c r="G1913" s="13">
        <f>SUMIFS(Movimentacoes!$G:$G,Movimentacoes!$C:$C,$A1913,Movimentacoes!$E:$E,$C1913,Movimentacoes!$B:$B,"ENTRADA")</f>
        <v/>
      </c>
      <c r="H1913" s="13">
        <f>SUMIFS(Movimentacoes!$G:$G,Movimentacoes!$C:$C,$A1913,Movimentacoes!$E:$E,$C1913,Movimentacoes!$B:$B,"SAIDA_USO")</f>
        <v/>
      </c>
      <c r="I1913" s="13">
        <f>SUMIFS(Movimentacoes!$G:$G,Movimentacoes!$C:$C,$A1913,Movimentacoes!$E:$E,$C1913,Movimentacoes!$B:$B,"SAIDA_DESCARTE")</f>
        <v/>
      </c>
      <c r="J1913" s="13">
        <f>G1913-H1913-I1913</f>
        <v/>
      </c>
      <c r="K1913">
        <f>IF(A1913="","",IF(J1913&lt;=IFERROR(VLOOKUP(A1913,Cadastro_Produtos!$A:$E,5,FALSE),0),"ABAIXO DO MINIMO","OK"))</f>
        <v/>
      </c>
    </row>
    <row r="1914">
      <c r="B1914">
        <f>IFERROR(VLOOKUP(A1914,Cadastro_Produtos!A:B,2,FALSE),"")</f>
        <v/>
      </c>
      <c r="D1914" s="12" t="n"/>
      <c r="E1914" s="13">
        <f>IF(D1914="","",D1914-TODAY())</f>
        <v/>
      </c>
      <c r="F1914">
        <f>IF(D1914="","",IF(E1914&lt;0,"VENCIDO",IF(E1914&lt;=30,"VENCE EM &lt;= 30 DIAS",IF(E1914&lt;=60,"ATENCAO (31-60 DIAS)","OK"))))</f>
        <v/>
      </c>
      <c r="G1914" s="13">
        <f>SUMIFS(Movimentacoes!$G:$G,Movimentacoes!$C:$C,$A1914,Movimentacoes!$E:$E,$C1914,Movimentacoes!$B:$B,"ENTRADA")</f>
        <v/>
      </c>
      <c r="H1914" s="13">
        <f>SUMIFS(Movimentacoes!$G:$G,Movimentacoes!$C:$C,$A1914,Movimentacoes!$E:$E,$C1914,Movimentacoes!$B:$B,"SAIDA_USO")</f>
        <v/>
      </c>
      <c r="I1914" s="13">
        <f>SUMIFS(Movimentacoes!$G:$G,Movimentacoes!$C:$C,$A1914,Movimentacoes!$E:$E,$C1914,Movimentacoes!$B:$B,"SAIDA_DESCARTE")</f>
        <v/>
      </c>
      <c r="J1914" s="13">
        <f>G1914-H1914-I1914</f>
        <v/>
      </c>
      <c r="K1914">
        <f>IF(A1914="","",IF(J1914&lt;=IFERROR(VLOOKUP(A1914,Cadastro_Produtos!$A:$E,5,FALSE),0),"ABAIXO DO MINIMO","OK"))</f>
        <v/>
      </c>
    </row>
    <row r="1915">
      <c r="B1915">
        <f>IFERROR(VLOOKUP(A1915,Cadastro_Produtos!A:B,2,FALSE),"")</f>
        <v/>
      </c>
      <c r="D1915" s="12" t="n"/>
      <c r="E1915" s="13">
        <f>IF(D1915="","",D1915-TODAY())</f>
        <v/>
      </c>
      <c r="F1915">
        <f>IF(D1915="","",IF(E1915&lt;0,"VENCIDO",IF(E1915&lt;=30,"VENCE EM &lt;= 30 DIAS",IF(E1915&lt;=60,"ATENCAO (31-60 DIAS)","OK"))))</f>
        <v/>
      </c>
      <c r="G1915" s="13">
        <f>SUMIFS(Movimentacoes!$G:$G,Movimentacoes!$C:$C,$A1915,Movimentacoes!$E:$E,$C1915,Movimentacoes!$B:$B,"ENTRADA")</f>
        <v/>
      </c>
      <c r="H1915" s="13">
        <f>SUMIFS(Movimentacoes!$G:$G,Movimentacoes!$C:$C,$A1915,Movimentacoes!$E:$E,$C1915,Movimentacoes!$B:$B,"SAIDA_USO")</f>
        <v/>
      </c>
      <c r="I1915" s="13">
        <f>SUMIFS(Movimentacoes!$G:$G,Movimentacoes!$C:$C,$A1915,Movimentacoes!$E:$E,$C1915,Movimentacoes!$B:$B,"SAIDA_DESCARTE")</f>
        <v/>
      </c>
      <c r="J1915" s="13">
        <f>G1915-H1915-I1915</f>
        <v/>
      </c>
      <c r="K1915">
        <f>IF(A1915="","",IF(J1915&lt;=IFERROR(VLOOKUP(A1915,Cadastro_Produtos!$A:$E,5,FALSE),0),"ABAIXO DO MINIMO","OK"))</f>
        <v/>
      </c>
    </row>
    <row r="1916">
      <c r="B1916">
        <f>IFERROR(VLOOKUP(A1916,Cadastro_Produtos!A:B,2,FALSE),"")</f>
        <v/>
      </c>
      <c r="D1916" s="12" t="n"/>
      <c r="E1916" s="13">
        <f>IF(D1916="","",D1916-TODAY())</f>
        <v/>
      </c>
      <c r="F1916">
        <f>IF(D1916="","",IF(E1916&lt;0,"VENCIDO",IF(E1916&lt;=30,"VENCE EM &lt;= 30 DIAS",IF(E1916&lt;=60,"ATENCAO (31-60 DIAS)","OK"))))</f>
        <v/>
      </c>
      <c r="G1916" s="13">
        <f>SUMIFS(Movimentacoes!$G:$G,Movimentacoes!$C:$C,$A1916,Movimentacoes!$E:$E,$C1916,Movimentacoes!$B:$B,"ENTRADA")</f>
        <v/>
      </c>
      <c r="H1916" s="13">
        <f>SUMIFS(Movimentacoes!$G:$G,Movimentacoes!$C:$C,$A1916,Movimentacoes!$E:$E,$C1916,Movimentacoes!$B:$B,"SAIDA_USO")</f>
        <v/>
      </c>
      <c r="I1916" s="13">
        <f>SUMIFS(Movimentacoes!$G:$G,Movimentacoes!$C:$C,$A1916,Movimentacoes!$E:$E,$C1916,Movimentacoes!$B:$B,"SAIDA_DESCARTE")</f>
        <v/>
      </c>
      <c r="J1916" s="13">
        <f>G1916-H1916-I1916</f>
        <v/>
      </c>
      <c r="K1916">
        <f>IF(A1916="","",IF(J1916&lt;=IFERROR(VLOOKUP(A1916,Cadastro_Produtos!$A:$E,5,FALSE),0),"ABAIXO DO MINIMO","OK"))</f>
        <v/>
      </c>
    </row>
    <row r="1917">
      <c r="B1917">
        <f>IFERROR(VLOOKUP(A1917,Cadastro_Produtos!A:B,2,FALSE),"")</f>
        <v/>
      </c>
      <c r="D1917" s="12" t="n"/>
      <c r="E1917" s="13">
        <f>IF(D1917="","",D1917-TODAY())</f>
        <v/>
      </c>
      <c r="F1917">
        <f>IF(D1917="","",IF(E1917&lt;0,"VENCIDO",IF(E1917&lt;=30,"VENCE EM &lt;= 30 DIAS",IF(E1917&lt;=60,"ATENCAO (31-60 DIAS)","OK"))))</f>
        <v/>
      </c>
      <c r="G1917" s="13">
        <f>SUMIFS(Movimentacoes!$G:$G,Movimentacoes!$C:$C,$A1917,Movimentacoes!$E:$E,$C1917,Movimentacoes!$B:$B,"ENTRADA")</f>
        <v/>
      </c>
      <c r="H1917" s="13">
        <f>SUMIFS(Movimentacoes!$G:$G,Movimentacoes!$C:$C,$A1917,Movimentacoes!$E:$E,$C1917,Movimentacoes!$B:$B,"SAIDA_USO")</f>
        <v/>
      </c>
      <c r="I1917" s="13">
        <f>SUMIFS(Movimentacoes!$G:$G,Movimentacoes!$C:$C,$A1917,Movimentacoes!$E:$E,$C1917,Movimentacoes!$B:$B,"SAIDA_DESCARTE")</f>
        <v/>
      </c>
      <c r="J1917" s="13">
        <f>G1917-H1917-I1917</f>
        <v/>
      </c>
      <c r="K1917">
        <f>IF(A1917="","",IF(J1917&lt;=IFERROR(VLOOKUP(A1917,Cadastro_Produtos!$A:$E,5,FALSE),0),"ABAIXO DO MINIMO","OK"))</f>
        <v/>
      </c>
    </row>
    <row r="1918">
      <c r="B1918">
        <f>IFERROR(VLOOKUP(A1918,Cadastro_Produtos!A:B,2,FALSE),"")</f>
        <v/>
      </c>
      <c r="D1918" s="12" t="n"/>
      <c r="E1918" s="13">
        <f>IF(D1918="","",D1918-TODAY())</f>
        <v/>
      </c>
      <c r="F1918">
        <f>IF(D1918="","",IF(E1918&lt;0,"VENCIDO",IF(E1918&lt;=30,"VENCE EM &lt;= 30 DIAS",IF(E1918&lt;=60,"ATENCAO (31-60 DIAS)","OK"))))</f>
        <v/>
      </c>
      <c r="G1918" s="13">
        <f>SUMIFS(Movimentacoes!$G:$G,Movimentacoes!$C:$C,$A1918,Movimentacoes!$E:$E,$C1918,Movimentacoes!$B:$B,"ENTRADA")</f>
        <v/>
      </c>
      <c r="H1918" s="13">
        <f>SUMIFS(Movimentacoes!$G:$G,Movimentacoes!$C:$C,$A1918,Movimentacoes!$E:$E,$C1918,Movimentacoes!$B:$B,"SAIDA_USO")</f>
        <v/>
      </c>
      <c r="I1918" s="13">
        <f>SUMIFS(Movimentacoes!$G:$G,Movimentacoes!$C:$C,$A1918,Movimentacoes!$E:$E,$C1918,Movimentacoes!$B:$B,"SAIDA_DESCARTE")</f>
        <v/>
      </c>
      <c r="J1918" s="13">
        <f>G1918-H1918-I1918</f>
        <v/>
      </c>
      <c r="K1918">
        <f>IF(A1918="","",IF(J1918&lt;=IFERROR(VLOOKUP(A1918,Cadastro_Produtos!$A:$E,5,FALSE),0),"ABAIXO DO MINIMO","OK"))</f>
        <v/>
      </c>
    </row>
    <row r="1919">
      <c r="B1919">
        <f>IFERROR(VLOOKUP(A1919,Cadastro_Produtos!A:B,2,FALSE),"")</f>
        <v/>
      </c>
      <c r="D1919" s="12" t="n"/>
      <c r="E1919" s="13">
        <f>IF(D1919="","",D1919-TODAY())</f>
        <v/>
      </c>
      <c r="F1919">
        <f>IF(D1919="","",IF(E1919&lt;0,"VENCIDO",IF(E1919&lt;=30,"VENCE EM &lt;= 30 DIAS",IF(E1919&lt;=60,"ATENCAO (31-60 DIAS)","OK"))))</f>
        <v/>
      </c>
      <c r="G1919" s="13">
        <f>SUMIFS(Movimentacoes!$G:$G,Movimentacoes!$C:$C,$A1919,Movimentacoes!$E:$E,$C1919,Movimentacoes!$B:$B,"ENTRADA")</f>
        <v/>
      </c>
      <c r="H1919" s="13">
        <f>SUMIFS(Movimentacoes!$G:$G,Movimentacoes!$C:$C,$A1919,Movimentacoes!$E:$E,$C1919,Movimentacoes!$B:$B,"SAIDA_USO")</f>
        <v/>
      </c>
      <c r="I1919" s="13">
        <f>SUMIFS(Movimentacoes!$G:$G,Movimentacoes!$C:$C,$A1919,Movimentacoes!$E:$E,$C1919,Movimentacoes!$B:$B,"SAIDA_DESCARTE")</f>
        <v/>
      </c>
      <c r="J1919" s="13">
        <f>G1919-H1919-I1919</f>
        <v/>
      </c>
      <c r="K1919">
        <f>IF(A1919="","",IF(J1919&lt;=IFERROR(VLOOKUP(A1919,Cadastro_Produtos!$A:$E,5,FALSE),0),"ABAIXO DO MINIMO","OK"))</f>
        <v/>
      </c>
    </row>
    <row r="1920">
      <c r="B1920">
        <f>IFERROR(VLOOKUP(A1920,Cadastro_Produtos!A:B,2,FALSE),"")</f>
        <v/>
      </c>
      <c r="D1920" s="12" t="n"/>
      <c r="E1920" s="13">
        <f>IF(D1920="","",D1920-TODAY())</f>
        <v/>
      </c>
      <c r="F1920">
        <f>IF(D1920="","",IF(E1920&lt;0,"VENCIDO",IF(E1920&lt;=30,"VENCE EM &lt;= 30 DIAS",IF(E1920&lt;=60,"ATENCAO (31-60 DIAS)","OK"))))</f>
        <v/>
      </c>
      <c r="G1920" s="13">
        <f>SUMIFS(Movimentacoes!$G:$G,Movimentacoes!$C:$C,$A1920,Movimentacoes!$E:$E,$C1920,Movimentacoes!$B:$B,"ENTRADA")</f>
        <v/>
      </c>
      <c r="H1920" s="13">
        <f>SUMIFS(Movimentacoes!$G:$G,Movimentacoes!$C:$C,$A1920,Movimentacoes!$E:$E,$C1920,Movimentacoes!$B:$B,"SAIDA_USO")</f>
        <v/>
      </c>
      <c r="I1920" s="13">
        <f>SUMIFS(Movimentacoes!$G:$G,Movimentacoes!$C:$C,$A1920,Movimentacoes!$E:$E,$C1920,Movimentacoes!$B:$B,"SAIDA_DESCARTE")</f>
        <v/>
      </c>
      <c r="J1920" s="13">
        <f>G1920-H1920-I1920</f>
        <v/>
      </c>
      <c r="K1920">
        <f>IF(A1920="","",IF(J1920&lt;=IFERROR(VLOOKUP(A1920,Cadastro_Produtos!$A:$E,5,FALSE),0),"ABAIXO DO MINIMO","OK"))</f>
        <v/>
      </c>
    </row>
    <row r="1921">
      <c r="B1921">
        <f>IFERROR(VLOOKUP(A1921,Cadastro_Produtos!A:B,2,FALSE),"")</f>
        <v/>
      </c>
      <c r="D1921" s="12" t="n"/>
      <c r="E1921" s="13">
        <f>IF(D1921="","",D1921-TODAY())</f>
        <v/>
      </c>
      <c r="F1921">
        <f>IF(D1921="","",IF(E1921&lt;0,"VENCIDO",IF(E1921&lt;=30,"VENCE EM &lt;= 30 DIAS",IF(E1921&lt;=60,"ATENCAO (31-60 DIAS)","OK"))))</f>
        <v/>
      </c>
      <c r="G1921" s="13">
        <f>SUMIFS(Movimentacoes!$G:$G,Movimentacoes!$C:$C,$A1921,Movimentacoes!$E:$E,$C1921,Movimentacoes!$B:$B,"ENTRADA")</f>
        <v/>
      </c>
      <c r="H1921" s="13">
        <f>SUMIFS(Movimentacoes!$G:$G,Movimentacoes!$C:$C,$A1921,Movimentacoes!$E:$E,$C1921,Movimentacoes!$B:$B,"SAIDA_USO")</f>
        <v/>
      </c>
      <c r="I1921" s="13">
        <f>SUMIFS(Movimentacoes!$G:$G,Movimentacoes!$C:$C,$A1921,Movimentacoes!$E:$E,$C1921,Movimentacoes!$B:$B,"SAIDA_DESCARTE")</f>
        <v/>
      </c>
      <c r="J1921" s="13">
        <f>G1921-H1921-I1921</f>
        <v/>
      </c>
      <c r="K1921">
        <f>IF(A1921="","",IF(J1921&lt;=IFERROR(VLOOKUP(A1921,Cadastro_Produtos!$A:$E,5,FALSE),0),"ABAIXO DO MINIMO","OK"))</f>
        <v/>
      </c>
    </row>
    <row r="1922">
      <c r="B1922">
        <f>IFERROR(VLOOKUP(A1922,Cadastro_Produtos!A:B,2,FALSE),"")</f>
        <v/>
      </c>
      <c r="D1922" s="12" t="n"/>
      <c r="E1922" s="13">
        <f>IF(D1922="","",D1922-TODAY())</f>
        <v/>
      </c>
      <c r="F1922">
        <f>IF(D1922="","",IF(E1922&lt;0,"VENCIDO",IF(E1922&lt;=30,"VENCE EM &lt;= 30 DIAS",IF(E1922&lt;=60,"ATENCAO (31-60 DIAS)","OK"))))</f>
        <v/>
      </c>
      <c r="G1922" s="13">
        <f>SUMIFS(Movimentacoes!$G:$G,Movimentacoes!$C:$C,$A1922,Movimentacoes!$E:$E,$C1922,Movimentacoes!$B:$B,"ENTRADA")</f>
        <v/>
      </c>
      <c r="H1922" s="13">
        <f>SUMIFS(Movimentacoes!$G:$G,Movimentacoes!$C:$C,$A1922,Movimentacoes!$E:$E,$C1922,Movimentacoes!$B:$B,"SAIDA_USO")</f>
        <v/>
      </c>
      <c r="I1922" s="13">
        <f>SUMIFS(Movimentacoes!$G:$G,Movimentacoes!$C:$C,$A1922,Movimentacoes!$E:$E,$C1922,Movimentacoes!$B:$B,"SAIDA_DESCARTE")</f>
        <v/>
      </c>
      <c r="J1922" s="13">
        <f>G1922-H1922-I1922</f>
        <v/>
      </c>
      <c r="K1922">
        <f>IF(A1922="","",IF(J1922&lt;=IFERROR(VLOOKUP(A1922,Cadastro_Produtos!$A:$E,5,FALSE),0),"ABAIXO DO MINIMO","OK"))</f>
        <v/>
      </c>
    </row>
    <row r="1923">
      <c r="B1923">
        <f>IFERROR(VLOOKUP(A1923,Cadastro_Produtos!A:B,2,FALSE),"")</f>
        <v/>
      </c>
      <c r="D1923" s="12" t="n"/>
      <c r="E1923" s="13">
        <f>IF(D1923="","",D1923-TODAY())</f>
        <v/>
      </c>
      <c r="F1923">
        <f>IF(D1923="","",IF(E1923&lt;0,"VENCIDO",IF(E1923&lt;=30,"VENCE EM &lt;= 30 DIAS",IF(E1923&lt;=60,"ATENCAO (31-60 DIAS)","OK"))))</f>
        <v/>
      </c>
      <c r="G1923" s="13">
        <f>SUMIFS(Movimentacoes!$G:$G,Movimentacoes!$C:$C,$A1923,Movimentacoes!$E:$E,$C1923,Movimentacoes!$B:$B,"ENTRADA")</f>
        <v/>
      </c>
      <c r="H1923" s="13">
        <f>SUMIFS(Movimentacoes!$G:$G,Movimentacoes!$C:$C,$A1923,Movimentacoes!$E:$E,$C1923,Movimentacoes!$B:$B,"SAIDA_USO")</f>
        <v/>
      </c>
      <c r="I1923" s="13">
        <f>SUMIFS(Movimentacoes!$G:$G,Movimentacoes!$C:$C,$A1923,Movimentacoes!$E:$E,$C1923,Movimentacoes!$B:$B,"SAIDA_DESCARTE")</f>
        <v/>
      </c>
      <c r="J1923" s="13">
        <f>G1923-H1923-I1923</f>
        <v/>
      </c>
      <c r="K1923">
        <f>IF(A1923="","",IF(J1923&lt;=IFERROR(VLOOKUP(A1923,Cadastro_Produtos!$A:$E,5,FALSE),0),"ABAIXO DO MINIMO","OK"))</f>
        <v/>
      </c>
    </row>
    <row r="1924">
      <c r="B1924">
        <f>IFERROR(VLOOKUP(A1924,Cadastro_Produtos!A:B,2,FALSE),"")</f>
        <v/>
      </c>
      <c r="D1924" s="12" t="n"/>
      <c r="E1924" s="13">
        <f>IF(D1924="","",D1924-TODAY())</f>
        <v/>
      </c>
      <c r="F1924">
        <f>IF(D1924="","",IF(E1924&lt;0,"VENCIDO",IF(E1924&lt;=30,"VENCE EM &lt;= 30 DIAS",IF(E1924&lt;=60,"ATENCAO (31-60 DIAS)","OK"))))</f>
        <v/>
      </c>
      <c r="G1924" s="13">
        <f>SUMIFS(Movimentacoes!$G:$G,Movimentacoes!$C:$C,$A1924,Movimentacoes!$E:$E,$C1924,Movimentacoes!$B:$B,"ENTRADA")</f>
        <v/>
      </c>
      <c r="H1924" s="13">
        <f>SUMIFS(Movimentacoes!$G:$G,Movimentacoes!$C:$C,$A1924,Movimentacoes!$E:$E,$C1924,Movimentacoes!$B:$B,"SAIDA_USO")</f>
        <v/>
      </c>
      <c r="I1924" s="13">
        <f>SUMIFS(Movimentacoes!$G:$G,Movimentacoes!$C:$C,$A1924,Movimentacoes!$E:$E,$C1924,Movimentacoes!$B:$B,"SAIDA_DESCARTE")</f>
        <v/>
      </c>
      <c r="J1924" s="13">
        <f>G1924-H1924-I1924</f>
        <v/>
      </c>
      <c r="K1924">
        <f>IF(A1924="","",IF(J1924&lt;=IFERROR(VLOOKUP(A1924,Cadastro_Produtos!$A:$E,5,FALSE),0),"ABAIXO DO MINIMO","OK"))</f>
        <v/>
      </c>
    </row>
    <row r="1925">
      <c r="B1925">
        <f>IFERROR(VLOOKUP(A1925,Cadastro_Produtos!A:B,2,FALSE),"")</f>
        <v/>
      </c>
      <c r="D1925" s="12" t="n"/>
      <c r="E1925" s="13">
        <f>IF(D1925="","",D1925-TODAY())</f>
        <v/>
      </c>
      <c r="F1925">
        <f>IF(D1925="","",IF(E1925&lt;0,"VENCIDO",IF(E1925&lt;=30,"VENCE EM &lt;= 30 DIAS",IF(E1925&lt;=60,"ATENCAO (31-60 DIAS)","OK"))))</f>
        <v/>
      </c>
      <c r="G1925" s="13">
        <f>SUMIFS(Movimentacoes!$G:$G,Movimentacoes!$C:$C,$A1925,Movimentacoes!$E:$E,$C1925,Movimentacoes!$B:$B,"ENTRADA")</f>
        <v/>
      </c>
      <c r="H1925" s="13">
        <f>SUMIFS(Movimentacoes!$G:$G,Movimentacoes!$C:$C,$A1925,Movimentacoes!$E:$E,$C1925,Movimentacoes!$B:$B,"SAIDA_USO")</f>
        <v/>
      </c>
      <c r="I1925" s="13">
        <f>SUMIFS(Movimentacoes!$G:$G,Movimentacoes!$C:$C,$A1925,Movimentacoes!$E:$E,$C1925,Movimentacoes!$B:$B,"SAIDA_DESCARTE")</f>
        <v/>
      </c>
      <c r="J1925" s="13">
        <f>G1925-H1925-I1925</f>
        <v/>
      </c>
      <c r="K1925">
        <f>IF(A1925="","",IF(J1925&lt;=IFERROR(VLOOKUP(A1925,Cadastro_Produtos!$A:$E,5,FALSE),0),"ABAIXO DO MINIMO","OK"))</f>
        <v/>
      </c>
    </row>
    <row r="1926">
      <c r="B1926">
        <f>IFERROR(VLOOKUP(A1926,Cadastro_Produtos!A:B,2,FALSE),"")</f>
        <v/>
      </c>
      <c r="D1926" s="12" t="n"/>
      <c r="E1926" s="13">
        <f>IF(D1926="","",D1926-TODAY())</f>
        <v/>
      </c>
      <c r="F1926">
        <f>IF(D1926="","",IF(E1926&lt;0,"VENCIDO",IF(E1926&lt;=30,"VENCE EM &lt;= 30 DIAS",IF(E1926&lt;=60,"ATENCAO (31-60 DIAS)","OK"))))</f>
        <v/>
      </c>
      <c r="G1926" s="13">
        <f>SUMIFS(Movimentacoes!$G:$G,Movimentacoes!$C:$C,$A1926,Movimentacoes!$E:$E,$C1926,Movimentacoes!$B:$B,"ENTRADA")</f>
        <v/>
      </c>
      <c r="H1926" s="13">
        <f>SUMIFS(Movimentacoes!$G:$G,Movimentacoes!$C:$C,$A1926,Movimentacoes!$E:$E,$C1926,Movimentacoes!$B:$B,"SAIDA_USO")</f>
        <v/>
      </c>
      <c r="I1926" s="13">
        <f>SUMIFS(Movimentacoes!$G:$G,Movimentacoes!$C:$C,$A1926,Movimentacoes!$E:$E,$C1926,Movimentacoes!$B:$B,"SAIDA_DESCARTE")</f>
        <v/>
      </c>
      <c r="J1926" s="13">
        <f>G1926-H1926-I1926</f>
        <v/>
      </c>
      <c r="K1926">
        <f>IF(A1926="","",IF(J1926&lt;=IFERROR(VLOOKUP(A1926,Cadastro_Produtos!$A:$E,5,FALSE),0),"ABAIXO DO MINIMO","OK"))</f>
        <v/>
      </c>
    </row>
    <row r="1927">
      <c r="B1927">
        <f>IFERROR(VLOOKUP(A1927,Cadastro_Produtos!A:B,2,FALSE),"")</f>
        <v/>
      </c>
      <c r="D1927" s="12" t="n"/>
      <c r="E1927" s="13">
        <f>IF(D1927="","",D1927-TODAY())</f>
        <v/>
      </c>
      <c r="F1927">
        <f>IF(D1927="","",IF(E1927&lt;0,"VENCIDO",IF(E1927&lt;=30,"VENCE EM &lt;= 30 DIAS",IF(E1927&lt;=60,"ATENCAO (31-60 DIAS)","OK"))))</f>
        <v/>
      </c>
      <c r="G1927" s="13">
        <f>SUMIFS(Movimentacoes!$G:$G,Movimentacoes!$C:$C,$A1927,Movimentacoes!$E:$E,$C1927,Movimentacoes!$B:$B,"ENTRADA")</f>
        <v/>
      </c>
      <c r="H1927" s="13">
        <f>SUMIFS(Movimentacoes!$G:$G,Movimentacoes!$C:$C,$A1927,Movimentacoes!$E:$E,$C1927,Movimentacoes!$B:$B,"SAIDA_USO")</f>
        <v/>
      </c>
      <c r="I1927" s="13">
        <f>SUMIFS(Movimentacoes!$G:$G,Movimentacoes!$C:$C,$A1927,Movimentacoes!$E:$E,$C1927,Movimentacoes!$B:$B,"SAIDA_DESCARTE")</f>
        <v/>
      </c>
      <c r="J1927" s="13">
        <f>G1927-H1927-I1927</f>
        <v/>
      </c>
      <c r="K1927">
        <f>IF(A1927="","",IF(J1927&lt;=IFERROR(VLOOKUP(A1927,Cadastro_Produtos!$A:$E,5,FALSE),0),"ABAIXO DO MINIMO","OK"))</f>
        <v/>
      </c>
    </row>
    <row r="1928">
      <c r="B1928">
        <f>IFERROR(VLOOKUP(A1928,Cadastro_Produtos!A:B,2,FALSE),"")</f>
        <v/>
      </c>
      <c r="D1928" s="12" t="n"/>
      <c r="E1928" s="13">
        <f>IF(D1928="","",D1928-TODAY())</f>
        <v/>
      </c>
      <c r="F1928">
        <f>IF(D1928="","",IF(E1928&lt;0,"VENCIDO",IF(E1928&lt;=30,"VENCE EM &lt;= 30 DIAS",IF(E1928&lt;=60,"ATENCAO (31-60 DIAS)","OK"))))</f>
        <v/>
      </c>
      <c r="G1928" s="13">
        <f>SUMIFS(Movimentacoes!$G:$G,Movimentacoes!$C:$C,$A1928,Movimentacoes!$E:$E,$C1928,Movimentacoes!$B:$B,"ENTRADA")</f>
        <v/>
      </c>
      <c r="H1928" s="13">
        <f>SUMIFS(Movimentacoes!$G:$G,Movimentacoes!$C:$C,$A1928,Movimentacoes!$E:$E,$C1928,Movimentacoes!$B:$B,"SAIDA_USO")</f>
        <v/>
      </c>
      <c r="I1928" s="13">
        <f>SUMIFS(Movimentacoes!$G:$G,Movimentacoes!$C:$C,$A1928,Movimentacoes!$E:$E,$C1928,Movimentacoes!$B:$B,"SAIDA_DESCARTE")</f>
        <v/>
      </c>
      <c r="J1928" s="13">
        <f>G1928-H1928-I1928</f>
        <v/>
      </c>
      <c r="K1928">
        <f>IF(A1928="","",IF(J1928&lt;=IFERROR(VLOOKUP(A1928,Cadastro_Produtos!$A:$E,5,FALSE),0),"ABAIXO DO MINIMO","OK"))</f>
        <v/>
      </c>
    </row>
    <row r="1929">
      <c r="B1929">
        <f>IFERROR(VLOOKUP(A1929,Cadastro_Produtos!A:B,2,FALSE),"")</f>
        <v/>
      </c>
      <c r="D1929" s="12" t="n"/>
      <c r="E1929" s="13">
        <f>IF(D1929="","",D1929-TODAY())</f>
        <v/>
      </c>
      <c r="F1929">
        <f>IF(D1929="","",IF(E1929&lt;0,"VENCIDO",IF(E1929&lt;=30,"VENCE EM &lt;= 30 DIAS",IF(E1929&lt;=60,"ATENCAO (31-60 DIAS)","OK"))))</f>
        <v/>
      </c>
      <c r="G1929" s="13">
        <f>SUMIFS(Movimentacoes!$G:$G,Movimentacoes!$C:$C,$A1929,Movimentacoes!$E:$E,$C1929,Movimentacoes!$B:$B,"ENTRADA")</f>
        <v/>
      </c>
      <c r="H1929" s="13">
        <f>SUMIFS(Movimentacoes!$G:$G,Movimentacoes!$C:$C,$A1929,Movimentacoes!$E:$E,$C1929,Movimentacoes!$B:$B,"SAIDA_USO")</f>
        <v/>
      </c>
      <c r="I1929" s="13">
        <f>SUMIFS(Movimentacoes!$G:$G,Movimentacoes!$C:$C,$A1929,Movimentacoes!$E:$E,$C1929,Movimentacoes!$B:$B,"SAIDA_DESCARTE")</f>
        <v/>
      </c>
      <c r="J1929" s="13">
        <f>G1929-H1929-I1929</f>
        <v/>
      </c>
      <c r="K1929">
        <f>IF(A1929="","",IF(J1929&lt;=IFERROR(VLOOKUP(A1929,Cadastro_Produtos!$A:$E,5,FALSE),0),"ABAIXO DO MINIMO","OK"))</f>
        <v/>
      </c>
    </row>
    <row r="1930">
      <c r="B1930">
        <f>IFERROR(VLOOKUP(A1930,Cadastro_Produtos!A:B,2,FALSE),"")</f>
        <v/>
      </c>
      <c r="D1930" s="12" t="n"/>
      <c r="E1930" s="13">
        <f>IF(D1930="","",D1930-TODAY())</f>
        <v/>
      </c>
      <c r="F1930">
        <f>IF(D1930="","",IF(E1930&lt;0,"VENCIDO",IF(E1930&lt;=30,"VENCE EM &lt;= 30 DIAS",IF(E1930&lt;=60,"ATENCAO (31-60 DIAS)","OK"))))</f>
        <v/>
      </c>
      <c r="G1930" s="13">
        <f>SUMIFS(Movimentacoes!$G:$G,Movimentacoes!$C:$C,$A1930,Movimentacoes!$E:$E,$C1930,Movimentacoes!$B:$B,"ENTRADA")</f>
        <v/>
      </c>
      <c r="H1930" s="13">
        <f>SUMIFS(Movimentacoes!$G:$G,Movimentacoes!$C:$C,$A1930,Movimentacoes!$E:$E,$C1930,Movimentacoes!$B:$B,"SAIDA_USO")</f>
        <v/>
      </c>
      <c r="I1930" s="13">
        <f>SUMIFS(Movimentacoes!$G:$G,Movimentacoes!$C:$C,$A1930,Movimentacoes!$E:$E,$C1930,Movimentacoes!$B:$B,"SAIDA_DESCARTE")</f>
        <v/>
      </c>
      <c r="J1930" s="13">
        <f>G1930-H1930-I1930</f>
        <v/>
      </c>
      <c r="K1930">
        <f>IF(A1930="","",IF(J1930&lt;=IFERROR(VLOOKUP(A1930,Cadastro_Produtos!$A:$E,5,FALSE),0),"ABAIXO DO MINIMO","OK"))</f>
        <v/>
      </c>
    </row>
    <row r="1931">
      <c r="B1931">
        <f>IFERROR(VLOOKUP(A1931,Cadastro_Produtos!A:B,2,FALSE),"")</f>
        <v/>
      </c>
      <c r="D1931" s="12" t="n"/>
      <c r="E1931" s="13">
        <f>IF(D1931="","",D1931-TODAY())</f>
        <v/>
      </c>
      <c r="F1931">
        <f>IF(D1931="","",IF(E1931&lt;0,"VENCIDO",IF(E1931&lt;=30,"VENCE EM &lt;= 30 DIAS",IF(E1931&lt;=60,"ATENCAO (31-60 DIAS)","OK"))))</f>
        <v/>
      </c>
      <c r="G1931" s="13">
        <f>SUMIFS(Movimentacoes!$G:$G,Movimentacoes!$C:$C,$A1931,Movimentacoes!$E:$E,$C1931,Movimentacoes!$B:$B,"ENTRADA")</f>
        <v/>
      </c>
      <c r="H1931" s="13">
        <f>SUMIFS(Movimentacoes!$G:$G,Movimentacoes!$C:$C,$A1931,Movimentacoes!$E:$E,$C1931,Movimentacoes!$B:$B,"SAIDA_USO")</f>
        <v/>
      </c>
      <c r="I1931" s="13">
        <f>SUMIFS(Movimentacoes!$G:$G,Movimentacoes!$C:$C,$A1931,Movimentacoes!$E:$E,$C1931,Movimentacoes!$B:$B,"SAIDA_DESCARTE")</f>
        <v/>
      </c>
      <c r="J1931" s="13">
        <f>G1931-H1931-I1931</f>
        <v/>
      </c>
      <c r="K1931">
        <f>IF(A1931="","",IF(J1931&lt;=IFERROR(VLOOKUP(A1931,Cadastro_Produtos!$A:$E,5,FALSE),0),"ABAIXO DO MINIMO","OK"))</f>
        <v/>
      </c>
    </row>
    <row r="1932">
      <c r="B1932">
        <f>IFERROR(VLOOKUP(A1932,Cadastro_Produtos!A:B,2,FALSE),"")</f>
        <v/>
      </c>
      <c r="D1932" s="12" t="n"/>
      <c r="E1932" s="13">
        <f>IF(D1932="","",D1932-TODAY())</f>
        <v/>
      </c>
      <c r="F1932">
        <f>IF(D1932="","",IF(E1932&lt;0,"VENCIDO",IF(E1932&lt;=30,"VENCE EM &lt;= 30 DIAS",IF(E1932&lt;=60,"ATENCAO (31-60 DIAS)","OK"))))</f>
        <v/>
      </c>
      <c r="G1932" s="13">
        <f>SUMIFS(Movimentacoes!$G:$G,Movimentacoes!$C:$C,$A1932,Movimentacoes!$E:$E,$C1932,Movimentacoes!$B:$B,"ENTRADA")</f>
        <v/>
      </c>
      <c r="H1932" s="13">
        <f>SUMIFS(Movimentacoes!$G:$G,Movimentacoes!$C:$C,$A1932,Movimentacoes!$E:$E,$C1932,Movimentacoes!$B:$B,"SAIDA_USO")</f>
        <v/>
      </c>
      <c r="I1932" s="13">
        <f>SUMIFS(Movimentacoes!$G:$G,Movimentacoes!$C:$C,$A1932,Movimentacoes!$E:$E,$C1932,Movimentacoes!$B:$B,"SAIDA_DESCARTE")</f>
        <v/>
      </c>
      <c r="J1932" s="13">
        <f>G1932-H1932-I1932</f>
        <v/>
      </c>
      <c r="K1932">
        <f>IF(A1932="","",IF(J1932&lt;=IFERROR(VLOOKUP(A1932,Cadastro_Produtos!$A:$E,5,FALSE),0),"ABAIXO DO MINIMO","OK"))</f>
        <v/>
      </c>
    </row>
    <row r="1933">
      <c r="B1933">
        <f>IFERROR(VLOOKUP(A1933,Cadastro_Produtos!A:B,2,FALSE),"")</f>
        <v/>
      </c>
      <c r="D1933" s="12" t="n"/>
      <c r="E1933" s="13">
        <f>IF(D1933="","",D1933-TODAY())</f>
        <v/>
      </c>
      <c r="F1933">
        <f>IF(D1933="","",IF(E1933&lt;0,"VENCIDO",IF(E1933&lt;=30,"VENCE EM &lt;= 30 DIAS",IF(E1933&lt;=60,"ATENCAO (31-60 DIAS)","OK"))))</f>
        <v/>
      </c>
      <c r="G1933" s="13">
        <f>SUMIFS(Movimentacoes!$G:$G,Movimentacoes!$C:$C,$A1933,Movimentacoes!$E:$E,$C1933,Movimentacoes!$B:$B,"ENTRADA")</f>
        <v/>
      </c>
      <c r="H1933" s="13">
        <f>SUMIFS(Movimentacoes!$G:$G,Movimentacoes!$C:$C,$A1933,Movimentacoes!$E:$E,$C1933,Movimentacoes!$B:$B,"SAIDA_USO")</f>
        <v/>
      </c>
      <c r="I1933" s="13">
        <f>SUMIFS(Movimentacoes!$G:$G,Movimentacoes!$C:$C,$A1933,Movimentacoes!$E:$E,$C1933,Movimentacoes!$B:$B,"SAIDA_DESCARTE")</f>
        <v/>
      </c>
      <c r="J1933" s="13">
        <f>G1933-H1933-I1933</f>
        <v/>
      </c>
      <c r="K1933">
        <f>IF(A1933="","",IF(J1933&lt;=IFERROR(VLOOKUP(A1933,Cadastro_Produtos!$A:$E,5,FALSE),0),"ABAIXO DO MINIMO","OK"))</f>
        <v/>
      </c>
    </row>
    <row r="1934">
      <c r="B1934">
        <f>IFERROR(VLOOKUP(A1934,Cadastro_Produtos!A:B,2,FALSE),"")</f>
        <v/>
      </c>
      <c r="D1934" s="12" t="n"/>
      <c r="E1934" s="13">
        <f>IF(D1934="","",D1934-TODAY())</f>
        <v/>
      </c>
      <c r="F1934">
        <f>IF(D1934="","",IF(E1934&lt;0,"VENCIDO",IF(E1934&lt;=30,"VENCE EM &lt;= 30 DIAS",IF(E1934&lt;=60,"ATENCAO (31-60 DIAS)","OK"))))</f>
        <v/>
      </c>
      <c r="G1934" s="13">
        <f>SUMIFS(Movimentacoes!$G:$G,Movimentacoes!$C:$C,$A1934,Movimentacoes!$E:$E,$C1934,Movimentacoes!$B:$B,"ENTRADA")</f>
        <v/>
      </c>
      <c r="H1934" s="13">
        <f>SUMIFS(Movimentacoes!$G:$G,Movimentacoes!$C:$C,$A1934,Movimentacoes!$E:$E,$C1934,Movimentacoes!$B:$B,"SAIDA_USO")</f>
        <v/>
      </c>
      <c r="I1934" s="13">
        <f>SUMIFS(Movimentacoes!$G:$G,Movimentacoes!$C:$C,$A1934,Movimentacoes!$E:$E,$C1934,Movimentacoes!$B:$B,"SAIDA_DESCARTE")</f>
        <v/>
      </c>
      <c r="J1934" s="13">
        <f>G1934-H1934-I1934</f>
        <v/>
      </c>
      <c r="K1934">
        <f>IF(A1934="","",IF(J1934&lt;=IFERROR(VLOOKUP(A1934,Cadastro_Produtos!$A:$E,5,FALSE),0),"ABAIXO DO MINIMO","OK"))</f>
        <v/>
      </c>
    </row>
    <row r="1935">
      <c r="B1935">
        <f>IFERROR(VLOOKUP(A1935,Cadastro_Produtos!A:B,2,FALSE),"")</f>
        <v/>
      </c>
      <c r="D1935" s="12" t="n"/>
      <c r="E1935" s="13">
        <f>IF(D1935="","",D1935-TODAY())</f>
        <v/>
      </c>
      <c r="F1935">
        <f>IF(D1935="","",IF(E1935&lt;0,"VENCIDO",IF(E1935&lt;=30,"VENCE EM &lt;= 30 DIAS",IF(E1935&lt;=60,"ATENCAO (31-60 DIAS)","OK"))))</f>
        <v/>
      </c>
      <c r="G1935" s="13">
        <f>SUMIFS(Movimentacoes!$G:$G,Movimentacoes!$C:$C,$A1935,Movimentacoes!$E:$E,$C1935,Movimentacoes!$B:$B,"ENTRADA")</f>
        <v/>
      </c>
      <c r="H1935" s="13">
        <f>SUMIFS(Movimentacoes!$G:$G,Movimentacoes!$C:$C,$A1935,Movimentacoes!$E:$E,$C1935,Movimentacoes!$B:$B,"SAIDA_USO")</f>
        <v/>
      </c>
      <c r="I1935" s="13">
        <f>SUMIFS(Movimentacoes!$G:$G,Movimentacoes!$C:$C,$A1935,Movimentacoes!$E:$E,$C1935,Movimentacoes!$B:$B,"SAIDA_DESCARTE")</f>
        <v/>
      </c>
      <c r="J1935" s="13">
        <f>G1935-H1935-I1935</f>
        <v/>
      </c>
      <c r="K1935">
        <f>IF(A1935="","",IF(J1935&lt;=IFERROR(VLOOKUP(A1935,Cadastro_Produtos!$A:$E,5,FALSE),0),"ABAIXO DO MINIMO","OK"))</f>
        <v/>
      </c>
    </row>
    <row r="1936">
      <c r="B1936">
        <f>IFERROR(VLOOKUP(A1936,Cadastro_Produtos!A:B,2,FALSE),"")</f>
        <v/>
      </c>
      <c r="D1936" s="12" t="n"/>
      <c r="E1936" s="13">
        <f>IF(D1936="","",D1936-TODAY())</f>
        <v/>
      </c>
      <c r="F1936">
        <f>IF(D1936="","",IF(E1936&lt;0,"VENCIDO",IF(E1936&lt;=30,"VENCE EM &lt;= 30 DIAS",IF(E1936&lt;=60,"ATENCAO (31-60 DIAS)","OK"))))</f>
        <v/>
      </c>
      <c r="G1936" s="13">
        <f>SUMIFS(Movimentacoes!$G:$G,Movimentacoes!$C:$C,$A1936,Movimentacoes!$E:$E,$C1936,Movimentacoes!$B:$B,"ENTRADA")</f>
        <v/>
      </c>
      <c r="H1936" s="13">
        <f>SUMIFS(Movimentacoes!$G:$G,Movimentacoes!$C:$C,$A1936,Movimentacoes!$E:$E,$C1936,Movimentacoes!$B:$B,"SAIDA_USO")</f>
        <v/>
      </c>
      <c r="I1936" s="13">
        <f>SUMIFS(Movimentacoes!$G:$G,Movimentacoes!$C:$C,$A1936,Movimentacoes!$E:$E,$C1936,Movimentacoes!$B:$B,"SAIDA_DESCARTE")</f>
        <v/>
      </c>
      <c r="J1936" s="13">
        <f>G1936-H1936-I1936</f>
        <v/>
      </c>
      <c r="K1936">
        <f>IF(A1936="","",IF(J1936&lt;=IFERROR(VLOOKUP(A1936,Cadastro_Produtos!$A:$E,5,FALSE),0),"ABAIXO DO MINIMO","OK"))</f>
        <v/>
      </c>
    </row>
    <row r="1937">
      <c r="B1937">
        <f>IFERROR(VLOOKUP(A1937,Cadastro_Produtos!A:B,2,FALSE),"")</f>
        <v/>
      </c>
      <c r="D1937" s="12" t="n"/>
      <c r="E1937" s="13">
        <f>IF(D1937="","",D1937-TODAY())</f>
        <v/>
      </c>
      <c r="F1937">
        <f>IF(D1937="","",IF(E1937&lt;0,"VENCIDO",IF(E1937&lt;=30,"VENCE EM &lt;= 30 DIAS",IF(E1937&lt;=60,"ATENCAO (31-60 DIAS)","OK"))))</f>
        <v/>
      </c>
      <c r="G1937" s="13">
        <f>SUMIFS(Movimentacoes!$G:$G,Movimentacoes!$C:$C,$A1937,Movimentacoes!$E:$E,$C1937,Movimentacoes!$B:$B,"ENTRADA")</f>
        <v/>
      </c>
      <c r="H1937" s="13">
        <f>SUMIFS(Movimentacoes!$G:$G,Movimentacoes!$C:$C,$A1937,Movimentacoes!$E:$E,$C1937,Movimentacoes!$B:$B,"SAIDA_USO")</f>
        <v/>
      </c>
      <c r="I1937" s="13">
        <f>SUMIFS(Movimentacoes!$G:$G,Movimentacoes!$C:$C,$A1937,Movimentacoes!$E:$E,$C1937,Movimentacoes!$B:$B,"SAIDA_DESCARTE")</f>
        <v/>
      </c>
      <c r="J1937" s="13">
        <f>G1937-H1937-I1937</f>
        <v/>
      </c>
      <c r="K1937">
        <f>IF(A1937="","",IF(J1937&lt;=IFERROR(VLOOKUP(A1937,Cadastro_Produtos!$A:$E,5,FALSE),0),"ABAIXO DO MINIMO","OK"))</f>
        <v/>
      </c>
    </row>
    <row r="1938">
      <c r="B1938">
        <f>IFERROR(VLOOKUP(A1938,Cadastro_Produtos!A:B,2,FALSE),"")</f>
        <v/>
      </c>
      <c r="D1938" s="12" t="n"/>
      <c r="E1938" s="13">
        <f>IF(D1938="","",D1938-TODAY())</f>
        <v/>
      </c>
      <c r="F1938">
        <f>IF(D1938="","",IF(E1938&lt;0,"VENCIDO",IF(E1938&lt;=30,"VENCE EM &lt;= 30 DIAS",IF(E1938&lt;=60,"ATENCAO (31-60 DIAS)","OK"))))</f>
        <v/>
      </c>
      <c r="G1938" s="13">
        <f>SUMIFS(Movimentacoes!$G:$G,Movimentacoes!$C:$C,$A1938,Movimentacoes!$E:$E,$C1938,Movimentacoes!$B:$B,"ENTRADA")</f>
        <v/>
      </c>
      <c r="H1938" s="13">
        <f>SUMIFS(Movimentacoes!$G:$G,Movimentacoes!$C:$C,$A1938,Movimentacoes!$E:$E,$C1938,Movimentacoes!$B:$B,"SAIDA_USO")</f>
        <v/>
      </c>
      <c r="I1938" s="13">
        <f>SUMIFS(Movimentacoes!$G:$G,Movimentacoes!$C:$C,$A1938,Movimentacoes!$E:$E,$C1938,Movimentacoes!$B:$B,"SAIDA_DESCARTE")</f>
        <v/>
      </c>
      <c r="J1938" s="13">
        <f>G1938-H1938-I1938</f>
        <v/>
      </c>
      <c r="K1938">
        <f>IF(A1938="","",IF(J1938&lt;=IFERROR(VLOOKUP(A1938,Cadastro_Produtos!$A:$E,5,FALSE),0),"ABAIXO DO MINIMO","OK"))</f>
        <v/>
      </c>
    </row>
    <row r="1939">
      <c r="B1939">
        <f>IFERROR(VLOOKUP(A1939,Cadastro_Produtos!A:B,2,FALSE),"")</f>
        <v/>
      </c>
      <c r="D1939" s="12" t="n"/>
      <c r="E1939" s="13">
        <f>IF(D1939="","",D1939-TODAY())</f>
        <v/>
      </c>
      <c r="F1939">
        <f>IF(D1939="","",IF(E1939&lt;0,"VENCIDO",IF(E1939&lt;=30,"VENCE EM &lt;= 30 DIAS",IF(E1939&lt;=60,"ATENCAO (31-60 DIAS)","OK"))))</f>
        <v/>
      </c>
      <c r="G1939" s="13">
        <f>SUMIFS(Movimentacoes!$G:$G,Movimentacoes!$C:$C,$A1939,Movimentacoes!$E:$E,$C1939,Movimentacoes!$B:$B,"ENTRADA")</f>
        <v/>
      </c>
      <c r="H1939" s="13">
        <f>SUMIFS(Movimentacoes!$G:$G,Movimentacoes!$C:$C,$A1939,Movimentacoes!$E:$E,$C1939,Movimentacoes!$B:$B,"SAIDA_USO")</f>
        <v/>
      </c>
      <c r="I1939" s="13">
        <f>SUMIFS(Movimentacoes!$G:$G,Movimentacoes!$C:$C,$A1939,Movimentacoes!$E:$E,$C1939,Movimentacoes!$B:$B,"SAIDA_DESCARTE")</f>
        <v/>
      </c>
      <c r="J1939" s="13">
        <f>G1939-H1939-I1939</f>
        <v/>
      </c>
      <c r="K1939">
        <f>IF(A1939="","",IF(J1939&lt;=IFERROR(VLOOKUP(A1939,Cadastro_Produtos!$A:$E,5,FALSE),0),"ABAIXO DO MINIMO","OK"))</f>
        <v/>
      </c>
    </row>
    <row r="1940">
      <c r="B1940">
        <f>IFERROR(VLOOKUP(A1940,Cadastro_Produtos!A:B,2,FALSE),"")</f>
        <v/>
      </c>
      <c r="D1940" s="12" t="n"/>
      <c r="E1940" s="13">
        <f>IF(D1940="","",D1940-TODAY())</f>
        <v/>
      </c>
      <c r="F1940">
        <f>IF(D1940="","",IF(E1940&lt;0,"VENCIDO",IF(E1940&lt;=30,"VENCE EM &lt;= 30 DIAS",IF(E1940&lt;=60,"ATENCAO (31-60 DIAS)","OK"))))</f>
        <v/>
      </c>
      <c r="G1940" s="13">
        <f>SUMIFS(Movimentacoes!$G:$G,Movimentacoes!$C:$C,$A1940,Movimentacoes!$E:$E,$C1940,Movimentacoes!$B:$B,"ENTRADA")</f>
        <v/>
      </c>
      <c r="H1940" s="13">
        <f>SUMIFS(Movimentacoes!$G:$G,Movimentacoes!$C:$C,$A1940,Movimentacoes!$E:$E,$C1940,Movimentacoes!$B:$B,"SAIDA_USO")</f>
        <v/>
      </c>
      <c r="I1940" s="13">
        <f>SUMIFS(Movimentacoes!$G:$G,Movimentacoes!$C:$C,$A1940,Movimentacoes!$E:$E,$C1940,Movimentacoes!$B:$B,"SAIDA_DESCARTE")</f>
        <v/>
      </c>
      <c r="J1940" s="13">
        <f>G1940-H1940-I1940</f>
        <v/>
      </c>
      <c r="K1940">
        <f>IF(A1940="","",IF(J1940&lt;=IFERROR(VLOOKUP(A1940,Cadastro_Produtos!$A:$E,5,FALSE),0),"ABAIXO DO MINIMO","OK"))</f>
        <v/>
      </c>
    </row>
    <row r="1941">
      <c r="B1941">
        <f>IFERROR(VLOOKUP(A1941,Cadastro_Produtos!A:B,2,FALSE),"")</f>
        <v/>
      </c>
      <c r="D1941" s="12" t="n"/>
      <c r="E1941" s="13">
        <f>IF(D1941="","",D1941-TODAY())</f>
        <v/>
      </c>
      <c r="F1941">
        <f>IF(D1941="","",IF(E1941&lt;0,"VENCIDO",IF(E1941&lt;=30,"VENCE EM &lt;= 30 DIAS",IF(E1941&lt;=60,"ATENCAO (31-60 DIAS)","OK"))))</f>
        <v/>
      </c>
      <c r="G1941" s="13">
        <f>SUMIFS(Movimentacoes!$G:$G,Movimentacoes!$C:$C,$A1941,Movimentacoes!$E:$E,$C1941,Movimentacoes!$B:$B,"ENTRADA")</f>
        <v/>
      </c>
      <c r="H1941" s="13">
        <f>SUMIFS(Movimentacoes!$G:$G,Movimentacoes!$C:$C,$A1941,Movimentacoes!$E:$E,$C1941,Movimentacoes!$B:$B,"SAIDA_USO")</f>
        <v/>
      </c>
      <c r="I1941" s="13">
        <f>SUMIFS(Movimentacoes!$G:$G,Movimentacoes!$C:$C,$A1941,Movimentacoes!$E:$E,$C1941,Movimentacoes!$B:$B,"SAIDA_DESCARTE")</f>
        <v/>
      </c>
      <c r="J1941" s="13">
        <f>G1941-H1941-I1941</f>
        <v/>
      </c>
      <c r="K1941">
        <f>IF(A1941="","",IF(J1941&lt;=IFERROR(VLOOKUP(A1941,Cadastro_Produtos!$A:$E,5,FALSE),0),"ABAIXO DO MINIMO","OK"))</f>
        <v/>
      </c>
    </row>
    <row r="1942">
      <c r="B1942">
        <f>IFERROR(VLOOKUP(A1942,Cadastro_Produtos!A:B,2,FALSE),"")</f>
        <v/>
      </c>
      <c r="D1942" s="12" t="n"/>
      <c r="E1942" s="13">
        <f>IF(D1942="","",D1942-TODAY())</f>
        <v/>
      </c>
      <c r="F1942">
        <f>IF(D1942="","",IF(E1942&lt;0,"VENCIDO",IF(E1942&lt;=30,"VENCE EM &lt;= 30 DIAS",IF(E1942&lt;=60,"ATENCAO (31-60 DIAS)","OK"))))</f>
        <v/>
      </c>
      <c r="G1942" s="13">
        <f>SUMIFS(Movimentacoes!$G:$G,Movimentacoes!$C:$C,$A1942,Movimentacoes!$E:$E,$C1942,Movimentacoes!$B:$B,"ENTRADA")</f>
        <v/>
      </c>
      <c r="H1942" s="13">
        <f>SUMIFS(Movimentacoes!$G:$G,Movimentacoes!$C:$C,$A1942,Movimentacoes!$E:$E,$C1942,Movimentacoes!$B:$B,"SAIDA_USO")</f>
        <v/>
      </c>
      <c r="I1942" s="13">
        <f>SUMIFS(Movimentacoes!$G:$G,Movimentacoes!$C:$C,$A1942,Movimentacoes!$E:$E,$C1942,Movimentacoes!$B:$B,"SAIDA_DESCARTE")</f>
        <v/>
      </c>
      <c r="J1942" s="13">
        <f>G1942-H1942-I1942</f>
        <v/>
      </c>
      <c r="K1942">
        <f>IF(A1942="","",IF(J1942&lt;=IFERROR(VLOOKUP(A1942,Cadastro_Produtos!$A:$E,5,FALSE),0),"ABAIXO DO MINIMO","OK"))</f>
        <v/>
      </c>
    </row>
    <row r="1943">
      <c r="B1943">
        <f>IFERROR(VLOOKUP(A1943,Cadastro_Produtos!A:B,2,FALSE),"")</f>
        <v/>
      </c>
      <c r="D1943" s="12" t="n"/>
      <c r="E1943" s="13">
        <f>IF(D1943="","",D1943-TODAY())</f>
        <v/>
      </c>
      <c r="F1943">
        <f>IF(D1943="","",IF(E1943&lt;0,"VENCIDO",IF(E1943&lt;=30,"VENCE EM &lt;= 30 DIAS",IF(E1943&lt;=60,"ATENCAO (31-60 DIAS)","OK"))))</f>
        <v/>
      </c>
      <c r="G1943" s="13">
        <f>SUMIFS(Movimentacoes!$G:$G,Movimentacoes!$C:$C,$A1943,Movimentacoes!$E:$E,$C1943,Movimentacoes!$B:$B,"ENTRADA")</f>
        <v/>
      </c>
      <c r="H1943" s="13">
        <f>SUMIFS(Movimentacoes!$G:$G,Movimentacoes!$C:$C,$A1943,Movimentacoes!$E:$E,$C1943,Movimentacoes!$B:$B,"SAIDA_USO")</f>
        <v/>
      </c>
      <c r="I1943" s="13">
        <f>SUMIFS(Movimentacoes!$G:$G,Movimentacoes!$C:$C,$A1943,Movimentacoes!$E:$E,$C1943,Movimentacoes!$B:$B,"SAIDA_DESCARTE")</f>
        <v/>
      </c>
      <c r="J1943" s="13">
        <f>G1943-H1943-I1943</f>
        <v/>
      </c>
      <c r="K1943">
        <f>IF(A1943="","",IF(J1943&lt;=IFERROR(VLOOKUP(A1943,Cadastro_Produtos!$A:$E,5,FALSE),0),"ABAIXO DO MINIMO","OK"))</f>
        <v/>
      </c>
    </row>
    <row r="1944">
      <c r="B1944">
        <f>IFERROR(VLOOKUP(A1944,Cadastro_Produtos!A:B,2,FALSE),"")</f>
        <v/>
      </c>
      <c r="D1944" s="12" t="n"/>
      <c r="E1944" s="13">
        <f>IF(D1944="","",D1944-TODAY())</f>
        <v/>
      </c>
      <c r="F1944">
        <f>IF(D1944="","",IF(E1944&lt;0,"VENCIDO",IF(E1944&lt;=30,"VENCE EM &lt;= 30 DIAS",IF(E1944&lt;=60,"ATENCAO (31-60 DIAS)","OK"))))</f>
        <v/>
      </c>
      <c r="G1944" s="13">
        <f>SUMIFS(Movimentacoes!$G:$G,Movimentacoes!$C:$C,$A1944,Movimentacoes!$E:$E,$C1944,Movimentacoes!$B:$B,"ENTRADA")</f>
        <v/>
      </c>
      <c r="H1944" s="13">
        <f>SUMIFS(Movimentacoes!$G:$G,Movimentacoes!$C:$C,$A1944,Movimentacoes!$E:$E,$C1944,Movimentacoes!$B:$B,"SAIDA_USO")</f>
        <v/>
      </c>
      <c r="I1944" s="13">
        <f>SUMIFS(Movimentacoes!$G:$G,Movimentacoes!$C:$C,$A1944,Movimentacoes!$E:$E,$C1944,Movimentacoes!$B:$B,"SAIDA_DESCARTE")</f>
        <v/>
      </c>
      <c r="J1944" s="13">
        <f>G1944-H1944-I1944</f>
        <v/>
      </c>
      <c r="K1944">
        <f>IF(A1944="","",IF(J1944&lt;=IFERROR(VLOOKUP(A1944,Cadastro_Produtos!$A:$E,5,FALSE),0),"ABAIXO DO MINIMO","OK"))</f>
        <v/>
      </c>
    </row>
    <row r="1945">
      <c r="B1945">
        <f>IFERROR(VLOOKUP(A1945,Cadastro_Produtos!A:B,2,FALSE),"")</f>
        <v/>
      </c>
      <c r="D1945" s="12" t="n"/>
      <c r="E1945" s="13">
        <f>IF(D1945="","",D1945-TODAY())</f>
        <v/>
      </c>
      <c r="F1945">
        <f>IF(D1945="","",IF(E1945&lt;0,"VENCIDO",IF(E1945&lt;=30,"VENCE EM &lt;= 30 DIAS",IF(E1945&lt;=60,"ATENCAO (31-60 DIAS)","OK"))))</f>
        <v/>
      </c>
      <c r="G1945" s="13">
        <f>SUMIFS(Movimentacoes!$G:$G,Movimentacoes!$C:$C,$A1945,Movimentacoes!$E:$E,$C1945,Movimentacoes!$B:$B,"ENTRADA")</f>
        <v/>
      </c>
      <c r="H1945" s="13">
        <f>SUMIFS(Movimentacoes!$G:$G,Movimentacoes!$C:$C,$A1945,Movimentacoes!$E:$E,$C1945,Movimentacoes!$B:$B,"SAIDA_USO")</f>
        <v/>
      </c>
      <c r="I1945" s="13">
        <f>SUMIFS(Movimentacoes!$G:$G,Movimentacoes!$C:$C,$A1945,Movimentacoes!$E:$E,$C1945,Movimentacoes!$B:$B,"SAIDA_DESCARTE")</f>
        <v/>
      </c>
      <c r="J1945" s="13">
        <f>G1945-H1945-I1945</f>
        <v/>
      </c>
      <c r="K1945">
        <f>IF(A1945="","",IF(J1945&lt;=IFERROR(VLOOKUP(A1945,Cadastro_Produtos!$A:$E,5,FALSE),0),"ABAIXO DO MINIMO","OK"))</f>
        <v/>
      </c>
    </row>
    <row r="1946">
      <c r="B1946">
        <f>IFERROR(VLOOKUP(A1946,Cadastro_Produtos!A:B,2,FALSE),"")</f>
        <v/>
      </c>
      <c r="D1946" s="12" t="n"/>
      <c r="E1946" s="13">
        <f>IF(D1946="","",D1946-TODAY())</f>
        <v/>
      </c>
      <c r="F1946">
        <f>IF(D1946="","",IF(E1946&lt;0,"VENCIDO",IF(E1946&lt;=30,"VENCE EM &lt;= 30 DIAS",IF(E1946&lt;=60,"ATENCAO (31-60 DIAS)","OK"))))</f>
        <v/>
      </c>
      <c r="G1946" s="13">
        <f>SUMIFS(Movimentacoes!$G:$G,Movimentacoes!$C:$C,$A1946,Movimentacoes!$E:$E,$C1946,Movimentacoes!$B:$B,"ENTRADA")</f>
        <v/>
      </c>
      <c r="H1946" s="13">
        <f>SUMIFS(Movimentacoes!$G:$G,Movimentacoes!$C:$C,$A1946,Movimentacoes!$E:$E,$C1946,Movimentacoes!$B:$B,"SAIDA_USO")</f>
        <v/>
      </c>
      <c r="I1946" s="13">
        <f>SUMIFS(Movimentacoes!$G:$G,Movimentacoes!$C:$C,$A1946,Movimentacoes!$E:$E,$C1946,Movimentacoes!$B:$B,"SAIDA_DESCARTE")</f>
        <v/>
      </c>
      <c r="J1946" s="13">
        <f>G1946-H1946-I1946</f>
        <v/>
      </c>
      <c r="K1946">
        <f>IF(A1946="","",IF(J1946&lt;=IFERROR(VLOOKUP(A1946,Cadastro_Produtos!$A:$E,5,FALSE),0),"ABAIXO DO MINIMO","OK"))</f>
        <v/>
      </c>
    </row>
    <row r="1947">
      <c r="B1947">
        <f>IFERROR(VLOOKUP(A1947,Cadastro_Produtos!A:B,2,FALSE),"")</f>
        <v/>
      </c>
      <c r="D1947" s="12" t="n"/>
      <c r="E1947" s="13">
        <f>IF(D1947="","",D1947-TODAY())</f>
        <v/>
      </c>
      <c r="F1947">
        <f>IF(D1947="","",IF(E1947&lt;0,"VENCIDO",IF(E1947&lt;=30,"VENCE EM &lt;= 30 DIAS",IF(E1947&lt;=60,"ATENCAO (31-60 DIAS)","OK"))))</f>
        <v/>
      </c>
      <c r="G1947" s="13">
        <f>SUMIFS(Movimentacoes!$G:$G,Movimentacoes!$C:$C,$A1947,Movimentacoes!$E:$E,$C1947,Movimentacoes!$B:$B,"ENTRADA")</f>
        <v/>
      </c>
      <c r="H1947" s="13">
        <f>SUMIFS(Movimentacoes!$G:$G,Movimentacoes!$C:$C,$A1947,Movimentacoes!$E:$E,$C1947,Movimentacoes!$B:$B,"SAIDA_USO")</f>
        <v/>
      </c>
      <c r="I1947" s="13">
        <f>SUMIFS(Movimentacoes!$G:$G,Movimentacoes!$C:$C,$A1947,Movimentacoes!$E:$E,$C1947,Movimentacoes!$B:$B,"SAIDA_DESCARTE")</f>
        <v/>
      </c>
      <c r="J1947" s="13">
        <f>G1947-H1947-I1947</f>
        <v/>
      </c>
      <c r="K1947">
        <f>IF(A1947="","",IF(J1947&lt;=IFERROR(VLOOKUP(A1947,Cadastro_Produtos!$A:$E,5,FALSE),0),"ABAIXO DO MINIMO","OK"))</f>
        <v/>
      </c>
    </row>
    <row r="1948">
      <c r="B1948">
        <f>IFERROR(VLOOKUP(A1948,Cadastro_Produtos!A:B,2,FALSE),"")</f>
        <v/>
      </c>
      <c r="D1948" s="12" t="n"/>
      <c r="E1948" s="13">
        <f>IF(D1948="","",D1948-TODAY())</f>
        <v/>
      </c>
      <c r="F1948">
        <f>IF(D1948="","",IF(E1948&lt;0,"VENCIDO",IF(E1948&lt;=30,"VENCE EM &lt;= 30 DIAS",IF(E1948&lt;=60,"ATENCAO (31-60 DIAS)","OK"))))</f>
        <v/>
      </c>
      <c r="G1948" s="13">
        <f>SUMIFS(Movimentacoes!$G:$G,Movimentacoes!$C:$C,$A1948,Movimentacoes!$E:$E,$C1948,Movimentacoes!$B:$B,"ENTRADA")</f>
        <v/>
      </c>
      <c r="H1948" s="13">
        <f>SUMIFS(Movimentacoes!$G:$G,Movimentacoes!$C:$C,$A1948,Movimentacoes!$E:$E,$C1948,Movimentacoes!$B:$B,"SAIDA_USO")</f>
        <v/>
      </c>
      <c r="I1948" s="13">
        <f>SUMIFS(Movimentacoes!$G:$G,Movimentacoes!$C:$C,$A1948,Movimentacoes!$E:$E,$C1948,Movimentacoes!$B:$B,"SAIDA_DESCARTE")</f>
        <v/>
      </c>
      <c r="J1948" s="13">
        <f>G1948-H1948-I1948</f>
        <v/>
      </c>
      <c r="K1948">
        <f>IF(A1948="","",IF(J1948&lt;=IFERROR(VLOOKUP(A1948,Cadastro_Produtos!$A:$E,5,FALSE),0),"ABAIXO DO MINIMO","OK"))</f>
        <v/>
      </c>
    </row>
    <row r="1949">
      <c r="B1949">
        <f>IFERROR(VLOOKUP(A1949,Cadastro_Produtos!A:B,2,FALSE),"")</f>
        <v/>
      </c>
      <c r="D1949" s="12" t="n"/>
      <c r="E1949" s="13">
        <f>IF(D1949="","",D1949-TODAY())</f>
        <v/>
      </c>
      <c r="F1949">
        <f>IF(D1949="","",IF(E1949&lt;0,"VENCIDO",IF(E1949&lt;=30,"VENCE EM &lt;= 30 DIAS",IF(E1949&lt;=60,"ATENCAO (31-60 DIAS)","OK"))))</f>
        <v/>
      </c>
      <c r="G1949" s="13">
        <f>SUMIFS(Movimentacoes!$G:$G,Movimentacoes!$C:$C,$A1949,Movimentacoes!$E:$E,$C1949,Movimentacoes!$B:$B,"ENTRADA")</f>
        <v/>
      </c>
      <c r="H1949" s="13">
        <f>SUMIFS(Movimentacoes!$G:$G,Movimentacoes!$C:$C,$A1949,Movimentacoes!$E:$E,$C1949,Movimentacoes!$B:$B,"SAIDA_USO")</f>
        <v/>
      </c>
      <c r="I1949" s="13">
        <f>SUMIFS(Movimentacoes!$G:$G,Movimentacoes!$C:$C,$A1949,Movimentacoes!$E:$E,$C1949,Movimentacoes!$B:$B,"SAIDA_DESCARTE")</f>
        <v/>
      </c>
      <c r="J1949" s="13">
        <f>G1949-H1949-I1949</f>
        <v/>
      </c>
      <c r="K1949">
        <f>IF(A1949="","",IF(J1949&lt;=IFERROR(VLOOKUP(A1949,Cadastro_Produtos!$A:$E,5,FALSE),0),"ABAIXO DO MINIMO","OK"))</f>
        <v/>
      </c>
    </row>
    <row r="1950">
      <c r="B1950">
        <f>IFERROR(VLOOKUP(A1950,Cadastro_Produtos!A:B,2,FALSE),"")</f>
        <v/>
      </c>
      <c r="D1950" s="12" t="n"/>
      <c r="E1950" s="13">
        <f>IF(D1950="","",D1950-TODAY())</f>
        <v/>
      </c>
      <c r="F1950">
        <f>IF(D1950="","",IF(E1950&lt;0,"VENCIDO",IF(E1950&lt;=30,"VENCE EM &lt;= 30 DIAS",IF(E1950&lt;=60,"ATENCAO (31-60 DIAS)","OK"))))</f>
        <v/>
      </c>
      <c r="G1950" s="13">
        <f>SUMIFS(Movimentacoes!$G:$G,Movimentacoes!$C:$C,$A1950,Movimentacoes!$E:$E,$C1950,Movimentacoes!$B:$B,"ENTRADA")</f>
        <v/>
      </c>
      <c r="H1950" s="13">
        <f>SUMIFS(Movimentacoes!$G:$G,Movimentacoes!$C:$C,$A1950,Movimentacoes!$E:$E,$C1950,Movimentacoes!$B:$B,"SAIDA_USO")</f>
        <v/>
      </c>
      <c r="I1950" s="13">
        <f>SUMIFS(Movimentacoes!$G:$G,Movimentacoes!$C:$C,$A1950,Movimentacoes!$E:$E,$C1950,Movimentacoes!$B:$B,"SAIDA_DESCARTE")</f>
        <v/>
      </c>
      <c r="J1950" s="13">
        <f>G1950-H1950-I1950</f>
        <v/>
      </c>
      <c r="K1950">
        <f>IF(A1950="","",IF(J1950&lt;=IFERROR(VLOOKUP(A1950,Cadastro_Produtos!$A:$E,5,FALSE),0),"ABAIXO DO MINIMO","OK"))</f>
        <v/>
      </c>
    </row>
    <row r="1951">
      <c r="B1951">
        <f>IFERROR(VLOOKUP(A1951,Cadastro_Produtos!A:B,2,FALSE),"")</f>
        <v/>
      </c>
      <c r="D1951" s="12" t="n"/>
      <c r="E1951" s="13">
        <f>IF(D1951="","",D1951-TODAY())</f>
        <v/>
      </c>
      <c r="F1951">
        <f>IF(D1951="","",IF(E1951&lt;0,"VENCIDO",IF(E1951&lt;=30,"VENCE EM &lt;= 30 DIAS",IF(E1951&lt;=60,"ATENCAO (31-60 DIAS)","OK"))))</f>
        <v/>
      </c>
      <c r="G1951" s="13">
        <f>SUMIFS(Movimentacoes!$G:$G,Movimentacoes!$C:$C,$A1951,Movimentacoes!$E:$E,$C1951,Movimentacoes!$B:$B,"ENTRADA")</f>
        <v/>
      </c>
      <c r="H1951" s="13">
        <f>SUMIFS(Movimentacoes!$G:$G,Movimentacoes!$C:$C,$A1951,Movimentacoes!$E:$E,$C1951,Movimentacoes!$B:$B,"SAIDA_USO")</f>
        <v/>
      </c>
      <c r="I1951" s="13">
        <f>SUMIFS(Movimentacoes!$G:$G,Movimentacoes!$C:$C,$A1951,Movimentacoes!$E:$E,$C1951,Movimentacoes!$B:$B,"SAIDA_DESCARTE")</f>
        <v/>
      </c>
      <c r="J1951" s="13">
        <f>G1951-H1951-I1951</f>
        <v/>
      </c>
      <c r="K1951">
        <f>IF(A1951="","",IF(J1951&lt;=IFERROR(VLOOKUP(A1951,Cadastro_Produtos!$A:$E,5,FALSE),0),"ABAIXO DO MINIMO","OK"))</f>
        <v/>
      </c>
    </row>
    <row r="1952">
      <c r="B1952">
        <f>IFERROR(VLOOKUP(A1952,Cadastro_Produtos!A:B,2,FALSE),"")</f>
        <v/>
      </c>
      <c r="D1952" s="12" t="n"/>
      <c r="E1952" s="13">
        <f>IF(D1952="","",D1952-TODAY())</f>
        <v/>
      </c>
      <c r="F1952">
        <f>IF(D1952="","",IF(E1952&lt;0,"VENCIDO",IF(E1952&lt;=30,"VENCE EM &lt;= 30 DIAS",IF(E1952&lt;=60,"ATENCAO (31-60 DIAS)","OK"))))</f>
        <v/>
      </c>
      <c r="G1952" s="13">
        <f>SUMIFS(Movimentacoes!$G:$G,Movimentacoes!$C:$C,$A1952,Movimentacoes!$E:$E,$C1952,Movimentacoes!$B:$B,"ENTRADA")</f>
        <v/>
      </c>
      <c r="H1952" s="13">
        <f>SUMIFS(Movimentacoes!$G:$G,Movimentacoes!$C:$C,$A1952,Movimentacoes!$E:$E,$C1952,Movimentacoes!$B:$B,"SAIDA_USO")</f>
        <v/>
      </c>
      <c r="I1952" s="13">
        <f>SUMIFS(Movimentacoes!$G:$G,Movimentacoes!$C:$C,$A1952,Movimentacoes!$E:$E,$C1952,Movimentacoes!$B:$B,"SAIDA_DESCARTE")</f>
        <v/>
      </c>
      <c r="J1952" s="13">
        <f>G1952-H1952-I1952</f>
        <v/>
      </c>
      <c r="K1952">
        <f>IF(A1952="","",IF(J1952&lt;=IFERROR(VLOOKUP(A1952,Cadastro_Produtos!$A:$E,5,FALSE),0),"ABAIXO DO MINIMO","OK"))</f>
        <v/>
      </c>
    </row>
    <row r="1953">
      <c r="B1953">
        <f>IFERROR(VLOOKUP(A1953,Cadastro_Produtos!A:B,2,FALSE),"")</f>
        <v/>
      </c>
      <c r="D1953" s="12" t="n"/>
      <c r="E1953" s="13">
        <f>IF(D1953="","",D1953-TODAY())</f>
        <v/>
      </c>
      <c r="F1953">
        <f>IF(D1953="","",IF(E1953&lt;0,"VENCIDO",IF(E1953&lt;=30,"VENCE EM &lt;= 30 DIAS",IF(E1953&lt;=60,"ATENCAO (31-60 DIAS)","OK"))))</f>
        <v/>
      </c>
      <c r="G1953" s="13">
        <f>SUMIFS(Movimentacoes!$G:$G,Movimentacoes!$C:$C,$A1953,Movimentacoes!$E:$E,$C1953,Movimentacoes!$B:$B,"ENTRADA")</f>
        <v/>
      </c>
      <c r="H1953" s="13">
        <f>SUMIFS(Movimentacoes!$G:$G,Movimentacoes!$C:$C,$A1953,Movimentacoes!$E:$E,$C1953,Movimentacoes!$B:$B,"SAIDA_USO")</f>
        <v/>
      </c>
      <c r="I1953" s="13">
        <f>SUMIFS(Movimentacoes!$G:$G,Movimentacoes!$C:$C,$A1953,Movimentacoes!$E:$E,$C1953,Movimentacoes!$B:$B,"SAIDA_DESCARTE")</f>
        <v/>
      </c>
      <c r="J1953" s="13">
        <f>G1953-H1953-I1953</f>
        <v/>
      </c>
      <c r="K1953">
        <f>IF(A1953="","",IF(J1953&lt;=IFERROR(VLOOKUP(A1953,Cadastro_Produtos!$A:$E,5,FALSE),0),"ABAIXO DO MINIMO","OK"))</f>
        <v/>
      </c>
    </row>
    <row r="1954">
      <c r="B1954">
        <f>IFERROR(VLOOKUP(A1954,Cadastro_Produtos!A:B,2,FALSE),"")</f>
        <v/>
      </c>
      <c r="D1954" s="12" t="n"/>
      <c r="E1954" s="13">
        <f>IF(D1954="","",D1954-TODAY())</f>
        <v/>
      </c>
      <c r="F1954">
        <f>IF(D1954="","",IF(E1954&lt;0,"VENCIDO",IF(E1954&lt;=30,"VENCE EM &lt;= 30 DIAS",IF(E1954&lt;=60,"ATENCAO (31-60 DIAS)","OK"))))</f>
        <v/>
      </c>
      <c r="G1954" s="13">
        <f>SUMIFS(Movimentacoes!$G:$G,Movimentacoes!$C:$C,$A1954,Movimentacoes!$E:$E,$C1954,Movimentacoes!$B:$B,"ENTRADA")</f>
        <v/>
      </c>
      <c r="H1954" s="13">
        <f>SUMIFS(Movimentacoes!$G:$G,Movimentacoes!$C:$C,$A1954,Movimentacoes!$E:$E,$C1954,Movimentacoes!$B:$B,"SAIDA_USO")</f>
        <v/>
      </c>
      <c r="I1954" s="13">
        <f>SUMIFS(Movimentacoes!$G:$G,Movimentacoes!$C:$C,$A1954,Movimentacoes!$E:$E,$C1954,Movimentacoes!$B:$B,"SAIDA_DESCARTE")</f>
        <v/>
      </c>
      <c r="J1954" s="13">
        <f>G1954-H1954-I1954</f>
        <v/>
      </c>
      <c r="K1954">
        <f>IF(A1954="","",IF(J1954&lt;=IFERROR(VLOOKUP(A1954,Cadastro_Produtos!$A:$E,5,FALSE),0),"ABAIXO DO MINIMO","OK"))</f>
        <v/>
      </c>
    </row>
    <row r="1955">
      <c r="B1955">
        <f>IFERROR(VLOOKUP(A1955,Cadastro_Produtos!A:B,2,FALSE),"")</f>
        <v/>
      </c>
      <c r="D1955" s="12" t="n"/>
      <c r="E1955" s="13">
        <f>IF(D1955="","",D1955-TODAY())</f>
        <v/>
      </c>
      <c r="F1955">
        <f>IF(D1955="","",IF(E1955&lt;0,"VENCIDO",IF(E1955&lt;=30,"VENCE EM &lt;= 30 DIAS",IF(E1955&lt;=60,"ATENCAO (31-60 DIAS)","OK"))))</f>
        <v/>
      </c>
      <c r="G1955" s="13">
        <f>SUMIFS(Movimentacoes!$G:$G,Movimentacoes!$C:$C,$A1955,Movimentacoes!$E:$E,$C1955,Movimentacoes!$B:$B,"ENTRADA")</f>
        <v/>
      </c>
      <c r="H1955" s="13">
        <f>SUMIFS(Movimentacoes!$G:$G,Movimentacoes!$C:$C,$A1955,Movimentacoes!$E:$E,$C1955,Movimentacoes!$B:$B,"SAIDA_USO")</f>
        <v/>
      </c>
      <c r="I1955" s="13">
        <f>SUMIFS(Movimentacoes!$G:$G,Movimentacoes!$C:$C,$A1955,Movimentacoes!$E:$E,$C1955,Movimentacoes!$B:$B,"SAIDA_DESCARTE")</f>
        <v/>
      </c>
      <c r="J1955" s="13">
        <f>G1955-H1955-I1955</f>
        <v/>
      </c>
      <c r="K1955">
        <f>IF(A1955="","",IF(J1955&lt;=IFERROR(VLOOKUP(A1955,Cadastro_Produtos!$A:$E,5,FALSE),0),"ABAIXO DO MINIMO","OK"))</f>
        <v/>
      </c>
    </row>
    <row r="1956">
      <c r="B1956">
        <f>IFERROR(VLOOKUP(A1956,Cadastro_Produtos!A:B,2,FALSE),"")</f>
        <v/>
      </c>
      <c r="D1956" s="12" t="n"/>
      <c r="E1956" s="13">
        <f>IF(D1956="","",D1956-TODAY())</f>
        <v/>
      </c>
      <c r="F1956">
        <f>IF(D1956="","",IF(E1956&lt;0,"VENCIDO",IF(E1956&lt;=30,"VENCE EM &lt;= 30 DIAS",IF(E1956&lt;=60,"ATENCAO (31-60 DIAS)","OK"))))</f>
        <v/>
      </c>
      <c r="G1956" s="13">
        <f>SUMIFS(Movimentacoes!$G:$G,Movimentacoes!$C:$C,$A1956,Movimentacoes!$E:$E,$C1956,Movimentacoes!$B:$B,"ENTRADA")</f>
        <v/>
      </c>
      <c r="H1956" s="13">
        <f>SUMIFS(Movimentacoes!$G:$G,Movimentacoes!$C:$C,$A1956,Movimentacoes!$E:$E,$C1956,Movimentacoes!$B:$B,"SAIDA_USO")</f>
        <v/>
      </c>
      <c r="I1956" s="13">
        <f>SUMIFS(Movimentacoes!$G:$G,Movimentacoes!$C:$C,$A1956,Movimentacoes!$E:$E,$C1956,Movimentacoes!$B:$B,"SAIDA_DESCARTE")</f>
        <v/>
      </c>
      <c r="J1956" s="13">
        <f>G1956-H1956-I1956</f>
        <v/>
      </c>
      <c r="K1956">
        <f>IF(A1956="","",IF(J1956&lt;=IFERROR(VLOOKUP(A1956,Cadastro_Produtos!$A:$E,5,FALSE),0),"ABAIXO DO MINIMO","OK"))</f>
        <v/>
      </c>
    </row>
    <row r="1957">
      <c r="B1957">
        <f>IFERROR(VLOOKUP(A1957,Cadastro_Produtos!A:B,2,FALSE),"")</f>
        <v/>
      </c>
      <c r="D1957" s="12" t="n"/>
      <c r="E1957" s="13">
        <f>IF(D1957="","",D1957-TODAY())</f>
        <v/>
      </c>
      <c r="F1957">
        <f>IF(D1957="","",IF(E1957&lt;0,"VENCIDO",IF(E1957&lt;=30,"VENCE EM &lt;= 30 DIAS",IF(E1957&lt;=60,"ATENCAO (31-60 DIAS)","OK"))))</f>
        <v/>
      </c>
      <c r="G1957" s="13">
        <f>SUMIFS(Movimentacoes!$G:$G,Movimentacoes!$C:$C,$A1957,Movimentacoes!$E:$E,$C1957,Movimentacoes!$B:$B,"ENTRADA")</f>
        <v/>
      </c>
      <c r="H1957" s="13">
        <f>SUMIFS(Movimentacoes!$G:$G,Movimentacoes!$C:$C,$A1957,Movimentacoes!$E:$E,$C1957,Movimentacoes!$B:$B,"SAIDA_USO")</f>
        <v/>
      </c>
      <c r="I1957" s="13">
        <f>SUMIFS(Movimentacoes!$G:$G,Movimentacoes!$C:$C,$A1957,Movimentacoes!$E:$E,$C1957,Movimentacoes!$B:$B,"SAIDA_DESCARTE")</f>
        <v/>
      </c>
      <c r="J1957" s="13">
        <f>G1957-H1957-I1957</f>
        <v/>
      </c>
      <c r="K1957">
        <f>IF(A1957="","",IF(J1957&lt;=IFERROR(VLOOKUP(A1957,Cadastro_Produtos!$A:$E,5,FALSE),0),"ABAIXO DO MINIMO","OK"))</f>
        <v/>
      </c>
    </row>
    <row r="1958">
      <c r="B1958">
        <f>IFERROR(VLOOKUP(A1958,Cadastro_Produtos!A:B,2,FALSE),"")</f>
        <v/>
      </c>
      <c r="D1958" s="12" t="n"/>
      <c r="E1958" s="13">
        <f>IF(D1958="","",D1958-TODAY())</f>
        <v/>
      </c>
      <c r="F1958">
        <f>IF(D1958="","",IF(E1958&lt;0,"VENCIDO",IF(E1958&lt;=30,"VENCE EM &lt;= 30 DIAS",IF(E1958&lt;=60,"ATENCAO (31-60 DIAS)","OK"))))</f>
        <v/>
      </c>
      <c r="G1958" s="13">
        <f>SUMIFS(Movimentacoes!$G:$G,Movimentacoes!$C:$C,$A1958,Movimentacoes!$E:$E,$C1958,Movimentacoes!$B:$B,"ENTRADA")</f>
        <v/>
      </c>
      <c r="H1958" s="13">
        <f>SUMIFS(Movimentacoes!$G:$G,Movimentacoes!$C:$C,$A1958,Movimentacoes!$E:$E,$C1958,Movimentacoes!$B:$B,"SAIDA_USO")</f>
        <v/>
      </c>
      <c r="I1958" s="13">
        <f>SUMIFS(Movimentacoes!$G:$G,Movimentacoes!$C:$C,$A1958,Movimentacoes!$E:$E,$C1958,Movimentacoes!$B:$B,"SAIDA_DESCARTE")</f>
        <v/>
      </c>
      <c r="J1958" s="13">
        <f>G1958-H1958-I1958</f>
        <v/>
      </c>
      <c r="K1958">
        <f>IF(A1958="","",IF(J1958&lt;=IFERROR(VLOOKUP(A1958,Cadastro_Produtos!$A:$E,5,FALSE),0),"ABAIXO DO MINIMO","OK"))</f>
        <v/>
      </c>
    </row>
    <row r="1959">
      <c r="B1959">
        <f>IFERROR(VLOOKUP(A1959,Cadastro_Produtos!A:B,2,FALSE),"")</f>
        <v/>
      </c>
      <c r="D1959" s="12" t="n"/>
      <c r="E1959" s="13">
        <f>IF(D1959="","",D1959-TODAY())</f>
        <v/>
      </c>
      <c r="F1959">
        <f>IF(D1959="","",IF(E1959&lt;0,"VENCIDO",IF(E1959&lt;=30,"VENCE EM &lt;= 30 DIAS",IF(E1959&lt;=60,"ATENCAO (31-60 DIAS)","OK"))))</f>
        <v/>
      </c>
      <c r="G1959" s="13">
        <f>SUMIFS(Movimentacoes!$G:$G,Movimentacoes!$C:$C,$A1959,Movimentacoes!$E:$E,$C1959,Movimentacoes!$B:$B,"ENTRADA")</f>
        <v/>
      </c>
      <c r="H1959" s="13">
        <f>SUMIFS(Movimentacoes!$G:$G,Movimentacoes!$C:$C,$A1959,Movimentacoes!$E:$E,$C1959,Movimentacoes!$B:$B,"SAIDA_USO")</f>
        <v/>
      </c>
      <c r="I1959" s="13">
        <f>SUMIFS(Movimentacoes!$G:$G,Movimentacoes!$C:$C,$A1959,Movimentacoes!$E:$E,$C1959,Movimentacoes!$B:$B,"SAIDA_DESCARTE")</f>
        <v/>
      </c>
      <c r="J1959" s="13">
        <f>G1959-H1959-I1959</f>
        <v/>
      </c>
      <c r="K1959">
        <f>IF(A1959="","",IF(J1959&lt;=IFERROR(VLOOKUP(A1959,Cadastro_Produtos!$A:$E,5,FALSE),0),"ABAIXO DO MINIMO","OK"))</f>
        <v/>
      </c>
    </row>
    <row r="1960">
      <c r="B1960">
        <f>IFERROR(VLOOKUP(A1960,Cadastro_Produtos!A:B,2,FALSE),"")</f>
        <v/>
      </c>
      <c r="D1960" s="12" t="n"/>
      <c r="E1960" s="13">
        <f>IF(D1960="","",D1960-TODAY())</f>
        <v/>
      </c>
      <c r="F1960">
        <f>IF(D1960="","",IF(E1960&lt;0,"VENCIDO",IF(E1960&lt;=30,"VENCE EM &lt;= 30 DIAS",IF(E1960&lt;=60,"ATENCAO (31-60 DIAS)","OK"))))</f>
        <v/>
      </c>
      <c r="G1960" s="13">
        <f>SUMIFS(Movimentacoes!$G:$G,Movimentacoes!$C:$C,$A1960,Movimentacoes!$E:$E,$C1960,Movimentacoes!$B:$B,"ENTRADA")</f>
        <v/>
      </c>
      <c r="H1960" s="13">
        <f>SUMIFS(Movimentacoes!$G:$G,Movimentacoes!$C:$C,$A1960,Movimentacoes!$E:$E,$C1960,Movimentacoes!$B:$B,"SAIDA_USO")</f>
        <v/>
      </c>
      <c r="I1960" s="13">
        <f>SUMIFS(Movimentacoes!$G:$G,Movimentacoes!$C:$C,$A1960,Movimentacoes!$E:$E,$C1960,Movimentacoes!$B:$B,"SAIDA_DESCARTE")</f>
        <v/>
      </c>
      <c r="J1960" s="13">
        <f>G1960-H1960-I1960</f>
        <v/>
      </c>
      <c r="K1960">
        <f>IF(A1960="","",IF(J1960&lt;=IFERROR(VLOOKUP(A1960,Cadastro_Produtos!$A:$E,5,FALSE),0),"ABAIXO DO MINIMO","OK"))</f>
        <v/>
      </c>
    </row>
    <row r="1961">
      <c r="B1961">
        <f>IFERROR(VLOOKUP(A1961,Cadastro_Produtos!A:B,2,FALSE),"")</f>
        <v/>
      </c>
      <c r="D1961" s="12" t="n"/>
      <c r="E1961" s="13">
        <f>IF(D1961="","",D1961-TODAY())</f>
        <v/>
      </c>
      <c r="F1961">
        <f>IF(D1961="","",IF(E1961&lt;0,"VENCIDO",IF(E1961&lt;=30,"VENCE EM &lt;= 30 DIAS",IF(E1961&lt;=60,"ATENCAO (31-60 DIAS)","OK"))))</f>
        <v/>
      </c>
      <c r="G1961" s="13">
        <f>SUMIFS(Movimentacoes!$G:$G,Movimentacoes!$C:$C,$A1961,Movimentacoes!$E:$E,$C1961,Movimentacoes!$B:$B,"ENTRADA")</f>
        <v/>
      </c>
      <c r="H1961" s="13">
        <f>SUMIFS(Movimentacoes!$G:$G,Movimentacoes!$C:$C,$A1961,Movimentacoes!$E:$E,$C1961,Movimentacoes!$B:$B,"SAIDA_USO")</f>
        <v/>
      </c>
      <c r="I1961" s="13">
        <f>SUMIFS(Movimentacoes!$G:$G,Movimentacoes!$C:$C,$A1961,Movimentacoes!$E:$E,$C1961,Movimentacoes!$B:$B,"SAIDA_DESCARTE")</f>
        <v/>
      </c>
      <c r="J1961" s="13">
        <f>G1961-H1961-I1961</f>
        <v/>
      </c>
      <c r="K1961">
        <f>IF(A1961="","",IF(J1961&lt;=IFERROR(VLOOKUP(A1961,Cadastro_Produtos!$A:$E,5,FALSE),0),"ABAIXO DO MINIMO","OK"))</f>
        <v/>
      </c>
    </row>
    <row r="1962">
      <c r="B1962">
        <f>IFERROR(VLOOKUP(A1962,Cadastro_Produtos!A:B,2,FALSE),"")</f>
        <v/>
      </c>
      <c r="D1962" s="12" t="n"/>
      <c r="E1962" s="13">
        <f>IF(D1962="","",D1962-TODAY())</f>
        <v/>
      </c>
      <c r="F1962">
        <f>IF(D1962="","",IF(E1962&lt;0,"VENCIDO",IF(E1962&lt;=30,"VENCE EM &lt;= 30 DIAS",IF(E1962&lt;=60,"ATENCAO (31-60 DIAS)","OK"))))</f>
        <v/>
      </c>
      <c r="G1962" s="13">
        <f>SUMIFS(Movimentacoes!$G:$G,Movimentacoes!$C:$C,$A1962,Movimentacoes!$E:$E,$C1962,Movimentacoes!$B:$B,"ENTRADA")</f>
        <v/>
      </c>
      <c r="H1962" s="13">
        <f>SUMIFS(Movimentacoes!$G:$G,Movimentacoes!$C:$C,$A1962,Movimentacoes!$E:$E,$C1962,Movimentacoes!$B:$B,"SAIDA_USO")</f>
        <v/>
      </c>
      <c r="I1962" s="13">
        <f>SUMIFS(Movimentacoes!$G:$G,Movimentacoes!$C:$C,$A1962,Movimentacoes!$E:$E,$C1962,Movimentacoes!$B:$B,"SAIDA_DESCARTE")</f>
        <v/>
      </c>
      <c r="J1962" s="13">
        <f>G1962-H1962-I1962</f>
        <v/>
      </c>
      <c r="K1962">
        <f>IF(A1962="","",IF(J1962&lt;=IFERROR(VLOOKUP(A1962,Cadastro_Produtos!$A:$E,5,FALSE),0),"ABAIXO DO MINIMO","OK"))</f>
        <v/>
      </c>
    </row>
    <row r="1963">
      <c r="B1963">
        <f>IFERROR(VLOOKUP(A1963,Cadastro_Produtos!A:B,2,FALSE),"")</f>
        <v/>
      </c>
      <c r="D1963" s="12" t="n"/>
      <c r="E1963" s="13">
        <f>IF(D1963="","",D1963-TODAY())</f>
        <v/>
      </c>
      <c r="F1963">
        <f>IF(D1963="","",IF(E1963&lt;0,"VENCIDO",IF(E1963&lt;=30,"VENCE EM &lt;= 30 DIAS",IF(E1963&lt;=60,"ATENCAO (31-60 DIAS)","OK"))))</f>
        <v/>
      </c>
      <c r="G1963" s="13">
        <f>SUMIFS(Movimentacoes!$G:$G,Movimentacoes!$C:$C,$A1963,Movimentacoes!$E:$E,$C1963,Movimentacoes!$B:$B,"ENTRADA")</f>
        <v/>
      </c>
      <c r="H1963" s="13">
        <f>SUMIFS(Movimentacoes!$G:$G,Movimentacoes!$C:$C,$A1963,Movimentacoes!$E:$E,$C1963,Movimentacoes!$B:$B,"SAIDA_USO")</f>
        <v/>
      </c>
      <c r="I1963" s="13">
        <f>SUMIFS(Movimentacoes!$G:$G,Movimentacoes!$C:$C,$A1963,Movimentacoes!$E:$E,$C1963,Movimentacoes!$B:$B,"SAIDA_DESCARTE")</f>
        <v/>
      </c>
      <c r="J1963" s="13">
        <f>G1963-H1963-I1963</f>
        <v/>
      </c>
      <c r="K1963">
        <f>IF(A1963="","",IF(J1963&lt;=IFERROR(VLOOKUP(A1963,Cadastro_Produtos!$A:$E,5,FALSE),0),"ABAIXO DO MINIMO","OK"))</f>
        <v/>
      </c>
    </row>
    <row r="1964">
      <c r="B1964">
        <f>IFERROR(VLOOKUP(A1964,Cadastro_Produtos!A:B,2,FALSE),"")</f>
        <v/>
      </c>
      <c r="D1964" s="12" t="n"/>
      <c r="E1964" s="13">
        <f>IF(D1964="","",D1964-TODAY())</f>
        <v/>
      </c>
      <c r="F1964">
        <f>IF(D1964="","",IF(E1964&lt;0,"VENCIDO",IF(E1964&lt;=30,"VENCE EM &lt;= 30 DIAS",IF(E1964&lt;=60,"ATENCAO (31-60 DIAS)","OK"))))</f>
        <v/>
      </c>
      <c r="G1964" s="13">
        <f>SUMIFS(Movimentacoes!$G:$G,Movimentacoes!$C:$C,$A1964,Movimentacoes!$E:$E,$C1964,Movimentacoes!$B:$B,"ENTRADA")</f>
        <v/>
      </c>
      <c r="H1964" s="13">
        <f>SUMIFS(Movimentacoes!$G:$G,Movimentacoes!$C:$C,$A1964,Movimentacoes!$E:$E,$C1964,Movimentacoes!$B:$B,"SAIDA_USO")</f>
        <v/>
      </c>
      <c r="I1964" s="13">
        <f>SUMIFS(Movimentacoes!$G:$G,Movimentacoes!$C:$C,$A1964,Movimentacoes!$E:$E,$C1964,Movimentacoes!$B:$B,"SAIDA_DESCARTE")</f>
        <v/>
      </c>
      <c r="J1964" s="13">
        <f>G1964-H1964-I1964</f>
        <v/>
      </c>
      <c r="K1964">
        <f>IF(A1964="","",IF(J1964&lt;=IFERROR(VLOOKUP(A1964,Cadastro_Produtos!$A:$E,5,FALSE),0),"ABAIXO DO MINIMO","OK"))</f>
        <v/>
      </c>
    </row>
    <row r="1965">
      <c r="B1965">
        <f>IFERROR(VLOOKUP(A1965,Cadastro_Produtos!A:B,2,FALSE),"")</f>
        <v/>
      </c>
      <c r="D1965" s="12" t="n"/>
      <c r="E1965" s="13">
        <f>IF(D1965="","",D1965-TODAY())</f>
        <v/>
      </c>
      <c r="F1965">
        <f>IF(D1965="","",IF(E1965&lt;0,"VENCIDO",IF(E1965&lt;=30,"VENCE EM &lt;= 30 DIAS",IF(E1965&lt;=60,"ATENCAO (31-60 DIAS)","OK"))))</f>
        <v/>
      </c>
      <c r="G1965" s="13">
        <f>SUMIFS(Movimentacoes!$G:$G,Movimentacoes!$C:$C,$A1965,Movimentacoes!$E:$E,$C1965,Movimentacoes!$B:$B,"ENTRADA")</f>
        <v/>
      </c>
      <c r="H1965" s="13">
        <f>SUMIFS(Movimentacoes!$G:$G,Movimentacoes!$C:$C,$A1965,Movimentacoes!$E:$E,$C1965,Movimentacoes!$B:$B,"SAIDA_USO")</f>
        <v/>
      </c>
      <c r="I1965" s="13">
        <f>SUMIFS(Movimentacoes!$G:$G,Movimentacoes!$C:$C,$A1965,Movimentacoes!$E:$E,$C1965,Movimentacoes!$B:$B,"SAIDA_DESCARTE")</f>
        <v/>
      </c>
      <c r="J1965" s="13">
        <f>G1965-H1965-I1965</f>
        <v/>
      </c>
      <c r="K1965">
        <f>IF(A1965="","",IF(J1965&lt;=IFERROR(VLOOKUP(A1965,Cadastro_Produtos!$A:$E,5,FALSE),0),"ABAIXO DO MINIMO","OK"))</f>
        <v/>
      </c>
    </row>
    <row r="1966">
      <c r="B1966">
        <f>IFERROR(VLOOKUP(A1966,Cadastro_Produtos!A:B,2,FALSE),"")</f>
        <v/>
      </c>
      <c r="D1966" s="12" t="n"/>
      <c r="E1966" s="13">
        <f>IF(D1966="","",D1966-TODAY())</f>
        <v/>
      </c>
      <c r="F1966">
        <f>IF(D1966="","",IF(E1966&lt;0,"VENCIDO",IF(E1966&lt;=30,"VENCE EM &lt;= 30 DIAS",IF(E1966&lt;=60,"ATENCAO (31-60 DIAS)","OK"))))</f>
        <v/>
      </c>
      <c r="G1966" s="13">
        <f>SUMIFS(Movimentacoes!$G:$G,Movimentacoes!$C:$C,$A1966,Movimentacoes!$E:$E,$C1966,Movimentacoes!$B:$B,"ENTRADA")</f>
        <v/>
      </c>
      <c r="H1966" s="13">
        <f>SUMIFS(Movimentacoes!$G:$G,Movimentacoes!$C:$C,$A1966,Movimentacoes!$E:$E,$C1966,Movimentacoes!$B:$B,"SAIDA_USO")</f>
        <v/>
      </c>
      <c r="I1966" s="13">
        <f>SUMIFS(Movimentacoes!$G:$G,Movimentacoes!$C:$C,$A1966,Movimentacoes!$E:$E,$C1966,Movimentacoes!$B:$B,"SAIDA_DESCARTE")</f>
        <v/>
      </c>
      <c r="J1966" s="13">
        <f>G1966-H1966-I1966</f>
        <v/>
      </c>
      <c r="K1966">
        <f>IF(A1966="","",IF(J1966&lt;=IFERROR(VLOOKUP(A1966,Cadastro_Produtos!$A:$E,5,FALSE),0),"ABAIXO DO MINIMO","OK"))</f>
        <v/>
      </c>
    </row>
    <row r="1967">
      <c r="B1967">
        <f>IFERROR(VLOOKUP(A1967,Cadastro_Produtos!A:B,2,FALSE),"")</f>
        <v/>
      </c>
      <c r="D1967" s="12" t="n"/>
      <c r="E1967" s="13">
        <f>IF(D1967="","",D1967-TODAY())</f>
        <v/>
      </c>
      <c r="F1967">
        <f>IF(D1967="","",IF(E1967&lt;0,"VENCIDO",IF(E1967&lt;=30,"VENCE EM &lt;= 30 DIAS",IF(E1967&lt;=60,"ATENCAO (31-60 DIAS)","OK"))))</f>
        <v/>
      </c>
      <c r="G1967" s="13">
        <f>SUMIFS(Movimentacoes!$G:$G,Movimentacoes!$C:$C,$A1967,Movimentacoes!$E:$E,$C1967,Movimentacoes!$B:$B,"ENTRADA")</f>
        <v/>
      </c>
      <c r="H1967" s="13">
        <f>SUMIFS(Movimentacoes!$G:$G,Movimentacoes!$C:$C,$A1967,Movimentacoes!$E:$E,$C1967,Movimentacoes!$B:$B,"SAIDA_USO")</f>
        <v/>
      </c>
      <c r="I1967" s="13">
        <f>SUMIFS(Movimentacoes!$G:$G,Movimentacoes!$C:$C,$A1967,Movimentacoes!$E:$E,$C1967,Movimentacoes!$B:$B,"SAIDA_DESCARTE")</f>
        <v/>
      </c>
      <c r="J1967" s="13">
        <f>G1967-H1967-I1967</f>
        <v/>
      </c>
      <c r="K1967">
        <f>IF(A1967="","",IF(J1967&lt;=IFERROR(VLOOKUP(A1967,Cadastro_Produtos!$A:$E,5,FALSE),0),"ABAIXO DO MINIMO","OK"))</f>
        <v/>
      </c>
    </row>
    <row r="1968">
      <c r="B1968">
        <f>IFERROR(VLOOKUP(A1968,Cadastro_Produtos!A:B,2,FALSE),"")</f>
        <v/>
      </c>
      <c r="D1968" s="12" t="n"/>
      <c r="E1968" s="13">
        <f>IF(D1968="","",D1968-TODAY())</f>
        <v/>
      </c>
      <c r="F1968">
        <f>IF(D1968="","",IF(E1968&lt;0,"VENCIDO",IF(E1968&lt;=30,"VENCE EM &lt;= 30 DIAS",IF(E1968&lt;=60,"ATENCAO (31-60 DIAS)","OK"))))</f>
        <v/>
      </c>
      <c r="G1968" s="13">
        <f>SUMIFS(Movimentacoes!$G:$G,Movimentacoes!$C:$C,$A1968,Movimentacoes!$E:$E,$C1968,Movimentacoes!$B:$B,"ENTRADA")</f>
        <v/>
      </c>
      <c r="H1968" s="13">
        <f>SUMIFS(Movimentacoes!$G:$G,Movimentacoes!$C:$C,$A1968,Movimentacoes!$E:$E,$C1968,Movimentacoes!$B:$B,"SAIDA_USO")</f>
        <v/>
      </c>
      <c r="I1968" s="13">
        <f>SUMIFS(Movimentacoes!$G:$G,Movimentacoes!$C:$C,$A1968,Movimentacoes!$E:$E,$C1968,Movimentacoes!$B:$B,"SAIDA_DESCARTE")</f>
        <v/>
      </c>
      <c r="J1968" s="13">
        <f>G1968-H1968-I1968</f>
        <v/>
      </c>
      <c r="K1968">
        <f>IF(A1968="","",IF(J1968&lt;=IFERROR(VLOOKUP(A1968,Cadastro_Produtos!$A:$E,5,FALSE),0),"ABAIXO DO MINIMO","OK"))</f>
        <v/>
      </c>
    </row>
    <row r="1969">
      <c r="B1969">
        <f>IFERROR(VLOOKUP(A1969,Cadastro_Produtos!A:B,2,FALSE),"")</f>
        <v/>
      </c>
      <c r="D1969" s="12" t="n"/>
      <c r="E1969" s="13">
        <f>IF(D1969="","",D1969-TODAY())</f>
        <v/>
      </c>
      <c r="F1969">
        <f>IF(D1969="","",IF(E1969&lt;0,"VENCIDO",IF(E1969&lt;=30,"VENCE EM &lt;= 30 DIAS",IF(E1969&lt;=60,"ATENCAO (31-60 DIAS)","OK"))))</f>
        <v/>
      </c>
      <c r="G1969" s="13">
        <f>SUMIFS(Movimentacoes!$G:$G,Movimentacoes!$C:$C,$A1969,Movimentacoes!$E:$E,$C1969,Movimentacoes!$B:$B,"ENTRADA")</f>
        <v/>
      </c>
      <c r="H1969" s="13">
        <f>SUMIFS(Movimentacoes!$G:$G,Movimentacoes!$C:$C,$A1969,Movimentacoes!$E:$E,$C1969,Movimentacoes!$B:$B,"SAIDA_USO")</f>
        <v/>
      </c>
      <c r="I1969" s="13">
        <f>SUMIFS(Movimentacoes!$G:$G,Movimentacoes!$C:$C,$A1969,Movimentacoes!$E:$E,$C1969,Movimentacoes!$B:$B,"SAIDA_DESCARTE")</f>
        <v/>
      </c>
      <c r="J1969" s="13">
        <f>G1969-H1969-I1969</f>
        <v/>
      </c>
      <c r="K1969">
        <f>IF(A1969="","",IF(J1969&lt;=IFERROR(VLOOKUP(A1969,Cadastro_Produtos!$A:$E,5,FALSE),0),"ABAIXO DO MINIMO","OK"))</f>
        <v/>
      </c>
    </row>
    <row r="1970">
      <c r="B1970">
        <f>IFERROR(VLOOKUP(A1970,Cadastro_Produtos!A:B,2,FALSE),"")</f>
        <v/>
      </c>
      <c r="D1970" s="12" t="n"/>
      <c r="E1970" s="13">
        <f>IF(D1970="","",D1970-TODAY())</f>
        <v/>
      </c>
      <c r="F1970">
        <f>IF(D1970="","",IF(E1970&lt;0,"VENCIDO",IF(E1970&lt;=30,"VENCE EM &lt;= 30 DIAS",IF(E1970&lt;=60,"ATENCAO (31-60 DIAS)","OK"))))</f>
        <v/>
      </c>
      <c r="G1970" s="13">
        <f>SUMIFS(Movimentacoes!$G:$G,Movimentacoes!$C:$C,$A1970,Movimentacoes!$E:$E,$C1970,Movimentacoes!$B:$B,"ENTRADA")</f>
        <v/>
      </c>
      <c r="H1970" s="13">
        <f>SUMIFS(Movimentacoes!$G:$G,Movimentacoes!$C:$C,$A1970,Movimentacoes!$E:$E,$C1970,Movimentacoes!$B:$B,"SAIDA_USO")</f>
        <v/>
      </c>
      <c r="I1970" s="13">
        <f>SUMIFS(Movimentacoes!$G:$G,Movimentacoes!$C:$C,$A1970,Movimentacoes!$E:$E,$C1970,Movimentacoes!$B:$B,"SAIDA_DESCARTE")</f>
        <v/>
      </c>
      <c r="J1970" s="13">
        <f>G1970-H1970-I1970</f>
        <v/>
      </c>
      <c r="K1970">
        <f>IF(A1970="","",IF(J1970&lt;=IFERROR(VLOOKUP(A1970,Cadastro_Produtos!$A:$E,5,FALSE),0),"ABAIXO DO MINIMO","OK"))</f>
        <v/>
      </c>
    </row>
    <row r="1971">
      <c r="B1971">
        <f>IFERROR(VLOOKUP(A1971,Cadastro_Produtos!A:B,2,FALSE),"")</f>
        <v/>
      </c>
      <c r="D1971" s="12" t="n"/>
      <c r="E1971" s="13">
        <f>IF(D1971="","",D1971-TODAY())</f>
        <v/>
      </c>
      <c r="F1971">
        <f>IF(D1971="","",IF(E1971&lt;0,"VENCIDO",IF(E1971&lt;=30,"VENCE EM &lt;= 30 DIAS",IF(E1971&lt;=60,"ATENCAO (31-60 DIAS)","OK"))))</f>
        <v/>
      </c>
      <c r="G1971" s="13">
        <f>SUMIFS(Movimentacoes!$G:$G,Movimentacoes!$C:$C,$A1971,Movimentacoes!$E:$E,$C1971,Movimentacoes!$B:$B,"ENTRADA")</f>
        <v/>
      </c>
      <c r="H1971" s="13">
        <f>SUMIFS(Movimentacoes!$G:$G,Movimentacoes!$C:$C,$A1971,Movimentacoes!$E:$E,$C1971,Movimentacoes!$B:$B,"SAIDA_USO")</f>
        <v/>
      </c>
      <c r="I1971" s="13">
        <f>SUMIFS(Movimentacoes!$G:$G,Movimentacoes!$C:$C,$A1971,Movimentacoes!$E:$E,$C1971,Movimentacoes!$B:$B,"SAIDA_DESCARTE")</f>
        <v/>
      </c>
      <c r="J1971" s="13">
        <f>G1971-H1971-I1971</f>
        <v/>
      </c>
      <c r="K1971">
        <f>IF(A1971="","",IF(J1971&lt;=IFERROR(VLOOKUP(A1971,Cadastro_Produtos!$A:$E,5,FALSE),0),"ABAIXO DO MINIMO","OK"))</f>
        <v/>
      </c>
    </row>
    <row r="1972">
      <c r="B1972">
        <f>IFERROR(VLOOKUP(A1972,Cadastro_Produtos!A:B,2,FALSE),"")</f>
        <v/>
      </c>
      <c r="D1972" s="12" t="n"/>
      <c r="E1972" s="13">
        <f>IF(D1972="","",D1972-TODAY())</f>
        <v/>
      </c>
      <c r="F1972">
        <f>IF(D1972="","",IF(E1972&lt;0,"VENCIDO",IF(E1972&lt;=30,"VENCE EM &lt;= 30 DIAS",IF(E1972&lt;=60,"ATENCAO (31-60 DIAS)","OK"))))</f>
        <v/>
      </c>
      <c r="G1972" s="13">
        <f>SUMIFS(Movimentacoes!$G:$G,Movimentacoes!$C:$C,$A1972,Movimentacoes!$E:$E,$C1972,Movimentacoes!$B:$B,"ENTRADA")</f>
        <v/>
      </c>
      <c r="H1972" s="13">
        <f>SUMIFS(Movimentacoes!$G:$G,Movimentacoes!$C:$C,$A1972,Movimentacoes!$E:$E,$C1972,Movimentacoes!$B:$B,"SAIDA_USO")</f>
        <v/>
      </c>
      <c r="I1972" s="13">
        <f>SUMIFS(Movimentacoes!$G:$G,Movimentacoes!$C:$C,$A1972,Movimentacoes!$E:$E,$C1972,Movimentacoes!$B:$B,"SAIDA_DESCARTE")</f>
        <v/>
      </c>
      <c r="J1972" s="13">
        <f>G1972-H1972-I1972</f>
        <v/>
      </c>
      <c r="K1972">
        <f>IF(A1972="","",IF(J1972&lt;=IFERROR(VLOOKUP(A1972,Cadastro_Produtos!$A:$E,5,FALSE),0),"ABAIXO DO MINIMO","OK"))</f>
        <v/>
      </c>
    </row>
    <row r="1973">
      <c r="B1973">
        <f>IFERROR(VLOOKUP(A1973,Cadastro_Produtos!A:B,2,FALSE),"")</f>
        <v/>
      </c>
      <c r="D1973" s="12" t="n"/>
      <c r="E1973" s="13">
        <f>IF(D1973="","",D1973-TODAY())</f>
        <v/>
      </c>
      <c r="F1973">
        <f>IF(D1973="","",IF(E1973&lt;0,"VENCIDO",IF(E1973&lt;=30,"VENCE EM &lt;= 30 DIAS",IF(E1973&lt;=60,"ATENCAO (31-60 DIAS)","OK"))))</f>
        <v/>
      </c>
      <c r="G1973" s="13">
        <f>SUMIFS(Movimentacoes!$G:$G,Movimentacoes!$C:$C,$A1973,Movimentacoes!$E:$E,$C1973,Movimentacoes!$B:$B,"ENTRADA")</f>
        <v/>
      </c>
      <c r="H1973" s="13">
        <f>SUMIFS(Movimentacoes!$G:$G,Movimentacoes!$C:$C,$A1973,Movimentacoes!$E:$E,$C1973,Movimentacoes!$B:$B,"SAIDA_USO")</f>
        <v/>
      </c>
      <c r="I1973" s="13">
        <f>SUMIFS(Movimentacoes!$G:$G,Movimentacoes!$C:$C,$A1973,Movimentacoes!$E:$E,$C1973,Movimentacoes!$B:$B,"SAIDA_DESCARTE")</f>
        <v/>
      </c>
      <c r="J1973" s="13">
        <f>G1973-H1973-I1973</f>
        <v/>
      </c>
      <c r="K1973">
        <f>IF(A1973="","",IF(J1973&lt;=IFERROR(VLOOKUP(A1973,Cadastro_Produtos!$A:$E,5,FALSE),0),"ABAIXO DO MINIMO","OK"))</f>
        <v/>
      </c>
    </row>
    <row r="1974">
      <c r="B1974">
        <f>IFERROR(VLOOKUP(A1974,Cadastro_Produtos!A:B,2,FALSE),"")</f>
        <v/>
      </c>
      <c r="D1974" s="12" t="n"/>
      <c r="E1974" s="13">
        <f>IF(D1974="","",D1974-TODAY())</f>
        <v/>
      </c>
      <c r="F1974">
        <f>IF(D1974="","",IF(E1974&lt;0,"VENCIDO",IF(E1974&lt;=30,"VENCE EM &lt;= 30 DIAS",IF(E1974&lt;=60,"ATENCAO (31-60 DIAS)","OK"))))</f>
        <v/>
      </c>
      <c r="G1974" s="13">
        <f>SUMIFS(Movimentacoes!$G:$G,Movimentacoes!$C:$C,$A1974,Movimentacoes!$E:$E,$C1974,Movimentacoes!$B:$B,"ENTRADA")</f>
        <v/>
      </c>
      <c r="H1974" s="13">
        <f>SUMIFS(Movimentacoes!$G:$G,Movimentacoes!$C:$C,$A1974,Movimentacoes!$E:$E,$C1974,Movimentacoes!$B:$B,"SAIDA_USO")</f>
        <v/>
      </c>
      <c r="I1974" s="13">
        <f>SUMIFS(Movimentacoes!$G:$G,Movimentacoes!$C:$C,$A1974,Movimentacoes!$E:$E,$C1974,Movimentacoes!$B:$B,"SAIDA_DESCARTE")</f>
        <v/>
      </c>
      <c r="J1974" s="13">
        <f>G1974-H1974-I1974</f>
        <v/>
      </c>
      <c r="K1974">
        <f>IF(A1974="","",IF(J1974&lt;=IFERROR(VLOOKUP(A1974,Cadastro_Produtos!$A:$E,5,FALSE),0),"ABAIXO DO MINIMO","OK"))</f>
        <v/>
      </c>
    </row>
    <row r="1975">
      <c r="B1975">
        <f>IFERROR(VLOOKUP(A1975,Cadastro_Produtos!A:B,2,FALSE),"")</f>
        <v/>
      </c>
      <c r="D1975" s="12" t="n"/>
      <c r="E1975" s="13">
        <f>IF(D1975="","",D1975-TODAY())</f>
        <v/>
      </c>
      <c r="F1975">
        <f>IF(D1975="","",IF(E1975&lt;0,"VENCIDO",IF(E1975&lt;=30,"VENCE EM &lt;= 30 DIAS",IF(E1975&lt;=60,"ATENCAO (31-60 DIAS)","OK"))))</f>
        <v/>
      </c>
      <c r="G1975" s="13">
        <f>SUMIFS(Movimentacoes!$G:$G,Movimentacoes!$C:$C,$A1975,Movimentacoes!$E:$E,$C1975,Movimentacoes!$B:$B,"ENTRADA")</f>
        <v/>
      </c>
      <c r="H1975" s="13">
        <f>SUMIFS(Movimentacoes!$G:$G,Movimentacoes!$C:$C,$A1975,Movimentacoes!$E:$E,$C1975,Movimentacoes!$B:$B,"SAIDA_USO")</f>
        <v/>
      </c>
      <c r="I1975" s="13">
        <f>SUMIFS(Movimentacoes!$G:$G,Movimentacoes!$C:$C,$A1975,Movimentacoes!$E:$E,$C1975,Movimentacoes!$B:$B,"SAIDA_DESCARTE")</f>
        <v/>
      </c>
      <c r="J1975" s="13">
        <f>G1975-H1975-I1975</f>
        <v/>
      </c>
      <c r="K1975">
        <f>IF(A1975="","",IF(J1975&lt;=IFERROR(VLOOKUP(A1975,Cadastro_Produtos!$A:$E,5,FALSE),0),"ABAIXO DO MINIMO","OK"))</f>
        <v/>
      </c>
    </row>
    <row r="1976">
      <c r="B1976">
        <f>IFERROR(VLOOKUP(A1976,Cadastro_Produtos!A:B,2,FALSE),"")</f>
        <v/>
      </c>
      <c r="D1976" s="12" t="n"/>
      <c r="E1976" s="13">
        <f>IF(D1976="","",D1976-TODAY())</f>
        <v/>
      </c>
      <c r="F1976">
        <f>IF(D1976="","",IF(E1976&lt;0,"VENCIDO",IF(E1976&lt;=30,"VENCE EM &lt;= 30 DIAS",IF(E1976&lt;=60,"ATENCAO (31-60 DIAS)","OK"))))</f>
        <v/>
      </c>
      <c r="G1976" s="13">
        <f>SUMIFS(Movimentacoes!$G:$G,Movimentacoes!$C:$C,$A1976,Movimentacoes!$E:$E,$C1976,Movimentacoes!$B:$B,"ENTRADA")</f>
        <v/>
      </c>
      <c r="H1976" s="13">
        <f>SUMIFS(Movimentacoes!$G:$G,Movimentacoes!$C:$C,$A1976,Movimentacoes!$E:$E,$C1976,Movimentacoes!$B:$B,"SAIDA_USO")</f>
        <v/>
      </c>
      <c r="I1976" s="13">
        <f>SUMIFS(Movimentacoes!$G:$G,Movimentacoes!$C:$C,$A1976,Movimentacoes!$E:$E,$C1976,Movimentacoes!$B:$B,"SAIDA_DESCARTE")</f>
        <v/>
      </c>
      <c r="J1976" s="13">
        <f>G1976-H1976-I1976</f>
        <v/>
      </c>
      <c r="K1976">
        <f>IF(A1976="","",IF(J1976&lt;=IFERROR(VLOOKUP(A1976,Cadastro_Produtos!$A:$E,5,FALSE),0),"ABAIXO DO MINIMO","OK"))</f>
        <v/>
      </c>
    </row>
    <row r="1977">
      <c r="B1977">
        <f>IFERROR(VLOOKUP(A1977,Cadastro_Produtos!A:B,2,FALSE),"")</f>
        <v/>
      </c>
      <c r="D1977" s="12" t="n"/>
      <c r="E1977" s="13">
        <f>IF(D1977="","",D1977-TODAY())</f>
        <v/>
      </c>
      <c r="F1977">
        <f>IF(D1977="","",IF(E1977&lt;0,"VENCIDO",IF(E1977&lt;=30,"VENCE EM &lt;= 30 DIAS",IF(E1977&lt;=60,"ATENCAO (31-60 DIAS)","OK"))))</f>
        <v/>
      </c>
      <c r="G1977" s="13">
        <f>SUMIFS(Movimentacoes!$G:$G,Movimentacoes!$C:$C,$A1977,Movimentacoes!$E:$E,$C1977,Movimentacoes!$B:$B,"ENTRADA")</f>
        <v/>
      </c>
      <c r="H1977" s="13">
        <f>SUMIFS(Movimentacoes!$G:$G,Movimentacoes!$C:$C,$A1977,Movimentacoes!$E:$E,$C1977,Movimentacoes!$B:$B,"SAIDA_USO")</f>
        <v/>
      </c>
      <c r="I1977" s="13">
        <f>SUMIFS(Movimentacoes!$G:$G,Movimentacoes!$C:$C,$A1977,Movimentacoes!$E:$E,$C1977,Movimentacoes!$B:$B,"SAIDA_DESCARTE")</f>
        <v/>
      </c>
      <c r="J1977" s="13">
        <f>G1977-H1977-I1977</f>
        <v/>
      </c>
      <c r="K1977">
        <f>IF(A1977="","",IF(J1977&lt;=IFERROR(VLOOKUP(A1977,Cadastro_Produtos!$A:$E,5,FALSE),0),"ABAIXO DO MINIMO","OK"))</f>
        <v/>
      </c>
    </row>
    <row r="1978">
      <c r="B1978">
        <f>IFERROR(VLOOKUP(A1978,Cadastro_Produtos!A:B,2,FALSE),"")</f>
        <v/>
      </c>
      <c r="D1978" s="12" t="n"/>
      <c r="E1978" s="13">
        <f>IF(D1978="","",D1978-TODAY())</f>
        <v/>
      </c>
      <c r="F1978">
        <f>IF(D1978="","",IF(E1978&lt;0,"VENCIDO",IF(E1978&lt;=30,"VENCE EM &lt;= 30 DIAS",IF(E1978&lt;=60,"ATENCAO (31-60 DIAS)","OK"))))</f>
        <v/>
      </c>
      <c r="G1978" s="13">
        <f>SUMIFS(Movimentacoes!$G:$G,Movimentacoes!$C:$C,$A1978,Movimentacoes!$E:$E,$C1978,Movimentacoes!$B:$B,"ENTRADA")</f>
        <v/>
      </c>
      <c r="H1978" s="13">
        <f>SUMIFS(Movimentacoes!$G:$G,Movimentacoes!$C:$C,$A1978,Movimentacoes!$E:$E,$C1978,Movimentacoes!$B:$B,"SAIDA_USO")</f>
        <v/>
      </c>
      <c r="I1978" s="13">
        <f>SUMIFS(Movimentacoes!$G:$G,Movimentacoes!$C:$C,$A1978,Movimentacoes!$E:$E,$C1978,Movimentacoes!$B:$B,"SAIDA_DESCARTE")</f>
        <v/>
      </c>
      <c r="J1978" s="13">
        <f>G1978-H1978-I1978</f>
        <v/>
      </c>
      <c r="K1978">
        <f>IF(A1978="","",IF(J1978&lt;=IFERROR(VLOOKUP(A1978,Cadastro_Produtos!$A:$E,5,FALSE),0),"ABAIXO DO MINIMO","OK"))</f>
        <v/>
      </c>
    </row>
    <row r="1979">
      <c r="B1979">
        <f>IFERROR(VLOOKUP(A1979,Cadastro_Produtos!A:B,2,FALSE),"")</f>
        <v/>
      </c>
      <c r="D1979" s="12" t="n"/>
      <c r="E1979" s="13">
        <f>IF(D1979="","",D1979-TODAY())</f>
        <v/>
      </c>
      <c r="F1979">
        <f>IF(D1979="","",IF(E1979&lt;0,"VENCIDO",IF(E1979&lt;=30,"VENCE EM &lt;= 30 DIAS",IF(E1979&lt;=60,"ATENCAO (31-60 DIAS)","OK"))))</f>
        <v/>
      </c>
      <c r="G1979" s="13">
        <f>SUMIFS(Movimentacoes!$G:$G,Movimentacoes!$C:$C,$A1979,Movimentacoes!$E:$E,$C1979,Movimentacoes!$B:$B,"ENTRADA")</f>
        <v/>
      </c>
      <c r="H1979" s="13">
        <f>SUMIFS(Movimentacoes!$G:$G,Movimentacoes!$C:$C,$A1979,Movimentacoes!$E:$E,$C1979,Movimentacoes!$B:$B,"SAIDA_USO")</f>
        <v/>
      </c>
      <c r="I1979" s="13">
        <f>SUMIFS(Movimentacoes!$G:$G,Movimentacoes!$C:$C,$A1979,Movimentacoes!$E:$E,$C1979,Movimentacoes!$B:$B,"SAIDA_DESCARTE")</f>
        <v/>
      </c>
      <c r="J1979" s="13">
        <f>G1979-H1979-I1979</f>
        <v/>
      </c>
      <c r="K1979">
        <f>IF(A1979="","",IF(J1979&lt;=IFERROR(VLOOKUP(A1979,Cadastro_Produtos!$A:$E,5,FALSE),0),"ABAIXO DO MINIMO","OK"))</f>
        <v/>
      </c>
    </row>
    <row r="1980">
      <c r="B1980">
        <f>IFERROR(VLOOKUP(A1980,Cadastro_Produtos!A:B,2,FALSE),"")</f>
        <v/>
      </c>
      <c r="D1980" s="12" t="n"/>
      <c r="E1980" s="13">
        <f>IF(D1980="","",D1980-TODAY())</f>
        <v/>
      </c>
      <c r="F1980">
        <f>IF(D1980="","",IF(E1980&lt;0,"VENCIDO",IF(E1980&lt;=30,"VENCE EM &lt;= 30 DIAS",IF(E1980&lt;=60,"ATENCAO (31-60 DIAS)","OK"))))</f>
        <v/>
      </c>
      <c r="G1980" s="13">
        <f>SUMIFS(Movimentacoes!$G:$G,Movimentacoes!$C:$C,$A1980,Movimentacoes!$E:$E,$C1980,Movimentacoes!$B:$B,"ENTRADA")</f>
        <v/>
      </c>
      <c r="H1980" s="13">
        <f>SUMIFS(Movimentacoes!$G:$G,Movimentacoes!$C:$C,$A1980,Movimentacoes!$E:$E,$C1980,Movimentacoes!$B:$B,"SAIDA_USO")</f>
        <v/>
      </c>
      <c r="I1980" s="13">
        <f>SUMIFS(Movimentacoes!$G:$G,Movimentacoes!$C:$C,$A1980,Movimentacoes!$E:$E,$C1980,Movimentacoes!$B:$B,"SAIDA_DESCARTE")</f>
        <v/>
      </c>
      <c r="J1980" s="13">
        <f>G1980-H1980-I1980</f>
        <v/>
      </c>
      <c r="K1980">
        <f>IF(A1980="","",IF(J1980&lt;=IFERROR(VLOOKUP(A1980,Cadastro_Produtos!$A:$E,5,FALSE),0),"ABAIXO DO MINIMO","OK"))</f>
        <v/>
      </c>
    </row>
    <row r="1981">
      <c r="B1981">
        <f>IFERROR(VLOOKUP(A1981,Cadastro_Produtos!A:B,2,FALSE),"")</f>
        <v/>
      </c>
      <c r="D1981" s="12" t="n"/>
      <c r="E1981" s="13">
        <f>IF(D1981="","",D1981-TODAY())</f>
        <v/>
      </c>
      <c r="F1981">
        <f>IF(D1981="","",IF(E1981&lt;0,"VENCIDO",IF(E1981&lt;=30,"VENCE EM &lt;= 30 DIAS",IF(E1981&lt;=60,"ATENCAO (31-60 DIAS)","OK"))))</f>
        <v/>
      </c>
      <c r="G1981" s="13">
        <f>SUMIFS(Movimentacoes!$G:$G,Movimentacoes!$C:$C,$A1981,Movimentacoes!$E:$E,$C1981,Movimentacoes!$B:$B,"ENTRADA")</f>
        <v/>
      </c>
      <c r="H1981" s="13">
        <f>SUMIFS(Movimentacoes!$G:$G,Movimentacoes!$C:$C,$A1981,Movimentacoes!$E:$E,$C1981,Movimentacoes!$B:$B,"SAIDA_USO")</f>
        <v/>
      </c>
      <c r="I1981" s="13">
        <f>SUMIFS(Movimentacoes!$G:$G,Movimentacoes!$C:$C,$A1981,Movimentacoes!$E:$E,$C1981,Movimentacoes!$B:$B,"SAIDA_DESCARTE")</f>
        <v/>
      </c>
      <c r="J1981" s="13">
        <f>G1981-H1981-I1981</f>
        <v/>
      </c>
      <c r="K1981">
        <f>IF(A1981="","",IF(J1981&lt;=IFERROR(VLOOKUP(A1981,Cadastro_Produtos!$A:$E,5,FALSE),0),"ABAIXO DO MINIMO","OK"))</f>
        <v/>
      </c>
    </row>
    <row r="1982">
      <c r="B1982">
        <f>IFERROR(VLOOKUP(A1982,Cadastro_Produtos!A:B,2,FALSE),"")</f>
        <v/>
      </c>
      <c r="D1982" s="12" t="n"/>
      <c r="E1982" s="13">
        <f>IF(D1982="","",D1982-TODAY())</f>
        <v/>
      </c>
      <c r="F1982">
        <f>IF(D1982="","",IF(E1982&lt;0,"VENCIDO",IF(E1982&lt;=30,"VENCE EM &lt;= 30 DIAS",IF(E1982&lt;=60,"ATENCAO (31-60 DIAS)","OK"))))</f>
        <v/>
      </c>
      <c r="G1982" s="13">
        <f>SUMIFS(Movimentacoes!$G:$G,Movimentacoes!$C:$C,$A1982,Movimentacoes!$E:$E,$C1982,Movimentacoes!$B:$B,"ENTRADA")</f>
        <v/>
      </c>
      <c r="H1982" s="13">
        <f>SUMIFS(Movimentacoes!$G:$G,Movimentacoes!$C:$C,$A1982,Movimentacoes!$E:$E,$C1982,Movimentacoes!$B:$B,"SAIDA_USO")</f>
        <v/>
      </c>
      <c r="I1982" s="13">
        <f>SUMIFS(Movimentacoes!$G:$G,Movimentacoes!$C:$C,$A1982,Movimentacoes!$E:$E,$C1982,Movimentacoes!$B:$B,"SAIDA_DESCARTE")</f>
        <v/>
      </c>
      <c r="J1982" s="13">
        <f>G1982-H1982-I1982</f>
        <v/>
      </c>
      <c r="K1982">
        <f>IF(A1982="","",IF(J1982&lt;=IFERROR(VLOOKUP(A1982,Cadastro_Produtos!$A:$E,5,FALSE),0),"ABAIXO DO MINIMO","OK"))</f>
        <v/>
      </c>
    </row>
    <row r="1983">
      <c r="B1983">
        <f>IFERROR(VLOOKUP(A1983,Cadastro_Produtos!A:B,2,FALSE),"")</f>
        <v/>
      </c>
      <c r="D1983" s="12" t="n"/>
      <c r="E1983" s="13">
        <f>IF(D1983="","",D1983-TODAY())</f>
        <v/>
      </c>
      <c r="F1983">
        <f>IF(D1983="","",IF(E1983&lt;0,"VENCIDO",IF(E1983&lt;=30,"VENCE EM &lt;= 30 DIAS",IF(E1983&lt;=60,"ATENCAO (31-60 DIAS)","OK"))))</f>
        <v/>
      </c>
      <c r="G1983" s="13">
        <f>SUMIFS(Movimentacoes!$G:$G,Movimentacoes!$C:$C,$A1983,Movimentacoes!$E:$E,$C1983,Movimentacoes!$B:$B,"ENTRADA")</f>
        <v/>
      </c>
      <c r="H1983" s="13">
        <f>SUMIFS(Movimentacoes!$G:$G,Movimentacoes!$C:$C,$A1983,Movimentacoes!$E:$E,$C1983,Movimentacoes!$B:$B,"SAIDA_USO")</f>
        <v/>
      </c>
      <c r="I1983" s="13">
        <f>SUMIFS(Movimentacoes!$G:$G,Movimentacoes!$C:$C,$A1983,Movimentacoes!$E:$E,$C1983,Movimentacoes!$B:$B,"SAIDA_DESCARTE")</f>
        <v/>
      </c>
      <c r="J1983" s="13">
        <f>G1983-H1983-I1983</f>
        <v/>
      </c>
      <c r="K1983">
        <f>IF(A1983="","",IF(J1983&lt;=IFERROR(VLOOKUP(A1983,Cadastro_Produtos!$A:$E,5,FALSE),0),"ABAIXO DO MINIMO","OK"))</f>
        <v/>
      </c>
    </row>
    <row r="1984">
      <c r="B1984">
        <f>IFERROR(VLOOKUP(A1984,Cadastro_Produtos!A:B,2,FALSE),"")</f>
        <v/>
      </c>
      <c r="D1984" s="12" t="n"/>
      <c r="E1984" s="13">
        <f>IF(D1984="","",D1984-TODAY())</f>
        <v/>
      </c>
      <c r="F1984">
        <f>IF(D1984="","",IF(E1984&lt;0,"VENCIDO",IF(E1984&lt;=30,"VENCE EM &lt;= 30 DIAS",IF(E1984&lt;=60,"ATENCAO (31-60 DIAS)","OK"))))</f>
        <v/>
      </c>
      <c r="G1984" s="13">
        <f>SUMIFS(Movimentacoes!$G:$G,Movimentacoes!$C:$C,$A1984,Movimentacoes!$E:$E,$C1984,Movimentacoes!$B:$B,"ENTRADA")</f>
        <v/>
      </c>
      <c r="H1984" s="13">
        <f>SUMIFS(Movimentacoes!$G:$G,Movimentacoes!$C:$C,$A1984,Movimentacoes!$E:$E,$C1984,Movimentacoes!$B:$B,"SAIDA_USO")</f>
        <v/>
      </c>
      <c r="I1984" s="13">
        <f>SUMIFS(Movimentacoes!$G:$G,Movimentacoes!$C:$C,$A1984,Movimentacoes!$E:$E,$C1984,Movimentacoes!$B:$B,"SAIDA_DESCARTE")</f>
        <v/>
      </c>
      <c r="J1984" s="13">
        <f>G1984-H1984-I1984</f>
        <v/>
      </c>
      <c r="K1984">
        <f>IF(A1984="","",IF(J1984&lt;=IFERROR(VLOOKUP(A1984,Cadastro_Produtos!$A:$E,5,FALSE),0),"ABAIXO DO MINIMO","OK"))</f>
        <v/>
      </c>
    </row>
    <row r="1985">
      <c r="B1985">
        <f>IFERROR(VLOOKUP(A1985,Cadastro_Produtos!A:B,2,FALSE),"")</f>
        <v/>
      </c>
      <c r="D1985" s="12" t="n"/>
      <c r="E1985" s="13">
        <f>IF(D1985="","",D1985-TODAY())</f>
        <v/>
      </c>
      <c r="F1985">
        <f>IF(D1985="","",IF(E1985&lt;0,"VENCIDO",IF(E1985&lt;=30,"VENCE EM &lt;= 30 DIAS",IF(E1985&lt;=60,"ATENCAO (31-60 DIAS)","OK"))))</f>
        <v/>
      </c>
      <c r="G1985" s="13">
        <f>SUMIFS(Movimentacoes!$G:$G,Movimentacoes!$C:$C,$A1985,Movimentacoes!$E:$E,$C1985,Movimentacoes!$B:$B,"ENTRADA")</f>
        <v/>
      </c>
      <c r="H1985" s="13">
        <f>SUMIFS(Movimentacoes!$G:$G,Movimentacoes!$C:$C,$A1985,Movimentacoes!$E:$E,$C1985,Movimentacoes!$B:$B,"SAIDA_USO")</f>
        <v/>
      </c>
      <c r="I1985" s="13">
        <f>SUMIFS(Movimentacoes!$G:$G,Movimentacoes!$C:$C,$A1985,Movimentacoes!$E:$E,$C1985,Movimentacoes!$B:$B,"SAIDA_DESCARTE")</f>
        <v/>
      </c>
      <c r="J1985" s="13">
        <f>G1985-H1985-I1985</f>
        <v/>
      </c>
      <c r="K1985">
        <f>IF(A1985="","",IF(J1985&lt;=IFERROR(VLOOKUP(A1985,Cadastro_Produtos!$A:$E,5,FALSE),0),"ABAIXO DO MINIMO","OK"))</f>
        <v/>
      </c>
    </row>
    <row r="1986">
      <c r="B1986">
        <f>IFERROR(VLOOKUP(A1986,Cadastro_Produtos!A:B,2,FALSE),"")</f>
        <v/>
      </c>
      <c r="D1986" s="12" t="n"/>
      <c r="E1986" s="13">
        <f>IF(D1986="","",D1986-TODAY())</f>
        <v/>
      </c>
      <c r="F1986">
        <f>IF(D1986="","",IF(E1986&lt;0,"VENCIDO",IF(E1986&lt;=30,"VENCE EM &lt;= 30 DIAS",IF(E1986&lt;=60,"ATENCAO (31-60 DIAS)","OK"))))</f>
        <v/>
      </c>
      <c r="G1986" s="13">
        <f>SUMIFS(Movimentacoes!$G:$G,Movimentacoes!$C:$C,$A1986,Movimentacoes!$E:$E,$C1986,Movimentacoes!$B:$B,"ENTRADA")</f>
        <v/>
      </c>
      <c r="H1986" s="13">
        <f>SUMIFS(Movimentacoes!$G:$G,Movimentacoes!$C:$C,$A1986,Movimentacoes!$E:$E,$C1986,Movimentacoes!$B:$B,"SAIDA_USO")</f>
        <v/>
      </c>
      <c r="I1986" s="13">
        <f>SUMIFS(Movimentacoes!$G:$G,Movimentacoes!$C:$C,$A1986,Movimentacoes!$E:$E,$C1986,Movimentacoes!$B:$B,"SAIDA_DESCARTE")</f>
        <v/>
      </c>
      <c r="J1986" s="13">
        <f>G1986-H1986-I1986</f>
        <v/>
      </c>
      <c r="K1986">
        <f>IF(A1986="","",IF(J1986&lt;=IFERROR(VLOOKUP(A1986,Cadastro_Produtos!$A:$E,5,FALSE),0),"ABAIXO DO MINIMO","OK"))</f>
        <v/>
      </c>
    </row>
    <row r="1987">
      <c r="B1987">
        <f>IFERROR(VLOOKUP(A1987,Cadastro_Produtos!A:B,2,FALSE),"")</f>
        <v/>
      </c>
      <c r="D1987" s="12" t="n"/>
      <c r="E1987" s="13">
        <f>IF(D1987="","",D1987-TODAY())</f>
        <v/>
      </c>
      <c r="F1987">
        <f>IF(D1987="","",IF(E1987&lt;0,"VENCIDO",IF(E1987&lt;=30,"VENCE EM &lt;= 30 DIAS",IF(E1987&lt;=60,"ATENCAO (31-60 DIAS)","OK"))))</f>
        <v/>
      </c>
      <c r="G1987" s="13">
        <f>SUMIFS(Movimentacoes!$G:$G,Movimentacoes!$C:$C,$A1987,Movimentacoes!$E:$E,$C1987,Movimentacoes!$B:$B,"ENTRADA")</f>
        <v/>
      </c>
      <c r="H1987" s="13">
        <f>SUMIFS(Movimentacoes!$G:$G,Movimentacoes!$C:$C,$A1987,Movimentacoes!$E:$E,$C1987,Movimentacoes!$B:$B,"SAIDA_USO")</f>
        <v/>
      </c>
      <c r="I1987" s="13">
        <f>SUMIFS(Movimentacoes!$G:$G,Movimentacoes!$C:$C,$A1987,Movimentacoes!$E:$E,$C1987,Movimentacoes!$B:$B,"SAIDA_DESCARTE")</f>
        <v/>
      </c>
      <c r="J1987" s="13">
        <f>G1987-H1987-I1987</f>
        <v/>
      </c>
      <c r="K1987">
        <f>IF(A1987="","",IF(J1987&lt;=IFERROR(VLOOKUP(A1987,Cadastro_Produtos!$A:$E,5,FALSE),0),"ABAIXO DO MINIMO","OK"))</f>
        <v/>
      </c>
    </row>
    <row r="1988">
      <c r="B1988">
        <f>IFERROR(VLOOKUP(A1988,Cadastro_Produtos!A:B,2,FALSE),"")</f>
        <v/>
      </c>
      <c r="D1988" s="12" t="n"/>
      <c r="E1988" s="13">
        <f>IF(D1988="","",D1988-TODAY())</f>
        <v/>
      </c>
      <c r="F1988">
        <f>IF(D1988="","",IF(E1988&lt;0,"VENCIDO",IF(E1988&lt;=30,"VENCE EM &lt;= 30 DIAS",IF(E1988&lt;=60,"ATENCAO (31-60 DIAS)","OK"))))</f>
        <v/>
      </c>
      <c r="G1988" s="13">
        <f>SUMIFS(Movimentacoes!$G:$G,Movimentacoes!$C:$C,$A1988,Movimentacoes!$E:$E,$C1988,Movimentacoes!$B:$B,"ENTRADA")</f>
        <v/>
      </c>
      <c r="H1988" s="13">
        <f>SUMIFS(Movimentacoes!$G:$G,Movimentacoes!$C:$C,$A1988,Movimentacoes!$E:$E,$C1988,Movimentacoes!$B:$B,"SAIDA_USO")</f>
        <v/>
      </c>
      <c r="I1988" s="13">
        <f>SUMIFS(Movimentacoes!$G:$G,Movimentacoes!$C:$C,$A1988,Movimentacoes!$E:$E,$C1988,Movimentacoes!$B:$B,"SAIDA_DESCARTE")</f>
        <v/>
      </c>
      <c r="J1988" s="13">
        <f>G1988-H1988-I1988</f>
        <v/>
      </c>
      <c r="K1988">
        <f>IF(A1988="","",IF(J1988&lt;=IFERROR(VLOOKUP(A1988,Cadastro_Produtos!$A:$E,5,FALSE),0),"ABAIXO DO MINIMO","OK"))</f>
        <v/>
      </c>
    </row>
    <row r="1989">
      <c r="B1989">
        <f>IFERROR(VLOOKUP(A1989,Cadastro_Produtos!A:B,2,FALSE),"")</f>
        <v/>
      </c>
      <c r="D1989" s="12" t="n"/>
      <c r="E1989" s="13">
        <f>IF(D1989="","",D1989-TODAY())</f>
        <v/>
      </c>
      <c r="F1989">
        <f>IF(D1989="","",IF(E1989&lt;0,"VENCIDO",IF(E1989&lt;=30,"VENCE EM &lt;= 30 DIAS",IF(E1989&lt;=60,"ATENCAO (31-60 DIAS)","OK"))))</f>
        <v/>
      </c>
      <c r="G1989" s="13">
        <f>SUMIFS(Movimentacoes!$G:$G,Movimentacoes!$C:$C,$A1989,Movimentacoes!$E:$E,$C1989,Movimentacoes!$B:$B,"ENTRADA")</f>
        <v/>
      </c>
      <c r="H1989" s="13">
        <f>SUMIFS(Movimentacoes!$G:$G,Movimentacoes!$C:$C,$A1989,Movimentacoes!$E:$E,$C1989,Movimentacoes!$B:$B,"SAIDA_USO")</f>
        <v/>
      </c>
      <c r="I1989" s="13">
        <f>SUMIFS(Movimentacoes!$G:$G,Movimentacoes!$C:$C,$A1989,Movimentacoes!$E:$E,$C1989,Movimentacoes!$B:$B,"SAIDA_DESCARTE")</f>
        <v/>
      </c>
      <c r="J1989" s="13">
        <f>G1989-H1989-I1989</f>
        <v/>
      </c>
      <c r="K1989">
        <f>IF(A1989="","",IF(J1989&lt;=IFERROR(VLOOKUP(A1989,Cadastro_Produtos!$A:$E,5,FALSE),0),"ABAIXO DO MINIMO","OK"))</f>
        <v/>
      </c>
    </row>
    <row r="1990">
      <c r="B1990">
        <f>IFERROR(VLOOKUP(A1990,Cadastro_Produtos!A:B,2,FALSE),"")</f>
        <v/>
      </c>
      <c r="D1990" s="12" t="n"/>
      <c r="E1990" s="13">
        <f>IF(D1990="","",D1990-TODAY())</f>
        <v/>
      </c>
      <c r="F1990">
        <f>IF(D1990="","",IF(E1990&lt;0,"VENCIDO",IF(E1990&lt;=30,"VENCE EM &lt;= 30 DIAS",IF(E1990&lt;=60,"ATENCAO (31-60 DIAS)","OK"))))</f>
        <v/>
      </c>
      <c r="G1990" s="13">
        <f>SUMIFS(Movimentacoes!$G:$G,Movimentacoes!$C:$C,$A1990,Movimentacoes!$E:$E,$C1990,Movimentacoes!$B:$B,"ENTRADA")</f>
        <v/>
      </c>
      <c r="H1990" s="13">
        <f>SUMIFS(Movimentacoes!$G:$G,Movimentacoes!$C:$C,$A1990,Movimentacoes!$E:$E,$C1990,Movimentacoes!$B:$B,"SAIDA_USO")</f>
        <v/>
      </c>
      <c r="I1990" s="13">
        <f>SUMIFS(Movimentacoes!$G:$G,Movimentacoes!$C:$C,$A1990,Movimentacoes!$E:$E,$C1990,Movimentacoes!$B:$B,"SAIDA_DESCARTE")</f>
        <v/>
      </c>
      <c r="J1990" s="13">
        <f>G1990-H1990-I1990</f>
        <v/>
      </c>
      <c r="K1990">
        <f>IF(A1990="","",IF(J1990&lt;=IFERROR(VLOOKUP(A1990,Cadastro_Produtos!$A:$E,5,FALSE),0),"ABAIXO DO MINIMO","OK"))</f>
        <v/>
      </c>
    </row>
    <row r="1991">
      <c r="B1991">
        <f>IFERROR(VLOOKUP(A1991,Cadastro_Produtos!A:B,2,FALSE),"")</f>
        <v/>
      </c>
      <c r="D1991" s="12" t="n"/>
      <c r="E1991" s="13">
        <f>IF(D1991="","",D1991-TODAY())</f>
        <v/>
      </c>
      <c r="F1991">
        <f>IF(D1991="","",IF(E1991&lt;0,"VENCIDO",IF(E1991&lt;=30,"VENCE EM &lt;= 30 DIAS",IF(E1991&lt;=60,"ATENCAO (31-60 DIAS)","OK"))))</f>
        <v/>
      </c>
      <c r="G1991" s="13">
        <f>SUMIFS(Movimentacoes!$G:$G,Movimentacoes!$C:$C,$A1991,Movimentacoes!$E:$E,$C1991,Movimentacoes!$B:$B,"ENTRADA")</f>
        <v/>
      </c>
      <c r="H1991" s="13">
        <f>SUMIFS(Movimentacoes!$G:$G,Movimentacoes!$C:$C,$A1991,Movimentacoes!$E:$E,$C1991,Movimentacoes!$B:$B,"SAIDA_USO")</f>
        <v/>
      </c>
      <c r="I1991" s="13">
        <f>SUMIFS(Movimentacoes!$G:$G,Movimentacoes!$C:$C,$A1991,Movimentacoes!$E:$E,$C1991,Movimentacoes!$B:$B,"SAIDA_DESCARTE")</f>
        <v/>
      </c>
      <c r="J1991" s="13">
        <f>G1991-H1991-I1991</f>
        <v/>
      </c>
      <c r="K1991">
        <f>IF(A1991="","",IF(J1991&lt;=IFERROR(VLOOKUP(A1991,Cadastro_Produtos!$A:$E,5,FALSE),0),"ABAIXO DO MINIMO","OK"))</f>
        <v/>
      </c>
    </row>
    <row r="1992">
      <c r="B1992">
        <f>IFERROR(VLOOKUP(A1992,Cadastro_Produtos!A:B,2,FALSE),"")</f>
        <v/>
      </c>
      <c r="D1992" s="12" t="n"/>
      <c r="E1992" s="13">
        <f>IF(D1992="","",D1992-TODAY())</f>
        <v/>
      </c>
      <c r="F1992">
        <f>IF(D1992="","",IF(E1992&lt;0,"VENCIDO",IF(E1992&lt;=30,"VENCE EM &lt;= 30 DIAS",IF(E1992&lt;=60,"ATENCAO (31-60 DIAS)","OK"))))</f>
        <v/>
      </c>
      <c r="G1992" s="13">
        <f>SUMIFS(Movimentacoes!$G:$G,Movimentacoes!$C:$C,$A1992,Movimentacoes!$E:$E,$C1992,Movimentacoes!$B:$B,"ENTRADA")</f>
        <v/>
      </c>
      <c r="H1992" s="13">
        <f>SUMIFS(Movimentacoes!$G:$G,Movimentacoes!$C:$C,$A1992,Movimentacoes!$E:$E,$C1992,Movimentacoes!$B:$B,"SAIDA_USO")</f>
        <v/>
      </c>
      <c r="I1992" s="13">
        <f>SUMIFS(Movimentacoes!$G:$G,Movimentacoes!$C:$C,$A1992,Movimentacoes!$E:$E,$C1992,Movimentacoes!$B:$B,"SAIDA_DESCARTE")</f>
        <v/>
      </c>
      <c r="J1992" s="13">
        <f>G1992-H1992-I1992</f>
        <v/>
      </c>
      <c r="K1992">
        <f>IF(A1992="","",IF(J1992&lt;=IFERROR(VLOOKUP(A1992,Cadastro_Produtos!$A:$E,5,FALSE),0),"ABAIXO DO MINIMO","OK"))</f>
        <v/>
      </c>
    </row>
    <row r="1993">
      <c r="B1993">
        <f>IFERROR(VLOOKUP(A1993,Cadastro_Produtos!A:B,2,FALSE),"")</f>
        <v/>
      </c>
      <c r="D1993" s="12" t="n"/>
      <c r="E1993" s="13">
        <f>IF(D1993="","",D1993-TODAY())</f>
        <v/>
      </c>
      <c r="F1993">
        <f>IF(D1993="","",IF(E1993&lt;0,"VENCIDO",IF(E1993&lt;=30,"VENCE EM &lt;= 30 DIAS",IF(E1993&lt;=60,"ATENCAO (31-60 DIAS)","OK"))))</f>
        <v/>
      </c>
      <c r="G1993" s="13">
        <f>SUMIFS(Movimentacoes!$G:$G,Movimentacoes!$C:$C,$A1993,Movimentacoes!$E:$E,$C1993,Movimentacoes!$B:$B,"ENTRADA")</f>
        <v/>
      </c>
      <c r="H1993" s="13">
        <f>SUMIFS(Movimentacoes!$G:$G,Movimentacoes!$C:$C,$A1993,Movimentacoes!$E:$E,$C1993,Movimentacoes!$B:$B,"SAIDA_USO")</f>
        <v/>
      </c>
      <c r="I1993" s="13">
        <f>SUMIFS(Movimentacoes!$G:$G,Movimentacoes!$C:$C,$A1993,Movimentacoes!$E:$E,$C1993,Movimentacoes!$B:$B,"SAIDA_DESCARTE")</f>
        <v/>
      </c>
      <c r="J1993" s="13">
        <f>G1993-H1993-I1993</f>
        <v/>
      </c>
      <c r="K1993">
        <f>IF(A1993="","",IF(J1993&lt;=IFERROR(VLOOKUP(A1993,Cadastro_Produtos!$A:$E,5,FALSE),0),"ABAIXO DO MINIMO","OK"))</f>
        <v/>
      </c>
    </row>
    <row r="1994">
      <c r="B1994">
        <f>IFERROR(VLOOKUP(A1994,Cadastro_Produtos!A:B,2,FALSE),"")</f>
        <v/>
      </c>
      <c r="D1994" s="12" t="n"/>
      <c r="E1994" s="13">
        <f>IF(D1994="","",D1994-TODAY())</f>
        <v/>
      </c>
      <c r="F1994">
        <f>IF(D1994="","",IF(E1994&lt;0,"VENCIDO",IF(E1994&lt;=30,"VENCE EM &lt;= 30 DIAS",IF(E1994&lt;=60,"ATENCAO (31-60 DIAS)","OK"))))</f>
        <v/>
      </c>
      <c r="G1994" s="13">
        <f>SUMIFS(Movimentacoes!$G:$G,Movimentacoes!$C:$C,$A1994,Movimentacoes!$E:$E,$C1994,Movimentacoes!$B:$B,"ENTRADA")</f>
        <v/>
      </c>
      <c r="H1994" s="13">
        <f>SUMIFS(Movimentacoes!$G:$G,Movimentacoes!$C:$C,$A1994,Movimentacoes!$E:$E,$C1994,Movimentacoes!$B:$B,"SAIDA_USO")</f>
        <v/>
      </c>
      <c r="I1994" s="13">
        <f>SUMIFS(Movimentacoes!$G:$G,Movimentacoes!$C:$C,$A1994,Movimentacoes!$E:$E,$C1994,Movimentacoes!$B:$B,"SAIDA_DESCARTE")</f>
        <v/>
      </c>
      <c r="J1994" s="13">
        <f>G1994-H1994-I1994</f>
        <v/>
      </c>
      <c r="K1994">
        <f>IF(A1994="","",IF(J1994&lt;=IFERROR(VLOOKUP(A1994,Cadastro_Produtos!$A:$E,5,FALSE),0),"ABAIXO DO MINIMO","OK"))</f>
        <v/>
      </c>
    </row>
    <row r="1995">
      <c r="B1995">
        <f>IFERROR(VLOOKUP(A1995,Cadastro_Produtos!A:B,2,FALSE),"")</f>
        <v/>
      </c>
      <c r="D1995" s="12" t="n"/>
      <c r="E1995" s="13">
        <f>IF(D1995="","",D1995-TODAY())</f>
        <v/>
      </c>
      <c r="F1995">
        <f>IF(D1995="","",IF(E1995&lt;0,"VENCIDO",IF(E1995&lt;=30,"VENCE EM &lt;= 30 DIAS",IF(E1995&lt;=60,"ATENCAO (31-60 DIAS)","OK"))))</f>
        <v/>
      </c>
      <c r="G1995" s="13">
        <f>SUMIFS(Movimentacoes!$G:$G,Movimentacoes!$C:$C,$A1995,Movimentacoes!$E:$E,$C1995,Movimentacoes!$B:$B,"ENTRADA")</f>
        <v/>
      </c>
      <c r="H1995" s="13">
        <f>SUMIFS(Movimentacoes!$G:$G,Movimentacoes!$C:$C,$A1995,Movimentacoes!$E:$E,$C1995,Movimentacoes!$B:$B,"SAIDA_USO")</f>
        <v/>
      </c>
      <c r="I1995" s="13">
        <f>SUMIFS(Movimentacoes!$G:$G,Movimentacoes!$C:$C,$A1995,Movimentacoes!$E:$E,$C1995,Movimentacoes!$B:$B,"SAIDA_DESCARTE")</f>
        <v/>
      </c>
      <c r="J1995" s="13">
        <f>G1995-H1995-I1995</f>
        <v/>
      </c>
      <c r="K1995">
        <f>IF(A1995="","",IF(J1995&lt;=IFERROR(VLOOKUP(A1995,Cadastro_Produtos!$A:$E,5,FALSE),0),"ABAIXO DO MINIMO","OK"))</f>
        <v/>
      </c>
    </row>
    <row r="1996">
      <c r="B1996">
        <f>IFERROR(VLOOKUP(A1996,Cadastro_Produtos!A:B,2,FALSE),"")</f>
        <v/>
      </c>
      <c r="D1996" s="12" t="n"/>
      <c r="E1996" s="13">
        <f>IF(D1996="","",D1996-TODAY())</f>
        <v/>
      </c>
      <c r="F1996">
        <f>IF(D1996="","",IF(E1996&lt;0,"VENCIDO",IF(E1996&lt;=30,"VENCE EM &lt;= 30 DIAS",IF(E1996&lt;=60,"ATENCAO (31-60 DIAS)","OK"))))</f>
        <v/>
      </c>
      <c r="G1996" s="13">
        <f>SUMIFS(Movimentacoes!$G:$G,Movimentacoes!$C:$C,$A1996,Movimentacoes!$E:$E,$C1996,Movimentacoes!$B:$B,"ENTRADA")</f>
        <v/>
      </c>
      <c r="H1996" s="13">
        <f>SUMIFS(Movimentacoes!$G:$G,Movimentacoes!$C:$C,$A1996,Movimentacoes!$E:$E,$C1996,Movimentacoes!$B:$B,"SAIDA_USO")</f>
        <v/>
      </c>
      <c r="I1996" s="13">
        <f>SUMIFS(Movimentacoes!$G:$G,Movimentacoes!$C:$C,$A1996,Movimentacoes!$E:$E,$C1996,Movimentacoes!$B:$B,"SAIDA_DESCARTE")</f>
        <v/>
      </c>
      <c r="J1996" s="13">
        <f>G1996-H1996-I1996</f>
        <v/>
      </c>
      <c r="K1996">
        <f>IF(A1996="","",IF(J1996&lt;=IFERROR(VLOOKUP(A1996,Cadastro_Produtos!$A:$E,5,FALSE),0),"ABAIXO DO MINIMO","OK"))</f>
        <v/>
      </c>
    </row>
    <row r="1997">
      <c r="B1997">
        <f>IFERROR(VLOOKUP(A1997,Cadastro_Produtos!A:B,2,FALSE),"")</f>
        <v/>
      </c>
      <c r="D1997" s="12" t="n"/>
      <c r="E1997" s="13">
        <f>IF(D1997="","",D1997-TODAY())</f>
        <v/>
      </c>
      <c r="F1997">
        <f>IF(D1997="","",IF(E1997&lt;0,"VENCIDO",IF(E1997&lt;=30,"VENCE EM &lt;= 30 DIAS",IF(E1997&lt;=60,"ATENCAO (31-60 DIAS)","OK"))))</f>
        <v/>
      </c>
      <c r="G1997" s="13">
        <f>SUMIFS(Movimentacoes!$G:$G,Movimentacoes!$C:$C,$A1997,Movimentacoes!$E:$E,$C1997,Movimentacoes!$B:$B,"ENTRADA")</f>
        <v/>
      </c>
      <c r="H1997" s="13">
        <f>SUMIFS(Movimentacoes!$G:$G,Movimentacoes!$C:$C,$A1997,Movimentacoes!$E:$E,$C1997,Movimentacoes!$B:$B,"SAIDA_USO")</f>
        <v/>
      </c>
      <c r="I1997" s="13">
        <f>SUMIFS(Movimentacoes!$G:$G,Movimentacoes!$C:$C,$A1997,Movimentacoes!$E:$E,$C1997,Movimentacoes!$B:$B,"SAIDA_DESCARTE")</f>
        <v/>
      </c>
      <c r="J1997" s="13">
        <f>G1997-H1997-I1997</f>
        <v/>
      </c>
      <c r="K1997">
        <f>IF(A1997="","",IF(J1997&lt;=IFERROR(VLOOKUP(A1997,Cadastro_Produtos!$A:$E,5,FALSE),0),"ABAIXO DO MINIMO","OK"))</f>
        <v/>
      </c>
    </row>
    <row r="1998">
      <c r="B1998">
        <f>IFERROR(VLOOKUP(A1998,Cadastro_Produtos!A:B,2,FALSE),"")</f>
        <v/>
      </c>
      <c r="D1998" s="12" t="n"/>
      <c r="E1998" s="13">
        <f>IF(D1998="","",D1998-TODAY())</f>
        <v/>
      </c>
      <c r="F1998">
        <f>IF(D1998="","",IF(E1998&lt;0,"VENCIDO",IF(E1998&lt;=30,"VENCE EM &lt;= 30 DIAS",IF(E1998&lt;=60,"ATENCAO (31-60 DIAS)","OK"))))</f>
        <v/>
      </c>
      <c r="G1998" s="13">
        <f>SUMIFS(Movimentacoes!$G:$G,Movimentacoes!$C:$C,$A1998,Movimentacoes!$E:$E,$C1998,Movimentacoes!$B:$B,"ENTRADA")</f>
        <v/>
      </c>
      <c r="H1998" s="13">
        <f>SUMIFS(Movimentacoes!$G:$G,Movimentacoes!$C:$C,$A1998,Movimentacoes!$E:$E,$C1998,Movimentacoes!$B:$B,"SAIDA_USO")</f>
        <v/>
      </c>
      <c r="I1998" s="13">
        <f>SUMIFS(Movimentacoes!$G:$G,Movimentacoes!$C:$C,$A1998,Movimentacoes!$E:$E,$C1998,Movimentacoes!$B:$B,"SAIDA_DESCARTE")</f>
        <v/>
      </c>
      <c r="J1998" s="13">
        <f>G1998-H1998-I1998</f>
        <v/>
      </c>
      <c r="K1998">
        <f>IF(A1998="","",IF(J1998&lt;=IFERROR(VLOOKUP(A1998,Cadastro_Produtos!$A:$E,5,FALSE),0),"ABAIXO DO MINIMO","OK"))</f>
        <v/>
      </c>
    </row>
    <row r="1999">
      <c r="B1999">
        <f>IFERROR(VLOOKUP(A1999,Cadastro_Produtos!A:B,2,FALSE),"")</f>
        <v/>
      </c>
      <c r="D1999" s="12" t="n"/>
      <c r="E1999" s="13">
        <f>IF(D1999="","",D1999-TODAY())</f>
        <v/>
      </c>
      <c r="F1999">
        <f>IF(D1999="","",IF(E1999&lt;0,"VENCIDO",IF(E1999&lt;=30,"VENCE EM &lt;= 30 DIAS",IF(E1999&lt;=60,"ATENCAO (31-60 DIAS)","OK"))))</f>
        <v/>
      </c>
      <c r="G1999" s="13">
        <f>SUMIFS(Movimentacoes!$G:$G,Movimentacoes!$C:$C,$A1999,Movimentacoes!$E:$E,$C1999,Movimentacoes!$B:$B,"ENTRADA")</f>
        <v/>
      </c>
      <c r="H1999" s="13">
        <f>SUMIFS(Movimentacoes!$G:$G,Movimentacoes!$C:$C,$A1999,Movimentacoes!$E:$E,$C1999,Movimentacoes!$B:$B,"SAIDA_USO")</f>
        <v/>
      </c>
      <c r="I1999" s="13">
        <f>SUMIFS(Movimentacoes!$G:$G,Movimentacoes!$C:$C,$A1999,Movimentacoes!$E:$E,$C1999,Movimentacoes!$B:$B,"SAIDA_DESCARTE")</f>
        <v/>
      </c>
      <c r="J1999" s="13">
        <f>G1999-H1999-I1999</f>
        <v/>
      </c>
      <c r="K1999">
        <f>IF(A1999="","",IF(J1999&lt;=IFERROR(VLOOKUP(A1999,Cadastro_Produtos!$A:$E,5,FALSE),0),"ABAIXO DO MINIMO","OK"))</f>
        <v/>
      </c>
    </row>
    <row r="2000">
      <c r="B2000">
        <f>IFERROR(VLOOKUP(A2000,Cadastro_Produtos!A:B,2,FALSE),"")</f>
        <v/>
      </c>
      <c r="D2000" s="12" t="n"/>
      <c r="E2000" s="13">
        <f>IF(D2000="","",D2000-TODAY())</f>
        <v/>
      </c>
      <c r="F2000">
        <f>IF(D2000="","",IF(E2000&lt;0,"VENCIDO",IF(E2000&lt;=30,"VENCE EM &lt;= 30 DIAS",IF(E2000&lt;=60,"ATENCAO (31-60 DIAS)","OK"))))</f>
        <v/>
      </c>
      <c r="G2000" s="13">
        <f>SUMIFS(Movimentacoes!$G:$G,Movimentacoes!$C:$C,$A2000,Movimentacoes!$E:$E,$C2000,Movimentacoes!$B:$B,"ENTRADA")</f>
        <v/>
      </c>
      <c r="H2000" s="13">
        <f>SUMIFS(Movimentacoes!$G:$G,Movimentacoes!$C:$C,$A2000,Movimentacoes!$E:$E,$C2000,Movimentacoes!$B:$B,"SAIDA_USO")</f>
        <v/>
      </c>
      <c r="I2000" s="13">
        <f>SUMIFS(Movimentacoes!$G:$G,Movimentacoes!$C:$C,$A2000,Movimentacoes!$E:$E,$C2000,Movimentacoes!$B:$B,"SAIDA_DESCARTE")</f>
        <v/>
      </c>
      <c r="J2000" s="13">
        <f>G2000-H2000-I2000</f>
        <v/>
      </c>
      <c r="K2000">
        <f>IF(A2000="","",IF(J2000&lt;=IFERROR(VLOOKUP(A2000,Cadastro_Produtos!$A:$E,5,FALSE),0),"ABAIXO DO MINIMO","OK"))</f>
        <v/>
      </c>
    </row>
    <row r="2001">
      <c r="B2001">
        <f>IFERROR(VLOOKUP(A2001,Cadastro_Produtos!A:B,2,FALSE),"")</f>
        <v/>
      </c>
      <c r="D2001" s="12" t="n"/>
      <c r="E2001" s="13">
        <f>IF(D2001="","",D2001-TODAY())</f>
        <v/>
      </c>
      <c r="F2001">
        <f>IF(D2001="","",IF(E2001&lt;0,"VENCIDO",IF(E2001&lt;=30,"VENCE EM &lt;= 30 DIAS",IF(E2001&lt;=60,"ATENCAO (31-60 DIAS)","OK"))))</f>
        <v/>
      </c>
      <c r="G2001" s="13">
        <f>SUMIFS(Movimentacoes!$G:$G,Movimentacoes!$C:$C,$A2001,Movimentacoes!$E:$E,$C2001,Movimentacoes!$B:$B,"ENTRADA")</f>
        <v/>
      </c>
      <c r="H2001" s="13">
        <f>SUMIFS(Movimentacoes!$G:$G,Movimentacoes!$C:$C,$A2001,Movimentacoes!$E:$E,$C2001,Movimentacoes!$B:$B,"SAIDA_USO")</f>
        <v/>
      </c>
      <c r="I2001" s="13">
        <f>SUMIFS(Movimentacoes!$G:$G,Movimentacoes!$C:$C,$A2001,Movimentacoes!$E:$E,$C2001,Movimentacoes!$B:$B,"SAIDA_DESCARTE")</f>
        <v/>
      </c>
      <c r="J2001" s="13">
        <f>G2001-H2001-I2001</f>
        <v/>
      </c>
      <c r="K2001">
        <f>IF(A2001="","",IF(J2001&lt;=IFERROR(VLOOKUP(A2001,Cadastro_Produtos!$A:$E,5,FALSE),0),"ABAIXO DO MINIMO","OK"))</f>
        <v/>
      </c>
    </row>
    <row r="2002">
      <c r="B2002">
        <f>IFERROR(VLOOKUP(A2002,Cadastro_Produtos!A:B,2,FALSE),"")</f>
        <v/>
      </c>
      <c r="D2002" s="12" t="n"/>
      <c r="E2002" s="13">
        <f>IF(D2002="","",D2002-TODAY())</f>
        <v/>
      </c>
      <c r="F2002">
        <f>IF(D2002="","",IF(E2002&lt;0,"VENCIDO",IF(E2002&lt;=30,"VENCE EM &lt;= 30 DIAS",IF(E2002&lt;=60,"ATENCAO (31-60 DIAS)","OK"))))</f>
        <v/>
      </c>
      <c r="G2002" s="13">
        <f>SUMIFS(Movimentacoes!$G:$G,Movimentacoes!$C:$C,$A2002,Movimentacoes!$E:$E,$C2002,Movimentacoes!$B:$B,"ENTRADA")</f>
        <v/>
      </c>
      <c r="H2002" s="13">
        <f>SUMIFS(Movimentacoes!$G:$G,Movimentacoes!$C:$C,$A2002,Movimentacoes!$E:$E,$C2002,Movimentacoes!$B:$B,"SAIDA_USO")</f>
        <v/>
      </c>
      <c r="I2002" s="13">
        <f>SUMIFS(Movimentacoes!$G:$G,Movimentacoes!$C:$C,$A2002,Movimentacoes!$E:$E,$C2002,Movimentacoes!$B:$B,"SAIDA_DESCARTE")</f>
        <v/>
      </c>
      <c r="J2002" s="13">
        <f>G2002-H2002-I2002</f>
        <v/>
      </c>
      <c r="K2002">
        <f>IF(A2002="","",IF(J2002&lt;=IFERROR(VLOOKUP(A2002,Cadastro_Produtos!$A:$E,5,FALSE),0),"ABAIXO DO MINIMO","OK"))</f>
        <v/>
      </c>
    </row>
    <row r="2003">
      <c r="B2003">
        <f>IFERROR(VLOOKUP(A2003,Cadastro_Produtos!A:B,2,FALSE),"")</f>
        <v/>
      </c>
      <c r="D2003" s="12" t="n"/>
      <c r="E2003" s="13">
        <f>IF(D2003="","",D2003-TODAY())</f>
        <v/>
      </c>
      <c r="F2003">
        <f>IF(D2003="","",IF(E2003&lt;0,"VENCIDO",IF(E2003&lt;=30,"VENCE EM &lt;= 30 DIAS",IF(E2003&lt;=60,"ATENCAO (31-60 DIAS)","OK"))))</f>
        <v/>
      </c>
      <c r="G2003" s="13">
        <f>SUMIFS(Movimentacoes!$G:$G,Movimentacoes!$C:$C,$A2003,Movimentacoes!$E:$E,$C2003,Movimentacoes!$B:$B,"ENTRADA")</f>
        <v/>
      </c>
      <c r="H2003" s="13">
        <f>SUMIFS(Movimentacoes!$G:$G,Movimentacoes!$C:$C,$A2003,Movimentacoes!$E:$E,$C2003,Movimentacoes!$B:$B,"SAIDA_USO")</f>
        <v/>
      </c>
      <c r="I2003" s="13">
        <f>SUMIFS(Movimentacoes!$G:$G,Movimentacoes!$C:$C,$A2003,Movimentacoes!$E:$E,$C2003,Movimentacoes!$B:$B,"SAIDA_DESCARTE")</f>
        <v/>
      </c>
      <c r="J2003" s="13">
        <f>G2003-H2003-I2003</f>
        <v/>
      </c>
      <c r="K2003">
        <f>IF(A2003="","",IF(J2003&lt;=IFERROR(VLOOKUP(A2003,Cadastro_Produtos!$A:$E,5,FALSE),0),"ABAIXO DO MINIMO","OK"))</f>
        <v/>
      </c>
    </row>
    <row r="2004">
      <c r="B2004">
        <f>IFERROR(VLOOKUP(A2004,Cadastro_Produtos!A:B,2,FALSE),"")</f>
        <v/>
      </c>
      <c r="D2004" s="12" t="n"/>
      <c r="E2004" s="13">
        <f>IF(D2004="","",D2004-TODAY())</f>
        <v/>
      </c>
      <c r="F2004">
        <f>IF(D2004="","",IF(E2004&lt;0,"VENCIDO",IF(E2004&lt;=30,"VENCE EM &lt;= 30 DIAS",IF(E2004&lt;=60,"ATENCAO (31-60 DIAS)","OK"))))</f>
        <v/>
      </c>
      <c r="G2004" s="13">
        <f>SUMIFS(Movimentacoes!$G:$G,Movimentacoes!$C:$C,$A2004,Movimentacoes!$E:$E,$C2004,Movimentacoes!$B:$B,"ENTRADA")</f>
        <v/>
      </c>
      <c r="H2004" s="13">
        <f>SUMIFS(Movimentacoes!$G:$G,Movimentacoes!$C:$C,$A2004,Movimentacoes!$E:$E,$C2004,Movimentacoes!$B:$B,"SAIDA_USO")</f>
        <v/>
      </c>
      <c r="I2004" s="13">
        <f>SUMIFS(Movimentacoes!$G:$G,Movimentacoes!$C:$C,$A2004,Movimentacoes!$E:$E,$C2004,Movimentacoes!$B:$B,"SAIDA_DESCARTE")</f>
        <v/>
      </c>
      <c r="J2004" s="13">
        <f>G2004-H2004-I2004</f>
        <v/>
      </c>
      <c r="K2004">
        <f>IF(A2004="","",IF(J2004&lt;=IFERROR(VLOOKUP(A2004,Cadastro_Produtos!$A:$E,5,FALSE),0),"ABAIXO DO MINIMO","OK"))</f>
        <v/>
      </c>
    </row>
    <row r="2005">
      <c r="B2005">
        <f>IFERROR(VLOOKUP(A2005,Cadastro_Produtos!A:B,2,FALSE),"")</f>
        <v/>
      </c>
      <c r="D2005" s="12" t="n"/>
      <c r="E2005" s="13">
        <f>IF(D2005="","",D2005-TODAY())</f>
        <v/>
      </c>
      <c r="F2005">
        <f>IF(D2005="","",IF(E2005&lt;0,"VENCIDO",IF(E2005&lt;=30,"VENCE EM &lt;= 30 DIAS",IF(E2005&lt;=60,"ATENCAO (31-60 DIAS)","OK"))))</f>
        <v/>
      </c>
      <c r="G2005" s="13">
        <f>SUMIFS(Movimentacoes!$G:$G,Movimentacoes!$C:$C,$A2005,Movimentacoes!$E:$E,$C2005,Movimentacoes!$B:$B,"ENTRADA")</f>
        <v/>
      </c>
      <c r="H2005" s="13">
        <f>SUMIFS(Movimentacoes!$G:$G,Movimentacoes!$C:$C,$A2005,Movimentacoes!$E:$E,$C2005,Movimentacoes!$B:$B,"SAIDA_USO")</f>
        <v/>
      </c>
      <c r="I2005" s="13">
        <f>SUMIFS(Movimentacoes!$G:$G,Movimentacoes!$C:$C,$A2005,Movimentacoes!$E:$E,$C2005,Movimentacoes!$B:$B,"SAIDA_DESCARTE")</f>
        <v/>
      </c>
      <c r="J2005" s="13">
        <f>G2005-H2005-I2005</f>
        <v/>
      </c>
      <c r="K2005">
        <f>IF(A2005="","",IF(J2005&lt;=IFERROR(VLOOKUP(A2005,Cadastro_Produtos!$A:$E,5,FALSE),0),"ABAIXO DO MINIMO","OK"))</f>
        <v/>
      </c>
    </row>
    <row r="2006">
      <c r="B2006">
        <f>IFERROR(VLOOKUP(A2006,Cadastro_Produtos!A:B,2,FALSE),"")</f>
        <v/>
      </c>
      <c r="D2006" s="12" t="n"/>
      <c r="E2006" s="13">
        <f>IF(D2006="","",D2006-TODAY())</f>
        <v/>
      </c>
      <c r="F2006">
        <f>IF(D2006="","",IF(E2006&lt;0,"VENCIDO",IF(E2006&lt;=30,"VENCE EM &lt;= 30 DIAS",IF(E2006&lt;=60,"ATENCAO (31-60 DIAS)","OK"))))</f>
        <v/>
      </c>
      <c r="G2006" s="13">
        <f>SUMIFS(Movimentacoes!$G:$G,Movimentacoes!$C:$C,$A2006,Movimentacoes!$E:$E,$C2006,Movimentacoes!$B:$B,"ENTRADA")</f>
        <v/>
      </c>
      <c r="H2006" s="13">
        <f>SUMIFS(Movimentacoes!$G:$G,Movimentacoes!$C:$C,$A2006,Movimentacoes!$E:$E,$C2006,Movimentacoes!$B:$B,"SAIDA_USO")</f>
        <v/>
      </c>
      <c r="I2006" s="13">
        <f>SUMIFS(Movimentacoes!$G:$G,Movimentacoes!$C:$C,$A2006,Movimentacoes!$E:$E,$C2006,Movimentacoes!$B:$B,"SAIDA_DESCARTE")</f>
        <v/>
      </c>
      <c r="J2006" s="13">
        <f>G2006-H2006-I2006</f>
        <v/>
      </c>
      <c r="K2006">
        <f>IF(A2006="","",IF(J2006&lt;=IFERROR(VLOOKUP(A2006,Cadastro_Produtos!$A:$E,5,FALSE),0),"ABAIXO DO MINIMO","OK"))</f>
        <v/>
      </c>
    </row>
    <row r="2007">
      <c r="B2007">
        <f>IFERROR(VLOOKUP(A2007,Cadastro_Produtos!A:B,2,FALSE),"")</f>
        <v/>
      </c>
      <c r="D2007" s="12" t="n"/>
      <c r="E2007" s="13">
        <f>IF(D2007="","",D2007-TODAY())</f>
        <v/>
      </c>
      <c r="F2007">
        <f>IF(D2007="","",IF(E2007&lt;0,"VENCIDO",IF(E2007&lt;=30,"VENCE EM &lt;= 30 DIAS",IF(E2007&lt;=60,"ATENCAO (31-60 DIAS)","OK"))))</f>
        <v/>
      </c>
      <c r="G2007" s="13">
        <f>SUMIFS(Movimentacoes!$G:$G,Movimentacoes!$C:$C,$A2007,Movimentacoes!$E:$E,$C2007,Movimentacoes!$B:$B,"ENTRADA")</f>
        <v/>
      </c>
      <c r="H2007" s="13">
        <f>SUMIFS(Movimentacoes!$G:$G,Movimentacoes!$C:$C,$A2007,Movimentacoes!$E:$E,$C2007,Movimentacoes!$B:$B,"SAIDA_USO")</f>
        <v/>
      </c>
      <c r="I2007" s="13">
        <f>SUMIFS(Movimentacoes!$G:$G,Movimentacoes!$C:$C,$A2007,Movimentacoes!$E:$E,$C2007,Movimentacoes!$B:$B,"SAIDA_DESCARTE")</f>
        <v/>
      </c>
      <c r="J2007" s="13">
        <f>G2007-H2007-I2007</f>
        <v/>
      </c>
      <c r="K2007">
        <f>IF(A2007="","",IF(J2007&lt;=IFERROR(VLOOKUP(A2007,Cadastro_Produtos!$A:$E,5,FALSE),0),"ABAIXO DO MINIMO","OK"))</f>
        <v/>
      </c>
    </row>
    <row r="2008">
      <c r="B2008">
        <f>IFERROR(VLOOKUP(A2008,Cadastro_Produtos!A:B,2,FALSE),"")</f>
        <v/>
      </c>
      <c r="D2008" s="12" t="n"/>
      <c r="E2008" s="13">
        <f>IF(D2008="","",D2008-TODAY())</f>
        <v/>
      </c>
      <c r="F2008">
        <f>IF(D2008="","",IF(E2008&lt;0,"VENCIDO",IF(E2008&lt;=30,"VENCE EM &lt;= 30 DIAS",IF(E2008&lt;=60,"ATENCAO (31-60 DIAS)","OK"))))</f>
        <v/>
      </c>
      <c r="G2008" s="13">
        <f>SUMIFS(Movimentacoes!$G:$G,Movimentacoes!$C:$C,$A2008,Movimentacoes!$E:$E,$C2008,Movimentacoes!$B:$B,"ENTRADA")</f>
        <v/>
      </c>
      <c r="H2008" s="13">
        <f>SUMIFS(Movimentacoes!$G:$G,Movimentacoes!$C:$C,$A2008,Movimentacoes!$E:$E,$C2008,Movimentacoes!$B:$B,"SAIDA_USO")</f>
        <v/>
      </c>
      <c r="I2008" s="13">
        <f>SUMIFS(Movimentacoes!$G:$G,Movimentacoes!$C:$C,$A2008,Movimentacoes!$E:$E,$C2008,Movimentacoes!$B:$B,"SAIDA_DESCARTE")</f>
        <v/>
      </c>
      <c r="J2008" s="13">
        <f>G2008-H2008-I2008</f>
        <v/>
      </c>
      <c r="K2008">
        <f>IF(A2008="","",IF(J2008&lt;=IFERROR(VLOOKUP(A2008,Cadastro_Produtos!$A:$E,5,FALSE),0),"ABAIXO DO MINIMO","OK"))</f>
        <v/>
      </c>
    </row>
    <row r="2009">
      <c r="B2009">
        <f>IFERROR(VLOOKUP(A2009,Cadastro_Produtos!A:B,2,FALSE),"")</f>
        <v/>
      </c>
      <c r="D2009" s="12" t="n"/>
      <c r="E2009" s="13">
        <f>IF(D2009="","",D2009-TODAY())</f>
        <v/>
      </c>
      <c r="F2009">
        <f>IF(D2009="","",IF(E2009&lt;0,"VENCIDO",IF(E2009&lt;=30,"VENCE EM &lt;= 30 DIAS",IF(E2009&lt;=60,"ATENCAO (31-60 DIAS)","OK"))))</f>
        <v/>
      </c>
      <c r="G2009" s="13">
        <f>SUMIFS(Movimentacoes!$G:$G,Movimentacoes!$C:$C,$A2009,Movimentacoes!$E:$E,$C2009,Movimentacoes!$B:$B,"ENTRADA")</f>
        <v/>
      </c>
      <c r="H2009" s="13">
        <f>SUMIFS(Movimentacoes!$G:$G,Movimentacoes!$C:$C,$A2009,Movimentacoes!$E:$E,$C2009,Movimentacoes!$B:$B,"SAIDA_USO")</f>
        <v/>
      </c>
      <c r="I2009" s="13">
        <f>SUMIFS(Movimentacoes!$G:$G,Movimentacoes!$C:$C,$A2009,Movimentacoes!$E:$E,$C2009,Movimentacoes!$B:$B,"SAIDA_DESCARTE")</f>
        <v/>
      </c>
      <c r="J2009" s="13">
        <f>G2009-H2009-I2009</f>
        <v/>
      </c>
      <c r="K2009">
        <f>IF(A2009="","",IF(J2009&lt;=IFERROR(VLOOKUP(A2009,Cadastro_Produtos!$A:$E,5,FALSE),0),"ABAIXO DO MINIMO","OK"))</f>
        <v/>
      </c>
    </row>
    <row r="2010">
      <c r="B2010">
        <f>IFERROR(VLOOKUP(A2010,Cadastro_Produtos!A:B,2,FALSE),"")</f>
        <v/>
      </c>
      <c r="D2010" s="12" t="n"/>
      <c r="E2010" s="13">
        <f>IF(D2010="","",D2010-TODAY())</f>
        <v/>
      </c>
      <c r="F2010">
        <f>IF(D2010="","",IF(E2010&lt;0,"VENCIDO",IF(E2010&lt;=30,"VENCE EM &lt;= 30 DIAS",IF(E2010&lt;=60,"ATENCAO (31-60 DIAS)","OK"))))</f>
        <v/>
      </c>
      <c r="G2010" s="13">
        <f>SUMIFS(Movimentacoes!$G:$G,Movimentacoes!$C:$C,$A2010,Movimentacoes!$E:$E,$C2010,Movimentacoes!$B:$B,"ENTRADA")</f>
        <v/>
      </c>
      <c r="H2010" s="13">
        <f>SUMIFS(Movimentacoes!$G:$G,Movimentacoes!$C:$C,$A2010,Movimentacoes!$E:$E,$C2010,Movimentacoes!$B:$B,"SAIDA_USO")</f>
        <v/>
      </c>
      <c r="I2010" s="13">
        <f>SUMIFS(Movimentacoes!$G:$G,Movimentacoes!$C:$C,$A2010,Movimentacoes!$E:$E,$C2010,Movimentacoes!$B:$B,"SAIDA_DESCARTE")</f>
        <v/>
      </c>
      <c r="J2010" s="13">
        <f>G2010-H2010-I2010</f>
        <v/>
      </c>
      <c r="K2010">
        <f>IF(A2010="","",IF(J2010&lt;=IFERROR(VLOOKUP(A2010,Cadastro_Produtos!$A:$E,5,FALSE),0),"ABAIXO DO MINIMO","OK"))</f>
        <v/>
      </c>
    </row>
    <row r="2011">
      <c r="B2011">
        <f>IFERROR(VLOOKUP(A2011,Cadastro_Produtos!A:B,2,FALSE),"")</f>
        <v/>
      </c>
      <c r="D2011" s="12" t="n"/>
      <c r="E2011" s="13">
        <f>IF(D2011="","",D2011-TODAY())</f>
        <v/>
      </c>
      <c r="F2011">
        <f>IF(D2011="","",IF(E2011&lt;0,"VENCIDO",IF(E2011&lt;=30,"VENCE EM &lt;= 30 DIAS",IF(E2011&lt;=60,"ATENCAO (31-60 DIAS)","OK"))))</f>
        <v/>
      </c>
      <c r="G2011" s="13">
        <f>SUMIFS(Movimentacoes!$G:$G,Movimentacoes!$C:$C,$A2011,Movimentacoes!$E:$E,$C2011,Movimentacoes!$B:$B,"ENTRADA")</f>
        <v/>
      </c>
      <c r="H2011" s="13">
        <f>SUMIFS(Movimentacoes!$G:$G,Movimentacoes!$C:$C,$A2011,Movimentacoes!$E:$E,$C2011,Movimentacoes!$B:$B,"SAIDA_USO")</f>
        <v/>
      </c>
      <c r="I2011" s="13">
        <f>SUMIFS(Movimentacoes!$G:$G,Movimentacoes!$C:$C,$A2011,Movimentacoes!$E:$E,$C2011,Movimentacoes!$B:$B,"SAIDA_DESCARTE")</f>
        <v/>
      </c>
      <c r="J2011" s="13">
        <f>G2011-H2011-I2011</f>
        <v/>
      </c>
      <c r="K2011">
        <f>IF(A2011="","",IF(J2011&lt;=IFERROR(VLOOKUP(A2011,Cadastro_Produtos!$A:$E,5,FALSE),0),"ABAIXO DO MINIMO","OK"))</f>
        <v/>
      </c>
    </row>
    <row r="2012">
      <c r="B2012">
        <f>IFERROR(VLOOKUP(A2012,Cadastro_Produtos!A:B,2,FALSE),"")</f>
        <v/>
      </c>
      <c r="D2012" s="12" t="n"/>
      <c r="E2012" s="13">
        <f>IF(D2012="","",D2012-TODAY())</f>
        <v/>
      </c>
      <c r="F2012">
        <f>IF(D2012="","",IF(E2012&lt;0,"VENCIDO",IF(E2012&lt;=30,"VENCE EM &lt;= 30 DIAS",IF(E2012&lt;=60,"ATENCAO (31-60 DIAS)","OK"))))</f>
        <v/>
      </c>
      <c r="G2012" s="13">
        <f>SUMIFS(Movimentacoes!$G:$G,Movimentacoes!$C:$C,$A2012,Movimentacoes!$E:$E,$C2012,Movimentacoes!$B:$B,"ENTRADA")</f>
        <v/>
      </c>
      <c r="H2012" s="13">
        <f>SUMIFS(Movimentacoes!$G:$G,Movimentacoes!$C:$C,$A2012,Movimentacoes!$E:$E,$C2012,Movimentacoes!$B:$B,"SAIDA_USO")</f>
        <v/>
      </c>
      <c r="I2012" s="13">
        <f>SUMIFS(Movimentacoes!$G:$G,Movimentacoes!$C:$C,$A2012,Movimentacoes!$E:$E,$C2012,Movimentacoes!$B:$B,"SAIDA_DESCARTE")</f>
        <v/>
      </c>
      <c r="J2012" s="13">
        <f>G2012-H2012-I2012</f>
        <v/>
      </c>
      <c r="K2012">
        <f>IF(A2012="","",IF(J2012&lt;=IFERROR(VLOOKUP(A2012,Cadastro_Produtos!$A:$E,5,FALSE),0),"ABAIXO DO MINIMO","OK"))</f>
        <v/>
      </c>
    </row>
    <row r="2013">
      <c r="B2013">
        <f>IFERROR(VLOOKUP(A2013,Cadastro_Produtos!A:B,2,FALSE),"")</f>
        <v/>
      </c>
      <c r="D2013" s="12" t="n"/>
      <c r="E2013" s="13">
        <f>IF(D2013="","",D2013-TODAY())</f>
        <v/>
      </c>
      <c r="F2013">
        <f>IF(D2013="","",IF(E2013&lt;0,"VENCIDO",IF(E2013&lt;=30,"VENCE EM &lt;= 30 DIAS",IF(E2013&lt;=60,"ATENCAO (31-60 DIAS)","OK"))))</f>
        <v/>
      </c>
      <c r="G2013" s="13">
        <f>SUMIFS(Movimentacoes!$G:$G,Movimentacoes!$C:$C,$A2013,Movimentacoes!$E:$E,$C2013,Movimentacoes!$B:$B,"ENTRADA")</f>
        <v/>
      </c>
      <c r="H2013" s="13">
        <f>SUMIFS(Movimentacoes!$G:$G,Movimentacoes!$C:$C,$A2013,Movimentacoes!$E:$E,$C2013,Movimentacoes!$B:$B,"SAIDA_USO")</f>
        <v/>
      </c>
      <c r="I2013" s="13">
        <f>SUMIFS(Movimentacoes!$G:$G,Movimentacoes!$C:$C,$A2013,Movimentacoes!$E:$E,$C2013,Movimentacoes!$B:$B,"SAIDA_DESCARTE")</f>
        <v/>
      </c>
      <c r="J2013" s="13">
        <f>G2013-H2013-I2013</f>
        <v/>
      </c>
      <c r="K2013">
        <f>IF(A2013="","",IF(J2013&lt;=IFERROR(VLOOKUP(A2013,Cadastro_Produtos!$A:$E,5,FALSE),0),"ABAIXO DO MINIMO","OK"))</f>
        <v/>
      </c>
    </row>
    <row r="2014">
      <c r="B2014">
        <f>IFERROR(VLOOKUP(A2014,Cadastro_Produtos!A:B,2,FALSE),"")</f>
        <v/>
      </c>
      <c r="D2014" s="12" t="n"/>
      <c r="E2014" s="13">
        <f>IF(D2014="","",D2014-TODAY())</f>
        <v/>
      </c>
      <c r="F2014">
        <f>IF(D2014="","",IF(E2014&lt;0,"VENCIDO",IF(E2014&lt;=30,"VENCE EM &lt;= 30 DIAS",IF(E2014&lt;=60,"ATENCAO (31-60 DIAS)","OK"))))</f>
        <v/>
      </c>
      <c r="G2014" s="13">
        <f>SUMIFS(Movimentacoes!$G:$G,Movimentacoes!$C:$C,$A2014,Movimentacoes!$E:$E,$C2014,Movimentacoes!$B:$B,"ENTRADA")</f>
        <v/>
      </c>
      <c r="H2014" s="13">
        <f>SUMIFS(Movimentacoes!$G:$G,Movimentacoes!$C:$C,$A2014,Movimentacoes!$E:$E,$C2014,Movimentacoes!$B:$B,"SAIDA_USO")</f>
        <v/>
      </c>
      <c r="I2014" s="13">
        <f>SUMIFS(Movimentacoes!$G:$G,Movimentacoes!$C:$C,$A2014,Movimentacoes!$E:$E,$C2014,Movimentacoes!$B:$B,"SAIDA_DESCARTE")</f>
        <v/>
      </c>
      <c r="J2014" s="13">
        <f>G2014-H2014-I2014</f>
        <v/>
      </c>
      <c r="K2014">
        <f>IF(A2014="","",IF(J2014&lt;=IFERROR(VLOOKUP(A2014,Cadastro_Produtos!$A:$E,5,FALSE),0),"ABAIXO DO MINIMO","OK"))</f>
        <v/>
      </c>
    </row>
    <row r="2015">
      <c r="B2015">
        <f>IFERROR(VLOOKUP(A2015,Cadastro_Produtos!A:B,2,FALSE),"")</f>
        <v/>
      </c>
      <c r="D2015" s="12" t="n"/>
      <c r="E2015" s="13">
        <f>IF(D2015="","",D2015-TODAY())</f>
        <v/>
      </c>
      <c r="F2015">
        <f>IF(D2015="","",IF(E2015&lt;0,"VENCIDO",IF(E2015&lt;=30,"VENCE EM &lt;= 30 DIAS",IF(E2015&lt;=60,"ATENCAO (31-60 DIAS)","OK"))))</f>
        <v/>
      </c>
      <c r="G2015" s="13">
        <f>SUMIFS(Movimentacoes!$G:$G,Movimentacoes!$C:$C,$A2015,Movimentacoes!$E:$E,$C2015,Movimentacoes!$B:$B,"ENTRADA")</f>
        <v/>
      </c>
      <c r="H2015" s="13">
        <f>SUMIFS(Movimentacoes!$G:$G,Movimentacoes!$C:$C,$A2015,Movimentacoes!$E:$E,$C2015,Movimentacoes!$B:$B,"SAIDA_USO")</f>
        <v/>
      </c>
      <c r="I2015" s="13">
        <f>SUMIFS(Movimentacoes!$G:$G,Movimentacoes!$C:$C,$A2015,Movimentacoes!$E:$E,$C2015,Movimentacoes!$B:$B,"SAIDA_DESCARTE")</f>
        <v/>
      </c>
      <c r="J2015" s="13">
        <f>G2015-H2015-I2015</f>
        <v/>
      </c>
      <c r="K2015">
        <f>IF(A2015="","",IF(J2015&lt;=IFERROR(VLOOKUP(A2015,Cadastro_Produtos!$A:$E,5,FALSE),0),"ABAIXO DO MINIMO","OK"))</f>
        <v/>
      </c>
    </row>
    <row r="2016">
      <c r="B2016">
        <f>IFERROR(VLOOKUP(A2016,Cadastro_Produtos!A:B,2,FALSE),"")</f>
        <v/>
      </c>
      <c r="D2016" s="12" t="n"/>
      <c r="E2016" s="13">
        <f>IF(D2016="","",D2016-TODAY())</f>
        <v/>
      </c>
      <c r="F2016">
        <f>IF(D2016="","",IF(E2016&lt;0,"VENCIDO",IF(E2016&lt;=30,"VENCE EM &lt;= 30 DIAS",IF(E2016&lt;=60,"ATENCAO (31-60 DIAS)","OK"))))</f>
        <v/>
      </c>
      <c r="G2016" s="13">
        <f>SUMIFS(Movimentacoes!$G:$G,Movimentacoes!$C:$C,$A2016,Movimentacoes!$E:$E,$C2016,Movimentacoes!$B:$B,"ENTRADA")</f>
        <v/>
      </c>
      <c r="H2016" s="13">
        <f>SUMIFS(Movimentacoes!$G:$G,Movimentacoes!$C:$C,$A2016,Movimentacoes!$E:$E,$C2016,Movimentacoes!$B:$B,"SAIDA_USO")</f>
        <v/>
      </c>
      <c r="I2016" s="13">
        <f>SUMIFS(Movimentacoes!$G:$G,Movimentacoes!$C:$C,$A2016,Movimentacoes!$E:$E,$C2016,Movimentacoes!$B:$B,"SAIDA_DESCARTE")</f>
        <v/>
      </c>
      <c r="J2016" s="13">
        <f>G2016-H2016-I2016</f>
        <v/>
      </c>
      <c r="K2016">
        <f>IF(A2016="","",IF(J2016&lt;=IFERROR(VLOOKUP(A2016,Cadastro_Produtos!$A:$E,5,FALSE),0),"ABAIXO DO MINIMO","OK"))</f>
        <v/>
      </c>
    </row>
    <row r="2017">
      <c r="B2017">
        <f>IFERROR(VLOOKUP(A2017,Cadastro_Produtos!A:B,2,FALSE),"")</f>
        <v/>
      </c>
      <c r="D2017" s="12" t="n"/>
      <c r="E2017" s="13">
        <f>IF(D2017="","",D2017-TODAY())</f>
        <v/>
      </c>
      <c r="F2017">
        <f>IF(D2017="","",IF(E2017&lt;0,"VENCIDO",IF(E2017&lt;=30,"VENCE EM &lt;= 30 DIAS",IF(E2017&lt;=60,"ATENCAO (31-60 DIAS)","OK"))))</f>
        <v/>
      </c>
      <c r="G2017" s="13">
        <f>SUMIFS(Movimentacoes!$G:$G,Movimentacoes!$C:$C,$A2017,Movimentacoes!$E:$E,$C2017,Movimentacoes!$B:$B,"ENTRADA")</f>
        <v/>
      </c>
      <c r="H2017" s="13">
        <f>SUMIFS(Movimentacoes!$G:$G,Movimentacoes!$C:$C,$A2017,Movimentacoes!$E:$E,$C2017,Movimentacoes!$B:$B,"SAIDA_USO")</f>
        <v/>
      </c>
      <c r="I2017" s="13">
        <f>SUMIFS(Movimentacoes!$G:$G,Movimentacoes!$C:$C,$A2017,Movimentacoes!$E:$E,$C2017,Movimentacoes!$B:$B,"SAIDA_DESCARTE")</f>
        <v/>
      </c>
      <c r="J2017" s="13">
        <f>G2017-H2017-I2017</f>
        <v/>
      </c>
      <c r="K2017">
        <f>IF(A2017="","",IF(J2017&lt;=IFERROR(VLOOKUP(A2017,Cadastro_Produtos!$A:$E,5,FALSE),0),"ABAIXO DO MINIMO","OK"))</f>
        <v/>
      </c>
    </row>
    <row r="2018">
      <c r="B2018">
        <f>IFERROR(VLOOKUP(A2018,Cadastro_Produtos!A:B,2,FALSE),"")</f>
        <v/>
      </c>
      <c r="D2018" s="12" t="n"/>
      <c r="E2018" s="13">
        <f>IF(D2018="","",D2018-TODAY())</f>
        <v/>
      </c>
      <c r="F2018">
        <f>IF(D2018="","",IF(E2018&lt;0,"VENCIDO",IF(E2018&lt;=30,"VENCE EM &lt;= 30 DIAS",IF(E2018&lt;=60,"ATENCAO (31-60 DIAS)","OK"))))</f>
        <v/>
      </c>
      <c r="G2018" s="13">
        <f>SUMIFS(Movimentacoes!$G:$G,Movimentacoes!$C:$C,$A2018,Movimentacoes!$E:$E,$C2018,Movimentacoes!$B:$B,"ENTRADA")</f>
        <v/>
      </c>
      <c r="H2018" s="13">
        <f>SUMIFS(Movimentacoes!$G:$G,Movimentacoes!$C:$C,$A2018,Movimentacoes!$E:$E,$C2018,Movimentacoes!$B:$B,"SAIDA_USO")</f>
        <v/>
      </c>
      <c r="I2018" s="13">
        <f>SUMIFS(Movimentacoes!$G:$G,Movimentacoes!$C:$C,$A2018,Movimentacoes!$E:$E,$C2018,Movimentacoes!$B:$B,"SAIDA_DESCARTE")</f>
        <v/>
      </c>
      <c r="J2018" s="13">
        <f>G2018-H2018-I2018</f>
        <v/>
      </c>
      <c r="K2018">
        <f>IF(A2018="","",IF(J2018&lt;=IFERROR(VLOOKUP(A2018,Cadastro_Produtos!$A:$E,5,FALSE),0),"ABAIXO DO MINIMO","OK"))</f>
        <v/>
      </c>
    </row>
    <row r="2019">
      <c r="B2019">
        <f>IFERROR(VLOOKUP(A2019,Cadastro_Produtos!A:B,2,FALSE),"")</f>
        <v/>
      </c>
      <c r="D2019" s="12" t="n"/>
      <c r="E2019" s="13">
        <f>IF(D2019="","",D2019-TODAY())</f>
        <v/>
      </c>
      <c r="F2019">
        <f>IF(D2019="","",IF(E2019&lt;0,"VENCIDO",IF(E2019&lt;=30,"VENCE EM &lt;= 30 DIAS",IF(E2019&lt;=60,"ATENCAO (31-60 DIAS)","OK"))))</f>
        <v/>
      </c>
      <c r="G2019" s="13">
        <f>SUMIFS(Movimentacoes!$G:$G,Movimentacoes!$C:$C,$A2019,Movimentacoes!$E:$E,$C2019,Movimentacoes!$B:$B,"ENTRADA")</f>
        <v/>
      </c>
      <c r="H2019" s="13">
        <f>SUMIFS(Movimentacoes!$G:$G,Movimentacoes!$C:$C,$A2019,Movimentacoes!$E:$E,$C2019,Movimentacoes!$B:$B,"SAIDA_USO")</f>
        <v/>
      </c>
      <c r="I2019" s="13">
        <f>SUMIFS(Movimentacoes!$G:$G,Movimentacoes!$C:$C,$A2019,Movimentacoes!$E:$E,$C2019,Movimentacoes!$B:$B,"SAIDA_DESCARTE")</f>
        <v/>
      </c>
      <c r="J2019" s="13">
        <f>G2019-H2019-I2019</f>
        <v/>
      </c>
      <c r="K2019">
        <f>IF(A2019="","",IF(J2019&lt;=IFERROR(VLOOKUP(A2019,Cadastro_Produtos!$A:$E,5,FALSE),0),"ABAIXO DO MINIMO","OK"))</f>
        <v/>
      </c>
    </row>
    <row r="2020">
      <c r="B2020">
        <f>IFERROR(VLOOKUP(A2020,Cadastro_Produtos!A:B,2,FALSE),"")</f>
        <v/>
      </c>
      <c r="D2020" s="12" t="n"/>
      <c r="E2020" s="13">
        <f>IF(D2020="","",D2020-TODAY())</f>
        <v/>
      </c>
      <c r="F2020">
        <f>IF(D2020="","",IF(E2020&lt;0,"VENCIDO",IF(E2020&lt;=30,"VENCE EM &lt;= 30 DIAS",IF(E2020&lt;=60,"ATENCAO (31-60 DIAS)","OK"))))</f>
        <v/>
      </c>
      <c r="G2020" s="13">
        <f>SUMIFS(Movimentacoes!$G:$G,Movimentacoes!$C:$C,$A2020,Movimentacoes!$E:$E,$C2020,Movimentacoes!$B:$B,"ENTRADA")</f>
        <v/>
      </c>
      <c r="H2020" s="13">
        <f>SUMIFS(Movimentacoes!$G:$G,Movimentacoes!$C:$C,$A2020,Movimentacoes!$E:$E,$C2020,Movimentacoes!$B:$B,"SAIDA_USO")</f>
        <v/>
      </c>
      <c r="I2020" s="13">
        <f>SUMIFS(Movimentacoes!$G:$G,Movimentacoes!$C:$C,$A2020,Movimentacoes!$E:$E,$C2020,Movimentacoes!$B:$B,"SAIDA_DESCARTE")</f>
        <v/>
      </c>
      <c r="J2020" s="13">
        <f>G2020-H2020-I2020</f>
        <v/>
      </c>
      <c r="K2020">
        <f>IF(A2020="","",IF(J2020&lt;=IFERROR(VLOOKUP(A2020,Cadastro_Produtos!$A:$E,5,FALSE),0),"ABAIXO DO MINIMO","OK"))</f>
        <v/>
      </c>
    </row>
    <row r="2021">
      <c r="B2021">
        <f>IFERROR(VLOOKUP(A2021,Cadastro_Produtos!A:B,2,FALSE),"")</f>
        <v/>
      </c>
      <c r="D2021" s="12" t="n"/>
      <c r="E2021" s="13">
        <f>IF(D2021="","",D2021-TODAY())</f>
        <v/>
      </c>
      <c r="F2021">
        <f>IF(D2021="","",IF(E2021&lt;0,"VENCIDO",IF(E2021&lt;=30,"VENCE EM &lt;= 30 DIAS",IF(E2021&lt;=60,"ATENCAO (31-60 DIAS)","OK"))))</f>
        <v/>
      </c>
      <c r="G2021" s="13">
        <f>SUMIFS(Movimentacoes!$G:$G,Movimentacoes!$C:$C,$A2021,Movimentacoes!$E:$E,$C2021,Movimentacoes!$B:$B,"ENTRADA")</f>
        <v/>
      </c>
      <c r="H2021" s="13">
        <f>SUMIFS(Movimentacoes!$G:$G,Movimentacoes!$C:$C,$A2021,Movimentacoes!$E:$E,$C2021,Movimentacoes!$B:$B,"SAIDA_USO")</f>
        <v/>
      </c>
      <c r="I2021" s="13">
        <f>SUMIFS(Movimentacoes!$G:$G,Movimentacoes!$C:$C,$A2021,Movimentacoes!$E:$E,$C2021,Movimentacoes!$B:$B,"SAIDA_DESCARTE")</f>
        <v/>
      </c>
      <c r="J2021" s="13">
        <f>G2021-H2021-I2021</f>
        <v/>
      </c>
      <c r="K2021">
        <f>IF(A2021="","",IF(J2021&lt;=IFERROR(VLOOKUP(A2021,Cadastro_Produtos!$A:$E,5,FALSE),0),"ABAIXO DO MINIMO","OK"))</f>
        <v/>
      </c>
    </row>
    <row r="2022">
      <c r="B2022">
        <f>IFERROR(VLOOKUP(A2022,Cadastro_Produtos!A:B,2,FALSE),"")</f>
        <v/>
      </c>
      <c r="D2022" s="12" t="n"/>
      <c r="E2022" s="13">
        <f>IF(D2022="","",D2022-TODAY())</f>
        <v/>
      </c>
      <c r="F2022">
        <f>IF(D2022="","",IF(E2022&lt;0,"VENCIDO",IF(E2022&lt;=30,"VENCE EM &lt;= 30 DIAS",IF(E2022&lt;=60,"ATENCAO (31-60 DIAS)","OK"))))</f>
        <v/>
      </c>
      <c r="G2022" s="13">
        <f>SUMIFS(Movimentacoes!$G:$G,Movimentacoes!$C:$C,$A2022,Movimentacoes!$E:$E,$C2022,Movimentacoes!$B:$B,"ENTRADA")</f>
        <v/>
      </c>
      <c r="H2022" s="13">
        <f>SUMIFS(Movimentacoes!$G:$G,Movimentacoes!$C:$C,$A2022,Movimentacoes!$E:$E,$C2022,Movimentacoes!$B:$B,"SAIDA_USO")</f>
        <v/>
      </c>
      <c r="I2022" s="13">
        <f>SUMIFS(Movimentacoes!$G:$G,Movimentacoes!$C:$C,$A2022,Movimentacoes!$E:$E,$C2022,Movimentacoes!$B:$B,"SAIDA_DESCARTE")</f>
        <v/>
      </c>
      <c r="J2022" s="13">
        <f>G2022-H2022-I2022</f>
        <v/>
      </c>
      <c r="K2022">
        <f>IF(A2022="","",IF(J2022&lt;=IFERROR(VLOOKUP(A2022,Cadastro_Produtos!$A:$E,5,FALSE),0),"ABAIXO DO MINIMO","OK"))</f>
        <v/>
      </c>
    </row>
    <row r="2023">
      <c r="B2023">
        <f>IFERROR(VLOOKUP(A2023,Cadastro_Produtos!A:B,2,FALSE),"")</f>
        <v/>
      </c>
      <c r="D2023" s="12" t="n"/>
      <c r="E2023" s="13">
        <f>IF(D2023="","",D2023-TODAY())</f>
        <v/>
      </c>
      <c r="F2023">
        <f>IF(D2023="","",IF(E2023&lt;0,"VENCIDO",IF(E2023&lt;=30,"VENCE EM &lt;= 30 DIAS",IF(E2023&lt;=60,"ATENCAO (31-60 DIAS)","OK"))))</f>
        <v/>
      </c>
      <c r="G2023" s="13">
        <f>SUMIFS(Movimentacoes!$G:$G,Movimentacoes!$C:$C,$A2023,Movimentacoes!$E:$E,$C2023,Movimentacoes!$B:$B,"ENTRADA")</f>
        <v/>
      </c>
      <c r="H2023" s="13">
        <f>SUMIFS(Movimentacoes!$G:$G,Movimentacoes!$C:$C,$A2023,Movimentacoes!$E:$E,$C2023,Movimentacoes!$B:$B,"SAIDA_USO")</f>
        <v/>
      </c>
      <c r="I2023" s="13">
        <f>SUMIFS(Movimentacoes!$G:$G,Movimentacoes!$C:$C,$A2023,Movimentacoes!$E:$E,$C2023,Movimentacoes!$B:$B,"SAIDA_DESCARTE")</f>
        <v/>
      </c>
      <c r="J2023" s="13">
        <f>G2023-H2023-I2023</f>
        <v/>
      </c>
      <c r="K2023">
        <f>IF(A2023="","",IF(J2023&lt;=IFERROR(VLOOKUP(A2023,Cadastro_Produtos!$A:$E,5,FALSE),0),"ABAIXO DO MINIMO","OK"))</f>
        <v/>
      </c>
    </row>
    <row r="2024">
      <c r="B2024">
        <f>IFERROR(VLOOKUP(A2024,Cadastro_Produtos!A:B,2,FALSE),"")</f>
        <v/>
      </c>
      <c r="D2024" s="12" t="n"/>
      <c r="E2024" s="13">
        <f>IF(D2024="","",D2024-TODAY())</f>
        <v/>
      </c>
      <c r="F2024">
        <f>IF(D2024="","",IF(E2024&lt;0,"VENCIDO",IF(E2024&lt;=30,"VENCE EM &lt;= 30 DIAS",IF(E2024&lt;=60,"ATENCAO (31-60 DIAS)","OK"))))</f>
        <v/>
      </c>
      <c r="G2024" s="13">
        <f>SUMIFS(Movimentacoes!$G:$G,Movimentacoes!$C:$C,$A2024,Movimentacoes!$E:$E,$C2024,Movimentacoes!$B:$B,"ENTRADA")</f>
        <v/>
      </c>
      <c r="H2024" s="13">
        <f>SUMIFS(Movimentacoes!$G:$G,Movimentacoes!$C:$C,$A2024,Movimentacoes!$E:$E,$C2024,Movimentacoes!$B:$B,"SAIDA_USO")</f>
        <v/>
      </c>
      <c r="I2024" s="13">
        <f>SUMIFS(Movimentacoes!$G:$G,Movimentacoes!$C:$C,$A2024,Movimentacoes!$E:$E,$C2024,Movimentacoes!$B:$B,"SAIDA_DESCARTE")</f>
        <v/>
      </c>
      <c r="J2024" s="13">
        <f>G2024-H2024-I2024</f>
        <v/>
      </c>
      <c r="K2024">
        <f>IF(A2024="","",IF(J2024&lt;=IFERROR(VLOOKUP(A2024,Cadastro_Produtos!$A:$E,5,FALSE),0),"ABAIXO DO MINIMO","OK"))</f>
        <v/>
      </c>
    </row>
    <row r="2025">
      <c r="B2025">
        <f>IFERROR(VLOOKUP(A2025,Cadastro_Produtos!A:B,2,FALSE),"")</f>
        <v/>
      </c>
      <c r="D2025" s="12" t="n"/>
      <c r="E2025" s="13">
        <f>IF(D2025="","",D2025-TODAY())</f>
        <v/>
      </c>
      <c r="F2025">
        <f>IF(D2025="","",IF(E2025&lt;0,"VENCIDO",IF(E2025&lt;=30,"VENCE EM &lt;= 30 DIAS",IF(E2025&lt;=60,"ATENCAO (31-60 DIAS)","OK"))))</f>
        <v/>
      </c>
      <c r="G2025" s="13">
        <f>SUMIFS(Movimentacoes!$G:$G,Movimentacoes!$C:$C,$A2025,Movimentacoes!$E:$E,$C2025,Movimentacoes!$B:$B,"ENTRADA")</f>
        <v/>
      </c>
      <c r="H2025" s="13">
        <f>SUMIFS(Movimentacoes!$G:$G,Movimentacoes!$C:$C,$A2025,Movimentacoes!$E:$E,$C2025,Movimentacoes!$B:$B,"SAIDA_USO")</f>
        <v/>
      </c>
      <c r="I2025" s="13">
        <f>SUMIFS(Movimentacoes!$G:$G,Movimentacoes!$C:$C,$A2025,Movimentacoes!$E:$E,$C2025,Movimentacoes!$B:$B,"SAIDA_DESCARTE")</f>
        <v/>
      </c>
      <c r="J2025" s="13">
        <f>G2025-H2025-I2025</f>
        <v/>
      </c>
      <c r="K2025">
        <f>IF(A2025="","",IF(J2025&lt;=IFERROR(VLOOKUP(A2025,Cadastro_Produtos!$A:$E,5,FALSE),0),"ABAIXO DO MINIMO","OK"))</f>
        <v/>
      </c>
    </row>
    <row r="2026">
      <c r="B2026">
        <f>IFERROR(VLOOKUP(A2026,Cadastro_Produtos!A:B,2,FALSE),"")</f>
        <v/>
      </c>
      <c r="D2026" s="12" t="n"/>
      <c r="E2026" s="13">
        <f>IF(D2026="","",D2026-TODAY())</f>
        <v/>
      </c>
      <c r="F2026">
        <f>IF(D2026="","",IF(E2026&lt;0,"VENCIDO",IF(E2026&lt;=30,"VENCE EM &lt;= 30 DIAS",IF(E2026&lt;=60,"ATENCAO (31-60 DIAS)","OK"))))</f>
        <v/>
      </c>
      <c r="G2026" s="13">
        <f>SUMIFS(Movimentacoes!$G:$G,Movimentacoes!$C:$C,$A2026,Movimentacoes!$E:$E,$C2026,Movimentacoes!$B:$B,"ENTRADA")</f>
        <v/>
      </c>
      <c r="H2026" s="13">
        <f>SUMIFS(Movimentacoes!$G:$G,Movimentacoes!$C:$C,$A2026,Movimentacoes!$E:$E,$C2026,Movimentacoes!$B:$B,"SAIDA_USO")</f>
        <v/>
      </c>
      <c r="I2026" s="13">
        <f>SUMIFS(Movimentacoes!$G:$G,Movimentacoes!$C:$C,$A2026,Movimentacoes!$E:$E,$C2026,Movimentacoes!$B:$B,"SAIDA_DESCARTE")</f>
        <v/>
      </c>
      <c r="J2026" s="13">
        <f>G2026-H2026-I2026</f>
        <v/>
      </c>
      <c r="K2026">
        <f>IF(A2026="","",IF(J2026&lt;=IFERROR(VLOOKUP(A2026,Cadastro_Produtos!$A:$E,5,FALSE),0),"ABAIXO DO MINIMO","OK"))</f>
        <v/>
      </c>
    </row>
    <row r="2027">
      <c r="B2027">
        <f>IFERROR(VLOOKUP(A2027,Cadastro_Produtos!A:B,2,FALSE),"")</f>
        <v/>
      </c>
      <c r="D2027" s="12" t="n"/>
      <c r="E2027" s="13">
        <f>IF(D2027="","",D2027-TODAY())</f>
        <v/>
      </c>
      <c r="F2027">
        <f>IF(D2027="","",IF(E2027&lt;0,"VENCIDO",IF(E2027&lt;=30,"VENCE EM &lt;= 30 DIAS",IF(E2027&lt;=60,"ATENCAO (31-60 DIAS)","OK"))))</f>
        <v/>
      </c>
      <c r="G2027" s="13">
        <f>SUMIFS(Movimentacoes!$G:$G,Movimentacoes!$C:$C,$A2027,Movimentacoes!$E:$E,$C2027,Movimentacoes!$B:$B,"ENTRADA")</f>
        <v/>
      </c>
      <c r="H2027" s="13">
        <f>SUMIFS(Movimentacoes!$G:$G,Movimentacoes!$C:$C,$A2027,Movimentacoes!$E:$E,$C2027,Movimentacoes!$B:$B,"SAIDA_USO")</f>
        <v/>
      </c>
      <c r="I2027" s="13">
        <f>SUMIFS(Movimentacoes!$G:$G,Movimentacoes!$C:$C,$A2027,Movimentacoes!$E:$E,$C2027,Movimentacoes!$B:$B,"SAIDA_DESCARTE")</f>
        <v/>
      </c>
      <c r="J2027" s="13">
        <f>G2027-H2027-I2027</f>
        <v/>
      </c>
      <c r="K2027">
        <f>IF(A2027="","",IF(J2027&lt;=IFERROR(VLOOKUP(A2027,Cadastro_Produtos!$A:$E,5,FALSE),0),"ABAIXO DO MINIMO","OK"))</f>
        <v/>
      </c>
    </row>
    <row r="2028">
      <c r="B2028">
        <f>IFERROR(VLOOKUP(A2028,Cadastro_Produtos!A:B,2,FALSE),"")</f>
        <v/>
      </c>
      <c r="D2028" s="12" t="n"/>
      <c r="E2028" s="13">
        <f>IF(D2028="","",D2028-TODAY())</f>
        <v/>
      </c>
      <c r="F2028">
        <f>IF(D2028="","",IF(E2028&lt;0,"VENCIDO",IF(E2028&lt;=30,"VENCE EM &lt;= 30 DIAS",IF(E2028&lt;=60,"ATENCAO (31-60 DIAS)","OK"))))</f>
        <v/>
      </c>
      <c r="G2028" s="13">
        <f>SUMIFS(Movimentacoes!$G:$G,Movimentacoes!$C:$C,$A2028,Movimentacoes!$E:$E,$C2028,Movimentacoes!$B:$B,"ENTRADA")</f>
        <v/>
      </c>
      <c r="H2028" s="13">
        <f>SUMIFS(Movimentacoes!$G:$G,Movimentacoes!$C:$C,$A2028,Movimentacoes!$E:$E,$C2028,Movimentacoes!$B:$B,"SAIDA_USO")</f>
        <v/>
      </c>
      <c r="I2028" s="13">
        <f>SUMIFS(Movimentacoes!$G:$G,Movimentacoes!$C:$C,$A2028,Movimentacoes!$E:$E,$C2028,Movimentacoes!$B:$B,"SAIDA_DESCARTE")</f>
        <v/>
      </c>
      <c r="J2028" s="13">
        <f>G2028-H2028-I2028</f>
        <v/>
      </c>
      <c r="K2028">
        <f>IF(A2028="","",IF(J2028&lt;=IFERROR(VLOOKUP(A2028,Cadastro_Produtos!$A:$E,5,FALSE),0),"ABAIXO DO MINIMO","OK"))</f>
        <v/>
      </c>
    </row>
    <row r="2029">
      <c r="B2029">
        <f>IFERROR(VLOOKUP(A2029,Cadastro_Produtos!A:B,2,FALSE),"")</f>
        <v/>
      </c>
      <c r="D2029" s="12" t="n"/>
      <c r="E2029" s="13">
        <f>IF(D2029="","",D2029-TODAY())</f>
        <v/>
      </c>
      <c r="F2029">
        <f>IF(D2029="","",IF(E2029&lt;0,"VENCIDO",IF(E2029&lt;=30,"VENCE EM &lt;= 30 DIAS",IF(E2029&lt;=60,"ATENCAO (31-60 DIAS)","OK"))))</f>
        <v/>
      </c>
      <c r="G2029" s="13">
        <f>SUMIFS(Movimentacoes!$G:$G,Movimentacoes!$C:$C,$A2029,Movimentacoes!$E:$E,$C2029,Movimentacoes!$B:$B,"ENTRADA")</f>
        <v/>
      </c>
      <c r="H2029" s="13">
        <f>SUMIFS(Movimentacoes!$G:$G,Movimentacoes!$C:$C,$A2029,Movimentacoes!$E:$E,$C2029,Movimentacoes!$B:$B,"SAIDA_USO")</f>
        <v/>
      </c>
      <c r="I2029" s="13">
        <f>SUMIFS(Movimentacoes!$G:$G,Movimentacoes!$C:$C,$A2029,Movimentacoes!$E:$E,$C2029,Movimentacoes!$B:$B,"SAIDA_DESCARTE")</f>
        <v/>
      </c>
      <c r="J2029" s="13">
        <f>G2029-H2029-I2029</f>
        <v/>
      </c>
      <c r="K2029">
        <f>IF(A2029="","",IF(J2029&lt;=IFERROR(VLOOKUP(A2029,Cadastro_Produtos!$A:$E,5,FALSE),0),"ABAIXO DO MINIMO","OK"))</f>
        <v/>
      </c>
    </row>
    <row r="2030">
      <c r="B2030">
        <f>IFERROR(VLOOKUP(A2030,Cadastro_Produtos!A:B,2,FALSE),"")</f>
        <v/>
      </c>
      <c r="D2030" s="12" t="n"/>
      <c r="E2030" s="13">
        <f>IF(D2030="","",D2030-TODAY())</f>
        <v/>
      </c>
      <c r="F2030">
        <f>IF(D2030="","",IF(E2030&lt;0,"VENCIDO",IF(E2030&lt;=30,"VENCE EM &lt;= 30 DIAS",IF(E2030&lt;=60,"ATENCAO (31-60 DIAS)","OK"))))</f>
        <v/>
      </c>
      <c r="G2030" s="13">
        <f>SUMIFS(Movimentacoes!$G:$G,Movimentacoes!$C:$C,$A2030,Movimentacoes!$E:$E,$C2030,Movimentacoes!$B:$B,"ENTRADA")</f>
        <v/>
      </c>
      <c r="H2030" s="13">
        <f>SUMIFS(Movimentacoes!$G:$G,Movimentacoes!$C:$C,$A2030,Movimentacoes!$E:$E,$C2030,Movimentacoes!$B:$B,"SAIDA_USO")</f>
        <v/>
      </c>
      <c r="I2030" s="13">
        <f>SUMIFS(Movimentacoes!$G:$G,Movimentacoes!$C:$C,$A2030,Movimentacoes!$E:$E,$C2030,Movimentacoes!$B:$B,"SAIDA_DESCARTE")</f>
        <v/>
      </c>
      <c r="J2030" s="13">
        <f>G2030-H2030-I2030</f>
        <v/>
      </c>
      <c r="K2030">
        <f>IF(A2030="","",IF(J2030&lt;=IFERROR(VLOOKUP(A2030,Cadastro_Produtos!$A:$E,5,FALSE),0),"ABAIXO DO MINIMO","OK"))</f>
        <v/>
      </c>
    </row>
    <row r="2031">
      <c r="B2031">
        <f>IFERROR(VLOOKUP(A2031,Cadastro_Produtos!A:B,2,FALSE),"")</f>
        <v/>
      </c>
      <c r="D2031" s="12" t="n"/>
      <c r="E2031" s="13">
        <f>IF(D2031="","",D2031-TODAY())</f>
        <v/>
      </c>
      <c r="F2031">
        <f>IF(D2031="","",IF(E2031&lt;0,"VENCIDO",IF(E2031&lt;=30,"VENCE EM &lt;= 30 DIAS",IF(E2031&lt;=60,"ATENCAO (31-60 DIAS)","OK"))))</f>
        <v/>
      </c>
      <c r="G2031" s="13">
        <f>SUMIFS(Movimentacoes!$G:$G,Movimentacoes!$C:$C,$A2031,Movimentacoes!$E:$E,$C2031,Movimentacoes!$B:$B,"ENTRADA")</f>
        <v/>
      </c>
      <c r="H2031" s="13">
        <f>SUMIFS(Movimentacoes!$G:$G,Movimentacoes!$C:$C,$A2031,Movimentacoes!$E:$E,$C2031,Movimentacoes!$B:$B,"SAIDA_USO")</f>
        <v/>
      </c>
      <c r="I2031" s="13">
        <f>SUMIFS(Movimentacoes!$G:$G,Movimentacoes!$C:$C,$A2031,Movimentacoes!$E:$E,$C2031,Movimentacoes!$B:$B,"SAIDA_DESCARTE")</f>
        <v/>
      </c>
      <c r="J2031" s="13">
        <f>G2031-H2031-I2031</f>
        <v/>
      </c>
      <c r="K2031">
        <f>IF(A2031="","",IF(J2031&lt;=IFERROR(VLOOKUP(A2031,Cadastro_Produtos!$A:$E,5,FALSE),0),"ABAIXO DO MINIMO","OK"))</f>
        <v/>
      </c>
    </row>
    <row r="2032">
      <c r="B2032">
        <f>IFERROR(VLOOKUP(A2032,Cadastro_Produtos!A:B,2,FALSE),"")</f>
        <v/>
      </c>
      <c r="D2032" s="12" t="n"/>
      <c r="E2032" s="13">
        <f>IF(D2032="","",D2032-TODAY())</f>
        <v/>
      </c>
      <c r="F2032">
        <f>IF(D2032="","",IF(E2032&lt;0,"VENCIDO",IF(E2032&lt;=30,"VENCE EM &lt;= 30 DIAS",IF(E2032&lt;=60,"ATENCAO (31-60 DIAS)","OK"))))</f>
        <v/>
      </c>
      <c r="G2032" s="13">
        <f>SUMIFS(Movimentacoes!$G:$G,Movimentacoes!$C:$C,$A2032,Movimentacoes!$E:$E,$C2032,Movimentacoes!$B:$B,"ENTRADA")</f>
        <v/>
      </c>
      <c r="H2032" s="13">
        <f>SUMIFS(Movimentacoes!$G:$G,Movimentacoes!$C:$C,$A2032,Movimentacoes!$E:$E,$C2032,Movimentacoes!$B:$B,"SAIDA_USO")</f>
        <v/>
      </c>
      <c r="I2032" s="13">
        <f>SUMIFS(Movimentacoes!$G:$G,Movimentacoes!$C:$C,$A2032,Movimentacoes!$E:$E,$C2032,Movimentacoes!$B:$B,"SAIDA_DESCARTE")</f>
        <v/>
      </c>
      <c r="J2032" s="13">
        <f>G2032-H2032-I2032</f>
        <v/>
      </c>
      <c r="K2032">
        <f>IF(A2032="","",IF(J2032&lt;=IFERROR(VLOOKUP(A2032,Cadastro_Produtos!$A:$E,5,FALSE),0),"ABAIXO DO MINIMO","OK"))</f>
        <v/>
      </c>
    </row>
    <row r="2033">
      <c r="B2033">
        <f>IFERROR(VLOOKUP(A2033,Cadastro_Produtos!A:B,2,FALSE),"")</f>
        <v/>
      </c>
      <c r="D2033" s="12" t="n"/>
      <c r="E2033" s="13">
        <f>IF(D2033="","",D2033-TODAY())</f>
        <v/>
      </c>
      <c r="F2033">
        <f>IF(D2033="","",IF(E2033&lt;0,"VENCIDO",IF(E2033&lt;=30,"VENCE EM &lt;= 30 DIAS",IF(E2033&lt;=60,"ATENCAO (31-60 DIAS)","OK"))))</f>
        <v/>
      </c>
      <c r="G2033" s="13">
        <f>SUMIFS(Movimentacoes!$G:$G,Movimentacoes!$C:$C,$A2033,Movimentacoes!$E:$E,$C2033,Movimentacoes!$B:$B,"ENTRADA")</f>
        <v/>
      </c>
      <c r="H2033" s="13">
        <f>SUMIFS(Movimentacoes!$G:$G,Movimentacoes!$C:$C,$A2033,Movimentacoes!$E:$E,$C2033,Movimentacoes!$B:$B,"SAIDA_USO")</f>
        <v/>
      </c>
      <c r="I2033" s="13">
        <f>SUMIFS(Movimentacoes!$G:$G,Movimentacoes!$C:$C,$A2033,Movimentacoes!$E:$E,$C2033,Movimentacoes!$B:$B,"SAIDA_DESCARTE")</f>
        <v/>
      </c>
      <c r="J2033" s="13">
        <f>G2033-H2033-I2033</f>
        <v/>
      </c>
      <c r="K2033">
        <f>IF(A2033="","",IF(J2033&lt;=IFERROR(VLOOKUP(A2033,Cadastro_Produtos!$A:$E,5,FALSE),0),"ABAIXO DO MINIMO","OK"))</f>
        <v/>
      </c>
    </row>
    <row r="2034">
      <c r="B2034">
        <f>IFERROR(VLOOKUP(A2034,Cadastro_Produtos!A:B,2,FALSE),"")</f>
        <v/>
      </c>
      <c r="D2034" s="12" t="n"/>
      <c r="E2034" s="13">
        <f>IF(D2034="","",D2034-TODAY())</f>
        <v/>
      </c>
      <c r="F2034">
        <f>IF(D2034="","",IF(E2034&lt;0,"VENCIDO",IF(E2034&lt;=30,"VENCE EM &lt;= 30 DIAS",IF(E2034&lt;=60,"ATENCAO (31-60 DIAS)","OK"))))</f>
        <v/>
      </c>
      <c r="G2034" s="13">
        <f>SUMIFS(Movimentacoes!$G:$G,Movimentacoes!$C:$C,$A2034,Movimentacoes!$E:$E,$C2034,Movimentacoes!$B:$B,"ENTRADA")</f>
        <v/>
      </c>
      <c r="H2034" s="13">
        <f>SUMIFS(Movimentacoes!$G:$G,Movimentacoes!$C:$C,$A2034,Movimentacoes!$E:$E,$C2034,Movimentacoes!$B:$B,"SAIDA_USO")</f>
        <v/>
      </c>
      <c r="I2034" s="13">
        <f>SUMIFS(Movimentacoes!$G:$G,Movimentacoes!$C:$C,$A2034,Movimentacoes!$E:$E,$C2034,Movimentacoes!$B:$B,"SAIDA_DESCARTE")</f>
        <v/>
      </c>
      <c r="J2034" s="13">
        <f>G2034-H2034-I2034</f>
        <v/>
      </c>
      <c r="K2034">
        <f>IF(A2034="","",IF(J2034&lt;=IFERROR(VLOOKUP(A2034,Cadastro_Produtos!$A:$E,5,FALSE),0),"ABAIXO DO MINIMO","OK"))</f>
        <v/>
      </c>
    </row>
    <row r="2035">
      <c r="B2035">
        <f>IFERROR(VLOOKUP(A2035,Cadastro_Produtos!A:B,2,FALSE),"")</f>
        <v/>
      </c>
      <c r="D2035" s="12" t="n"/>
      <c r="E2035" s="13">
        <f>IF(D2035="","",D2035-TODAY())</f>
        <v/>
      </c>
      <c r="F2035">
        <f>IF(D2035="","",IF(E2035&lt;0,"VENCIDO",IF(E2035&lt;=30,"VENCE EM &lt;= 30 DIAS",IF(E2035&lt;=60,"ATENCAO (31-60 DIAS)","OK"))))</f>
        <v/>
      </c>
      <c r="G2035" s="13">
        <f>SUMIFS(Movimentacoes!$G:$G,Movimentacoes!$C:$C,$A2035,Movimentacoes!$E:$E,$C2035,Movimentacoes!$B:$B,"ENTRADA")</f>
        <v/>
      </c>
      <c r="H2035" s="13">
        <f>SUMIFS(Movimentacoes!$G:$G,Movimentacoes!$C:$C,$A2035,Movimentacoes!$E:$E,$C2035,Movimentacoes!$B:$B,"SAIDA_USO")</f>
        <v/>
      </c>
      <c r="I2035" s="13">
        <f>SUMIFS(Movimentacoes!$G:$G,Movimentacoes!$C:$C,$A2035,Movimentacoes!$E:$E,$C2035,Movimentacoes!$B:$B,"SAIDA_DESCARTE")</f>
        <v/>
      </c>
      <c r="J2035" s="13">
        <f>G2035-H2035-I2035</f>
        <v/>
      </c>
      <c r="K2035">
        <f>IF(A2035="","",IF(J2035&lt;=IFERROR(VLOOKUP(A2035,Cadastro_Produtos!$A:$E,5,FALSE),0),"ABAIXO DO MINIMO","OK"))</f>
        <v/>
      </c>
    </row>
    <row r="2036">
      <c r="B2036">
        <f>IFERROR(VLOOKUP(A2036,Cadastro_Produtos!A:B,2,FALSE),"")</f>
        <v/>
      </c>
      <c r="D2036" s="12" t="n"/>
      <c r="E2036" s="13">
        <f>IF(D2036="","",D2036-TODAY())</f>
        <v/>
      </c>
      <c r="F2036">
        <f>IF(D2036="","",IF(E2036&lt;0,"VENCIDO",IF(E2036&lt;=30,"VENCE EM &lt;= 30 DIAS",IF(E2036&lt;=60,"ATENCAO (31-60 DIAS)","OK"))))</f>
        <v/>
      </c>
      <c r="G2036" s="13">
        <f>SUMIFS(Movimentacoes!$G:$G,Movimentacoes!$C:$C,$A2036,Movimentacoes!$E:$E,$C2036,Movimentacoes!$B:$B,"ENTRADA")</f>
        <v/>
      </c>
      <c r="H2036" s="13">
        <f>SUMIFS(Movimentacoes!$G:$G,Movimentacoes!$C:$C,$A2036,Movimentacoes!$E:$E,$C2036,Movimentacoes!$B:$B,"SAIDA_USO")</f>
        <v/>
      </c>
      <c r="I2036" s="13">
        <f>SUMIFS(Movimentacoes!$G:$G,Movimentacoes!$C:$C,$A2036,Movimentacoes!$E:$E,$C2036,Movimentacoes!$B:$B,"SAIDA_DESCARTE")</f>
        <v/>
      </c>
      <c r="J2036" s="13">
        <f>G2036-H2036-I2036</f>
        <v/>
      </c>
      <c r="K2036">
        <f>IF(A2036="","",IF(J2036&lt;=IFERROR(VLOOKUP(A2036,Cadastro_Produtos!$A:$E,5,FALSE),0),"ABAIXO DO MINIMO","OK"))</f>
        <v/>
      </c>
    </row>
    <row r="2037">
      <c r="B2037">
        <f>IFERROR(VLOOKUP(A2037,Cadastro_Produtos!A:B,2,FALSE),"")</f>
        <v/>
      </c>
      <c r="D2037" s="12" t="n"/>
      <c r="E2037" s="13">
        <f>IF(D2037="","",D2037-TODAY())</f>
        <v/>
      </c>
      <c r="F2037">
        <f>IF(D2037="","",IF(E2037&lt;0,"VENCIDO",IF(E2037&lt;=30,"VENCE EM &lt;= 30 DIAS",IF(E2037&lt;=60,"ATENCAO (31-60 DIAS)","OK"))))</f>
        <v/>
      </c>
      <c r="G2037" s="13">
        <f>SUMIFS(Movimentacoes!$G:$G,Movimentacoes!$C:$C,$A2037,Movimentacoes!$E:$E,$C2037,Movimentacoes!$B:$B,"ENTRADA")</f>
        <v/>
      </c>
      <c r="H2037" s="13">
        <f>SUMIFS(Movimentacoes!$G:$G,Movimentacoes!$C:$C,$A2037,Movimentacoes!$E:$E,$C2037,Movimentacoes!$B:$B,"SAIDA_USO")</f>
        <v/>
      </c>
      <c r="I2037" s="13">
        <f>SUMIFS(Movimentacoes!$G:$G,Movimentacoes!$C:$C,$A2037,Movimentacoes!$E:$E,$C2037,Movimentacoes!$B:$B,"SAIDA_DESCARTE")</f>
        <v/>
      </c>
      <c r="J2037" s="13">
        <f>G2037-H2037-I2037</f>
        <v/>
      </c>
      <c r="K2037">
        <f>IF(A2037="","",IF(J2037&lt;=IFERROR(VLOOKUP(A2037,Cadastro_Produtos!$A:$E,5,FALSE),0),"ABAIXO DO MINIMO","OK"))</f>
        <v/>
      </c>
    </row>
    <row r="2038">
      <c r="B2038">
        <f>IFERROR(VLOOKUP(A2038,Cadastro_Produtos!A:B,2,FALSE),"")</f>
        <v/>
      </c>
      <c r="D2038" s="12" t="n"/>
      <c r="E2038" s="13">
        <f>IF(D2038="","",D2038-TODAY())</f>
        <v/>
      </c>
      <c r="F2038">
        <f>IF(D2038="","",IF(E2038&lt;0,"VENCIDO",IF(E2038&lt;=30,"VENCE EM &lt;= 30 DIAS",IF(E2038&lt;=60,"ATENCAO (31-60 DIAS)","OK"))))</f>
        <v/>
      </c>
      <c r="G2038" s="13">
        <f>SUMIFS(Movimentacoes!$G:$G,Movimentacoes!$C:$C,$A2038,Movimentacoes!$E:$E,$C2038,Movimentacoes!$B:$B,"ENTRADA")</f>
        <v/>
      </c>
      <c r="H2038" s="13">
        <f>SUMIFS(Movimentacoes!$G:$G,Movimentacoes!$C:$C,$A2038,Movimentacoes!$E:$E,$C2038,Movimentacoes!$B:$B,"SAIDA_USO")</f>
        <v/>
      </c>
      <c r="I2038" s="13">
        <f>SUMIFS(Movimentacoes!$G:$G,Movimentacoes!$C:$C,$A2038,Movimentacoes!$E:$E,$C2038,Movimentacoes!$B:$B,"SAIDA_DESCARTE")</f>
        <v/>
      </c>
      <c r="J2038" s="13">
        <f>G2038-H2038-I2038</f>
        <v/>
      </c>
      <c r="K2038">
        <f>IF(A2038="","",IF(J2038&lt;=IFERROR(VLOOKUP(A2038,Cadastro_Produtos!$A:$E,5,FALSE),0),"ABAIXO DO MINIMO","OK"))</f>
        <v/>
      </c>
    </row>
    <row r="2039">
      <c r="B2039">
        <f>IFERROR(VLOOKUP(A2039,Cadastro_Produtos!A:B,2,FALSE),"")</f>
        <v/>
      </c>
      <c r="D2039" s="12" t="n"/>
      <c r="E2039" s="13">
        <f>IF(D2039="","",D2039-TODAY())</f>
        <v/>
      </c>
      <c r="F2039">
        <f>IF(D2039="","",IF(E2039&lt;0,"VENCIDO",IF(E2039&lt;=30,"VENCE EM &lt;= 30 DIAS",IF(E2039&lt;=60,"ATENCAO (31-60 DIAS)","OK"))))</f>
        <v/>
      </c>
      <c r="G2039" s="13">
        <f>SUMIFS(Movimentacoes!$G:$G,Movimentacoes!$C:$C,$A2039,Movimentacoes!$E:$E,$C2039,Movimentacoes!$B:$B,"ENTRADA")</f>
        <v/>
      </c>
      <c r="H2039" s="13">
        <f>SUMIFS(Movimentacoes!$G:$G,Movimentacoes!$C:$C,$A2039,Movimentacoes!$E:$E,$C2039,Movimentacoes!$B:$B,"SAIDA_USO")</f>
        <v/>
      </c>
      <c r="I2039" s="13">
        <f>SUMIFS(Movimentacoes!$G:$G,Movimentacoes!$C:$C,$A2039,Movimentacoes!$E:$E,$C2039,Movimentacoes!$B:$B,"SAIDA_DESCARTE")</f>
        <v/>
      </c>
      <c r="J2039" s="13">
        <f>G2039-H2039-I2039</f>
        <v/>
      </c>
      <c r="K2039">
        <f>IF(A2039="","",IF(J2039&lt;=IFERROR(VLOOKUP(A2039,Cadastro_Produtos!$A:$E,5,FALSE),0),"ABAIXO DO MINIMO","OK"))</f>
        <v/>
      </c>
    </row>
    <row r="2040">
      <c r="B2040">
        <f>IFERROR(VLOOKUP(A2040,Cadastro_Produtos!A:B,2,FALSE),"")</f>
        <v/>
      </c>
      <c r="D2040" s="12" t="n"/>
      <c r="E2040" s="13">
        <f>IF(D2040="","",D2040-TODAY())</f>
        <v/>
      </c>
      <c r="F2040">
        <f>IF(D2040="","",IF(E2040&lt;0,"VENCIDO",IF(E2040&lt;=30,"VENCE EM &lt;= 30 DIAS",IF(E2040&lt;=60,"ATENCAO (31-60 DIAS)","OK"))))</f>
        <v/>
      </c>
      <c r="G2040" s="13">
        <f>SUMIFS(Movimentacoes!$G:$G,Movimentacoes!$C:$C,$A2040,Movimentacoes!$E:$E,$C2040,Movimentacoes!$B:$B,"ENTRADA")</f>
        <v/>
      </c>
      <c r="H2040" s="13">
        <f>SUMIFS(Movimentacoes!$G:$G,Movimentacoes!$C:$C,$A2040,Movimentacoes!$E:$E,$C2040,Movimentacoes!$B:$B,"SAIDA_USO")</f>
        <v/>
      </c>
      <c r="I2040" s="13">
        <f>SUMIFS(Movimentacoes!$G:$G,Movimentacoes!$C:$C,$A2040,Movimentacoes!$E:$E,$C2040,Movimentacoes!$B:$B,"SAIDA_DESCARTE")</f>
        <v/>
      </c>
      <c r="J2040" s="13">
        <f>G2040-H2040-I2040</f>
        <v/>
      </c>
      <c r="K2040">
        <f>IF(A2040="","",IF(J2040&lt;=IFERROR(VLOOKUP(A2040,Cadastro_Produtos!$A:$E,5,FALSE),0),"ABAIXO DO MINIMO","OK"))</f>
        <v/>
      </c>
    </row>
    <row r="2041">
      <c r="B2041">
        <f>IFERROR(VLOOKUP(A2041,Cadastro_Produtos!A:B,2,FALSE),"")</f>
        <v/>
      </c>
      <c r="D2041" s="12" t="n"/>
      <c r="E2041" s="13">
        <f>IF(D2041="","",D2041-TODAY())</f>
        <v/>
      </c>
      <c r="F2041">
        <f>IF(D2041="","",IF(E2041&lt;0,"VENCIDO",IF(E2041&lt;=30,"VENCE EM &lt;= 30 DIAS",IF(E2041&lt;=60,"ATENCAO (31-60 DIAS)","OK"))))</f>
        <v/>
      </c>
      <c r="G2041" s="13">
        <f>SUMIFS(Movimentacoes!$G:$G,Movimentacoes!$C:$C,$A2041,Movimentacoes!$E:$E,$C2041,Movimentacoes!$B:$B,"ENTRADA")</f>
        <v/>
      </c>
      <c r="H2041" s="13">
        <f>SUMIFS(Movimentacoes!$G:$G,Movimentacoes!$C:$C,$A2041,Movimentacoes!$E:$E,$C2041,Movimentacoes!$B:$B,"SAIDA_USO")</f>
        <v/>
      </c>
      <c r="I2041" s="13">
        <f>SUMIFS(Movimentacoes!$G:$G,Movimentacoes!$C:$C,$A2041,Movimentacoes!$E:$E,$C2041,Movimentacoes!$B:$B,"SAIDA_DESCARTE")</f>
        <v/>
      </c>
      <c r="J2041" s="13">
        <f>G2041-H2041-I2041</f>
        <v/>
      </c>
      <c r="K2041">
        <f>IF(A2041="","",IF(J2041&lt;=IFERROR(VLOOKUP(A2041,Cadastro_Produtos!$A:$E,5,FALSE),0),"ABAIXO DO MINIMO","OK"))</f>
        <v/>
      </c>
    </row>
    <row r="2042">
      <c r="B2042">
        <f>IFERROR(VLOOKUP(A2042,Cadastro_Produtos!A:B,2,FALSE),"")</f>
        <v/>
      </c>
      <c r="D2042" s="12" t="n"/>
      <c r="E2042" s="13">
        <f>IF(D2042="","",D2042-TODAY())</f>
        <v/>
      </c>
      <c r="F2042">
        <f>IF(D2042="","",IF(E2042&lt;0,"VENCIDO",IF(E2042&lt;=30,"VENCE EM &lt;= 30 DIAS",IF(E2042&lt;=60,"ATENCAO (31-60 DIAS)","OK"))))</f>
        <v/>
      </c>
      <c r="G2042" s="13">
        <f>SUMIFS(Movimentacoes!$G:$G,Movimentacoes!$C:$C,$A2042,Movimentacoes!$E:$E,$C2042,Movimentacoes!$B:$B,"ENTRADA")</f>
        <v/>
      </c>
      <c r="H2042" s="13">
        <f>SUMIFS(Movimentacoes!$G:$G,Movimentacoes!$C:$C,$A2042,Movimentacoes!$E:$E,$C2042,Movimentacoes!$B:$B,"SAIDA_USO")</f>
        <v/>
      </c>
      <c r="I2042" s="13">
        <f>SUMIFS(Movimentacoes!$G:$G,Movimentacoes!$C:$C,$A2042,Movimentacoes!$E:$E,$C2042,Movimentacoes!$B:$B,"SAIDA_DESCARTE")</f>
        <v/>
      </c>
      <c r="J2042" s="13">
        <f>G2042-H2042-I2042</f>
        <v/>
      </c>
      <c r="K2042">
        <f>IF(A2042="","",IF(J2042&lt;=IFERROR(VLOOKUP(A2042,Cadastro_Produtos!$A:$E,5,FALSE),0),"ABAIXO DO MINIMO","OK"))</f>
        <v/>
      </c>
    </row>
    <row r="2043">
      <c r="B2043">
        <f>IFERROR(VLOOKUP(A2043,Cadastro_Produtos!A:B,2,FALSE),"")</f>
        <v/>
      </c>
      <c r="D2043" s="12" t="n"/>
      <c r="E2043" s="13">
        <f>IF(D2043="","",D2043-TODAY())</f>
        <v/>
      </c>
      <c r="F2043">
        <f>IF(D2043="","",IF(E2043&lt;0,"VENCIDO",IF(E2043&lt;=30,"VENCE EM &lt;= 30 DIAS",IF(E2043&lt;=60,"ATENCAO (31-60 DIAS)","OK"))))</f>
        <v/>
      </c>
      <c r="G2043" s="13">
        <f>SUMIFS(Movimentacoes!$G:$G,Movimentacoes!$C:$C,$A2043,Movimentacoes!$E:$E,$C2043,Movimentacoes!$B:$B,"ENTRADA")</f>
        <v/>
      </c>
      <c r="H2043" s="13">
        <f>SUMIFS(Movimentacoes!$G:$G,Movimentacoes!$C:$C,$A2043,Movimentacoes!$E:$E,$C2043,Movimentacoes!$B:$B,"SAIDA_USO")</f>
        <v/>
      </c>
      <c r="I2043" s="13">
        <f>SUMIFS(Movimentacoes!$G:$G,Movimentacoes!$C:$C,$A2043,Movimentacoes!$E:$E,$C2043,Movimentacoes!$B:$B,"SAIDA_DESCARTE")</f>
        <v/>
      </c>
      <c r="J2043" s="13">
        <f>G2043-H2043-I2043</f>
        <v/>
      </c>
      <c r="K2043">
        <f>IF(A2043="","",IF(J2043&lt;=IFERROR(VLOOKUP(A2043,Cadastro_Produtos!$A:$E,5,FALSE),0),"ABAIXO DO MINIMO","OK"))</f>
        <v/>
      </c>
    </row>
    <row r="2044">
      <c r="B2044">
        <f>IFERROR(VLOOKUP(A2044,Cadastro_Produtos!A:B,2,FALSE),"")</f>
        <v/>
      </c>
      <c r="D2044" s="12" t="n"/>
      <c r="E2044" s="13">
        <f>IF(D2044="","",D2044-TODAY())</f>
        <v/>
      </c>
      <c r="F2044">
        <f>IF(D2044="","",IF(E2044&lt;0,"VENCIDO",IF(E2044&lt;=30,"VENCE EM &lt;= 30 DIAS",IF(E2044&lt;=60,"ATENCAO (31-60 DIAS)","OK"))))</f>
        <v/>
      </c>
      <c r="G2044" s="13">
        <f>SUMIFS(Movimentacoes!$G:$G,Movimentacoes!$C:$C,$A2044,Movimentacoes!$E:$E,$C2044,Movimentacoes!$B:$B,"ENTRADA")</f>
        <v/>
      </c>
      <c r="H2044" s="13">
        <f>SUMIFS(Movimentacoes!$G:$G,Movimentacoes!$C:$C,$A2044,Movimentacoes!$E:$E,$C2044,Movimentacoes!$B:$B,"SAIDA_USO")</f>
        <v/>
      </c>
      <c r="I2044" s="13">
        <f>SUMIFS(Movimentacoes!$G:$G,Movimentacoes!$C:$C,$A2044,Movimentacoes!$E:$E,$C2044,Movimentacoes!$B:$B,"SAIDA_DESCARTE")</f>
        <v/>
      </c>
      <c r="J2044" s="13">
        <f>G2044-H2044-I2044</f>
        <v/>
      </c>
      <c r="K2044">
        <f>IF(A2044="","",IF(J2044&lt;=IFERROR(VLOOKUP(A2044,Cadastro_Produtos!$A:$E,5,FALSE),0),"ABAIXO DO MINIMO","OK"))</f>
        <v/>
      </c>
    </row>
    <row r="2045">
      <c r="B2045">
        <f>IFERROR(VLOOKUP(A2045,Cadastro_Produtos!A:B,2,FALSE),"")</f>
        <v/>
      </c>
      <c r="D2045" s="12" t="n"/>
      <c r="E2045" s="13">
        <f>IF(D2045="","",D2045-TODAY())</f>
        <v/>
      </c>
      <c r="F2045">
        <f>IF(D2045="","",IF(E2045&lt;0,"VENCIDO",IF(E2045&lt;=30,"VENCE EM &lt;= 30 DIAS",IF(E2045&lt;=60,"ATENCAO (31-60 DIAS)","OK"))))</f>
        <v/>
      </c>
      <c r="G2045" s="13">
        <f>SUMIFS(Movimentacoes!$G:$G,Movimentacoes!$C:$C,$A2045,Movimentacoes!$E:$E,$C2045,Movimentacoes!$B:$B,"ENTRADA")</f>
        <v/>
      </c>
      <c r="H2045" s="13">
        <f>SUMIFS(Movimentacoes!$G:$G,Movimentacoes!$C:$C,$A2045,Movimentacoes!$E:$E,$C2045,Movimentacoes!$B:$B,"SAIDA_USO")</f>
        <v/>
      </c>
      <c r="I2045" s="13">
        <f>SUMIFS(Movimentacoes!$G:$G,Movimentacoes!$C:$C,$A2045,Movimentacoes!$E:$E,$C2045,Movimentacoes!$B:$B,"SAIDA_DESCARTE")</f>
        <v/>
      </c>
      <c r="J2045" s="13">
        <f>G2045-H2045-I2045</f>
        <v/>
      </c>
      <c r="K2045">
        <f>IF(A2045="","",IF(J2045&lt;=IFERROR(VLOOKUP(A2045,Cadastro_Produtos!$A:$E,5,FALSE),0),"ABAIXO DO MINIMO","OK"))</f>
        <v/>
      </c>
    </row>
    <row r="2046">
      <c r="B2046">
        <f>IFERROR(VLOOKUP(A2046,Cadastro_Produtos!A:B,2,FALSE),"")</f>
        <v/>
      </c>
      <c r="D2046" s="12" t="n"/>
      <c r="E2046" s="13">
        <f>IF(D2046="","",D2046-TODAY())</f>
        <v/>
      </c>
      <c r="F2046">
        <f>IF(D2046="","",IF(E2046&lt;0,"VENCIDO",IF(E2046&lt;=30,"VENCE EM &lt;= 30 DIAS",IF(E2046&lt;=60,"ATENCAO (31-60 DIAS)","OK"))))</f>
        <v/>
      </c>
      <c r="G2046" s="13">
        <f>SUMIFS(Movimentacoes!$G:$G,Movimentacoes!$C:$C,$A2046,Movimentacoes!$E:$E,$C2046,Movimentacoes!$B:$B,"ENTRADA")</f>
        <v/>
      </c>
      <c r="H2046" s="13">
        <f>SUMIFS(Movimentacoes!$G:$G,Movimentacoes!$C:$C,$A2046,Movimentacoes!$E:$E,$C2046,Movimentacoes!$B:$B,"SAIDA_USO")</f>
        <v/>
      </c>
      <c r="I2046" s="13">
        <f>SUMIFS(Movimentacoes!$G:$G,Movimentacoes!$C:$C,$A2046,Movimentacoes!$E:$E,$C2046,Movimentacoes!$B:$B,"SAIDA_DESCARTE")</f>
        <v/>
      </c>
      <c r="J2046" s="13">
        <f>G2046-H2046-I2046</f>
        <v/>
      </c>
      <c r="K2046">
        <f>IF(A2046="","",IF(J2046&lt;=IFERROR(VLOOKUP(A2046,Cadastro_Produtos!$A:$E,5,FALSE),0),"ABAIXO DO MINIMO","OK"))</f>
        <v/>
      </c>
    </row>
    <row r="2047">
      <c r="B2047">
        <f>IFERROR(VLOOKUP(A2047,Cadastro_Produtos!A:B,2,FALSE),"")</f>
        <v/>
      </c>
      <c r="D2047" s="12" t="n"/>
      <c r="E2047" s="13">
        <f>IF(D2047="","",D2047-TODAY())</f>
        <v/>
      </c>
      <c r="F2047">
        <f>IF(D2047="","",IF(E2047&lt;0,"VENCIDO",IF(E2047&lt;=30,"VENCE EM &lt;= 30 DIAS",IF(E2047&lt;=60,"ATENCAO (31-60 DIAS)","OK"))))</f>
        <v/>
      </c>
      <c r="G2047" s="13">
        <f>SUMIFS(Movimentacoes!$G:$G,Movimentacoes!$C:$C,$A2047,Movimentacoes!$E:$E,$C2047,Movimentacoes!$B:$B,"ENTRADA")</f>
        <v/>
      </c>
      <c r="H2047" s="13">
        <f>SUMIFS(Movimentacoes!$G:$G,Movimentacoes!$C:$C,$A2047,Movimentacoes!$E:$E,$C2047,Movimentacoes!$B:$B,"SAIDA_USO")</f>
        <v/>
      </c>
      <c r="I2047" s="13">
        <f>SUMIFS(Movimentacoes!$G:$G,Movimentacoes!$C:$C,$A2047,Movimentacoes!$E:$E,$C2047,Movimentacoes!$B:$B,"SAIDA_DESCARTE")</f>
        <v/>
      </c>
      <c r="J2047" s="13">
        <f>G2047-H2047-I2047</f>
        <v/>
      </c>
      <c r="K2047">
        <f>IF(A2047="","",IF(J2047&lt;=IFERROR(VLOOKUP(A2047,Cadastro_Produtos!$A:$E,5,FALSE),0),"ABAIXO DO MINIMO","OK"))</f>
        <v/>
      </c>
    </row>
    <row r="2048">
      <c r="B2048">
        <f>IFERROR(VLOOKUP(A2048,Cadastro_Produtos!A:B,2,FALSE),"")</f>
        <v/>
      </c>
      <c r="D2048" s="12" t="n"/>
      <c r="E2048" s="13">
        <f>IF(D2048="","",D2048-TODAY())</f>
        <v/>
      </c>
      <c r="F2048">
        <f>IF(D2048="","",IF(E2048&lt;0,"VENCIDO",IF(E2048&lt;=30,"VENCE EM &lt;= 30 DIAS",IF(E2048&lt;=60,"ATENCAO (31-60 DIAS)","OK"))))</f>
        <v/>
      </c>
      <c r="G2048" s="13">
        <f>SUMIFS(Movimentacoes!$G:$G,Movimentacoes!$C:$C,$A2048,Movimentacoes!$E:$E,$C2048,Movimentacoes!$B:$B,"ENTRADA")</f>
        <v/>
      </c>
      <c r="H2048" s="13">
        <f>SUMIFS(Movimentacoes!$G:$G,Movimentacoes!$C:$C,$A2048,Movimentacoes!$E:$E,$C2048,Movimentacoes!$B:$B,"SAIDA_USO")</f>
        <v/>
      </c>
      <c r="I2048" s="13">
        <f>SUMIFS(Movimentacoes!$G:$G,Movimentacoes!$C:$C,$A2048,Movimentacoes!$E:$E,$C2048,Movimentacoes!$B:$B,"SAIDA_DESCARTE")</f>
        <v/>
      </c>
      <c r="J2048" s="13">
        <f>G2048-H2048-I2048</f>
        <v/>
      </c>
      <c r="K2048">
        <f>IF(A2048="","",IF(J2048&lt;=IFERROR(VLOOKUP(A2048,Cadastro_Produtos!$A:$E,5,FALSE),0),"ABAIXO DO MINIMO","OK"))</f>
        <v/>
      </c>
    </row>
    <row r="2049">
      <c r="B2049">
        <f>IFERROR(VLOOKUP(A2049,Cadastro_Produtos!A:B,2,FALSE),"")</f>
        <v/>
      </c>
      <c r="D2049" s="12" t="n"/>
      <c r="E2049" s="13">
        <f>IF(D2049="","",D2049-TODAY())</f>
        <v/>
      </c>
      <c r="F2049">
        <f>IF(D2049="","",IF(E2049&lt;0,"VENCIDO",IF(E2049&lt;=30,"VENCE EM &lt;= 30 DIAS",IF(E2049&lt;=60,"ATENCAO (31-60 DIAS)","OK"))))</f>
        <v/>
      </c>
      <c r="G2049" s="13">
        <f>SUMIFS(Movimentacoes!$G:$G,Movimentacoes!$C:$C,$A2049,Movimentacoes!$E:$E,$C2049,Movimentacoes!$B:$B,"ENTRADA")</f>
        <v/>
      </c>
      <c r="H2049" s="13">
        <f>SUMIFS(Movimentacoes!$G:$G,Movimentacoes!$C:$C,$A2049,Movimentacoes!$E:$E,$C2049,Movimentacoes!$B:$B,"SAIDA_USO")</f>
        <v/>
      </c>
      <c r="I2049" s="13">
        <f>SUMIFS(Movimentacoes!$G:$G,Movimentacoes!$C:$C,$A2049,Movimentacoes!$E:$E,$C2049,Movimentacoes!$B:$B,"SAIDA_DESCARTE")</f>
        <v/>
      </c>
      <c r="J2049" s="13">
        <f>G2049-H2049-I2049</f>
        <v/>
      </c>
      <c r="K2049">
        <f>IF(A2049="","",IF(J2049&lt;=IFERROR(VLOOKUP(A2049,Cadastro_Produtos!$A:$E,5,FALSE),0),"ABAIXO DO MINIMO","OK"))</f>
        <v/>
      </c>
    </row>
    <row r="2050">
      <c r="B2050">
        <f>IFERROR(VLOOKUP(A2050,Cadastro_Produtos!A:B,2,FALSE),"")</f>
        <v/>
      </c>
      <c r="D2050" s="12" t="n"/>
      <c r="E2050" s="13">
        <f>IF(D2050="","",D2050-TODAY())</f>
        <v/>
      </c>
      <c r="F2050">
        <f>IF(D2050="","",IF(E2050&lt;0,"VENCIDO",IF(E2050&lt;=30,"VENCE EM &lt;= 30 DIAS",IF(E2050&lt;=60,"ATENCAO (31-60 DIAS)","OK"))))</f>
        <v/>
      </c>
      <c r="G2050" s="13">
        <f>SUMIFS(Movimentacoes!$G:$G,Movimentacoes!$C:$C,$A2050,Movimentacoes!$E:$E,$C2050,Movimentacoes!$B:$B,"ENTRADA")</f>
        <v/>
      </c>
      <c r="H2050" s="13">
        <f>SUMIFS(Movimentacoes!$G:$G,Movimentacoes!$C:$C,$A2050,Movimentacoes!$E:$E,$C2050,Movimentacoes!$B:$B,"SAIDA_USO")</f>
        <v/>
      </c>
      <c r="I2050" s="13">
        <f>SUMIFS(Movimentacoes!$G:$G,Movimentacoes!$C:$C,$A2050,Movimentacoes!$E:$E,$C2050,Movimentacoes!$B:$B,"SAIDA_DESCARTE")</f>
        <v/>
      </c>
      <c r="J2050" s="13">
        <f>G2050-H2050-I2050</f>
        <v/>
      </c>
      <c r="K2050">
        <f>IF(A2050="","",IF(J2050&lt;=IFERROR(VLOOKUP(A2050,Cadastro_Produtos!$A:$E,5,FALSE),0),"ABAIXO DO MINIMO","OK"))</f>
        <v/>
      </c>
    </row>
    <row r="2051">
      <c r="B2051">
        <f>IFERROR(VLOOKUP(A2051,Cadastro_Produtos!A:B,2,FALSE),"")</f>
        <v/>
      </c>
      <c r="D2051" s="12" t="n"/>
      <c r="E2051" s="13">
        <f>IF(D2051="","",D2051-TODAY())</f>
        <v/>
      </c>
      <c r="F2051">
        <f>IF(D2051="","",IF(E2051&lt;0,"VENCIDO",IF(E2051&lt;=30,"VENCE EM &lt;= 30 DIAS",IF(E2051&lt;=60,"ATENCAO (31-60 DIAS)","OK"))))</f>
        <v/>
      </c>
      <c r="G2051" s="13">
        <f>SUMIFS(Movimentacoes!$G:$G,Movimentacoes!$C:$C,$A2051,Movimentacoes!$E:$E,$C2051,Movimentacoes!$B:$B,"ENTRADA")</f>
        <v/>
      </c>
      <c r="H2051" s="13">
        <f>SUMIFS(Movimentacoes!$G:$G,Movimentacoes!$C:$C,$A2051,Movimentacoes!$E:$E,$C2051,Movimentacoes!$B:$B,"SAIDA_USO")</f>
        <v/>
      </c>
      <c r="I2051" s="13">
        <f>SUMIFS(Movimentacoes!$G:$G,Movimentacoes!$C:$C,$A2051,Movimentacoes!$E:$E,$C2051,Movimentacoes!$B:$B,"SAIDA_DESCARTE")</f>
        <v/>
      </c>
      <c r="J2051" s="13">
        <f>G2051-H2051-I2051</f>
        <v/>
      </c>
      <c r="K2051">
        <f>IF(A2051="","",IF(J2051&lt;=IFERROR(VLOOKUP(A2051,Cadastro_Produtos!$A:$E,5,FALSE),0),"ABAIXO DO MINIMO","OK"))</f>
        <v/>
      </c>
    </row>
    <row r="2052">
      <c r="B2052">
        <f>IFERROR(VLOOKUP(A2052,Cadastro_Produtos!A:B,2,FALSE),"")</f>
        <v/>
      </c>
      <c r="D2052" s="12" t="n"/>
      <c r="E2052" s="13">
        <f>IF(D2052="","",D2052-TODAY())</f>
        <v/>
      </c>
      <c r="F2052">
        <f>IF(D2052="","",IF(E2052&lt;0,"VENCIDO",IF(E2052&lt;=30,"VENCE EM &lt;= 30 DIAS",IF(E2052&lt;=60,"ATENCAO (31-60 DIAS)","OK"))))</f>
        <v/>
      </c>
      <c r="G2052" s="13">
        <f>SUMIFS(Movimentacoes!$G:$G,Movimentacoes!$C:$C,$A2052,Movimentacoes!$E:$E,$C2052,Movimentacoes!$B:$B,"ENTRADA")</f>
        <v/>
      </c>
      <c r="H2052" s="13">
        <f>SUMIFS(Movimentacoes!$G:$G,Movimentacoes!$C:$C,$A2052,Movimentacoes!$E:$E,$C2052,Movimentacoes!$B:$B,"SAIDA_USO")</f>
        <v/>
      </c>
      <c r="I2052" s="13">
        <f>SUMIFS(Movimentacoes!$G:$G,Movimentacoes!$C:$C,$A2052,Movimentacoes!$E:$E,$C2052,Movimentacoes!$B:$B,"SAIDA_DESCARTE")</f>
        <v/>
      </c>
      <c r="J2052" s="13">
        <f>G2052-H2052-I2052</f>
        <v/>
      </c>
      <c r="K2052">
        <f>IF(A2052="","",IF(J2052&lt;=IFERROR(VLOOKUP(A2052,Cadastro_Produtos!$A:$E,5,FALSE),0),"ABAIXO DO MINIMO","OK"))</f>
        <v/>
      </c>
    </row>
    <row r="2053">
      <c r="B2053">
        <f>IFERROR(VLOOKUP(A2053,Cadastro_Produtos!A:B,2,FALSE),"")</f>
        <v/>
      </c>
      <c r="D2053" s="12" t="n"/>
      <c r="E2053" s="13">
        <f>IF(D2053="","",D2053-TODAY())</f>
        <v/>
      </c>
      <c r="F2053">
        <f>IF(D2053="","",IF(E2053&lt;0,"VENCIDO",IF(E2053&lt;=30,"VENCE EM &lt;= 30 DIAS",IF(E2053&lt;=60,"ATENCAO (31-60 DIAS)","OK"))))</f>
        <v/>
      </c>
      <c r="G2053" s="13">
        <f>SUMIFS(Movimentacoes!$G:$G,Movimentacoes!$C:$C,$A2053,Movimentacoes!$E:$E,$C2053,Movimentacoes!$B:$B,"ENTRADA")</f>
        <v/>
      </c>
      <c r="H2053" s="13">
        <f>SUMIFS(Movimentacoes!$G:$G,Movimentacoes!$C:$C,$A2053,Movimentacoes!$E:$E,$C2053,Movimentacoes!$B:$B,"SAIDA_USO")</f>
        <v/>
      </c>
      <c r="I2053" s="13">
        <f>SUMIFS(Movimentacoes!$G:$G,Movimentacoes!$C:$C,$A2053,Movimentacoes!$E:$E,$C2053,Movimentacoes!$B:$B,"SAIDA_DESCARTE")</f>
        <v/>
      </c>
      <c r="J2053" s="13">
        <f>G2053-H2053-I2053</f>
        <v/>
      </c>
      <c r="K2053">
        <f>IF(A2053="","",IF(J2053&lt;=IFERROR(VLOOKUP(A2053,Cadastro_Produtos!$A:$E,5,FALSE),0),"ABAIXO DO MINIMO","OK"))</f>
        <v/>
      </c>
    </row>
    <row r="2054">
      <c r="B2054">
        <f>IFERROR(VLOOKUP(A2054,Cadastro_Produtos!A:B,2,FALSE),"")</f>
        <v/>
      </c>
      <c r="D2054" s="12" t="n"/>
      <c r="E2054" s="13">
        <f>IF(D2054="","",D2054-TODAY())</f>
        <v/>
      </c>
      <c r="F2054">
        <f>IF(D2054="","",IF(E2054&lt;0,"VENCIDO",IF(E2054&lt;=30,"VENCE EM &lt;= 30 DIAS",IF(E2054&lt;=60,"ATENCAO (31-60 DIAS)","OK"))))</f>
        <v/>
      </c>
      <c r="G2054" s="13">
        <f>SUMIFS(Movimentacoes!$G:$G,Movimentacoes!$C:$C,$A2054,Movimentacoes!$E:$E,$C2054,Movimentacoes!$B:$B,"ENTRADA")</f>
        <v/>
      </c>
      <c r="H2054" s="13">
        <f>SUMIFS(Movimentacoes!$G:$G,Movimentacoes!$C:$C,$A2054,Movimentacoes!$E:$E,$C2054,Movimentacoes!$B:$B,"SAIDA_USO")</f>
        <v/>
      </c>
      <c r="I2054" s="13">
        <f>SUMIFS(Movimentacoes!$G:$G,Movimentacoes!$C:$C,$A2054,Movimentacoes!$E:$E,$C2054,Movimentacoes!$B:$B,"SAIDA_DESCARTE")</f>
        <v/>
      </c>
      <c r="J2054" s="13">
        <f>G2054-H2054-I2054</f>
        <v/>
      </c>
      <c r="K2054">
        <f>IF(A2054="","",IF(J2054&lt;=IFERROR(VLOOKUP(A2054,Cadastro_Produtos!$A:$E,5,FALSE),0),"ABAIXO DO MINIMO","OK"))</f>
        <v/>
      </c>
    </row>
    <row r="2055">
      <c r="B2055">
        <f>IFERROR(VLOOKUP(A2055,Cadastro_Produtos!A:B,2,FALSE),"")</f>
        <v/>
      </c>
      <c r="D2055" s="12" t="n"/>
      <c r="E2055" s="13">
        <f>IF(D2055="","",D2055-TODAY())</f>
        <v/>
      </c>
      <c r="F2055">
        <f>IF(D2055="","",IF(E2055&lt;0,"VENCIDO",IF(E2055&lt;=30,"VENCE EM &lt;= 30 DIAS",IF(E2055&lt;=60,"ATENCAO (31-60 DIAS)","OK"))))</f>
        <v/>
      </c>
      <c r="G2055" s="13">
        <f>SUMIFS(Movimentacoes!$G:$G,Movimentacoes!$C:$C,$A2055,Movimentacoes!$E:$E,$C2055,Movimentacoes!$B:$B,"ENTRADA")</f>
        <v/>
      </c>
      <c r="H2055" s="13">
        <f>SUMIFS(Movimentacoes!$G:$G,Movimentacoes!$C:$C,$A2055,Movimentacoes!$E:$E,$C2055,Movimentacoes!$B:$B,"SAIDA_USO")</f>
        <v/>
      </c>
      <c r="I2055" s="13">
        <f>SUMIFS(Movimentacoes!$G:$G,Movimentacoes!$C:$C,$A2055,Movimentacoes!$E:$E,$C2055,Movimentacoes!$B:$B,"SAIDA_DESCARTE")</f>
        <v/>
      </c>
      <c r="J2055" s="13">
        <f>G2055-H2055-I2055</f>
        <v/>
      </c>
      <c r="K2055">
        <f>IF(A2055="","",IF(J2055&lt;=IFERROR(VLOOKUP(A2055,Cadastro_Produtos!$A:$E,5,FALSE),0),"ABAIXO DO MINIMO","OK"))</f>
        <v/>
      </c>
    </row>
    <row r="2056">
      <c r="B2056">
        <f>IFERROR(VLOOKUP(A2056,Cadastro_Produtos!A:B,2,FALSE),"")</f>
        <v/>
      </c>
      <c r="D2056" s="12" t="n"/>
      <c r="E2056" s="13">
        <f>IF(D2056="","",D2056-TODAY())</f>
        <v/>
      </c>
      <c r="F2056">
        <f>IF(D2056="","",IF(E2056&lt;0,"VENCIDO",IF(E2056&lt;=30,"VENCE EM &lt;= 30 DIAS",IF(E2056&lt;=60,"ATENCAO (31-60 DIAS)","OK"))))</f>
        <v/>
      </c>
      <c r="G2056" s="13">
        <f>SUMIFS(Movimentacoes!$G:$G,Movimentacoes!$C:$C,$A2056,Movimentacoes!$E:$E,$C2056,Movimentacoes!$B:$B,"ENTRADA")</f>
        <v/>
      </c>
      <c r="H2056" s="13">
        <f>SUMIFS(Movimentacoes!$G:$G,Movimentacoes!$C:$C,$A2056,Movimentacoes!$E:$E,$C2056,Movimentacoes!$B:$B,"SAIDA_USO")</f>
        <v/>
      </c>
      <c r="I2056" s="13">
        <f>SUMIFS(Movimentacoes!$G:$G,Movimentacoes!$C:$C,$A2056,Movimentacoes!$E:$E,$C2056,Movimentacoes!$B:$B,"SAIDA_DESCARTE")</f>
        <v/>
      </c>
      <c r="J2056" s="13">
        <f>G2056-H2056-I2056</f>
        <v/>
      </c>
      <c r="K2056">
        <f>IF(A2056="","",IF(J2056&lt;=IFERROR(VLOOKUP(A2056,Cadastro_Produtos!$A:$E,5,FALSE),0),"ABAIXO DO MINIMO","OK"))</f>
        <v/>
      </c>
    </row>
    <row r="2057">
      <c r="B2057">
        <f>IFERROR(VLOOKUP(A2057,Cadastro_Produtos!A:B,2,FALSE),"")</f>
        <v/>
      </c>
      <c r="D2057" s="12" t="n"/>
      <c r="E2057" s="13">
        <f>IF(D2057="","",D2057-TODAY())</f>
        <v/>
      </c>
      <c r="F2057">
        <f>IF(D2057="","",IF(E2057&lt;0,"VENCIDO",IF(E2057&lt;=30,"VENCE EM &lt;= 30 DIAS",IF(E2057&lt;=60,"ATENCAO (31-60 DIAS)","OK"))))</f>
        <v/>
      </c>
      <c r="G2057" s="13">
        <f>SUMIFS(Movimentacoes!$G:$G,Movimentacoes!$C:$C,$A2057,Movimentacoes!$E:$E,$C2057,Movimentacoes!$B:$B,"ENTRADA")</f>
        <v/>
      </c>
      <c r="H2057" s="13">
        <f>SUMIFS(Movimentacoes!$G:$G,Movimentacoes!$C:$C,$A2057,Movimentacoes!$E:$E,$C2057,Movimentacoes!$B:$B,"SAIDA_USO")</f>
        <v/>
      </c>
      <c r="I2057" s="13">
        <f>SUMIFS(Movimentacoes!$G:$G,Movimentacoes!$C:$C,$A2057,Movimentacoes!$E:$E,$C2057,Movimentacoes!$B:$B,"SAIDA_DESCARTE")</f>
        <v/>
      </c>
      <c r="J2057" s="13">
        <f>G2057-H2057-I2057</f>
        <v/>
      </c>
      <c r="K2057">
        <f>IF(A2057="","",IF(J2057&lt;=IFERROR(VLOOKUP(A2057,Cadastro_Produtos!$A:$E,5,FALSE),0),"ABAIXO DO MINIMO","OK"))</f>
        <v/>
      </c>
    </row>
    <row r="2058">
      <c r="B2058">
        <f>IFERROR(VLOOKUP(A2058,Cadastro_Produtos!A:B,2,FALSE),"")</f>
        <v/>
      </c>
      <c r="D2058" s="12" t="n"/>
      <c r="E2058" s="13">
        <f>IF(D2058="","",D2058-TODAY())</f>
        <v/>
      </c>
      <c r="F2058">
        <f>IF(D2058="","",IF(E2058&lt;0,"VENCIDO",IF(E2058&lt;=30,"VENCE EM &lt;= 30 DIAS",IF(E2058&lt;=60,"ATENCAO (31-60 DIAS)","OK"))))</f>
        <v/>
      </c>
      <c r="G2058" s="13">
        <f>SUMIFS(Movimentacoes!$G:$G,Movimentacoes!$C:$C,$A2058,Movimentacoes!$E:$E,$C2058,Movimentacoes!$B:$B,"ENTRADA")</f>
        <v/>
      </c>
      <c r="H2058" s="13">
        <f>SUMIFS(Movimentacoes!$G:$G,Movimentacoes!$C:$C,$A2058,Movimentacoes!$E:$E,$C2058,Movimentacoes!$B:$B,"SAIDA_USO")</f>
        <v/>
      </c>
      <c r="I2058" s="13">
        <f>SUMIFS(Movimentacoes!$G:$G,Movimentacoes!$C:$C,$A2058,Movimentacoes!$E:$E,$C2058,Movimentacoes!$B:$B,"SAIDA_DESCARTE")</f>
        <v/>
      </c>
      <c r="J2058" s="13">
        <f>G2058-H2058-I2058</f>
        <v/>
      </c>
      <c r="K2058">
        <f>IF(A2058="","",IF(J2058&lt;=IFERROR(VLOOKUP(A2058,Cadastro_Produtos!$A:$E,5,FALSE),0),"ABAIXO DO MINIMO","OK"))</f>
        <v/>
      </c>
    </row>
    <row r="2059">
      <c r="B2059">
        <f>IFERROR(VLOOKUP(A2059,Cadastro_Produtos!A:B,2,FALSE),"")</f>
        <v/>
      </c>
      <c r="D2059" s="12" t="n"/>
      <c r="E2059" s="13">
        <f>IF(D2059="","",D2059-TODAY())</f>
        <v/>
      </c>
      <c r="F2059">
        <f>IF(D2059="","",IF(E2059&lt;0,"VENCIDO",IF(E2059&lt;=30,"VENCE EM &lt;= 30 DIAS",IF(E2059&lt;=60,"ATENCAO (31-60 DIAS)","OK"))))</f>
        <v/>
      </c>
      <c r="G2059" s="13">
        <f>SUMIFS(Movimentacoes!$G:$G,Movimentacoes!$C:$C,$A2059,Movimentacoes!$E:$E,$C2059,Movimentacoes!$B:$B,"ENTRADA")</f>
        <v/>
      </c>
      <c r="H2059" s="13">
        <f>SUMIFS(Movimentacoes!$G:$G,Movimentacoes!$C:$C,$A2059,Movimentacoes!$E:$E,$C2059,Movimentacoes!$B:$B,"SAIDA_USO")</f>
        <v/>
      </c>
      <c r="I2059" s="13">
        <f>SUMIFS(Movimentacoes!$G:$G,Movimentacoes!$C:$C,$A2059,Movimentacoes!$E:$E,$C2059,Movimentacoes!$B:$B,"SAIDA_DESCARTE")</f>
        <v/>
      </c>
      <c r="J2059" s="13">
        <f>G2059-H2059-I2059</f>
        <v/>
      </c>
      <c r="K2059">
        <f>IF(A2059="","",IF(J2059&lt;=IFERROR(VLOOKUP(A2059,Cadastro_Produtos!$A:$E,5,FALSE),0),"ABAIXO DO MINIMO","OK"))</f>
        <v/>
      </c>
    </row>
    <row r="2060">
      <c r="B2060">
        <f>IFERROR(VLOOKUP(A2060,Cadastro_Produtos!A:B,2,FALSE),"")</f>
        <v/>
      </c>
      <c r="D2060" s="12" t="n"/>
      <c r="E2060" s="13">
        <f>IF(D2060="","",D2060-TODAY())</f>
        <v/>
      </c>
      <c r="F2060">
        <f>IF(D2060="","",IF(E2060&lt;0,"VENCIDO",IF(E2060&lt;=30,"VENCE EM &lt;= 30 DIAS",IF(E2060&lt;=60,"ATENCAO (31-60 DIAS)","OK"))))</f>
        <v/>
      </c>
      <c r="G2060" s="13">
        <f>SUMIFS(Movimentacoes!$G:$G,Movimentacoes!$C:$C,$A2060,Movimentacoes!$E:$E,$C2060,Movimentacoes!$B:$B,"ENTRADA")</f>
        <v/>
      </c>
      <c r="H2060" s="13">
        <f>SUMIFS(Movimentacoes!$G:$G,Movimentacoes!$C:$C,$A2060,Movimentacoes!$E:$E,$C2060,Movimentacoes!$B:$B,"SAIDA_USO")</f>
        <v/>
      </c>
      <c r="I2060" s="13">
        <f>SUMIFS(Movimentacoes!$G:$G,Movimentacoes!$C:$C,$A2060,Movimentacoes!$E:$E,$C2060,Movimentacoes!$B:$B,"SAIDA_DESCARTE")</f>
        <v/>
      </c>
      <c r="J2060" s="13">
        <f>G2060-H2060-I2060</f>
        <v/>
      </c>
      <c r="K2060">
        <f>IF(A2060="","",IF(J2060&lt;=IFERROR(VLOOKUP(A2060,Cadastro_Produtos!$A:$E,5,FALSE),0),"ABAIXO DO MINIMO","OK"))</f>
        <v/>
      </c>
    </row>
    <row r="2061">
      <c r="B2061">
        <f>IFERROR(VLOOKUP(A2061,Cadastro_Produtos!A:B,2,FALSE),"")</f>
        <v/>
      </c>
      <c r="D2061" s="12" t="n"/>
      <c r="E2061" s="13">
        <f>IF(D2061="","",D2061-TODAY())</f>
        <v/>
      </c>
      <c r="F2061">
        <f>IF(D2061="","",IF(E2061&lt;0,"VENCIDO",IF(E2061&lt;=30,"VENCE EM &lt;= 30 DIAS",IF(E2061&lt;=60,"ATENCAO (31-60 DIAS)","OK"))))</f>
        <v/>
      </c>
      <c r="G2061" s="13">
        <f>SUMIFS(Movimentacoes!$G:$G,Movimentacoes!$C:$C,$A2061,Movimentacoes!$E:$E,$C2061,Movimentacoes!$B:$B,"ENTRADA")</f>
        <v/>
      </c>
      <c r="H2061" s="13">
        <f>SUMIFS(Movimentacoes!$G:$G,Movimentacoes!$C:$C,$A2061,Movimentacoes!$E:$E,$C2061,Movimentacoes!$B:$B,"SAIDA_USO")</f>
        <v/>
      </c>
      <c r="I2061" s="13">
        <f>SUMIFS(Movimentacoes!$G:$G,Movimentacoes!$C:$C,$A2061,Movimentacoes!$E:$E,$C2061,Movimentacoes!$B:$B,"SAIDA_DESCARTE")</f>
        <v/>
      </c>
      <c r="J2061" s="13">
        <f>G2061-H2061-I2061</f>
        <v/>
      </c>
      <c r="K2061">
        <f>IF(A2061="","",IF(J2061&lt;=IFERROR(VLOOKUP(A2061,Cadastro_Produtos!$A:$E,5,FALSE),0),"ABAIXO DO MINIMO","OK"))</f>
        <v/>
      </c>
    </row>
    <row r="2062">
      <c r="B2062">
        <f>IFERROR(VLOOKUP(A2062,Cadastro_Produtos!A:B,2,FALSE),"")</f>
        <v/>
      </c>
      <c r="D2062" s="12" t="n"/>
      <c r="E2062" s="13">
        <f>IF(D2062="","",D2062-TODAY())</f>
        <v/>
      </c>
      <c r="F2062">
        <f>IF(D2062="","",IF(E2062&lt;0,"VENCIDO",IF(E2062&lt;=30,"VENCE EM &lt;= 30 DIAS",IF(E2062&lt;=60,"ATENCAO (31-60 DIAS)","OK"))))</f>
        <v/>
      </c>
      <c r="G2062" s="13">
        <f>SUMIFS(Movimentacoes!$G:$G,Movimentacoes!$C:$C,$A2062,Movimentacoes!$E:$E,$C2062,Movimentacoes!$B:$B,"ENTRADA")</f>
        <v/>
      </c>
      <c r="H2062" s="13">
        <f>SUMIFS(Movimentacoes!$G:$G,Movimentacoes!$C:$C,$A2062,Movimentacoes!$E:$E,$C2062,Movimentacoes!$B:$B,"SAIDA_USO")</f>
        <v/>
      </c>
      <c r="I2062" s="13">
        <f>SUMIFS(Movimentacoes!$G:$G,Movimentacoes!$C:$C,$A2062,Movimentacoes!$E:$E,$C2062,Movimentacoes!$B:$B,"SAIDA_DESCARTE")</f>
        <v/>
      </c>
      <c r="J2062" s="13">
        <f>G2062-H2062-I2062</f>
        <v/>
      </c>
      <c r="K2062">
        <f>IF(A2062="","",IF(J2062&lt;=IFERROR(VLOOKUP(A2062,Cadastro_Produtos!$A:$E,5,FALSE),0),"ABAIXO DO MINIMO","OK"))</f>
        <v/>
      </c>
    </row>
    <row r="2063">
      <c r="B2063">
        <f>IFERROR(VLOOKUP(A2063,Cadastro_Produtos!A:B,2,FALSE),"")</f>
        <v/>
      </c>
      <c r="D2063" s="12" t="n"/>
      <c r="E2063" s="13">
        <f>IF(D2063="","",D2063-TODAY())</f>
        <v/>
      </c>
      <c r="F2063">
        <f>IF(D2063="","",IF(E2063&lt;0,"VENCIDO",IF(E2063&lt;=30,"VENCE EM &lt;= 30 DIAS",IF(E2063&lt;=60,"ATENCAO (31-60 DIAS)","OK"))))</f>
        <v/>
      </c>
      <c r="G2063" s="13">
        <f>SUMIFS(Movimentacoes!$G:$G,Movimentacoes!$C:$C,$A2063,Movimentacoes!$E:$E,$C2063,Movimentacoes!$B:$B,"ENTRADA")</f>
        <v/>
      </c>
      <c r="H2063" s="13">
        <f>SUMIFS(Movimentacoes!$G:$G,Movimentacoes!$C:$C,$A2063,Movimentacoes!$E:$E,$C2063,Movimentacoes!$B:$B,"SAIDA_USO")</f>
        <v/>
      </c>
      <c r="I2063" s="13">
        <f>SUMIFS(Movimentacoes!$G:$G,Movimentacoes!$C:$C,$A2063,Movimentacoes!$E:$E,$C2063,Movimentacoes!$B:$B,"SAIDA_DESCARTE")</f>
        <v/>
      </c>
      <c r="J2063" s="13">
        <f>G2063-H2063-I2063</f>
        <v/>
      </c>
      <c r="K2063">
        <f>IF(A2063="","",IF(J2063&lt;=IFERROR(VLOOKUP(A2063,Cadastro_Produtos!$A:$E,5,FALSE),0),"ABAIXO DO MINIMO","OK"))</f>
        <v/>
      </c>
    </row>
    <row r="2064">
      <c r="B2064">
        <f>IFERROR(VLOOKUP(A2064,Cadastro_Produtos!A:B,2,FALSE),"")</f>
        <v/>
      </c>
      <c r="D2064" s="12" t="n"/>
      <c r="E2064" s="13">
        <f>IF(D2064="","",D2064-TODAY())</f>
        <v/>
      </c>
      <c r="F2064">
        <f>IF(D2064="","",IF(E2064&lt;0,"VENCIDO",IF(E2064&lt;=30,"VENCE EM &lt;= 30 DIAS",IF(E2064&lt;=60,"ATENCAO (31-60 DIAS)","OK"))))</f>
        <v/>
      </c>
      <c r="G2064" s="13">
        <f>SUMIFS(Movimentacoes!$G:$G,Movimentacoes!$C:$C,$A2064,Movimentacoes!$E:$E,$C2064,Movimentacoes!$B:$B,"ENTRADA")</f>
        <v/>
      </c>
      <c r="H2064" s="13">
        <f>SUMIFS(Movimentacoes!$G:$G,Movimentacoes!$C:$C,$A2064,Movimentacoes!$E:$E,$C2064,Movimentacoes!$B:$B,"SAIDA_USO")</f>
        <v/>
      </c>
      <c r="I2064" s="13">
        <f>SUMIFS(Movimentacoes!$G:$G,Movimentacoes!$C:$C,$A2064,Movimentacoes!$E:$E,$C2064,Movimentacoes!$B:$B,"SAIDA_DESCARTE")</f>
        <v/>
      </c>
      <c r="J2064" s="13">
        <f>G2064-H2064-I2064</f>
        <v/>
      </c>
      <c r="K2064">
        <f>IF(A2064="","",IF(J2064&lt;=IFERROR(VLOOKUP(A2064,Cadastro_Produtos!$A:$E,5,FALSE),0),"ABAIXO DO MINIMO","OK"))</f>
        <v/>
      </c>
    </row>
    <row r="2065">
      <c r="B2065">
        <f>IFERROR(VLOOKUP(A2065,Cadastro_Produtos!A:B,2,FALSE),"")</f>
        <v/>
      </c>
      <c r="D2065" s="12" t="n"/>
      <c r="E2065" s="13">
        <f>IF(D2065="","",D2065-TODAY())</f>
        <v/>
      </c>
      <c r="F2065">
        <f>IF(D2065="","",IF(E2065&lt;0,"VENCIDO",IF(E2065&lt;=30,"VENCE EM &lt;= 30 DIAS",IF(E2065&lt;=60,"ATENCAO (31-60 DIAS)","OK"))))</f>
        <v/>
      </c>
      <c r="G2065" s="13">
        <f>SUMIFS(Movimentacoes!$G:$G,Movimentacoes!$C:$C,$A2065,Movimentacoes!$E:$E,$C2065,Movimentacoes!$B:$B,"ENTRADA")</f>
        <v/>
      </c>
      <c r="H2065" s="13">
        <f>SUMIFS(Movimentacoes!$G:$G,Movimentacoes!$C:$C,$A2065,Movimentacoes!$E:$E,$C2065,Movimentacoes!$B:$B,"SAIDA_USO")</f>
        <v/>
      </c>
      <c r="I2065" s="13">
        <f>SUMIFS(Movimentacoes!$G:$G,Movimentacoes!$C:$C,$A2065,Movimentacoes!$E:$E,$C2065,Movimentacoes!$B:$B,"SAIDA_DESCARTE")</f>
        <v/>
      </c>
      <c r="J2065" s="13">
        <f>G2065-H2065-I2065</f>
        <v/>
      </c>
      <c r="K2065">
        <f>IF(A2065="","",IF(J2065&lt;=IFERROR(VLOOKUP(A2065,Cadastro_Produtos!$A:$E,5,FALSE),0),"ABAIXO DO MINIMO","OK"))</f>
        <v/>
      </c>
    </row>
    <row r="2066">
      <c r="B2066">
        <f>IFERROR(VLOOKUP(A2066,Cadastro_Produtos!A:B,2,FALSE),"")</f>
        <v/>
      </c>
      <c r="D2066" s="12" t="n"/>
      <c r="E2066" s="13">
        <f>IF(D2066="","",D2066-TODAY())</f>
        <v/>
      </c>
      <c r="F2066">
        <f>IF(D2066="","",IF(E2066&lt;0,"VENCIDO",IF(E2066&lt;=30,"VENCE EM &lt;= 30 DIAS",IF(E2066&lt;=60,"ATENCAO (31-60 DIAS)","OK"))))</f>
        <v/>
      </c>
      <c r="G2066" s="13">
        <f>SUMIFS(Movimentacoes!$G:$G,Movimentacoes!$C:$C,$A2066,Movimentacoes!$E:$E,$C2066,Movimentacoes!$B:$B,"ENTRADA")</f>
        <v/>
      </c>
      <c r="H2066" s="13">
        <f>SUMIFS(Movimentacoes!$G:$G,Movimentacoes!$C:$C,$A2066,Movimentacoes!$E:$E,$C2066,Movimentacoes!$B:$B,"SAIDA_USO")</f>
        <v/>
      </c>
      <c r="I2066" s="13">
        <f>SUMIFS(Movimentacoes!$G:$G,Movimentacoes!$C:$C,$A2066,Movimentacoes!$E:$E,$C2066,Movimentacoes!$B:$B,"SAIDA_DESCARTE")</f>
        <v/>
      </c>
      <c r="J2066" s="13">
        <f>G2066-H2066-I2066</f>
        <v/>
      </c>
      <c r="K2066">
        <f>IF(A2066="","",IF(J2066&lt;=IFERROR(VLOOKUP(A2066,Cadastro_Produtos!$A:$E,5,FALSE),0),"ABAIXO DO MINIMO","OK"))</f>
        <v/>
      </c>
    </row>
    <row r="2067">
      <c r="B2067">
        <f>IFERROR(VLOOKUP(A2067,Cadastro_Produtos!A:B,2,FALSE),"")</f>
        <v/>
      </c>
      <c r="D2067" s="12" t="n"/>
      <c r="E2067" s="13">
        <f>IF(D2067="","",D2067-TODAY())</f>
        <v/>
      </c>
      <c r="F2067">
        <f>IF(D2067="","",IF(E2067&lt;0,"VENCIDO",IF(E2067&lt;=30,"VENCE EM &lt;= 30 DIAS",IF(E2067&lt;=60,"ATENCAO (31-60 DIAS)","OK"))))</f>
        <v/>
      </c>
      <c r="G2067" s="13">
        <f>SUMIFS(Movimentacoes!$G:$G,Movimentacoes!$C:$C,$A2067,Movimentacoes!$E:$E,$C2067,Movimentacoes!$B:$B,"ENTRADA")</f>
        <v/>
      </c>
      <c r="H2067" s="13">
        <f>SUMIFS(Movimentacoes!$G:$G,Movimentacoes!$C:$C,$A2067,Movimentacoes!$E:$E,$C2067,Movimentacoes!$B:$B,"SAIDA_USO")</f>
        <v/>
      </c>
      <c r="I2067" s="13">
        <f>SUMIFS(Movimentacoes!$G:$G,Movimentacoes!$C:$C,$A2067,Movimentacoes!$E:$E,$C2067,Movimentacoes!$B:$B,"SAIDA_DESCARTE")</f>
        <v/>
      </c>
      <c r="J2067" s="13">
        <f>G2067-H2067-I2067</f>
        <v/>
      </c>
      <c r="K2067">
        <f>IF(A2067="","",IF(J2067&lt;=IFERROR(VLOOKUP(A2067,Cadastro_Produtos!$A:$E,5,FALSE),0),"ABAIXO DO MINIMO","OK"))</f>
        <v/>
      </c>
    </row>
    <row r="2068">
      <c r="B2068">
        <f>IFERROR(VLOOKUP(A2068,Cadastro_Produtos!A:B,2,FALSE),"")</f>
        <v/>
      </c>
      <c r="D2068" s="12" t="n"/>
      <c r="E2068" s="13">
        <f>IF(D2068="","",D2068-TODAY())</f>
        <v/>
      </c>
      <c r="F2068">
        <f>IF(D2068="","",IF(E2068&lt;0,"VENCIDO",IF(E2068&lt;=30,"VENCE EM &lt;= 30 DIAS",IF(E2068&lt;=60,"ATENCAO (31-60 DIAS)","OK"))))</f>
        <v/>
      </c>
      <c r="G2068" s="13">
        <f>SUMIFS(Movimentacoes!$G:$G,Movimentacoes!$C:$C,$A2068,Movimentacoes!$E:$E,$C2068,Movimentacoes!$B:$B,"ENTRADA")</f>
        <v/>
      </c>
      <c r="H2068" s="13">
        <f>SUMIFS(Movimentacoes!$G:$G,Movimentacoes!$C:$C,$A2068,Movimentacoes!$E:$E,$C2068,Movimentacoes!$B:$B,"SAIDA_USO")</f>
        <v/>
      </c>
      <c r="I2068" s="13">
        <f>SUMIFS(Movimentacoes!$G:$G,Movimentacoes!$C:$C,$A2068,Movimentacoes!$E:$E,$C2068,Movimentacoes!$B:$B,"SAIDA_DESCARTE")</f>
        <v/>
      </c>
      <c r="J2068" s="13">
        <f>G2068-H2068-I2068</f>
        <v/>
      </c>
      <c r="K2068">
        <f>IF(A2068="","",IF(J2068&lt;=IFERROR(VLOOKUP(A2068,Cadastro_Produtos!$A:$E,5,FALSE),0),"ABAIXO DO MINIMO","OK"))</f>
        <v/>
      </c>
    </row>
    <row r="2069">
      <c r="B2069">
        <f>IFERROR(VLOOKUP(A2069,Cadastro_Produtos!A:B,2,FALSE),"")</f>
        <v/>
      </c>
      <c r="D2069" s="12" t="n"/>
      <c r="E2069" s="13">
        <f>IF(D2069="","",D2069-TODAY())</f>
        <v/>
      </c>
      <c r="F2069">
        <f>IF(D2069="","",IF(E2069&lt;0,"VENCIDO",IF(E2069&lt;=30,"VENCE EM &lt;= 30 DIAS",IF(E2069&lt;=60,"ATENCAO (31-60 DIAS)","OK"))))</f>
        <v/>
      </c>
      <c r="G2069" s="13">
        <f>SUMIFS(Movimentacoes!$G:$G,Movimentacoes!$C:$C,$A2069,Movimentacoes!$E:$E,$C2069,Movimentacoes!$B:$B,"ENTRADA")</f>
        <v/>
      </c>
      <c r="H2069" s="13">
        <f>SUMIFS(Movimentacoes!$G:$G,Movimentacoes!$C:$C,$A2069,Movimentacoes!$E:$E,$C2069,Movimentacoes!$B:$B,"SAIDA_USO")</f>
        <v/>
      </c>
      <c r="I2069" s="13">
        <f>SUMIFS(Movimentacoes!$G:$G,Movimentacoes!$C:$C,$A2069,Movimentacoes!$E:$E,$C2069,Movimentacoes!$B:$B,"SAIDA_DESCARTE")</f>
        <v/>
      </c>
      <c r="J2069" s="13">
        <f>G2069-H2069-I2069</f>
        <v/>
      </c>
      <c r="K2069">
        <f>IF(A2069="","",IF(J2069&lt;=IFERROR(VLOOKUP(A2069,Cadastro_Produtos!$A:$E,5,FALSE),0),"ABAIXO DO MINIMO","OK"))</f>
        <v/>
      </c>
    </row>
    <row r="2070">
      <c r="B2070">
        <f>IFERROR(VLOOKUP(A2070,Cadastro_Produtos!A:B,2,FALSE),"")</f>
        <v/>
      </c>
      <c r="D2070" s="12" t="n"/>
      <c r="E2070" s="13">
        <f>IF(D2070="","",D2070-TODAY())</f>
        <v/>
      </c>
      <c r="F2070">
        <f>IF(D2070="","",IF(E2070&lt;0,"VENCIDO",IF(E2070&lt;=30,"VENCE EM &lt;= 30 DIAS",IF(E2070&lt;=60,"ATENCAO (31-60 DIAS)","OK"))))</f>
        <v/>
      </c>
      <c r="G2070" s="13">
        <f>SUMIFS(Movimentacoes!$G:$G,Movimentacoes!$C:$C,$A2070,Movimentacoes!$E:$E,$C2070,Movimentacoes!$B:$B,"ENTRADA")</f>
        <v/>
      </c>
      <c r="H2070" s="13">
        <f>SUMIFS(Movimentacoes!$G:$G,Movimentacoes!$C:$C,$A2070,Movimentacoes!$E:$E,$C2070,Movimentacoes!$B:$B,"SAIDA_USO")</f>
        <v/>
      </c>
      <c r="I2070" s="13">
        <f>SUMIFS(Movimentacoes!$G:$G,Movimentacoes!$C:$C,$A2070,Movimentacoes!$E:$E,$C2070,Movimentacoes!$B:$B,"SAIDA_DESCARTE")</f>
        <v/>
      </c>
      <c r="J2070" s="13">
        <f>G2070-H2070-I2070</f>
        <v/>
      </c>
      <c r="K2070">
        <f>IF(A2070="","",IF(J2070&lt;=IFERROR(VLOOKUP(A2070,Cadastro_Produtos!$A:$E,5,FALSE),0),"ABAIXO DO MINIMO","OK"))</f>
        <v/>
      </c>
    </row>
    <row r="2071">
      <c r="B2071">
        <f>IFERROR(VLOOKUP(A2071,Cadastro_Produtos!A:B,2,FALSE),"")</f>
        <v/>
      </c>
      <c r="D2071" s="12" t="n"/>
      <c r="E2071" s="13">
        <f>IF(D2071="","",D2071-TODAY())</f>
        <v/>
      </c>
      <c r="F2071">
        <f>IF(D2071="","",IF(E2071&lt;0,"VENCIDO",IF(E2071&lt;=30,"VENCE EM &lt;= 30 DIAS",IF(E2071&lt;=60,"ATENCAO (31-60 DIAS)","OK"))))</f>
        <v/>
      </c>
      <c r="G2071" s="13">
        <f>SUMIFS(Movimentacoes!$G:$G,Movimentacoes!$C:$C,$A2071,Movimentacoes!$E:$E,$C2071,Movimentacoes!$B:$B,"ENTRADA")</f>
        <v/>
      </c>
      <c r="H2071" s="13">
        <f>SUMIFS(Movimentacoes!$G:$G,Movimentacoes!$C:$C,$A2071,Movimentacoes!$E:$E,$C2071,Movimentacoes!$B:$B,"SAIDA_USO")</f>
        <v/>
      </c>
      <c r="I2071" s="13">
        <f>SUMIFS(Movimentacoes!$G:$G,Movimentacoes!$C:$C,$A2071,Movimentacoes!$E:$E,$C2071,Movimentacoes!$B:$B,"SAIDA_DESCARTE")</f>
        <v/>
      </c>
      <c r="J2071" s="13">
        <f>G2071-H2071-I2071</f>
        <v/>
      </c>
      <c r="K2071">
        <f>IF(A2071="","",IF(J2071&lt;=IFERROR(VLOOKUP(A2071,Cadastro_Produtos!$A:$E,5,FALSE),0),"ABAIXO DO MINIMO","OK"))</f>
        <v/>
      </c>
    </row>
    <row r="2072">
      <c r="B2072">
        <f>IFERROR(VLOOKUP(A2072,Cadastro_Produtos!A:B,2,FALSE),"")</f>
        <v/>
      </c>
      <c r="D2072" s="12" t="n"/>
      <c r="E2072" s="13">
        <f>IF(D2072="","",D2072-TODAY())</f>
        <v/>
      </c>
      <c r="F2072">
        <f>IF(D2072="","",IF(E2072&lt;0,"VENCIDO",IF(E2072&lt;=30,"VENCE EM &lt;= 30 DIAS",IF(E2072&lt;=60,"ATENCAO (31-60 DIAS)","OK"))))</f>
        <v/>
      </c>
      <c r="G2072" s="13">
        <f>SUMIFS(Movimentacoes!$G:$G,Movimentacoes!$C:$C,$A2072,Movimentacoes!$E:$E,$C2072,Movimentacoes!$B:$B,"ENTRADA")</f>
        <v/>
      </c>
      <c r="H2072" s="13">
        <f>SUMIFS(Movimentacoes!$G:$G,Movimentacoes!$C:$C,$A2072,Movimentacoes!$E:$E,$C2072,Movimentacoes!$B:$B,"SAIDA_USO")</f>
        <v/>
      </c>
      <c r="I2072" s="13">
        <f>SUMIFS(Movimentacoes!$G:$G,Movimentacoes!$C:$C,$A2072,Movimentacoes!$E:$E,$C2072,Movimentacoes!$B:$B,"SAIDA_DESCARTE")</f>
        <v/>
      </c>
      <c r="J2072" s="13">
        <f>G2072-H2072-I2072</f>
        <v/>
      </c>
      <c r="K2072">
        <f>IF(A2072="","",IF(J2072&lt;=IFERROR(VLOOKUP(A2072,Cadastro_Produtos!$A:$E,5,FALSE),0),"ABAIXO DO MINIMO","OK"))</f>
        <v/>
      </c>
    </row>
    <row r="2073">
      <c r="B2073">
        <f>IFERROR(VLOOKUP(A2073,Cadastro_Produtos!A:B,2,FALSE),"")</f>
        <v/>
      </c>
      <c r="D2073" s="12" t="n"/>
      <c r="E2073" s="13">
        <f>IF(D2073="","",D2073-TODAY())</f>
        <v/>
      </c>
      <c r="F2073">
        <f>IF(D2073="","",IF(E2073&lt;0,"VENCIDO",IF(E2073&lt;=30,"VENCE EM &lt;= 30 DIAS",IF(E2073&lt;=60,"ATENCAO (31-60 DIAS)","OK"))))</f>
        <v/>
      </c>
      <c r="G2073" s="13">
        <f>SUMIFS(Movimentacoes!$G:$G,Movimentacoes!$C:$C,$A2073,Movimentacoes!$E:$E,$C2073,Movimentacoes!$B:$B,"ENTRADA")</f>
        <v/>
      </c>
      <c r="H2073" s="13">
        <f>SUMIFS(Movimentacoes!$G:$G,Movimentacoes!$C:$C,$A2073,Movimentacoes!$E:$E,$C2073,Movimentacoes!$B:$B,"SAIDA_USO")</f>
        <v/>
      </c>
      <c r="I2073" s="13">
        <f>SUMIFS(Movimentacoes!$G:$G,Movimentacoes!$C:$C,$A2073,Movimentacoes!$E:$E,$C2073,Movimentacoes!$B:$B,"SAIDA_DESCARTE")</f>
        <v/>
      </c>
      <c r="J2073" s="13">
        <f>G2073-H2073-I2073</f>
        <v/>
      </c>
      <c r="K2073">
        <f>IF(A2073="","",IF(J2073&lt;=IFERROR(VLOOKUP(A2073,Cadastro_Produtos!$A:$E,5,FALSE),0),"ABAIXO DO MINIMO","OK"))</f>
        <v/>
      </c>
    </row>
    <row r="2074">
      <c r="B2074">
        <f>IFERROR(VLOOKUP(A2074,Cadastro_Produtos!A:B,2,FALSE),"")</f>
        <v/>
      </c>
      <c r="D2074" s="12" t="n"/>
      <c r="E2074" s="13">
        <f>IF(D2074="","",D2074-TODAY())</f>
        <v/>
      </c>
      <c r="F2074">
        <f>IF(D2074="","",IF(E2074&lt;0,"VENCIDO",IF(E2074&lt;=30,"VENCE EM &lt;= 30 DIAS",IF(E2074&lt;=60,"ATENCAO (31-60 DIAS)","OK"))))</f>
        <v/>
      </c>
      <c r="G2074" s="13">
        <f>SUMIFS(Movimentacoes!$G:$G,Movimentacoes!$C:$C,$A2074,Movimentacoes!$E:$E,$C2074,Movimentacoes!$B:$B,"ENTRADA")</f>
        <v/>
      </c>
      <c r="H2074" s="13">
        <f>SUMIFS(Movimentacoes!$G:$G,Movimentacoes!$C:$C,$A2074,Movimentacoes!$E:$E,$C2074,Movimentacoes!$B:$B,"SAIDA_USO")</f>
        <v/>
      </c>
      <c r="I2074" s="13">
        <f>SUMIFS(Movimentacoes!$G:$G,Movimentacoes!$C:$C,$A2074,Movimentacoes!$E:$E,$C2074,Movimentacoes!$B:$B,"SAIDA_DESCARTE")</f>
        <v/>
      </c>
      <c r="J2074" s="13">
        <f>G2074-H2074-I2074</f>
        <v/>
      </c>
      <c r="K2074">
        <f>IF(A2074="","",IF(J2074&lt;=IFERROR(VLOOKUP(A2074,Cadastro_Produtos!$A:$E,5,FALSE),0),"ABAIXO DO MINIMO","OK"))</f>
        <v/>
      </c>
    </row>
    <row r="2075">
      <c r="B2075">
        <f>IFERROR(VLOOKUP(A2075,Cadastro_Produtos!A:B,2,FALSE),"")</f>
        <v/>
      </c>
      <c r="D2075" s="12" t="n"/>
      <c r="E2075" s="13">
        <f>IF(D2075="","",D2075-TODAY())</f>
        <v/>
      </c>
      <c r="F2075">
        <f>IF(D2075="","",IF(E2075&lt;0,"VENCIDO",IF(E2075&lt;=30,"VENCE EM &lt;= 30 DIAS",IF(E2075&lt;=60,"ATENCAO (31-60 DIAS)","OK"))))</f>
        <v/>
      </c>
      <c r="G2075" s="13">
        <f>SUMIFS(Movimentacoes!$G:$G,Movimentacoes!$C:$C,$A2075,Movimentacoes!$E:$E,$C2075,Movimentacoes!$B:$B,"ENTRADA")</f>
        <v/>
      </c>
      <c r="H2075" s="13">
        <f>SUMIFS(Movimentacoes!$G:$G,Movimentacoes!$C:$C,$A2075,Movimentacoes!$E:$E,$C2075,Movimentacoes!$B:$B,"SAIDA_USO")</f>
        <v/>
      </c>
      <c r="I2075" s="13">
        <f>SUMIFS(Movimentacoes!$G:$G,Movimentacoes!$C:$C,$A2075,Movimentacoes!$E:$E,$C2075,Movimentacoes!$B:$B,"SAIDA_DESCARTE")</f>
        <v/>
      </c>
      <c r="J2075" s="13">
        <f>G2075-H2075-I2075</f>
        <v/>
      </c>
      <c r="K2075">
        <f>IF(A2075="","",IF(J2075&lt;=IFERROR(VLOOKUP(A2075,Cadastro_Produtos!$A:$E,5,FALSE),0),"ABAIXO DO MINIMO","OK"))</f>
        <v/>
      </c>
    </row>
    <row r="2076">
      <c r="B2076">
        <f>IFERROR(VLOOKUP(A2076,Cadastro_Produtos!A:B,2,FALSE),"")</f>
        <v/>
      </c>
      <c r="D2076" s="12" t="n"/>
      <c r="E2076" s="13">
        <f>IF(D2076="","",D2076-TODAY())</f>
        <v/>
      </c>
      <c r="F2076">
        <f>IF(D2076="","",IF(E2076&lt;0,"VENCIDO",IF(E2076&lt;=30,"VENCE EM &lt;= 30 DIAS",IF(E2076&lt;=60,"ATENCAO (31-60 DIAS)","OK"))))</f>
        <v/>
      </c>
      <c r="G2076" s="13">
        <f>SUMIFS(Movimentacoes!$G:$G,Movimentacoes!$C:$C,$A2076,Movimentacoes!$E:$E,$C2076,Movimentacoes!$B:$B,"ENTRADA")</f>
        <v/>
      </c>
      <c r="H2076" s="13">
        <f>SUMIFS(Movimentacoes!$G:$G,Movimentacoes!$C:$C,$A2076,Movimentacoes!$E:$E,$C2076,Movimentacoes!$B:$B,"SAIDA_USO")</f>
        <v/>
      </c>
      <c r="I2076" s="13">
        <f>SUMIFS(Movimentacoes!$G:$G,Movimentacoes!$C:$C,$A2076,Movimentacoes!$E:$E,$C2076,Movimentacoes!$B:$B,"SAIDA_DESCARTE")</f>
        <v/>
      </c>
      <c r="J2076" s="13">
        <f>G2076-H2076-I2076</f>
        <v/>
      </c>
      <c r="K2076">
        <f>IF(A2076="","",IF(J2076&lt;=IFERROR(VLOOKUP(A2076,Cadastro_Produtos!$A:$E,5,FALSE),0),"ABAIXO DO MINIMO","OK"))</f>
        <v/>
      </c>
    </row>
    <row r="2077">
      <c r="B2077">
        <f>IFERROR(VLOOKUP(A2077,Cadastro_Produtos!A:B,2,FALSE),"")</f>
        <v/>
      </c>
      <c r="D2077" s="12" t="n"/>
      <c r="E2077" s="13">
        <f>IF(D2077="","",D2077-TODAY())</f>
        <v/>
      </c>
      <c r="F2077">
        <f>IF(D2077="","",IF(E2077&lt;0,"VENCIDO",IF(E2077&lt;=30,"VENCE EM &lt;= 30 DIAS",IF(E2077&lt;=60,"ATENCAO (31-60 DIAS)","OK"))))</f>
        <v/>
      </c>
      <c r="G2077" s="13">
        <f>SUMIFS(Movimentacoes!$G:$G,Movimentacoes!$C:$C,$A2077,Movimentacoes!$E:$E,$C2077,Movimentacoes!$B:$B,"ENTRADA")</f>
        <v/>
      </c>
      <c r="H2077" s="13">
        <f>SUMIFS(Movimentacoes!$G:$G,Movimentacoes!$C:$C,$A2077,Movimentacoes!$E:$E,$C2077,Movimentacoes!$B:$B,"SAIDA_USO")</f>
        <v/>
      </c>
      <c r="I2077" s="13">
        <f>SUMIFS(Movimentacoes!$G:$G,Movimentacoes!$C:$C,$A2077,Movimentacoes!$E:$E,$C2077,Movimentacoes!$B:$B,"SAIDA_DESCARTE")</f>
        <v/>
      </c>
      <c r="J2077" s="13">
        <f>G2077-H2077-I2077</f>
        <v/>
      </c>
      <c r="K2077">
        <f>IF(A2077="","",IF(J2077&lt;=IFERROR(VLOOKUP(A2077,Cadastro_Produtos!$A:$E,5,FALSE),0),"ABAIXO DO MINIMO","OK"))</f>
        <v/>
      </c>
    </row>
    <row r="2078">
      <c r="B2078">
        <f>IFERROR(VLOOKUP(A2078,Cadastro_Produtos!A:B,2,FALSE),"")</f>
        <v/>
      </c>
      <c r="D2078" s="12" t="n"/>
      <c r="E2078" s="13">
        <f>IF(D2078="","",D2078-TODAY())</f>
        <v/>
      </c>
      <c r="F2078">
        <f>IF(D2078="","",IF(E2078&lt;0,"VENCIDO",IF(E2078&lt;=30,"VENCE EM &lt;= 30 DIAS",IF(E2078&lt;=60,"ATENCAO (31-60 DIAS)","OK"))))</f>
        <v/>
      </c>
      <c r="G2078" s="13">
        <f>SUMIFS(Movimentacoes!$G:$G,Movimentacoes!$C:$C,$A2078,Movimentacoes!$E:$E,$C2078,Movimentacoes!$B:$B,"ENTRADA")</f>
        <v/>
      </c>
      <c r="H2078" s="13">
        <f>SUMIFS(Movimentacoes!$G:$G,Movimentacoes!$C:$C,$A2078,Movimentacoes!$E:$E,$C2078,Movimentacoes!$B:$B,"SAIDA_USO")</f>
        <v/>
      </c>
      <c r="I2078" s="13">
        <f>SUMIFS(Movimentacoes!$G:$G,Movimentacoes!$C:$C,$A2078,Movimentacoes!$E:$E,$C2078,Movimentacoes!$B:$B,"SAIDA_DESCARTE")</f>
        <v/>
      </c>
      <c r="J2078" s="13">
        <f>G2078-H2078-I2078</f>
        <v/>
      </c>
      <c r="K2078">
        <f>IF(A2078="","",IF(J2078&lt;=IFERROR(VLOOKUP(A2078,Cadastro_Produtos!$A:$E,5,FALSE),0),"ABAIXO DO MINIMO","OK"))</f>
        <v/>
      </c>
    </row>
    <row r="2079">
      <c r="B2079">
        <f>IFERROR(VLOOKUP(A2079,Cadastro_Produtos!A:B,2,FALSE),"")</f>
        <v/>
      </c>
      <c r="D2079" s="12" t="n"/>
      <c r="E2079" s="13">
        <f>IF(D2079="","",D2079-TODAY())</f>
        <v/>
      </c>
      <c r="F2079">
        <f>IF(D2079="","",IF(E2079&lt;0,"VENCIDO",IF(E2079&lt;=30,"VENCE EM &lt;= 30 DIAS",IF(E2079&lt;=60,"ATENCAO (31-60 DIAS)","OK"))))</f>
        <v/>
      </c>
      <c r="G2079" s="13">
        <f>SUMIFS(Movimentacoes!$G:$G,Movimentacoes!$C:$C,$A2079,Movimentacoes!$E:$E,$C2079,Movimentacoes!$B:$B,"ENTRADA")</f>
        <v/>
      </c>
      <c r="H2079" s="13">
        <f>SUMIFS(Movimentacoes!$G:$G,Movimentacoes!$C:$C,$A2079,Movimentacoes!$E:$E,$C2079,Movimentacoes!$B:$B,"SAIDA_USO")</f>
        <v/>
      </c>
      <c r="I2079" s="13">
        <f>SUMIFS(Movimentacoes!$G:$G,Movimentacoes!$C:$C,$A2079,Movimentacoes!$E:$E,$C2079,Movimentacoes!$B:$B,"SAIDA_DESCARTE")</f>
        <v/>
      </c>
      <c r="J2079" s="13">
        <f>G2079-H2079-I2079</f>
        <v/>
      </c>
      <c r="K2079">
        <f>IF(A2079="","",IF(J2079&lt;=IFERROR(VLOOKUP(A2079,Cadastro_Produtos!$A:$E,5,FALSE),0),"ABAIXO DO MINIMO","OK"))</f>
        <v/>
      </c>
    </row>
    <row r="2080">
      <c r="B2080">
        <f>IFERROR(VLOOKUP(A2080,Cadastro_Produtos!A:B,2,FALSE),"")</f>
        <v/>
      </c>
      <c r="D2080" s="12" t="n"/>
      <c r="E2080" s="13">
        <f>IF(D2080="","",D2080-TODAY())</f>
        <v/>
      </c>
      <c r="F2080">
        <f>IF(D2080="","",IF(E2080&lt;0,"VENCIDO",IF(E2080&lt;=30,"VENCE EM &lt;= 30 DIAS",IF(E2080&lt;=60,"ATENCAO (31-60 DIAS)","OK"))))</f>
        <v/>
      </c>
      <c r="G2080" s="13">
        <f>SUMIFS(Movimentacoes!$G:$G,Movimentacoes!$C:$C,$A2080,Movimentacoes!$E:$E,$C2080,Movimentacoes!$B:$B,"ENTRADA")</f>
        <v/>
      </c>
      <c r="H2080" s="13">
        <f>SUMIFS(Movimentacoes!$G:$G,Movimentacoes!$C:$C,$A2080,Movimentacoes!$E:$E,$C2080,Movimentacoes!$B:$B,"SAIDA_USO")</f>
        <v/>
      </c>
      <c r="I2080" s="13">
        <f>SUMIFS(Movimentacoes!$G:$G,Movimentacoes!$C:$C,$A2080,Movimentacoes!$E:$E,$C2080,Movimentacoes!$B:$B,"SAIDA_DESCARTE")</f>
        <v/>
      </c>
      <c r="J2080" s="13">
        <f>G2080-H2080-I2080</f>
        <v/>
      </c>
      <c r="K2080">
        <f>IF(A2080="","",IF(J2080&lt;=IFERROR(VLOOKUP(A2080,Cadastro_Produtos!$A:$E,5,FALSE),0),"ABAIXO DO MINIMO","OK"))</f>
        <v/>
      </c>
    </row>
    <row r="2081">
      <c r="B2081">
        <f>IFERROR(VLOOKUP(A2081,Cadastro_Produtos!A:B,2,FALSE),"")</f>
        <v/>
      </c>
      <c r="D2081" s="12" t="n"/>
      <c r="E2081" s="13">
        <f>IF(D2081="","",D2081-TODAY())</f>
        <v/>
      </c>
      <c r="F2081">
        <f>IF(D2081="","",IF(E2081&lt;0,"VENCIDO",IF(E2081&lt;=30,"VENCE EM &lt;= 30 DIAS",IF(E2081&lt;=60,"ATENCAO (31-60 DIAS)","OK"))))</f>
        <v/>
      </c>
      <c r="G2081" s="13">
        <f>SUMIFS(Movimentacoes!$G:$G,Movimentacoes!$C:$C,$A2081,Movimentacoes!$E:$E,$C2081,Movimentacoes!$B:$B,"ENTRADA")</f>
        <v/>
      </c>
      <c r="H2081" s="13">
        <f>SUMIFS(Movimentacoes!$G:$G,Movimentacoes!$C:$C,$A2081,Movimentacoes!$E:$E,$C2081,Movimentacoes!$B:$B,"SAIDA_USO")</f>
        <v/>
      </c>
      <c r="I2081" s="13">
        <f>SUMIFS(Movimentacoes!$G:$G,Movimentacoes!$C:$C,$A2081,Movimentacoes!$E:$E,$C2081,Movimentacoes!$B:$B,"SAIDA_DESCARTE")</f>
        <v/>
      </c>
      <c r="J2081" s="13">
        <f>G2081-H2081-I2081</f>
        <v/>
      </c>
      <c r="K2081">
        <f>IF(A2081="","",IF(J2081&lt;=IFERROR(VLOOKUP(A2081,Cadastro_Produtos!$A:$E,5,FALSE),0),"ABAIXO DO MINIMO","OK"))</f>
        <v/>
      </c>
    </row>
    <row r="2082">
      <c r="B2082">
        <f>IFERROR(VLOOKUP(A2082,Cadastro_Produtos!A:B,2,FALSE),"")</f>
        <v/>
      </c>
      <c r="D2082" s="12" t="n"/>
      <c r="E2082" s="13">
        <f>IF(D2082="","",D2082-TODAY())</f>
        <v/>
      </c>
      <c r="F2082">
        <f>IF(D2082="","",IF(E2082&lt;0,"VENCIDO",IF(E2082&lt;=30,"VENCE EM &lt;= 30 DIAS",IF(E2082&lt;=60,"ATENCAO (31-60 DIAS)","OK"))))</f>
        <v/>
      </c>
      <c r="G2082" s="13">
        <f>SUMIFS(Movimentacoes!$G:$G,Movimentacoes!$C:$C,$A2082,Movimentacoes!$E:$E,$C2082,Movimentacoes!$B:$B,"ENTRADA")</f>
        <v/>
      </c>
      <c r="H2082" s="13">
        <f>SUMIFS(Movimentacoes!$G:$G,Movimentacoes!$C:$C,$A2082,Movimentacoes!$E:$E,$C2082,Movimentacoes!$B:$B,"SAIDA_USO")</f>
        <v/>
      </c>
      <c r="I2082" s="13">
        <f>SUMIFS(Movimentacoes!$G:$G,Movimentacoes!$C:$C,$A2082,Movimentacoes!$E:$E,$C2082,Movimentacoes!$B:$B,"SAIDA_DESCARTE")</f>
        <v/>
      </c>
      <c r="J2082" s="13">
        <f>G2082-H2082-I2082</f>
        <v/>
      </c>
      <c r="K2082">
        <f>IF(A2082="","",IF(J2082&lt;=IFERROR(VLOOKUP(A2082,Cadastro_Produtos!$A:$E,5,FALSE),0),"ABAIXO DO MINIMO","OK"))</f>
        <v/>
      </c>
    </row>
    <row r="2083">
      <c r="B2083">
        <f>IFERROR(VLOOKUP(A2083,Cadastro_Produtos!A:B,2,FALSE),"")</f>
        <v/>
      </c>
      <c r="D2083" s="12" t="n"/>
      <c r="E2083" s="13">
        <f>IF(D2083="","",D2083-TODAY())</f>
        <v/>
      </c>
      <c r="F2083">
        <f>IF(D2083="","",IF(E2083&lt;0,"VENCIDO",IF(E2083&lt;=30,"VENCE EM &lt;= 30 DIAS",IF(E2083&lt;=60,"ATENCAO (31-60 DIAS)","OK"))))</f>
        <v/>
      </c>
      <c r="G2083" s="13">
        <f>SUMIFS(Movimentacoes!$G:$G,Movimentacoes!$C:$C,$A2083,Movimentacoes!$E:$E,$C2083,Movimentacoes!$B:$B,"ENTRADA")</f>
        <v/>
      </c>
      <c r="H2083" s="13">
        <f>SUMIFS(Movimentacoes!$G:$G,Movimentacoes!$C:$C,$A2083,Movimentacoes!$E:$E,$C2083,Movimentacoes!$B:$B,"SAIDA_USO")</f>
        <v/>
      </c>
      <c r="I2083" s="13">
        <f>SUMIFS(Movimentacoes!$G:$G,Movimentacoes!$C:$C,$A2083,Movimentacoes!$E:$E,$C2083,Movimentacoes!$B:$B,"SAIDA_DESCARTE")</f>
        <v/>
      </c>
      <c r="J2083" s="13">
        <f>G2083-H2083-I2083</f>
        <v/>
      </c>
      <c r="K2083">
        <f>IF(A2083="","",IF(J2083&lt;=IFERROR(VLOOKUP(A2083,Cadastro_Produtos!$A:$E,5,FALSE),0),"ABAIXO DO MINIMO","OK"))</f>
        <v/>
      </c>
    </row>
    <row r="2084">
      <c r="B2084">
        <f>IFERROR(VLOOKUP(A2084,Cadastro_Produtos!A:B,2,FALSE),"")</f>
        <v/>
      </c>
      <c r="D2084" s="12" t="n"/>
      <c r="E2084" s="13">
        <f>IF(D2084="","",D2084-TODAY())</f>
        <v/>
      </c>
      <c r="F2084">
        <f>IF(D2084="","",IF(E2084&lt;0,"VENCIDO",IF(E2084&lt;=30,"VENCE EM &lt;= 30 DIAS",IF(E2084&lt;=60,"ATENCAO (31-60 DIAS)","OK"))))</f>
        <v/>
      </c>
      <c r="G2084" s="13">
        <f>SUMIFS(Movimentacoes!$G:$G,Movimentacoes!$C:$C,$A2084,Movimentacoes!$E:$E,$C2084,Movimentacoes!$B:$B,"ENTRADA")</f>
        <v/>
      </c>
      <c r="H2084" s="13">
        <f>SUMIFS(Movimentacoes!$G:$G,Movimentacoes!$C:$C,$A2084,Movimentacoes!$E:$E,$C2084,Movimentacoes!$B:$B,"SAIDA_USO")</f>
        <v/>
      </c>
      <c r="I2084" s="13">
        <f>SUMIFS(Movimentacoes!$G:$G,Movimentacoes!$C:$C,$A2084,Movimentacoes!$E:$E,$C2084,Movimentacoes!$B:$B,"SAIDA_DESCARTE")</f>
        <v/>
      </c>
      <c r="J2084" s="13">
        <f>G2084-H2084-I2084</f>
        <v/>
      </c>
      <c r="K2084">
        <f>IF(A2084="","",IF(J2084&lt;=IFERROR(VLOOKUP(A2084,Cadastro_Produtos!$A:$E,5,FALSE),0),"ABAIXO DO MINIMO","OK"))</f>
        <v/>
      </c>
    </row>
    <row r="2085">
      <c r="B2085">
        <f>IFERROR(VLOOKUP(A2085,Cadastro_Produtos!A:B,2,FALSE),"")</f>
        <v/>
      </c>
      <c r="D2085" s="12" t="n"/>
      <c r="E2085" s="13">
        <f>IF(D2085="","",D2085-TODAY())</f>
        <v/>
      </c>
      <c r="F2085">
        <f>IF(D2085="","",IF(E2085&lt;0,"VENCIDO",IF(E2085&lt;=30,"VENCE EM &lt;= 30 DIAS",IF(E2085&lt;=60,"ATENCAO (31-60 DIAS)","OK"))))</f>
        <v/>
      </c>
      <c r="G2085" s="13">
        <f>SUMIFS(Movimentacoes!$G:$G,Movimentacoes!$C:$C,$A2085,Movimentacoes!$E:$E,$C2085,Movimentacoes!$B:$B,"ENTRADA")</f>
        <v/>
      </c>
      <c r="H2085" s="13">
        <f>SUMIFS(Movimentacoes!$G:$G,Movimentacoes!$C:$C,$A2085,Movimentacoes!$E:$E,$C2085,Movimentacoes!$B:$B,"SAIDA_USO")</f>
        <v/>
      </c>
      <c r="I2085" s="13">
        <f>SUMIFS(Movimentacoes!$G:$G,Movimentacoes!$C:$C,$A2085,Movimentacoes!$E:$E,$C2085,Movimentacoes!$B:$B,"SAIDA_DESCARTE")</f>
        <v/>
      </c>
      <c r="J2085" s="13">
        <f>G2085-H2085-I2085</f>
        <v/>
      </c>
      <c r="K2085">
        <f>IF(A2085="","",IF(J2085&lt;=IFERROR(VLOOKUP(A2085,Cadastro_Produtos!$A:$E,5,FALSE),0),"ABAIXO DO MINIMO","OK"))</f>
        <v/>
      </c>
    </row>
    <row r="2086">
      <c r="B2086">
        <f>IFERROR(VLOOKUP(A2086,Cadastro_Produtos!A:B,2,FALSE),"")</f>
        <v/>
      </c>
      <c r="D2086" s="12" t="n"/>
      <c r="E2086" s="13">
        <f>IF(D2086="","",D2086-TODAY())</f>
        <v/>
      </c>
      <c r="F2086">
        <f>IF(D2086="","",IF(E2086&lt;0,"VENCIDO",IF(E2086&lt;=30,"VENCE EM &lt;= 30 DIAS",IF(E2086&lt;=60,"ATENCAO (31-60 DIAS)","OK"))))</f>
        <v/>
      </c>
      <c r="G2086" s="13">
        <f>SUMIFS(Movimentacoes!$G:$G,Movimentacoes!$C:$C,$A2086,Movimentacoes!$E:$E,$C2086,Movimentacoes!$B:$B,"ENTRADA")</f>
        <v/>
      </c>
      <c r="H2086" s="13">
        <f>SUMIFS(Movimentacoes!$G:$G,Movimentacoes!$C:$C,$A2086,Movimentacoes!$E:$E,$C2086,Movimentacoes!$B:$B,"SAIDA_USO")</f>
        <v/>
      </c>
      <c r="I2086" s="13">
        <f>SUMIFS(Movimentacoes!$G:$G,Movimentacoes!$C:$C,$A2086,Movimentacoes!$E:$E,$C2086,Movimentacoes!$B:$B,"SAIDA_DESCARTE")</f>
        <v/>
      </c>
      <c r="J2086" s="13">
        <f>G2086-H2086-I2086</f>
        <v/>
      </c>
      <c r="K2086">
        <f>IF(A2086="","",IF(J2086&lt;=IFERROR(VLOOKUP(A2086,Cadastro_Produtos!$A:$E,5,FALSE),0),"ABAIXO DO MINIMO","OK"))</f>
        <v/>
      </c>
    </row>
    <row r="2087">
      <c r="B2087">
        <f>IFERROR(VLOOKUP(A2087,Cadastro_Produtos!A:B,2,FALSE),"")</f>
        <v/>
      </c>
      <c r="D2087" s="12" t="n"/>
      <c r="E2087" s="13">
        <f>IF(D2087="","",D2087-TODAY())</f>
        <v/>
      </c>
      <c r="F2087">
        <f>IF(D2087="","",IF(E2087&lt;0,"VENCIDO",IF(E2087&lt;=30,"VENCE EM &lt;= 30 DIAS",IF(E2087&lt;=60,"ATENCAO (31-60 DIAS)","OK"))))</f>
        <v/>
      </c>
      <c r="G2087" s="13">
        <f>SUMIFS(Movimentacoes!$G:$G,Movimentacoes!$C:$C,$A2087,Movimentacoes!$E:$E,$C2087,Movimentacoes!$B:$B,"ENTRADA")</f>
        <v/>
      </c>
      <c r="H2087" s="13">
        <f>SUMIFS(Movimentacoes!$G:$G,Movimentacoes!$C:$C,$A2087,Movimentacoes!$E:$E,$C2087,Movimentacoes!$B:$B,"SAIDA_USO")</f>
        <v/>
      </c>
      <c r="I2087" s="13">
        <f>SUMIFS(Movimentacoes!$G:$G,Movimentacoes!$C:$C,$A2087,Movimentacoes!$E:$E,$C2087,Movimentacoes!$B:$B,"SAIDA_DESCARTE")</f>
        <v/>
      </c>
      <c r="J2087" s="13">
        <f>G2087-H2087-I2087</f>
        <v/>
      </c>
      <c r="K2087">
        <f>IF(A2087="","",IF(J2087&lt;=IFERROR(VLOOKUP(A2087,Cadastro_Produtos!$A:$E,5,FALSE),0),"ABAIXO DO MINIMO","OK"))</f>
        <v/>
      </c>
    </row>
    <row r="2088">
      <c r="B2088">
        <f>IFERROR(VLOOKUP(A2088,Cadastro_Produtos!A:B,2,FALSE),"")</f>
        <v/>
      </c>
      <c r="D2088" s="12" t="n"/>
      <c r="E2088" s="13">
        <f>IF(D2088="","",D2088-TODAY())</f>
        <v/>
      </c>
      <c r="F2088">
        <f>IF(D2088="","",IF(E2088&lt;0,"VENCIDO",IF(E2088&lt;=30,"VENCE EM &lt;= 30 DIAS",IF(E2088&lt;=60,"ATENCAO (31-60 DIAS)","OK"))))</f>
        <v/>
      </c>
      <c r="G2088" s="13">
        <f>SUMIFS(Movimentacoes!$G:$G,Movimentacoes!$C:$C,$A2088,Movimentacoes!$E:$E,$C2088,Movimentacoes!$B:$B,"ENTRADA")</f>
        <v/>
      </c>
      <c r="H2088" s="13">
        <f>SUMIFS(Movimentacoes!$G:$G,Movimentacoes!$C:$C,$A2088,Movimentacoes!$E:$E,$C2088,Movimentacoes!$B:$B,"SAIDA_USO")</f>
        <v/>
      </c>
      <c r="I2088" s="13">
        <f>SUMIFS(Movimentacoes!$G:$G,Movimentacoes!$C:$C,$A2088,Movimentacoes!$E:$E,$C2088,Movimentacoes!$B:$B,"SAIDA_DESCARTE")</f>
        <v/>
      </c>
      <c r="J2088" s="13">
        <f>G2088-H2088-I2088</f>
        <v/>
      </c>
      <c r="K2088">
        <f>IF(A2088="","",IF(J2088&lt;=IFERROR(VLOOKUP(A2088,Cadastro_Produtos!$A:$E,5,FALSE),0),"ABAIXO DO MINIMO","OK"))</f>
        <v/>
      </c>
    </row>
    <row r="2089">
      <c r="B2089">
        <f>IFERROR(VLOOKUP(A2089,Cadastro_Produtos!A:B,2,FALSE),"")</f>
        <v/>
      </c>
      <c r="D2089" s="12" t="n"/>
      <c r="E2089" s="13">
        <f>IF(D2089="","",D2089-TODAY())</f>
        <v/>
      </c>
      <c r="F2089">
        <f>IF(D2089="","",IF(E2089&lt;0,"VENCIDO",IF(E2089&lt;=30,"VENCE EM &lt;= 30 DIAS",IF(E2089&lt;=60,"ATENCAO (31-60 DIAS)","OK"))))</f>
        <v/>
      </c>
      <c r="G2089" s="13">
        <f>SUMIFS(Movimentacoes!$G:$G,Movimentacoes!$C:$C,$A2089,Movimentacoes!$E:$E,$C2089,Movimentacoes!$B:$B,"ENTRADA")</f>
        <v/>
      </c>
      <c r="H2089" s="13">
        <f>SUMIFS(Movimentacoes!$G:$G,Movimentacoes!$C:$C,$A2089,Movimentacoes!$E:$E,$C2089,Movimentacoes!$B:$B,"SAIDA_USO")</f>
        <v/>
      </c>
      <c r="I2089" s="13">
        <f>SUMIFS(Movimentacoes!$G:$G,Movimentacoes!$C:$C,$A2089,Movimentacoes!$E:$E,$C2089,Movimentacoes!$B:$B,"SAIDA_DESCARTE")</f>
        <v/>
      </c>
      <c r="J2089" s="13">
        <f>G2089-H2089-I2089</f>
        <v/>
      </c>
      <c r="K2089">
        <f>IF(A2089="","",IF(J2089&lt;=IFERROR(VLOOKUP(A2089,Cadastro_Produtos!$A:$E,5,FALSE),0),"ABAIXO DO MINIMO","OK"))</f>
        <v/>
      </c>
    </row>
    <row r="2090">
      <c r="B2090">
        <f>IFERROR(VLOOKUP(A2090,Cadastro_Produtos!A:B,2,FALSE),"")</f>
        <v/>
      </c>
      <c r="D2090" s="12" t="n"/>
      <c r="E2090" s="13">
        <f>IF(D2090="","",D2090-TODAY())</f>
        <v/>
      </c>
      <c r="F2090">
        <f>IF(D2090="","",IF(E2090&lt;0,"VENCIDO",IF(E2090&lt;=30,"VENCE EM &lt;= 30 DIAS",IF(E2090&lt;=60,"ATENCAO (31-60 DIAS)","OK"))))</f>
        <v/>
      </c>
      <c r="G2090" s="13">
        <f>SUMIFS(Movimentacoes!$G:$G,Movimentacoes!$C:$C,$A2090,Movimentacoes!$E:$E,$C2090,Movimentacoes!$B:$B,"ENTRADA")</f>
        <v/>
      </c>
      <c r="H2090" s="13">
        <f>SUMIFS(Movimentacoes!$G:$G,Movimentacoes!$C:$C,$A2090,Movimentacoes!$E:$E,$C2090,Movimentacoes!$B:$B,"SAIDA_USO")</f>
        <v/>
      </c>
      <c r="I2090" s="13">
        <f>SUMIFS(Movimentacoes!$G:$G,Movimentacoes!$C:$C,$A2090,Movimentacoes!$E:$E,$C2090,Movimentacoes!$B:$B,"SAIDA_DESCARTE")</f>
        <v/>
      </c>
      <c r="J2090" s="13">
        <f>G2090-H2090-I2090</f>
        <v/>
      </c>
      <c r="K2090">
        <f>IF(A2090="","",IF(J2090&lt;=IFERROR(VLOOKUP(A2090,Cadastro_Produtos!$A:$E,5,FALSE),0),"ABAIXO DO MINIMO","OK"))</f>
        <v/>
      </c>
    </row>
    <row r="2091">
      <c r="B2091">
        <f>IFERROR(VLOOKUP(A2091,Cadastro_Produtos!A:B,2,FALSE),"")</f>
        <v/>
      </c>
      <c r="D2091" s="12" t="n"/>
      <c r="E2091" s="13">
        <f>IF(D2091="","",D2091-TODAY())</f>
        <v/>
      </c>
      <c r="F2091">
        <f>IF(D2091="","",IF(E2091&lt;0,"VENCIDO",IF(E2091&lt;=30,"VENCE EM &lt;= 30 DIAS",IF(E2091&lt;=60,"ATENCAO (31-60 DIAS)","OK"))))</f>
        <v/>
      </c>
      <c r="G2091" s="13">
        <f>SUMIFS(Movimentacoes!$G:$G,Movimentacoes!$C:$C,$A2091,Movimentacoes!$E:$E,$C2091,Movimentacoes!$B:$B,"ENTRADA")</f>
        <v/>
      </c>
      <c r="H2091" s="13">
        <f>SUMIFS(Movimentacoes!$G:$G,Movimentacoes!$C:$C,$A2091,Movimentacoes!$E:$E,$C2091,Movimentacoes!$B:$B,"SAIDA_USO")</f>
        <v/>
      </c>
      <c r="I2091" s="13">
        <f>SUMIFS(Movimentacoes!$G:$G,Movimentacoes!$C:$C,$A2091,Movimentacoes!$E:$E,$C2091,Movimentacoes!$B:$B,"SAIDA_DESCARTE")</f>
        <v/>
      </c>
      <c r="J2091" s="13">
        <f>G2091-H2091-I2091</f>
        <v/>
      </c>
      <c r="K2091">
        <f>IF(A2091="","",IF(J2091&lt;=IFERROR(VLOOKUP(A2091,Cadastro_Produtos!$A:$E,5,FALSE),0),"ABAIXO DO MINIMO","OK"))</f>
        <v/>
      </c>
    </row>
    <row r="2092">
      <c r="B2092">
        <f>IFERROR(VLOOKUP(A2092,Cadastro_Produtos!A:B,2,FALSE),"")</f>
        <v/>
      </c>
      <c r="D2092" s="12" t="n"/>
      <c r="E2092" s="13">
        <f>IF(D2092="","",D2092-TODAY())</f>
        <v/>
      </c>
      <c r="F2092">
        <f>IF(D2092="","",IF(E2092&lt;0,"VENCIDO",IF(E2092&lt;=30,"VENCE EM &lt;= 30 DIAS",IF(E2092&lt;=60,"ATENCAO (31-60 DIAS)","OK"))))</f>
        <v/>
      </c>
      <c r="G2092" s="13">
        <f>SUMIFS(Movimentacoes!$G:$G,Movimentacoes!$C:$C,$A2092,Movimentacoes!$E:$E,$C2092,Movimentacoes!$B:$B,"ENTRADA")</f>
        <v/>
      </c>
      <c r="H2092" s="13">
        <f>SUMIFS(Movimentacoes!$G:$G,Movimentacoes!$C:$C,$A2092,Movimentacoes!$E:$E,$C2092,Movimentacoes!$B:$B,"SAIDA_USO")</f>
        <v/>
      </c>
      <c r="I2092" s="13">
        <f>SUMIFS(Movimentacoes!$G:$G,Movimentacoes!$C:$C,$A2092,Movimentacoes!$E:$E,$C2092,Movimentacoes!$B:$B,"SAIDA_DESCARTE")</f>
        <v/>
      </c>
      <c r="J2092" s="13">
        <f>G2092-H2092-I2092</f>
        <v/>
      </c>
      <c r="K2092">
        <f>IF(A2092="","",IF(J2092&lt;=IFERROR(VLOOKUP(A2092,Cadastro_Produtos!$A:$E,5,FALSE),0),"ABAIXO DO MINIMO","OK"))</f>
        <v/>
      </c>
    </row>
    <row r="2093">
      <c r="B2093">
        <f>IFERROR(VLOOKUP(A2093,Cadastro_Produtos!A:B,2,FALSE),"")</f>
        <v/>
      </c>
      <c r="D2093" s="12" t="n"/>
      <c r="E2093" s="13">
        <f>IF(D2093="","",D2093-TODAY())</f>
        <v/>
      </c>
      <c r="F2093">
        <f>IF(D2093="","",IF(E2093&lt;0,"VENCIDO",IF(E2093&lt;=30,"VENCE EM &lt;= 30 DIAS",IF(E2093&lt;=60,"ATENCAO (31-60 DIAS)","OK"))))</f>
        <v/>
      </c>
      <c r="G2093" s="13">
        <f>SUMIFS(Movimentacoes!$G:$G,Movimentacoes!$C:$C,$A2093,Movimentacoes!$E:$E,$C2093,Movimentacoes!$B:$B,"ENTRADA")</f>
        <v/>
      </c>
      <c r="H2093" s="13">
        <f>SUMIFS(Movimentacoes!$G:$G,Movimentacoes!$C:$C,$A2093,Movimentacoes!$E:$E,$C2093,Movimentacoes!$B:$B,"SAIDA_USO")</f>
        <v/>
      </c>
      <c r="I2093" s="13">
        <f>SUMIFS(Movimentacoes!$G:$G,Movimentacoes!$C:$C,$A2093,Movimentacoes!$E:$E,$C2093,Movimentacoes!$B:$B,"SAIDA_DESCARTE")</f>
        <v/>
      </c>
      <c r="J2093" s="13">
        <f>G2093-H2093-I2093</f>
        <v/>
      </c>
      <c r="K2093">
        <f>IF(A2093="","",IF(J2093&lt;=IFERROR(VLOOKUP(A2093,Cadastro_Produtos!$A:$E,5,FALSE),0),"ABAIXO DO MINIMO","OK"))</f>
        <v/>
      </c>
    </row>
    <row r="2094">
      <c r="B2094">
        <f>IFERROR(VLOOKUP(A2094,Cadastro_Produtos!A:B,2,FALSE),"")</f>
        <v/>
      </c>
      <c r="D2094" s="12" t="n"/>
      <c r="E2094" s="13">
        <f>IF(D2094="","",D2094-TODAY())</f>
        <v/>
      </c>
      <c r="F2094">
        <f>IF(D2094="","",IF(E2094&lt;0,"VENCIDO",IF(E2094&lt;=30,"VENCE EM &lt;= 30 DIAS",IF(E2094&lt;=60,"ATENCAO (31-60 DIAS)","OK"))))</f>
        <v/>
      </c>
      <c r="G2094" s="13">
        <f>SUMIFS(Movimentacoes!$G:$G,Movimentacoes!$C:$C,$A2094,Movimentacoes!$E:$E,$C2094,Movimentacoes!$B:$B,"ENTRADA")</f>
        <v/>
      </c>
      <c r="H2094" s="13">
        <f>SUMIFS(Movimentacoes!$G:$G,Movimentacoes!$C:$C,$A2094,Movimentacoes!$E:$E,$C2094,Movimentacoes!$B:$B,"SAIDA_USO")</f>
        <v/>
      </c>
      <c r="I2094" s="13">
        <f>SUMIFS(Movimentacoes!$G:$G,Movimentacoes!$C:$C,$A2094,Movimentacoes!$E:$E,$C2094,Movimentacoes!$B:$B,"SAIDA_DESCARTE")</f>
        <v/>
      </c>
      <c r="J2094" s="13">
        <f>G2094-H2094-I2094</f>
        <v/>
      </c>
      <c r="K2094">
        <f>IF(A2094="","",IF(J2094&lt;=IFERROR(VLOOKUP(A2094,Cadastro_Produtos!$A:$E,5,FALSE),0),"ABAIXO DO MINIMO","OK"))</f>
        <v/>
      </c>
    </row>
    <row r="2095">
      <c r="B2095">
        <f>IFERROR(VLOOKUP(A2095,Cadastro_Produtos!A:B,2,FALSE),"")</f>
        <v/>
      </c>
      <c r="D2095" s="12" t="n"/>
      <c r="E2095" s="13">
        <f>IF(D2095="","",D2095-TODAY())</f>
        <v/>
      </c>
      <c r="F2095">
        <f>IF(D2095="","",IF(E2095&lt;0,"VENCIDO",IF(E2095&lt;=30,"VENCE EM &lt;= 30 DIAS",IF(E2095&lt;=60,"ATENCAO (31-60 DIAS)","OK"))))</f>
        <v/>
      </c>
      <c r="G2095" s="13">
        <f>SUMIFS(Movimentacoes!$G:$G,Movimentacoes!$C:$C,$A2095,Movimentacoes!$E:$E,$C2095,Movimentacoes!$B:$B,"ENTRADA")</f>
        <v/>
      </c>
      <c r="H2095" s="13">
        <f>SUMIFS(Movimentacoes!$G:$G,Movimentacoes!$C:$C,$A2095,Movimentacoes!$E:$E,$C2095,Movimentacoes!$B:$B,"SAIDA_USO")</f>
        <v/>
      </c>
      <c r="I2095" s="13">
        <f>SUMIFS(Movimentacoes!$G:$G,Movimentacoes!$C:$C,$A2095,Movimentacoes!$E:$E,$C2095,Movimentacoes!$B:$B,"SAIDA_DESCARTE")</f>
        <v/>
      </c>
      <c r="J2095" s="13">
        <f>G2095-H2095-I2095</f>
        <v/>
      </c>
      <c r="K2095">
        <f>IF(A2095="","",IF(J2095&lt;=IFERROR(VLOOKUP(A2095,Cadastro_Produtos!$A:$E,5,FALSE),0),"ABAIXO DO MINIMO","OK"))</f>
        <v/>
      </c>
    </row>
    <row r="2096">
      <c r="B2096">
        <f>IFERROR(VLOOKUP(A2096,Cadastro_Produtos!A:B,2,FALSE),"")</f>
        <v/>
      </c>
      <c r="D2096" s="12" t="n"/>
      <c r="E2096" s="13">
        <f>IF(D2096="","",D2096-TODAY())</f>
        <v/>
      </c>
      <c r="F2096">
        <f>IF(D2096="","",IF(E2096&lt;0,"VENCIDO",IF(E2096&lt;=30,"VENCE EM &lt;= 30 DIAS",IF(E2096&lt;=60,"ATENCAO (31-60 DIAS)","OK"))))</f>
        <v/>
      </c>
      <c r="G2096" s="13">
        <f>SUMIFS(Movimentacoes!$G:$G,Movimentacoes!$C:$C,$A2096,Movimentacoes!$E:$E,$C2096,Movimentacoes!$B:$B,"ENTRADA")</f>
        <v/>
      </c>
      <c r="H2096" s="13">
        <f>SUMIFS(Movimentacoes!$G:$G,Movimentacoes!$C:$C,$A2096,Movimentacoes!$E:$E,$C2096,Movimentacoes!$B:$B,"SAIDA_USO")</f>
        <v/>
      </c>
      <c r="I2096" s="13">
        <f>SUMIFS(Movimentacoes!$G:$G,Movimentacoes!$C:$C,$A2096,Movimentacoes!$E:$E,$C2096,Movimentacoes!$B:$B,"SAIDA_DESCARTE")</f>
        <v/>
      </c>
      <c r="J2096" s="13">
        <f>G2096-H2096-I2096</f>
        <v/>
      </c>
      <c r="K2096">
        <f>IF(A2096="","",IF(J2096&lt;=IFERROR(VLOOKUP(A2096,Cadastro_Produtos!$A:$E,5,FALSE),0),"ABAIXO DO MINIMO","OK"))</f>
        <v/>
      </c>
    </row>
    <row r="2097">
      <c r="B2097">
        <f>IFERROR(VLOOKUP(A2097,Cadastro_Produtos!A:B,2,FALSE),"")</f>
        <v/>
      </c>
      <c r="D2097" s="12" t="n"/>
      <c r="E2097" s="13">
        <f>IF(D2097="","",D2097-TODAY())</f>
        <v/>
      </c>
      <c r="F2097">
        <f>IF(D2097="","",IF(E2097&lt;0,"VENCIDO",IF(E2097&lt;=30,"VENCE EM &lt;= 30 DIAS",IF(E2097&lt;=60,"ATENCAO (31-60 DIAS)","OK"))))</f>
        <v/>
      </c>
      <c r="G2097" s="13">
        <f>SUMIFS(Movimentacoes!$G:$G,Movimentacoes!$C:$C,$A2097,Movimentacoes!$E:$E,$C2097,Movimentacoes!$B:$B,"ENTRADA")</f>
        <v/>
      </c>
      <c r="H2097" s="13">
        <f>SUMIFS(Movimentacoes!$G:$G,Movimentacoes!$C:$C,$A2097,Movimentacoes!$E:$E,$C2097,Movimentacoes!$B:$B,"SAIDA_USO")</f>
        <v/>
      </c>
      <c r="I2097" s="13">
        <f>SUMIFS(Movimentacoes!$G:$G,Movimentacoes!$C:$C,$A2097,Movimentacoes!$E:$E,$C2097,Movimentacoes!$B:$B,"SAIDA_DESCARTE")</f>
        <v/>
      </c>
      <c r="J2097" s="13">
        <f>G2097-H2097-I2097</f>
        <v/>
      </c>
      <c r="K2097">
        <f>IF(A2097="","",IF(J2097&lt;=IFERROR(VLOOKUP(A2097,Cadastro_Produtos!$A:$E,5,FALSE),0),"ABAIXO DO MINIMO","OK"))</f>
        <v/>
      </c>
    </row>
    <row r="2098">
      <c r="B2098">
        <f>IFERROR(VLOOKUP(A2098,Cadastro_Produtos!A:B,2,FALSE),"")</f>
        <v/>
      </c>
      <c r="D2098" s="12" t="n"/>
      <c r="E2098" s="13">
        <f>IF(D2098="","",D2098-TODAY())</f>
        <v/>
      </c>
      <c r="F2098">
        <f>IF(D2098="","",IF(E2098&lt;0,"VENCIDO",IF(E2098&lt;=30,"VENCE EM &lt;= 30 DIAS",IF(E2098&lt;=60,"ATENCAO (31-60 DIAS)","OK"))))</f>
        <v/>
      </c>
      <c r="G2098" s="13">
        <f>SUMIFS(Movimentacoes!$G:$G,Movimentacoes!$C:$C,$A2098,Movimentacoes!$E:$E,$C2098,Movimentacoes!$B:$B,"ENTRADA")</f>
        <v/>
      </c>
      <c r="H2098" s="13">
        <f>SUMIFS(Movimentacoes!$G:$G,Movimentacoes!$C:$C,$A2098,Movimentacoes!$E:$E,$C2098,Movimentacoes!$B:$B,"SAIDA_USO")</f>
        <v/>
      </c>
      <c r="I2098" s="13">
        <f>SUMIFS(Movimentacoes!$G:$G,Movimentacoes!$C:$C,$A2098,Movimentacoes!$E:$E,$C2098,Movimentacoes!$B:$B,"SAIDA_DESCARTE")</f>
        <v/>
      </c>
      <c r="J2098" s="13">
        <f>G2098-H2098-I2098</f>
        <v/>
      </c>
      <c r="K2098">
        <f>IF(A2098="","",IF(J2098&lt;=IFERROR(VLOOKUP(A2098,Cadastro_Produtos!$A:$E,5,FALSE),0),"ABAIXO DO MINIMO","OK"))</f>
        <v/>
      </c>
    </row>
    <row r="2099">
      <c r="B2099">
        <f>IFERROR(VLOOKUP(A2099,Cadastro_Produtos!A:B,2,FALSE),"")</f>
        <v/>
      </c>
      <c r="D2099" s="12" t="n"/>
      <c r="E2099" s="13">
        <f>IF(D2099="","",D2099-TODAY())</f>
        <v/>
      </c>
      <c r="F2099">
        <f>IF(D2099="","",IF(E2099&lt;0,"VENCIDO",IF(E2099&lt;=30,"VENCE EM &lt;= 30 DIAS",IF(E2099&lt;=60,"ATENCAO (31-60 DIAS)","OK"))))</f>
        <v/>
      </c>
      <c r="G2099" s="13">
        <f>SUMIFS(Movimentacoes!$G:$G,Movimentacoes!$C:$C,$A2099,Movimentacoes!$E:$E,$C2099,Movimentacoes!$B:$B,"ENTRADA")</f>
        <v/>
      </c>
      <c r="H2099" s="13">
        <f>SUMIFS(Movimentacoes!$G:$G,Movimentacoes!$C:$C,$A2099,Movimentacoes!$E:$E,$C2099,Movimentacoes!$B:$B,"SAIDA_USO")</f>
        <v/>
      </c>
      <c r="I2099" s="13">
        <f>SUMIFS(Movimentacoes!$G:$G,Movimentacoes!$C:$C,$A2099,Movimentacoes!$E:$E,$C2099,Movimentacoes!$B:$B,"SAIDA_DESCARTE")</f>
        <v/>
      </c>
      <c r="J2099" s="13">
        <f>G2099-H2099-I2099</f>
        <v/>
      </c>
      <c r="K2099">
        <f>IF(A2099="","",IF(J2099&lt;=IFERROR(VLOOKUP(A2099,Cadastro_Produtos!$A:$E,5,FALSE),0),"ABAIXO DO MINIMO","OK"))</f>
        <v/>
      </c>
    </row>
    <row r="2100">
      <c r="B2100">
        <f>IFERROR(VLOOKUP(A2100,Cadastro_Produtos!A:B,2,FALSE),"")</f>
        <v/>
      </c>
      <c r="D2100" s="12" t="n"/>
      <c r="E2100" s="13">
        <f>IF(D2100="","",D2100-TODAY())</f>
        <v/>
      </c>
      <c r="F2100">
        <f>IF(D2100="","",IF(E2100&lt;0,"VENCIDO",IF(E2100&lt;=30,"VENCE EM &lt;= 30 DIAS",IF(E2100&lt;=60,"ATENCAO (31-60 DIAS)","OK"))))</f>
        <v/>
      </c>
      <c r="G2100" s="13">
        <f>SUMIFS(Movimentacoes!$G:$G,Movimentacoes!$C:$C,$A2100,Movimentacoes!$E:$E,$C2100,Movimentacoes!$B:$B,"ENTRADA")</f>
        <v/>
      </c>
      <c r="H2100" s="13">
        <f>SUMIFS(Movimentacoes!$G:$G,Movimentacoes!$C:$C,$A2100,Movimentacoes!$E:$E,$C2100,Movimentacoes!$B:$B,"SAIDA_USO")</f>
        <v/>
      </c>
      <c r="I2100" s="13">
        <f>SUMIFS(Movimentacoes!$G:$G,Movimentacoes!$C:$C,$A2100,Movimentacoes!$E:$E,$C2100,Movimentacoes!$B:$B,"SAIDA_DESCARTE")</f>
        <v/>
      </c>
      <c r="J2100" s="13">
        <f>G2100-H2100-I2100</f>
        <v/>
      </c>
      <c r="K2100">
        <f>IF(A2100="","",IF(J2100&lt;=IFERROR(VLOOKUP(A2100,Cadastro_Produtos!$A:$E,5,FALSE),0),"ABAIXO DO MINIMO","OK"))</f>
        <v/>
      </c>
    </row>
    <row r="2101">
      <c r="B2101">
        <f>IFERROR(VLOOKUP(A2101,Cadastro_Produtos!A:B,2,FALSE),"")</f>
        <v/>
      </c>
      <c r="D2101" s="12" t="n"/>
      <c r="E2101" s="13">
        <f>IF(D2101="","",D2101-TODAY())</f>
        <v/>
      </c>
      <c r="F2101">
        <f>IF(D2101="","",IF(E2101&lt;0,"VENCIDO",IF(E2101&lt;=30,"VENCE EM &lt;= 30 DIAS",IF(E2101&lt;=60,"ATENCAO (31-60 DIAS)","OK"))))</f>
        <v/>
      </c>
      <c r="G2101" s="13">
        <f>SUMIFS(Movimentacoes!$G:$G,Movimentacoes!$C:$C,$A2101,Movimentacoes!$E:$E,$C2101,Movimentacoes!$B:$B,"ENTRADA")</f>
        <v/>
      </c>
      <c r="H2101" s="13">
        <f>SUMIFS(Movimentacoes!$G:$G,Movimentacoes!$C:$C,$A2101,Movimentacoes!$E:$E,$C2101,Movimentacoes!$B:$B,"SAIDA_USO")</f>
        <v/>
      </c>
      <c r="I2101" s="13">
        <f>SUMIFS(Movimentacoes!$G:$G,Movimentacoes!$C:$C,$A2101,Movimentacoes!$E:$E,$C2101,Movimentacoes!$B:$B,"SAIDA_DESCARTE")</f>
        <v/>
      </c>
      <c r="J2101" s="13">
        <f>G2101-H2101-I2101</f>
        <v/>
      </c>
      <c r="K2101">
        <f>IF(A2101="","",IF(J2101&lt;=IFERROR(VLOOKUP(A2101,Cadastro_Produtos!$A:$E,5,FALSE),0),"ABAIXO DO MINIMO","OK"))</f>
        <v/>
      </c>
    </row>
    <row r="2102">
      <c r="B2102">
        <f>IFERROR(VLOOKUP(A2102,Cadastro_Produtos!A:B,2,FALSE),"")</f>
        <v/>
      </c>
      <c r="D2102" s="12" t="n"/>
      <c r="E2102" s="13">
        <f>IF(D2102="","",D2102-TODAY())</f>
        <v/>
      </c>
      <c r="F2102">
        <f>IF(D2102="","",IF(E2102&lt;0,"VENCIDO",IF(E2102&lt;=30,"VENCE EM &lt;= 30 DIAS",IF(E2102&lt;=60,"ATENCAO (31-60 DIAS)","OK"))))</f>
        <v/>
      </c>
      <c r="G2102" s="13">
        <f>SUMIFS(Movimentacoes!$G:$G,Movimentacoes!$C:$C,$A2102,Movimentacoes!$E:$E,$C2102,Movimentacoes!$B:$B,"ENTRADA")</f>
        <v/>
      </c>
      <c r="H2102" s="13">
        <f>SUMIFS(Movimentacoes!$G:$G,Movimentacoes!$C:$C,$A2102,Movimentacoes!$E:$E,$C2102,Movimentacoes!$B:$B,"SAIDA_USO")</f>
        <v/>
      </c>
      <c r="I2102" s="13">
        <f>SUMIFS(Movimentacoes!$G:$G,Movimentacoes!$C:$C,$A2102,Movimentacoes!$E:$E,$C2102,Movimentacoes!$B:$B,"SAIDA_DESCARTE")</f>
        <v/>
      </c>
      <c r="J2102" s="13">
        <f>G2102-H2102-I2102</f>
        <v/>
      </c>
      <c r="K2102">
        <f>IF(A2102="","",IF(J2102&lt;=IFERROR(VLOOKUP(A2102,Cadastro_Produtos!$A:$E,5,FALSE),0),"ABAIXO DO MINIMO","OK"))</f>
        <v/>
      </c>
    </row>
    <row r="2103">
      <c r="B2103">
        <f>IFERROR(VLOOKUP(A2103,Cadastro_Produtos!A:B,2,FALSE),"")</f>
        <v/>
      </c>
      <c r="D2103" s="12" t="n"/>
      <c r="E2103" s="13">
        <f>IF(D2103="","",D2103-TODAY())</f>
        <v/>
      </c>
      <c r="F2103">
        <f>IF(D2103="","",IF(E2103&lt;0,"VENCIDO",IF(E2103&lt;=30,"VENCE EM &lt;= 30 DIAS",IF(E2103&lt;=60,"ATENCAO (31-60 DIAS)","OK"))))</f>
        <v/>
      </c>
      <c r="G2103" s="13">
        <f>SUMIFS(Movimentacoes!$G:$G,Movimentacoes!$C:$C,$A2103,Movimentacoes!$E:$E,$C2103,Movimentacoes!$B:$B,"ENTRADA")</f>
        <v/>
      </c>
      <c r="H2103" s="13">
        <f>SUMIFS(Movimentacoes!$G:$G,Movimentacoes!$C:$C,$A2103,Movimentacoes!$E:$E,$C2103,Movimentacoes!$B:$B,"SAIDA_USO")</f>
        <v/>
      </c>
      <c r="I2103" s="13">
        <f>SUMIFS(Movimentacoes!$G:$G,Movimentacoes!$C:$C,$A2103,Movimentacoes!$E:$E,$C2103,Movimentacoes!$B:$B,"SAIDA_DESCARTE")</f>
        <v/>
      </c>
      <c r="J2103" s="13">
        <f>G2103-H2103-I2103</f>
        <v/>
      </c>
      <c r="K2103">
        <f>IF(A2103="","",IF(J2103&lt;=IFERROR(VLOOKUP(A2103,Cadastro_Produtos!$A:$E,5,FALSE),0),"ABAIXO DO MINIMO","OK"))</f>
        <v/>
      </c>
    </row>
    <row r="2104">
      <c r="B2104">
        <f>IFERROR(VLOOKUP(A2104,Cadastro_Produtos!A:B,2,FALSE),"")</f>
        <v/>
      </c>
      <c r="D2104" s="12" t="n"/>
      <c r="E2104" s="13">
        <f>IF(D2104="","",D2104-TODAY())</f>
        <v/>
      </c>
      <c r="F2104">
        <f>IF(D2104="","",IF(E2104&lt;0,"VENCIDO",IF(E2104&lt;=30,"VENCE EM &lt;= 30 DIAS",IF(E2104&lt;=60,"ATENCAO (31-60 DIAS)","OK"))))</f>
        <v/>
      </c>
      <c r="G2104" s="13">
        <f>SUMIFS(Movimentacoes!$G:$G,Movimentacoes!$C:$C,$A2104,Movimentacoes!$E:$E,$C2104,Movimentacoes!$B:$B,"ENTRADA")</f>
        <v/>
      </c>
      <c r="H2104" s="13">
        <f>SUMIFS(Movimentacoes!$G:$G,Movimentacoes!$C:$C,$A2104,Movimentacoes!$E:$E,$C2104,Movimentacoes!$B:$B,"SAIDA_USO")</f>
        <v/>
      </c>
      <c r="I2104" s="13">
        <f>SUMIFS(Movimentacoes!$G:$G,Movimentacoes!$C:$C,$A2104,Movimentacoes!$E:$E,$C2104,Movimentacoes!$B:$B,"SAIDA_DESCARTE")</f>
        <v/>
      </c>
      <c r="J2104" s="13">
        <f>G2104-H2104-I2104</f>
        <v/>
      </c>
      <c r="K2104">
        <f>IF(A2104="","",IF(J2104&lt;=IFERROR(VLOOKUP(A2104,Cadastro_Produtos!$A:$E,5,FALSE),0),"ABAIXO DO MINIMO","OK"))</f>
        <v/>
      </c>
    </row>
    <row r="2105">
      <c r="B2105">
        <f>IFERROR(VLOOKUP(A2105,Cadastro_Produtos!A:B,2,FALSE),"")</f>
        <v/>
      </c>
      <c r="D2105" s="12" t="n"/>
      <c r="E2105" s="13">
        <f>IF(D2105="","",D2105-TODAY())</f>
        <v/>
      </c>
      <c r="F2105">
        <f>IF(D2105="","",IF(E2105&lt;0,"VENCIDO",IF(E2105&lt;=30,"VENCE EM &lt;= 30 DIAS",IF(E2105&lt;=60,"ATENCAO (31-60 DIAS)","OK"))))</f>
        <v/>
      </c>
      <c r="G2105" s="13">
        <f>SUMIFS(Movimentacoes!$G:$G,Movimentacoes!$C:$C,$A2105,Movimentacoes!$E:$E,$C2105,Movimentacoes!$B:$B,"ENTRADA")</f>
        <v/>
      </c>
      <c r="H2105" s="13">
        <f>SUMIFS(Movimentacoes!$G:$G,Movimentacoes!$C:$C,$A2105,Movimentacoes!$E:$E,$C2105,Movimentacoes!$B:$B,"SAIDA_USO")</f>
        <v/>
      </c>
      <c r="I2105" s="13">
        <f>SUMIFS(Movimentacoes!$G:$G,Movimentacoes!$C:$C,$A2105,Movimentacoes!$E:$E,$C2105,Movimentacoes!$B:$B,"SAIDA_DESCARTE")</f>
        <v/>
      </c>
      <c r="J2105" s="13">
        <f>G2105-H2105-I2105</f>
        <v/>
      </c>
      <c r="K2105">
        <f>IF(A2105="","",IF(J2105&lt;=IFERROR(VLOOKUP(A2105,Cadastro_Produtos!$A:$E,5,FALSE),0),"ABAIXO DO MINIMO","OK"))</f>
        <v/>
      </c>
    </row>
    <row r="2106">
      <c r="B2106">
        <f>IFERROR(VLOOKUP(A2106,Cadastro_Produtos!A:B,2,FALSE),"")</f>
        <v/>
      </c>
      <c r="D2106" s="12" t="n"/>
      <c r="E2106" s="13">
        <f>IF(D2106="","",D2106-TODAY())</f>
        <v/>
      </c>
      <c r="F2106">
        <f>IF(D2106="","",IF(E2106&lt;0,"VENCIDO",IF(E2106&lt;=30,"VENCE EM &lt;= 30 DIAS",IF(E2106&lt;=60,"ATENCAO (31-60 DIAS)","OK"))))</f>
        <v/>
      </c>
      <c r="G2106" s="13">
        <f>SUMIFS(Movimentacoes!$G:$G,Movimentacoes!$C:$C,$A2106,Movimentacoes!$E:$E,$C2106,Movimentacoes!$B:$B,"ENTRADA")</f>
        <v/>
      </c>
      <c r="H2106" s="13">
        <f>SUMIFS(Movimentacoes!$G:$G,Movimentacoes!$C:$C,$A2106,Movimentacoes!$E:$E,$C2106,Movimentacoes!$B:$B,"SAIDA_USO")</f>
        <v/>
      </c>
      <c r="I2106" s="13">
        <f>SUMIFS(Movimentacoes!$G:$G,Movimentacoes!$C:$C,$A2106,Movimentacoes!$E:$E,$C2106,Movimentacoes!$B:$B,"SAIDA_DESCARTE")</f>
        <v/>
      </c>
      <c r="J2106" s="13">
        <f>G2106-H2106-I2106</f>
        <v/>
      </c>
      <c r="K2106">
        <f>IF(A2106="","",IF(J2106&lt;=IFERROR(VLOOKUP(A2106,Cadastro_Produtos!$A:$E,5,FALSE),0),"ABAIXO DO MINIMO","OK"))</f>
        <v/>
      </c>
    </row>
    <row r="2107">
      <c r="B2107">
        <f>IFERROR(VLOOKUP(A2107,Cadastro_Produtos!A:B,2,FALSE),"")</f>
        <v/>
      </c>
      <c r="D2107" s="12" t="n"/>
      <c r="E2107" s="13">
        <f>IF(D2107="","",D2107-TODAY())</f>
        <v/>
      </c>
      <c r="F2107">
        <f>IF(D2107="","",IF(E2107&lt;0,"VENCIDO",IF(E2107&lt;=30,"VENCE EM &lt;= 30 DIAS",IF(E2107&lt;=60,"ATENCAO (31-60 DIAS)","OK"))))</f>
        <v/>
      </c>
      <c r="G2107" s="13">
        <f>SUMIFS(Movimentacoes!$G:$G,Movimentacoes!$C:$C,$A2107,Movimentacoes!$E:$E,$C2107,Movimentacoes!$B:$B,"ENTRADA")</f>
        <v/>
      </c>
      <c r="H2107" s="13">
        <f>SUMIFS(Movimentacoes!$G:$G,Movimentacoes!$C:$C,$A2107,Movimentacoes!$E:$E,$C2107,Movimentacoes!$B:$B,"SAIDA_USO")</f>
        <v/>
      </c>
      <c r="I2107" s="13">
        <f>SUMIFS(Movimentacoes!$G:$G,Movimentacoes!$C:$C,$A2107,Movimentacoes!$E:$E,$C2107,Movimentacoes!$B:$B,"SAIDA_DESCARTE")</f>
        <v/>
      </c>
      <c r="J2107" s="13">
        <f>G2107-H2107-I2107</f>
        <v/>
      </c>
      <c r="K2107">
        <f>IF(A2107="","",IF(J2107&lt;=IFERROR(VLOOKUP(A2107,Cadastro_Produtos!$A:$E,5,FALSE),0),"ABAIXO DO MINIMO","OK"))</f>
        <v/>
      </c>
    </row>
    <row r="2108">
      <c r="B2108">
        <f>IFERROR(VLOOKUP(A2108,Cadastro_Produtos!A:B,2,FALSE),"")</f>
        <v/>
      </c>
      <c r="D2108" s="12" t="n"/>
      <c r="E2108" s="13">
        <f>IF(D2108="","",D2108-TODAY())</f>
        <v/>
      </c>
      <c r="F2108">
        <f>IF(D2108="","",IF(E2108&lt;0,"VENCIDO",IF(E2108&lt;=30,"VENCE EM &lt;= 30 DIAS",IF(E2108&lt;=60,"ATENCAO (31-60 DIAS)","OK"))))</f>
        <v/>
      </c>
      <c r="G2108" s="13">
        <f>SUMIFS(Movimentacoes!$G:$G,Movimentacoes!$C:$C,$A2108,Movimentacoes!$E:$E,$C2108,Movimentacoes!$B:$B,"ENTRADA")</f>
        <v/>
      </c>
      <c r="H2108" s="13">
        <f>SUMIFS(Movimentacoes!$G:$G,Movimentacoes!$C:$C,$A2108,Movimentacoes!$E:$E,$C2108,Movimentacoes!$B:$B,"SAIDA_USO")</f>
        <v/>
      </c>
      <c r="I2108" s="13">
        <f>SUMIFS(Movimentacoes!$G:$G,Movimentacoes!$C:$C,$A2108,Movimentacoes!$E:$E,$C2108,Movimentacoes!$B:$B,"SAIDA_DESCARTE")</f>
        <v/>
      </c>
      <c r="J2108" s="13">
        <f>G2108-H2108-I2108</f>
        <v/>
      </c>
      <c r="K2108">
        <f>IF(A2108="","",IF(J2108&lt;=IFERROR(VLOOKUP(A2108,Cadastro_Produtos!$A:$E,5,FALSE),0),"ABAIXO DO MINIMO","OK"))</f>
        <v/>
      </c>
    </row>
    <row r="2109">
      <c r="B2109">
        <f>IFERROR(VLOOKUP(A2109,Cadastro_Produtos!A:B,2,FALSE),"")</f>
        <v/>
      </c>
      <c r="D2109" s="12" t="n"/>
      <c r="E2109" s="13">
        <f>IF(D2109="","",D2109-TODAY())</f>
        <v/>
      </c>
      <c r="F2109">
        <f>IF(D2109="","",IF(E2109&lt;0,"VENCIDO",IF(E2109&lt;=30,"VENCE EM &lt;= 30 DIAS",IF(E2109&lt;=60,"ATENCAO (31-60 DIAS)","OK"))))</f>
        <v/>
      </c>
      <c r="G2109" s="13">
        <f>SUMIFS(Movimentacoes!$G:$G,Movimentacoes!$C:$C,$A2109,Movimentacoes!$E:$E,$C2109,Movimentacoes!$B:$B,"ENTRADA")</f>
        <v/>
      </c>
      <c r="H2109" s="13">
        <f>SUMIFS(Movimentacoes!$G:$G,Movimentacoes!$C:$C,$A2109,Movimentacoes!$E:$E,$C2109,Movimentacoes!$B:$B,"SAIDA_USO")</f>
        <v/>
      </c>
      <c r="I2109" s="13">
        <f>SUMIFS(Movimentacoes!$G:$G,Movimentacoes!$C:$C,$A2109,Movimentacoes!$E:$E,$C2109,Movimentacoes!$B:$B,"SAIDA_DESCARTE")</f>
        <v/>
      </c>
      <c r="J2109" s="13">
        <f>G2109-H2109-I2109</f>
        <v/>
      </c>
      <c r="K2109">
        <f>IF(A2109="","",IF(J2109&lt;=IFERROR(VLOOKUP(A2109,Cadastro_Produtos!$A:$E,5,FALSE),0),"ABAIXO DO MINIMO","OK"))</f>
        <v/>
      </c>
    </row>
    <row r="2110">
      <c r="B2110">
        <f>IFERROR(VLOOKUP(A2110,Cadastro_Produtos!A:B,2,FALSE),"")</f>
        <v/>
      </c>
      <c r="D2110" s="12" t="n"/>
      <c r="E2110" s="13">
        <f>IF(D2110="","",D2110-TODAY())</f>
        <v/>
      </c>
      <c r="F2110">
        <f>IF(D2110="","",IF(E2110&lt;0,"VENCIDO",IF(E2110&lt;=30,"VENCE EM &lt;= 30 DIAS",IF(E2110&lt;=60,"ATENCAO (31-60 DIAS)","OK"))))</f>
        <v/>
      </c>
      <c r="G2110" s="13">
        <f>SUMIFS(Movimentacoes!$G:$G,Movimentacoes!$C:$C,$A2110,Movimentacoes!$E:$E,$C2110,Movimentacoes!$B:$B,"ENTRADA")</f>
        <v/>
      </c>
      <c r="H2110" s="13">
        <f>SUMIFS(Movimentacoes!$G:$G,Movimentacoes!$C:$C,$A2110,Movimentacoes!$E:$E,$C2110,Movimentacoes!$B:$B,"SAIDA_USO")</f>
        <v/>
      </c>
      <c r="I2110" s="13">
        <f>SUMIFS(Movimentacoes!$G:$G,Movimentacoes!$C:$C,$A2110,Movimentacoes!$E:$E,$C2110,Movimentacoes!$B:$B,"SAIDA_DESCARTE")</f>
        <v/>
      </c>
      <c r="J2110" s="13">
        <f>G2110-H2110-I2110</f>
        <v/>
      </c>
      <c r="K2110">
        <f>IF(A2110="","",IF(J2110&lt;=IFERROR(VLOOKUP(A2110,Cadastro_Produtos!$A:$E,5,FALSE),0),"ABAIXO DO MINIMO","OK"))</f>
        <v/>
      </c>
    </row>
    <row r="2111">
      <c r="B2111">
        <f>IFERROR(VLOOKUP(A2111,Cadastro_Produtos!A:B,2,FALSE),"")</f>
        <v/>
      </c>
      <c r="D2111" s="12" t="n"/>
      <c r="E2111" s="13">
        <f>IF(D2111="","",D2111-TODAY())</f>
        <v/>
      </c>
      <c r="F2111">
        <f>IF(D2111="","",IF(E2111&lt;0,"VENCIDO",IF(E2111&lt;=30,"VENCE EM &lt;= 30 DIAS",IF(E2111&lt;=60,"ATENCAO (31-60 DIAS)","OK"))))</f>
        <v/>
      </c>
      <c r="G2111" s="13">
        <f>SUMIFS(Movimentacoes!$G:$G,Movimentacoes!$C:$C,$A2111,Movimentacoes!$E:$E,$C2111,Movimentacoes!$B:$B,"ENTRADA")</f>
        <v/>
      </c>
      <c r="H2111" s="13">
        <f>SUMIFS(Movimentacoes!$G:$G,Movimentacoes!$C:$C,$A2111,Movimentacoes!$E:$E,$C2111,Movimentacoes!$B:$B,"SAIDA_USO")</f>
        <v/>
      </c>
      <c r="I2111" s="13">
        <f>SUMIFS(Movimentacoes!$G:$G,Movimentacoes!$C:$C,$A2111,Movimentacoes!$E:$E,$C2111,Movimentacoes!$B:$B,"SAIDA_DESCARTE")</f>
        <v/>
      </c>
      <c r="J2111" s="13">
        <f>G2111-H2111-I2111</f>
        <v/>
      </c>
      <c r="K2111">
        <f>IF(A2111="","",IF(J2111&lt;=IFERROR(VLOOKUP(A2111,Cadastro_Produtos!$A:$E,5,FALSE),0),"ABAIXO DO MINIMO","OK"))</f>
        <v/>
      </c>
    </row>
    <row r="2112">
      <c r="B2112">
        <f>IFERROR(VLOOKUP(A2112,Cadastro_Produtos!A:B,2,FALSE),"")</f>
        <v/>
      </c>
      <c r="D2112" s="12" t="n"/>
      <c r="E2112" s="13">
        <f>IF(D2112="","",D2112-TODAY())</f>
        <v/>
      </c>
      <c r="F2112">
        <f>IF(D2112="","",IF(E2112&lt;0,"VENCIDO",IF(E2112&lt;=30,"VENCE EM &lt;= 30 DIAS",IF(E2112&lt;=60,"ATENCAO (31-60 DIAS)","OK"))))</f>
        <v/>
      </c>
      <c r="G2112" s="13">
        <f>SUMIFS(Movimentacoes!$G:$G,Movimentacoes!$C:$C,$A2112,Movimentacoes!$E:$E,$C2112,Movimentacoes!$B:$B,"ENTRADA")</f>
        <v/>
      </c>
      <c r="H2112" s="13">
        <f>SUMIFS(Movimentacoes!$G:$G,Movimentacoes!$C:$C,$A2112,Movimentacoes!$E:$E,$C2112,Movimentacoes!$B:$B,"SAIDA_USO")</f>
        <v/>
      </c>
      <c r="I2112" s="13">
        <f>SUMIFS(Movimentacoes!$G:$G,Movimentacoes!$C:$C,$A2112,Movimentacoes!$E:$E,$C2112,Movimentacoes!$B:$B,"SAIDA_DESCARTE")</f>
        <v/>
      </c>
      <c r="J2112" s="13">
        <f>G2112-H2112-I2112</f>
        <v/>
      </c>
      <c r="K2112">
        <f>IF(A2112="","",IF(J2112&lt;=IFERROR(VLOOKUP(A2112,Cadastro_Produtos!$A:$E,5,FALSE),0),"ABAIXO DO MINIMO","OK"))</f>
        <v/>
      </c>
    </row>
    <row r="2113">
      <c r="B2113">
        <f>IFERROR(VLOOKUP(A2113,Cadastro_Produtos!A:B,2,FALSE),"")</f>
        <v/>
      </c>
      <c r="D2113" s="12" t="n"/>
      <c r="E2113" s="13">
        <f>IF(D2113="","",D2113-TODAY())</f>
        <v/>
      </c>
      <c r="F2113">
        <f>IF(D2113="","",IF(E2113&lt;0,"VENCIDO",IF(E2113&lt;=30,"VENCE EM &lt;= 30 DIAS",IF(E2113&lt;=60,"ATENCAO (31-60 DIAS)","OK"))))</f>
        <v/>
      </c>
      <c r="G2113" s="13">
        <f>SUMIFS(Movimentacoes!$G:$G,Movimentacoes!$C:$C,$A2113,Movimentacoes!$E:$E,$C2113,Movimentacoes!$B:$B,"ENTRADA")</f>
        <v/>
      </c>
      <c r="H2113" s="13">
        <f>SUMIFS(Movimentacoes!$G:$G,Movimentacoes!$C:$C,$A2113,Movimentacoes!$E:$E,$C2113,Movimentacoes!$B:$B,"SAIDA_USO")</f>
        <v/>
      </c>
      <c r="I2113" s="13">
        <f>SUMIFS(Movimentacoes!$G:$G,Movimentacoes!$C:$C,$A2113,Movimentacoes!$E:$E,$C2113,Movimentacoes!$B:$B,"SAIDA_DESCARTE")</f>
        <v/>
      </c>
      <c r="J2113" s="13">
        <f>G2113-H2113-I2113</f>
        <v/>
      </c>
      <c r="K2113">
        <f>IF(A2113="","",IF(J2113&lt;=IFERROR(VLOOKUP(A2113,Cadastro_Produtos!$A:$E,5,FALSE),0),"ABAIXO DO MINIMO","OK"))</f>
        <v/>
      </c>
    </row>
    <row r="2114">
      <c r="B2114">
        <f>IFERROR(VLOOKUP(A2114,Cadastro_Produtos!A:B,2,FALSE),"")</f>
        <v/>
      </c>
      <c r="D2114" s="12" t="n"/>
      <c r="E2114" s="13">
        <f>IF(D2114="","",D2114-TODAY())</f>
        <v/>
      </c>
      <c r="F2114">
        <f>IF(D2114="","",IF(E2114&lt;0,"VENCIDO",IF(E2114&lt;=30,"VENCE EM &lt;= 30 DIAS",IF(E2114&lt;=60,"ATENCAO (31-60 DIAS)","OK"))))</f>
        <v/>
      </c>
      <c r="G2114" s="13">
        <f>SUMIFS(Movimentacoes!$G:$G,Movimentacoes!$C:$C,$A2114,Movimentacoes!$E:$E,$C2114,Movimentacoes!$B:$B,"ENTRADA")</f>
        <v/>
      </c>
      <c r="H2114" s="13">
        <f>SUMIFS(Movimentacoes!$G:$G,Movimentacoes!$C:$C,$A2114,Movimentacoes!$E:$E,$C2114,Movimentacoes!$B:$B,"SAIDA_USO")</f>
        <v/>
      </c>
      <c r="I2114" s="13">
        <f>SUMIFS(Movimentacoes!$G:$G,Movimentacoes!$C:$C,$A2114,Movimentacoes!$E:$E,$C2114,Movimentacoes!$B:$B,"SAIDA_DESCARTE")</f>
        <v/>
      </c>
      <c r="J2114" s="13">
        <f>G2114-H2114-I2114</f>
        <v/>
      </c>
      <c r="K2114">
        <f>IF(A2114="","",IF(J2114&lt;=IFERROR(VLOOKUP(A2114,Cadastro_Produtos!$A:$E,5,FALSE),0),"ABAIXO DO MINIMO","OK"))</f>
        <v/>
      </c>
    </row>
    <row r="2115">
      <c r="B2115">
        <f>IFERROR(VLOOKUP(A2115,Cadastro_Produtos!A:B,2,FALSE),"")</f>
        <v/>
      </c>
      <c r="D2115" s="12" t="n"/>
      <c r="E2115" s="13">
        <f>IF(D2115="","",D2115-TODAY())</f>
        <v/>
      </c>
      <c r="F2115">
        <f>IF(D2115="","",IF(E2115&lt;0,"VENCIDO",IF(E2115&lt;=30,"VENCE EM &lt;= 30 DIAS",IF(E2115&lt;=60,"ATENCAO (31-60 DIAS)","OK"))))</f>
        <v/>
      </c>
      <c r="G2115" s="13">
        <f>SUMIFS(Movimentacoes!$G:$G,Movimentacoes!$C:$C,$A2115,Movimentacoes!$E:$E,$C2115,Movimentacoes!$B:$B,"ENTRADA")</f>
        <v/>
      </c>
      <c r="H2115" s="13">
        <f>SUMIFS(Movimentacoes!$G:$G,Movimentacoes!$C:$C,$A2115,Movimentacoes!$E:$E,$C2115,Movimentacoes!$B:$B,"SAIDA_USO")</f>
        <v/>
      </c>
      <c r="I2115" s="13">
        <f>SUMIFS(Movimentacoes!$G:$G,Movimentacoes!$C:$C,$A2115,Movimentacoes!$E:$E,$C2115,Movimentacoes!$B:$B,"SAIDA_DESCARTE")</f>
        <v/>
      </c>
      <c r="J2115" s="13">
        <f>G2115-H2115-I2115</f>
        <v/>
      </c>
      <c r="K2115">
        <f>IF(A2115="","",IF(J2115&lt;=IFERROR(VLOOKUP(A2115,Cadastro_Produtos!$A:$E,5,FALSE),0),"ABAIXO DO MINIMO","OK"))</f>
        <v/>
      </c>
    </row>
    <row r="2116">
      <c r="B2116">
        <f>IFERROR(VLOOKUP(A2116,Cadastro_Produtos!A:B,2,FALSE),"")</f>
        <v/>
      </c>
      <c r="D2116" s="12" t="n"/>
      <c r="E2116" s="13">
        <f>IF(D2116="","",D2116-TODAY())</f>
        <v/>
      </c>
      <c r="F2116">
        <f>IF(D2116="","",IF(E2116&lt;0,"VENCIDO",IF(E2116&lt;=30,"VENCE EM &lt;= 30 DIAS",IF(E2116&lt;=60,"ATENCAO (31-60 DIAS)","OK"))))</f>
        <v/>
      </c>
      <c r="G2116" s="13">
        <f>SUMIFS(Movimentacoes!$G:$G,Movimentacoes!$C:$C,$A2116,Movimentacoes!$E:$E,$C2116,Movimentacoes!$B:$B,"ENTRADA")</f>
        <v/>
      </c>
      <c r="H2116" s="13">
        <f>SUMIFS(Movimentacoes!$G:$G,Movimentacoes!$C:$C,$A2116,Movimentacoes!$E:$E,$C2116,Movimentacoes!$B:$B,"SAIDA_USO")</f>
        <v/>
      </c>
      <c r="I2116" s="13">
        <f>SUMIFS(Movimentacoes!$G:$G,Movimentacoes!$C:$C,$A2116,Movimentacoes!$E:$E,$C2116,Movimentacoes!$B:$B,"SAIDA_DESCARTE")</f>
        <v/>
      </c>
      <c r="J2116" s="13">
        <f>G2116-H2116-I2116</f>
        <v/>
      </c>
      <c r="K2116">
        <f>IF(A2116="","",IF(J2116&lt;=IFERROR(VLOOKUP(A2116,Cadastro_Produtos!$A:$E,5,FALSE),0),"ABAIXO DO MINIMO","OK"))</f>
        <v/>
      </c>
    </row>
    <row r="2117">
      <c r="B2117">
        <f>IFERROR(VLOOKUP(A2117,Cadastro_Produtos!A:B,2,FALSE),"")</f>
        <v/>
      </c>
      <c r="D2117" s="12" t="n"/>
      <c r="E2117" s="13">
        <f>IF(D2117="","",D2117-TODAY())</f>
        <v/>
      </c>
      <c r="F2117">
        <f>IF(D2117="","",IF(E2117&lt;0,"VENCIDO",IF(E2117&lt;=30,"VENCE EM &lt;= 30 DIAS",IF(E2117&lt;=60,"ATENCAO (31-60 DIAS)","OK"))))</f>
        <v/>
      </c>
      <c r="G2117" s="13">
        <f>SUMIFS(Movimentacoes!$G:$G,Movimentacoes!$C:$C,$A2117,Movimentacoes!$E:$E,$C2117,Movimentacoes!$B:$B,"ENTRADA")</f>
        <v/>
      </c>
      <c r="H2117" s="13">
        <f>SUMIFS(Movimentacoes!$G:$G,Movimentacoes!$C:$C,$A2117,Movimentacoes!$E:$E,$C2117,Movimentacoes!$B:$B,"SAIDA_USO")</f>
        <v/>
      </c>
      <c r="I2117" s="13">
        <f>SUMIFS(Movimentacoes!$G:$G,Movimentacoes!$C:$C,$A2117,Movimentacoes!$E:$E,$C2117,Movimentacoes!$B:$B,"SAIDA_DESCARTE")</f>
        <v/>
      </c>
      <c r="J2117" s="13">
        <f>G2117-H2117-I2117</f>
        <v/>
      </c>
      <c r="K2117">
        <f>IF(A2117="","",IF(J2117&lt;=IFERROR(VLOOKUP(A2117,Cadastro_Produtos!$A:$E,5,FALSE),0),"ABAIXO DO MINIMO","OK"))</f>
        <v/>
      </c>
    </row>
    <row r="2118">
      <c r="B2118">
        <f>IFERROR(VLOOKUP(A2118,Cadastro_Produtos!A:B,2,FALSE),"")</f>
        <v/>
      </c>
      <c r="D2118" s="12" t="n"/>
      <c r="E2118" s="13">
        <f>IF(D2118="","",D2118-TODAY())</f>
        <v/>
      </c>
      <c r="F2118">
        <f>IF(D2118="","",IF(E2118&lt;0,"VENCIDO",IF(E2118&lt;=30,"VENCE EM &lt;= 30 DIAS",IF(E2118&lt;=60,"ATENCAO (31-60 DIAS)","OK"))))</f>
        <v/>
      </c>
      <c r="G2118" s="13">
        <f>SUMIFS(Movimentacoes!$G:$G,Movimentacoes!$C:$C,$A2118,Movimentacoes!$E:$E,$C2118,Movimentacoes!$B:$B,"ENTRADA")</f>
        <v/>
      </c>
      <c r="H2118" s="13">
        <f>SUMIFS(Movimentacoes!$G:$G,Movimentacoes!$C:$C,$A2118,Movimentacoes!$E:$E,$C2118,Movimentacoes!$B:$B,"SAIDA_USO")</f>
        <v/>
      </c>
      <c r="I2118" s="13">
        <f>SUMIFS(Movimentacoes!$G:$G,Movimentacoes!$C:$C,$A2118,Movimentacoes!$E:$E,$C2118,Movimentacoes!$B:$B,"SAIDA_DESCARTE")</f>
        <v/>
      </c>
      <c r="J2118" s="13">
        <f>G2118-H2118-I2118</f>
        <v/>
      </c>
      <c r="K2118">
        <f>IF(A2118="","",IF(J2118&lt;=IFERROR(VLOOKUP(A2118,Cadastro_Produtos!$A:$E,5,FALSE),0),"ABAIXO DO MINIMO","OK"))</f>
        <v/>
      </c>
    </row>
    <row r="2119">
      <c r="B2119">
        <f>IFERROR(VLOOKUP(A2119,Cadastro_Produtos!A:B,2,FALSE),"")</f>
        <v/>
      </c>
      <c r="D2119" s="12" t="n"/>
      <c r="E2119" s="13">
        <f>IF(D2119="","",D2119-TODAY())</f>
        <v/>
      </c>
      <c r="F2119">
        <f>IF(D2119="","",IF(E2119&lt;0,"VENCIDO",IF(E2119&lt;=30,"VENCE EM &lt;= 30 DIAS",IF(E2119&lt;=60,"ATENCAO (31-60 DIAS)","OK"))))</f>
        <v/>
      </c>
      <c r="G2119" s="13">
        <f>SUMIFS(Movimentacoes!$G:$G,Movimentacoes!$C:$C,$A2119,Movimentacoes!$E:$E,$C2119,Movimentacoes!$B:$B,"ENTRADA")</f>
        <v/>
      </c>
      <c r="H2119" s="13">
        <f>SUMIFS(Movimentacoes!$G:$G,Movimentacoes!$C:$C,$A2119,Movimentacoes!$E:$E,$C2119,Movimentacoes!$B:$B,"SAIDA_USO")</f>
        <v/>
      </c>
      <c r="I2119" s="13">
        <f>SUMIFS(Movimentacoes!$G:$G,Movimentacoes!$C:$C,$A2119,Movimentacoes!$E:$E,$C2119,Movimentacoes!$B:$B,"SAIDA_DESCARTE")</f>
        <v/>
      </c>
      <c r="J2119" s="13">
        <f>G2119-H2119-I2119</f>
        <v/>
      </c>
      <c r="K2119">
        <f>IF(A2119="","",IF(J2119&lt;=IFERROR(VLOOKUP(A2119,Cadastro_Produtos!$A:$E,5,FALSE),0),"ABAIXO DO MINIMO","OK"))</f>
        <v/>
      </c>
    </row>
    <row r="2120">
      <c r="B2120">
        <f>IFERROR(VLOOKUP(A2120,Cadastro_Produtos!A:B,2,FALSE),"")</f>
        <v/>
      </c>
      <c r="D2120" s="12" t="n"/>
      <c r="E2120" s="13">
        <f>IF(D2120="","",D2120-TODAY())</f>
        <v/>
      </c>
      <c r="F2120">
        <f>IF(D2120="","",IF(E2120&lt;0,"VENCIDO",IF(E2120&lt;=30,"VENCE EM &lt;= 30 DIAS",IF(E2120&lt;=60,"ATENCAO (31-60 DIAS)","OK"))))</f>
        <v/>
      </c>
      <c r="G2120" s="13">
        <f>SUMIFS(Movimentacoes!$G:$G,Movimentacoes!$C:$C,$A2120,Movimentacoes!$E:$E,$C2120,Movimentacoes!$B:$B,"ENTRADA")</f>
        <v/>
      </c>
      <c r="H2120" s="13">
        <f>SUMIFS(Movimentacoes!$G:$G,Movimentacoes!$C:$C,$A2120,Movimentacoes!$E:$E,$C2120,Movimentacoes!$B:$B,"SAIDA_USO")</f>
        <v/>
      </c>
      <c r="I2120" s="13">
        <f>SUMIFS(Movimentacoes!$G:$G,Movimentacoes!$C:$C,$A2120,Movimentacoes!$E:$E,$C2120,Movimentacoes!$B:$B,"SAIDA_DESCARTE")</f>
        <v/>
      </c>
      <c r="J2120" s="13">
        <f>G2120-H2120-I2120</f>
        <v/>
      </c>
      <c r="K2120">
        <f>IF(A2120="","",IF(J2120&lt;=IFERROR(VLOOKUP(A2120,Cadastro_Produtos!$A:$E,5,FALSE),0),"ABAIXO DO MINIMO","OK"))</f>
        <v/>
      </c>
    </row>
    <row r="2121">
      <c r="B2121">
        <f>IFERROR(VLOOKUP(A2121,Cadastro_Produtos!A:B,2,FALSE),"")</f>
        <v/>
      </c>
      <c r="D2121" s="12" t="n"/>
      <c r="E2121" s="13">
        <f>IF(D2121="","",D2121-TODAY())</f>
        <v/>
      </c>
      <c r="F2121">
        <f>IF(D2121="","",IF(E2121&lt;0,"VENCIDO",IF(E2121&lt;=30,"VENCE EM &lt;= 30 DIAS",IF(E2121&lt;=60,"ATENCAO (31-60 DIAS)","OK"))))</f>
        <v/>
      </c>
      <c r="G2121" s="13">
        <f>SUMIFS(Movimentacoes!$G:$G,Movimentacoes!$C:$C,$A2121,Movimentacoes!$E:$E,$C2121,Movimentacoes!$B:$B,"ENTRADA")</f>
        <v/>
      </c>
      <c r="H2121" s="13">
        <f>SUMIFS(Movimentacoes!$G:$G,Movimentacoes!$C:$C,$A2121,Movimentacoes!$E:$E,$C2121,Movimentacoes!$B:$B,"SAIDA_USO")</f>
        <v/>
      </c>
      <c r="I2121" s="13">
        <f>SUMIFS(Movimentacoes!$G:$G,Movimentacoes!$C:$C,$A2121,Movimentacoes!$E:$E,$C2121,Movimentacoes!$B:$B,"SAIDA_DESCARTE")</f>
        <v/>
      </c>
      <c r="J2121" s="13">
        <f>G2121-H2121-I2121</f>
        <v/>
      </c>
      <c r="K2121">
        <f>IF(A2121="","",IF(J2121&lt;=IFERROR(VLOOKUP(A2121,Cadastro_Produtos!$A:$E,5,FALSE),0),"ABAIXO DO MINIMO","OK"))</f>
        <v/>
      </c>
    </row>
    <row r="2122">
      <c r="B2122">
        <f>IFERROR(VLOOKUP(A2122,Cadastro_Produtos!A:B,2,FALSE),"")</f>
        <v/>
      </c>
      <c r="D2122" s="12" t="n"/>
      <c r="E2122" s="13">
        <f>IF(D2122="","",D2122-TODAY())</f>
        <v/>
      </c>
      <c r="F2122">
        <f>IF(D2122="","",IF(E2122&lt;0,"VENCIDO",IF(E2122&lt;=30,"VENCE EM &lt;= 30 DIAS",IF(E2122&lt;=60,"ATENCAO (31-60 DIAS)","OK"))))</f>
        <v/>
      </c>
      <c r="G2122" s="13">
        <f>SUMIFS(Movimentacoes!$G:$G,Movimentacoes!$C:$C,$A2122,Movimentacoes!$E:$E,$C2122,Movimentacoes!$B:$B,"ENTRADA")</f>
        <v/>
      </c>
      <c r="H2122" s="13">
        <f>SUMIFS(Movimentacoes!$G:$G,Movimentacoes!$C:$C,$A2122,Movimentacoes!$E:$E,$C2122,Movimentacoes!$B:$B,"SAIDA_USO")</f>
        <v/>
      </c>
      <c r="I2122" s="13">
        <f>SUMIFS(Movimentacoes!$G:$G,Movimentacoes!$C:$C,$A2122,Movimentacoes!$E:$E,$C2122,Movimentacoes!$B:$B,"SAIDA_DESCARTE")</f>
        <v/>
      </c>
      <c r="J2122" s="13">
        <f>G2122-H2122-I2122</f>
        <v/>
      </c>
      <c r="K2122">
        <f>IF(A2122="","",IF(J2122&lt;=IFERROR(VLOOKUP(A2122,Cadastro_Produtos!$A:$E,5,FALSE),0),"ABAIXO DO MINIMO","OK"))</f>
        <v/>
      </c>
    </row>
    <row r="2123">
      <c r="B2123">
        <f>IFERROR(VLOOKUP(A2123,Cadastro_Produtos!A:B,2,FALSE),"")</f>
        <v/>
      </c>
      <c r="D2123" s="12" t="n"/>
      <c r="E2123" s="13">
        <f>IF(D2123="","",D2123-TODAY())</f>
        <v/>
      </c>
      <c r="F2123">
        <f>IF(D2123="","",IF(E2123&lt;0,"VENCIDO",IF(E2123&lt;=30,"VENCE EM &lt;= 30 DIAS",IF(E2123&lt;=60,"ATENCAO (31-60 DIAS)","OK"))))</f>
        <v/>
      </c>
      <c r="G2123" s="13">
        <f>SUMIFS(Movimentacoes!$G:$G,Movimentacoes!$C:$C,$A2123,Movimentacoes!$E:$E,$C2123,Movimentacoes!$B:$B,"ENTRADA")</f>
        <v/>
      </c>
      <c r="H2123" s="13">
        <f>SUMIFS(Movimentacoes!$G:$G,Movimentacoes!$C:$C,$A2123,Movimentacoes!$E:$E,$C2123,Movimentacoes!$B:$B,"SAIDA_USO")</f>
        <v/>
      </c>
      <c r="I2123" s="13">
        <f>SUMIFS(Movimentacoes!$G:$G,Movimentacoes!$C:$C,$A2123,Movimentacoes!$E:$E,$C2123,Movimentacoes!$B:$B,"SAIDA_DESCARTE")</f>
        <v/>
      </c>
      <c r="J2123" s="13">
        <f>G2123-H2123-I2123</f>
        <v/>
      </c>
      <c r="K2123">
        <f>IF(A2123="","",IF(J2123&lt;=IFERROR(VLOOKUP(A2123,Cadastro_Produtos!$A:$E,5,FALSE),0),"ABAIXO DO MINIMO","OK"))</f>
        <v/>
      </c>
    </row>
    <row r="2124">
      <c r="B2124">
        <f>IFERROR(VLOOKUP(A2124,Cadastro_Produtos!A:B,2,FALSE),"")</f>
        <v/>
      </c>
      <c r="D2124" s="12" t="n"/>
      <c r="E2124" s="13">
        <f>IF(D2124="","",D2124-TODAY())</f>
        <v/>
      </c>
      <c r="F2124">
        <f>IF(D2124="","",IF(E2124&lt;0,"VENCIDO",IF(E2124&lt;=30,"VENCE EM &lt;= 30 DIAS",IF(E2124&lt;=60,"ATENCAO (31-60 DIAS)","OK"))))</f>
        <v/>
      </c>
      <c r="G2124" s="13">
        <f>SUMIFS(Movimentacoes!$G:$G,Movimentacoes!$C:$C,$A2124,Movimentacoes!$E:$E,$C2124,Movimentacoes!$B:$B,"ENTRADA")</f>
        <v/>
      </c>
      <c r="H2124" s="13">
        <f>SUMIFS(Movimentacoes!$G:$G,Movimentacoes!$C:$C,$A2124,Movimentacoes!$E:$E,$C2124,Movimentacoes!$B:$B,"SAIDA_USO")</f>
        <v/>
      </c>
      <c r="I2124" s="13">
        <f>SUMIFS(Movimentacoes!$G:$G,Movimentacoes!$C:$C,$A2124,Movimentacoes!$E:$E,$C2124,Movimentacoes!$B:$B,"SAIDA_DESCARTE")</f>
        <v/>
      </c>
      <c r="J2124" s="13">
        <f>G2124-H2124-I2124</f>
        <v/>
      </c>
      <c r="K2124">
        <f>IF(A2124="","",IF(J2124&lt;=IFERROR(VLOOKUP(A2124,Cadastro_Produtos!$A:$E,5,FALSE),0),"ABAIXO DO MINIMO","OK"))</f>
        <v/>
      </c>
    </row>
    <row r="2125">
      <c r="B2125">
        <f>IFERROR(VLOOKUP(A2125,Cadastro_Produtos!A:B,2,FALSE),"")</f>
        <v/>
      </c>
      <c r="D2125" s="12" t="n"/>
      <c r="E2125" s="13">
        <f>IF(D2125="","",D2125-TODAY())</f>
        <v/>
      </c>
      <c r="F2125">
        <f>IF(D2125="","",IF(E2125&lt;0,"VENCIDO",IF(E2125&lt;=30,"VENCE EM &lt;= 30 DIAS",IF(E2125&lt;=60,"ATENCAO (31-60 DIAS)","OK"))))</f>
        <v/>
      </c>
      <c r="G2125" s="13">
        <f>SUMIFS(Movimentacoes!$G:$G,Movimentacoes!$C:$C,$A2125,Movimentacoes!$E:$E,$C2125,Movimentacoes!$B:$B,"ENTRADA")</f>
        <v/>
      </c>
      <c r="H2125" s="13">
        <f>SUMIFS(Movimentacoes!$G:$G,Movimentacoes!$C:$C,$A2125,Movimentacoes!$E:$E,$C2125,Movimentacoes!$B:$B,"SAIDA_USO")</f>
        <v/>
      </c>
      <c r="I2125" s="13">
        <f>SUMIFS(Movimentacoes!$G:$G,Movimentacoes!$C:$C,$A2125,Movimentacoes!$E:$E,$C2125,Movimentacoes!$B:$B,"SAIDA_DESCARTE")</f>
        <v/>
      </c>
      <c r="J2125" s="13">
        <f>G2125-H2125-I2125</f>
        <v/>
      </c>
      <c r="K2125">
        <f>IF(A2125="","",IF(J2125&lt;=IFERROR(VLOOKUP(A2125,Cadastro_Produtos!$A:$E,5,FALSE),0),"ABAIXO DO MINIMO","OK"))</f>
        <v/>
      </c>
    </row>
    <row r="2126">
      <c r="B2126">
        <f>IFERROR(VLOOKUP(A2126,Cadastro_Produtos!A:B,2,FALSE),"")</f>
        <v/>
      </c>
      <c r="D2126" s="12" t="n"/>
      <c r="E2126" s="13">
        <f>IF(D2126="","",D2126-TODAY())</f>
        <v/>
      </c>
      <c r="F2126">
        <f>IF(D2126="","",IF(E2126&lt;0,"VENCIDO",IF(E2126&lt;=30,"VENCE EM &lt;= 30 DIAS",IF(E2126&lt;=60,"ATENCAO (31-60 DIAS)","OK"))))</f>
        <v/>
      </c>
      <c r="G2126" s="13">
        <f>SUMIFS(Movimentacoes!$G:$G,Movimentacoes!$C:$C,$A2126,Movimentacoes!$E:$E,$C2126,Movimentacoes!$B:$B,"ENTRADA")</f>
        <v/>
      </c>
      <c r="H2126" s="13">
        <f>SUMIFS(Movimentacoes!$G:$G,Movimentacoes!$C:$C,$A2126,Movimentacoes!$E:$E,$C2126,Movimentacoes!$B:$B,"SAIDA_USO")</f>
        <v/>
      </c>
      <c r="I2126" s="13">
        <f>SUMIFS(Movimentacoes!$G:$G,Movimentacoes!$C:$C,$A2126,Movimentacoes!$E:$E,$C2126,Movimentacoes!$B:$B,"SAIDA_DESCARTE")</f>
        <v/>
      </c>
      <c r="J2126" s="13">
        <f>G2126-H2126-I2126</f>
        <v/>
      </c>
      <c r="K2126">
        <f>IF(A2126="","",IF(J2126&lt;=IFERROR(VLOOKUP(A2126,Cadastro_Produtos!$A:$E,5,FALSE),0),"ABAIXO DO MINIMO","OK"))</f>
        <v/>
      </c>
    </row>
    <row r="2127">
      <c r="B2127">
        <f>IFERROR(VLOOKUP(A2127,Cadastro_Produtos!A:B,2,FALSE),"")</f>
        <v/>
      </c>
      <c r="D2127" s="12" t="n"/>
      <c r="E2127" s="13">
        <f>IF(D2127="","",D2127-TODAY())</f>
        <v/>
      </c>
      <c r="F2127">
        <f>IF(D2127="","",IF(E2127&lt;0,"VENCIDO",IF(E2127&lt;=30,"VENCE EM &lt;= 30 DIAS",IF(E2127&lt;=60,"ATENCAO (31-60 DIAS)","OK"))))</f>
        <v/>
      </c>
      <c r="G2127" s="13">
        <f>SUMIFS(Movimentacoes!$G:$G,Movimentacoes!$C:$C,$A2127,Movimentacoes!$E:$E,$C2127,Movimentacoes!$B:$B,"ENTRADA")</f>
        <v/>
      </c>
      <c r="H2127" s="13">
        <f>SUMIFS(Movimentacoes!$G:$G,Movimentacoes!$C:$C,$A2127,Movimentacoes!$E:$E,$C2127,Movimentacoes!$B:$B,"SAIDA_USO")</f>
        <v/>
      </c>
      <c r="I2127" s="13">
        <f>SUMIFS(Movimentacoes!$G:$G,Movimentacoes!$C:$C,$A2127,Movimentacoes!$E:$E,$C2127,Movimentacoes!$B:$B,"SAIDA_DESCARTE")</f>
        <v/>
      </c>
      <c r="J2127" s="13">
        <f>G2127-H2127-I2127</f>
        <v/>
      </c>
      <c r="K2127">
        <f>IF(A2127="","",IF(J2127&lt;=IFERROR(VLOOKUP(A2127,Cadastro_Produtos!$A:$E,5,FALSE),0),"ABAIXO DO MINIMO","OK"))</f>
        <v/>
      </c>
    </row>
    <row r="2128">
      <c r="B2128">
        <f>IFERROR(VLOOKUP(A2128,Cadastro_Produtos!A:B,2,FALSE),"")</f>
        <v/>
      </c>
      <c r="D2128" s="12" t="n"/>
      <c r="E2128" s="13">
        <f>IF(D2128="","",D2128-TODAY())</f>
        <v/>
      </c>
      <c r="F2128">
        <f>IF(D2128="","",IF(E2128&lt;0,"VENCIDO",IF(E2128&lt;=30,"VENCE EM &lt;= 30 DIAS",IF(E2128&lt;=60,"ATENCAO (31-60 DIAS)","OK"))))</f>
        <v/>
      </c>
      <c r="G2128" s="13">
        <f>SUMIFS(Movimentacoes!$G:$G,Movimentacoes!$C:$C,$A2128,Movimentacoes!$E:$E,$C2128,Movimentacoes!$B:$B,"ENTRADA")</f>
        <v/>
      </c>
      <c r="H2128" s="13">
        <f>SUMIFS(Movimentacoes!$G:$G,Movimentacoes!$C:$C,$A2128,Movimentacoes!$E:$E,$C2128,Movimentacoes!$B:$B,"SAIDA_USO")</f>
        <v/>
      </c>
      <c r="I2128" s="13">
        <f>SUMIFS(Movimentacoes!$G:$G,Movimentacoes!$C:$C,$A2128,Movimentacoes!$E:$E,$C2128,Movimentacoes!$B:$B,"SAIDA_DESCARTE")</f>
        <v/>
      </c>
      <c r="J2128" s="13">
        <f>G2128-H2128-I2128</f>
        <v/>
      </c>
      <c r="K2128">
        <f>IF(A2128="","",IF(J2128&lt;=IFERROR(VLOOKUP(A2128,Cadastro_Produtos!$A:$E,5,FALSE),0),"ABAIXO DO MINIMO","OK"))</f>
        <v/>
      </c>
    </row>
    <row r="2129">
      <c r="B2129">
        <f>IFERROR(VLOOKUP(A2129,Cadastro_Produtos!A:B,2,FALSE),"")</f>
        <v/>
      </c>
      <c r="D2129" s="12" t="n"/>
      <c r="E2129" s="13">
        <f>IF(D2129="","",D2129-TODAY())</f>
        <v/>
      </c>
      <c r="F2129">
        <f>IF(D2129="","",IF(E2129&lt;0,"VENCIDO",IF(E2129&lt;=30,"VENCE EM &lt;= 30 DIAS",IF(E2129&lt;=60,"ATENCAO (31-60 DIAS)","OK"))))</f>
        <v/>
      </c>
      <c r="G2129" s="13">
        <f>SUMIFS(Movimentacoes!$G:$G,Movimentacoes!$C:$C,$A2129,Movimentacoes!$E:$E,$C2129,Movimentacoes!$B:$B,"ENTRADA")</f>
        <v/>
      </c>
      <c r="H2129" s="13">
        <f>SUMIFS(Movimentacoes!$G:$G,Movimentacoes!$C:$C,$A2129,Movimentacoes!$E:$E,$C2129,Movimentacoes!$B:$B,"SAIDA_USO")</f>
        <v/>
      </c>
      <c r="I2129" s="13">
        <f>SUMIFS(Movimentacoes!$G:$G,Movimentacoes!$C:$C,$A2129,Movimentacoes!$E:$E,$C2129,Movimentacoes!$B:$B,"SAIDA_DESCARTE")</f>
        <v/>
      </c>
      <c r="J2129" s="13">
        <f>G2129-H2129-I2129</f>
        <v/>
      </c>
      <c r="K2129">
        <f>IF(A2129="","",IF(J2129&lt;=IFERROR(VLOOKUP(A2129,Cadastro_Produtos!$A:$E,5,FALSE),0),"ABAIXO DO MINIMO","OK"))</f>
        <v/>
      </c>
    </row>
    <row r="2130">
      <c r="B2130">
        <f>IFERROR(VLOOKUP(A2130,Cadastro_Produtos!A:B,2,FALSE),"")</f>
        <v/>
      </c>
      <c r="D2130" s="12" t="n"/>
      <c r="E2130" s="13">
        <f>IF(D2130="","",D2130-TODAY())</f>
        <v/>
      </c>
      <c r="F2130">
        <f>IF(D2130="","",IF(E2130&lt;0,"VENCIDO",IF(E2130&lt;=30,"VENCE EM &lt;= 30 DIAS",IF(E2130&lt;=60,"ATENCAO (31-60 DIAS)","OK"))))</f>
        <v/>
      </c>
      <c r="G2130" s="13">
        <f>SUMIFS(Movimentacoes!$G:$G,Movimentacoes!$C:$C,$A2130,Movimentacoes!$E:$E,$C2130,Movimentacoes!$B:$B,"ENTRADA")</f>
        <v/>
      </c>
      <c r="H2130" s="13">
        <f>SUMIFS(Movimentacoes!$G:$G,Movimentacoes!$C:$C,$A2130,Movimentacoes!$E:$E,$C2130,Movimentacoes!$B:$B,"SAIDA_USO")</f>
        <v/>
      </c>
      <c r="I2130" s="13">
        <f>SUMIFS(Movimentacoes!$G:$G,Movimentacoes!$C:$C,$A2130,Movimentacoes!$E:$E,$C2130,Movimentacoes!$B:$B,"SAIDA_DESCARTE")</f>
        <v/>
      </c>
      <c r="J2130" s="13">
        <f>G2130-H2130-I2130</f>
        <v/>
      </c>
      <c r="K2130">
        <f>IF(A2130="","",IF(J2130&lt;=IFERROR(VLOOKUP(A2130,Cadastro_Produtos!$A:$E,5,FALSE),0),"ABAIXO DO MINIMO","OK"))</f>
        <v/>
      </c>
    </row>
    <row r="2131">
      <c r="B2131">
        <f>IFERROR(VLOOKUP(A2131,Cadastro_Produtos!A:B,2,FALSE),"")</f>
        <v/>
      </c>
      <c r="D2131" s="12" t="n"/>
      <c r="E2131" s="13">
        <f>IF(D2131="","",D2131-TODAY())</f>
        <v/>
      </c>
      <c r="F2131">
        <f>IF(D2131="","",IF(E2131&lt;0,"VENCIDO",IF(E2131&lt;=30,"VENCE EM &lt;= 30 DIAS",IF(E2131&lt;=60,"ATENCAO (31-60 DIAS)","OK"))))</f>
        <v/>
      </c>
      <c r="G2131" s="13">
        <f>SUMIFS(Movimentacoes!$G:$G,Movimentacoes!$C:$C,$A2131,Movimentacoes!$E:$E,$C2131,Movimentacoes!$B:$B,"ENTRADA")</f>
        <v/>
      </c>
      <c r="H2131" s="13">
        <f>SUMIFS(Movimentacoes!$G:$G,Movimentacoes!$C:$C,$A2131,Movimentacoes!$E:$E,$C2131,Movimentacoes!$B:$B,"SAIDA_USO")</f>
        <v/>
      </c>
      <c r="I2131" s="13">
        <f>SUMIFS(Movimentacoes!$G:$G,Movimentacoes!$C:$C,$A2131,Movimentacoes!$E:$E,$C2131,Movimentacoes!$B:$B,"SAIDA_DESCARTE")</f>
        <v/>
      </c>
      <c r="J2131" s="13">
        <f>G2131-H2131-I2131</f>
        <v/>
      </c>
      <c r="K2131">
        <f>IF(A2131="","",IF(J2131&lt;=IFERROR(VLOOKUP(A2131,Cadastro_Produtos!$A:$E,5,FALSE),0),"ABAIXO DO MINIMO","OK"))</f>
        <v/>
      </c>
    </row>
    <row r="2132">
      <c r="B2132">
        <f>IFERROR(VLOOKUP(A2132,Cadastro_Produtos!A:B,2,FALSE),"")</f>
        <v/>
      </c>
      <c r="D2132" s="12" t="n"/>
      <c r="E2132" s="13">
        <f>IF(D2132="","",D2132-TODAY())</f>
        <v/>
      </c>
      <c r="F2132">
        <f>IF(D2132="","",IF(E2132&lt;0,"VENCIDO",IF(E2132&lt;=30,"VENCE EM &lt;= 30 DIAS",IF(E2132&lt;=60,"ATENCAO (31-60 DIAS)","OK"))))</f>
        <v/>
      </c>
      <c r="G2132" s="13">
        <f>SUMIFS(Movimentacoes!$G:$G,Movimentacoes!$C:$C,$A2132,Movimentacoes!$E:$E,$C2132,Movimentacoes!$B:$B,"ENTRADA")</f>
        <v/>
      </c>
      <c r="H2132" s="13">
        <f>SUMIFS(Movimentacoes!$G:$G,Movimentacoes!$C:$C,$A2132,Movimentacoes!$E:$E,$C2132,Movimentacoes!$B:$B,"SAIDA_USO")</f>
        <v/>
      </c>
      <c r="I2132" s="13">
        <f>SUMIFS(Movimentacoes!$G:$G,Movimentacoes!$C:$C,$A2132,Movimentacoes!$E:$E,$C2132,Movimentacoes!$B:$B,"SAIDA_DESCARTE")</f>
        <v/>
      </c>
      <c r="J2132" s="13">
        <f>G2132-H2132-I2132</f>
        <v/>
      </c>
      <c r="K2132">
        <f>IF(A2132="","",IF(J2132&lt;=IFERROR(VLOOKUP(A2132,Cadastro_Produtos!$A:$E,5,FALSE),0),"ABAIXO DO MINIMO","OK"))</f>
        <v/>
      </c>
    </row>
    <row r="2133">
      <c r="B2133">
        <f>IFERROR(VLOOKUP(A2133,Cadastro_Produtos!A:B,2,FALSE),"")</f>
        <v/>
      </c>
      <c r="D2133" s="12" t="n"/>
      <c r="E2133" s="13">
        <f>IF(D2133="","",D2133-TODAY())</f>
        <v/>
      </c>
      <c r="F2133">
        <f>IF(D2133="","",IF(E2133&lt;0,"VENCIDO",IF(E2133&lt;=30,"VENCE EM &lt;= 30 DIAS",IF(E2133&lt;=60,"ATENCAO (31-60 DIAS)","OK"))))</f>
        <v/>
      </c>
      <c r="G2133" s="13">
        <f>SUMIFS(Movimentacoes!$G:$G,Movimentacoes!$C:$C,$A2133,Movimentacoes!$E:$E,$C2133,Movimentacoes!$B:$B,"ENTRADA")</f>
        <v/>
      </c>
      <c r="H2133" s="13">
        <f>SUMIFS(Movimentacoes!$G:$G,Movimentacoes!$C:$C,$A2133,Movimentacoes!$E:$E,$C2133,Movimentacoes!$B:$B,"SAIDA_USO")</f>
        <v/>
      </c>
      <c r="I2133" s="13">
        <f>SUMIFS(Movimentacoes!$G:$G,Movimentacoes!$C:$C,$A2133,Movimentacoes!$E:$E,$C2133,Movimentacoes!$B:$B,"SAIDA_DESCARTE")</f>
        <v/>
      </c>
      <c r="J2133" s="13">
        <f>G2133-H2133-I2133</f>
        <v/>
      </c>
      <c r="K2133">
        <f>IF(A2133="","",IF(J2133&lt;=IFERROR(VLOOKUP(A2133,Cadastro_Produtos!$A:$E,5,FALSE),0),"ABAIXO DO MINIMO","OK"))</f>
        <v/>
      </c>
    </row>
    <row r="2134">
      <c r="B2134">
        <f>IFERROR(VLOOKUP(A2134,Cadastro_Produtos!A:B,2,FALSE),"")</f>
        <v/>
      </c>
      <c r="D2134" s="12" t="n"/>
      <c r="E2134" s="13">
        <f>IF(D2134="","",D2134-TODAY())</f>
        <v/>
      </c>
      <c r="F2134">
        <f>IF(D2134="","",IF(E2134&lt;0,"VENCIDO",IF(E2134&lt;=30,"VENCE EM &lt;= 30 DIAS",IF(E2134&lt;=60,"ATENCAO (31-60 DIAS)","OK"))))</f>
        <v/>
      </c>
      <c r="G2134" s="13">
        <f>SUMIFS(Movimentacoes!$G:$G,Movimentacoes!$C:$C,$A2134,Movimentacoes!$E:$E,$C2134,Movimentacoes!$B:$B,"ENTRADA")</f>
        <v/>
      </c>
      <c r="H2134" s="13">
        <f>SUMIFS(Movimentacoes!$G:$G,Movimentacoes!$C:$C,$A2134,Movimentacoes!$E:$E,$C2134,Movimentacoes!$B:$B,"SAIDA_USO")</f>
        <v/>
      </c>
      <c r="I2134" s="13">
        <f>SUMIFS(Movimentacoes!$G:$G,Movimentacoes!$C:$C,$A2134,Movimentacoes!$E:$E,$C2134,Movimentacoes!$B:$B,"SAIDA_DESCARTE")</f>
        <v/>
      </c>
      <c r="J2134" s="13">
        <f>G2134-H2134-I2134</f>
        <v/>
      </c>
      <c r="K2134">
        <f>IF(A2134="","",IF(J2134&lt;=IFERROR(VLOOKUP(A2134,Cadastro_Produtos!$A:$E,5,FALSE),0),"ABAIXO DO MINIMO","OK"))</f>
        <v/>
      </c>
    </row>
    <row r="2135">
      <c r="B2135">
        <f>IFERROR(VLOOKUP(A2135,Cadastro_Produtos!A:B,2,FALSE),"")</f>
        <v/>
      </c>
      <c r="D2135" s="12" t="n"/>
      <c r="E2135" s="13">
        <f>IF(D2135="","",D2135-TODAY())</f>
        <v/>
      </c>
      <c r="F2135">
        <f>IF(D2135="","",IF(E2135&lt;0,"VENCIDO",IF(E2135&lt;=30,"VENCE EM &lt;= 30 DIAS",IF(E2135&lt;=60,"ATENCAO (31-60 DIAS)","OK"))))</f>
        <v/>
      </c>
      <c r="G2135" s="13">
        <f>SUMIFS(Movimentacoes!$G:$G,Movimentacoes!$C:$C,$A2135,Movimentacoes!$E:$E,$C2135,Movimentacoes!$B:$B,"ENTRADA")</f>
        <v/>
      </c>
      <c r="H2135" s="13">
        <f>SUMIFS(Movimentacoes!$G:$G,Movimentacoes!$C:$C,$A2135,Movimentacoes!$E:$E,$C2135,Movimentacoes!$B:$B,"SAIDA_USO")</f>
        <v/>
      </c>
      <c r="I2135" s="13">
        <f>SUMIFS(Movimentacoes!$G:$G,Movimentacoes!$C:$C,$A2135,Movimentacoes!$E:$E,$C2135,Movimentacoes!$B:$B,"SAIDA_DESCARTE")</f>
        <v/>
      </c>
      <c r="J2135" s="13">
        <f>G2135-H2135-I2135</f>
        <v/>
      </c>
      <c r="K2135">
        <f>IF(A2135="","",IF(J2135&lt;=IFERROR(VLOOKUP(A2135,Cadastro_Produtos!$A:$E,5,FALSE),0),"ABAIXO DO MINIMO","OK"))</f>
        <v/>
      </c>
    </row>
    <row r="2136">
      <c r="B2136">
        <f>IFERROR(VLOOKUP(A2136,Cadastro_Produtos!A:B,2,FALSE),"")</f>
        <v/>
      </c>
      <c r="D2136" s="12" t="n"/>
      <c r="E2136" s="13">
        <f>IF(D2136="","",D2136-TODAY())</f>
        <v/>
      </c>
      <c r="F2136">
        <f>IF(D2136="","",IF(E2136&lt;0,"VENCIDO",IF(E2136&lt;=30,"VENCE EM &lt;= 30 DIAS",IF(E2136&lt;=60,"ATENCAO (31-60 DIAS)","OK"))))</f>
        <v/>
      </c>
      <c r="G2136" s="13">
        <f>SUMIFS(Movimentacoes!$G:$G,Movimentacoes!$C:$C,$A2136,Movimentacoes!$E:$E,$C2136,Movimentacoes!$B:$B,"ENTRADA")</f>
        <v/>
      </c>
      <c r="H2136" s="13">
        <f>SUMIFS(Movimentacoes!$G:$G,Movimentacoes!$C:$C,$A2136,Movimentacoes!$E:$E,$C2136,Movimentacoes!$B:$B,"SAIDA_USO")</f>
        <v/>
      </c>
      <c r="I2136" s="13">
        <f>SUMIFS(Movimentacoes!$G:$G,Movimentacoes!$C:$C,$A2136,Movimentacoes!$E:$E,$C2136,Movimentacoes!$B:$B,"SAIDA_DESCARTE")</f>
        <v/>
      </c>
      <c r="J2136" s="13">
        <f>G2136-H2136-I2136</f>
        <v/>
      </c>
      <c r="K2136">
        <f>IF(A2136="","",IF(J2136&lt;=IFERROR(VLOOKUP(A2136,Cadastro_Produtos!$A:$E,5,FALSE),0),"ABAIXO DO MINIMO","OK"))</f>
        <v/>
      </c>
    </row>
    <row r="2137">
      <c r="B2137">
        <f>IFERROR(VLOOKUP(A2137,Cadastro_Produtos!A:B,2,FALSE),"")</f>
        <v/>
      </c>
      <c r="D2137" s="12" t="n"/>
      <c r="E2137" s="13">
        <f>IF(D2137="","",D2137-TODAY())</f>
        <v/>
      </c>
      <c r="F2137">
        <f>IF(D2137="","",IF(E2137&lt;0,"VENCIDO",IF(E2137&lt;=30,"VENCE EM &lt;= 30 DIAS",IF(E2137&lt;=60,"ATENCAO (31-60 DIAS)","OK"))))</f>
        <v/>
      </c>
      <c r="G2137" s="13">
        <f>SUMIFS(Movimentacoes!$G:$G,Movimentacoes!$C:$C,$A2137,Movimentacoes!$E:$E,$C2137,Movimentacoes!$B:$B,"ENTRADA")</f>
        <v/>
      </c>
      <c r="H2137" s="13">
        <f>SUMIFS(Movimentacoes!$G:$G,Movimentacoes!$C:$C,$A2137,Movimentacoes!$E:$E,$C2137,Movimentacoes!$B:$B,"SAIDA_USO")</f>
        <v/>
      </c>
      <c r="I2137" s="13">
        <f>SUMIFS(Movimentacoes!$G:$G,Movimentacoes!$C:$C,$A2137,Movimentacoes!$E:$E,$C2137,Movimentacoes!$B:$B,"SAIDA_DESCARTE")</f>
        <v/>
      </c>
      <c r="J2137" s="13">
        <f>G2137-H2137-I2137</f>
        <v/>
      </c>
      <c r="K2137">
        <f>IF(A2137="","",IF(J2137&lt;=IFERROR(VLOOKUP(A2137,Cadastro_Produtos!$A:$E,5,FALSE),0),"ABAIXO DO MINIMO","OK"))</f>
        <v/>
      </c>
    </row>
    <row r="2138">
      <c r="B2138">
        <f>IFERROR(VLOOKUP(A2138,Cadastro_Produtos!A:B,2,FALSE),"")</f>
        <v/>
      </c>
      <c r="D2138" s="12" t="n"/>
      <c r="E2138" s="13">
        <f>IF(D2138="","",D2138-TODAY())</f>
        <v/>
      </c>
      <c r="F2138">
        <f>IF(D2138="","",IF(E2138&lt;0,"VENCIDO",IF(E2138&lt;=30,"VENCE EM &lt;= 30 DIAS",IF(E2138&lt;=60,"ATENCAO (31-60 DIAS)","OK"))))</f>
        <v/>
      </c>
      <c r="G2138" s="13">
        <f>SUMIFS(Movimentacoes!$G:$G,Movimentacoes!$C:$C,$A2138,Movimentacoes!$E:$E,$C2138,Movimentacoes!$B:$B,"ENTRADA")</f>
        <v/>
      </c>
      <c r="H2138" s="13">
        <f>SUMIFS(Movimentacoes!$G:$G,Movimentacoes!$C:$C,$A2138,Movimentacoes!$E:$E,$C2138,Movimentacoes!$B:$B,"SAIDA_USO")</f>
        <v/>
      </c>
      <c r="I2138" s="13">
        <f>SUMIFS(Movimentacoes!$G:$G,Movimentacoes!$C:$C,$A2138,Movimentacoes!$E:$E,$C2138,Movimentacoes!$B:$B,"SAIDA_DESCARTE")</f>
        <v/>
      </c>
      <c r="J2138" s="13">
        <f>G2138-H2138-I2138</f>
        <v/>
      </c>
      <c r="K2138">
        <f>IF(A2138="","",IF(J2138&lt;=IFERROR(VLOOKUP(A2138,Cadastro_Produtos!$A:$E,5,FALSE),0),"ABAIXO DO MINIMO","OK"))</f>
        <v/>
      </c>
    </row>
    <row r="2139">
      <c r="B2139">
        <f>IFERROR(VLOOKUP(A2139,Cadastro_Produtos!A:B,2,FALSE),"")</f>
        <v/>
      </c>
      <c r="D2139" s="12" t="n"/>
      <c r="E2139" s="13">
        <f>IF(D2139="","",D2139-TODAY())</f>
        <v/>
      </c>
      <c r="F2139">
        <f>IF(D2139="","",IF(E2139&lt;0,"VENCIDO",IF(E2139&lt;=30,"VENCE EM &lt;= 30 DIAS",IF(E2139&lt;=60,"ATENCAO (31-60 DIAS)","OK"))))</f>
        <v/>
      </c>
      <c r="G2139" s="13">
        <f>SUMIFS(Movimentacoes!$G:$G,Movimentacoes!$C:$C,$A2139,Movimentacoes!$E:$E,$C2139,Movimentacoes!$B:$B,"ENTRADA")</f>
        <v/>
      </c>
      <c r="H2139" s="13">
        <f>SUMIFS(Movimentacoes!$G:$G,Movimentacoes!$C:$C,$A2139,Movimentacoes!$E:$E,$C2139,Movimentacoes!$B:$B,"SAIDA_USO")</f>
        <v/>
      </c>
      <c r="I2139" s="13">
        <f>SUMIFS(Movimentacoes!$G:$G,Movimentacoes!$C:$C,$A2139,Movimentacoes!$E:$E,$C2139,Movimentacoes!$B:$B,"SAIDA_DESCARTE")</f>
        <v/>
      </c>
      <c r="J2139" s="13">
        <f>G2139-H2139-I2139</f>
        <v/>
      </c>
      <c r="K2139">
        <f>IF(A2139="","",IF(J2139&lt;=IFERROR(VLOOKUP(A2139,Cadastro_Produtos!$A:$E,5,FALSE),0),"ABAIXO DO MINIMO","OK"))</f>
        <v/>
      </c>
    </row>
    <row r="2140">
      <c r="B2140">
        <f>IFERROR(VLOOKUP(A2140,Cadastro_Produtos!A:B,2,FALSE),"")</f>
        <v/>
      </c>
      <c r="D2140" s="12" t="n"/>
      <c r="E2140" s="13">
        <f>IF(D2140="","",D2140-TODAY())</f>
        <v/>
      </c>
      <c r="F2140">
        <f>IF(D2140="","",IF(E2140&lt;0,"VENCIDO",IF(E2140&lt;=30,"VENCE EM &lt;= 30 DIAS",IF(E2140&lt;=60,"ATENCAO (31-60 DIAS)","OK"))))</f>
        <v/>
      </c>
      <c r="G2140" s="13">
        <f>SUMIFS(Movimentacoes!$G:$G,Movimentacoes!$C:$C,$A2140,Movimentacoes!$E:$E,$C2140,Movimentacoes!$B:$B,"ENTRADA")</f>
        <v/>
      </c>
      <c r="H2140" s="13">
        <f>SUMIFS(Movimentacoes!$G:$G,Movimentacoes!$C:$C,$A2140,Movimentacoes!$E:$E,$C2140,Movimentacoes!$B:$B,"SAIDA_USO")</f>
        <v/>
      </c>
      <c r="I2140" s="13">
        <f>SUMIFS(Movimentacoes!$G:$G,Movimentacoes!$C:$C,$A2140,Movimentacoes!$E:$E,$C2140,Movimentacoes!$B:$B,"SAIDA_DESCARTE")</f>
        <v/>
      </c>
      <c r="J2140" s="13">
        <f>G2140-H2140-I2140</f>
        <v/>
      </c>
      <c r="K2140">
        <f>IF(A2140="","",IF(J2140&lt;=IFERROR(VLOOKUP(A2140,Cadastro_Produtos!$A:$E,5,FALSE),0),"ABAIXO DO MINIMO","OK"))</f>
        <v/>
      </c>
    </row>
    <row r="2141">
      <c r="B2141">
        <f>IFERROR(VLOOKUP(A2141,Cadastro_Produtos!A:B,2,FALSE),"")</f>
        <v/>
      </c>
      <c r="D2141" s="12" t="n"/>
      <c r="E2141" s="13">
        <f>IF(D2141="","",D2141-TODAY())</f>
        <v/>
      </c>
      <c r="F2141">
        <f>IF(D2141="","",IF(E2141&lt;0,"VENCIDO",IF(E2141&lt;=30,"VENCE EM &lt;= 30 DIAS",IF(E2141&lt;=60,"ATENCAO (31-60 DIAS)","OK"))))</f>
        <v/>
      </c>
      <c r="G2141" s="13">
        <f>SUMIFS(Movimentacoes!$G:$G,Movimentacoes!$C:$C,$A2141,Movimentacoes!$E:$E,$C2141,Movimentacoes!$B:$B,"ENTRADA")</f>
        <v/>
      </c>
      <c r="H2141" s="13">
        <f>SUMIFS(Movimentacoes!$G:$G,Movimentacoes!$C:$C,$A2141,Movimentacoes!$E:$E,$C2141,Movimentacoes!$B:$B,"SAIDA_USO")</f>
        <v/>
      </c>
      <c r="I2141" s="13">
        <f>SUMIFS(Movimentacoes!$G:$G,Movimentacoes!$C:$C,$A2141,Movimentacoes!$E:$E,$C2141,Movimentacoes!$B:$B,"SAIDA_DESCARTE")</f>
        <v/>
      </c>
      <c r="J2141" s="13">
        <f>G2141-H2141-I2141</f>
        <v/>
      </c>
      <c r="K2141">
        <f>IF(A2141="","",IF(J2141&lt;=IFERROR(VLOOKUP(A2141,Cadastro_Produtos!$A:$E,5,FALSE),0),"ABAIXO DO MINIMO","OK"))</f>
        <v/>
      </c>
    </row>
    <row r="2142">
      <c r="B2142">
        <f>IFERROR(VLOOKUP(A2142,Cadastro_Produtos!A:B,2,FALSE),"")</f>
        <v/>
      </c>
      <c r="D2142" s="12" t="n"/>
      <c r="E2142" s="13">
        <f>IF(D2142="","",D2142-TODAY())</f>
        <v/>
      </c>
      <c r="F2142">
        <f>IF(D2142="","",IF(E2142&lt;0,"VENCIDO",IF(E2142&lt;=30,"VENCE EM &lt;= 30 DIAS",IF(E2142&lt;=60,"ATENCAO (31-60 DIAS)","OK"))))</f>
        <v/>
      </c>
      <c r="G2142" s="13">
        <f>SUMIFS(Movimentacoes!$G:$G,Movimentacoes!$C:$C,$A2142,Movimentacoes!$E:$E,$C2142,Movimentacoes!$B:$B,"ENTRADA")</f>
        <v/>
      </c>
      <c r="H2142" s="13">
        <f>SUMIFS(Movimentacoes!$G:$G,Movimentacoes!$C:$C,$A2142,Movimentacoes!$E:$E,$C2142,Movimentacoes!$B:$B,"SAIDA_USO")</f>
        <v/>
      </c>
      <c r="I2142" s="13">
        <f>SUMIFS(Movimentacoes!$G:$G,Movimentacoes!$C:$C,$A2142,Movimentacoes!$E:$E,$C2142,Movimentacoes!$B:$B,"SAIDA_DESCARTE")</f>
        <v/>
      </c>
      <c r="J2142" s="13">
        <f>G2142-H2142-I2142</f>
        <v/>
      </c>
      <c r="K2142">
        <f>IF(A2142="","",IF(J2142&lt;=IFERROR(VLOOKUP(A2142,Cadastro_Produtos!$A:$E,5,FALSE),0),"ABAIXO DO MINIMO","OK"))</f>
        <v/>
      </c>
    </row>
    <row r="2143">
      <c r="B2143">
        <f>IFERROR(VLOOKUP(A2143,Cadastro_Produtos!A:B,2,FALSE),"")</f>
        <v/>
      </c>
      <c r="D2143" s="12" t="n"/>
      <c r="E2143" s="13">
        <f>IF(D2143="","",D2143-TODAY())</f>
        <v/>
      </c>
      <c r="F2143">
        <f>IF(D2143="","",IF(E2143&lt;0,"VENCIDO",IF(E2143&lt;=30,"VENCE EM &lt;= 30 DIAS",IF(E2143&lt;=60,"ATENCAO (31-60 DIAS)","OK"))))</f>
        <v/>
      </c>
      <c r="G2143" s="13">
        <f>SUMIFS(Movimentacoes!$G:$G,Movimentacoes!$C:$C,$A2143,Movimentacoes!$E:$E,$C2143,Movimentacoes!$B:$B,"ENTRADA")</f>
        <v/>
      </c>
      <c r="H2143" s="13">
        <f>SUMIFS(Movimentacoes!$G:$G,Movimentacoes!$C:$C,$A2143,Movimentacoes!$E:$E,$C2143,Movimentacoes!$B:$B,"SAIDA_USO")</f>
        <v/>
      </c>
      <c r="I2143" s="13">
        <f>SUMIFS(Movimentacoes!$G:$G,Movimentacoes!$C:$C,$A2143,Movimentacoes!$E:$E,$C2143,Movimentacoes!$B:$B,"SAIDA_DESCARTE")</f>
        <v/>
      </c>
      <c r="J2143" s="13">
        <f>G2143-H2143-I2143</f>
        <v/>
      </c>
      <c r="K2143">
        <f>IF(A2143="","",IF(J2143&lt;=IFERROR(VLOOKUP(A2143,Cadastro_Produtos!$A:$E,5,FALSE),0),"ABAIXO DO MINIMO","OK"))</f>
        <v/>
      </c>
    </row>
    <row r="2144">
      <c r="B2144">
        <f>IFERROR(VLOOKUP(A2144,Cadastro_Produtos!A:B,2,FALSE),"")</f>
        <v/>
      </c>
      <c r="D2144" s="12" t="n"/>
      <c r="E2144" s="13">
        <f>IF(D2144="","",D2144-TODAY())</f>
        <v/>
      </c>
      <c r="F2144">
        <f>IF(D2144="","",IF(E2144&lt;0,"VENCIDO",IF(E2144&lt;=30,"VENCE EM &lt;= 30 DIAS",IF(E2144&lt;=60,"ATENCAO (31-60 DIAS)","OK"))))</f>
        <v/>
      </c>
      <c r="G2144" s="13">
        <f>SUMIFS(Movimentacoes!$G:$G,Movimentacoes!$C:$C,$A2144,Movimentacoes!$E:$E,$C2144,Movimentacoes!$B:$B,"ENTRADA")</f>
        <v/>
      </c>
      <c r="H2144" s="13">
        <f>SUMIFS(Movimentacoes!$G:$G,Movimentacoes!$C:$C,$A2144,Movimentacoes!$E:$E,$C2144,Movimentacoes!$B:$B,"SAIDA_USO")</f>
        <v/>
      </c>
      <c r="I2144" s="13">
        <f>SUMIFS(Movimentacoes!$G:$G,Movimentacoes!$C:$C,$A2144,Movimentacoes!$E:$E,$C2144,Movimentacoes!$B:$B,"SAIDA_DESCARTE")</f>
        <v/>
      </c>
      <c r="J2144" s="13">
        <f>G2144-H2144-I2144</f>
        <v/>
      </c>
      <c r="K2144">
        <f>IF(A2144="","",IF(J2144&lt;=IFERROR(VLOOKUP(A2144,Cadastro_Produtos!$A:$E,5,FALSE),0),"ABAIXO DO MINIMO","OK"))</f>
        <v/>
      </c>
    </row>
    <row r="2145">
      <c r="B2145">
        <f>IFERROR(VLOOKUP(A2145,Cadastro_Produtos!A:B,2,FALSE),"")</f>
        <v/>
      </c>
      <c r="D2145" s="12" t="n"/>
      <c r="E2145" s="13">
        <f>IF(D2145="","",D2145-TODAY())</f>
        <v/>
      </c>
      <c r="F2145">
        <f>IF(D2145="","",IF(E2145&lt;0,"VENCIDO",IF(E2145&lt;=30,"VENCE EM &lt;= 30 DIAS",IF(E2145&lt;=60,"ATENCAO (31-60 DIAS)","OK"))))</f>
        <v/>
      </c>
      <c r="G2145" s="13">
        <f>SUMIFS(Movimentacoes!$G:$G,Movimentacoes!$C:$C,$A2145,Movimentacoes!$E:$E,$C2145,Movimentacoes!$B:$B,"ENTRADA")</f>
        <v/>
      </c>
      <c r="H2145" s="13">
        <f>SUMIFS(Movimentacoes!$G:$G,Movimentacoes!$C:$C,$A2145,Movimentacoes!$E:$E,$C2145,Movimentacoes!$B:$B,"SAIDA_USO")</f>
        <v/>
      </c>
      <c r="I2145" s="13">
        <f>SUMIFS(Movimentacoes!$G:$G,Movimentacoes!$C:$C,$A2145,Movimentacoes!$E:$E,$C2145,Movimentacoes!$B:$B,"SAIDA_DESCARTE")</f>
        <v/>
      </c>
      <c r="J2145" s="13">
        <f>G2145-H2145-I2145</f>
        <v/>
      </c>
      <c r="K2145">
        <f>IF(A2145="","",IF(J2145&lt;=IFERROR(VLOOKUP(A2145,Cadastro_Produtos!$A:$E,5,FALSE),0),"ABAIXO DO MINIMO","OK"))</f>
        <v/>
      </c>
    </row>
    <row r="2146">
      <c r="B2146">
        <f>IFERROR(VLOOKUP(A2146,Cadastro_Produtos!A:B,2,FALSE),"")</f>
        <v/>
      </c>
      <c r="D2146" s="12" t="n"/>
      <c r="E2146" s="13">
        <f>IF(D2146="","",D2146-TODAY())</f>
        <v/>
      </c>
      <c r="F2146">
        <f>IF(D2146="","",IF(E2146&lt;0,"VENCIDO",IF(E2146&lt;=30,"VENCE EM &lt;= 30 DIAS",IF(E2146&lt;=60,"ATENCAO (31-60 DIAS)","OK"))))</f>
        <v/>
      </c>
      <c r="G2146" s="13">
        <f>SUMIFS(Movimentacoes!$G:$G,Movimentacoes!$C:$C,$A2146,Movimentacoes!$E:$E,$C2146,Movimentacoes!$B:$B,"ENTRADA")</f>
        <v/>
      </c>
      <c r="H2146" s="13">
        <f>SUMIFS(Movimentacoes!$G:$G,Movimentacoes!$C:$C,$A2146,Movimentacoes!$E:$E,$C2146,Movimentacoes!$B:$B,"SAIDA_USO")</f>
        <v/>
      </c>
      <c r="I2146" s="13">
        <f>SUMIFS(Movimentacoes!$G:$G,Movimentacoes!$C:$C,$A2146,Movimentacoes!$E:$E,$C2146,Movimentacoes!$B:$B,"SAIDA_DESCARTE")</f>
        <v/>
      </c>
      <c r="J2146" s="13">
        <f>G2146-H2146-I2146</f>
        <v/>
      </c>
      <c r="K2146">
        <f>IF(A2146="","",IF(J2146&lt;=IFERROR(VLOOKUP(A2146,Cadastro_Produtos!$A:$E,5,FALSE),0),"ABAIXO DO MINIMO","OK"))</f>
        <v/>
      </c>
    </row>
    <row r="2147">
      <c r="B2147">
        <f>IFERROR(VLOOKUP(A2147,Cadastro_Produtos!A:B,2,FALSE),"")</f>
        <v/>
      </c>
      <c r="D2147" s="12" t="n"/>
      <c r="E2147" s="13">
        <f>IF(D2147="","",D2147-TODAY())</f>
        <v/>
      </c>
      <c r="F2147">
        <f>IF(D2147="","",IF(E2147&lt;0,"VENCIDO",IF(E2147&lt;=30,"VENCE EM &lt;= 30 DIAS",IF(E2147&lt;=60,"ATENCAO (31-60 DIAS)","OK"))))</f>
        <v/>
      </c>
      <c r="G2147" s="13">
        <f>SUMIFS(Movimentacoes!$G:$G,Movimentacoes!$C:$C,$A2147,Movimentacoes!$E:$E,$C2147,Movimentacoes!$B:$B,"ENTRADA")</f>
        <v/>
      </c>
      <c r="H2147" s="13">
        <f>SUMIFS(Movimentacoes!$G:$G,Movimentacoes!$C:$C,$A2147,Movimentacoes!$E:$E,$C2147,Movimentacoes!$B:$B,"SAIDA_USO")</f>
        <v/>
      </c>
      <c r="I2147" s="13">
        <f>SUMIFS(Movimentacoes!$G:$G,Movimentacoes!$C:$C,$A2147,Movimentacoes!$E:$E,$C2147,Movimentacoes!$B:$B,"SAIDA_DESCARTE")</f>
        <v/>
      </c>
      <c r="J2147" s="13">
        <f>G2147-H2147-I2147</f>
        <v/>
      </c>
      <c r="K2147">
        <f>IF(A2147="","",IF(J2147&lt;=IFERROR(VLOOKUP(A2147,Cadastro_Produtos!$A:$E,5,FALSE),0),"ABAIXO DO MINIMO","OK"))</f>
        <v/>
      </c>
    </row>
    <row r="2148">
      <c r="B2148">
        <f>IFERROR(VLOOKUP(A2148,Cadastro_Produtos!A:B,2,FALSE),"")</f>
        <v/>
      </c>
      <c r="D2148" s="12" t="n"/>
      <c r="E2148" s="13">
        <f>IF(D2148="","",D2148-TODAY())</f>
        <v/>
      </c>
      <c r="F2148">
        <f>IF(D2148="","",IF(E2148&lt;0,"VENCIDO",IF(E2148&lt;=30,"VENCE EM &lt;= 30 DIAS",IF(E2148&lt;=60,"ATENCAO (31-60 DIAS)","OK"))))</f>
        <v/>
      </c>
      <c r="G2148" s="13">
        <f>SUMIFS(Movimentacoes!$G:$G,Movimentacoes!$C:$C,$A2148,Movimentacoes!$E:$E,$C2148,Movimentacoes!$B:$B,"ENTRADA")</f>
        <v/>
      </c>
      <c r="H2148" s="13">
        <f>SUMIFS(Movimentacoes!$G:$G,Movimentacoes!$C:$C,$A2148,Movimentacoes!$E:$E,$C2148,Movimentacoes!$B:$B,"SAIDA_USO")</f>
        <v/>
      </c>
      <c r="I2148" s="13">
        <f>SUMIFS(Movimentacoes!$G:$G,Movimentacoes!$C:$C,$A2148,Movimentacoes!$E:$E,$C2148,Movimentacoes!$B:$B,"SAIDA_DESCARTE")</f>
        <v/>
      </c>
      <c r="J2148" s="13">
        <f>G2148-H2148-I2148</f>
        <v/>
      </c>
      <c r="K2148">
        <f>IF(A2148="","",IF(J2148&lt;=IFERROR(VLOOKUP(A2148,Cadastro_Produtos!$A:$E,5,FALSE),0),"ABAIXO DO MINIMO","OK"))</f>
        <v/>
      </c>
    </row>
    <row r="2149">
      <c r="B2149">
        <f>IFERROR(VLOOKUP(A2149,Cadastro_Produtos!A:B,2,FALSE),"")</f>
        <v/>
      </c>
      <c r="D2149" s="12" t="n"/>
      <c r="E2149" s="13">
        <f>IF(D2149="","",D2149-TODAY())</f>
        <v/>
      </c>
      <c r="F2149">
        <f>IF(D2149="","",IF(E2149&lt;0,"VENCIDO",IF(E2149&lt;=30,"VENCE EM &lt;= 30 DIAS",IF(E2149&lt;=60,"ATENCAO (31-60 DIAS)","OK"))))</f>
        <v/>
      </c>
      <c r="G2149" s="13">
        <f>SUMIFS(Movimentacoes!$G:$G,Movimentacoes!$C:$C,$A2149,Movimentacoes!$E:$E,$C2149,Movimentacoes!$B:$B,"ENTRADA")</f>
        <v/>
      </c>
      <c r="H2149" s="13">
        <f>SUMIFS(Movimentacoes!$G:$G,Movimentacoes!$C:$C,$A2149,Movimentacoes!$E:$E,$C2149,Movimentacoes!$B:$B,"SAIDA_USO")</f>
        <v/>
      </c>
      <c r="I2149" s="13">
        <f>SUMIFS(Movimentacoes!$G:$G,Movimentacoes!$C:$C,$A2149,Movimentacoes!$E:$E,$C2149,Movimentacoes!$B:$B,"SAIDA_DESCARTE")</f>
        <v/>
      </c>
      <c r="J2149" s="13">
        <f>G2149-H2149-I2149</f>
        <v/>
      </c>
      <c r="K2149">
        <f>IF(A2149="","",IF(J2149&lt;=IFERROR(VLOOKUP(A2149,Cadastro_Produtos!$A:$E,5,FALSE),0),"ABAIXO DO MINIMO","OK"))</f>
        <v/>
      </c>
    </row>
    <row r="2150">
      <c r="B2150">
        <f>IFERROR(VLOOKUP(A2150,Cadastro_Produtos!A:B,2,FALSE),"")</f>
        <v/>
      </c>
      <c r="D2150" s="12" t="n"/>
      <c r="E2150" s="13">
        <f>IF(D2150="","",D2150-TODAY())</f>
        <v/>
      </c>
      <c r="F2150">
        <f>IF(D2150="","",IF(E2150&lt;0,"VENCIDO",IF(E2150&lt;=30,"VENCE EM &lt;= 30 DIAS",IF(E2150&lt;=60,"ATENCAO (31-60 DIAS)","OK"))))</f>
        <v/>
      </c>
      <c r="G2150" s="13">
        <f>SUMIFS(Movimentacoes!$G:$G,Movimentacoes!$C:$C,$A2150,Movimentacoes!$E:$E,$C2150,Movimentacoes!$B:$B,"ENTRADA")</f>
        <v/>
      </c>
      <c r="H2150" s="13">
        <f>SUMIFS(Movimentacoes!$G:$G,Movimentacoes!$C:$C,$A2150,Movimentacoes!$E:$E,$C2150,Movimentacoes!$B:$B,"SAIDA_USO")</f>
        <v/>
      </c>
      <c r="I2150" s="13">
        <f>SUMIFS(Movimentacoes!$G:$G,Movimentacoes!$C:$C,$A2150,Movimentacoes!$E:$E,$C2150,Movimentacoes!$B:$B,"SAIDA_DESCARTE")</f>
        <v/>
      </c>
      <c r="J2150" s="13">
        <f>G2150-H2150-I2150</f>
        <v/>
      </c>
      <c r="K2150">
        <f>IF(A2150="","",IF(J2150&lt;=IFERROR(VLOOKUP(A2150,Cadastro_Produtos!$A:$E,5,FALSE),0),"ABAIXO DO MINIMO","OK"))</f>
        <v/>
      </c>
    </row>
    <row r="2151">
      <c r="B2151">
        <f>IFERROR(VLOOKUP(A2151,Cadastro_Produtos!A:B,2,FALSE),"")</f>
        <v/>
      </c>
      <c r="D2151" s="12" t="n"/>
      <c r="E2151" s="13">
        <f>IF(D2151="","",D2151-TODAY())</f>
        <v/>
      </c>
      <c r="F2151">
        <f>IF(D2151="","",IF(E2151&lt;0,"VENCIDO",IF(E2151&lt;=30,"VENCE EM &lt;= 30 DIAS",IF(E2151&lt;=60,"ATENCAO (31-60 DIAS)","OK"))))</f>
        <v/>
      </c>
      <c r="G2151" s="13">
        <f>SUMIFS(Movimentacoes!$G:$G,Movimentacoes!$C:$C,$A2151,Movimentacoes!$E:$E,$C2151,Movimentacoes!$B:$B,"ENTRADA")</f>
        <v/>
      </c>
      <c r="H2151" s="13">
        <f>SUMIFS(Movimentacoes!$G:$G,Movimentacoes!$C:$C,$A2151,Movimentacoes!$E:$E,$C2151,Movimentacoes!$B:$B,"SAIDA_USO")</f>
        <v/>
      </c>
      <c r="I2151" s="13">
        <f>SUMIFS(Movimentacoes!$G:$G,Movimentacoes!$C:$C,$A2151,Movimentacoes!$E:$E,$C2151,Movimentacoes!$B:$B,"SAIDA_DESCARTE")</f>
        <v/>
      </c>
      <c r="J2151" s="13">
        <f>G2151-H2151-I2151</f>
        <v/>
      </c>
      <c r="K2151">
        <f>IF(A2151="","",IF(J2151&lt;=IFERROR(VLOOKUP(A2151,Cadastro_Produtos!$A:$E,5,FALSE),0),"ABAIXO DO MINIMO","OK"))</f>
        <v/>
      </c>
    </row>
    <row r="2152">
      <c r="B2152">
        <f>IFERROR(VLOOKUP(A2152,Cadastro_Produtos!A:B,2,FALSE),"")</f>
        <v/>
      </c>
      <c r="D2152" s="12" t="n"/>
      <c r="E2152" s="13">
        <f>IF(D2152="","",D2152-TODAY())</f>
        <v/>
      </c>
      <c r="F2152">
        <f>IF(D2152="","",IF(E2152&lt;0,"VENCIDO",IF(E2152&lt;=30,"VENCE EM &lt;= 30 DIAS",IF(E2152&lt;=60,"ATENCAO (31-60 DIAS)","OK"))))</f>
        <v/>
      </c>
      <c r="G2152" s="13">
        <f>SUMIFS(Movimentacoes!$G:$G,Movimentacoes!$C:$C,$A2152,Movimentacoes!$E:$E,$C2152,Movimentacoes!$B:$B,"ENTRADA")</f>
        <v/>
      </c>
      <c r="H2152" s="13">
        <f>SUMIFS(Movimentacoes!$G:$G,Movimentacoes!$C:$C,$A2152,Movimentacoes!$E:$E,$C2152,Movimentacoes!$B:$B,"SAIDA_USO")</f>
        <v/>
      </c>
      <c r="I2152" s="13">
        <f>SUMIFS(Movimentacoes!$G:$G,Movimentacoes!$C:$C,$A2152,Movimentacoes!$E:$E,$C2152,Movimentacoes!$B:$B,"SAIDA_DESCARTE")</f>
        <v/>
      </c>
      <c r="J2152" s="13">
        <f>G2152-H2152-I2152</f>
        <v/>
      </c>
      <c r="K2152">
        <f>IF(A2152="","",IF(J2152&lt;=IFERROR(VLOOKUP(A2152,Cadastro_Produtos!$A:$E,5,FALSE),0),"ABAIXO DO MINIMO","OK"))</f>
        <v/>
      </c>
    </row>
    <row r="2153">
      <c r="B2153">
        <f>IFERROR(VLOOKUP(A2153,Cadastro_Produtos!A:B,2,FALSE),"")</f>
        <v/>
      </c>
      <c r="D2153" s="12" t="n"/>
      <c r="E2153" s="13">
        <f>IF(D2153="","",D2153-TODAY())</f>
        <v/>
      </c>
      <c r="F2153">
        <f>IF(D2153="","",IF(E2153&lt;0,"VENCIDO",IF(E2153&lt;=30,"VENCE EM &lt;= 30 DIAS",IF(E2153&lt;=60,"ATENCAO (31-60 DIAS)","OK"))))</f>
        <v/>
      </c>
      <c r="G2153" s="13">
        <f>SUMIFS(Movimentacoes!$G:$G,Movimentacoes!$C:$C,$A2153,Movimentacoes!$E:$E,$C2153,Movimentacoes!$B:$B,"ENTRADA")</f>
        <v/>
      </c>
      <c r="H2153" s="13">
        <f>SUMIFS(Movimentacoes!$G:$G,Movimentacoes!$C:$C,$A2153,Movimentacoes!$E:$E,$C2153,Movimentacoes!$B:$B,"SAIDA_USO")</f>
        <v/>
      </c>
      <c r="I2153" s="13">
        <f>SUMIFS(Movimentacoes!$G:$G,Movimentacoes!$C:$C,$A2153,Movimentacoes!$E:$E,$C2153,Movimentacoes!$B:$B,"SAIDA_DESCARTE")</f>
        <v/>
      </c>
      <c r="J2153" s="13">
        <f>G2153-H2153-I2153</f>
        <v/>
      </c>
      <c r="K2153">
        <f>IF(A2153="","",IF(J2153&lt;=IFERROR(VLOOKUP(A2153,Cadastro_Produtos!$A:$E,5,FALSE),0),"ABAIXO DO MINIMO","OK"))</f>
        <v/>
      </c>
    </row>
    <row r="2154">
      <c r="B2154">
        <f>IFERROR(VLOOKUP(A2154,Cadastro_Produtos!A:B,2,FALSE),"")</f>
        <v/>
      </c>
      <c r="D2154" s="12" t="n"/>
      <c r="E2154" s="13">
        <f>IF(D2154="","",D2154-TODAY())</f>
        <v/>
      </c>
      <c r="F2154">
        <f>IF(D2154="","",IF(E2154&lt;0,"VENCIDO",IF(E2154&lt;=30,"VENCE EM &lt;= 30 DIAS",IF(E2154&lt;=60,"ATENCAO (31-60 DIAS)","OK"))))</f>
        <v/>
      </c>
      <c r="G2154" s="13">
        <f>SUMIFS(Movimentacoes!$G:$G,Movimentacoes!$C:$C,$A2154,Movimentacoes!$E:$E,$C2154,Movimentacoes!$B:$B,"ENTRADA")</f>
        <v/>
      </c>
      <c r="H2154" s="13">
        <f>SUMIFS(Movimentacoes!$G:$G,Movimentacoes!$C:$C,$A2154,Movimentacoes!$E:$E,$C2154,Movimentacoes!$B:$B,"SAIDA_USO")</f>
        <v/>
      </c>
      <c r="I2154" s="13">
        <f>SUMIFS(Movimentacoes!$G:$G,Movimentacoes!$C:$C,$A2154,Movimentacoes!$E:$E,$C2154,Movimentacoes!$B:$B,"SAIDA_DESCARTE")</f>
        <v/>
      </c>
      <c r="J2154" s="13">
        <f>G2154-H2154-I2154</f>
        <v/>
      </c>
      <c r="K2154">
        <f>IF(A2154="","",IF(J2154&lt;=IFERROR(VLOOKUP(A2154,Cadastro_Produtos!$A:$E,5,FALSE),0),"ABAIXO DO MINIMO","OK"))</f>
        <v/>
      </c>
    </row>
    <row r="2155">
      <c r="B2155">
        <f>IFERROR(VLOOKUP(A2155,Cadastro_Produtos!A:B,2,FALSE),"")</f>
        <v/>
      </c>
      <c r="D2155" s="12" t="n"/>
      <c r="E2155" s="13">
        <f>IF(D2155="","",D2155-TODAY())</f>
        <v/>
      </c>
      <c r="F2155">
        <f>IF(D2155="","",IF(E2155&lt;0,"VENCIDO",IF(E2155&lt;=30,"VENCE EM &lt;= 30 DIAS",IF(E2155&lt;=60,"ATENCAO (31-60 DIAS)","OK"))))</f>
        <v/>
      </c>
      <c r="G2155" s="13">
        <f>SUMIFS(Movimentacoes!$G:$G,Movimentacoes!$C:$C,$A2155,Movimentacoes!$E:$E,$C2155,Movimentacoes!$B:$B,"ENTRADA")</f>
        <v/>
      </c>
      <c r="H2155" s="13">
        <f>SUMIFS(Movimentacoes!$G:$G,Movimentacoes!$C:$C,$A2155,Movimentacoes!$E:$E,$C2155,Movimentacoes!$B:$B,"SAIDA_USO")</f>
        <v/>
      </c>
      <c r="I2155" s="13">
        <f>SUMIFS(Movimentacoes!$G:$G,Movimentacoes!$C:$C,$A2155,Movimentacoes!$E:$E,$C2155,Movimentacoes!$B:$B,"SAIDA_DESCARTE")</f>
        <v/>
      </c>
      <c r="J2155" s="13">
        <f>G2155-H2155-I2155</f>
        <v/>
      </c>
      <c r="K2155">
        <f>IF(A2155="","",IF(J2155&lt;=IFERROR(VLOOKUP(A2155,Cadastro_Produtos!$A:$E,5,FALSE),0),"ABAIXO DO MINIMO","OK"))</f>
        <v/>
      </c>
    </row>
    <row r="2156">
      <c r="B2156">
        <f>IFERROR(VLOOKUP(A2156,Cadastro_Produtos!A:B,2,FALSE),"")</f>
        <v/>
      </c>
      <c r="D2156" s="12" t="n"/>
      <c r="E2156" s="13">
        <f>IF(D2156="","",D2156-TODAY())</f>
        <v/>
      </c>
      <c r="F2156">
        <f>IF(D2156="","",IF(E2156&lt;0,"VENCIDO",IF(E2156&lt;=30,"VENCE EM &lt;= 30 DIAS",IF(E2156&lt;=60,"ATENCAO (31-60 DIAS)","OK"))))</f>
        <v/>
      </c>
      <c r="G2156" s="13">
        <f>SUMIFS(Movimentacoes!$G:$G,Movimentacoes!$C:$C,$A2156,Movimentacoes!$E:$E,$C2156,Movimentacoes!$B:$B,"ENTRADA")</f>
        <v/>
      </c>
      <c r="H2156" s="13">
        <f>SUMIFS(Movimentacoes!$G:$G,Movimentacoes!$C:$C,$A2156,Movimentacoes!$E:$E,$C2156,Movimentacoes!$B:$B,"SAIDA_USO")</f>
        <v/>
      </c>
      <c r="I2156" s="13">
        <f>SUMIFS(Movimentacoes!$G:$G,Movimentacoes!$C:$C,$A2156,Movimentacoes!$E:$E,$C2156,Movimentacoes!$B:$B,"SAIDA_DESCARTE")</f>
        <v/>
      </c>
      <c r="J2156" s="13">
        <f>G2156-H2156-I2156</f>
        <v/>
      </c>
      <c r="K2156">
        <f>IF(A2156="","",IF(J2156&lt;=IFERROR(VLOOKUP(A2156,Cadastro_Produtos!$A:$E,5,FALSE),0),"ABAIXO DO MINIMO","OK"))</f>
        <v/>
      </c>
    </row>
    <row r="2157">
      <c r="B2157">
        <f>IFERROR(VLOOKUP(A2157,Cadastro_Produtos!A:B,2,FALSE),"")</f>
        <v/>
      </c>
      <c r="D2157" s="12" t="n"/>
      <c r="E2157" s="13">
        <f>IF(D2157="","",D2157-TODAY())</f>
        <v/>
      </c>
      <c r="F2157">
        <f>IF(D2157="","",IF(E2157&lt;0,"VENCIDO",IF(E2157&lt;=30,"VENCE EM &lt;= 30 DIAS",IF(E2157&lt;=60,"ATENCAO (31-60 DIAS)","OK"))))</f>
        <v/>
      </c>
      <c r="G2157" s="13">
        <f>SUMIFS(Movimentacoes!$G:$G,Movimentacoes!$C:$C,$A2157,Movimentacoes!$E:$E,$C2157,Movimentacoes!$B:$B,"ENTRADA")</f>
        <v/>
      </c>
      <c r="H2157" s="13">
        <f>SUMIFS(Movimentacoes!$G:$G,Movimentacoes!$C:$C,$A2157,Movimentacoes!$E:$E,$C2157,Movimentacoes!$B:$B,"SAIDA_USO")</f>
        <v/>
      </c>
      <c r="I2157" s="13">
        <f>SUMIFS(Movimentacoes!$G:$G,Movimentacoes!$C:$C,$A2157,Movimentacoes!$E:$E,$C2157,Movimentacoes!$B:$B,"SAIDA_DESCARTE")</f>
        <v/>
      </c>
      <c r="J2157" s="13">
        <f>G2157-H2157-I2157</f>
        <v/>
      </c>
      <c r="K2157">
        <f>IF(A2157="","",IF(J2157&lt;=IFERROR(VLOOKUP(A2157,Cadastro_Produtos!$A:$E,5,FALSE),0),"ABAIXO DO MINIMO","OK"))</f>
        <v/>
      </c>
    </row>
    <row r="2158">
      <c r="B2158">
        <f>IFERROR(VLOOKUP(A2158,Cadastro_Produtos!A:B,2,FALSE),"")</f>
        <v/>
      </c>
      <c r="D2158" s="12" t="n"/>
      <c r="E2158" s="13">
        <f>IF(D2158="","",D2158-TODAY())</f>
        <v/>
      </c>
      <c r="F2158">
        <f>IF(D2158="","",IF(E2158&lt;0,"VENCIDO",IF(E2158&lt;=30,"VENCE EM &lt;= 30 DIAS",IF(E2158&lt;=60,"ATENCAO (31-60 DIAS)","OK"))))</f>
        <v/>
      </c>
      <c r="G2158" s="13">
        <f>SUMIFS(Movimentacoes!$G:$G,Movimentacoes!$C:$C,$A2158,Movimentacoes!$E:$E,$C2158,Movimentacoes!$B:$B,"ENTRADA")</f>
        <v/>
      </c>
      <c r="H2158" s="13">
        <f>SUMIFS(Movimentacoes!$G:$G,Movimentacoes!$C:$C,$A2158,Movimentacoes!$E:$E,$C2158,Movimentacoes!$B:$B,"SAIDA_USO")</f>
        <v/>
      </c>
      <c r="I2158" s="13">
        <f>SUMIFS(Movimentacoes!$G:$G,Movimentacoes!$C:$C,$A2158,Movimentacoes!$E:$E,$C2158,Movimentacoes!$B:$B,"SAIDA_DESCARTE")</f>
        <v/>
      </c>
      <c r="J2158" s="13">
        <f>G2158-H2158-I2158</f>
        <v/>
      </c>
      <c r="K2158">
        <f>IF(A2158="","",IF(J2158&lt;=IFERROR(VLOOKUP(A2158,Cadastro_Produtos!$A:$E,5,FALSE),0),"ABAIXO DO MINIMO","OK"))</f>
        <v/>
      </c>
    </row>
    <row r="2159">
      <c r="B2159">
        <f>IFERROR(VLOOKUP(A2159,Cadastro_Produtos!A:B,2,FALSE),"")</f>
        <v/>
      </c>
      <c r="D2159" s="12" t="n"/>
      <c r="E2159" s="13">
        <f>IF(D2159="","",D2159-TODAY())</f>
        <v/>
      </c>
      <c r="F2159">
        <f>IF(D2159="","",IF(E2159&lt;0,"VENCIDO",IF(E2159&lt;=30,"VENCE EM &lt;= 30 DIAS",IF(E2159&lt;=60,"ATENCAO (31-60 DIAS)","OK"))))</f>
        <v/>
      </c>
      <c r="G2159" s="13">
        <f>SUMIFS(Movimentacoes!$G:$G,Movimentacoes!$C:$C,$A2159,Movimentacoes!$E:$E,$C2159,Movimentacoes!$B:$B,"ENTRADA")</f>
        <v/>
      </c>
      <c r="H2159" s="13">
        <f>SUMIFS(Movimentacoes!$G:$G,Movimentacoes!$C:$C,$A2159,Movimentacoes!$E:$E,$C2159,Movimentacoes!$B:$B,"SAIDA_USO")</f>
        <v/>
      </c>
      <c r="I2159" s="13">
        <f>SUMIFS(Movimentacoes!$G:$G,Movimentacoes!$C:$C,$A2159,Movimentacoes!$E:$E,$C2159,Movimentacoes!$B:$B,"SAIDA_DESCARTE")</f>
        <v/>
      </c>
      <c r="J2159" s="13">
        <f>G2159-H2159-I2159</f>
        <v/>
      </c>
      <c r="K2159">
        <f>IF(A2159="","",IF(J2159&lt;=IFERROR(VLOOKUP(A2159,Cadastro_Produtos!$A:$E,5,FALSE),0),"ABAIXO DO MINIMO","OK"))</f>
        <v/>
      </c>
    </row>
    <row r="2160">
      <c r="B2160">
        <f>IFERROR(VLOOKUP(A2160,Cadastro_Produtos!A:B,2,FALSE),"")</f>
        <v/>
      </c>
      <c r="D2160" s="12" t="n"/>
      <c r="E2160" s="13">
        <f>IF(D2160="","",D2160-TODAY())</f>
        <v/>
      </c>
      <c r="F2160">
        <f>IF(D2160="","",IF(E2160&lt;0,"VENCIDO",IF(E2160&lt;=30,"VENCE EM &lt;= 30 DIAS",IF(E2160&lt;=60,"ATENCAO (31-60 DIAS)","OK"))))</f>
        <v/>
      </c>
      <c r="G2160" s="13">
        <f>SUMIFS(Movimentacoes!$G:$G,Movimentacoes!$C:$C,$A2160,Movimentacoes!$E:$E,$C2160,Movimentacoes!$B:$B,"ENTRADA")</f>
        <v/>
      </c>
      <c r="H2160" s="13">
        <f>SUMIFS(Movimentacoes!$G:$G,Movimentacoes!$C:$C,$A2160,Movimentacoes!$E:$E,$C2160,Movimentacoes!$B:$B,"SAIDA_USO")</f>
        <v/>
      </c>
      <c r="I2160" s="13">
        <f>SUMIFS(Movimentacoes!$G:$G,Movimentacoes!$C:$C,$A2160,Movimentacoes!$E:$E,$C2160,Movimentacoes!$B:$B,"SAIDA_DESCARTE")</f>
        <v/>
      </c>
      <c r="J2160" s="13">
        <f>G2160-H2160-I2160</f>
        <v/>
      </c>
      <c r="K2160">
        <f>IF(A2160="","",IF(J2160&lt;=IFERROR(VLOOKUP(A2160,Cadastro_Produtos!$A:$E,5,FALSE),0),"ABAIXO DO MINIMO","OK"))</f>
        <v/>
      </c>
    </row>
    <row r="2161">
      <c r="B2161">
        <f>IFERROR(VLOOKUP(A2161,Cadastro_Produtos!A:B,2,FALSE),"")</f>
        <v/>
      </c>
      <c r="D2161" s="12" t="n"/>
      <c r="E2161" s="13">
        <f>IF(D2161="","",D2161-TODAY())</f>
        <v/>
      </c>
      <c r="F2161">
        <f>IF(D2161="","",IF(E2161&lt;0,"VENCIDO",IF(E2161&lt;=30,"VENCE EM &lt;= 30 DIAS",IF(E2161&lt;=60,"ATENCAO (31-60 DIAS)","OK"))))</f>
        <v/>
      </c>
      <c r="G2161" s="13">
        <f>SUMIFS(Movimentacoes!$G:$G,Movimentacoes!$C:$C,$A2161,Movimentacoes!$E:$E,$C2161,Movimentacoes!$B:$B,"ENTRADA")</f>
        <v/>
      </c>
      <c r="H2161" s="13">
        <f>SUMIFS(Movimentacoes!$G:$G,Movimentacoes!$C:$C,$A2161,Movimentacoes!$E:$E,$C2161,Movimentacoes!$B:$B,"SAIDA_USO")</f>
        <v/>
      </c>
      <c r="I2161" s="13">
        <f>SUMIFS(Movimentacoes!$G:$G,Movimentacoes!$C:$C,$A2161,Movimentacoes!$E:$E,$C2161,Movimentacoes!$B:$B,"SAIDA_DESCARTE")</f>
        <v/>
      </c>
      <c r="J2161" s="13">
        <f>G2161-H2161-I2161</f>
        <v/>
      </c>
      <c r="K2161">
        <f>IF(A2161="","",IF(J2161&lt;=IFERROR(VLOOKUP(A2161,Cadastro_Produtos!$A:$E,5,FALSE),0),"ABAIXO DO MINIMO","OK"))</f>
        <v/>
      </c>
    </row>
    <row r="2162">
      <c r="B2162">
        <f>IFERROR(VLOOKUP(A2162,Cadastro_Produtos!A:B,2,FALSE),"")</f>
        <v/>
      </c>
      <c r="D2162" s="12" t="n"/>
      <c r="E2162" s="13">
        <f>IF(D2162="","",D2162-TODAY())</f>
        <v/>
      </c>
      <c r="F2162">
        <f>IF(D2162="","",IF(E2162&lt;0,"VENCIDO",IF(E2162&lt;=30,"VENCE EM &lt;= 30 DIAS",IF(E2162&lt;=60,"ATENCAO (31-60 DIAS)","OK"))))</f>
        <v/>
      </c>
      <c r="G2162" s="13">
        <f>SUMIFS(Movimentacoes!$G:$G,Movimentacoes!$C:$C,$A2162,Movimentacoes!$E:$E,$C2162,Movimentacoes!$B:$B,"ENTRADA")</f>
        <v/>
      </c>
      <c r="H2162" s="13">
        <f>SUMIFS(Movimentacoes!$G:$G,Movimentacoes!$C:$C,$A2162,Movimentacoes!$E:$E,$C2162,Movimentacoes!$B:$B,"SAIDA_USO")</f>
        <v/>
      </c>
      <c r="I2162" s="13">
        <f>SUMIFS(Movimentacoes!$G:$G,Movimentacoes!$C:$C,$A2162,Movimentacoes!$E:$E,$C2162,Movimentacoes!$B:$B,"SAIDA_DESCARTE")</f>
        <v/>
      </c>
      <c r="J2162" s="13">
        <f>G2162-H2162-I2162</f>
        <v/>
      </c>
      <c r="K2162">
        <f>IF(A2162="","",IF(J2162&lt;=IFERROR(VLOOKUP(A2162,Cadastro_Produtos!$A:$E,5,FALSE),0),"ABAIXO DO MINIMO","OK"))</f>
        <v/>
      </c>
    </row>
    <row r="2163">
      <c r="B2163">
        <f>IFERROR(VLOOKUP(A2163,Cadastro_Produtos!A:B,2,FALSE),"")</f>
        <v/>
      </c>
      <c r="D2163" s="12" t="n"/>
      <c r="E2163" s="13">
        <f>IF(D2163="","",D2163-TODAY())</f>
        <v/>
      </c>
      <c r="F2163">
        <f>IF(D2163="","",IF(E2163&lt;0,"VENCIDO",IF(E2163&lt;=30,"VENCE EM &lt;= 30 DIAS",IF(E2163&lt;=60,"ATENCAO (31-60 DIAS)","OK"))))</f>
        <v/>
      </c>
      <c r="G2163" s="13">
        <f>SUMIFS(Movimentacoes!$G:$G,Movimentacoes!$C:$C,$A2163,Movimentacoes!$E:$E,$C2163,Movimentacoes!$B:$B,"ENTRADA")</f>
        <v/>
      </c>
      <c r="H2163" s="13">
        <f>SUMIFS(Movimentacoes!$G:$G,Movimentacoes!$C:$C,$A2163,Movimentacoes!$E:$E,$C2163,Movimentacoes!$B:$B,"SAIDA_USO")</f>
        <v/>
      </c>
      <c r="I2163" s="13">
        <f>SUMIFS(Movimentacoes!$G:$G,Movimentacoes!$C:$C,$A2163,Movimentacoes!$E:$E,$C2163,Movimentacoes!$B:$B,"SAIDA_DESCARTE")</f>
        <v/>
      </c>
      <c r="J2163" s="13">
        <f>G2163-H2163-I2163</f>
        <v/>
      </c>
      <c r="K2163">
        <f>IF(A2163="","",IF(J2163&lt;=IFERROR(VLOOKUP(A2163,Cadastro_Produtos!$A:$E,5,FALSE),0),"ABAIXO DO MINIMO","OK"))</f>
        <v/>
      </c>
    </row>
    <row r="2164">
      <c r="B2164">
        <f>IFERROR(VLOOKUP(A2164,Cadastro_Produtos!A:B,2,FALSE),"")</f>
        <v/>
      </c>
      <c r="D2164" s="12" t="n"/>
      <c r="E2164" s="13">
        <f>IF(D2164="","",D2164-TODAY())</f>
        <v/>
      </c>
      <c r="F2164">
        <f>IF(D2164="","",IF(E2164&lt;0,"VENCIDO",IF(E2164&lt;=30,"VENCE EM &lt;= 30 DIAS",IF(E2164&lt;=60,"ATENCAO (31-60 DIAS)","OK"))))</f>
        <v/>
      </c>
      <c r="G2164" s="13">
        <f>SUMIFS(Movimentacoes!$G:$G,Movimentacoes!$C:$C,$A2164,Movimentacoes!$E:$E,$C2164,Movimentacoes!$B:$B,"ENTRADA")</f>
        <v/>
      </c>
      <c r="H2164" s="13">
        <f>SUMIFS(Movimentacoes!$G:$G,Movimentacoes!$C:$C,$A2164,Movimentacoes!$E:$E,$C2164,Movimentacoes!$B:$B,"SAIDA_USO")</f>
        <v/>
      </c>
      <c r="I2164" s="13">
        <f>SUMIFS(Movimentacoes!$G:$G,Movimentacoes!$C:$C,$A2164,Movimentacoes!$E:$E,$C2164,Movimentacoes!$B:$B,"SAIDA_DESCARTE")</f>
        <v/>
      </c>
      <c r="J2164" s="13">
        <f>G2164-H2164-I2164</f>
        <v/>
      </c>
      <c r="K2164">
        <f>IF(A2164="","",IF(J2164&lt;=IFERROR(VLOOKUP(A2164,Cadastro_Produtos!$A:$E,5,FALSE),0),"ABAIXO DO MINIMO","OK"))</f>
        <v/>
      </c>
    </row>
    <row r="2165">
      <c r="B2165">
        <f>IFERROR(VLOOKUP(A2165,Cadastro_Produtos!A:B,2,FALSE),"")</f>
        <v/>
      </c>
      <c r="D2165" s="12" t="n"/>
      <c r="E2165" s="13">
        <f>IF(D2165="","",D2165-TODAY())</f>
        <v/>
      </c>
      <c r="F2165">
        <f>IF(D2165="","",IF(E2165&lt;0,"VENCIDO",IF(E2165&lt;=30,"VENCE EM &lt;= 30 DIAS",IF(E2165&lt;=60,"ATENCAO (31-60 DIAS)","OK"))))</f>
        <v/>
      </c>
      <c r="G2165" s="13">
        <f>SUMIFS(Movimentacoes!$G:$G,Movimentacoes!$C:$C,$A2165,Movimentacoes!$E:$E,$C2165,Movimentacoes!$B:$B,"ENTRADA")</f>
        <v/>
      </c>
      <c r="H2165" s="13">
        <f>SUMIFS(Movimentacoes!$G:$G,Movimentacoes!$C:$C,$A2165,Movimentacoes!$E:$E,$C2165,Movimentacoes!$B:$B,"SAIDA_USO")</f>
        <v/>
      </c>
      <c r="I2165" s="13">
        <f>SUMIFS(Movimentacoes!$G:$G,Movimentacoes!$C:$C,$A2165,Movimentacoes!$E:$E,$C2165,Movimentacoes!$B:$B,"SAIDA_DESCARTE")</f>
        <v/>
      </c>
      <c r="J2165" s="13">
        <f>G2165-H2165-I2165</f>
        <v/>
      </c>
      <c r="K2165">
        <f>IF(A2165="","",IF(J2165&lt;=IFERROR(VLOOKUP(A2165,Cadastro_Produtos!$A:$E,5,FALSE),0),"ABAIXO DO MINIMO","OK"))</f>
        <v/>
      </c>
    </row>
    <row r="2166">
      <c r="B2166">
        <f>IFERROR(VLOOKUP(A2166,Cadastro_Produtos!A:B,2,FALSE),"")</f>
        <v/>
      </c>
      <c r="D2166" s="12" t="n"/>
      <c r="E2166" s="13">
        <f>IF(D2166="","",D2166-TODAY())</f>
        <v/>
      </c>
      <c r="F2166">
        <f>IF(D2166="","",IF(E2166&lt;0,"VENCIDO",IF(E2166&lt;=30,"VENCE EM &lt;= 30 DIAS",IF(E2166&lt;=60,"ATENCAO (31-60 DIAS)","OK"))))</f>
        <v/>
      </c>
      <c r="G2166" s="13">
        <f>SUMIFS(Movimentacoes!$G:$G,Movimentacoes!$C:$C,$A2166,Movimentacoes!$E:$E,$C2166,Movimentacoes!$B:$B,"ENTRADA")</f>
        <v/>
      </c>
      <c r="H2166" s="13">
        <f>SUMIFS(Movimentacoes!$G:$G,Movimentacoes!$C:$C,$A2166,Movimentacoes!$E:$E,$C2166,Movimentacoes!$B:$B,"SAIDA_USO")</f>
        <v/>
      </c>
      <c r="I2166" s="13">
        <f>SUMIFS(Movimentacoes!$G:$G,Movimentacoes!$C:$C,$A2166,Movimentacoes!$E:$E,$C2166,Movimentacoes!$B:$B,"SAIDA_DESCARTE")</f>
        <v/>
      </c>
      <c r="J2166" s="13">
        <f>G2166-H2166-I2166</f>
        <v/>
      </c>
      <c r="K2166">
        <f>IF(A2166="","",IF(J2166&lt;=IFERROR(VLOOKUP(A2166,Cadastro_Produtos!$A:$E,5,FALSE),0),"ABAIXO DO MINIMO","OK"))</f>
        <v/>
      </c>
    </row>
    <row r="2167">
      <c r="B2167">
        <f>IFERROR(VLOOKUP(A2167,Cadastro_Produtos!A:B,2,FALSE),"")</f>
        <v/>
      </c>
      <c r="D2167" s="12" t="n"/>
      <c r="E2167" s="13">
        <f>IF(D2167="","",D2167-TODAY())</f>
        <v/>
      </c>
      <c r="F2167">
        <f>IF(D2167="","",IF(E2167&lt;0,"VENCIDO",IF(E2167&lt;=30,"VENCE EM &lt;= 30 DIAS",IF(E2167&lt;=60,"ATENCAO (31-60 DIAS)","OK"))))</f>
        <v/>
      </c>
      <c r="G2167" s="13">
        <f>SUMIFS(Movimentacoes!$G:$G,Movimentacoes!$C:$C,$A2167,Movimentacoes!$E:$E,$C2167,Movimentacoes!$B:$B,"ENTRADA")</f>
        <v/>
      </c>
      <c r="H2167" s="13">
        <f>SUMIFS(Movimentacoes!$G:$G,Movimentacoes!$C:$C,$A2167,Movimentacoes!$E:$E,$C2167,Movimentacoes!$B:$B,"SAIDA_USO")</f>
        <v/>
      </c>
      <c r="I2167" s="13">
        <f>SUMIFS(Movimentacoes!$G:$G,Movimentacoes!$C:$C,$A2167,Movimentacoes!$E:$E,$C2167,Movimentacoes!$B:$B,"SAIDA_DESCARTE")</f>
        <v/>
      </c>
      <c r="J2167" s="13">
        <f>G2167-H2167-I2167</f>
        <v/>
      </c>
      <c r="K2167">
        <f>IF(A2167="","",IF(J2167&lt;=IFERROR(VLOOKUP(A2167,Cadastro_Produtos!$A:$E,5,FALSE),0),"ABAIXO DO MINIMO","OK"))</f>
        <v/>
      </c>
    </row>
    <row r="2168">
      <c r="B2168">
        <f>IFERROR(VLOOKUP(A2168,Cadastro_Produtos!A:B,2,FALSE),"")</f>
        <v/>
      </c>
      <c r="D2168" s="12" t="n"/>
      <c r="E2168" s="13">
        <f>IF(D2168="","",D2168-TODAY())</f>
        <v/>
      </c>
      <c r="F2168">
        <f>IF(D2168="","",IF(E2168&lt;0,"VENCIDO",IF(E2168&lt;=30,"VENCE EM &lt;= 30 DIAS",IF(E2168&lt;=60,"ATENCAO (31-60 DIAS)","OK"))))</f>
        <v/>
      </c>
      <c r="G2168" s="13">
        <f>SUMIFS(Movimentacoes!$G:$G,Movimentacoes!$C:$C,$A2168,Movimentacoes!$E:$E,$C2168,Movimentacoes!$B:$B,"ENTRADA")</f>
        <v/>
      </c>
      <c r="H2168" s="13">
        <f>SUMIFS(Movimentacoes!$G:$G,Movimentacoes!$C:$C,$A2168,Movimentacoes!$E:$E,$C2168,Movimentacoes!$B:$B,"SAIDA_USO")</f>
        <v/>
      </c>
      <c r="I2168" s="13">
        <f>SUMIFS(Movimentacoes!$G:$G,Movimentacoes!$C:$C,$A2168,Movimentacoes!$E:$E,$C2168,Movimentacoes!$B:$B,"SAIDA_DESCARTE")</f>
        <v/>
      </c>
      <c r="J2168" s="13">
        <f>G2168-H2168-I2168</f>
        <v/>
      </c>
      <c r="K2168">
        <f>IF(A2168="","",IF(J2168&lt;=IFERROR(VLOOKUP(A2168,Cadastro_Produtos!$A:$E,5,FALSE),0),"ABAIXO DO MINIMO","OK"))</f>
        <v/>
      </c>
    </row>
    <row r="2169">
      <c r="B2169">
        <f>IFERROR(VLOOKUP(A2169,Cadastro_Produtos!A:B,2,FALSE),"")</f>
        <v/>
      </c>
      <c r="D2169" s="12" t="n"/>
      <c r="E2169" s="13">
        <f>IF(D2169="","",D2169-TODAY())</f>
        <v/>
      </c>
      <c r="F2169">
        <f>IF(D2169="","",IF(E2169&lt;0,"VENCIDO",IF(E2169&lt;=30,"VENCE EM &lt;= 30 DIAS",IF(E2169&lt;=60,"ATENCAO (31-60 DIAS)","OK"))))</f>
        <v/>
      </c>
      <c r="G2169" s="13">
        <f>SUMIFS(Movimentacoes!$G:$G,Movimentacoes!$C:$C,$A2169,Movimentacoes!$E:$E,$C2169,Movimentacoes!$B:$B,"ENTRADA")</f>
        <v/>
      </c>
      <c r="H2169" s="13">
        <f>SUMIFS(Movimentacoes!$G:$G,Movimentacoes!$C:$C,$A2169,Movimentacoes!$E:$E,$C2169,Movimentacoes!$B:$B,"SAIDA_USO")</f>
        <v/>
      </c>
      <c r="I2169" s="13">
        <f>SUMIFS(Movimentacoes!$G:$G,Movimentacoes!$C:$C,$A2169,Movimentacoes!$E:$E,$C2169,Movimentacoes!$B:$B,"SAIDA_DESCARTE")</f>
        <v/>
      </c>
      <c r="J2169" s="13">
        <f>G2169-H2169-I2169</f>
        <v/>
      </c>
      <c r="K2169">
        <f>IF(A2169="","",IF(J2169&lt;=IFERROR(VLOOKUP(A2169,Cadastro_Produtos!$A:$E,5,FALSE),0),"ABAIXO DO MINIMO","OK"))</f>
        <v/>
      </c>
    </row>
    <row r="2170">
      <c r="B2170">
        <f>IFERROR(VLOOKUP(A2170,Cadastro_Produtos!A:B,2,FALSE),"")</f>
        <v/>
      </c>
      <c r="D2170" s="12" t="n"/>
      <c r="E2170" s="13">
        <f>IF(D2170="","",D2170-TODAY())</f>
        <v/>
      </c>
      <c r="F2170">
        <f>IF(D2170="","",IF(E2170&lt;0,"VENCIDO",IF(E2170&lt;=30,"VENCE EM &lt;= 30 DIAS",IF(E2170&lt;=60,"ATENCAO (31-60 DIAS)","OK"))))</f>
        <v/>
      </c>
      <c r="G2170" s="13">
        <f>SUMIFS(Movimentacoes!$G:$G,Movimentacoes!$C:$C,$A2170,Movimentacoes!$E:$E,$C2170,Movimentacoes!$B:$B,"ENTRADA")</f>
        <v/>
      </c>
      <c r="H2170" s="13">
        <f>SUMIFS(Movimentacoes!$G:$G,Movimentacoes!$C:$C,$A2170,Movimentacoes!$E:$E,$C2170,Movimentacoes!$B:$B,"SAIDA_USO")</f>
        <v/>
      </c>
      <c r="I2170" s="13">
        <f>SUMIFS(Movimentacoes!$G:$G,Movimentacoes!$C:$C,$A2170,Movimentacoes!$E:$E,$C2170,Movimentacoes!$B:$B,"SAIDA_DESCARTE")</f>
        <v/>
      </c>
      <c r="J2170" s="13">
        <f>G2170-H2170-I2170</f>
        <v/>
      </c>
      <c r="K2170">
        <f>IF(A2170="","",IF(J2170&lt;=IFERROR(VLOOKUP(A2170,Cadastro_Produtos!$A:$E,5,FALSE),0),"ABAIXO DO MINIMO","OK"))</f>
        <v/>
      </c>
    </row>
    <row r="2171">
      <c r="B2171">
        <f>IFERROR(VLOOKUP(A2171,Cadastro_Produtos!A:B,2,FALSE),"")</f>
        <v/>
      </c>
      <c r="D2171" s="12" t="n"/>
      <c r="E2171" s="13">
        <f>IF(D2171="","",D2171-TODAY())</f>
        <v/>
      </c>
      <c r="F2171">
        <f>IF(D2171="","",IF(E2171&lt;0,"VENCIDO",IF(E2171&lt;=30,"VENCE EM &lt;= 30 DIAS",IF(E2171&lt;=60,"ATENCAO (31-60 DIAS)","OK"))))</f>
        <v/>
      </c>
      <c r="G2171" s="13">
        <f>SUMIFS(Movimentacoes!$G:$G,Movimentacoes!$C:$C,$A2171,Movimentacoes!$E:$E,$C2171,Movimentacoes!$B:$B,"ENTRADA")</f>
        <v/>
      </c>
      <c r="H2171" s="13">
        <f>SUMIFS(Movimentacoes!$G:$G,Movimentacoes!$C:$C,$A2171,Movimentacoes!$E:$E,$C2171,Movimentacoes!$B:$B,"SAIDA_USO")</f>
        <v/>
      </c>
      <c r="I2171" s="13">
        <f>SUMIFS(Movimentacoes!$G:$G,Movimentacoes!$C:$C,$A2171,Movimentacoes!$E:$E,$C2171,Movimentacoes!$B:$B,"SAIDA_DESCARTE")</f>
        <v/>
      </c>
      <c r="J2171" s="13">
        <f>G2171-H2171-I2171</f>
        <v/>
      </c>
      <c r="K2171">
        <f>IF(A2171="","",IF(J2171&lt;=IFERROR(VLOOKUP(A2171,Cadastro_Produtos!$A:$E,5,FALSE),0),"ABAIXO DO MINIMO","OK"))</f>
        <v/>
      </c>
    </row>
    <row r="2172">
      <c r="B2172">
        <f>IFERROR(VLOOKUP(A2172,Cadastro_Produtos!A:B,2,FALSE),"")</f>
        <v/>
      </c>
      <c r="D2172" s="12" t="n"/>
      <c r="E2172" s="13">
        <f>IF(D2172="","",D2172-TODAY())</f>
        <v/>
      </c>
      <c r="F2172">
        <f>IF(D2172="","",IF(E2172&lt;0,"VENCIDO",IF(E2172&lt;=30,"VENCE EM &lt;= 30 DIAS",IF(E2172&lt;=60,"ATENCAO (31-60 DIAS)","OK"))))</f>
        <v/>
      </c>
      <c r="G2172" s="13">
        <f>SUMIFS(Movimentacoes!$G:$G,Movimentacoes!$C:$C,$A2172,Movimentacoes!$E:$E,$C2172,Movimentacoes!$B:$B,"ENTRADA")</f>
        <v/>
      </c>
      <c r="H2172" s="13">
        <f>SUMIFS(Movimentacoes!$G:$G,Movimentacoes!$C:$C,$A2172,Movimentacoes!$E:$E,$C2172,Movimentacoes!$B:$B,"SAIDA_USO")</f>
        <v/>
      </c>
      <c r="I2172" s="13">
        <f>SUMIFS(Movimentacoes!$G:$G,Movimentacoes!$C:$C,$A2172,Movimentacoes!$E:$E,$C2172,Movimentacoes!$B:$B,"SAIDA_DESCARTE")</f>
        <v/>
      </c>
      <c r="J2172" s="13">
        <f>G2172-H2172-I2172</f>
        <v/>
      </c>
      <c r="K2172">
        <f>IF(A2172="","",IF(J2172&lt;=IFERROR(VLOOKUP(A2172,Cadastro_Produtos!$A:$E,5,FALSE),0),"ABAIXO DO MINIMO","OK"))</f>
        <v/>
      </c>
    </row>
    <row r="2173">
      <c r="B2173">
        <f>IFERROR(VLOOKUP(A2173,Cadastro_Produtos!A:B,2,FALSE),"")</f>
        <v/>
      </c>
      <c r="D2173" s="12" t="n"/>
      <c r="E2173" s="13">
        <f>IF(D2173="","",D2173-TODAY())</f>
        <v/>
      </c>
      <c r="F2173">
        <f>IF(D2173="","",IF(E2173&lt;0,"VENCIDO",IF(E2173&lt;=30,"VENCE EM &lt;= 30 DIAS",IF(E2173&lt;=60,"ATENCAO (31-60 DIAS)","OK"))))</f>
        <v/>
      </c>
      <c r="G2173" s="13">
        <f>SUMIFS(Movimentacoes!$G:$G,Movimentacoes!$C:$C,$A2173,Movimentacoes!$E:$E,$C2173,Movimentacoes!$B:$B,"ENTRADA")</f>
        <v/>
      </c>
      <c r="H2173" s="13">
        <f>SUMIFS(Movimentacoes!$G:$G,Movimentacoes!$C:$C,$A2173,Movimentacoes!$E:$E,$C2173,Movimentacoes!$B:$B,"SAIDA_USO")</f>
        <v/>
      </c>
      <c r="I2173" s="13">
        <f>SUMIFS(Movimentacoes!$G:$G,Movimentacoes!$C:$C,$A2173,Movimentacoes!$E:$E,$C2173,Movimentacoes!$B:$B,"SAIDA_DESCARTE")</f>
        <v/>
      </c>
      <c r="J2173" s="13">
        <f>G2173-H2173-I2173</f>
        <v/>
      </c>
      <c r="K2173">
        <f>IF(A2173="","",IF(J2173&lt;=IFERROR(VLOOKUP(A2173,Cadastro_Produtos!$A:$E,5,FALSE),0),"ABAIXO DO MINIMO","OK"))</f>
        <v/>
      </c>
    </row>
    <row r="2174">
      <c r="B2174">
        <f>IFERROR(VLOOKUP(A2174,Cadastro_Produtos!A:B,2,FALSE),"")</f>
        <v/>
      </c>
      <c r="D2174" s="12" t="n"/>
      <c r="E2174" s="13">
        <f>IF(D2174="","",D2174-TODAY())</f>
        <v/>
      </c>
      <c r="F2174">
        <f>IF(D2174="","",IF(E2174&lt;0,"VENCIDO",IF(E2174&lt;=30,"VENCE EM &lt;= 30 DIAS",IF(E2174&lt;=60,"ATENCAO (31-60 DIAS)","OK"))))</f>
        <v/>
      </c>
      <c r="G2174" s="13">
        <f>SUMIFS(Movimentacoes!$G:$G,Movimentacoes!$C:$C,$A2174,Movimentacoes!$E:$E,$C2174,Movimentacoes!$B:$B,"ENTRADA")</f>
        <v/>
      </c>
      <c r="H2174" s="13">
        <f>SUMIFS(Movimentacoes!$G:$G,Movimentacoes!$C:$C,$A2174,Movimentacoes!$E:$E,$C2174,Movimentacoes!$B:$B,"SAIDA_USO")</f>
        <v/>
      </c>
      <c r="I2174" s="13">
        <f>SUMIFS(Movimentacoes!$G:$G,Movimentacoes!$C:$C,$A2174,Movimentacoes!$E:$E,$C2174,Movimentacoes!$B:$B,"SAIDA_DESCARTE")</f>
        <v/>
      </c>
      <c r="J2174" s="13">
        <f>G2174-H2174-I2174</f>
        <v/>
      </c>
      <c r="K2174">
        <f>IF(A2174="","",IF(J2174&lt;=IFERROR(VLOOKUP(A2174,Cadastro_Produtos!$A:$E,5,FALSE),0),"ABAIXO DO MINIMO","OK"))</f>
        <v/>
      </c>
    </row>
    <row r="2175">
      <c r="B2175">
        <f>IFERROR(VLOOKUP(A2175,Cadastro_Produtos!A:B,2,FALSE),"")</f>
        <v/>
      </c>
      <c r="D2175" s="12" t="n"/>
      <c r="E2175" s="13">
        <f>IF(D2175="","",D2175-TODAY())</f>
        <v/>
      </c>
      <c r="F2175">
        <f>IF(D2175="","",IF(E2175&lt;0,"VENCIDO",IF(E2175&lt;=30,"VENCE EM &lt;= 30 DIAS",IF(E2175&lt;=60,"ATENCAO (31-60 DIAS)","OK"))))</f>
        <v/>
      </c>
      <c r="G2175" s="13">
        <f>SUMIFS(Movimentacoes!$G:$G,Movimentacoes!$C:$C,$A2175,Movimentacoes!$E:$E,$C2175,Movimentacoes!$B:$B,"ENTRADA")</f>
        <v/>
      </c>
      <c r="H2175" s="13">
        <f>SUMIFS(Movimentacoes!$G:$G,Movimentacoes!$C:$C,$A2175,Movimentacoes!$E:$E,$C2175,Movimentacoes!$B:$B,"SAIDA_USO")</f>
        <v/>
      </c>
      <c r="I2175" s="13">
        <f>SUMIFS(Movimentacoes!$G:$G,Movimentacoes!$C:$C,$A2175,Movimentacoes!$E:$E,$C2175,Movimentacoes!$B:$B,"SAIDA_DESCARTE")</f>
        <v/>
      </c>
      <c r="J2175" s="13">
        <f>G2175-H2175-I2175</f>
        <v/>
      </c>
      <c r="K2175">
        <f>IF(A2175="","",IF(J2175&lt;=IFERROR(VLOOKUP(A2175,Cadastro_Produtos!$A:$E,5,FALSE),0),"ABAIXO DO MINIMO","OK"))</f>
        <v/>
      </c>
    </row>
    <row r="2176">
      <c r="B2176">
        <f>IFERROR(VLOOKUP(A2176,Cadastro_Produtos!A:B,2,FALSE),"")</f>
        <v/>
      </c>
      <c r="D2176" s="12" t="n"/>
      <c r="E2176" s="13">
        <f>IF(D2176="","",D2176-TODAY())</f>
        <v/>
      </c>
      <c r="F2176">
        <f>IF(D2176="","",IF(E2176&lt;0,"VENCIDO",IF(E2176&lt;=30,"VENCE EM &lt;= 30 DIAS",IF(E2176&lt;=60,"ATENCAO (31-60 DIAS)","OK"))))</f>
        <v/>
      </c>
      <c r="G2176" s="13">
        <f>SUMIFS(Movimentacoes!$G:$G,Movimentacoes!$C:$C,$A2176,Movimentacoes!$E:$E,$C2176,Movimentacoes!$B:$B,"ENTRADA")</f>
        <v/>
      </c>
      <c r="H2176" s="13">
        <f>SUMIFS(Movimentacoes!$G:$G,Movimentacoes!$C:$C,$A2176,Movimentacoes!$E:$E,$C2176,Movimentacoes!$B:$B,"SAIDA_USO")</f>
        <v/>
      </c>
      <c r="I2176" s="13">
        <f>SUMIFS(Movimentacoes!$G:$G,Movimentacoes!$C:$C,$A2176,Movimentacoes!$E:$E,$C2176,Movimentacoes!$B:$B,"SAIDA_DESCARTE")</f>
        <v/>
      </c>
      <c r="J2176" s="13">
        <f>G2176-H2176-I2176</f>
        <v/>
      </c>
      <c r="K2176">
        <f>IF(A2176="","",IF(J2176&lt;=IFERROR(VLOOKUP(A2176,Cadastro_Produtos!$A:$E,5,FALSE),0),"ABAIXO DO MINIMO","OK"))</f>
        <v/>
      </c>
    </row>
    <row r="2177">
      <c r="B2177">
        <f>IFERROR(VLOOKUP(A2177,Cadastro_Produtos!A:B,2,FALSE),"")</f>
        <v/>
      </c>
      <c r="D2177" s="12" t="n"/>
      <c r="E2177" s="13">
        <f>IF(D2177="","",D2177-TODAY())</f>
        <v/>
      </c>
      <c r="F2177">
        <f>IF(D2177="","",IF(E2177&lt;0,"VENCIDO",IF(E2177&lt;=30,"VENCE EM &lt;= 30 DIAS",IF(E2177&lt;=60,"ATENCAO (31-60 DIAS)","OK"))))</f>
        <v/>
      </c>
      <c r="G2177" s="13">
        <f>SUMIFS(Movimentacoes!$G:$G,Movimentacoes!$C:$C,$A2177,Movimentacoes!$E:$E,$C2177,Movimentacoes!$B:$B,"ENTRADA")</f>
        <v/>
      </c>
      <c r="H2177" s="13">
        <f>SUMIFS(Movimentacoes!$G:$G,Movimentacoes!$C:$C,$A2177,Movimentacoes!$E:$E,$C2177,Movimentacoes!$B:$B,"SAIDA_USO")</f>
        <v/>
      </c>
      <c r="I2177" s="13">
        <f>SUMIFS(Movimentacoes!$G:$G,Movimentacoes!$C:$C,$A2177,Movimentacoes!$E:$E,$C2177,Movimentacoes!$B:$B,"SAIDA_DESCARTE")</f>
        <v/>
      </c>
      <c r="J2177" s="13">
        <f>G2177-H2177-I2177</f>
        <v/>
      </c>
      <c r="K2177">
        <f>IF(A2177="","",IF(J2177&lt;=IFERROR(VLOOKUP(A2177,Cadastro_Produtos!$A:$E,5,FALSE),0),"ABAIXO DO MINIMO","OK"))</f>
        <v/>
      </c>
    </row>
    <row r="2178">
      <c r="B2178">
        <f>IFERROR(VLOOKUP(A2178,Cadastro_Produtos!A:B,2,FALSE),"")</f>
        <v/>
      </c>
      <c r="D2178" s="12" t="n"/>
      <c r="E2178" s="13">
        <f>IF(D2178="","",D2178-TODAY())</f>
        <v/>
      </c>
      <c r="F2178">
        <f>IF(D2178="","",IF(E2178&lt;0,"VENCIDO",IF(E2178&lt;=30,"VENCE EM &lt;= 30 DIAS",IF(E2178&lt;=60,"ATENCAO (31-60 DIAS)","OK"))))</f>
        <v/>
      </c>
      <c r="G2178" s="13">
        <f>SUMIFS(Movimentacoes!$G:$G,Movimentacoes!$C:$C,$A2178,Movimentacoes!$E:$E,$C2178,Movimentacoes!$B:$B,"ENTRADA")</f>
        <v/>
      </c>
      <c r="H2178" s="13">
        <f>SUMIFS(Movimentacoes!$G:$G,Movimentacoes!$C:$C,$A2178,Movimentacoes!$E:$E,$C2178,Movimentacoes!$B:$B,"SAIDA_USO")</f>
        <v/>
      </c>
      <c r="I2178" s="13">
        <f>SUMIFS(Movimentacoes!$G:$G,Movimentacoes!$C:$C,$A2178,Movimentacoes!$E:$E,$C2178,Movimentacoes!$B:$B,"SAIDA_DESCARTE")</f>
        <v/>
      </c>
      <c r="J2178" s="13">
        <f>G2178-H2178-I2178</f>
        <v/>
      </c>
      <c r="K2178">
        <f>IF(A2178="","",IF(J2178&lt;=IFERROR(VLOOKUP(A2178,Cadastro_Produtos!$A:$E,5,FALSE),0),"ABAIXO DO MINIMO","OK"))</f>
        <v/>
      </c>
    </row>
    <row r="2179">
      <c r="B2179">
        <f>IFERROR(VLOOKUP(A2179,Cadastro_Produtos!A:B,2,FALSE),"")</f>
        <v/>
      </c>
      <c r="D2179" s="12" t="n"/>
      <c r="E2179" s="13">
        <f>IF(D2179="","",D2179-TODAY())</f>
        <v/>
      </c>
      <c r="F2179">
        <f>IF(D2179="","",IF(E2179&lt;0,"VENCIDO",IF(E2179&lt;=30,"VENCE EM &lt;= 30 DIAS",IF(E2179&lt;=60,"ATENCAO (31-60 DIAS)","OK"))))</f>
        <v/>
      </c>
      <c r="G2179" s="13">
        <f>SUMIFS(Movimentacoes!$G:$G,Movimentacoes!$C:$C,$A2179,Movimentacoes!$E:$E,$C2179,Movimentacoes!$B:$B,"ENTRADA")</f>
        <v/>
      </c>
      <c r="H2179" s="13">
        <f>SUMIFS(Movimentacoes!$G:$G,Movimentacoes!$C:$C,$A2179,Movimentacoes!$E:$E,$C2179,Movimentacoes!$B:$B,"SAIDA_USO")</f>
        <v/>
      </c>
      <c r="I2179" s="13">
        <f>SUMIFS(Movimentacoes!$G:$G,Movimentacoes!$C:$C,$A2179,Movimentacoes!$E:$E,$C2179,Movimentacoes!$B:$B,"SAIDA_DESCARTE")</f>
        <v/>
      </c>
      <c r="J2179" s="13">
        <f>G2179-H2179-I2179</f>
        <v/>
      </c>
      <c r="K2179">
        <f>IF(A2179="","",IF(J2179&lt;=IFERROR(VLOOKUP(A2179,Cadastro_Produtos!$A:$E,5,FALSE),0),"ABAIXO DO MINIMO","OK"))</f>
        <v/>
      </c>
    </row>
    <row r="2180">
      <c r="B2180">
        <f>IFERROR(VLOOKUP(A2180,Cadastro_Produtos!A:B,2,FALSE),"")</f>
        <v/>
      </c>
      <c r="D2180" s="12" t="n"/>
      <c r="E2180" s="13">
        <f>IF(D2180="","",D2180-TODAY())</f>
        <v/>
      </c>
      <c r="F2180">
        <f>IF(D2180="","",IF(E2180&lt;0,"VENCIDO",IF(E2180&lt;=30,"VENCE EM &lt;= 30 DIAS",IF(E2180&lt;=60,"ATENCAO (31-60 DIAS)","OK"))))</f>
        <v/>
      </c>
      <c r="G2180" s="13">
        <f>SUMIFS(Movimentacoes!$G:$G,Movimentacoes!$C:$C,$A2180,Movimentacoes!$E:$E,$C2180,Movimentacoes!$B:$B,"ENTRADA")</f>
        <v/>
      </c>
      <c r="H2180" s="13">
        <f>SUMIFS(Movimentacoes!$G:$G,Movimentacoes!$C:$C,$A2180,Movimentacoes!$E:$E,$C2180,Movimentacoes!$B:$B,"SAIDA_USO")</f>
        <v/>
      </c>
      <c r="I2180" s="13">
        <f>SUMIFS(Movimentacoes!$G:$G,Movimentacoes!$C:$C,$A2180,Movimentacoes!$E:$E,$C2180,Movimentacoes!$B:$B,"SAIDA_DESCARTE")</f>
        <v/>
      </c>
      <c r="J2180" s="13">
        <f>G2180-H2180-I2180</f>
        <v/>
      </c>
      <c r="K2180">
        <f>IF(A2180="","",IF(J2180&lt;=IFERROR(VLOOKUP(A2180,Cadastro_Produtos!$A:$E,5,FALSE),0),"ABAIXO DO MINIMO","OK"))</f>
        <v/>
      </c>
    </row>
    <row r="2181">
      <c r="B2181">
        <f>IFERROR(VLOOKUP(A2181,Cadastro_Produtos!A:B,2,FALSE),"")</f>
        <v/>
      </c>
      <c r="D2181" s="12" t="n"/>
      <c r="E2181" s="13">
        <f>IF(D2181="","",D2181-TODAY())</f>
        <v/>
      </c>
      <c r="F2181">
        <f>IF(D2181="","",IF(E2181&lt;0,"VENCIDO",IF(E2181&lt;=30,"VENCE EM &lt;= 30 DIAS",IF(E2181&lt;=60,"ATENCAO (31-60 DIAS)","OK"))))</f>
        <v/>
      </c>
      <c r="G2181" s="13">
        <f>SUMIFS(Movimentacoes!$G:$G,Movimentacoes!$C:$C,$A2181,Movimentacoes!$E:$E,$C2181,Movimentacoes!$B:$B,"ENTRADA")</f>
        <v/>
      </c>
      <c r="H2181" s="13">
        <f>SUMIFS(Movimentacoes!$G:$G,Movimentacoes!$C:$C,$A2181,Movimentacoes!$E:$E,$C2181,Movimentacoes!$B:$B,"SAIDA_USO")</f>
        <v/>
      </c>
      <c r="I2181" s="13">
        <f>SUMIFS(Movimentacoes!$G:$G,Movimentacoes!$C:$C,$A2181,Movimentacoes!$E:$E,$C2181,Movimentacoes!$B:$B,"SAIDA_DESCARTE")</f>
        <v/>
      </c>
      <c r="J2181" s="13">
        <f>G2181-H2181-I2181</f>
        <v/>
      </c>
      <c r="K2181">
        <f>IF(A2181="","",IF(J2181&lt;=IFERROR(VLOOKUP(A2181,Cadastro_Produtos!$A:$E,5,FALSE),0),"ABAIXO DO MINIMO","OK"))</f>
        <v/>
      </c>
    </row>
    <row r="2182">
      <c r="B2182">
        <f>IFERROR(VLOOKUP(A2182,Cadastro_Produtos!A:B,2,FALSE),"")</f>
        <v/>
      </c>
      <c r="D2182" s="12" t="n"/>
      <c r="E2182" s="13">
        <f>IF(D2182="","",D2182-TODAY())</f>
        <v/>
      </c>
      <c r="F2182">
        <f>IF(D2182="","",IF(E2182&lt;0,"VENCIDO",IF(E2182&lt;=30,"VENCE EM &lt;= 30 DIAS",IF(E2182&lt;=60,"ATENCAO (31-60 DIAS)","OK"))))</f>
        <v/>
      </c>
      <c r="G2182" s="13">
        <f>SUMIFS(Movimentacoes!$G:$G,Movimentacoes!$C:$C,$A2182,Movimentacoes!$E:$E,$C2182,Movimentacoes!$B:$B,"ENTRADA")</f>
        <v/>
      </c>
      <c r="H2182" s="13">
        <f>SUMIFS(Movimentacoes!$G:$G,Movimentacoes!$C:$C,$A2182,Movimentacoes!$E:$E,$C2182,Movimentacoes!$B:$B,"SAIDA_USO")</f>
        <v/>
      </c>
      <c r="I2182" s="13">
        <f>SUMIFS(Movimentacoes!$G:$G,Movimentacoes!$C:$C,$A2182,Movimentacoes!$E:$E,$C2182,Movimentacoes!$B:$B,"SAIDA_DESCARTE")</f>
        <v/>
      </c>
      <c r="J2182" s="13">
        <f>G2182-H2182-I2182</f>
        <v/>
      </c>
      <c r="K2182">
        <f>IF(A2182="","",IF(J2182&lt;=IFERROR(VLOOKUP(A2182,Cadastro_Produtos!$A:$E,5,FALSE),0),"ABAIXO DO MINIMO","OK"))</f>
        <v/>
      </c>
    </row>
    <row r="2183">
      <c r="B2183">
        <f>IFERROR(VLOOKUP(A2183,Cadastro_Produtos!A:B,2,FALSE),"")</f>
        <v/>
      </c>
      <c r="D2183" s="12" t="n"/>
      <c r="E2183" s="13">
        <f>IF(D2183="","",D2183-TODAY())</f>
        <v/>
      </c>
      <c r="F2183">
        <f>IF(D2183="","",IF(E2183&lt;0,"VENCIDO",IF(E2183&lt;=30,"VENCE EM &lt;= 30 DIAS",IF(E2183&lt;=60,"ATENCAO (31-60 DIAS)","OK"))))</f>
        <v/>
      </c>
      <c r="G2183" s="13">
        <f>SUMIFS(Movimentacoes!$G:$G,Movimentacoes!$C:$C,$A2183,Movimentacoes!$E:$E,$C2183,Movimentacoes!$B:$B,"ENTRADA")</f>
        <v/>
      </c>
      <c r="H2183" s="13">
        <f>SUMIFS(Movimentacoes!$G:$G,Movimentacoes!$C:$C,$A2183,Movimentacoes!$E:$E,$C2183,Movimentacoes!$B:$B,"SAIDA_USO")</f>
        <v/>
      </c>
      <c r="I2183" s="13">
        <f>SUMIFS(Movimentacoes!$G:$G,Movimentacoes!$C:$C,$A2183,Movimentacoes!$E:$E,$C2183,Movimentacoes!$B:$B,"SAIDA_DESCARTE")</f>
        <v/>
      </c>
      <c r="J2183" s="13">
        <f>G2183-H2183-I2183</f>
        <v/>
      </c>
      <c r="K2183">
        <f>IF(A2183="","",IF(J2183&lt;=IFERROR(VLOOKUP(A2183,Cadastro_Produtos!$A:$E,5,FALSE),0),"ABAIXO DO MINIMO","OK"))</f>
        <v/>
      </c>
    </row>
    <row r="2184">
      <c r="B2184">
        <f>IFERROR(VLOOKUP(A2184,Cadastro_Produtos!A:B,2,FALSE),"")</f>
        <v/>
      </c>
      <c r="D2184" s="12" t="n"/>
      <c r="E2184" s="13">
        <f>IF(D2184="","",D2184-TODAY())</f>
        <v/>
      </c>
      <c r="F2184">
        <f>IF(D2184="","",IF(E2184&lt;0,"VENCIDO",IF(E2184&lt;=30,"VENCE EM &lt;= 30 DIAS",IF(E2184&lt;=60,"ATENCAO (31-60 DIAS)","OK"))))</f>
        <v/>
      </c>
      <c r="G2184" s="13">
        <f>SUMIFS(Movimentacoes!$G:$G,Movimentacoes!$C:$C,$A2184,Movimentacoes!$E:$E,$C2184,Movimentacoes!$B:$B,"ENTRADA")</f>
        <v/>
      </c>
      <c r="H2184" s="13">
        <f>SUMIFS(Movimentacoes!$G:$G,Movimentacoes!$C:$C,$A2184,Movimentacoes!$E:$E,$C2184,Movimentacoes!$B:$B,"SAIDA_USO")</f>
        <v/>
      </c>
      <c r="I2184" s="13">
        <f>SUMIFS(Movimentacoes!$G:$G,Movimentacoes!$C:$C,$A2184,Movimentacoes!$E:$E,$C2184,Movimentacoes!$B:$B,"SAIDA_DESCARTE")</f>
        <v/>
      </c>
      <c r="J2184" s="13">
        <f>G2184-H2184-I2184</f>
        <v/>
      </c>
      <c r="K2184">
        <f>IF(A2184="","",IF(J2184&lt;=IFERROR(VLOOKUP(A2184,Cadastro_Produtos!$A:$E,5,FALSE),0),"ABAIXO DO MINIMO","OK"))</f>
        <v/>
      </c>
    </row>
    <row r="2185">
      <c r="B2185">
        <f>IFERROR(VLOOKUP(A2185,Cadastro_Produtos!A:B,2,FALSE),"")</f>
        <v/>
      </c>
      <c r="D2185" s="12" t="n"/>
      <c r="E2185" s="13">
        <f>IF(D2185="","",D2185-TODAY())</f>
        <v/>
      </c>
      <c r="F2185">
        <f>IF(D2185="","",IF(E2185&lt;0,"VENCIDO",IF(E2185&lt;=30,"VENCE EM &lt;= 30 DIAS",IF(E2185&lt;=60,"ATENCAO (31-60 DIAS)","OK"))))</f>
        <v/>
      </c>
      <c r="G2185" s="13">
        <f>SUMIFS(Movimentacoes!$G:$G,Movimentacoes!$C:$C,$A2185,Movimentacoes!$E:$E,$C2185,Movimentacoes!$B:$B,"ENTRADA")</f>
        <v/>
      </c>
      <c r="H2185" s="13">
        <f>SUMIFS(Movimentacoes!$G:$G,Movimentacoes!$C:$C,$A2185,Movimentacoes!$E:$E,$C2185,Movimentacoes!$B:$B,"SAIDA_USO")</f>
        <v/>
      </c>
      <c r="I2185" s="13">
        <f>SUMIFS(Movimentacoes!$G:$G,Movimentacoes!$C:$C,$A2185,Movimentacoes!$E:$E,$C2185,Movimentacoes!$B:$B,"SAIDA_DESCARTE")</f>
        <v/>
      </c>
      <c r="J2185" s="13">
        <f>G2185-H2185-I2185</f>
        <v/>
      </c>
      <c r="K2185">
        <f>IF(A2185="","",IF(J2185&lt;=IFERROR(VLOOKUP(A2185,Cadastro_Produtos!$A:$E,5,FALSE),0),"ABAIXO DO MINIMO","OK"))</f>
        <v/>
      </c>
    </row>
    <row r="2186">
      <c r="B2186">
        <f>IFERROR(VLOOKUP(A2186,Cadastro_Produtos!A:B,2,FALSE),"")</f>
        <v/>
      </c>
      <c r="D2186" s="12" t="n"/>
      <c r="E2186" s="13">
        <f>IF(D2186="","",D2186-TODAY())</f>
        <v/>
      </c>
      <c r="F2186">
        <f>IF(D2186="","",IF(E2186&lt;0,"VENCIDO",IF(E2186&lt;=30,"VENCE EM &lt;= 30 DIAS",IF(E2186&lt;=60,"ATENCAO (31-60 DIAS)","OK"))))</f>
        <v/>
      </c>
      <c r="G2186" s="13">
        <f>SUMIFS(Movimentacoes!$G:$G,Movimentacoes!$C:$C,$A2186,Movimentacoes!$E:$E,$C2186,Movimentacoes!$B:$B,"ENTRADA")</f>
        <v/>
      </c>
      <c r="H2186" s="13">
        <f>SUMIFS(Movimentacoes!$G:$G,Movimentacoes!$C:$C,$A2186,Movimentacoes!$E:$E,$C2186,Movimentacoes!$B:$B,"SAIDA_USO")</f>
        <v/>
      </c>
      <c r="I2186" s="13">
        <f>SUMIFS(Movimentacoes!$G:$G,Movimentacoes!$C:$C,$A2186,Movimentacoes!$E:$E,$C2186,Movimentacoes!$B:$B,"SAIDA_DESCARTE")</f>
        <v/>
      </c>
      <c r="J2186" s="13">
        <f>G2186-H2186-I2186</f>
        <v/>
      </c>
      <c r="K2186">
        <f>IF(A2186="","",IF(J2186&lt;=IFERROR(VLOOKUP(A2186,Cadastro_Produtos!$A:$E,5,FALSE),0),"ABAIXO DO MINIMO","OK"))</f>
        <v/>
      </c>
    </row>
    <row r="2187">
      <c r="B2187">
        <f>IFERROR(VLOOKUP(A2187,Cadastro_Produtos!A:B,2,FALSE),"")</f>
        <v/>
      </c>
      <c r="D2187" s="12" t="n"/>
      <c r="E2187" s="13">
        <f>IF(D2187="","",D2187-TODAY())</f>
        <v/>
      </c>
      <c r="F2187">
        <f>IF(D2187="","",IF(E2187&lt;0,"VENCIDO",IF(E2187&lt;=30,"VENCE EM &lt;= 30 DIAS",IF(E2187&lt;=60,"ATENCAO (31-60 DIAS)","OK"))))</f>
        <v/>
      </c>
      <c r="G2187" s="13">
        <f>SUMIFS(Movimentacoes!$G:$G,Movimentacoes!$C:$C,$A2187,Movimentacoes!$E:$E,$C2187,Movimentacoes!$B:$B,"ENTRADA")</f>
        <v/>
      </c>
      <c r="H2187" s="13">
        <f>SUMIFS(Movimentacoes!$G:$G,Movimentacoes!$C:$C,$A2187,Movimentacoes!$E:$E,$C2187,Movimentacoes!$B:$B,"SAIDA_USO")</f>
        <v/>
      </c>
      <c r="I2187" s="13">
        <f>SUMIFS(Movimentacoes!$G:$G,Movimentacoes!$C:$C,$A2187,Movimentacoes!$E:$E,$C2187,Movimentacoes!$B:$B,"SAIDA_DESCARTE")</f>
        <v/>
      </c>
      <c r="J2187" s="13">
        <f>G2187-H2187-I2187</f>
        <v/>
      </c>
      <c r="K2187">
        <f>IF(A2187="","",IF(J2187&lt;=IFERROR(VLOOKUP(A2187,Cadastro_Produtos!$A:$E,5,FALSE),0),"ABAIXO DO MINIMO","OK"))</f>
        <v/>
      </c>
    </row>
    <row r="2188">
      <c r="B2188">
        <f>IFERROR(VLOOKUP(A2188,Cadastro_Produtos!A:B,2,FALSE),"")</f>
        <v/>
      </c>
      <c r="D2188" s="12" t="n"/>
      <c r="E2188" s="13">
        <f>IF(D2188="","",D2188-TODAY())</f>
        <v/>
      </c>
      <c r="F2188">
        <f>IF(D2188="","",IF(E2188&lt;0,"VENCIDO",IF(E2188&lt;=30,"VENCE EM &lt;= 30 DIAS",IF(E2188&lt;=60,"ATENCAO (31-60 DIAS)","OK"))))</f>
        <v/>
      </c>
      <c r="G2188" s="13">
        <f>SUMIFS(Movimentacoes!$G:$G,Movimentacoes!$C:$C,$A2188,Movimentacoes!$E:$E,$C2188,Movimentacoes!$B:$B,"ENTRADA")</f>
        <v/>
      </c>
      <c r="H2188" s="13">
        <f>SUMIFS(Movimentacoes!$G:$G,Movimentacoes!$C:$C,$A2188,Movimentacoes!$E:$E,$C2188,Movimentacoes!$B:$B,"SAIDA_USO")</f>
        <v/>
      </c>
      <c r="I2188" s="13">
        <f>SUMIFS(Movimentacoes!$G:$G,Movimentacoes!$C:$C,$A2188,Movimentacoes!$E:$E,$C2188,Movimentacoes!$B:$B,"SAIDA_DESCARTE")</f>
        <v/>
      </c>
      <c r="J2188" s="13">
        <f>G2188-H2188-I2188</f>
        <v/>
      </c>
      <c r="K2188">
        <f>IF(A2188="","",IF(J2188&lt;=IFERROR(VLOOKUP(A2188,Cadastro_Produtos!$A:$E,5,FALSE),0),"ABAIXO DO MINIMO","OK"))</f>
        <v/>
      </c>
    </row>
    <row r="2189">
      <c r="B2189">
        <f>IFERROR(VLOOKUP(A2189,Cadastro_Produtos!A:B,2,FALSE),"")</f>
        <v/>
      </c>
      <c r="D2189" s="12" t="n"/>
      <c r="E2189" s="13">
        <f>IF(D2189="","",D2189-TODAY())</f>
        <v/>
      </c>
      <c r="F2189">
        <f>IF(D2189="","",IF(E2189&lt;0,"VENCIDO",IF(E2189&lt;=30,"VENCE EM &lt;= 30 DIAS",IF(E2189&lt;=60,"ATENCAO (31-60 DIAS)","OK"))))</f>
        <v/>
      </c>
      <c r="G2189" s="13">
        <f>SUMIFS(Movimentacoes!$G:$G,Movimentacoes!$C:$C,$A2189,Movimentacoes!$E:$E,$C2189,Movimentacoes!$B:$B,"ENTRADA")</f>
        <v/>
      </c>
      <c r="H2189" s="13">
        <f>SUMIFS(Movimentacoes!$G:$G,Movimentacoes!$C:$C,$A2189,Movimentacoes!$E:$E,$C2189,Movimentacoes!$B:$B,"SAIDA_USO")</f>
        <v/>
      </c>
      <c r="I2189" s="13">
        <f>SUMIFS(Movimentacoes!$G:$G,Movimentacoes!$C:$C,$A2189,Movimentacoes!$E:$E,$C2189,Movimentacoes!$B:$B,"SAIDA_DESCARTE")</f>
        <v/>
      </c>
      <c r="J2189" s="13">
        <f>G2189-H2189-I2189</f>
        <v/>
      </c>
      <c r="K2189">
        <f>IF(A2189="","",IF(J2189&lt;=IFERROR(VLOOKUP(A2189,Cadastro_Produtos!$A:$E,5,FALSE),0),"ABAIXO DO MINIMO","OK"))</f>
        <v/>
      </c>
    </row>
    <row r="2190">
      <c r="B2190">
        <f>IFERROR(VLOOKUP(A2190,Cadastro_Produtos!A:B,2,FALSE),"")</f>
        <v/>
      </c>
      <c r="D2190" s="12" t="n"/>
      <c r="E2190" s="13">
        <f>IF(D2190="","",D2190-TODAY())</f>
        <v/>
      </c>
      <c r="F2190">
        <f>IF(D2190="","",IF(E2190&lt;0,"VENCIDO",IF(E2190&lt;=30,"VENCE EM &lt;= 30 DIAS",IF(E2190&lt;=60,"ATENCAO (31-60 DIAS)","OK"))))</f>
        <v/>
      </c>
      <c r="G2190" s="13">
        <f>SUMIFS(Movimentacoes!$G:$G,Movimentacoes!$C:$C,$A2190,Movimentacoes!$E:$E,$C2190,Movimentacoes!$B:$B,"ENTRADA")</f>
        <v/>
      </c>
      <c r="H2190" s="13">
        <f>SUMIFS(Movimentacoes!$G:$G,Movimentacoes!$C:$C,$A2190,Movimentacoes!$E:$E,$C2190,Movimentacoes!$B:$B,"SAIDA_USO")</f>
        <v/>
      </c>
      <c r="I2190" s="13">
        <f>SUMIFS(Movimentacoes!$G:$G,Movimentacoes!$C:$C,$A2190,Movimentacoes!$E:$E,$C2190,Movimentacoes!$B:$B,"SAIDA_DESCARTE")</f>
        <v/>
      </c>
      <c r="J2190" s="13">
        <f>G2190-H2190-I2190</f>
        <v/>
      </c>
      <c r="K2190">
        <f>IF(A2190="","",IF(J2190&lt;=IFERROR(VLOOKUP(A2190,Cadastro_Produtos!$A:$E,5,FALSE),0),"ABAIXO DO MINIMO","OK"))</f>
        <v/>
      </c>
    </row>
    <row r="2191">
      <c r="B2191">
        <f>IFERROR(VLOOKUP(A2191,Cadastro_Produtos!A:B,2,FALSE),"")</f>
        <v/>
      </c>
      <c r="D2191" s="12" t="n"/>
      <c r="E2191" s="13">
        <f>IF(D2191="","",D2191-TODAY())</f>
        <v/>
      </c>
      <c r="F2191">
        <f>IF(D2191="","",IF(E2191&lt;0,"VENCIDO",IF(E2191&lt;=30,"VENCE EM &lt;= 30 DIAS",IF(E2191&lt;=60,"ATENCAO (31-60 DIAS)","OK"))))</f>
        <v/>
      </c>
      <c r="G2191" s="13">
        <f>SUMIFS(Movimentacoes!$G:$G,Movimentacoes!$C:$C,$A2191,Movimentacoes!$E:$E,$C2191,Movimentacoes!$B:$B,"ENTRADA")</f>
        <v/>
      </c>
      <c r="H2191" s="13">
        <f>SUMIFS(Movimentacoes!$G:$G,Movimentacoes!$C:$C,$A2191,Movimentacoes!$E:$E,$C2191,Movimentacoes!$B:$B,"SAIDA_USO")</f>
        <v/>
      </c>
      <c r="I2191" s="13">
        <f>SUMIFS(Movimentacoes!$G:$G,Movimentacoes!$C:$C,$A2191,Movimentacoes!$E:$E,$C2191,Movimentacoes!$B:$B,"SAIDA_DESCARTE")</f>
        <v/>
      </c>
      <c r="J2191" s="13">
        <f>G2191-H2191-I2191</f>
        <v/>
      </c>
      <c r="K2191">
        <f>IF(A2191="","",IF(J2191&lt;=IFERROR(VLOOKUP(A2191,Cadastro_Produtos!$A:$E,5,FALSE),0),"ABAIXO DO MINIMO","OK"))</f>
        <v/>
      </c>
    </row>
    <row r="2192">
      <c r="B2192">
        <f>IFERROR(VLOOKUP(A2192,Cadastro_Produtos!A:B,2,FALSE),"")</f>
        <v/>
      </c>
      <c r="D2192" s="12" t="n"/>
      <c r="E2192" s="13">
        <f>IF(D2192="","",D2192-TODAY())</f>
        <v/>
      </c>
      <c r="F2192">
        <f>IF(D2192="","",IF(E2192&lt;0,"VENCIDO",IF(E2192&lt;=30,"VENCE EM &lt;= 30 DIAS",IF(E2192&lt;=60,"ATENCAO (31-60 DIAS)","OK"))))</f>
        <v/>
      </c>
      <c r="G2192" s="13">
        <f>SUMIFS(Movimentacoes!$G:$G,Movimentacoes!$C:$C,$A2192,Movimentacoes!$E:$E,$C2192,Movimentacoes!$B:$B,"ENTRADA")</f>
        <v/>
      </c>
      <c r="H2192" s="13">
        <f>SUMIFS(Movimentacoes!$G:$G,Movimentacoes!$C:$C,$A2192,Movimentacoes!$E:$E,$C2192,Movimentacoes!$B:$B,"SAIDA_USO")</f>
        <v/>
      </c>
      <c r="I2192" s="13">
        <f>SUMIFS(Movimentacoes!$G:$G,Movimentacoes!$C:$C,$A2192,Movimentacoes!$E:$E,$C2192,Movimentacoes!$B:$B,"SAIDA_DESCARTE")</f>
        <v/>
      </c>
      <c r="J2192" s="13">
        <f>G2192-H2192-I2192</f>
        <v/>
      </c>
      <c r="K2192">
        <f>IF(A2192="","",IF(J2192&lt;=IFERROR(VLOOKUP(A2192,Cadastro_Produtos!$A:$E,5,FALSE),0),"ABAIXO DO MINIMO","OK"))</f>
        <v/>
      </c>
    </row>
    <row r="2193">
      <c r="B2193">
        <f>IFERROR(VLOOKUP(A2193,Cadastro_Produtos!A:B,2,FALSE),"")</f>
        <v/>
      </c>
      <c r="D2193" s="12" t="n"/>
      <c r="E2193" s="13">
        <f>IF(D2193="","",D2193-TODAY())</f>
        <v/>
      </c>
      <c r="F2193">
        <f>IF(D2193="","",IF(E2193&lt;0,"VENCIDO",IF(E2193&lt;=30,"VENCE EM &lt;= 30 DIAS",IF(E2193&lt;=60,"ATENCAO (31-60 DIAS)","OK"))))</f>
        <v/>
      </c>
      <c r="G2193" s="13">
        <f>SUMIFS(Movimentacoes!$G:$G,Movimentacoes!$C:$C,$A2193,Movimentacoes!$E:$E,$C2193,Movimentacoes!$B:$B,"ENTRADA")</f>
        <v/>
      </c>
      <c r="H2193" s="13">
        <f>SUMIFS(Movimentacoes!$G:$G,Movimentacoes!$C:$C,$A2193,Movimentacoes!$E:$E,$C2193,Movimentacoes!$B:$B,"SAIDA_USO")</f>
        <v/>
      </c>
      <c r="I2193" s="13">
        <f>SUMIFS(Movimentacoes!$G:$G,Movimentacoes!$C:$C,$A2193,Movimentacoes!$E:$E,$C2193,Movimentacoes!$B:$B,"SAIDA_DESCARTE")</f>
        <v/>
      </c>
      <c r="J2193" s="13">
        <f>G2193-H2193-I2193</f>
        <v/>
      </c>
      <c r="K2193">
        <f>IF(A2193="","",IF(J2193&lt;=IFERROR(VLOOKUP(A2193,Cadastro_Produtos!$A:$E,5,FALSE),0),"ABAIXO DO MINIMO","OK"))</f>
        <v/>
      </c>
    </row>
    <row r="2194">
      <c r="B2194">
        <f>IFERROR(VLOOKUP(A2194,Cadastro_Produtos!A:B,2,FALSE),"")</f>
        <v/>
      </c>
      <c r="D2194" s="12" t="n"/>
      <c r="E2194" s="13">
        <f>IF(D2194="","",D2194-TODAY())</f>
        <v/>
      </c>
      <c r="F2194">
        <f>IF(D2194="","",IF(E2194&lt;0,"VENCIDO",IF(E2194&lt;=30,"VENCE EM &lt;= 30 DIAS",IF(E2194&lt;=60,"ATENCAO (31-60 DIAS)","OK"))))</f>
        <v/>
      </c>
      <c r="G2194" s="13">
        <f>SUMIFS(Movimentacoes!$G:$G,Movimentacoes!$C:$C,$A2194,Movimentacoes!$E:$E,$C2194,Movimentacoes!$B:$B,"ENTRADA")</f>
        <v/>
      </c>
      <c r="H2194" s="13">
        <f>SUMIFS(Movimentacoes!$G:$G,Movimentacoes!$C:$C,$A2194,Movimentacoes!$E:$E,$C2194,Movimentacoes!$B:$B,"SAIDA_USO")</f>
        <v/>
      </c>
      <c r="I2194" s="13">
        <f>SUMIFS(Movimentacoes!$G:$G,Movimentacoes!$C:$C,$A2194,Movimentacoes!$E:$E,$C2194,Movimentacoes!$B:$B,"SAIDA_DESCARTE")</f>
        <v/>
      </c>
      <c r="J2194" s="13">
        <f>G2194-H2194-I2194</f>
        <v/>
      </c>
      <c r="K2194">
        <f>IF(A2194="","",IF(J2194&lt;=IFERROR(VLOOKUP(A2194,Cadastro_Produtos!$A:$E,5,FALSE),0),"ABAIXO DO MINIMO","OK"))</f>
        <v/>
      </c>
    </row>
    <row r="2195">
      <c r="B2195">
        <f>IFERROR(VLOOKUP(A2195,Cadastro_Produtos!A:B,2,FALSE),"")</f>
        <v/>
      </c>
      <c r="D2195" s="12" t="n"/>
      <c r="E2195" s="13">
        <f>IF(D2195="","",D2195-TODAY())</f>
        <v/>
      </c>
      <c r="F2195">
        <f>IF(D2195="","",IF(E2195&lt;0,"VENCIDO",IF(E2195&lt;=30,"VENCE EM &lt;= 30 DIAS",IF(E2195&lt;=60,"ATENCAO (31-60 DIAS)","OK"))))</f>
        <v/>
      </c>
      <c r="G2195" s="13">
        <f>SUMIFS(Movimentacoes!$G:$G,Movimentacoes!$C:$C,$A2195,Movimentacoes!$E:$E,$C2195,Movimentacoes!$B:$B,"ENTRADA")</f>
        <v/>
      </c>
      <c r="H2195" s="13">
        <f>SUMIFS(Movimentacoes!$G:$G,Movimentacoes!$C:$C,$A2195,Movimentacoes!$E:$E,$C2195,Movimentacoes!$B:$B,"SAIDA_USO")</f>
        <v/>
      </c>
      <c r="I2195" s="13">
        <f>SUMIFS(Movimentacoes!$G:$G,Movimentacoes!$C:$C,$A2195,Movimentacoes!$E:$E,$C2195,Movimentacoes!$B:$B,"SAIDA_DESCARTE")</f>
        <v/>
      </c>
      <c r="J2195" s="13">
        <f>G2195-H2195-I2195</f>
        <v/>
      </c>
      <c r="K2195">
        <f>IF(A2195="","",IF(J2195&lt;=IFERROR(VLOOKUP(A2195,Cadastro_Produtos!$A:$E,5,FALSE),0),"ABAIXO DO MINIMO","OK"))</f>
        <v/>
      </c>
    </row>
    <row r="2196">
      <c r="B2196">
        <f>IFERROR(VLOOKUP(A2196,Cadastro_Produtos!A:B,2,FALSE),"")</f>
        <v/>
      </c>
      <c r="D2196" s="12" t="n"/>
      <c r="E2196" s="13">
        <f>IF(D2196="","",D2196-TODAY())</f>
        <v/>
      </c>
      <c r="F2196">
        <f>IF(D2196="","",IF(E2196&lt;0,"VENCIDO",IF(E2196&lt;=30,"VENCE EM &lt;= 30 DIAS",IF(E2196&lt;=60,"ATENCAO (31-60 DIAS)","OK"))))</f>
        <v/>
      </c>
      <c r="G2196" s="13">
        <f>SUMIFS(Movimentacoes!$G:$G,Movimentacoes!$C:$C,$A2196,Movimentacoes!$E:$E,$C2196,Movimentacoes!$B:$B,"ENTRADA")</f>
        <v/>
      </c>
      <c r="H2196" s="13">
        <f>SUMIFS(Movimentacoes!$G:$G,Movimentacoes!$C:$C,$A2196,Movimentacoes!$E:$E,$C2196,Movimentacoes!$B:$B,"SAIDA_USO")</f>
        <v/>
      </c>
      <c r="I2196" s="13">
        <f>SUMIFS(Movimentacoes!$G:$G,Movimentacoes!$C:$C,$A2196,Movimentacoes!$E:$E,$C2196,Movimentacoes!$B:$B,"SAIDA_DESCARTE")</f>
        <v/>
      </c>
      <c r="J2196" s="13">
        <f>G2196-H2196-I2196</f>
        <v/>
      </c>
      <c r="K2196">
        <f>IF(A2196="","",IF(J2196&lt;=IFERROR(VLOOKUP(A2196,Cadastro_Produtos!$A:$E,5,FALSE),0),"ABAIXO DO MINIMO","OK"))</f>
        <v/>
      </c>
    </row>
    <row r="2197">
      <c r="B2197">
        <f>IFERROR(VLOOKUP(A2197,Cadastro_Produtos!A:B,2,FALSE),"")</f>
        <v/>
      </c>
      <c r="D2197" s="12" t="n"/>
      <c r="E2197" s="13">
        <f>IF(D2197="","",D2197-TODAY())</f>
        <v/>
      </c>
      <c r="F2197">
        <f>IF(D2197="","",IF(E2197&lt;0,"VENCIDO",IF(E2197&lt;=30,"VENCE EM &lt;= 30 DIAS",IF(E2197&lt;=60,"ATENCAO (31-60 DIAS)","OK"))))</f>
        <v/>
      </c>
      <c r="G2197" s="13">
        <f>SUMIFS(Movimentacoes!$G:$G,Movimentacoes!$C:$C,$A2197,Movimentacoes!$E:$E,$C2197,Movimentacoes!$B:$B,"ENTRADA")</f>
        <v/>
      </c>
      <c r="H2197" s="13">
        <f>SUMIFS(Movimentacoes!$G:$G,Movimentacoes!$C:$C,$A2197,Movimentacoes!$E:$E,$C2197,Movimentacoes!$B:$B,"SAIDA_USO")</f>
        <v/>
      </c>
      <c r="I2197" s="13">
        <f>SUMIFS(Movimentacoes!$G:$G,Movimentacoes!$C:$C,$A2197,Movimentacoes!$E:$E,$C2197,Movimentacoes!$B:$B,"SAIDA_DESCARTE")</f>
        <v/>
      </c>
      <c r="J2197" s="13">
        <f>G2197-H2197-I2197</f>
        <v/>
      </c>
      <c r="K2197">
        <f>IF(A2197="","",IF(J2197&lt;=IFERROR(VLOOKUP(A2197,Cadastro_Produtos!$A:$E,5,FALSE),0),"ABAIXO DO MINIMO","OK"))</f>
        <v/>
      </c>
    </row>
    <row r="2198">
      <c r="B2198">
        <f>IFERROR(VLOOKUP(A2198,Cadastro_Produtos!A:B,2,FALSE),"")</f>
        <v/>
      </c>
      <c r="D2198" s="12" t="n"/>
      <c r="E2198" s="13">
        <f>IF(D2198="","",D2198-TODAY())</f>
        <v/>
      </c>
      <c r="F2198">
        <f>IF(D2198="","",IF(E2198&lt;0,"VENCIDO",IF(E2198&lt;=30,"VENCE EM &lt;= 30 DIAS",IF(E2198&lt;=60,"ATENCAO (31-60 DIAS)","OK"))))</f>
        <v/>
      </c>
      <c r="G2198" s="13">
        <f>SUMIFS(Movimentacoes!$G:$G,Movimentacoes!$C:$C,$A2198,Movimentacoes!$E:$E,$C2198,Movimentacoes!$B:$B,"ENTRADA")</f>
        <v/>
      </c>
      <c r="H2198" s="13">
        <f>SUMIFS(Movimentacoes!$G:$G,Movimentacoes!$C:$C,$A2198,Movimentacoes!$E:$E,$C2198,Movimentacoes!$B:$B,"SAIDA_USO")</f>
        <v/>
      </c>
      <c r="I2198" s="13">
        <f>SUMIFS(Movimentacoes!$G:$G,Movimentacoes!$C:$C,$A2198,Movimentacoes!$E:$E,$C2198,Movimentacoes!$B:$B,"SAIDA_DESCARTE")</f>
        <v/>
      </c>
      <c r="J2198" s="13">
        <f>G2198-H2198-I2198</f>
        <v/>
      </c>
      <c r="K2198">
        <f>IF(A2198="","",IF(J2198&lt;=IFERROR(VLOOKUP(A2198,Cadastro_Produtos!$A:$E,5,FALSE),0),"ABAIXO DO MINIMO","OK"))</f>
        <v/>
      </c>
    </row>
    <row r="2199">
      <c r="B2199">
        <f>IFERROR(VLOOKUP(A2199,Cadastro_Produtos!A:B,2,FALSE),"")</f>
        <v/>
      </c>
      <c r="D2199" s="12" t="n"/>
      <c r="E2199" s="13">
        <f>IF(D2199="","",D2199-TODAY())</f>
        <v/>
      </c>
      <c r="F2199">
        <f>IF(D2199="","",IF(E2199&lt;0,"VENCIDO",IF(E2199&lt;=30,"VENCE EM &lt;= 30 DIAS",IF(E2199&lt;=60,"ATENCAO (31-60 DIAS)","OK"))))</f>
        <v/>
      </c>
      <c r="G2199" s="13">
        <f>SUMIFS(Movimentacoes!$G:$G,Movimentacoes!$C:$C,$A2199,Movimentacoes!$E:$E,$C2199,Movimentacoes!$B:$B,"ENTRADA")</f>
        <v/>
      </c>
      <c r="H2199" s="13">
        <f>SUMIFS(Movimentacoes!$G:$G,Movimentacoes!$C:$C,$A2199,Movimentacoes!$E:$E,$C2199,Movimentacoes!$B:$B,"SAIDA_USO")</f>
        <v/>
      </c>
      <c r="I2199" s="13">
        <f>SUMIFS(Movimentacoes!$G:$G,Movimentacoes!$C:$C,$A2199,Movimentacoes!$E:$E,$C2199,Movimentacoes!$B:$B,"SAIDA_DESCARTE")</f>
        <v/>
      </c>
      <c r="J2199" s="13">
        <f>G2199-H2199-I2199</f>
        <v/>
      </c>
      <c r="K2199">
        <f>IF(A2199="","",IF(J2199&lt;=IFERROR(VLOOKUP(A2199,Cadastro_Produtos!$A:$E,5,FALSE),0),"ABAIXO DO MINIMO","OK"))</f>
        <v/>
      </c>
    </row>
    <row r="2200">
      <c r="B2200">
        <f>IFERROR(VLOOKUP(A2200,Cadastro_Produtos!A:B,2,FALSE),"")</f>
        <v/>
      </c>
      <c r="D2200" s="12" t="n"/>
      <c r="E2200" s="13">
        <f>IF(D2200="","",D2200-TODAY())</f>
        <v/>
      </c>
      <c r="F2200">
        <f>IF(D2200="","",IF(E2200&lt;0,"VENCIDO",IF(E2200&lt;=30,"VENCE EM &lt;= 30 DIAS",IF(E2200&lt;=60,"ATENCAO (31-60 DIAS)","OK"))))</f>
        <v/>
      </c>
      <c r="G2200" s="13">
        <f>SUMIFS(Movimentacoes!$G:$G,Movimentacoes!$C:$C,$A2200,Movimentacoes!$E:$E,$C2200,Movimentacoes!$B:$B,"ENTRADA")</f>
        <v/>
      </c>
      <c r="H2200" s="13">
        <f>SUMIFS(Movimentacoes!$G:$G,Movimentacoes!$C:$C,$A2200,Movimentacoes!$E:$E,$C2200,Movimentacoes!$B:$B,"SAIDA_USO")</f>
        <v/>
      </c>
      <c r="I2200" s="13">
        <f>SUMIFS(Movimentacoes!$G:$G,Movimentacoes!$C:$C,$A2200,Movimentacoes!$E:$E,$C2200,Movimentacoes!$B:$B,"SAIDA_DESCARTE")</f>
        <v/>
      </c>
      <c r="J2200" s="13">
        <f>G2200-H2200-I2200</f>
        <v/>
      </c>
      <c r="K2200">
        <f>IF(A2200="","",IF(J2200&lt;=IFERROR(VLOOKUP(A2200,Cadastro_Produtos!$A:$E,5,FALSE),0),"ABAIXO DO MINIMO","OK"))</f>
        <v/>
      </c>
    </row>
    <row r="2201">
      <c r="B2201">
        <f>IFERROR(VLOOKUP(A2201,Cadastro_Produtos!A:B,2,FALSE),"")</f>
        <v/>
      </c>
      <c r="D2201" s="12" t="n"/>
      <c r="E2201" s="13">
        <f>IF(D2201="","",D2201-TODAY())</f>
        <v/>
      </c>
      <c r="F2201">
        <f>IF(D2201="","",IF(E2201&lt;0,"VENCIDO",IF(E2201&lt;=30,"VENCE EM &lt;= 30 DIAS",IF(E2201&lt;=60,"ATENCAO (31-60 DIAS)","OK"))))</f>
        <v/>
      </c>
      <c r="G2201" s="13">
        <f>SUMIFS(Movimentacoes!$G:$G,Movimentacoes!$C:$C,$A2201,Movimentacoes!$E:$E,$C2201,Movimentacoes!$B:$B,"ENTRADA")</f>
        <v/>
      </c>
      <c r="H2201" s="13">
        <f>SUMIFS(Movimentacoes!$G:$G,Movimentacoes!$C:$C,$A2201,Movimentacoes!$E:$E,$C2201,Movimentacoes!$B:$B,"SAIDA_USO")</f>
        <v/>
      </c>
      <c r="I2201" s="13">
        <f>SUMIFS(Movimentacoes!$G:$G,Movimentacoes!$C:$C,$A2201,Movimentacoes!$E:$E,$C2201,Movimentacoes!$B:$B,"SAIDA_DESCARTE")</f>
        <v/>
      </c>
      <c r="J2201" s="13">
        <f>G2201-H2201-I2201</f>
        <v/>
      </c>
      <c r="K2201">
        <f>IF(A2201="","",IF(J2201&lt;=IFERROR(VLOOKUP(A2201,Cadastro_Produtos!$A:$E,5,FALSE),0),"ABAIXO DO MINIMO","OK"))</f>
        <v/>
      </c>
    </row>
    <row r="2202">
      <c r="B2202">
        <f>IFERROR(VLOOKUP(A2202,Cadastro_Produtos!A:B,2,FALSE),"")</f>
        <v/>
      </c>
      <c r="D2202" s="12" t="n"/>
      <c r="E2202" s="13">
        <f>IF(D2202="","",D2202-TODAY())</f>
        <v/>
      </c>
      <c r="F2202">
        <f>IF(D2202="","",IF(E2202&lt;0,"VENCIDO",IF(E2202&lt;=30,"VENCE EM &lt;= 30 DIAS",IF(E2202&lt;=60,"ATENCAO (31-60 DIAS)","OK"))))</f>
        <v/>
      </c>
      <c r="G2202" s="13">
        <f>SUMIFS(Movimentacoes!$G:$G,Movimentacoes!$C:$C,$A2202,Movimentacoes!$E:$E,$C2202,Movimentacoes!$B:$B,"ENTRADA")</f>
        <v/>
      </c>
      <c r="H2202" s="13">
        <f>SUMIFS(Movimentacoes!$G:$G,Movimentacoes!$C:$C,$A2202,Movimentacoes!$E:$E,$C2202,Movimentacoes!$B:$B,"SAIDA_USO")</f>
        <v/>
      </c>
      <c r="I2202" s="13">
        <f>SUMIFS(Movimentacoes!$G:$G,Movimentacoes!$C:$C,$A2202,Movimentacoes!$E:$E,$C2202,Movimentacoes!$B:$B,"SAIDA_DESCARTE")</f>
        <v/>
      </c>
      <c r="J2202" s="13">
        <f>G2202-H2202-I2202</f>
        <v/>
      </c>
      <c r="K2202">
        <f>IF(A2202="","",IF(J2202&lt;=IFERROR(VLOOKUP(A2202,Cadastro_Produtos!$A:$E,5,FALSE),0),"ABAIXO DO MINIMO","OK"))</f>
        <v/>
      </c>
    </row>
    <row r="2203">
      <c r="B2203">
        <f>IFERROR(VLOOKUP(A2203,Cadastro_Produtos!A:B,2,FALSE),"")</f>
        <v/>
      </c>
      <c r="D2203" s="12" t="n"/>
      <c r="E2203" s="13">
        <f>IF(D2203="","",D2203-TODAY())</f>
        <v/>
      </c>
      <c r="F2203">
        <f>IF(D2203="","",IF(E2203&lt;0,"VENCIDO",IF(E2203&lt;=30,"VENCE EM &lt;= 30 DIAS",IF(E2203&lt;=60,"ATENCAO (31-60 DIAS)","OK"))))</f>
        <v/>
      </c>
      <c r="G2203" s="13">
        <f>SUMIFS(Movimentacoes!$G:$G,Movimentacoes!$C:$C,$A2203,Movimentacoes!$E:$E,$C2203,Movimentacoes!$B:$B,"ENTRADA")</f>
        <v/>
      </c>
      <c r="H2203" s="13">
        <f>SUMIFS(Movimentacoes!$G:$G,Movimentacoes!$C:$C,$A2203,Movimentacoes!$E:$E,$C2203,Movimentacoes!$B:$B,"SAIDA_USO")</f>
        <v/>
      </c>
      <c r="I2203" s="13">
        <f>SUMIFS(Movimentacoes!$G:$G,Movimentacoes!$C:$C,$A2203,Movimentacoes!$E:$E,$C2203,Movimentacoes!$B:$B,"SAIDA_DESCARTE")</f>
        <v/>
      </c>
      <c r="J2203" s="13">
        <f>G2203-H2203-I2203</f>
        <v/>
      </c>
      <c r="K2203">
        <f>IF(A2203="","",IF(J2203&lt;=IFERROR(VLOOKUP(A2203,Cadastro_Produtos!$A:$E,5,FALSE),0),"ABAIXO DO MINIMO","OK"))</f>
        <v/>
      </c>
    </row>
    <row r="2204">
      <c r="B2204">
        <f>IFERROR(VLOOKUP(A2204,Cadastro_Produtos!A:B,2,FALSE),"")</f>
        <v/>
      </c>
      <c r="D2204" s="12" t="n"/>
      <c r="E2204" s="13">
        <f>IF(D2204="","",D2204-TODAY())</f>
        <v/>
      </c>
      <c r="F2204">
        <f>IF(D2204="","",IF(E2204&lt;0,"VENCIDO",IF(E2204&lt;=30,"VENCE EM &lt;= 30 DIAS",IF(E2204&lt;=60,"ATENCAO (31-60 DIAS)","OK"))))</f>
        <v/>
      </c>
      <c r="G2204" s="13">
        <f>SUMIFS(Movimentacoes!$G:$G,Movimentacoes!$C:$C,$A2204,Movimentacoes!$E:$E,$C2204,Movimentacoes!$B:$B,"ENTRADA")</f>
        <v/>
      </c>
      <c r="H2204" s="13">
        <f>SUMIFS(Movimentacoes!$G:$G,Movimentacoes!$C:$C,$A2204,Movimentacoes!$E:$E,$C2204,Movimentacoes!$B:$B,"SAIDA_USO")</f>
        <v/>
      </c>
      <c r="I2204" s="13">
        <f>SUMIFS(Movimentacoes!$G:$G,Movimentacoes!$C:$C,$A2204,Movimentacoes!$E:$E,$C2204,Movimentacoes!$B:$B,"SAIDA_DESCARTE")</f>
        <v/>
      </c>
      <c r="J2204" s="13">
        <f>G2204-H2204-I2204</f>
        <v/>
      </c>
      <c r="K2204">
        <f>IF(A2204="","",IF(J2204&lt;=IFERROR(VLOOKUP(A2204,Cadastro_Produtos!$A:$E,5,FALSE),0),"ABAIXO DO MINIMO","OK"))</f>
        <v/>
      </c>
    </row>
    <row r="2205">
      <c r="B2205">
        <f>IFERROR(VLOOKUP(A2205,Cadastro_Produtos!A:B,2,FALSE),"")</f>
        <v/>
      </c>
      <c r="D2205" s="12" t="n"/>
      <c r="E2205" s="13">
        <f>IF(D2205="","",D2205-TODAY())</f>
        <v/>
      </c>
      <c r="F2205">
        <f>IF(D2205="","",IF(E2205&lt;0,"VENCIDO",IF(E2205&lt;=30,"VENCE EM &lt;= 30 DIAS",IF(E2205&lt;=60,"ATENCAO (31-60 DIAS)","OK"))))</f>
        <v/>
      </c>
      <c r="G2205" s="13">
        <f>SUMIFS(Movimentacoes!$G:$G,Movimentacoes!$C:$C,$A2205,Movimentacoes!$E:$E,$C2205,Movimentacoes!$B:$B,"ENTRADA")</f>
        <v/>
      </c>
      <c r="H2205" s="13">
        <f>SUMIFS(Movimentacoes!$G:$G,Movimentacoes!$C:$C,$A2205,Movimentacoes!$E:$E,$C2205,Movimentacoes!$B:$B,"SAIDA_USO")</f>
        <v/>
      </c>
      <c r="I2205" s="13">
        <f>SUMIFS(Movimentacoes!$G:$G,Movimentacoes!$C:$C,$A2205,Movimentacoes!$E:$E,$C2205,Movimentacoes!$B:$B,"SAIDA_DESCARTE")</f>
        <v/>
      </c>
      <c r="J2205" s="13">
        <f>G2205-H2205-I2205</f>
        <v/>
      </c>
      <c r="K2205">
        <f>IF(A2205="","",IF(J2205&lt;=IFERROR(VLOOKUP(A2205,Cadastro_Produtos!$A:$E,5,FALSE),0),"ABAIXO DO MINIMO","OK"))</f>
        <v/>
      </c>
    </row>
    <row r="2206">
      <c r="B2206">
        <f>IFERROR(VLOOKUP(A2206,Cadastro_Produtos!A:B,2,FALSE),"")</f>
        <v/>
      </c>
      <c r="D2206" s="12" t="n"/>
      <c r="E2206" s="13">
        <f>IF(D2206="","",D2206-TODAY())</f>
        <v/>
      </c>
      <c r="F2206">
        <f>IF(D2206="","",IF(E2206&lt;0,"VENCIDO",IF(E2206&lt;=30,"VENCE EM &lt;= 30 DIAS",IF(E2206&lt;=60,"ATENCAO (31-60 DIAS)","OK"))))</f>
        <v/>
      </c>
      <c r="G2206" s="13">
        <f>SUMIFS(Movimentacoes!$G:$G,Movimentacoes!$C:$C,$A2206,Movimentacoes!$E:$E,$C2206,Movimentacoes!$B:$B,"ENTRADA")</f>
        <v/>
      </c>
      <c r="H2206" s="13">
        <f>SUMIFS(Movimentacoes!$G:$G,Movimentacoes!$C:$C,$A2206,Movimentacoes!$E:$E,$C2206,Movimentacoes!$B:$B,"SAIDA_USO")</f>
        <v/>
      </c>
      <c r="I2206" s="13">
        <f>SUMIFS(Movimentacoes!$G:$G,Movimentacoes!$C:$C,$A2206,Movimentacoes!$E:$E,$C2206,Movimentacoes!$B:$B,"SAIDA_DESCARTE")</f>
        <v/>
      </c>
      <c r="J2206" s="13">
        <f>G2206-H2206-I2206</f>
        <v/>
      </c>
      <c r="K2206">
        <f>IF(A2206="","",IF(J2206&lt;=IFERROR(VLOOKUP(A2206,Cadastro_Produtos!$A:$E,5,FALSE),0),"ABAIXO DO MINIMO","OK"))</f>
        <v/>
      </c>
    </row>
    <row r="2207">
      <c r="B2207">
        <f>IFERROR(VLOOKUP(A2207,Cadastro_Produtos!A:B,2,FALSE),"")</f>
        <v/>
      </c>
      <c r="D2207" s="12" t="n"/>
      <c r="E2207" s="13">
        <f>IF(D2207="","",D2207-TODAY())</f>
        <v/>
      </c>
      <c r="F2207">
        <f>IF(D2207="","",IF(E2207&lt;0,"VENCIDO",IF(E2207&lt;=30,"VENCE EM &lt;= 30 DIAS",IF(E2207&lt;=60,"ATENCAO (31-60 DIAS)","OK"))))</f>
        <v/>
      </c>
      <c r="G2207" s="13">
        <f>SUMIFS(Movimentacoes!$G:$G,Movimentacoes!$C:$C,$A2207,Movimentacoes!$E:$E,$C2207,Movimentacoes!$B:$B,"ENTRADA")</f>
        <v/>
      </c>
      <c r="H2207" s="13">
        <f>SUMIFS(Movimentacoes!$G:$G,Movimentacoes!$C:$C,$A2207,Movimentacoes!$E:$E,$C2207,Movimentacoes!$B:$B,"SAIDA_USO")</f>
        <v/>
      </c>
      <c r="I2207" s="13">
        <f>SUMIFS(Movimentacoes!$G:$G,Movimentacoes!$C:$C,$A2207,Movimentacoes!$E:$E,$C2207,Movimentacoes!$B:$B,"SAIDA_DESCARTE")</f>
        <v/>
      </c>
      <c r="J2207" s="13">
        <f>G2207-H2207-I2207</f>
        <v/>
      </c>
      <c r="K2207">
        <f>IF(A2207="","",IF(J2207&lt;=IFERROR(VLOOKUP(A2207,Cadastro_Produtos!$A:$E,5,FALSE),0),"ABAIXO DO MINIMO","OK"))</f>
        <v/>
      </c>
    </row>
    <row r="2208">
      <c r="B2208">
        <f>IFERROR(VLOOKUP(A2208,Cadastro_Produtos!A:B,2,FALSE),"")</f>
        <v/>
      </c>
      <c r="D2208" s="12" t="n"/>
      <c r="E2208" s="13">
        <f>IF(D2208="","",D2208-TODAY())</f>
        <v/>
      </c>
      <c r="F2208">
        <f>IF(D2208="","",IF(E2208&lt;0,"VENCIDO",IF(E2208&lt;=30,"VENCE EM &lt;= 30 DIAS",IF(E2208&lt;=60,"ATENCAO (31-60 DIAS)","OK"))))</f>
        <v/>
      </c>
      <c r="G2208" s="13">
        <f>SUMIFS(Movimentacoes!$G:$G,Movimentacoes!$C:$C,$A2208,Movimentacoes!$E:$E,$C2208,Movimentacoes!$B:$B,"ENTRADA")</f>
        <v/>
      </c>
      <c r="H2208" s="13">
        <f>SUMIFS(Movimentacoes!$G:$G,Movimentacoes!$C:$C,$A2208,Movimentacoes!$E:$E,$C2208,Movimentacoes!$B:$B,"SAIDA_USO")</f>
        <v/>
      </c>
      <c r="I2208" s="13">
        <f>SUMIFS(Movimentacoes!$G:$G,Movimentacoes!$C:$C,$A2208,Movimentacoes!$E:$E,$C2208,Movimentacoes!$B:$B,"SAIDA_DESCARTE")</f>
        <v/>
      </c>
      <c r="J2208" s="13">
        <f>G2208-H2208-I2208</f>
        <v/>
      </c>
      <c r="K2208">
        <f>IF(A2208="","",IF(J2208&lt;=IFERROR(VLOOKUP(A2208,Cadastro_Produtos!$A:$E,5,FALSE),0),"ABAIXO DO MINIMO","OK"))</f>
        <v/>
      </c>
    </row>
    <row r="2209">
      <c r="B2209">
        <f>IFERROR(VLOOKUP(A2209,Cadastro_Produtos!A:B,2,FALSE),"")</f>
        <v/>
      </c>
      <c r="D2209" s="12" t="n"/>
      <c r="E2209" s="13">
        <f>IF(D2209="","",D2209-TODAY())</f>
        <v/>
      </c>
      <c r="F2209">
        <f>IF(D2209="","",IF(E2209&lt;0,"VENCIDO",IF(E2209&lt;=30,"VENCE EM &lt;= 30 DIAS",IF(E2209&lt;=60,"ATENCAO (31-60 DIAS)","OK"))))</f>
        <v/>
      </c>
      <c r="G2209" s="13">
        <f>SUMIFS(Movimentacoes!$G:$G,Movimentacoes!$C:$C,$A2209,Movimentacoes!$E:$E,$C2209,Movimentacoes!$B:$B,"ENTRADA")</f>
        <v/>
      </c>
      <c r="H2209" s="13">
        <f>SUMIFS(Movimentacoes!$G:$G,Movimentacoes!$C:$C,$A2209,Movimentacoes!$E:$E,$C2209,Movimentacoes!$B:$B,"SAIDA_USO")</f>
        <v/>
      </c>
      <c r="I2209" s="13">
        <f>SUMIFS(Movimentacoes!$G:$G,Movimentacoes!$C:$C,$A2209,Movimentacoes!$E:$E,$C2209,Movimentacoes!$B:$B,"SAIDA_DESCARTE")</f>
        <v/>
      </c>
      <c r="J2209" s="13">
        <f>G2209-H2209-I2209</f>
        <v/>
      </c>
      <c r="K2209">
        <f>IF(A2209="","",IF(J2209&lt;=IFERROR(VLOOKUP(A2209,Cadastro_Produtos!$A:$E,5,FALSE),0),"ABAIXO DO MINIMO","OK"))</f>
        <v/>
      </c>
    </row>
    <row r="2210">
      <c r="B2210">
        <f>IFERROR(VLOOKUP(A2210,Cadastro_Produtos!A:B,2,FALSE),"")</f>
        <v/>
      </c>
      <c r="D2210" s="12" t="n"/>
      <c r="E2210" s="13">
        <f>IF(D2210="","",D2210-TODAY())</f>
        <v/>
      </c>
      <c r="F2210">
        <f>IF(D2210="","",IF(E2210&lt;0,"VENCIDO",IF(E2210&lt;=30,"VENCE EM &lt;= 30 DIAS",IF(E2210&lt;=60,"ATENCAO (31-60 DIAS)","OK"))))</f>
        <v/>
      </c>
      <c r="G2210" s="13">
        <f>SUMIFS(Movimentacoes!$G:$G,Movimentacoes!$C:$C,$A2210,Movimentacoes!$E:$E,$C2210,Movimentacoes!$B:$B,"ENTRADA")</f>
        <v/>
      </c>
      <c r="H2210" s="13">
        <f>SUMIFS(Movimentacoes!$G:$G,Movimentacoes!$C:$C,$A2210,Movimentacoes!$E:$E,$C2210,Movimentacoes!$B:$B,"SAIDA_USO")</f>
        <v/>
      </c>
      <c r="I2210" s="13">
        <f>SUMIFS(Movimentacoes!$G:$G,Movimentacoes!$C:$C,$A2210,Movimentacoes!$E:$E,$C2210,Movimentacoes!$B:$B,"SAIDA_DESCARTE")</f>
        <v/>
      </c>
      <c r="J2210" s="13">
        <f>G2210-H2210-I2210</f>
        <v/>
      </c>
      <c r="K2210">
        <f>IF(A2210="","",IF(J2210&lt;=IFERROR(VLOOKUP(A2210,Cadastro_Produtos!$A:$E,5,FALSE),0),"ABAIXO DO MINIMO","OK"))</f>
        <v/>
      </c>
    </row>
    <row r="2211">
      <c r="B2211">
        <f>IFERROR(VLOOKUP(A2211,Cadastro_Produtos!A:B,2,FALSE),"")</f>
        <v/>
      </c>
      <c r="D2211" s="12" t="n"/>
      <c r="E2211" s="13">
        <f>IF(D2211="","",D2211-TODAY())</f>
        <v/>
      </c>
      <c r="F2211">
        <f>IF(D2211="","",IF(E2211&lt;0,"VENCIDO",IF(E2211&lt;=30,"VENCE EM &lt;= 30 DIAS",IF(E2211&lt;=60,"ATENCAO (31-60 DIAS)","OK"))))</f>
        <v/>
      </c>
      <c r="G2211" s="13">
        <f>SUMIFS(Movimentacoes!$G:$G,Movimentacoes!$C:$C,$A2211,Movimentacoes!$E:$E,$C2211,Movimentacoes!$B:$B,"ENTRADA")</f>
        <v/>
      </c>
      <c r="H2211" s="13">
        <f>SUMIFS(Movimentacoes!$G:$G,Movimentacoes!$C:$C,$A2211,Movimentacoes!$E:$E,$C2211,Movimentacoes!$B:$B,"SAIDA_USO")</f>
        <v/>
      </c>
      <c r="I2211" s="13">
        <f>SUMIFS(Movimentacoes!$G:$G,Movimentacoes!$C:$C,$A2211,Movimentacoes!$E:$E,$C2211,Movimentacoes!$B:$B,"SAIDA_DESCARTE")</f>
        <v/>
      </c>
      <c r="J2211" s="13">
        <f>G2211-H2211-I2211</f>
        <v/>
      </c>
      <c r="K2211">
        <f>IF(A2211="","",IF(J2211&lt;=IFERROR(VLOOKUP(A2211,Cadastro_Produtos!$A:$E,5,FALSE),0),"ABAIXO DO MINIMO","OK"))</f>
        <v/>
      </c>
    </row>
    <row r="2212">
      <c r="B2212">
        <f>IFERROR(VLOOKUP(A2212,Cadastro_Produtos!A:B,2,FALSE),"")</f>
        <v/>
      </c>
      <c r="D2212" s="12" t="n"/>
      <c r="E2212" s="13">
        <f>IF(D2212="","",D2212-TODAY())</f>
        <v/>
      </c>
      <c r="F2212">
        <f>IF(D2212="","",IF(E2212&lt;0,"VENCIDO",IF(E2212&lt;=30,"VENCE EM &lt;= 30 DIAS",IF(E2212&lt;=60,"ATENCAO (31-60 DIAS)","OK"))))</f>
        <v/>
      </c>
      <c r="G2212" s="13">
        <f>SUMIFS(Movimentacoes!$G:$G,Movimentacoes!$C:$C,$A2212,Movimentacoes!$E:$E,$C2212,Movimentacoes!$B:$B,"ENTRADA")</f>
        <v/>
      </c>
      <c r="H2212" s="13">
        <f>SUMIFS(Movimentacoes!$G:$G,Movimentacoes!$C:$C,$A2212,Movimentacoes!$E:$E,$C2212,Movimentacoes!$B:$B,"SAIDA_USO")</f>
        <v/>
      </c>
      <c r="I2212" s="13">
        <f>SUMIFS(Movimentacoes!$G:$G,Movimentacoes!$C:$C,$A2212,Movimentacoes!$E:$E,$C2212,Movimentacoes!$B:$B,"SAIDA_DESCARTE")</f>
        <v/>
      </c>
      <c r="J2212" s="13">
        <f>G2212-H2212-I2212</f>
        <v/>
      </c>
      <c r="K2212">
        <f>IF(A2212="","",IF(J2212&lt;=IFERROR(VLOOKUP(A2212,Cadastro_Produtos!$A:$E,5,FALSE),0),"ABAIXO DO MINIMO","OK"))</f>
        <v/>
      </c>
    </row>
    <row r="2213">
      <c r="B2213">
        <f>IFERROR(VLOOKUP(A2213,Cadastro_Produtos!A:B,2,FALSE),"")</f>
        <v/>
      </c>
      <c r="D2213" s="12" t="n"/>
      <c r="E2213" s="13">
        <f>IF(D2213="","",D2213-TODAY())</f>
        <v/>
      </c>
      <c r="F2213">
        <f>IF(D2213="","",IF(E2213&lt;0,"VENCIDO",IF(E2213&lt;=30,"VENCE EM &lt;= 30 DIAS",IF(E2213&lt;=60,"ATENCAO (31-60 DIAS)","OK"))))</f>
        <v/>
      </c>
      <c r="G2213" s="13">
        <f>SUMIFS(Movimentacoes!$G:$G,Movimentacoes!$C:$C,$A2213,Movimentacoes!$E:$E,$C2213,Movimentacoes!$B:$B,"ENTRADA")</f>
        <v/>
      </c>
      <c r="H2213" s="13">
        <f>SUMIFS(Movimentacoes!$G:$G,Movimentacoes!$C:$C,$A2213,Movimentacoes!$E:$E,$C2213,Movimentacoes!$B:$B,"SAIDA_USO")</f>
        <v/>
      </c>
      <c r="I2213" s="13">
        <f>SUMIFS(Movimentacoes!$G:$G,Movimentacoes!$C:$C,$A2213,Movimentacoes!$E:$E,$C2213,Movimentacoes!$B:$B,"SAIDA_DESCARTE")</f>
        <v/>
      </c>
      <c r="J2213" s="13">
        <f>G2213-H2213-I2213</f>
        <v/>
      </c>
      <c r="K2213">
        <f>IF(A2213="","",IF(J2213&lt;=IFERROR(VLOOKUP(A2213,Cadastro_Produtos!$A:$E,5,FALSE),0),"ABAIXO DO MINIMO","OK"))</f>
        <v/>
      </c>
    </row>
    <row r="2214">
      <c r="B2214">
        <f>IFERROR(VLOOKUP(A2214,Cadastro_Produtos!A:B,2,FALSE),"")</f>
        <v/>
      </c>
      <c r="D2214" s="12" t="n"/>
      <c r="E2214" s="13">
        <f>IF(D2214="","",D2214-TODAY())</f>
        <v/>
      </c>
      <c r="F2214">
        <f>IF(D2214="","",IF(E2214&lt;0,"VENCIDO",IF(E2214&lt;=30,"VENCE EM &lt;= 30 DIAS",IF(E2214&lt;=60,"ATENCAO (31-60 DIAS)","OK"))))</f>
        <v/>
      </c>
      <c r="G2214" s="13">
        <f>SUMIFS(Movimentacoes!$G:$G,Movimentacoes!$C:$C,$A2214,Movimentacoes!$E:$E,$C2214,Movimentacoes!$B:$B,"ENTRADA")</f>
        <v/>
      </c>
      <c r="H2214" s="13">
        <f>SUMIFS(Movimentacoes!$G:$G,Movimentacoes!$C:$C,$A2214,Movimentacoes!$E:$E,$C2214,Movimentacoes!$B:$B,"SAIDA_USO")</f>
        <v/>
      </c>
      <c r="I2214" s="13">
        <f>SUMIFS(Movimentacoes!$G:$G,Movimentacoes!$C:$C,$A2214,Movimentacoes!$E:$E,$C2214,Movimentacoes!$B:$B,"SAIDA_DESCARTE")</f>
        <v/>
      </c>
      <c r="J2214" s="13">
        <f>G2214-H2214-I2214</f>
        <v/>
      </c>
      <c r="K2214">
        <f>IF(A2214="","",IF(J2214&lt;=IFERROR(VLOOKUP(A2214,Cadastro_Produtos!$A:$E,5,FALSE),0),"ABAIXO DO MINIMO","OK"))</f>
        <v/>
      </c>
    </row>
    <row r="2215">
      <c r="B2215">
        <f>IFERROR(VLOOKUP(A2215,Cadastro_Produtos!A:B,2,FALSE),"")</f>
        <v/>
      </c>
      <c r="D2215" s="12" t="n"/>
      <c r="E2215" s="13">
        <f>IF(D2215="","",D2215-TODAY())</f>
        <v/>
      </c>
      <c r="F2215">
        <f>IF(D2215="","",IF(E2215&lt;0,"VENCIDO",IF(E2215&lt;=30,"VENCE EM &lt;= 30 DIAS",IF(E2215&lt;=60,"ATENCAO (31-60 DIAS)","OK"))))</f>
        <v/>
      </c>
      <c r="G2215" s="13">
        <f>SUMIFS(Movimentacoes!$G:$G,Movimentacoes!$C:$C,$A2215,Movimentacoes!$E:$E,$C2215,Movimentacoes!$B:$B,"ENTRADA")</f>
        <v/>
      </c>
      <c r="H2215" s="13">
        <f>SUMIFS(Movimentacoes!$G:$G,Movimentacoes!$C:$C,$A2215,Movimentacoes!$E:$E,$C2215,Movimentacoes!$B:$B,"SAIDA_USO")</f>
        <v/>
      </c>
      <c r="I2215" s="13">
        <f>SUMIFS(Movimentacoes!$G:$G,Movimentacoes!$C:$C,$A2215,Movimentacoes!$E:$E,$C2215,Movimentacoes!$B:$B,"SAIDA_DESCARTE")</f>
        <v/>
      </c>
      <c r="J2215" s="13">
        <f>G2215-H2215-I2215</f>
        <v/>
      </c>
      <c r="K2215">
        <f>IF(A2215="","",IF(J2215&lt;=IFERROR(VLOOKUP(A2215,Cadastro_Produtos!$A:$E,5,FALSE),0),"ABAIXO DO MINIMO","OK"))</f>
        <v/>
      </c>
    </row>
    <row r="2216">
      <c r="B2216">
        <f>IFERROR(VLOOKUP(A2216,Cadastro_Produtos!A:B,2,FALSE),"")</f>
        <v/>
      </c>
      <c r="D2216" s="12" t="n"/>
      <c r="E2216" s="13">
        <f>IF(D2216="","",D2216-TODAY())</f>
        <v/>
      </c>
      <c r="F2216">
        <f>IF(D2216="","",IF(E2216&lt;0,"VENCIDO",IF(E2216&lt;=30,"VENCE EM &lt;= 30 DIAS",IF(E2216&lt;=60,"ATENCAO (31-60 DIAS)","OK"))))</f>
        <v/>
      </c>
      <c r="G2216" s="13">
        <f>SUMIFS(Movimentacoes!$G:$G,Movimentacoes!$C:$C,$A2216,Movimentacoes!$E:$E,$C2216,Movimentacoes!$B:$B,"ENTRADA")</f>
        <v/>
      </c>
      <c r="H2216" s="13">
        <f>SUMIFS(Movimentacoes!$G:$G,Movimentacoes!$C:$C,$A2216,Movimentacoes!$E:$E,$C2216,Movimentacoes!$B:$B,"SAIDA_USO")</f>
        <v/>
      </c>
      <c r="I2216" s="13">
        <f>SUMIFS(Movimentacoes!$G:$G,Movimentacoes!$C:$C,$A2216,Movimentacoes!$E:$E,$C2216,Movimentacoes!$B:$B,"SAIDA_DESCARTE")</f>
        <v/>
      </c>
      <c r="J2216" s="13">
        <f>G2216-H2216-I2216</f>
        <v/>
      </c>
      <c r="K2216">
        <f>IF(A2216="","",IF(J2216&lt;=IFERROR(VLOOKUP(A2216,Cadastro_Produtos!$A:$E,5,FALSE),0),"ABAIXO DO MINIMO","OK"))</f>
        <v/>
      </c>
    </row>
    <row r="2217">
      <c r="B2217">
        <f>IFERROR(VLOOKUP(A2217,Cadastro_Produtos!A:B,2,FALSE),"")</f>
        <v/>
      </c>
      <c r="D2217" s="12" t="n"/>
      <c r="E2217" s="13">
        <f>IF(D2217="","",D2217-TODAY())</f>
        <v/>
      </c>
      <c r="F2217">
        <f>IF(D2217="","",IF(E2217&lt;0,"VENCIDO",IF(E2217&lt;=30,"VENCE EM &lt;= 30 DIAS",IF(E2217&lt;=60,"ATENCAO (31-60 DIAS)","OK"))))</f>
        <v/>
      </c>
      <c r="G2217" s="13">
        <f>SUMIFS(Movimentacoes!$G:$G,Movimentacoes!$C:$C,$A2217,Movimentacoes!$E:$E,$C2217,Movimentacoes!$B:$B,"ENTRADA")</f>
        <v/>
      </c>
      <c r="H2217" s="13">
        <f>SUMIFS(Movimentacoes!$G:$G,Movimentacoes!$C:$C,$A2217,Movimentacoes!$E:$E,$C2217,Movimentacoes!$B:$B,"SAIDA_USO")</f>
        <v/>
      </c>
      <c r="I2217" s="13">
        <f>SUMIFS(Movimentacoes!$G:$G,Movimentacoes!$C:$C,$A2217,Movimentacoes!$E:$E,$C2217,Movimentacoes!$B:$B,"SAIDA_DESCARTE")</f>
        <v/>
      </c>
      <c r="J2217" s="13">
        <f>G2217-H2217-I2217</f>
        <v/>
      </c>
      <c r="K2217">
        <f>IF(A2217="","",IF(J2217&lt;=IFERROR(VLOOKUP(A2217,Cadastro_Produtos!$A:$E,5,FALSE),0),"ABAIXO DO MINIMO","OK"))</f>
        <v/>
      </c>
    </row>
    <row r="2218">
      <c r="B2218">
        <f>IFERROR(VLOOKUP(A2218,Cadastro_Produtos!A:B,2,FALSE),"")</f>
        <v/>
      </c>
      <c r="D2218" s="12" t="n"/>
      <c r="E2218" s="13">
        <f>IF(D2218="","",D2218-TODAY())</f>
        <v/>
      </c>
      <c r="F2218">
        <f>IF(D2218="","",IF(E2218&lt;0,"VENCIDO",IF(E2218&lt;=30,"VENCE EM &lt;= 30 DIAS",IF(E2218&lt;=60,"ATENCAO (31-60 DIAS)","OK"))))</f>
        <v/>
      </c>
      <c r="G2218" s="13">
        <f>SUMIFS(Movimentacoes!$G:$G,Movimentacoes!$C:$C,$A2218,Movimentacoes!$E:$E,$C2218,Movimentacoes!$B:$B,"ENTRADA")</f>
        <v/>
      </c>
      <c r="H2218" s="13">
        <f>SUMIFS(Movimentacoes!$G:$G,Movimentacoes!$C:$C,$A2218,Movimentacoes!$E:$E,$C2218,Movimentacoes!$B:$B,"SAIDA_USO")</f>
        <v/>
      </c>
      <c r="I2218" s="13">
        <f>SUMIFS(Movimentacoes!$G:$G,Movimentacoes!$C:$C,$A2218,Movimentacoes!$E:$E,$C2218,Movimentacoes!$B:$B,"SAIDA_DESCARTE")</f>
        <v/>
      </c>
      <c r="J2218" s="13">
        <f>G2218-H2218-I2218</f>
        <v/>
      </c>
      <c r="K2218">
        <f>IF(A2218="","",IF(J2218&lt;=IFERROR(VLOOKUP(A2218,Cadastro_Produtos!$A:$E,5,FALSE),0),"ABAIXO DO MINIMO","OK"))</f>
        <v/>
      </c>
    </row>
    <row r="2219">
      <c r="B2219">
        <f>IFERROR(VLOOKUP(A2219,Cadastro_Produtos!A:B,2,FALSE),"")</f>
        <v/>
      </c>
      <c r="D2219" s="12" t="n"/>
      <c r="E2219" s="13">
        <f>IF(D2219="","",D2219-TODAY())</f>
        <v/>
      </c>
      <c r="F2219">
        <f>IF(D2219="","",IF(E2219&lt;0,"VENCIDO",IF(E2219&lt;=30,"VENCE EM &lt;= 30 DIAS",IF(E2219&lt;=60,"ATENCAO (31-60 DIAS)","OK"))))</f>
        <v/>
      </c>
      <c r="G2219" s="13">
        <f>SUMIFS(Movimentacoes!$G:$G,Movimentacoes!$C:$C,$A2219,Movimentacoes!$E:$E,$C2219,Movimentacoes!$B:$B,"ENTRADA")</f>
        <v/>
      </c>
      <c r="H2219" s="13">
        <f>SUMIFS(Movimentacoes!$G:$G,Movimentacoes!$C:$C,$A2219,Movimentacoes!$E:$E,$C2219,Movimentacoes!$B:$B,"SAIDA_USO")</f>
        <v/>
      </c>
      <c r="I2219" s="13">
        <f>SUMIFS(Movimentacoes!$G:$G,Movimentacoes!$C:$C,$A2219,Movimentacoes!$E:$E,$C2219,Movimentacoes!$B:$B,"SAIDA_DESCARTE")</f>
        <v/>
      </c>
      <c r="J2219" s="13">
        <f>G2219-H2219-I2219</f>
        <v/>
      </c>
      <c r="K2219">
        <f>IF(A2219="","",IF(J2219&lt;=IFERROR(VLOOKUP(A2219,Cadastro_Produtos!$A:$E,5,FALSE),0),"ABAIXO DO MINIMO","OK"))</f>
        <v/>
      </c>
    </row>
    <row r="2220">
      <c r="B2220">
        <f>IFERROR(VLOOKUP(A2220,Cadastro_Produtos!A:B,2,FALSE),"")</f>
        <v/>
      </c>
      <c r="D2220" s="12" t="n"/>
      <c r="E2220" s="13">
        <f>IF(D2220="","",D2220-TODAY())</f>
        <v/>
      </c>
      <c r="F2220">
        <f>IF(D2220="","",IF(E2220&lt;0,"VENCIDO",IF(E2220&lt;=30,"VENCE EM &lt;= 30 DIAS",IF(E2220&lt;=60,"ATENCAO (31-60 DIAS)","OK"))))</f>
        <v/>
      </c>
      <c r="G2220" s="13">
        <f>SUMIFS(Movimentacoes!$G:$G,Movimentacoes!$C:$C,$A2220,Movimentacoes!$E:$E,$C2220,Movimentacoes!$B:$B,"ENTRADA")</f>
        <v/>
      </c>
      <c r="H2220" s="13">
        <f>SUMIFS(Movimentacoes!$G:$G,Movimentacoes!$C:$C,$A2220,Movimentacoes!$E:$E,$C2220,Movimentacoes!$B:$B,"SAIDA_USO")</f>
        <v/>
      </c>
      <c r="I2220" s="13">
        <f>SUMIFS(Movimentacoes!$G:$G,Movimentacoes!$C:$C,$A2220,Movimentacoes!$E:$E,$C2220,Movimentacoes!$B:$B,"SAIDA_DESCARTE")</f>
        <v/>
      </c>
      <c r="J2220" s="13">
        <f>G2220-H2220-I2220</f>
        <v/>
      </c>
      <c r="K2220">
        <f>IF(A2220="","",IF(J2220&lt;=IFERROR(VLOOKUP(A2220,Cadastro_Produtos!$A:$E,5,FALSE),0),"ABAIXO DO MINIMO","OK"))</f>
        <v/>
      </c>
    </row>
    <row r="2221">
      <c r="B2221">
        <f>IFERROR(VLOOKUP(A2221,Cadastro_Produtos!A:B,2,FALSE),"")</f>
        <v/>
      </c>
      <c r="D2221" s="12" t="n"/>
      <c r="E2221" s="13">
        <f>IF(D2221="","",D2221-TODAY())</f>
        <v/>
      </c>
      <c r="F2221">
        <f>IF(D2221="","",IF(E2221&lt;0,"VENCIDO",IF(E2221&lt;=30,"VENCE EM &lt;= 30 DIAS",IF(E2221&lt;=60,"ATENCAO (31-60 DIAS)","OK"))))</f>
        <v/>
      </c>
      <c r="G2221" s="13">
        <f>SUMIFS(Movimentacoes!$G:$G,Movimentacoes!$C:$C,$A2221,Movimentacoes!$E:$E,$C2221,Movimentacoes!$B:$B,"ENTRADA")</f>
        <v/>
      </c>
      <c r="H2221" s="13">
        <f>SUMIFS(Movimentacoes!$G:$G,Movimentacoes!$C:$C,$A2221,Movimentacoes!$E:$E,$C2221,Movimentacoes!$B:$B,"SAIDA_USO")</f>
        <v/>
      </c>
      <c r="I2221" s="13">
        <f>SUMIFS(Movimentacoes!$G:$G,Movimentacoes!$C:$C,$A2221,Movimentacoes!$E:$E,$C2221,Movimentacoes!$B:$B,"SAIDA_DESCARTE")</f>
        <v/>
      </c>
      <c r="J2221" s="13">
        <f>G2221-H2221-I2221</f>
        <v/>
      </c>
      <c r="K2221">
        <f>IF(A2221="","",IF(J2221&lt;=IFERROR(VLOOKUP(A2221,Cadastro_Produtos!$A:$E,5,FALSE),0),"ABAIXO DO MINIMO","OK"))</f>
        <v/>
      </c>
    </row>
    <row r="2222">
      <c r="B2222">
        <f>IFERROR(VLOOKUP(A2222,Cadastro_Produtos!A:B,2,FALSE),"")</f>
        <v/>
      </c>
      <c r="D2222" s="12" t="n"/>
      <c r="E2222" s="13">
        <f>IF(D2222="","",D2222-TODAY())</f>
        <v/>
      </c>
      <c r="F2222">
        <f>IF(D2222="","",IF(E2222&lt;0,"VENCIDO",IF(E2222&lt;=30,"VENCE EM &lt;= 30 DIAS",IF(E2222&lt;=60,"ATENCAO (31-60 DIAS)","OK"))))</f>
        <v/>
      </c>
      <c r="G2222" s="13">
        <f>SUMIFS(Movimentacoes!$G:$G,Movimentacoes!$C:$C,$A2222,Movimentacoes!$E:$E,$C2222,Movimentacoes!$B:$B,"ENTRADA")</f>
        <v/>
      </c>
      <c r="H2222" s="13">
        <f>SUMIFS(Movimentacoes!$G:$G,Movimentacoes!$C:$C,$A2222,Movimentacoes!$E:$E,$C2222,Movimentacoes!$B:$B,"SAIDA_USO")</f>
        <v/>
      </c>
      <c r="I2222" s="13">
        <f>SUMIFS(Movimentacoes!$G:$G,Movimentacoes!$C:$C,$A2222,Movimentacoes!$E:$E,$C2222,Movimentacoes!$B:$B,"SAIDA_DESCARTE")</f>
        <v/>
      </c>
      <c r="J2222" s="13">
        <f>G2222-H2222-I2222</f>
        <v/>
      </c>
      <c r="K2222">
        <f>IF(A2222="","",IF(J2222&lt;=IFERROR(VLOOKUP(A2222,Cadastro_Produtos!$A:$E,5,FALSE),0),"ABAIXO DO MINIMO","OK"))</f>
        <v/>
      </c>
    </row>
    <row r="2223">
      <c r="B2223">
        <f>IFERROR(VLOOKUP(A2223,Cadastro_Produtos!A:B,2,FALSE),"")</f>
        <v/>
      </c>
      <c r="D2223" s="12" t="n"/>
      <c r="E2223" s="13">
        <f>IF(D2223="","",D2223-TODAY())</f>
        <v/>
      </c>
      <c r="F2223">
        <f>IF(D2223="","",IF(E2223&lt;0,"VENCIDO",IF(E2223&lt;=30,"VENCE EM &lt;= 30 DIAS",IF(E2223&lt;=60,"ATENCAO (31-60 DIAS)","OK"))))</f>
        <v/>
      </c>
      <c r="G2223" s="13">
        <f>SUMIFS(Movimentacoes!$G:$G,Movimentacoes!$C:$C,$A2223,Movimentacoes!$E:$E,$C2223,Movimentacoes!$B:$B,"ENTRADA")</f>
        <v/>
      </c>
      <c r="H2223" s="13">
        <f>SUMIFS(Movimentacoes!$G:$G,Movimentacoes!$C:$C,$A2223,Movimentacoes!$E:$E,$C2223,Movimentacoes!$B:$B,"SAIDA_USO")</f>
        <v/>
      </c>
      <c r="I2223" s="13">
        <f>SUMIFS(Movimentacoes!$G:$G,Movimentacoes!$C:$C,$A2223,Movimentacoes!$E:$E,$C2223,Movimentacoes!$B:$B,"SAIDA_DESCARTE")</f>
        <v/>
      </c>
      <c r="J2223" s="13">
        <f>G2223-H2223-I2223</f>
        <v/>
      </c>
      <c r="K2223">
        <f>IF(A2223="","",IF(J2223&lt;=IFERROR(VLOOKUP(A2223,Cadastro_Produtos!$A:$E,5,FALSE),0),"ABAIXO DO MINIMO","OK"))</f>
        <v/>
      </c>
    </row>
    <row r="2224">
      <c r="B2224">
        <f>IFERROR(VLOOKUP(A2224,Cadastro_Produtos!A:B,2,FALSE),"")</f>
        <v/>
      </c>
      <c r="D2224" s="12" t="n"/>
      <c r="E2224" s="13">
        <f>IF(D2224="","",D2224-TODAY())</f>
        <v/>
      </c>
      <c r="F2224">
        <f>IF(D2224="","",IF(E2224&lt;0,"VENCIDO",IF(E2224&lt;=30,"VENCE EM &lt;= 30 DIAS",IF(E2224&lt;=60,"ATENCAO (31-60 DIAS)","OK"))))</f>
        <v/>
      </c>
      <c r="G2224" s="13">
        <f>SUMIFS(Movimentacoes!$G:$G,Movimentacoes!$C:$C,$A2224,Movimentacoes!$E:$E,$C2224,Movimentacoes!$B:$B,"ENTRADA")</f>
        <v/>
      </c>
      <c r="H2224" s="13">
        <f>SUMIFS(Movimentacoes!$G:$G,Movimentacoes!$C:$C,$A2224,Movimentacoes!$E:$E,$C2224,Movimentacoes!$B:$B,"SAIDA_USO")</f>
        <v/>
      </c>
      <c r="I2224" s="13">
        <f>SUMIFS(Movimentacoes!$G:$G,Movimentacoes!$C:$C,$A2224,Movimentacoes!$E:$E,$C2224,Movimentacoes!$B:$B,"SAIDA_DESCARTE")</f>
        <v/>
      </c>
      <c r="J2224" s="13">
        <f>G2224-H2224-I2224</f>
        <v/>
      </c>
      <c r="K2224">
        <f>IF(A2224="","",IF(J2224&lt;=IFERROR(VLOOKUP(A2224,Cadastro_Produtos!$A:$E,5,FALSE),0),"ABAIXO DO MINIMO","OK"))</f>
        <v/>
      </c>
    </row>
    <row r="2225">
      <c r="B2225">
        <f>IFERROR(VLOOKUP(A2225,Cadastro_Produtos!A:B,2,FALSE),"")</f>
        <v/>
      </c>
      <c r="D2225" s="12" t="n"/>
      <c r="E2225" s="13">
        <f>IF(D2225="","",D2225-TODAY())</f>
        <v/>
      </c>
      <c r="F2225">
        <f>IF(D2225="","",IF(E2225&lt;0,"VENCIDO",IF(E2225&lt;=30,"VENCE EM &lt;= 30 DIAS",IF(E2225&lt;=60,"ATENCAO (31-60 DIAS)","OK"))))</f>
        <v/>
      </c>
      <c r="G2225" s="13">
        <f>SUMIFS(Movimentacoes!$G:$G,Movimentacoes!$C:$C,$A2225,Movimentacoes!$E:$E,$C2225,Movimentacoes!$B:$B,"ENTRADA")</f>
        <v/>
      </c>
      <c r="H2225" s="13">
        <f>SUMIFS(Movimentacoes!$G:$G,Movimentacoes!$C:$C,$A2225,Movimentacoes!$E:$E,$C2225,Movimentacoes!$B:$B,"SAIDA_USO")</f>
        <v/>
      </c>
      <c r="I2225" s="13">
        <f>SUMIFS(Movimentacoes!$G:$G,Movimentacoes!$C:$C,$A2225,Movimentacoes!$E:$E,$C2225,Movimentacoes!$B:$B,"SAIDA_DESCARTE")</f>
        <v/>
      </c>
      <c r="J2225" s="13">
        <f>G2225-H2225-I2225</f>
        <v/>
      </c>
      <c r="K2225">
        <f>IF(A2225="","",IF(J2225&lt;=IFERROR(VLOOKUP(A2225,Cadastro_Produtos!$A:$E,5,FALSE),0),"ABAIXO DO MINIMO","OK"))</f>
        <v/>
      </c>
    </row>
    <row r="2226">
      <c r="B2226">
        <f>IFERROR(VLOOKUP(A2226,Cadastro_Produtos!A:B,2,FALSE),"")</f>
        <v/>
      </c>
      <c r="D2226" s="12" t="n"/>
      <c r="E2226" s="13">
        <f>IF(D2226="","",D2226-TODAY())</f>
        <v/>
      </c>
      <c r="F2226">
        <f>IF(D2226="","",IF(E2226&lt;0,"VENCIDO",IF(E2226&lt;=30,"VENCE EM &lt;= 30 DIAS",IF(E2226&lt;=60,"ATENCAO (31-60 DIAS)","OK"))))</f>
        <v/>
      </c>
      <c r="G2226" s="13">
        <f>SUMIFS(Movimentacoes!$G:$G,Movimentacoes!$C:$C,$A2226,Movimentacoes!$E:$E,$C2226,Movimentacoes!$B:$B,"ENTRADA")</f>
        <v/>
      </c>
      <c r="H2226" s="13">
        <f>SUMIFS(Movimentacoes!$G:$G,Movimentacoes!$C:$C,$A2226,Movimentacoes!$E:$E,$C2226,Movimentacoes!$B:$B,"SAIDA_USO")</f>
        <v/>
      </c>
      <c r="I2226" s="13">
        <f>SUMIFS(Movimentacoes!$G:$G,Movimentacoes!$C:$C,$A2226,Movimentacoes!$E:$E,$C2226,Movimentacoes!$B:$B,"SAIDA_DESCARTE")</f>
        <v/>
      </c>
      <c r="J2226" s="13">
        <f>G2226-H2226-I2226</f>
        <v/>
      </c>
      <c r="K2226">
        <f>IF(A2226="","",IF(J2226&lt;=IFERROR(VLOOKUP(A2226,Cadastro_Produtos!$A:$E,5,FALSE),0),"ABAIXO DO MINIMO","OK"))</f>
        <v/>
      </c>
    </row>
    <row r="2227">
      <c r="B2227">
        <f>IFERROR(VLOOKUP(A2227,Cadastro_Produtos!A:B,2,FALSE),"")</f>
        <v/>
      </c>
      <c r="D2227" s="12" t="n"/>
      <c r="E2227" s="13">
        <f>IF(D2227="","",D2227-TODAY())</f>
        <v/>
      </c>
      <c r="F2227">
        <f>IF(D2227="","",IF(E2227&lt;0,"VENCIDO",IF(E2227&lt;=30,"VENCE EM &lt;= 30 DIAS",IF(E2227&lt;=60,"ATENCAO (31-60 DIAS)","OK"))))</f>
        <v/>
      </c>
      <c r="G2227" s="13">
        <f>SUMIFS(Movimentacoes!$G:$G,Movimentacoes!$C:$C,$A2227,Movimentacoes!$E:$E,$C2227,Movimentacoes!$B:$B,"ENTRADA")</f>
        <v/>
      </c>
      <c r="H2227" s="13">
        <f>SUMIFS(Movimentacoes!$G:$G,Movimentacoes!$C:$C,$A2227,Movimentacoes!$E:$E,$C2227,Movimentacoes!$B:$B,"SAIDA_USO")</f>
        <v/>
      </c>
      <c r="I2227" s="13">
        <f>SUMIFS(Movimentacoes!$G:$G,Movimentacoes!$C:$C,$A2227,Movimentacoes!$E:$E,$C2227,Movimentacoes!$B:$B,"SAIDA_DESCARTE")</f>
        <v/>
      </c>
      <c r="J2227" s="13">
        <f>G2227-H2227-I2227</f>
        <v/>
      </c>
      <c r="K2227">
        <f>IF(A2227="","",IF(J2227&lt;=IFERROR(VLOOKUP(A2227,Cadastro_Produtos!$A:$E,5,FALSE),0),"ABAIXO DO MINIMO","OK"))</f>
        <v/>
      </c>
    </row>
    <row r="2228">
      <c r="B2228">
        <f>IFERROR(VLOOKUP(A2228,Cadastro_Produtos!A:B,2,FALSE),"")</f>
        <v/>
      </c>
      <c r="D2228" s="12" t="n"/>
      <c r="E2228" s="13">
        <f>IF(D2228="","",D2228-TODAY())</f>
        <v/>
      </c>
      <c r="F2228">
        <f>IF(D2228="","",IF(E2228&lt;0,"VENCIDO",IF(E2228&lt;=30,"VENCE EM &lt;= 30 DIAS",IF(E2228&lt;=60,"ATENCAO (31-60 DIAS)","OK"))))</f>
        <v/>
      </c>
      <c r="G2228" s="13">
        <f>SUMIFS(Movimentacoes!$G:$G,Movimentacoes!$C:$C,$A2228,Movimentacoes!$E:$E,$C2228,Movimentacoes!$B:$B,"ENTRADA")</f>
        <v/>
      </c>
      <c r="H2228" s="13">
        <f>SUMIFS(Movimentacoes!$G:$G,Movimentacoes!$C:$C,$A2228,Movimentacoes!$E:$E,$C2228,Movimentacoes!$B:$B,"SAIDA_USO")</f>
        <v/>
      </c>
      <c r="I2228" s="13">
        <f>SUMIFS(Movimentacoes!$G:$G,Movimentacoes!$C:$C,$A2228,Movimentacoes!$E:$E,$C2228,Movimentacoes!$B:$B,"SAIDA_DESCARTE")</f>
        <v/>
      </c>
      <c r="J2228" s="13">
        <f>G2228-H2228-I2228</f>
        <v/>
      </c>
      <c r="K2228">
        <f>IF(A2228="","",IF(J2228&lt;=IFERROR(VLOOKUP(A2228,Cadastro_Produtos!$A:$E,5,FALSE),0),"ABAIXO DO MINIMO","OK"))</f>
        <v/>
      </c>
    </row>
    <row r="2229">
      <c r="B2229">
        <f>IFERROR(VLOOKUP(A2229,Cadastro_Produtos!A:B,2,FALSE),"")</f>
        <v/>
      </c>
      <c r="D2229" s="12" t="n"/>
      <c r="E2229" s="13">
        <f>IF(D2229="","",D2229-TODAY())</f>
        <v/>
      </c>
      <c r="F2229">
        <f>IF(D2229="","",IF(E2229&lt;0,"VENCIDO",IF(E2229&lt;=30,"VENCE EM &lt;= 30 DIAS",IF(E2229&lt;=60,"ATENCAO (31-60 DIAS)","OK"))))</f>
        <v/>
      </c>
      <c r="G2229" s="13">
        <f>SUMIFS(Movimentacoes!$G:$G,Movimentacoes!$C:$C,$A2229,Movimentacoes!$E:$E,$C2229,Movimentacoes!$B:$B,"ENTRADA")</f>
        <v/>
      </c>
      <c r="H2229" s="13">
        <f>SUMIFS(Movimentacoes!$G:$G,Movimentacoes!$C:$C,$A2229,Movimentacoes!$E:$E,$C2229,Movimentacoes!$B:$B,"SAIDA_USO")</f>
        <v/>
      </c>
      <c r="I2229" s="13">
        <f>SUMIFS(Movimentacoes!$G:$G,Movimentacoes!$C:$C,$A2229,Movimentacoes!$E:$E,$C2229,Movimentacoes!$B:$B,"SAIDA_DESCARTE")</f>
        <v/>
      </c>
      <c r="J2229" s="13">
        <f>G2229-H2229-I2229</f>
        <v/>
      </c>
      <c r="K2229">
        <f>IF(A2229="","",IF(J2229&lt;=IFERROR(VLOOKUP(A2229,Cadastro_Produtos!$A:$E,5,FALSE),0),"ABAIXO DO MINIMO","OK"))</f>
        <v/>
      </c>
    </row>
    <row r="2230">
      <c r="B2230">
        <f>IFERROR(VLOOKUP(A2230,Cadastro_Produtos!A:B,2,FALSE),"")</f>
        <v/>
      </c>
      <c r="D2230" s="12" t="n"/>
      <c r="E2230" s="13">
        <f>IF(D2230="","",D2230-TODAY())</f>
        <v/>
      </c>
      <c r="F2230">
        <f>IF(D2230="","",IF(E2230&lt;0,"VENCIDO",IF(E2230&lt;=30,"VENCE EM &lt;= 30 DIAS",IF(E2230&lt;=60,"ATENCAO (31-60 DIAS)","OK"))))</f>
        <v/>
      </c>
      <c r="G2230" s="13">
        <f>SUMIFS(Movimentacoes!$G:$G,Movimentacoes!$C:$C,$A2230,Movimentacoes!$E:$E,$C2230,Movimentacoes!$B:$B,"ENTRADA")</f>
        <v/>
      </c>
      <c r="H2230" s="13">
        <f>SUMIFS(Movimentacoes!$G:$G,Movimentacoes!$C:$C,$A2230,Movimentacoes!$E:$E,$C2230,Movimentacoes!$B:$B,"SAIDA_USO")</f>
        <v/>
      </c>
      <c r="I2230" s="13">
        <f>SUMIFS(Movimentacoes!$G:$G,Movimentacoes!$C:$C,$A2230,Movimentacoes!$E:$E,$C2230,Movimentacoes!$B:$B,"SAIDA_DESCARTE")</f>
        <v/>
      </c>
      <c r="J2230" s="13">
        <f>G2230-H2230-I2230</f>
        <v/>
      </c>
      <c r="K2230">
        <f>IF(A2230="","",IF(J2230&lt;=IFERROR(VLOOKUP(A2230,Cadastro_Produtos!$A:$E,5,FALSE),0),"ABAIXO DO MINIMO","OK"))</f>
        <v/>
      </c>
    </row>
    <row r="2231">
      <c r="B2231">
        <f>IFERROR(VLOOKUP(A2231,Cadastro_Produtos!A:B,2,FALSE),"")</f>
        <v/>
      </c>
      <c r="D2231" s="12" t="n"/>
      <c r="E2231" s="13">
        <f>IF(D2231="","",D2231-TODAY())</f>
        <v/>
      </c>
      <c r="F2231">
        <f>IF(D2231="","",IF(E2231&lt;0,"VENCIDO",IF(E2231&lt;=30,"VENCE EM &lt;= 30 DIAS",IF(E2231&lt;=60,"ATENCAO (31-60 DIAS)","OK"))))</f>
        <v/>
      </c>
      <c r="G2231" s="13">
        <f>SUMIFS(Movimentacoes!$G:$G,Movimentacoes!$C:$C,$A2231,Movimentacoes!$E:$E,$C2231,Movimentacoes!$B:$B,"ENTRADA")</f>
        <v/>
      </c>
      <c r="H2231" s="13">
        <f>SUMIFS(Movimentacoes!$G:$G,Movimentacoes!$C:$C,$A2231,Movimentacoes!$E:$E,$C2231,Movimentacoes!$B:$B,"SAIDA_USO")</f>
        <v/>
      </c>
      <c r="I2231" s="13">
        <f>SUMIFS(Movimentacoes!$G:$G,Movimentacoes!$C:$C,$A2231,Movimentacoes!$E:$E,$C2231,Movimentacoes!$B:$B,"SAIDA_DESCARTE")</f>
        <v/>
      </c>
      <c r="J2231" s="13">
        <f>G2231-H2231-I2231</f>
        <v/>
      </c>
      <c r="K2231">
        <f>IF(A2231="","",IF(J2231&lt;=IFERROR(VLOOKUP(A2231,Cadastro_Produtos!$A:$E,5,FALSE),0),"ABAIXO DO MINIMO","OK"))</f>
        <v/>
      </c>
    </row>
    <row r="2232">
      <c r="B2232">
        <f>IFERROR(VLOOKUP(A2232,Cadastro_Produtos!A:B,2,FALSE),"")</f>
        <v/>
      </c>
      <c r="D2232" s="12" t="n"/>
      <c r="E2232" s="13">
        <f>IF(D2232="","",D2232-TODAY())</f>
        <v/>
      </c>
      <c r="F2232">
        <f>IF(D2232="","",IF(E2232&lt;0,"VENCIDO",IF(E2232&lt;=30,"VENCE EM &lt;= 30 DIAS",IF(E2232&lt;=60,"ATENCAO (31-60 DIAS)","OK"))))</f>
        <v/>
      </c>
      <c r="G2232" s="13">
        <f>SUMIFS(Movimentacoes!$G:$G,Movimentacoes!$C:$C,$A2232,Movimentacoes!$E:$E,$C2232,Movimentacoes!$B:$B,"ENTRADA")</f>
        <v/>
      </c>
      <c r="H2232" s="13">
        <f>SUMIFS(Movimentacoes!$G:$G,Movimentacoes!$C:$C,$A2232,Movimentacoes!$E:$E,$C2232,Movimentacoes!$B:$B,"SAIDA_USO")</f>
        <v/>
      </c>
      <c r="I2232" s="13">
        <f>SUMIFS(Movimentacoes!$G:$G,Movimentacoes!$C:$C,$A2232,Movimentacoes!$E:$E,$C2232,Movimentacoes!$B:$B,"SAIDA_DESCARTE")</f>
        <v/>
      </c>
      <c r="J2232" s="13">
        <f>G2232-H2232-I2232</f>
        <v/>
      </c>
      <c r="K2232">
        <f>IF(A2232="","",IF(J2232&lt;=IFERROR(VLOOKUP(A2232,Cadastro_Produtos!$A:$E,5,FALSE),0),"ABAIXO DO MINIMO","OK"))</f>
        <v/>
      </c>
    </row>
    <row r="2233">
      <c r="B2233">
        <f>IFERROR(VLOOKUP(A2233,Cadastro_Produtos!A:B,2,FALSE),"")</f>
        <v/>
      </c>
      <c r="D2233" s="12" t="n"/>
      <c r="E2233" s="13">
        <f>IF(D2233="","",D2233-TODAY())</f>
        <v/>
      </c>
      <c r="F2233">
        <f>IF(D2233="","",IF(E2233&lt;0,"VENCIDO",IF(E2233&lt;=30,"VENCE EM &lt;= 30 DIAS",IF(E2233&lt;=60,"ATENCAO (31-60 DIAS)","OK"))))</f>
        <v/>
      </c>
      <c r="G2233" s="13">
        <f>SUMIFS(Movimentacoes!$G:$G,Movimentacoes!$C:$C,$A2233,Movimentacoes!$E:$E,$C2233,Movimentacoes!$B:$B,"ENTRADA")</f>
        <v/>
      </c>
      <c r="H2233" s="13">
        <f>SUMIFS(Movimentacoes!$G:$G,Movimentacoes!$C:$C,$A2233,Movimentacoes!$E:$E,$C2233,Movimentacoes!$B:$B,"SAIDA_USO")</f>
        <v/>
      </c>
      <c r="I2233" s="13">
        <f>SUMIFS(Movimentacoes!$G:$G,Movimentacoes!$C:$C,$A2233,Movimentacoes!$E:$E,$C2233,Movimentacoes!$B:$B,"SAIDA_DESCARTE")</f>
        <v/>
      </c>
      <c r="J2233" s="13">
        <f>G2233-H2233-I2233</f>
        <v/>
      </c>
      <c r="K2233">
        <f>IF(A2233="","",IF(J2233&lt;=IFERROR(VLOOKUP(A2233,Cadastro_Produtos!$A:$E,5,FALSE),0),"ABAIXO DO MINIMO","OK"))</f>
        <v/>
      </c>
    </row>
    <row r="2234">
      <c r="B2234">
        <f>IFERROR(VLOOKUP(A2234,Cadastro_Produtos!A:B,2,FALSE),"")</f>
        <v/>
      </c>
      <c r="D2234" s="12" t="n"/>
      <c r="E2234" s="13">
        <f>IF(D2234="","",D2234-TODAY())</f>
        <v/>
      </c>
      <c r="F2234">
        <f>IF(D2234="","",IF(E2234&lt;0,"VENCIDO",IF(E2234&lt;=30,"VENCE EM &lt;= 30 DIAS",IF(E2234&lt;=60,"ATENCAO (31-60 DIAS)","OK"))))</f>
        <v/>
      </c>
      <c r="G2234" s="13">
        <f>SUMIFS(Movimentacoes!$G:$G,Movimentacoes!$C:$C,$A2234,Movimentacoes!$E:$E,$C2234,Movimentacoes!$B:$B,"ENTRADA")</f>
        <v/>
      </c>
      <c r="H2234" s="13">
        <f>SUMIFS(Movimentacoes!$G:$G,Movimentacoes!$C:$C,$A2234,Movimentacoes!$E:$E,$C2234,Movimentacoes!$B:$B,"SAIDA_USO")</f>
        <v/>
      </c>
      <c r="I2234" s="13">
        <f>SUMIFS(Movimentacoes!$G:$G,Movimentacoes!$C:$C,$A2234,Movimentacoes!$E:$E,$C2234,Movimentacoes!$B:$B,"SAIDA_DESCARTE")</f>
        <v/>
      </c>
      <c r="J2234" s="13">
        <f>G2234-H2234-I2234</f>
        <v/>
      </c>
      <c r="K2234">
        <f>IF(A2234="","",IF(J2234&lt;=IFERROR(VLOOKUP(A2234,Cadastro_Produtos!$A:$E,5,FALSE),0),"ABAIXO DO MINIMO","OK"))</f>
        <v/>
      </c>
    </row>
    <row r="2235">
      <c r="B2235">
        <f>IFERROR(VLOOKUP(A2235,Cadastro_Produtos!A:B,2,FALSE),"")</f>
        <v/>
      </c>
      <c r="D2235" s="12" t="n"/>
      <c r="E2235" s="13">
        <f>IF(D2235="","",D2235-TODAY())</f>
        <v/>
      </c>
      <c r="F2235">
        <f>IF(D2235="","",IF(E2235&lt;0,"VENCIDO",IF(E2235&lt;=30,"VENCE EM &lt;= 30 DIAS",IF(E2235&lt;=60,"ATENCAO (31-60 DIAS)","OK"))))</f>
        <v/>
      </c>
      <c r="G2235" s="13">
        <f>SUMIFS(Movimentacoes!$G:$G,Movimentacoes!$C:$C,$A2235,Movimentacoes!$E:$E,$C2235,Movimentacoes!$B:$B,"ENTRADA")</f>
        <v/>
      </c>
      <c r="H2235" s="13">
        <f>SUMIFS(Movimentacoes!$G:$G,Movimentacoes!$C:$C,$A2235,Movimentacoes!$E:$E,$C2235,Movimentacoes!$B:$B,"SAIDA_USO")</f>
        <v/>
      </c>
      <c r="I2235" s="13">
        <f>SUMIFS(Movimentacoes!$G:$G,Movimentacoes!$C:$C,$A2235,Movimentacoes!$E:$E,$C2235,Movimentacoes!$B:$B,"SAIDA_DESCARTE")</f>
        <v/>
      </c>
      <c r="J2235" s="13">
        <f>G2235-H2235-I2235</f>
        <v/>
      </c>
      <c r="K2235">
        <f>IF(A2235="","",IF(J2235&lt;=IFERROR(VLOOKUP(A2235,Cadastro_Produtos!$A:$E,5,FALSE),0),"ABAIXO DO MINIMO","OK"))</f>
        <v/>
      </c>
    </row>
    <row r="2236">
      <c r="B2236">
        <f>IFERROR(VLOOKUP(A2236,Cadastro_Produtos!A:B,2,FALSE),"")</f>
        <v/>
      </c>
      <c r="D2236" s="12" t="n"/>
      <c r="E2236" s="13">
        <f>IF(D2236="","",D2236-TODAY())</f>
        <v/>
      </c>
      <c r="F2236">
        <f>IF(D2236="","",IF(E2236&lt;0,"VENCIDO",IF(E2236&lt;=30,"VENCE EM &lt;= 30 DIAS",IF(E2236&lt;=60,"ATENCAO (31-60 DIAS)","OK"))))</f>
        <v/>
      </c>
      <c r="G2236" s="13">
        <f>SUMIFS(Movimentacoes!$G:$G,Movimentacoes!$C:$C,$A2236,Movimentacoes!$E:$E,$C2236,Movimentacoes!$B:$B,"ENTRADA")</f>
        <v/>
      </c>
      <c r="H2236" s="13">
        <f>SUMIFS(Movimentacoes!$G:$G,Movimentacoes!$C:$C,$A2236,Movimentacoes!$E:$E,$C2236,Movimentacoes!$B:$B,"SAIDA_USO")</f>
        <v/>
      </c>
      <c r="I2236" s="13">
        <f>SUMIFS(Movimentacoes!$G:$G,Movimentacoes!$C:$C,$A2236,Movimentacoes!$E:$E,$C2236,Movimentacoes!$B:$B,"SAIDA_DESCARTE")</f>
        <v/>
      </c>
      <c r="J2236" s="13">
        <f>G2236-H2236-I2236</f>
        <v/>
      </c>
      <c r="K2236">
        <f>IF(A2236="","",IF(J2236&lt;=IFERROR(VLOOKUP(A2236,Cadastro_Produtos!$A:$E,5,FALSE),0),"ABAIXO DO MINIMO","OK"))</f>
        <v/>
      </c>
    </row>
    <row r="2237">
      <c r="B2237">
        <f>IFERROR(VLOOKUP(A2237,Cadastro_Produtos!A:B,2,FALSE),"")</f>
        <v/>
      </c>
      <c r="D2237" s="12" t="n"/>
      <c r="E2237" s="13">
        <f>IF(D2237="","",D2237-TODAY())</f>
        <v/>
      </c>
      <c r="F2237">
        <f>IF(D2237="","",IF(E2237&lt;0,"VENCIDO",IF(E2237&lt;=30,"VENCE EM &lt;= 30 DIAS",IF(E2237&lt;=60,"ATENCAO (31-60 DIAS)","OK"))))</f>
        <v/>
      </c>
      <c r="G2237" s="13">
        <f>SUMIFS(Movimentacoes!$G:$G,Movimentacoes!$C:$C,$A2237,Movimentacoes!$E:$E,$C2237,Movimentacoes!$B:$B,"ENTRADA")</f>
        <v/>
      </c>
      <c r="H2237" s="13">
        <f>SUMIFS(Movimentacoes!$G:$G,Movimentacoes!$C:$C,$A2237,Movimentacoes!$E:$E,$C2237,Movimentacoes!$B:$B,"SAIDA_USO")</f>
        <v/>
      </c>
      <c r="I2237" s="13">
        <f>SUMIFS(Movimentacoes!$G:$G,Movimentacoes!$C:$C,$A2237,Movimentacoes!$E:$E,$C2237,Movimentacoes!$B:$B,"SAIDA_DESCARTE")</f>
        <v/>
      </c>
      <c r="J2237" s="13">
        <f>G2237-H2237-I2237</f>
        <v/>
      </c>
      <c r="K2237">
        <f>IF(A2237="","",IF(J2237&lt;=IFERROR(VLOOKUP(A2237,Cadastro_Produtos!$A:$E,5,FALSE),0),"ABAIXO DO MINIMO","OK"))</f>
        <v/>
      </c>
    </row>
    <row r="2238">
      <c r="B2238">
        <f>IFERROR(VLOOKUP(A2238,Cadastro_Produtos!A:B,2,FALSE),"")</f>
        <v/>
      </c>
      <c r="D2238" s="12" t="n"/>
      <c r="E2238" s="13">
        <f>IF(D2238="","",D2238-TODAY())</f>
        <v/>
      </c>
      <c r="F2238">
        <f>IF(D2238="","",IF(E2238&lt;0,"VENCIDO",IF(E2238&lt;=30,"VENCE EM &lt;= 30 DIAS",IF(E2238&lt;=60,"ATENCAO (31-60 DIAS)","OK"))))</f>
        <v/>
      </c>
      <c r="G2238" s="13">
        <f>SUMIFS(Movimentacoes!$G:$G,Movimentacoes!$C:$C,$A2238,Movimentacoes!$E:$E,$C2238,Movimentacoes!$B:$B,"ENTRADA")</f>
        <v/>
      </c>
      <c r="H2238" s="13">
        <f>SUMIFS(Movimentacoes!$G:$G,Movimentacoes!$C:$C,$A2238,Movimentacoes!$E:$E,$C2238,Movimentacoes!$B:$B,"SAIDA_USO")</f>
        <v/>
      </c>
      <c r="I2238" s="13">
        <f>SUMIFS(Movimentacoes!$G:$G,Movimentacoes!$C:$C,$A2238,Movimentacoes!$E:$E,$C2238,Movimentacoes!$B:$B,"SAIDA_DESCARTE")</f>
        <v/>
      </c>
      <c r="J2238" s="13">
        <f>G2238-H2238-I2238</f>
        <v/>
      </c>
      <c r="K2238">
        <f>IF(A2238="","",IF(J2238&lt;=IFERROR(VLOOKUP(A2238,Cadastro_Produtos!$A:$E,5,FALSE),0),"ABAIXO DO MINIMO","OK"))</f>
        <v/>
      </c>
    </row>
    <row r="2239">
      <c r="B2239">
        <f>IFERROR(VLOOKUP(A2239,Cadastro_Produtos!A:B,2,FALSE),"")</f>
        <v/>
      </c>
      <c r="D2239" s="12" t="n"/>
      <c r="E2239" s="13">
        <f>IF(D2239="","",D2239-TODAY())</f>
        <v/>
      </c>
      <c r="F2239">
        <f>IF(D2239="","",IF(E2239&lt;0,"VENCIDO",IF(E2239&lt;=30,"VENCE EM &lt;= 30 DIAS",IF(E2239&lt;=60,"ATENCAO (31-60 DIAS)","OK"))))</f>
        <v/>
      </c>
      <c r="G2239" s="13">
        <f>SUMIFS(Movimentacoes!$G:$G,Movimentacoes!$C:$C,$A2239,Movimentacoes!$E:$E,$C2239,Movimentacoes!$B:$B,"ENTRADA")</f>
        <v/>
      </c>
      <c r="H2239" s="13">
        <f>SUMIFS(Movimentacoes!$G:$G,Movimentacoes!$C:$C,$A2239,Movimentacoes!$E:$E,$C2239,Movimentacoes!$B:$B,"SAIDA_USO")</f>
        <v/>
      </c>
      <c r="I2239" s="13">
        <f>SUMIFS(Movimentacoes!$G:$G,Movimentacoes!$C:$C,$A2239,Movimentacoes!$E:$E,$C2239,Movimentacoes!$B:$B,"SAIDA_DESCARTE")</f>
        <v/>
      </c>
      <c r="J2239" s="13">
        <f>G2239-H2239-I2239</f>
        <v/>
      </c>
      <c r="K2239">
        <f>IF(A2239="","",IF(J2239&lt;=IFERROR(VLOOKUP(A2239,Cadastro_Produtos!$A:$E,5,FALSE),0),"ABAIXO DO MINIMO","OK"))</f>
        <v/>
      </c>
    </row>
    <row r="2240">
      <c r="B2240">
        <f>IFERROR(VLOOKUP(A2240,Cadastro_Produtos!A:B,2,FALSE),"")</f>
        <v/>
      </c>
      <c r="D2240" s="12" t="n"/>
      <c r="E2240" s="13">
        <f>IF(D2240="","",D2240-TODAY())</f>
        <v/>
      </c>
      <c r="F2240">
        <f>IF(D2240="","",IF(E2240&lt;0,"VENCIDO",IF(E2240&lt;=30,"VENCE EM &lt;= 30 DIAS",IF(E2240&lt;=60,"ATENCAO (31-60 DIAS)","OK"))))</f>
        <v/>
      </c>
      <c r="G2240" s="13">
        <f>SUMIFS(Movimentacoes!$G:$G,Movimentacoes!$C:$C,$A2240,Movimentacoes!$E:$E,$C2240,Movimentacoes!$B:$B,"ENTRADA")</f>
        <v/>
      </c>
      <c r="H2240" s="13">
        <f>SUMIFS(Movimentacoes!$G:$G,Movimentacoes!$C:$C,$A2240,Movimentacoes!$E:$E,$C2240,Movimentacoes!$B:$B,"SAIDA_USO")</f>
        <v/>
      </c>
      <c r="I2240" s="13">
        <f>SUMIFS(Movimentacoes!$G:$G,Movimentacoes!$C:$C,$A2240,Movimentacoes!$E:$E,$C2240,Movimentacoes!$B:$B,"SAIDA_DESCARTE")</f>
        <v/>
      </c>
      <c r="J2240" s="13">
        <f>G2240-H2240-I2240</f>
        <v/>
      </c>
      <c r="K2240">
        <f>IF(A2240="","",IF(J2240&lt;=IFERROR(VLOOKUP(A2240,Cadastro_Produtos!$A:$E,5,FALSE),0),"ABAIXO DO MINIMO","OK"))</f>
        <v/>
      </c>
    </row>
    <row r="2241">
      <c r="B2241">
        <f>IFERROR(VLOOKUP(A2241,Cadastro_Produtos!A:B,2,FALSE),"")</f>
        <v/>
      </c>
      <c r="D2241" s="12" t="n"/>
      <c r="E2241" s="13">
        <f>IF(D2241="","",D2241-TODAY())</f>
        <v/>
      </c>
      <c r="F2241">
        <f>IF(D2241="","",IF(E2241&lt;0,"VENCIDO",IF(E2241&lt;=30,"VENCE EM &lt;= 30 DIAS",IF(E2241&lt;=60,"ATENCAO (31-60 DIAS)","OK"))))</f>
        <v/>
      </c>
      <c r="G2241" s="13">
        <f>SUMIFS(Movimentacoes!$G:$G,Movimentacoes!$C:$C,$A2241,Movimentacoes!$E:$E,$C2241,Movimentacoes!$B:$B,"ENTRADA")</f>
        <v/>
      </c>
      <c r="H2241" s="13">
        <f>SUMIFS(Movimentacoes!$G:$G,Movimentacoes!$C:$C,$A2241,Movimentacoes!$E:$E,$C2241,Movimentacoes!$B:$B,"SAIDA_USO")</f>
        <v/>
      </c>
      <c r="I2241" s="13">
        <f>SUMIFS(Movimentacoes!$G:$G,Movimentacoes!$C:$C,$A2241,Movimentacoes!$E:$E,$C2241,Movimentacoes!$B:$B,"SAIDA_DESCARTE")</f>
        <v/>
      </c>
      <c r="J2241" s="13">
        <f>G2241-H2241-I2241</f>
        <v/>
      </c>
      <c r="K2241">
        <f>IF(A2241="","",IF(J2241&lt;=IFERROR(VLOOKUP(A2241,Cadastro_Produtos!$A:$E,5,FALSE),0),"ABAIXO DO MINIMO","OK"))</f>
        <v/>
      </c>
    </row>
    <row r="2242">
      <c r="B2242">
        <f>IFERROR(VLOOKUP(A2242,Cadastro_Produtos!A:B,2,FALSE),"")</f>
        <v/>
      </c>
      <c r="D2242" s="12" t="n"/>
      <c r="E2242" s="13">
        <f>IF(D2242="","",D2242-TODAY())</f>
        <v/>
      </c>
      <c r="F2242">
        <f>IF(D2242="","",IF(E2242&lt;0,"VENCIDO",IF(E2242&lt;=30,"VENCE EM &lt;= 30 DIAS",IF(E2242&lt;=60,"ATENCAO (31-60 DIAS)","OK"))))</f>
        <v/>
      </c>
      <c r="G2242" s="13">
        <f>SUMIFS(Movimentacoes!$G:$G,Movimentacoes!$C:$C,$A2242,Movimentacoes!$E:$E,$C2242,Movimentacoes!$B:$B,"ENTRADA")</f>
        <v/>
      </c>
      <c r="H2242" s="13">
        <f>SUMIFS(Movimentacoes!$G:$G,Movimentacoes!$C:$C,$A2242,Movimentacoes!$E:$E,$C2242,Movimentacoes!$B:$B,"SAIDA_USO")</f>
        <v/>
      </c>
      <c r="I2242" s="13">
        <f>SUMIFS(Movimentacoes!$G:$G,Movimentacoes!$C:$C,$A2242,Movimentacoes!$E:$E,$C2242,Movimentacoes!$B:$B,"SAIDA_DESCARTE")</f>
        <v/>
      </c>
      <c r="J2242" s="13">
        <f>G2242-H2242-I2242</f>
        <v/>
      </c>
      <c r="K2242">
        <f>IF(A2242="","",IF(J2242&lt;=IFERROR(VLOOKUP(A2242,Cadastro_Produtos!$A:$E,5,FALSE),0),"ABAIXO DO MINIMO","OK"))</f>
        <v/>
      </c>
    </row>
    <row r="2243">
      <c r="B2243">
        <f>IFERROR(VLOOKUP(A2243,Cadastro_Produtos!A:B,2,FALSE),"")</f>
        <v/>
      </c>
      <c r="D2243" s="12" t="n"/>
      <c r="E2243" s="13">
        <f>IF(D2243="","",D2243-TODAY())</f>
        <v/>
      </c>
      <c r="F2243">
        <f>IF(D2243="","",IF(E2243&lt;0,"VENCIDO",IF(E2243&lt;=30,"VENCE EM &lt;= 30 DIAS",IF(E2243&lt;=60,"ATENCAO (31-60 DIAS)","OK"))))</f>
        <v/>
      </c>
      <c r="G2243" s="13">
        <f>SUMIFS(Movimentacoes!$G:$G,Movimentacoes!$C:$C,$A2243,Movimentacoes!$E:$E,$C2243,Movimentacoes!$B:$B,"ENTRADA")</f>
        <v/>
      </c>
      <c r="H2243" s="13">
        <f>SUMIFS(Movimentacoes!$G:$G,Movimentacoes!$C:$C,$A2243,Movimentacoes!$E:$E,$C2243,Movimentacoes!$B:$B,"SAIDA_USO")</f>
        <v/>
      </c>
      <c r="I2243" s="13">
        <f>SUMIFS(Movimentacoes!$G:$G,Movimentacoes!$C:$C,$A2243,Movimentacoes!$E:$E,$C2243,Movimentacoes!$B:$B,"SAIDA_DESCARTE")</f>
        <v/>
      </c>
      <c r="J2243" s="13">
        <f>G2243-H2243-I2243</f>
        <v/>
      </c>
      <c r="K2243">
        <f>IF(A2243="","",IF(J2243&lt;=IFERROR(VLOOKUP(A2243,Cadastro_Produtos!$A:$E,5,FALSE),0),"ABAIXO DO MINIMO","OK"))</f>
        <v/>
      </c>
    </row>
    <row r="2244">
      <c r="B2244">
        <f>IFERROR(VLOOKUP(A2244,Cadastro_Produtos!A:B,2,FALSE),"")</f>
        <v/>
      </c>
      <c r="D2244" s="12" t="n"/>
      <c r="E2244" s="13">
        <f>IF(D2244="","",D2244-TODAY())</f>
        <v/>
      </c>
      <c r="F2244">
        <f>IF(D2244="","",IF(E2244&lt;0,"VENCIDO",IF(E2244&lt;=30,"VENCE EM &lt;= 30 DIAS",IF(E2244&lt;=60,"ATENCAO (31-60 DIAS)","OK"))))</f>
        <v/>
      </c>
      <c r="G2244" s="13">
        <f>SUMIFS(Movimentacoes!$G:$G,Movimentacoes!$C:$C,$A2244,Movimentacoes!$E:$E,$C2244,Movimentacoes!$B:$B,"ENTRADA")</f>
        <v/>
      </c>
      <c r="H2244" s="13">
        <f>SUMIFS(Movimentacoes!$G:$G,Movimentacoes!$C:$C,$A2244,Movimentacoes!$E:$E,$C2244,Movimentacoes!$B:$B,"SAIDA_USO")</f>
        <v/>
      </c>
      <c r="I2244" s="13">
        <f>SUMIFS(Movimentacoes!$G:$G,Movimentacoes!$C:$C,$A2244,Movimentacoes!$E:$E,$C2244,Movimentacoes!$B:$B,"SAIDA_DESCARTE")</f>
        <v/>
      </c>
      <c r="J2244" s="13">
        <f>G2244-H2244-I2244</f>
        <v/>
      </c>
      <c r="K2244">
        <f>IF(A2244="","",IF(J2244&lt;=IFERROR(VLOOKUP(A2244,Cadastro_Produtos!$A:$E,5,FALSE),0),"ABAIXO DO MINIMO","OK"))</f>
        <v/>
      </c>
    </row>
    <row r="2245">
      <c r="B2245">
        <f>IFERROR(VLOOKUP(A2245,Cadastro_Produtos!A:B,2,FALSE),"")</f>
        <v/>
      </c>
      <c r="D2245" s="12" t="n"/>
      <c r="E2245" s="13">
        <f>IF(D2245="","",D2245-TODAY())</f>
        <v/>
      </c>
      <c r="F2245">
        <f>IF(D2245="","",IF(E2245&lt;0,"VENCIDO",IF(E2245&lt;=30,"VENCE EM &lt;= 30 DIAS",IF(E2245&lt;=60,"ATENCAO (31-60 DIAS)","OK"))))</f>
        <v/>
      </c>
      <c r="G2245" s="13">
        <f>SUMIFS(Movimentacoes!$G:$G,Movimentacoes!$C:$C,$A2245,Movimentacoes!$E:$E,$C2245,Movimentacoes!$B:$B,"ENTRADA")</f>
        <v/>
      </c>
      <c r="H2245" s="13">
        <f>SUMIFS(Movimentacoes!$G:$G,Movimentacoes!$C:$C,$A2245,Movimentacoes!$E:$E,$C2245,Movimentacoes!$B:$B,"SAIDA_USO")</f>
        <v/>
      </c>
      <c r="I2245" s="13">
        <f>SUMIFS(Movimentacoes!$G:$G,Movimentacoes!$C:$C,$A2245,Movimentacoes!$E:$E,$C2245,Movimentacoes!$B:$B,"SAIDA_DESCARTE")</f>
        <v/>
      </c>
      <c r="J2245" s="13">
        <f>G2245-H2245-I2245</f>
        <v/>
      </c>
      <c r="K2245">
        <f>IF(A2245="","",IF(J2245&lt;=IFERROR(VLOOKUP(A2245,Cadastro_Produtos!$A:$E,5,FALSE),0),"ABAIXO DO MINIMO","OK"))</f>
        <v/>
      </c>
    </row>
    <row r="2246">
      <c r="B2246">
        <f>IFERROR(VLOOKUP(A2246,Cadastro_Produtos!A:B,2,FALSE),"")</f>
        <v/>
      </c>
      <c r="D2246" s="12" t="n"/>
      <c r="E2246" s="13">
        <f>IF(D2246="","",D2246-TODAY())</f>
        <v/>
      </c>
      <c r="F2246">
        <f>IF(D2246="","",IF(E2246&lt;0,"VENCIDO",IF(E2246&lt;=30,"VENCE EM &lt;= 30 DIAS",IF(E2246&lt;=60,"ATENCAO (31-60 DIAS)","OK"))))</f>
        <v/>
      </c>
      <c r="G2246" s="13">
        <f>SUMIFS(Movimentacoes!$G:$G,Movimentacoes!$C:$C,$A2246,Movimentacoes!$E:$E,$C2246,Movimentacoes!$B:$B,"ENTRADA")</f>
        <v/>
      </c>
      <c r="H2246" s="13">
        <f>SUMIFS(Movimentacoes!$G:$G,Movimentacoes!$C:$C,$A2246,Movimentacoes!$E:$E,$C2246,Movimentacoes!$B:$B,"SAIDA_USO")</f>
        <v/>
      </c>
      <c r="I2246" s="13">
        <f>SUMIFS(Movimentacoes!$G:$G,Movimentacoes!$C:$C,$A2246,Movimentacoes!$E:$E,$C2246,Movimentacoes!$B:$B,"SAIDA_DESCARTE")</f>
        <v/>
      </c>
      <c r="J2246" s="13">
        <f>G2246-H2246-I2246</f>
        <v/>
      </c>
      <c r="K2246">
        <f>IF(A2246="","",IF(J2246&lt;=IFERROR(VLOOKUP(A2246,Cadastro_Produtos!$A:$E,5,FALSE),0),"ABAIXO DO MINIMO","OK"))</f>
        <v/>
      </c>
    </row>
    <row r="2247">
      <c r="B2247">
        <f>IFERROR(VLOOKUP(A2247,Cadastro_Produtos!A:B,2,FALSE),"")</f>
        <v/>
      </c>
      <c r="D2247" s="12" t="n"/>
      <c r="E2247" s="13">
        <f>IF(D2247="","",D2247-TODAY())</f>
        <v/>
      </c>
      <c r="F2247">
        <f>IF(D2247="","",IF(E2247&lt;0,"VENCIDO",IF(E2247&lt;=30,"VENCE EM &lt;= 30 DIAS",IF(E2247&lt;=60,"ATENCAO (31-60 DIAS)","OK"))))</f>
        <v/>
      </c>
      <c r="G2247" s="13">
        <f>SUMIFS(Movimentacoes!$G:$G,Movimentacoes!$C:$C,$A2247,Movimentacoes!$E:$E,$C2247,Movimentacoes!$B:$B,"ENTRADA")</f>
        <v/>
      </c>
      <c r="H2247" s="13">
        <f>SUMIFS(Movimentacoes!$G:$G,Movimentacoes!$C:$C,$A2247,Movimentacoes!$E:$E,$C2247,Movimentacoes!$B:$B,"SAIDA_USO")</f>
        <v/>
      </c>
      <c r="I2247" s="13">
        <f>SUMIFS(Movimentacoes!$G:$G,Movimentacoes!$C:$C,$A2247,Movimentacoes!$E:$E,$C2247,Movimentacoes!$B:$B,"SAIDA_DESCARTE")</f>
        <v/>
      </c>
      <c r="J2247" s="13">
        <f>G2247-H2247-I2247</f>
        <v/>
      </c>
      <c r="K2247">
        <f>IF(A2247="","",IF(J2247&lt;=IFERROR(VLOOKUP(A2247,Cadastro_Produtos!$A:$E,5,FALSE),0),"ABAIXO DO MINIMO","OK"))</f>
        <v/>
      </c>
    </row>
    <row r="2248">
      <c r="B2248">
        <f>IFERROR(VLOOKUP(A2248,Cadastro_Produtos!A:B,2,FALSE),"")</f>
        <v/>
      </c>
      <c r="D2248" s="12" t="n"/>
      <c r="E2248" s="13">
        <f>IF(D2248="","",D2248-TODAY())</f>
        <v/>
      </c>
      <c r="F2248">
        <f>IF(D2248="","",IF(E2248&lt;0,"VENCIDO",IF(E2248&lt;=30,"VENCE EM &lt;= 30 DIAS",IF(E2248&lt;=60,"ATENCAO (31-60 DIAS)","OK"))))</f>
        <v/>
      </c>
      <c r="G2248" s="13">
        <f>SUMIFS(Movimentacoes!$G:$G,Movimentacoes!$C:$C,$A2248,Movimentacoes!$E:$E,$C2248,Movimentacoes!$B:$B,"ENTRADA")</f>
        <v/>
      </c>
      <c r="H2248" s="13">
        <f>SUMIFS(Movimentacoes!$G:$G,Movimentacoes!$C:$C,$A2248,Movimentacoes!$E:$E,$C2248,Movimentacoes!$B:$B,"SAIDA_USO")</f>
        <v/>
      </c>
      <c r="I2248" s="13">
        <f>SUMIFS(Movimentacoes!$G:$G,Movimentacoes!$C:$C,$A2248,Movimentacoes!$E:$E,$C2248,Movimentacoes!$B:$B,"SAIDA_DESCARTE")</f>
        <v/>
      </c>
      <c r="J2248" s="13">
        <f>G2248-H2248-I2248</f>
        <v/>
      </c>
      <c r="K2248">
        <f>IF(A2248="","",IF(J2248&lt;=IFERROR(VLOOKUP(A2248,Cadastro_Produtos!$A:$E,5,FALSE),0),"ABAIXO DO MINIMO","OK"))</f>
        <v/>
      </c>
    </row>
    <row r="2249">
      <c r="B2249">
        <f>IFERROR(VLOOKUP(A2249,Cadastro_Produtos!A:B,2,FALSE),"")</f>
        <v/>
      </c>
      <c r="D2249" s="12" t="n"/>
      <c r="E2249" s="13">
        <f>IF(D2249="","",D2249-TODAY())</f>
        <v/>
      </c>
      <c r="F2249">
        <f>IF(D2249="","",IF(E2249&lt;0,"VENCIDO",IF(E2249&lt;=30,"VENCE EM &lt;= 30 DIAS",IF(E2249&lt;=60,"ATENCAO (31-60 DIAS)","OK"))))</f>
        <v/>
      </c>
      <c r="G2249" s="13">
        <f>SUMIFS(Movimentacoes!$G:$G,Movimentacoes!$C:$C,$A2249,Movimentacoes!$E:$E,$C2249,Movimentacoes!$B:$B,"ENTRADA")</f>
        <v/>
      </c>
      <c r="H2249" s="13">
        <f>SUMIFS(Movimentacoes!$G:$G,Movimentacoes!$C:$C,$A2249,Movimentacoes!$E:$E,$C2249,Movimentacoes!$B:$B,"SAIDA_USO")</f>
        <v/>
      </c>
      <c r="I2249" s="13">
        <f>SUMIFS(Movimentacoes!$G:$G,Movimentacoes!$C:$C,$A2249,Movimentacoes!$E:$E,$C2249,Movimentacoes!$B:$B,"SAIDA_DESCARTE")</f>
        <v/>
      </c>
      <c r="J2249" s="13">
        <f>G2249-H2249-I2249</f>
        <v/>
      </c>
      <c r="K2249">
        <f>IF(A2249="","",IF(J2249&lt;=IFERROR(VLOOKUP(A2249,Cadastro_Produtos!$A:$E,5,FALSE),0),"ABAIXO DO MINIMO","OK"))</f>
        <v/>
      </c>
    </row>
    <row r="2250">
      <c r="B2250">
        <f>IFERROR(VLOOKUP(A2250,Cadastro_Produtos!A:B,2,FALSE),"")</f>
        <v/>
      </c>
      <c r="D2250" s="12" t="n"/>
      <c r="E2250" s="13">
        <f>IF(D2250="","",D2250-TODAY())</f>
        <v/>
      </c>
      <c r="F2250">
        <f>IF(D2250="","",IF(E2250&lt;0,"VENCIDO",IF(E2250&lt;=30,"VENCE EM &lt;= 30 DIAS",IF(E2250&lt;=60,"ATENCAO (31-60 DIAS)","OK"))))</f>
        <v/>
      </c>
      <c r="G2250" s="13">
        <f>SUMIFS(Movimentacoes!$G:$G,Movimentacoes!$C:$C,$A2250,Movimentacoes!$E:$E,$C2250,Movimentacoes!$B:$B,"ENTRADA")</f>
        <v/>
      </c>
      <c r="H2250" s="13">
        <f>SUMIFS(Movimentacoes!$G:$G,Movimentacoes!$C:$C,$A2250,Movimentacoes!$E:$E,$C2250,Movimentacoes!$B:$B,"SAIDA_USO")</f>
        <v/>
      </c>
      <c r="I2250" s="13">
        <f>SUMIFS(Movimentacoes!$G:$G,Movimentacoes!$C:$C,$A2250,Movimentacoes!$E:$E,$C2250,Movimentacoes!$B:$B,"SAIDA_DESCARTE")</f>
        <v/>
      </c>
      <c r="J2250" s="13">
        <f>G2250-H2250-I2250</f>
        <v/>
      </c>
      <c r="K2250">
        <f>IF(A2250="","",IF(J2250&lt;=IFERROR(VLOOKUP(A2250,Cadastro_Produtos!$A:$E,5,FALSE),0),"ABAIXO DO MINIMO","OK"))</f>
        <v/>
      </c>
    </row>
    <row r="2251">
      <c r="B2251">
        <f>IFERROR(VLOOKUP(A2251,Cadastro_Produtos!A:B,2,FALSE),"")</f>
        <v/>
      </c>
      <c r="D2251" s="12" t="n"/>
      <c r="E2251" s="13">
        <f>IF(D2251="","",D2251-TODAY())</f>
        <v/>
      </c>
      <c r="F2251">
        <f>IF(D2251="","",IF(E2251&lt;0,"VENCIDO",IF(E2251&lt;=30,"VENCE EM &lt;= 30 DIAS",IF(E2251&lt;=60,"ATENCAO (31-60 DIAS)","OK"))))</f>
        <v/>
      </c>
      <c r="G2251" s="13">
        <f>SUMIFS(Movimentacoes!$G:$G,Movimentacoes!$C:$C,$A2251,Movimentacoes!$E:$E,$C2251,Movimentacoes!$B:$B,"ENTRADA")</f>
        <v/>
      </c>
      <c r="H2251" s="13">
        <f>SUMIFS(Movimentacoes!$G:$G,Movimentacoes!$C:$C,$A2251,Movimentacoes!$E:$E,$C2251,Movimentacoes!$B:$B,"SAIDA_USO")</f>
        <v/>
      </c>
      <c r="I2251" s="13">
        <f>SUMIFS(Movimentacoes!$G:$G,Movimentacoes!$C:$C,$A2251,Movimentacoes!$E:$E,$C2251,Movimentacoes!$B:$B,"SAIDA_DESCARTE")</f>
        <v/>
      </c>
      <c r="J2251" s="13">
        <f>G2251-H2251-I2251</f>
        <v/>
      </c>
      <c r="K2251">
        <f>IF(A2251="","",IF(J2251&lt;=IFERROR(VLOOKUP(A2251,Cadastro_Produtos!$A:$E,5,FALSE),0),"ABAIXO DO MINIMO","OK"))</f>
        <v/>
      </c>
    </row>
    <row r="2252">
      <c r="B2252">
        <f>IFERROR(VLOOKUP(A2252,Cadastro_Produtos!A:B,2,FALSE),"")</f>
        <v/>
      </c>
      <c r="D2252" s="12" t="n"/>
      <c r="E2252" s="13">
        <f>IF(D2252="","",D2252-TODAY())</f>
        <v/>
      </c>
      <c r="F2252">
        <f>IF(D2252="","",IF(E2252&lt;0,"VENCIDO",IF(E2252&lt;=30,"VENCE EM &lt;= 30 DIAS",IF(E2252&lt;=60,"ATENCAO (31-60 DIAS)","OK"))))</f>
        <v/>
      </c>
      <c r="G2252" s="13">
        <f>SUMIFS(Movimentacoes!$G:$G,Movimentacoes!$C:$C,$A2252,Movimentacoes!$E:$E,$C2252,Movimentacoes!$B:$B,"ENTRADA")</f>
        <v/>
      </c>
      <c r="H2252" s="13">
        <f>SUMIFS(Movimentacoes!$G:$G,Movimentacoes!$C:$C,$A2252,Movimentacoes!$E:$E,$C2252,Movimentacoes!$B:$B,"SAIDA_USO")</f>
        <v/>
      </c>
      <c r="I2252" s="13">
        <f>SUMIFS(Movimentacoes!$G:$G,Movimentacoes!$C:$C,$A2252,Movimentacoes!$E:$E,$C2252,Movimentacoes!$B:$B,"SAIDA_DESCARTE")</f>
        <v/>
      </c>
      <c r="J2252" s="13">
        <f>G2252-H2252-I2252</f>
        <v/>
      </c>
      <c r="K2252">
        <f>IF(A2252="","",IF(J2252&lt;=IFERROR(VLOOKUP(A2252,Cadastro_Produtos!$A:$E,5,FALSE),0),"ABAIXO DO MINIMO","OK"))</f>
        <v/>
      </c>
    </row>
    <row r="2253">
      <c r="B2253">
        <f>IFERROR(VLOOKUP(A2253,Cadastro_Produtos!A:B,2,FALSE),"")</f>
        <v/>
      </c>
      <c r="D2253" s="12" t="n"/>
      <c r="E2253" s="13">
        <f>IF(D2253="","",D2253-TODAY())</f>
        <v/>
      </c>
      <c r="F2253">
        <f>IF(D2253="","",IF(E2253&lt;0,"VENCIDO",IF(E2253&lt;=30,"VENCE EM &lt;= 30 DIAS",IF(E2253&lt;=60,"ATENCAO (31-60 DIAS)","OK"))))</f>
        <v/>
      </c>
      <c r="G2253" s="13">
        <f>SUMIFS(Movimentacoes!$G:$G,Movimentacoes!$C:$C,$A2253,Movimentacoes!$E:$E,$C2253,Movimentacoes!$B:$B,"ENTRADA")</f>
        <v/>
      </c>
      <c r="H2253" s="13">
        <f>SUMIFS(Movimentacoes!$G:$G,Movimentacoes!$C:$C,$A2253,Movimentacoes!$E:$E,$C2253,Movimentacoes!$B:$B,"SAIDA_USO")</f>
        <v/>
      </c>
      <c r="I2253" s="13">
        <f>SUMIFS(Movimentacoes!$G:$G,Movimentacoes!$C:$C,$A2253,Movimentacoes!$E:$E,$C2253,Movimentacoes!$B:$B,"SAIDA_DESCARTE")</f>
        <v/>
      </c>
      <c r="J2253" s="13">
        <f>G2253-H2253-I2253</f>
        <v/>
      </c>
      <c r="K2253">
        <f>IF(A2253="","",IF(J2253&lt;=IFERROR(VLOOKUP(A2253,Cadastro_Produtos!$A:$E,5,FALSE),0),"ABAIXO DO MINIMO","OK"))</f>
        <v/>
      </c>
    </row>
    <row r="2254">
      <c r="B2254">
        <f>IFERROR(VLOOKUP(A2254,Cadastro_Produtos!A:B,2,FALSE),"")</f>
        <v/>
      </c>
      <c r="D2254" s="12" t="n"/>
      <c r="E2254" s="13">
        <f>IF(D2254="","",D2254-TODAY())</f>
        <v/>
      </c>
      <c r="F2254">
        <f>IF(D2254="","",IF(E2254&lt;0,"VENCIDO",IF(E2254&lt;=30,"VENCE EM &lt;= 30 DIAS",IF(E2254&lt;=60,"ATENCAO (31-60 DIAS)","OK"))))</f>
        <v/>
      </c>
      <c r="G2254" s="13">
        <f>SUMIFS(Movimentacoes!$G:$G,Movimentacoes!$C:$C,$A2254,Movimentacoes!$E:$E,$C2254,Movimentacoes!$B:$B,"ENTRADA")</f>
        <v/>
      </c>
      <c r="H2254" s="13">
        <f>SUMIFS(Movimentacoes!$G:$G,Movimentacoes!$C:$C,$A2254,Movimentacoes!$E:$E,$C2254,Movimentacoes!$B:$B,"SAIDA_USO")</f>
        <v/>
      </c>
      <c r="I2254" s="13">
        <f>SUMIFS(Movimentacoes!$G:$G,Movimentacoes!$C:$C,$A2254,Movimentacoes!$E:$E,$C2254,Movimentacoes!$B:$B,"SAIDA_DESCARTE")</f>
        <v/>
      </c>
      <c r="J2254" s="13">
        <f>G2254-H2254-I2254</f>
        <v/>
      </c>
      <c r="K2254">
        <f>IF(A2254="","",IF(J2254&lt;=IFERROR(VLOOKUP(A2254,Cadastro_Produtos!$A:$E,5,FALSE),0),"ABAIXO DO MINIMO","OK"))</f>
        <v/>
      </c>
    </row>
    <row r="2255">
      <c r="B2255">
        <f>IFERROR(VLOOKUP(A2255,Cadastro_Produtos!A:B,2,FALSE),"")</f>
        <v/>
      </c>
      <c r="D2255" s="12" t="n"/>
      <c r="E2255" s="13">
        <f>IF(D2255="","",D2255-TODAY())</f>
        <v/>
      </c>
      <c r="F2255">
        <f>IF(D2255="","",IF(E2255&lt;0,"VENCIDO",IF(E2255&lt;=30,"VENCE EM &lt;= 30 DIAS",IF(E2255&lt;=60,"ATENCAO (31-60 DIAS)","OK"))))</f>
        <v/>
      </c>
      <c r="G2255" s="13">
        <f>SUMIFS(Movimentacoes!$G:$G,Movimentacoes!$C:$C,$A2255,Movimentacoes!$E:$E,$C2255,Movimentacoes!$B:$B,"ENTRADA")</f>
        <v/>
      </c>
      <c r="H2255" s="13">
        <f>SUMIFS(Movimentacoes!$G:$G,Movimentacoes!$C:$C,$A2255,Movimentacoes!$E:$E,$C2255,Movimentacoes!$B:$B,"SAIDA_USO")</f>
        <v/>
      </c>
      <c r="I2255" s="13">
        <f>SUMIFS(Movimentacoes!$G:$G,Movimentacoes!$C:$C,$A2255,Movimentacoes!$E:$E,$C2255,Movimentacoes!$B:$B,"SAIDA_DESCARTE")</f>
        <v/>
      </c>
      <c r="J2255" s="13">
        <f>G2255-H2255-I2255</f>
        <v/>
      </c>
      <c r="K2255">
        <f>IF(A2255="","",IF(J2255&lt;=IFERROR(VLOOKUP(A2255,Cadastro_Produtos!$A:$E,5,FALSE),0),"ABAIXO DO MINIMO","OK"))</f>
        <v/>
      </c>
    </row>
    <row r="2256">
      <c r="B2256">
        <f>IFERROR(VLOOKUP(A2256,Cadastro_Produtos!A:B,2,FALSE),"")</f>
        <v/>
      </c>
      <c r="D2256" s="12" t="n"/>
      <c r="E2256" s="13">
        <f>IF(D2256="","",D2256-TODAY())</f>
        <v/>
      </c>
      <c r="F2256">
        <f>IF(D2256="","",IF(E2256&lt;0,"VENCIDO",IF(E2256&lt;=30,"VENCE EM &lt;= 30 DIAS",IF(E2256&lt;=60,"ATENCAO (31-60 DIAS)","OK"))))</f>
        <v/>
      </c>
      <c r="G2256" s="13">
        <f>SUMIFS(Movimentacoes!$G:$G,Movimentacoes!$C:$C,$A2256,Movimentacoes!$E:$E,$C2256,Movimentacoes!$B:$B,"ENTRADA")</f>
        <v/>
      </c>
      <c r="H2256" s="13">
        <f>SUMIFS(Movimentacoes!$G:$G,Movimentacoes!$C:$C,$A2256,Movimentacoes!$E:$E,$C2256,Movimentacoes!$B:$B,"SAIDA_USO")</f>
        <v/>
      </c>
      <c r="I2256" s="13">
        <f>SUMIFS(Movimentacoes!$G:$G,Movimentacoes!$C:$C,$A2256,Movimentacoes!$E:$E,$C2256,Movimentacoes!$B:$B,"SAIDA_DESCARTE")</f>
        <v/>
      </c>
      <c r="J2256" s="13">
        <f>G2256-H2256-I2256</f>
        <v/>
      </c>
      <c r="K2256">
        <f>IF(A2256="","",IF(J2256&lt;=IFERROR(VLOOKUP(A2256,Cadastro_Produtos!$A:$E,5,FALSE),0),"ABAIXO DO MINIMO","OK"))</f>
        <v/>
      </c>
    </row>
    <row r="2257">
      <c r="B2257">
        <f>IFERROR(VLOOKUP(A2257,Cadastro_Produtos!A:B,2,FALSE),"")</f>
        <v/>
      </c>
      <c r="D2257" s="12" t="n"/>
      <c r="E2257" s="13">
        <f>IF(D2257="","",D2257-TODAY())</f>
        <v/>
      </c>
      <c r="F2257">
        <f>IF(D2257="","",IF(E2257&lt;0,"VENCIDO",IF(E2257&lt;=30,"VENCE EM &lt;= 30 DIAS",IF(E2257&lt;=60,"ATENCAO (31-60 DIAS)","OK"))))</f>
        <v/>
      </c>
      <c r="G2257" s="13">
        <f>SUMIFS(Movimentacoes!$G:$G,Movimentacoes!$C:$C,$A2257,Movimentacoes!$E:$E,$C2257,Movimentacoes!$B:$B,"ENTRADA")</f>
        <v/>
      </c>
      <c r="H2257" s="13">
        <f>SUMIFS(Movimentacoes!$G:$G,Movimentacoes!$C:$C,$A2257,Movimentacoes!$E:$E,$C2257,Movimentacoes!$B:$B,"SAIDA_USO")</f>
        <v/>
      </c>
      <c r="I2257" s="13">
        <f>SUMIFS(Movimentacoes!$G:$G,Movimentacoes!$C:$C,$A2257,Movimentacoes!$E:$E,$C2257,Movimentacoes!$B:$B,"SAIDA_DESCARTE")</f>
        <v/>
      </c>
      <c r="J2257" s="13">
        <f>G2257-H2257-I2257</f>
        <v/>
      </c>
      <c r="K2257">
        <f>IF(A2257="","",IF(J2257&lt;=IFERROR(VLOOKUP(A2257,Cadastro_Produtos!$A:$E,5,FALSE),0),"ABAIXO DO MINIMO","OK"))</f>
        <v/>
      </c>
    </row>
    <row r="2258">
      <c r="B2258">
        <f>IFERROR(VLOOKUP(A2258,Cadastro_Produtos!A:B,2,FALSE),"")</f>
        <v/>
      </c>
      <c r="D2258" s="12" t="n"/>
      <c r="E2258" s="13">
        <f>IF(D2258="","",D2258-TODAY())</f>
        <v/>
      </c>
      <c r="F2258">
        <f>IF(D2258="","",IF(E2258&lt;0,"VENCIDO",IF(E2258&lt;=30,"VENCE EM &lt;= 30 DIAS",IF(E2258&lt;=60,"ATENCAO (31-60 DIAS)","OK"))))</f>
        <v/>
      </c>
      <c r="G2258" s="13">
        <f>SUMIFS(Movimentacoes!$G:$G,Movimentacoes!$C:$C,$A2258,Movimentacoes!$E:$E,$C2258,Movimentacoes!$B:$B,"ENTRADA")</f>
        <v/>
      </c>
      <c r="H2258" s="13">
        <f>SUMIFS(Movimentacoes!$G:$G,Movimentacoes!$C:$C,$A2258,Movimentacoes!$E:$E,$C2258,Movimentacoes!$B:$B,"SAIDA_USO")</f>
        <v/>
      </c>
      <c r="I2258" s="13">
        <f>SUMIFS(Movimentacoes!$G:$G,Movimentacoes!$C:$C,$A2258,Movimentacoes!$E:$E,$C2258,Movimentacoes!$B:$B,"SAIDA_DESCARTE")</f>
        <v/>
      </c>
      <c r="J2258" s="13">
        <f>G2258-H2258-I2258</f>
        <v/>
      </c>
      <c r="K2258">
        <f>IF(A2258="","",IF(J2258&lt;=IFERROR(VLOOKUP(A2258,Cadastro_Produtos!$A:$E,5,FALSE),0),"ABAIXO DO MINIMO","OK"))</f>
        <v/>
      </c>
    </row>
    <row r="2259">
      <c r="B2259">
        <f>IFERROR(VLOOKUP(A2259,Cadastro_Produtos!A:B,2,FALSE),"")</f>
        <v/>
      </c>
      <c r="D2259" s="12" t="n"/>
      <c r="E2259" s="13">
        <f>IF(D2259="","",D2259-TODAY())</f>
        <v/>
      </c>
      <c r="F2259">
        <f>IF(D2259="","",IF(E2259&lt;0,"VENCIDO",IF(E2259&lt;=30,"VENCE EM &lt;= 30 DIAS",IF(E2259&lt;=60,"ATENCAO (31-60 DIAS)","OK"))))</f>
        <v/>
      </c>
      <c r="G2259" s="13">
        <f>SUMIFS(Movimentacoes!$G:$G,Movimentacoes!$C:$C,$A2259,Movimentacoes!$E:$E,$C2259,Movimentacoes!$B:$B,"ENTRADA")</f>
        <v/>
      </c>
      <c r="H2259" s="13">
        <f>SUMIFS(Movimentacoes!$G:$G,Movimentacoes!$C:$C,$A2259,Movimentacoes!$E:$E,$C2259,Movimentacoes!$B:$B,"SAIDA_USO")</f>
        <v/>
      </c>
      <c r="I2259" s="13">
        <f>SUMIFS(Movimentacoes!$G:$G,Movimentacoes!$C:$C,$A2259,Movimentacoes!$E:$E,$C2259,Movimentacoes!$B:$B,"SAIDA_DESCARTE")</f>
        <v/>
      </c>
      <c r="J2259" s="13">
        <f>G2259-H2259-I2259</f>
        <v/>
      </c>
      <c r="K2259">
        <f>IF(A2259="","",IF(J2259&lt;=IFERROR(VLOOKUP(A2259,Cadastro_Produtos!$A:$E,5,FALSE),0),"ABAIXO DO MINIMO","OK"))</f>
        <v/>
      </c>
    </row>
    <row r="2260">
      <c r="B2260">
        <f>IFERROR(VLOOKUP(A2260,Cadastro_Produtos!A:B,2,FALSE),"")</f>
        <v/>
      </c>
      <c r="D2260" s="12" t="n"/>
      <c r="E2260" s="13">
        <f>IF(D2260="","",D2260-TODAY())</f>
        <v/>
      </c>
      <c r="F2260">
        <f>IF(D2260="","",IF(E2260&lt;0,"VENCIDO",IF(E2260&lt;=30,"VENCE EM &lt;= 30 DIAS",IF(E2260&lt;=60,"ATENCAO (31-60 DIAS)","OK"))))</f>
        <v/>
      </c>
      <c r="G2260" s="13">
        <f>SUMIFS(Movimentacoes!$G:$G,Movimentacoes!$C:$C,$A2260,Movimentacoes!$E:$E,$C2260,Movimentacoes!$B:$B,"ENTRADA")</f>
        <v/>
      </c>
      <c r="H2260" s="13">
        <f>SUMIFS(Movimentacoes!$G:$G,Movimentacoes!$C:$C,$A2260,Movimentacoes!$E:$E,$C2260,Movimentacoes!$B:$B,"SAIDA_USO")</f>
        <v/>
      </c>
      <c r="I2260" s="13">
        <f>SUMIFS(Movimentacoes!$G:$G,Movimentacoes!$C:$C,$A2260,Movimentacoes!$E:$E,$C2260,Movimentacoes!$B:$B,"SAIDA_DESCARTE")</f>
        <v/>
      </c>
      <c r="J2260" s="13">
        <f>G2260-H2260-I2260</f>
        <v/>
      </c>
      <c r="K2260">
        <f>IF(A2260="","",IF(J2260&lt;=IFERROR(VLOOKUP(A2260,Cadastro_Produtos!$A:$E,5,FALSE),0),"ABAIXO DO MINIMO","OK"))</f>
        <v/>
      </c>
    </row>
    <row r="2261">
      <c r="B2261">
        <f>IFERROR(VLOOKUP(A2261,Cadastro_Produtos!A:B,2,FALSE),"")</f>
        <v/>
      </c>
      <c r="D2261" s="12" t="n"/>
      <c r="E2261" s="13">
        <f>IF(D2261="","",D2261-TODAY())</f>
        <v/>
      </c>
      <c r="F2261">
        <f>IF(D2261="","",IF(E2261&lt;0,"VENCIDO",IF(E2261&lt;=30,"VENCE EM &lt;= 30 DIAS",IF(E2261&lt;=60,"ATENCAO (31-60 DIAS)","OK"))))</f>
        <v/>
      </c>
      <c r="G2261" s="13">
        <f>SUMIFS(Movimentacoes!$G:$G,Movimentacoes!$C:$C,$A2261,Movimentacoes!$E:$E,$C2261,Movimentacoes!$B:$B,"ENTRADA")</f>
        <v/>
      </c>
      <c r="H2261" s="13">
        <f>SUMIFS(Movimentacoes!$G:$G,Movimentacoes!$C:$C,$A2261,Movimentacoes!$E:$E,$C2261,Movimentacoes!$B:$B,"SAIDA_USO")</f>
        <v/>
      </c>
      <c r="I2261" s="13">
        <f>SUMIFS(Movimentacoes!$G:$G,Movimentacoes!$C:$C,$A2261,Movimentacoes!$E:$E,$C2261,Movimentacoes!$B:$B,"SAIDA_DESCARTE")</f>
        <v/>
      </c>
      <c r="J2261" s="13">
        <f>G2261-H2261-I2261</f>
        <v/>
      </c>
      <c r="K2261">
        <f>IF(A2261="","",IF(J2261&lt;=IFERROR(VLOOKUP(A2261,Cadastro_Produtos!$A:$E,5,FALSE),0),"ABAIXO DO MINIMO","OK"))</f>
        <v/>
      </c>
    </row>
    <row r="2262">
      <c r="B2262">
        <f>IFERROR(VLOOKUP(A2262,Cadastro_Produtos!A:B,2,FALSE),"")</f>
        <v/>
      </c>
      <c r="D2262" s="12" t="n"/>
      <c r="E2262" s="13">
        <f>IF(D2262="","",D2262-TODAY())</f>
        <v/>
      </c>
      <c r="F2262">
        <f>IF(D2262="","",IF(E2262&lt;0,"VENCIDO",IF(E2262&lt;=30,"VENCE EM &lt;= 30 DIAS",IF(E2262&lt;=60,"ATENCAO (31-60 DIAS)","OK"))))</f>
        <v/>
      </c>
      <c r="G2262" s="13">
        <f>SUMIFS(Movimentacoes!$G:$G,Movimentacoes!$C:$C,$A2262,Movimentacoes!$E:$E,$C2262,Movimentacoes!$B:$B,"ENTRADA")</f>
        <v/>
      </c>
      <c r="H2262" s="13">
        <f>SUMIFS(Movimentacoes!$G:$G,Movimentacoes!$C:$C,$A2262,Movimentacoes!$E:$E,$C2262,Movimentacoes!$B:$B,"SAIDA_USO")</f>
        <v/>
      </c>
      <c r="I2262" s="13">
        <f>SUMIFS(Movimentacoes!$G:$G,Movimentacoes!$C:$C,$A2262,Movimentacoes!$E:$E,$C2262,Movimentacoes!$B:$B,"SAIDA_DESCARTE")</f>
        <v/>
      </c>
      <c r="J2262" s="13">
        <f>G2262-H2262-I2262</f>
        <v/>
      </c>
      <c r="K2262">
        <f>IF(A2262="","",IF(J2262&lt;=IFERROR(VLOOKUP(A2262,Cadastro_Produtos!$A:$E,5,FALSE),0),"ABAIXO DO MINIMO","OK"))</f>
        <v/>
      </c>
    </row>
    <row r="2263">
      <c r="B2263">
        <f>IFERROR(VLOOKUP(A2263,Cadastro_Produtos!A:B,2,FALSE),"")</f>
        <v/>
      </c>
      <c r="D2263" s="12" t="n"/>
      <c r="E2263" s="13">
        <f>IF(D2263="","",D2263-TODAY())</f>
        <v/>
      </c>
      <c r="F2263">
        <f>IF(D2263="","",IF(E2263&lt;0,"VENCIDO",IF(E2263&lt;=30,"VENCE EM &lt;= 30 DIAS",IF(E2263&lt;=60,"ATENCAO (31-60 DIAS)","OK"))))</f>
        <v/>
      </c>
      <c r="G2263" s="13">
        <f>SUMIFS(Movimentacoes!$G:$G,Movimentacoes!$C:$C,$A2263,Movimentacoes!$E:$E,$C2263,Movimentacoes!$B:$B,"ENTRADA")</f>
        <v/>
      </c>
      <c r="H2263" s="13">
        <f>SUMIFS(Movimentacoes!$G:$G,Movimentacoes!$C:$C,$A2263,Movimentacoes!$E:$E,$C2263,Movimentacoes!$B:$B,"SAIDA_USO")</f>
        <v/>
      </c>
      <c r="I2263" s="13">
        <f>SUMIFS(Movimentacoes!$G:$G,Movimentacoes!$C:$C,$A2263,Movimentacoes!$E:$E,$C2263,Movimentacoes!$B:$B,"SAIDA_DESCARTE")</f>
        <v/>
      </c>
      <c r="J2263" s="13">
        <f>G2263-H2263-I2263</f>
        <v/>
      </c>
      <c r="K2263">
        <f>IF(A2263="","",IF(J2263&lt;=IFERROR(VLOOKUP(A2263,Cadastro_Produtos!$A:$E,5,FALSE),0),"ABAIXO DO MINIMO","OK"))</f>
        <v/>
      </c>
    </row>
    <row r="2264">
      <c r="B2264">
        <f>IFERROR(VLOOKUP(A2264,Cadastro_Produtos!A:B,2,FALSE),"")</f>
        <v/>
      </c>
      <c r="D2264" s="12" t="n"/>
      <c r="E2264" s="13">
        <f>IF(D2264="","",D2264-TODAY())</f>
        <v/>
      </c>
      <c r="F2264">
        <f>IF(D2264="","",IF(E2264&lt;0,"VENCIDO",IF(E2264&lt;=30,"VENCE EM &lt;= 30 DIAS",IF(E2264&lt;=60,"ATENCAO (31-60 DIAS)","OK"))))</f>
        <v/>
      </c>
      <c r="G2264" s="13">
        <f>SUMIFS(Movimentacoes!$G:$G,Movimentacoes!$C:$C,$A2264,Movimentacoes!$E:$E,$C2264,Movimentacoes!$B:$B,"ENTRADA")</f>
        <v/>
      </c>
      <c r="H2264" s="13">
        <f>SUMIFS(Movimentacoes!$G:$G,Movimentacoes!$C:$C,$A2264,Movimentacoes!$E:$E,$C2264,Movimentacoes!$B:$B,"SAIDA_USO")</f>
        <v/>
      </c>
      <c r="I2264" s="13">
        <f>SUMIFS(Movimentacoes!$G:$G,Movimentacoes!$C:$C,$A2264,Movimentacoes!$E:$E,$C2264,Movimentacoes!$B:$B,"SAIDA_DESCARTE")</f>
        <v/>
      </c>
      <c r="J2264" s="13">
        <f>G2264-H2264-I2264</f>
        <v/>
      </c>
      <c r="K2264">
        <f>IF(A2264="","",IF(J2264&lt;=IFERROR(VLOOKUP(A2264,Cadastro_Produtos!$A:$E,5,FALSE),0),"ABAIXO DO MINIMO","OK"))</f>
        <v/>
      </c>
    </row>
    <row r="2265">
      <c r="B2265">
        <f>IFERROR(VLOOKUP(A2265,Cadastro_Produtos!A:B,2,FALSE),"")</f>
        <v/>
      </c>
      <c r="D2265" s="12" t="n"/>
      <c r="E2265" s="13">
        <f>IF(D2265="","",D2265-TODAY())</f>
        <v/>
      </c>
      <c r="F2265">
        <f>IF(D2265="","",IF(E2265&lt;0,"VENCIDO",IF(E2265&lt;=30,"VENCE EM &lt;= 30 DIAS",IF(E2265&lt;=60,"ATENCAO (31-60 DIAS)","OK"))))</f>
        <v/>
      </c>
      <c r="G2265" s="13">
        <f>SUMIFS(Movimentacoes!$G:$G,Movimentacoes!$C:$C,$A2265,Movimentacoes!$E:$E,$C2265,Movimentacoes!$B:$B,"ENTRADA")</f>
        <v/>
      </c>
      <c r="H2265" s="13">
        <f>SUMIFS(Movimentacoes!$G:$G,Movimentacoes!$C:$C,$A2265,Movimentacoes!$E:$E,$C2265,Movimentacoes!$B:$B,"SAIDA_USO")</f>
        <v/>
      </c>
      <c r="I2265" s="13">
        <f>SUMIFS(Movimentacoes!$G:$G,Movimentacoes!$C:$C,$A2265,Movimentacoes!$E:$E,$C2265,Movimentacoes!$B:$B,"SAIDA_DESCARTE")</f>
        <v/>
      </c>
      <c r="J2265" s="13">
        <f>G2265-H2265-I2265</f>
        <v/>
      </c>
      <c r="K2265">
        <f>IF(A2265="","",IF(J2265&lt;=IFERROR(VLOOKUP(A2265,Cadastro_Produtos!$A:$E,5,FALSE),0),"ABAIXO DO MINIMO","OK"))</f>
        <v/>
      </c>
    </row>
    <row r="2266">
      <c r="B2266">
        <f>IFERROR(VLOOKUP(A2266,Cadastro_Produtos!A:B,2,FALSE),"")</f>
        <v/>
      </c>
      <c r="D2266" s="12" t="n"/>
      <c r="E2266" s="13">
        <f>IF(D2266="","",D2266-TODAY())</f>
        <v/>
      </c>
      <c r="F2266">
        <f>IF(D2266="","",IF(E2266&lt;0,"VENCIDO",IF(E2266&lt;=30,"VENCE EM &lt;= 30 DIAS",IF(E2266&lt;=60,"ATENCAO (31-60 DIAS)","OK"))))</f>
        <v/>
      </c>
      <c r="G2266" s="13">
        <f>SUMIFS(Movimentacoes!$G:$G,Movimentacoes!$C:$C,$A2266,Movimentacoes!$E:$E,$C2266,Movimentacoes!$B:$B,"ENTRADA")</f>
        <v/>
      </c>
      <c r="H2266" s="13">
        <f>SUMIFS(Movimentacoes!$G:$G,Movimentacoes!$C:$C,$A2266,Movimentacoes!$E:$E,$C2266,Movimentacoes!$B:$B,"SAIDA_USO")</f>
        <v/>
      </c>
      <c r="I2266" s="13">
        <f>SUMIFS(Movimentacoes!$G:$G,Movimentacoes!$C:$C,$A2266,Movimentacoes!$E:$E,$C2266,Movimentacoes!$B:$B,"SAIDA_DESCARTE")</f>
        <v/>
      </c>
      <c r="J2266" s="13">
        <f>G2266-H2266-I2266</f>
        <v/>
      </c>
      <c r="K2266">
        <f>IF(A2266="","",IF(J2266&lt;=IFERROR(VLOOKUP(A2266,Cadastro_Produtos!$A:$E,5,FALSE),0),"ABAIXO DO MINIMO","OK"))</f>
        <v/>
      </c>
    </row>
    <row r="2267">
      <c r="B2267">
        <f>IFERROR(VLOOKUP(A2267,Cadastro_Produtos!A:B,2,FALSE),"")</f>
        <v/>
      </c>
      <c r="D2267" s="12" t="n"/>
      <c r="E2267" s="13">
        <f>IF(D2267="","",D2267-TODAY())</f>
        <v/>
      </c>
      <c r="F2267">
        <f>IF(D2267="","",IF(E2267&lt;0,"VENCIDO",IF(E2267&lt;=30,"VENCE EM &lt;= 30 DIAS",IF(E2267&lt;=60,"ATENCAO (31-60 DIAS)","OK"))))</f>
        <v/>
      </c>
      <c r="G2267" s="13">
        <f>SUMIFS(Movimentacoes!$G:$G,Movimentacoes!$C:$C,$A2267,Movimentacoes!$E:$E,$C2267,Movimentacoes!$B:$B,"ENTRADA")</f>
        <v/>
      </c>
      <c r="H2267" s="13">
        <f>SUMIFS(Movimentacoes!$G:$G,Movimentacoes!$C:$C,$A2267,Movimentacoes!$E:$E,$C2267,Movimentacoes!$B:$B,"SAIDA_USO")</f>
        <v/>
      </c>
      <c r="I2267" s="13">
        <f>SUMIFS(Movimentacoes!$G:$G,Movimentacoes!$C:$C,$A2267,Movimentacoes!$E:$E,$C2267,Movimentacoes!$B:$B,"SAIDA_DESCARTE")</f>
        <v/>
      </c>
      <c r="J2267" s="13">
        <f>G2267-H2267-I2267</f>
        <v/>
      </c>
      <c r="K2267">
        <f>IF(A2267="","",IF(J2267&lt;=IFERROR(VLOOKUP(A2267,Cadastro_Produtos!$A:$E,5,FALSE),0),"ABAIXO DO MINIMO","OK"))</f>
        <v/>
      </c>
    </row>
    <row r="2268">
      <c r="B2268">
        <f>IFERROR(VLOOKUP(A2268,Cadastro_Produtos!A:B,2,FALSE),"")</f>
        <v/>
      </c>
      <c r="D2268" s="12" t="n"/>
      <c r="E2268" s="13">
        <f>IF(D2268="","",D2268-TODAY())</f>
        <v/>
      </c>
      <c r="F2268">
        <f>IF(D2268="","",IF(E2268&lt;0,"VENCIDO",IF(E2268&lt;=30,"VENCE EM &lt;= 30 DIAS",IF(E2268&lt;=60,"ATENCAO (31-60 DIAS)","OK"))))</f>
        <v/>
      </c>
      <c r="G2268" s="13">
        <f>SUMIFS(Movimentacoes!$G:$G,Movimentacoes!$C:$C,$A2268,Movimentacoes!$E:$E,$C2268,Movimentacoes!$B:$B,"ENTRADA")</f>
        <v/>
      </c>
      <c r="H2268" s="13">
        <f>SUMIFS(Movimentacoes!$G:$G,Movimentacoes!$C:$C,$A2268,Movimentacoes!$E:$E,$C2268,Movimentacoes!$B:$B,"SAIDA_USO")</f>
        <v/>
      </c>
      <c r="I2268" s="13">
        <f>SUMIFS(Movimentacoes!$G:$G,Movimentacoes!$C:$C,$A2268,Movimentacoes!$E:$E,$C2268,Movimentacoes!$B:$B,"SAIDA_DESCARTE")</f>
        <v/>
      </c>
      <c r="J2268" s="13">
        <f>G2268-H2268-I2268</f>
        <v/>
      </c>
      <c r="K2268">
        <f>IF(A2268="","",IF(J2268&lt;=IFERROR(VLOOKUP(A2268,Cadastro_Produtos!$A:$E,5,FALSE),0),"ABAIXO DO MINIMO","OK"))</f>
        <v/>
      </c>
    </row>
    <row r="2269">
      <c r="B2269">
        <f>IFERROR(VLOOKUP(A2269,Cadastro_Produtos!A:B,2,FALSE),"")</f>
        <v/>
      </c>
      <c r="D2269" s="12" t="n"/>
      <c r="E2269" s="13">
        <f>IF(D2269="","",D2269-TODAY())</f>
        <v/>
      </c>
      <c r="F2269">
        <f>IF(D2269="","",IF(E2269&lt;0,"VENCIDO",IF(E2269&lt;=30,"VENCE EM &lt;= 30 DIAS",IF(E2269&lt;=60,"ATENCAO (31-60 DIAS)","OK"))))</f>
        <v/>
      </c>
      <c r="G2269" s="13">
        <f>SUMIFS(Movimentacoes!$G:$G,Movimentacoes!$C:$C,$A2269,Movimentacoes!$E:$E,$C2269,Movimentacoes!$B:$B,"ENTRADA")</f>
        <v/>
      </c>
      <c r="H2269" s="13">
        <f>SUMIFS(Movimentacoes!$G:$G,Movimentacoes!$C:$C,$A2269,Movimentacoes!$E:$E,$C2269,Movimentacoes!$B:$B,"SAIDA_USO")</f>
        <v/>
      </c>
      <c r="I2269" s="13">
        <f>SUMIFS(Movimentacoes!$G:$G,Movimentacoes!$C:$C,$A2269,Movimentacoes!$E:$E,$C2269,Movimentacoes!$B:$B,"SAIDA_DESCARTE")</f>
        <v/>
      </c>
      <c r="J2269" s="13">
        <f>G2269-H2269-I2269</f>
        <v/>
      </c>
      <c r="K2269">
        <f>IF(A2269="","",IF(J2269&lt;=IFERROR(VLOOKUP(A2269,Cadastro_Produtos!$A:$E,5,FALSE),0),"ABAIXO DO MINIMO","OK"))</f>
        <v/>
      </c>
    </row>
    <row r="2270">
      <c r="B2270">
        <f>IFERROR(VLOOKUP(A2270,Cadastro_Produtos!A:B,2,FALSE),"")</f>
        <v/>
      </c>
      <c r="D2270" s="12" t="n"/>
      <c r="E2270" s="13">
        <f>IF(D2270="","",D2270-TODAY())</f>
        <v/>
      </c>
      <c r="F2270">
        <f>IF(D2270="","",IF(E2270&lt;0,"VENCIDO",IF(E2270&lt;=30,"VENCE EM &lt;= 30 DIAS",IF(E2270&lt;=60,"ATENCAO (31-60 DIAS)","OK"))))</f>
        <v/>
      </c>
      <c r="G2270" s="13">
        <f>SUMIFS(Movimentacoes!$G:$G,Movimentacoes!$C:$C,$A2270,Movimentacoes!$E:$E,$C2270,Movimentacoes!$B:$B,"ENTRADA")</f>
        <v/>
      </c>
      <c r="H2270" s="13">
        <f>SUMIFS(Movimentacoes!$G:$G,Movimentacoes!$C:$C,$A2270,Movimentacoes!$E:$E,$C2270,Movimentacoes!$B:$B,"SAIDA_USO")</f>
        <v/>
      </c>
      <c r="I2270" s="13">
        <f>SUMIFS(Movimentacoes!$G:$G,Movimentacoes!$C:$C,$A2270,Movimentacoes!$E:$E,$C2270,Movimentacoes!$B:$B,"SAIDA_DESCARTE")</f>
        <v/>
      </c>
      <c r="J2270" s="13">
        <f>G2270-H2270-I2270</f>
        <v/>
      </c>
      <c r="K2270">
        <f>IF(A2270="","",IF(J2270&lt;=IFERROR(VLOOKUP(A2270,Cadastro_Produtos!$A:$E,5,FALSE),0),"ABAIXO DO MINIMO","OK"))</f>
        <v/>
      </c>
    </row>
    <row r="2271">
      <c r="B2271">
        <f>IFERROR(VLOOKUP(A2271,Cadastro_Produtos!A:B,2,FALSE),"")</f>
        <v/>
      </c>
      <c r="D2271" s="12" t="n"/>
      <c r="E2271" s="13">
        <f>IF(D2271="","",D2271-TODAY())</f>
        <v/>
      </c>
      <c r="F2271">
        <f>IF(D2271="","",IF(E2271&lt;0,"VENCIDO",IF(E2271&lt;=30,"VENCE EM &lt;= 30 DIAS",IF(E2271&lt;=60,"ATENCAO (31-60 DIAS)","OK"))))</f>
        <v/>
      </c>
      <c r="G2271" s="13">
        <f>SUMIFS(Movimentacoes!$G:$G,Movimentacoes!$C:$C,$A2271,Movimentacoes!$E:$E,$C2271,Movimentacoes!$B:$B,"ENTRADA")</f>
        <v/>
      </c>
      <c r="H2271" s="13">
        <f>SUMIFS(Movimentacoes!$G:$G,Movimentacoes!$C:$C,$A2271,Movimentacoes!$E:$E,$C2271,Movimentacoes!$B:$B,"SAIDA_USO")</f>
        <v/>
      </c>
      <c r="I2271" s="13">
        <f>SUMIFS(Movimentacoes!$G:$G,Movimentacoes!$C:$C,$A2271,Movimentacoes!$E:$E,$C2271,Movimentacoes!$B:$B,"SAIDA_DESCARTE")</f>
        <v/>
      </c>
      <c r="J2271" s="13">
        <f>G2271-H2271-I2271</f>
        <v/>
      </c>
      <c r="K2271">
        <f>IF(A2271="","",IF(J2271&lt;=IFERROR(VLOOKUP(A2271,Cadastro_Produtos!$A:$E,5,FALSE),0),"ABAIXO DO MINIMO","OK"))</f>
        <v/>
      </c>
    </row>
    <row r="2272">
      <c r="B2272">
        <f>IFERROR(VLOOKUP(A2272,Cadastro_Produtos!A:B,2,FALSE),"")</f>
        <v/>
      </c>
      <c r="D2272" s="12" t="n"/>
      <c r="E2272" s="13">
        <f>IF(D2272="","",D2272-TODAY())</f>
        <v/>
      </c>
      <c r="F2272">
        <f>IF(D2272="","",IF(E2272&lt;0,"VENCIDO",IF(E2272&lt;=30,"VENCE EM &lt;= 30 DIAS",IF(E2272&lt;=60,"ATENCAO (31-60 DIAS)","OK"))))</f>
        <v/>
      </c>
      <c r="G2272" s="13">
        <f>SUMIFS(Movimentacoes!$G:$G,Movimentacoes!$C:$C,$A2272,Movimentacoes!$E:$E,$C2272,Movimentacoes!$B:$B,"ENTRADA")</f>
        <v/>
      </c>
      <c r="H2272" s="13">
        <f>SUMIFS(Movimentacoes!$G:$G,Movimentacoes!$C:$C,$A2272,Movimentacoes!$E:$E,$C2272,Movimentacoes!$B:$B,"SAIDA_USO")</f>
        <v/>
      </c>
      <c r="I2272" s="13">
        <f>SUMIFS(Movimentacoes!$G:$G,Movimentacoes!$C:$C,$A2272,Movimentacoes!$E:$E,$C2272,Movimentacoes!$B:$B,"SAIDA_DESCARTE")</f>
        <v/>
      </c>
      <c r="J2272" s="13">
        <f>G2272-H2272-I2272</f>
        <v/>
      </c>
      <c r="K2272">
        <f>IF(A2272="","",IF(J2272&lt;=IFERROR(VLOOKUP(A2272,Cadastro_Produtos!$A:$E,5,FALSE),0),"ABAIXO DO MINIMO","OK"))</f>
        <v/>
      </c>
    </row>
    <row r="2273">
      <c r="B2273">
        <f>IFERROR(VLOOKUP(A2273,Cadastro_Produtos!A:B,2,FALSE),"")</f>
        <v/>
      </c>
      <c r="D2273" s="12" t="n"/>
      <c r="E2273" s="13">
        <f>IF(D2273="","",D2273-TODAY())</f>
        <v/>
      </c>
      <c r="F2273">
        <f>IF(D2273="","",IF(E2273&lt;0,"VENCIDO",IF(E2273&lt;=30,"VENCE EM &lt;= 30 DIAS",IF(E2273&lt;=60,"ATENCAO (31-60 DIAS)","OK"))))</f>
        <v/>
      </c>
      <c r="G2273" s="13">
        <f>SUMIFS(Movimentacoes!$G:$G,Movimentacoes!$C:$C,$A2273,Movimentacoes!$E:$E,$C2273,Movimentacoes!$B:$B,"ENTRADA")</f>
        <v/>
      </c>
      <c r="H2273" s="13">
        <f>SUMIFS(Movimentacoes!$G:$G,Movimentacoes!$C:$C,$A2273,Movimentacoes!$E:$E,$C2273,Movimentacoes!$B:$B,"SAIDA_USO")</f>
        <v/>
      </c>
      <c r="I2273" s="13">
        <f>SUMIFS(Movimentacoes!$G:$G,Movimentacoes!$C:$C,$A2273,Movimentacoes!$E:$E,$C2273,Movimentacoes!$B:$B,"SAIDA_DESCARTE")</f>
        <v/>
      </c>
      <c r="J2273" s="13">
        <f>G2273-H2273-I2273</f>
        <v/>
      </c>
      <c r="K2273">
        <f>IF(A2273="","",IF(J2273&lt;=IFERROR(VLOOKUP(A2273,Cadastro_Produtos!$A:$E,5,FALSE),0),"ABAIXO DO MINIMO","OK"))</f>
        <v/>
      </c>
    </row>
    <row r="2274">
      <c r="B2274">
        <f>IFERROR(VLOOKUP(A2274,Cadastro_Produtos!A:B,2,FALSE),"")</f>
        <v/>
      </c>
      <c r="D2274" s="12" t="n"/>
      <c r="E2274" s="13">
        <f>IF(D2274="","",D2274-TODAY())</f>
        <v/>
      </c>
      <c r="F2274">
        <f>IF(D2274="","",IF(E2274&lt;0,"VENCIDO",IF(E2274&lt;=30,"VENCE EM &lt;= 30 DIAS",IF(E2274&lt;=60,"ATENCAO (31-60 DIAS)","OK"))))</f>
        <v/>
      </c>
      <c r="G2274" s="13">
        <f>SUMIFS(Movimentacoes!$G:$G,Movimentacoes!$C:$C,$A2274,Movimentacoes!$E:$E,$C2274,Movimentacoes!$B:$B,"ENTRADA")</f>
        <v/>
      </c>
      <c r="H2274" s="13">
        <f>SUMIFS(Movimentacoes!$G:$G,Movimentacoes!$C:$C,$A2274,Movimentacoes!$E:$E,$C2274,Movimentacoes!$B:$B,"SAIDA_USO")</f>
        <v/>
      </c>
      <c r="I2274" s="13">
        <f>SUMIFS(Movimentacoes!$G:$G,Movimentacoes!$C:$C,$A2274,Movimentacoes!$E:$E,$C2274,Movimentacoes!$B:$B,"SAIDA_DESCARTE")</f>
        <v/>
      </c>
      <c r="J2274" s="13">
        <f>G2274-H2274-I2274</f>
        <v/>
      </c>
      <c r="K2274">
        <f>IF(A2274="","",IF(J2274&lt;=IFERROR(VLOOKUP(A2274,Cadastro_Produtos!$A:$E,5,FALSE),0),"ABAIXO DO MINIMO","OK"))</f>
        <v/>
      </c>
    </row>
    <row r="2275">
      <c r="B2275">
        <f>IFERROR(VLOOKUP(A2275,Cadastro_Produtos!A:B,2,FALSE),"")</f>
        <v/>
      </c>
      <c r="D2275" s="12" t="n"/>
      <c r="E2275" s="13">
        <f>IF(D2275="","",D2275-TODAY())</f>
        <v/>
      </c>
      <c r="F2275">
        <f>IF(D2275="","",IF(E2275&lt;0,"VENCIDO",IF(E2275&lt;=30,"VENCE EM &lt;= 30 DIAS",IF(E2275&lt;=60,"ATENCAO (31-60 DIAS)","OK"))))</f>
        <v/>
      </c>
      <c r="G2275" s="13">
        <f>SUMIFS(Movimentacoes!$G:$G,Movimentacoes!$C:$C,$A2275,Movimentacoes!$E:$E,$C2275,Movimentacoes!$B:$B,"ENTRADA")</f>
        <v/>
      </c>
      <c r="H2275" s="13">
        <f>SUMIFS(Movimentacoes!$G:$G,Movimentacoes!$C:$C,$A2275,Movimentacoes!$E:$E,$C2275,Movimentacoes!$B:$B,"SAIDA_USO")</f>
        <v/>
      </c>
      <c r="I2275" s="13">
        <f>SUMIFS(Movimentacoes!$G:$G,Movimentacoes!$C:$C,$A2275,Movimentacoes!$E:$E,$C2275,Movimentacoes!$B:$B,"SAIDA_DESCARTE")</f>
        <v/>
      </c>
      <c r="J2275" s="13">
        <f>G2275-H2275-I2275</f>
        <v/>
      </c>
      <c r="K2275">
        <f>IF(A2275="","",IF(J2275&lt;=IFERROR(VLOOKUP(A2275,Cadastro_Produtos!$A:$E,5,FALSE),0),"ABAIXO DO MINIMO","OK"))</f>
        <v/>
      </c>
    </row>
    <row r="2276">
      <c r="B2276">
        <f>IFERROR(VLOOKUP(A2276,Cadastro_Produtos!A:B,2,FALSE),"")</f>
        <v/>
      </c>
      <c r="D2276" s="12" t="n"/>
      <c r="E2276" s="13">
        <f>IF(D2276="","",D2276-TODAY())</f>
        <v/>
      </c>
      <c r="F2276">
        <f>IF(D2276="","",IF(E2276&lt;0,"VENCIDO",IF(E2276&lt;=30,"VENCE EM &lt;= 30 DIAS",IF(E2276&lt;=60,"ATENCAO (31-60 DIAS)","OK"))))</f>
        <v/>
      </c>
      <c r="G2276" s="13">
        <f>SUMIFS(Movimentacoes!$G:$G,Movimentacoes!$C:$C,$A2276,Movimentacoes!$E:$E,$C2276,Movimentacoes!$B:$B,"ENTRADA")</f>
        <v/>
      </c>
      <c r="H2276" s="13">
        <f>SUMIFS(Movimentacoes!$G:$G,Movimentacoes!$C:$C,$A2276,Movimentacoes!$E:$E,$C2276,Movimentacoes!$B:$B,"SAIDA_USO")</f>
        <v/>
      </c>
      <c r="I2276" s="13">
        <f>SUMIFS(Movimentacoes!$G:$G,Movimentacoes!$C:$C,$A2276,Movimentacoes!$E:$E,$C2276,Movimentacoes!$B:$B,"SAIDA_DESCARTE")</f>
        <v/>
      </c>
      <c r="J2276" s="13">
        <f>G2276-H2276-I2276</f>
        <v/>
      </c>
      <c r="K2276">
        <f>IF(A2276="","",IF(J2276&lt;=IFERROR(VLOOKUP(A2276,Cadastro_Produtos!$A:$E,5,FALSE),0),"ABAIXO DO MINIMO","OK"))</f>
        <v/>
      </c>
    </row>
    <row r="2277">
      <c r="B2277">
        <f>IFERROR(VLOOKUP(A2277,Cadastro_Produtos!A:B,2,FALSE),"")</f>
        <v/>
      </c>
      <c r="D2277" s="12" t="n"/>
      <c r="E2277" s="13">
        <f>IF(D2277="","",D2277-TODAY())</f>
        <v/>
      </c>
      <c r="F2277">
        <f>IF(D2277="","",IF(E2277&lt;0,"VENCIDO",IF(E2277&lt;=30,"VENCE EM &lt;= 30 DIAS",IF(E2277&lt;=60,"ATENCAO (31-60 DIAS)","OK"))))</f>
        <v/>
      </c>
      <c r="G2277" s="13">
        <f>SUMIFS(Movimentacoes!$G:$G,Movimentacoes!$C:$C,$A2277,Movimentacoes!$E:$E,$C2277,Movimentacoes!$B:$B,"ENTRADA")</f>
        <v/>
      </c>
      <c r="H2277" s="13">
        <f>SUMIFS(Movimentacoes!$G:$G,Movimentacoes!$C:$C,$A2277,Movimentacoes!$E:$E,$C2277,Movimentacoes!$B:$B,"SAIDA_USO")</f>
        <v/>
      </c>
      <c r="I2277" s="13">
        <f>SUMIFS(Movimentacoes!$G:$G,Movimentacoes!$C:$C,$A2277,Movimentacoes!$E:$E,$C2277,Movimentacoes!$B:$B,"SAIDA_DESCARTE")</f>
        <v/>
      </c>
      <c r="J2277" s="13">
        <f>G2277-H2277-I2277</f>
        <v/>
      </c>
      <c r="K2277">
        <f>IF(A2277="","",IF(J2277&lt;=IFERROR(VLOOKUP(A2277,Cadastro_Produtos!$A:$E,5,FALSE),0),"ABAIXO DO MINIMO","OK"))</f>
        <v/>
      </c>
    </row>
    <row r="2278">
      <c r="B2278">
        <f>IFERROR(VLOOKUP(A2278,Cadastro_Produtos!A:B,2,FALSE),"")</f>
        <v/>
      </c>
      <c r="D2278" s="12" t="n"/>
      <c r="E2278" s="13">
        <f>IF(D2278="","",D2278-TODAY())</f>
        <v/>
      </c>
      <c r="F2278">
        <f>IF(D2278="","",IF(E2278&lt;0,"VENCIDO",IF(E2278&lt;=30,"VENCE EM &lt;= 30 DIAS",IF(E2278&lt;=60,"ATENCAO (31-60 DIAS)","OK"))))</f>
        <v/>
      </c>
      <c r="G2278" s="13">
        <f>SUMIFS(Movimentacoes!$G:$G,Movimentacoes!$C:$C,$A2278,Movimentacoes!$E:$E,$C2278,Movimentacoes!$B:$B,"ENTRADA")</f>
        <v/>
      </c>
      <c r="H2278" s="13">
        <f>SUMIFS(Movimentacoes!$G:$G,Movimentacoes!$C:$C,$A2278,Movimentacoes!$E:$E,$C2278,Movimentacoes!$B:$B,"SAIDA_USO")</f>
        <v/>
      </c>
      <c r="I2278" s="13">
        <f>SUMIFS(Movimentacoes!$G:$G,Movimentacoes!$C:$C,$A2278,Movimentacoes!$E:$E,$C2278,Movimentacoes!$B:$B,"SAIDA_DESCARTE")</f>
        <v/>
      </c>
      <c r="J2278" s="13">
        <f>G2278-H2278-I2278</f>
        <v/>
      </c>
      <c r="K2278">
        <f>IF(A2278="","",IF(J2278&lt;=IFERROR(VLOOKUP(A2278,Cadastro_Produtos!$A:$E,5,FALSE),0),"ABAIXO DO MINIMO","OK"))</f>
        <v/>
      </c>
    </row>
    <row r="2279">
      <c r="B2279">
        <f>IFERROR(VLOOKUP(A2279,Cadastro_Produtos!A:B,2,FALSE),"")</f>
        <v/>
      </c>
      <c r="D2279" s="12" t="n"/>
      <c r="E2279" s="13">
        <f>IF(D2279="","",D2279-TODAY())</f>
        <v/>
      </c>
      <c r="F2279">
        <f>IF(D2279="","",IF(E2279&lt;0,"VENCIDO",IF(E2279&lt;=30,"VENCE EM &lt;= 30 DIAS",IF(E2279&lt;=60,"ATENCAO (31-60 DIAS)","OK"))))</f>
        <v/>
      </c>
      <c r="G2279" s="13">
        <f>SUMIFS(Movimentacoes!$G:$G,Movimentacoes!$C:$C,$A2279,Movimentacoes!$E:$E,$C2279,Movimentacoes!$B:$B,"ENTRADA")</f>
        <v/>
      </c>
      <c r="H2279" s="13">
        <f>SUMIFS(Movimentacoes!$G:$G,Movimentacoes!$C:$C,$A2279,Movimentacoes!$E:$E,$C2279,Movimentacoes!$B:$B,"SAIDA_USO")</f>
        <v/>
      </c>
      <c r="I2279" s="13">
        <f>SUMIFS(Movimentacoes!$G:$G,Movimentacoes!$C:$C,$A2279,Movimentacoes!$E:$E,$C2279,Movimentacoes!$B:$B,"SAIDA_DESCARTE")</f>
        <v/>
      </c>
      <c r="J2279" s="13">
        <f>G2279-H2279-I2279</f>
        <v/>
      </c>
      <c r="K2279">
        <f>IF(A2279="","",IF(J2279&lt;=IFERROR(VLOOKUP(A2279,Cadastro_Produtos!$A:$E,5,FALSE),0),"ABAIXO DO MINIMO","OK"))</f>
        <v/>
      </c>
    </row>
    <row r="2280">
      <c r="B2280">
        <f>IFERROR(VLOOKUP(A2280,Cadastro_Produtos!A:B,2,FALSE),"")</f>
        <v/>
      </c>
      <c r="D2280" s="12" t="n"/>
      <c r="E2280" s="13">
        <f>IF(D2280="","",D2280-TODAY())</f>
        <v/>
      </c>
      <c r="F2280">
        <f>IF(D2280="","",IF(E2280&lt;0,"VENCIDO",IF(E2280&lt;=30,"VENCE EM &lt;= 30 DIAS",IF(E2280&lt;=60,"ATENCAO (31-60 DIAS)","OK"))))</f>
        <v/>
      </c>
      <c r="G2280" s="13">
        <f>SUMIFS(Movimentacoes!$G:$G,Movimentacoes!$C:$C,$A2280,Movimentacoes!$E:$E,$C2280,Movimentacoes!$B:$B,"ENTRADA")</f>
        <v/>
      </c>
      <c r="H2280" s="13">
        <f>SUMIFS(Movimentacoes!$G:$G,Movimentacoes!$C:$C,$A2280,Movimentacoes!$E:$E,$C2280,Movimentacoes!$B:$B,"SAIDA_USO")</f>
        <v/>
      </c>
      <c r="I2280" s="13">
        <f>SUMIFS(Movimentacoes!$G:$G,Movimentacoes!$C:$C,$A2280,Movimentacoes!$E:$E,$C2280,Movimentacoes!$B:$B,"SAIDA_DESCARTE")</f>
        <v/>
      </c>
      <c r="J2280" s="13">
        <f>G2280-H2280-I2280</f>
        <v/>
      </c>
      <c r="K2280">
        <f>IF(A2280="","",IF(J2280&lt;=IFERROR(VLOOKUP(A2280,Cadastro_Produtos!$A:$E,5,FALSE),0),"ABAIXO DO MINIMO","OK"))</f>
        <v/>
      </c>
    </row>
    <row r="2281">
      <c r="B2281">
        <f>IFERROR(VLOOKUP(A2281,Cadastro_Produtos!A:B,2,FALSE),"")</f>
        <v/>
      </c>
      <c r="D2281" s="12" t="n"/>
      <c r="E2281" s="13">
        <f>IF(D2281="","",D2281-TODAY())</f>
        <v/>
      </c>
      <c r="F2281">
        <f>IF(D2281="","",IF(E2281&lt;0,"VENCIDO",IF(E2281&lt;=30,"VENCE EM &lt;= 30 DIAS",IF(E2281&lt;=60,"ATENCAO (31-60 DIAS)","OK"))))</f>
        <v/>
      </c>
      <c r="G2281" s="13">
        <f>SUMIFS(Movimentacoes!$G:$G,Movimentacoes!$C:$C,$A2281,Movimentacoes!$E:$E,$C2281,Movimentacoes!$B:$B,"ENTRADA")</f>
        <v/>
      </c>
      <c r="H2281" s="13">
        <f>SUMIFS(Movimentacoes!$G:$G,Movimentacoes!$C:$C,$A2281,Movimentacoes!$E:$E,$C2281,Movimentacoes!$B:$B,"SAIDA_USO")</f>
        <v/>
      </c>
      <c r="I2281" s="13">
        <f>SUMIFS(Movimentacoes!$G:$G,Movimentacoes!$C:$C,$A2281,Movimentacoes!$E:$E,$C2281,Movimentacoes!$B:$B,"SAIDA_DESCARTE")</f>
        <v/>
      </c>
      <c r="J2281" s="13">
        <f>G2281-H2281-I2281</f>
        <v/>
      </c>
      <c r="K2281">
        <f>IF(A2281="","",IF(J2281&lt;=IFERROR(VLOOKUP(A2281,Cadastro_Produtos!$A:$E,5,FALSE),0),"ABAIXO DO MINIMO","OK"))</f>
        <v/>
      </c>
    </row>
    <row r="2282">
      <c r="B2282">
        <f>IFERROR(VLOOKUP(A2282,Cadastro_Produtos!A:B,2,FALSE),"")</f>
        <v/>
      </c>
      <c r="D2282" s="12" t="n"/>
      <c r="E2282" s="13">
        <f>IF(D2282="","",D2282-TODAY())</f>
        <v/>
      </c>
      <c r="F2282">
        <f>IF(D2282="","",IF(E2282&lt;0,"VENCIDO",IF(E2282&lt;=30,"VENCE EM &lt;= 30 DIAS",IF(E2282&lt;=60,"ATENCAO (31-60 DIAS)","OK"))))</f>
        <v/>
      </c>
      <c r="G2282" s="13">
        <f>SUMIFS(Movimentacoes!$G:$G,Movimentacoes!$C:$C,$A2282,Movimentacoes!$E:$E,$C2282,Movimentacoes!$B:$B,"ENTRADA")</f>
        <v/>
      </c>
      <c r="H2282" s="13">
        <f>SUMIFS(Movimentacoes!$G:$G,Movimentacoes!$C:$C,$A2282,Movimentacoes!$E:$E,$C2282,Movimentacoes!$B:$B,"SAIDA_USO")</f>
        <v/>
      </c>
      <c r="I2282" s="13">
        <f>SUMIFS(Movimentacoes!$G:$G,Movimentacoes!$C:$C,$A2282,Movimentacoes!$E:$E,$C2282,Movimentacoes!$B:$B,"SAIDA_DESCARTE")</f>
        <v/>
      </c>
      <c r="J2282" s="13">
        <f>G2282-H2282-I2282</f>
        <v/>
      </c>
      <c r="K2282">
        <f>IF(A2282="","",IF(J2282&lt;=IFERROR(VLOOKUP(A2282,Cadastro_Produtos!$A:$E,5,FALSE),0),"ABAIXO DO MINIMO","OK"))</f>
        <v/>
      </c>
    </row>
    <row r="2283">
      <c r="B2283">
        <f>IFERROR(VLOOKUP(A2283,Cadastro_Produtos!A:B,2,FALSE),"")</f>
        <v/>
      </c>
      <c r="D2283" s="12" t="n"/>
      <c r="E2283" s="13">
        <f>IF(D2283="","",D2283-TODAY())</f>
        <v/>
      </c>
      <c r="F2283">
        <f>IF(D2283="","",IF(E2283&lt;0,"VENCIDO",IF(E2283&lt;=30,"VENCE EM &lt;= 30 DIAS",IF(E2283&lt;=60,"ATENCAO (31-60 DIAS)","OK"))))</f>
        <v/>
      </c>
      <c r="G2283" s="13">
        <f>SUMIFS(Movimentacoes!$G:$G,Movimentacoes!$C:$C,$A2283,Movimentacoes!$E:$E,$C2283,Movimentacoes!$B:$B,"ENTRADA")</f>
        <v/>
      </c>
      <c r="H2283" s="13">
        <f>SUMIFS(Movimentacoes!$G:$G,Movimentacoes!$C:$C,$A2283,Movimentacoes!$E:$E,$C2283,Movimentacoes!$B:$B,"SAIDA_USO")</f>
        <v/>
      </c>
      <c r="I2283" s="13">
        <f>SUMIFS(Movimentacoes!$G:$G,Movimentacoes!$C:$C,$A2283,Movimentacoes!$E:$E,$C2283,Movimentacoes!$B:$B,"SAIDA_DESCARTE")</f>
        <v/>
      </c>
      <c r="J2283" s="13">
        <f>G2283-H2283-I2283</f>
        <v/>
      </c>
      <c r="K2283">
        <f>IF(A2283="","",IF(J2283&lt;=IFERROR(VLOOKUP(A2283,Cadastro_Produtos!$A:$E,5,FALSE),0),"ABAIXO DO MINIMO","OK"))</f>
        <v/>
      </c>
    </row>
    <row r="2284">
      <c r="B2284">
        <f>IFERROR(VLOOKUP(A2284,Cadastro_Produtos!A:B,2,FALSE),"")</f>
        <v/>
      </c>
      <c r="D2284" s="12" t="n"/>
      <c r="E2284" s="13">
        <f>IF(D2284="","",D2284-TODAY())</f>
        <v/>
      </c>
      <c r="F2284">
        <f>IF(D2284="","",IF(E2284&lt;0,"VENCIDO",IF(E2284&lt;=30,"VENCE EM &lt;= 30 DIAS",IF(E2284&lt;=60,"ATENCAO (31-60 DIAS)","OK"))))</f>
        <v/>
      </c>
      <c r="G2284" s="13">
        <f>SUMIFS(Movimentacoes!$G:$G,Movimentacoes!$C:$C,$A2284,Movimentacoes!$E:$E,$C2284,Movimentacoes!$B:$B,"ENTRADA")</f>
        <v/>
      </c>
      <c r="H2284" s="13">
        <f>SUMIFS(Movimentacoes!$G:$G,Movimentacoes!$C:$C,$A2284,Movimentacoes!$E:$E,$C2284,Movimentacoes!$B:$B,"SAIDA_USO")</f>
        <v/>
      </c>
      <c r="I2284" s="13">
        <f>SUMIFS(Movimentacoes!$G:$G,Movimentacoes!$C:$C,$A2284,Movimentacoes!$E:$E,$C2284,Movimentacoes!$B:$B,"SAIDA_DESCARTE")</f>
        <v/>
      </c>
      <c r="J2284" s="13">
        <f>G2284-H2284-I2284</f>
        <v/>
      </c>
      <c r="K2284">
        <f>IF(A2284="","",IF(J2284&lt;=IFERROR(VLOOKUP(A2284,Cadastro_Produtos!$A:$E,5,FALSE),0),"ABAIXO DO MINIMO","OK"))</f>
        <v/>
      </c>
    </row>
    <row r="2285">
      <c r="B2285">
        <f>IFERROR(VLOOKUP(A2285,Cadastro_Produtos!A:B,2,FALSE),"")</f>
        <v/>
      </c>
      <c r="D2285" s="12" t="n"/>
      <c r="E2285" s="13">
        <f>IF(D2285="","",D2285-TODAY())</f>
        <v/>
      </c>
      <c r="F2285">
        <f>IF(D2285="","",IF(E2285&lt;0,"VENCIDO",IF(E2285&lt;=30,"VENCE EM &lt;= 30 DIAS",IF(E2285&lt;=60,"ATENCAO (31-60 DIAS)","OK"))))</f>
        <v/>
      </c>
      <c r="G2285" s="13">
        <f>SUMIFS(Movimentacoes!$G:$G,Movimentacoes!$C:$C,$A2285,Movimentacoes!$E:$E,$C2285,Movimentacoes!$B:$B,"ENTRADA")</f>
        <v/>
      </c>
      <c r="H2285" s="13">
        <f>SUMIFS(Movimentacoes!$G:$G,Movimentacoes!$C:$C,$A2285,Movimentacoes!$E:$E,$C2285,Movimentacoes!$B:$B,"SAIDA_USO")</f>
        <v/>
      </c>
      <c r="I2285" s="13">
        <f>SUMIFS(Movimentacoes!$G:$G,Movimentacoes!$C:$C,$A2285,Movimentacoes!$E:$E,$C2285,Movimentacoes!$B:$B,"SAIDA_DESCARTE")</f>
        <v/>
      </c>
      <c r="J2285" s="13">
        <f>G2285-H2285-I2285</f>
        <v/>
      </c>
      <c r="K2285">
        <f>IF(A2285="","",IF(J2285&lt;=IFERROR(VLOOKUP(A2285,Cadastro_Produtos!$A:$E,5,FALSE),0),"ABAIXO DO MINIMO","OK"))</f>
        <v/>
      </c>
    </row>
    <row r="2286">
      <c r="B2286">
        <f>IFERROR(VLOOKUP(A2286,Cadastro_Produtos!A:B,2,FALSE),"")</f>
        <v/>
      </c>
      <c r="D2286" s="12" t="n"/>
      <c r="E2286" s="13">
        <f>IF(D2286="","",D2286-TODAY())</f>
        <v/>
      </c>
      <c r="F2286">
        <f>IF(D2286="","",IF(E2286&lt;0,"VENCIDO",IF(E2286&lt;=30,"VENCE EM &lt;= 30 DIAS",IF(E2286&lt;=60,"ATENCAO (31-60 DIAS)","OK"))))</f>
        <v/>
      </c>
      <c r="G2286" s="13">
        <f>SUMIFS(Movimentacoes!$G:$G,Movimentacoes!$C:$C,$A2286,Movimentacoes!$E:$E,$C2286,Movimentacoes!$B:$B,"ENTRADA")</f>
        <v/>
      </c>
      <c r="H2286" s="13">
        <f>SUMIFS(Movimentacoes!$G:$G,Movimentacoes!$C:$C,$A2286,Movimentacoes!$E:$E,$C2286,Movimentacoes!$B:$B,"SAIDA_USO")</f>
        <v/>
      </c>
      <c r="I2286" s="13">
        <f>SUMIFS(Movimentacoes!$G:$G,Movimentacoes!$C:$C,$A2286,Movimentacoes!$E:$E,$C2286,Movimentacoes!$B:$B,"SAIDA_DESCARTE")</f>
        <v/>
      </c>
      <c r="J2286" s="13">
        <f>G2286-H2286-I2286</f>
        <v/>
      </c>
      <c r="K2286">
        <f>IF(A2286="","",IF(J2286&lt;=IFERROR(VLOOKUP(A2286,Cadastro_Produtos!$A:$E,5,FALSE),0),"ABAIXO DO MINIMO","OK"))</f>
        <v/>
      </c>
    </row>
    <row r="2287">
      <c r="B2287">
        <f>IFERROR(VLOOKUP(A2287,Cadastro_Produtos!A:B,2,FALSE),"")</f>
        <v/>
      </c>
      <c r="D2287" s="12" t="n"/>
      <c r="E2287" s="13">
        <f>IF(D2287="","",D2287-TODAY())</f>
        <v/>
      </c>
      <c r="F2287">
        <f>IF(D2287="","",IF(E2287&lt;0,"VENCIDO",IF(E2287&lt;=30,"VENCE EM &lt;= 30 DIAS",IF(E2287&lt;=60,"ATENCAO (31-60 DIAS)","OK"))))</f>
        <v/>
      </c>
      <c r="G2287" s="13">
        <f>SUMIFS(Movimentacoes!$G:$G,Movimentacoes!$C:$C,$A2287,Movimentacoes!$E:$E,$C2287,Movimentacoes!$B:$B,"ENTRADA")</f>
        <v/>
      </c>
      <c r="H2287" s="13">
        <f>SUMIFS(Movimentacoes!$G:$G,Movimentacoes!$C:$C,$A2287,Movimentacoes!$E:$E,$C2287,Movimentacoes!$B:$B,"SAIDA_USO")</f>
        <v/>
      </c>
      <c r="I2287" s="13">
        <f>SUMIFS(Movimentacoes!$G:$G,Movimentacoes!$C:$C,$A2287,Movimentacoes!$E:$E,$C2287,Movimentacoes!$B:$B,"SAIDA_DESCARTE")</f>
        <v/>
      </c>
      <c r="J2287" s="13">
        <f>G2287-H2287-I2287</f>
        <v/>
      </c>
      <c r="K2287">
        <f>IF(A2287="","",IF(J2287&lt;=IFERROR(VLOOKUP(A2287,Cadastro_Produtos!$A:$E,5,FALSE),0),"ABAIXO DO MINIMO","OK"))</f>
        <v/>
      </c>
    </row>
    <row r="2288">
      <c r="B2288">
        <f>IFERROR(VLOOKUP(A2288,Cadastro_Produtos!A:B,2,FALSE),"")</f>
        <v/>
      </c>
      <c r="D2288" s="12" t="n"/>
      <c r="E2288" s="13">
        <f>IF(D2288="","",D2288-TODAY())</f>
        <v/>
      </c>
      <c r="F2288">
        <f>IF(D2288="","",IF(E2288&lt;0,"VENCIDO",IF(E2288&lt;=30,"VENCE EM &lt;= 30 DIAS",IF(E2288&lt;=60,"ATENCAO (31-60 DIAS)","OK"))))</f>
        <v/>
      </c>
      <c r="G2288" s="13">
        <f>SUMIFS(Movimentacoes!$G:$G,Movimentacoes!$C:$C,$A2288,Movimentacoes!$E:$E,$C2288,Movimentacoes!$B:$B,"ENTRADA")</f>
        <v/>
      </c>
      <c r="H2288" s="13">
        <f>SUMIFS(Movimentacoes!$G:$G,Movimentacoes!$C:$C,$A2288,Movimentacoes!$E:$E,$C2288,Movimentacoes!$B:$B,"SAIDA_USO")</f>
        <v/>
      </c>
      <c r="I2288" s="13">
        <f>SUMIFS(Movimentacoes!$G:$G,Movimentacoes!$C:$C,$A2288,Movimentacoes!$E:$E,$C2288,Movimentacoes!$B:$B,"SAIDA_DESCARTE")</f>
        <v/>
      </c>
      <c r="J2288" s="13">
        <f>G2288-H2288-I2288</f>
        <v/>
      </c>
      <c r="K2288">
        <f>IF(A2288="","",IF(J2288&lt;=IFERROR(VLOOKUP(A2288,Cadastro_Produtos!$A:$E,5,FALSE),0),"ABAIXO DO MINIMO","OK"))</f>
        <v/>
      </c>
    </row>
    <row r="2289">
      <c r="B2289">
        <f>IFERROR(VLOOKUP(A2289,Cadastro_Produtos!A:B,2,FALSE),"")</f>
        <v/>
      </c>
      <c r="D2289" s="12" t="n"/>
      <c r="E2289" s="13">
        <f>IF(D2289="","",D2289-TODAY())</f>
        <v/>
      </c>
      <c r="F2289">
        <f>IF(D2289="","",IF(E2289&lt;0,"VENCIDO",IF(E2289&lt;=30,"VENCE EM &lt;= 30 DIAS",IF(E2289&lt;=60,"ATENCAO (31-60 DIAS)","OK"))))</f>
        <v/>
      </c>
      <c r="G2289" s="13">
        <f>SUMIFS(Movimentacoes!$G:$G,Movimentacoes!$C:$C,$A2289,Movimentacoes!$E:$E,$C2289,Movimentacoes!$B:$B,"ENTRADA")</f>
        <v/>
      </c>
      <c r="H2289" s="13">
        <f>SUMIFS(Movimentacoes!$G:$G,Movimentacoes!$C:$C,$A2289,Movimentacoes!$E:$E,$C2289,Movimentacoes!$B:$B,"SAIDA_USO")</f>
        <v/>
      </c>
      <c r="I2289" s="13">
        <f>SUMIFS(Movimentacoes!$G:$G,Movimentacoes!$C:$C,$A2289,Movimentacoes!$E:$E,$C2289,Movimentacoes!$B:$B,"SAIDA_DESCARTE")</f>
        <v/>
      </c>
      <c r="J2289" s="13">
        <f>G2289-H2289-I2289</f>
        <v/>
      </c>
      <c r="K2289">
        <f>IF(A2289="","",IF(J2289&lt;=IFERROR(VLOOKUP(A2289,Cadastro_Produtos!$A:$E,5,FALSE),0),"ABAIXO DO MINIMO","OK"))</f>
        <v/>
      </c>
    </row>
    <row r="2290">
      <c r="B2290">
        <f>IFERROR(VLOOKUP(A2290,Cadastro_Produtos!A:B,2,FALSE),"")</f>
        <v/>
      </c>
      <c r="D2290" s="12" t="n"/>
      <c r="E2290" s="13">
        <f>IF(D2290="","",D2290-TODAY())</f>
        <v/>
      </c>
      <c r="F2290">
        <f>IF(D2290="","",IF(E2290&lt;0,"VENCIDO",IF(E2290&lt;=30,"VENCE EM &lt;= 30 DIAS",IF(E2290&lt;=60,"ATENCAO (31-60 DIAS)","OK"))))</f>
        <v/>
      </c>
      <c r="G2290" s="13">
        <f>SUMIFS(Movimentacoes!$G:$G,Movimentacoes!$C:$C,$A2290,Movimentacoes!$E:$E,$C2290,Movimentacoes!$B:$B,"ENTRADA")</f>
        <v/>
      </c>
      <c r="H2290" s="13">
        <f>SUMIFS(Movimentacoes!$G:$G,Movimentacoes!$C:$C,$A2290,Movimentacoes!$E:$E,$C2290,Movimentacoes!$B:$B,"SAIDA_USO")</f>
        <v/>
      </c>
      <c r="I2290" s="13">
        <f>SUMIFS(Movimentacoes!$G:$G,Movimentacoes!$C:$C,$A2290,Movimentacoes!$E:$E,$C2290,Movimentacoes!$B:$B,"SAIDA_DESCARTE")</f>
        <v/>
      </c>
      <c r="J2290" s="13">
        <f>G2290-H2290-I2290</f>
        <v/>
      </c>
      <c r="K2290">
        <f>IF(A2290="","",IF(J2290&lt;=IFERROR(VLOOKUP(A2290,Cadastro_Produtos!$A:$E,5,FALSE),0),"ABAIXO DO MINIMO","OK"))</f>
        <v/>
      </c>
    </row>
    <row r="2291">
      <c r="B2291">
        <f>IFERROR(VLOOKUP(A2291,Cadastro_Produtos!A:B,2,FALSE),"")</f>
        <v/>
      </c>
      <c r="D2291" s="12" t="n"/>
      <c r="E2291" s="13">
        <f>IF(D2291="","",D2291-TODAY())</f>
        <v/>
      </c>
      <c r="F2291">
        <f>IF(D2291="","",IF(E2291&lt;0,"VENCIDO",IF(E2291&lt;=30,"VENCE EM &lt;= 30 DIAS",IF(E2291&lt;=60,"ATENCAO (31-60 DIAS)","OK"))))</f>
        <v/>
      </c>
      <c r="G2291" s="13">
        <f>SUMIFS(Movimentacoes!$G:$G,Movimentacoes!$C:$C,$A2291,Movimentacoes!$E:$E,$C2291,Movimentacoes!$B:$B,"ENTRADA")</f>
        <v/>
      </c>
      <c r="H2291" s="13">
        <f>SUMIFS(Movimentacoes!$G:$G,Movimentacoes!$C:$C,$A2291,Movimentacoes!$E:$E,$C2291,Movimentacoes!$B:$B,"SAIDA_USO")</f>
        <v/>
      </c>
      <c r="I2291" s="13">
        <f>SUMIFS(Movimentacoes!$G:$G,Movimentacoes!$C:$C,$A2291,Movimentacoes!$E:$E,$C2291,Movimentacoes!$B:$B,"SAIDA_DESCARTE")</f>
        <v/>
      </c>
      <c r="J2291" s="13">
        <f>G2291-H2291-I2291</f>
        <v/>
      </c>
      <c r="K2291">
        <f>IF(A2291="","",IF(J2291&lt;=IFERROR(VLOOKUP(A2291,Cadastro_Produtos!$A:$E,5,FALSE),0),"ABAIXO DO MINIMO","OK"))</f>
        <v/>
      </c>
    </row>
    <row r="2292">
      <c r="B2292">
        <f>IFERROR(VLOOKUP(A2292,Cadastro_Produtos!A:B,2,FALSE),"")</f>
        <v/>
      </c>
      <c r="D2292" s="12" t="n"/>
      <c r="E2292" s="13">
        <f>IF(D2292="","",D2292-TODAY())</f>
        <v/>
      </c>
      <c r="F2292">
        <f>IF(D2292="","",IF(E2292&lt;0,"VENCIDO",IF(E2292&lt;=30,"VENCE EM &lt;= 30 DIAS",IF(E2292&lt;=60,"ATENCAO (31-60 DIAS)","OK"))))</f>
        <v/>
      </c>
      <c r="G2292" s="13">
        <f>SUMIFS(Movimentacoes!$G:$G,Movimentacoes!$C:$C,$A2292,Movimentacoes!$E:$E,$C2292,Movimentacoes!$B:$B,"ENTRADA")</f>
        <v/>
      </c>
      <c r="H2292" s="13">
        <f>SUMIFS(Movimentacoes!$G:$G,Movimentacoes!$C:$C,$A2292,Movimentacoes!$E:$E,$C2292,Movimentacoes!$B:$B,"SAIDA_USO")</f>
        <v/>
      </c>
      <c r="I2292" s="13">
        <f>SUMIFS(Movimentacoes!$G:$G,Movimentacoes!$C:$C,$A2292,Movimentacoes!$E:$E,$C2292,Movimentacoes!$B:$B,"SAIDA_DESCARTE")</f>
        <v/>
      </c>
      <c r="J2292" s="13">
        <f>G2292-H2292-I2292</f>
        <v/>
      </c>
      <c r="K2292">
        <f>IF(A2292="","",IF(J2292&lt;=IFERROR(VLOOKUP(A2292,Cadastro_Produtos!$A:$E,5,FALSE),0),"ABAIXO DO MINIMO","OK"))</f>
        <v/>
      </c>
    </row>
    <row r="2293">
      <c r="B2293">
        <f>IFERROR(VLOOKUP(A2293,Cadastro_Produtos!A:B,2,FALSE),"")</f>
        <v/>
      </c>
      <c r="D2293" s="12" t="n"/>
      <c r="E2293" s="13">
        <f>IF(D2293="","",D2293-TODAY())</f>
        <v/>
      </c>
      <c r="F2293">
        <f>IF(D2293="","",IF(E2293&lt;0,"VENCIDO",IF(E2293&lt;=30,"VENCE EM &lt;= 30 DIAS",IF(E2293&lt;=60,"ATENCAO (31-60 DIAS)","OK"))))</f>
        <v/>
      </c>
      <c r="G2293" s="13">
        <f>SUMIFS(Movimentacoes!$G:$G,Movimentacoes!$C:$C,$A2293,Movimentacoes!$E:$E,$C2293,Movimentacoes!$B:$B,"ENTRADA")</f>
        <v/>
      </c>
      <c r="H2293" s="13">
        <f>SUMIFS(Movimentacoes!$G:$G,Movimentacoes!$C:$C,$A2293,Movimentacoes!$E:$E,$C2293,Movimentacoes!$B:$B,"SAIDA_USO")</f>
        <v/>
      </c>
      <c r="I2293" s="13">
        <f>SUMIFS(Movimentacoes!$G:$G,Movimentacoes!$C:$C,$A2293,Movimentacoes!$E:$E,$C2293,Movimentacoes!$B:$B,"SAIDA_DESCARTE")</f>
        <v/>
      </c>
      <c r="J2293" s="13">
        <f>G2293-H2293-I2293</f>
        <v/>
      </c>
      <c r="K2293">
        <f>IF(A2293="","",IF(J2293&lt;=IFERROR(VLOOKUP(A2293,Cadastro_Produtos!$A:$E,5,FALSE),0),"ABAIXO DO MINIMO","OK"))</f>
        <v/>
      </c>
    </row>
    <row r="2294">
      <c r="B2294">
        <f>IFERROR(VLOOKUP(A2294,Cadastro_Produtos!A:B,2,FALSE),"")</f>
        <v/>
      </c>
      <c r="D2294" s="12" t="n"/>
      <c r="E2294" s="13">
        <f>IF(D2294="","",D2294-TODAY())</f>
        <v/>
      </c>
      <c r="F2294">
        <f>IF(D2294="","",IF(E2294&lt;0,"VENCIDO",IF(E2294&lt;=30,"VENCE EM &lt;= 30 DIAS",IF(E2294&lt;=60,"ATENCAO (31-60 DIAS)","OK"))))</f>
        <v/>
      </c>
      <c r="G2294" s="13">
        <f>SUMIFS(Movimentacoes!$G:$G,Movimentacoes!$C:$C,$A2294,Movimentacoes!$E:$E,$C2294,Movimentacoes!$B:$B,"ENTRADA")</f>
        <v/>
      </c>
      <c r="H2294" s="13">
        <f>SUMIFS(Movimentacoes!$G:$G,Movimentacoes!$C:$C,$A2294,Movimentacoes!$E:$E,$C2294,Movimentacoes!$B:$B,"SAIDA_USO")</f>
        <v/>
      </c>
      <c r="I2294" s="13">
        <f>SUMIFS(Movimentacoes!$G:$G,Movimentacoes!$C:$C,$A2294,Movimentacoes!$E:$E,$C2294,Movimentacoes!$B:$B,"SAIDA_DESCARTE")</f>
        <v/>
      </c>
      <c r="J2294" s="13">
        <f>G2294-H2294-I2294</f>
        <v/>
      </c>
      <c r="K2294">
        <f>IF(A2294="","",IF(J2294&lt;=IFERROR(VLOOKUP(A2294,Cadastro_Produtos!$A:$E,5,FALSE),0),"ABAIXO DO MINIMO","OK"))</f>
        <v/>
      </c>
    </row>
    <row r="2295">
      <c r="B2295">
        <f>IFERROR(VLOOKUP(A2295,Cadastro_Produtos!A:B,2,FALSE),"")</f>
        <v/>
      </c>
      <c r="D2295" s="12" t="n"/>
      <c r="E2295" s="13">
        <f>IF(D2295="","",D2295-TODAY())</f>
        <v/>
      </c>
      <c r="F2295">
        <f>IF(D2295="","",IF(E2295&lt;0,"VENCIDO",IF(E2295&lt;=30,"VENCE EM &lt;= 30 DIAS",IF(E2295&lt;=60,"ATENCAO (31-60 DIAS)","OK"))))</f>
        <v/>
      </c>
      <c r="G2295" s="13">
        <f>SUMIFS(Movimentacoes!$G:$G,Movimentacoes!$C:$C,$A2295,Movimentacoes!$E:$E,$C2295,Movimentacoes!$B:$B,"ENTRADA")</f>
        <v/>
      </c>
      <c r="H2295" s="13">
        <f>SUMIFS(Movimentacoes!$G:$G,Movimentacoes!$C:$C,$A2295,Movimentacoes!$E:$E,$C2295,Movimentacoes!$B:$B,"SAIDA_USO")</f>
        <v/>
      </c>
      <c r="I2295" s="13">
        <f>SUMIFS(Movimentacoes!$G:$G,Movimentacoes!$C:$C,$A2295,Movimentacoes!$E:$E,$C2295,Movimentacoes!$B:$B,"SAIDA_DESCARTE")</f>
        <v/>
      </c>
      <c r="J2295" s="13">
        <f>G2295-H2295-I2295</f>
        <v/>
      </c>
      <c r="K2295">
        <f>IF(A2295="","",IF(J2295&lt;=IFERROR(VLOOKUP(A2295,Cadastro_Produtos!$A:$E,5,FALSE),0),"ABAIXO DO MINIMO","OK"))</f>
        <v/>
      </c>
    </row>
    <row r="2296">
      <c r="B2296">
        <f>IFERROR(VLOOKUP(A2296,Cadastro_Produtos!A:B,2,FALSE),"")</f>
        <v/>
      </c>
      <c r="D2296" s="12" t="n"/>
      <c r="E2296" s="13">
        <f>IF(D2296="","",D2296-TODAY())</f>
        <v/>
      </c>
      <c r="F2296">
        <f>IF(D2296="","",IF(E2296&lt;0,"VENCIDO",IF(E2296&lt;=30,"VENCE EM &lt;= 30 DIAS",IF(E2296&lt;=60,"ATENCAO (31-60 DIAS)","OK"))))</f>
        <v/>
      </c>
      <c r="G2296" s="13">
        <f>SUMIFS(Movimentacoes!$G:$G,Movimentacoes!$C:$C,$A2296,Movimentacoes!$E:$E,$C2296,Movimentacoes!$B:$B,"ENTRADA")</f>
        <v/>
      </c>
      <c r="H2296" s="13">
        <f>SUMIFS(Movimentacoes!$G:$G,Movimentacoes!$C:$C,$A2296,Movimentacoes!$E:$E,$C2296,Movimentacoes!$B:$B,"SAIDA_USO")</f>
        <v/>
      </c>
      <c r="I2296" s="13">
        <f>SUMIFS(Movimentacoes!$G:$G,Movimentacoes!$C:$C,$A2296,Movimentacoes!$E:$E,$C2296,Movimentacoes!$B:$B,"SAIDA_DESCARTE")</f>
        <v/>
      </c>
      <c r="J2296" s="13">
        <f>G2296-H2296-I2296</f>
        <v/>
      </c>
      <c r="K2296">
        <f>IF(A2296="","",IF(J2296&lt;=IFERROR(VLOOKUP(A2296,Cadastro_Produtos!$A:$E,5,FALSE),0),"ABAIXO DO MINIMO","OK"))</f>
        <v/>
      </c>
    </row>
    <row r="2297">
      <c r="B2297">
        <f>IFERROR(VLOOKUP(A2297,Cadastro_Produtos!A:B,2,FALSE),"")</f>
        <v/>
      </c>
      <c r="D2297" s="12" t="n"/>
      <c r="E2297" s="13">
        <f>IF(D2297="","",D2297-TODAY())</f>
        <v/>
      </c>
      <c r="F2297">
        <f>IF(D2297="","",IF(E2297&lt;0,"VENCIDO",IF(E2297&lt;=30,"VENCE EM &lt;= 30 DIAS",IF(E2297&lt;=60,"ATENCAO (31-60 DIAS)","OK"))))</f>
        <v/>
      </c>
      <c r="G2297" s="13">
        <f>SUMIFS(Movimentacoes!$G:$G,Movimentacoes!$C:$C,$A2297,Movimentacoes!$E:$E,$C2297,Movimentacoes!$B:$B,"ENTRADA")</f>
        <v/>
      </c>
      <c r="H2297" s="13">
        <f>SUMIFS(Movimentacoes!$G:$G,Movimentacoes!$C:$C,$A2297,Movimentacoes!$E:$E,$C2297,Movimentacoes!$B:$B,"SAIDA_USO")</f>
        <v/>
      </c>
      <c r="I2297" s="13">
        <f>SUMIFS(Movimentacoes!$G:$G,Movimentacoes!$C:$C,$A2297,Movimentacoes!$E:$E,$C2297,Movimentacoes!$B:$B,"SAIDA_DESCARTE")</f>
        <v/>
      </c>
      <c r="J2297" s="13">
        <f>G2297-H2297-I2297</f>
        <v/>
      </c>
      <c r="K2297">
        <f>IF(A2297="","",IF(J2297&lt;=IFERROR(VLOOKUP(A2297,Cadastro_Produtos!$A:$E,5,FALSE),0),"ABAIXO DO MINIMO","OK"))</f>
        <v/>
      </c>
    </row>
    <row r="2298">
      <c r="B2298">
        <f>IFERROR(VLOOKUP(A2298,Cadastro_Produtos!A:B,2,FALSE),"")</f>
        <v/>
      </c>
      <c r="D2298" s="12" t="n"/>
      <c r="E2298" s="13">
        <f>IF(D2298="","",D2298-TODAY())</f>
        <v/>
      </c>
      <c r="F2298">
        <f>IF(D2298="","",IF(E2298&lt;0,"VENCIDO",IF(E2298&lt;=30,"VENCE EM &lt;= 30 DIAS",IF(E2298&lt;=60,"ATENCAO (31-60 DIAS)","OK"))))</f>
        <v/>
      </c>
      <c r="G2298" s="13">
        <f>SUMIFS(Movimentacoes!$G:$G,Movimentacoes!$C:$C,$A2298,Movimentacoes!$E:$E,$C2298,Movimentacoes!$B:$B,"ENTRADA")</f>
        <v/>
      </c>
      <c r="H2298" s="13">
        <f>SUMIFS(Movimentacoes!$G:$G,Movimentacoes!$C:$C,$A2298,Movimentacoes!$E:$E,$C2298,Movimentacoes!$B:$B,"SAIDA_USO")</f>
        <v/>
      </c>
      <c r="I2298" s="13">
        <f>SUMIFS(Movimentacoes!$G:$G,Movimentacoes!$C:$C,$A2298,Movimentacoes!$E:$E,$C2298,Movimentacoes!$B:$B,"SAIDA_DESCARTE")</f>
        <v/>
      </c>
      <c r="J2298" s="13">
        <f>G2298-H2298-I2298</f>
        <v/>
      </c>
      <c r="K2298">
        <f>IF(A2298="","",IF(J2298&lt;=IFERROR(VLOOKUP(A2298,Cadastro_Produtos!$A:$E,5,FALSE),0),"ABAIXO DO MINIMO","OK"))</f>
        <v/>
      </c>
    </row>
    <row r="2299">
      <c r="B2299">
        <f>IFERROR(VLOOKUP(A2299,Cadastro_Produtos!A:B,2,FALSE),"")</f>
        <v/>
      </c>
      <c r="D2299" s="12" t="n"/>
      <c r="E2299" s="13">
        <f>IF(D2299="","",D2299-TODAY())</f>
        <v/>
      </c>
      <c r="F2299">
        <f>IF(D2299="","",IF(E2299&lt;0,"VENCIDO",IF(E2299&lt;=30,"VENCE EM &lt;= 30 DIAS",IF(E2299&lt;=60,"ATENCAO (31-60 DIAS)","OK"))))</f>
        <v/>
      </c>
      <c r="G2299" s="13">
        <f>SUMIFS(Movimentacoes!$G:$G,Movimentacoes!$C:$C,$A2299,Movimentacoes!$E:$E,$C2299,Movimentacoes!$B:$B,"ENTRADA")</f>
        <v/>
      </c>
      <c r="H2299" s="13">
        <f>SUMIFS(Movimentacoes!$G:$G,Movimentacoes!$C:$C,$A2299,Movimentacoes!$E:$E,$C2299,Movimentacoes!$B:$B,"SAIDA_USO")</f>
        <v/>
      </c>
      <c r="I2299" s="13">
        <f>SUMIFS(Movimentacoes!$G:$G,Movimentacoes!$C:$C,$A2299,Movimentacoes!$E:$E,$C2299,Movimentacoes!$B:$B,"SAIDA_DESCARTE")</f>
        <v/>
      </c>
      <c r="J2299" s="13">
        <f>G2299-H2299-I2299</f>
        <v/>
      </c>
      <c r="K2299">
        <f>IF(A2299="","",IF(J2299&lt;=IFERROR(VLOOKUP(A2299,Cadastro_Produtos!$A:$E,5,FALSE),0),"ABAIXO DO MINIMO","OK"))</f>
        <v/>
      </c>
    </row>
    <row r="2300">
      <c r="B2300">
        <f>IFERROR(VLOOKUP(A2300,Cadastro_Produtos!A:B,2,FALSE),"")</f>
        <v/>
      </c>
      <c r="D2300" s="12" t="n"/>
      <c r="E2300" s="13">
        <f>IF(D2300="","",D2300-TODAY())</f>
        <v/>
      </c>
      <c r="F2300">
        <f>IF(D2300="","",IF(E2300&lt;0,"VENCIDO",IF(E2300&lt;=30,"VENCE EM &lt;= 30 DIAS",IF(E2300&lt;=60,"ATENCAO (31-60 DIAS)","OK"))))</f>
        <v/>
      </c>
      <c r="G2300" s="13">
        <f>SUMIFS(Movimentacoes!$G:$G,Movimentacoes!$C:$C,$A2300,Movimentacoes!$E:$E,$C2300,Movimentacoes!$B:$B,"ENTRADA")</f>
        <v/>
      </c>
      <c r="H2300" s="13">
        <f>SUMIFS(Movimentacoes!$G:$G,Movimentacoes!$C:$C,$A2300,Movimentacoes!$E:$E,$C2300,Movimentacoes!$B:$B,"SAIDA_USO")</f>
        <v/>
      </c>
      <c r="I2300" s="13">
        <f>SUMIFS(Movimentacoes!$G:$G,Movimentacoes!$C:$C,$A2300,Movimentacoes!$E:$E,$C2300,Movimentacoes!$B:$B,"SAIDA_DESCARTE")</f>
        <v/>
      </c>
      <c r="J2300" s="13">
        <f>G2300-H2300-I2300</f>
        <v/>
      </c>
      <c r="K2300">
        <f>IF(A2300="","",IF(J2300&lt;=IFERROR(VLOOKUP(A2300,Cadastro_Produtos!$A:$E,5,FALSE),0),"ABAIXO DO MINIMO","OK"))</f>
        <v/>
      </c>
    </row>
    <row r="2301">
      <c r="B2301">
        <f>IFERROR(VLOOKUP(A2301,Cadastro_Produtos!A:B,2,FALSE),"")</f>
        <v/>
      </c>
      <c r="D2301" s="12" t="n"/>
      <c r="E2301" s="13">
        <f>IF(D2301="","",D2301-TODAY())</f>
        <v/>
      </c>
      <c r="F2301">
        <f>IF(D2301="","",IF(E2301&lt;0,"VENCIDO",IF(E2301&lt;=30,"VENCE EM &lt;= 30 DIAS",IF(E2301&lt;=60,"ATENCAO (31-60 DIAS)","OK"))))</f>
        <v/>
      </c>
      <c r="G2301" s="13">
        <f>SUMIFS(Movimentacoes!$G:$G,Movimentacoes!$C:$C,$A2301,Movimentacoes!$E:$E,$C2301,Movimentacoes!$B:$B,"ENTRADA")</f>
        <v/>
      </c>
      <c r="H2301" s="13">
        <f>SUMIFS(Movimentacoes!$G:$G,Movimentacoes!$C:$C,$A2301,Movimentacoes!$E:$E,$C2301,Movimentacoes!$B:$B,"SAIDA_USO")</f>
        <v/>
      </c>
      <c r="I2301" s="13">
        <f>SUMIFS(Movimentacoes!$G:$G,Movimentacoes!$C:$C,$A2301,Movimentacoes!$E:$E,$C2301,Movimentacoes!$B:$B,"SAIDA_DESCARTE")</f>
        <v/>
      </c>
      <c r="J2301" s="13">
        <f>G2301-H2301-I2301</f>
        <v/>
      </c>
      <c r="K2301">
        <f>IF(A2301="","",IF(J2301&lt;=IFERROR(VLOOKUP(A2301,Cadastro_Produtos!$A:$E,5,FALSE),0),"ABAIXO DO MINIMO","OK"))</f>
        <v/>
      </c>
    </row>
    <row r="2302">
      <c r="B2302">
        <f>IFERROR(VLOOKUP(A2302,Cadastro_Produtos!A:B,2,FALSE),"")</f>
        <v/>
      </c>
      <c r="D2302" s="12" t="n"/>
      <c r="E2302" s="13">
        <f>IF(D2302="","",D2302-TODAY())</f>
        <v/>
      </c>
      <c r="F2302">
        <f>IF(D2302="","",IF(E2302&lt;0,"VENCIDO",IF(E2302&lt;=30,"VENCE EM &lt;= 30 DIAS",IF(E2302&lt;=60,"ATENCAO (31-60 DIAS)","OK"))))</f>
        <v/>
      </c>
      <c r="G2302" s="13">
        <f>SUMIFS(Movimentacoes!$G:$G,Movimentacoes!$C:$C,$A2302,Movimentacoes!$E:$E,$C2302,Movimentacoes!$B:$B,"ENTRADA")</f>
        <v/>
      </c>
      <c r="H2302" s="13">
        <f>SUMIFS(Movimentacoes!$G:$G,Movimentacoes!$C:$C,$A2302,Movimentacoes!$E:$E,$C2302,Movimentacoes!$B:$B,"SAIDA_USO")</f>
        <v/>
      </c>
      <c r="I2302" s="13">
        <f>SUMIFS(Movimentacoes!$G:$G,Movimentacoes!$C:$C,$A2302,Movimentacoes!$E:$E,$C2302,Movimentacoes!$B:$B,"SAIDA_DESCARTE")</f>
        <v/>
      </c>
      <c r="J2302" s="13">
        <f>G2302-H2302-I2302</f>
        <v/>
      </c>
      <c r="K2302">
        <f>IF(A2302="","",IF(J2302&lt;=IFERROR(VLOOKUP(A2302,Cadastro_Produtos!$A:$E,5,FALSE),0),"ABAIXO DO MINIMO","OK"))</f>
        <v/>
      </c>
    </row>
    <row r="2303">
      <c r="B2303">
        <f>IFERROR(VLOOKUP(A2303,Cadastro_Produtos!A:B,2,FALSE),"")</f>
        <v/>
      </c>
      <c r="D2303" s="12" t="n"/>
      <c r="E2303" s="13">
        <f>IF(D2303="","",D2303-TODAY())</f>
        <v/>
      </c>
      <c r="F2303">
        <f>IF(D2303="","",IF(E2303&lt;0,"VENCIDO",IF(E2303&lt;=30,"VENCE EM &lt;= 30 DIAS",IF(E2303&lt;=60,"ATENCAO (31-60 DIAS)","OK"))))</f>
        <v/>
      </c>
      <c r="G2303" s="13">
        <f>SUMIFS(Movimentacoes!$G:$G,Movimentacoes!$C:$C,$A2303,Movimentacoes!$E:$E,$C2303,Movimentacoes!$B:$B,"ENTRADA")</f>
        <v/>
      </c>
      <c r="H2303" s="13">
        <f>SUMIFS(Movimentacoes!$G:$G,Movimentacoes!$C:$C,$A2303,Movimentacoes!$E:$E,$C2303,Movimentacoes!$B:$B,"SAIDA_USO")</f>
        <v/>
      </c>
      <c r="I2303" s="13">
        <f>SUMIFS(Movimentacoes!$G:$G,Movimentacoes!$C:$C,$A2303,Movimentacoes!$E:$E,$C2303,Movimentacoes!$B:$B,"SAIDA_DESCARTE")</f>
        <v/>
      </c>
      <c r="J2303" s="13">
        <f>G2303-H2303-I2303</f>
        <v/>
      </c>
      <c r="K2303">
        <f>IF(A2303="","",IF(J2303&lt;=IFERROR(VLOOKUP(A2303,Cadastro_Produtos!$A:$E,5,FALSE),0),"ABAIXO DO MINIMO","OK"))</f>
        <v/>
      </c>
    </row>
    <row r="2304">
      <c r="B2304">
        <f>IFERROR(VLOOKUP(A2304,Cadastro_Produtos!A:B,2,FALSE),"")</f>
        <v/>
      </c>
      <c r="D2304" s="12" t="n"/>
      <c r="E2304" s="13">
        <f>IF(D2304="","",D2304-TODAY())</f>
        <v/>
      </c>
      <c r="F2304">
        <f>IF(D2304="","",IF(E2304&lt;0,"VENCIDO",IF(E2304&lt;=30,"VENCE EM &lt;= 30 DIAS",IF(E2304&lt;=60,"ATENCAO (31-60 DIAS)","OK"))))</f>
        <v/>
      </c>
      <c r="G2304" s="13">
        <f>SUMIFS(Movimentacoes!$G:$G,Movimentacoes!$C:$C,$A2304,Movimentacoes!$E:$E,$C2304,Movimentacoes!$B:$B,"ENTRADA")</f>
        <v/>
      </c>
      <c r="H2304" s="13">
        <f>SUMIFS(Movimentacoes!$G:$G,Movimentacoes!$C:$C,$A2304,Movimentacoes!$E:$E,$C2304,Movimentacoes!$B:$B,"SAIDA_USO")</f>
        <v/>
      </c>
      <c r="I2304" s="13">
        <f>SUMIFS(Movimentacoes!$G:$G,Movimentacoes!$C:$C,$A2304,Movimentacoes!$E:$E,$C2304,Movimentacoes!$B:$B,"SAIDA_DESCARTE")</f>
        <v/>
      </c>
      <c r="J2304" s="13">
        <f>G2304-H2304-I2304</f>
        <v/>
      </c>
      <c r="K2304">
        <f>IF(A2304="","",IF(J2304&lt;=IFERROR(VLOOKUP(A2304,Cadastro_Produtos!$A:$E,5,FALSE),0),"ABAIXO DO MINIMO","OK"))</f>
        <v/>
      </c>
    </row>
    <row r="2305">
      <c r="B2305">
        <f>IFERROR(VLOOKUP(A2305,Cadastro_Produtos!A:B,2,FALSE),"")</f>
        <v/>
      </c>
      <c r="D2305" s="12" t="n"/>
      <c r="E2305" s="13">
        <f>IF(D2305="","",D2305-TODAY())</f>
        <v/>
      </c>
      <c r="F2305">
        <f>IF(D2305="","",IF(E2305&lt;0,"VENCIDO",IF(E2305&lt;=30,"VENCE EM &lt;= 30 DIAS",IF(E2305&lt;=60,"ATENCAO (31-60 DIAS)","OK"))))</f>
        <v/>
      </c>
      <c r="G2305" s="13">
        <f>SUMIFS(Movimentacoes!$G:$G,Movimentacoes!$C:$C,$A2305,Movimentacoes!$E:$E,$C2305,Movimentacoes!$B:$B,"ENTRADA")</f>
        <v/>
      </c>
      <c r="H2305" s="13">
        <f>SUMIFS(Movimentacoes!$G:$G,Movimentacoes!$C:$C,$A2305,Movimentacoes!$E:$E,$C2305,Movimentacoes!$B:$B,"SAIDA_USO")</f>
        <v/>
      </c>
      <c r="I2305" s="13">
        <f>SUMIFS(Movimentacoes!$G:$G,Movimentacoes!$C:$C,$A2305,Movimentacoes!$E:$E,$C2305,Movimentacoes!$B:$B,"SAIDA_DESCARTE")</f>
        <v/>
      </c>
      <c r="J2305" s="13">
        <f>G2305-H2305-I2305</f>
        <v/>
      </c>
      <c r="K2305">
        <f>IF(A2305="","",IF(J2305&lt;=IFERROR(VLOOKUP(A2305,Cadastro_Produtos!$A:$E,5,FALSE),0),"ABAIXO DO MINIMO","OK"))</f>
        <v/>
      </c>
    </row>
    <row r="2306">
      <c r="B2306">
        <f>IFERROR(VLOOKUP(A2306,Cadastro_Produtos!A:B,2,FALSE),"")</f>
        <v/>
      </c>
      <c r="D2306" s="12" t="n"/>
      <c r="E2306" s="13">
        <f>IF(D2306="","",D2306-TODAY())</f>
        <v/>
      </c>
      <c r="F2306">
        <f>IF(D2306="","",IF(E2306&lt;0,"VENCIDO",IF(E2306&lt;=30,"VENCE EM &lt;= 30 DIAS",IF(E2306&lt;=60,"ATENCAO (31-60 DIAS)","OK"))))</f>
        <v/>
      </c>
      <c r="G2306" s="13">
        <f>SUMIFS(Movimentacoes!$G:$G,Movimentacoes!$C:$C,$A2306,Movimentacoes!$E:$E,$C2306,Movimentacoes!$B:$B,"ENTRADA")</f>
        <v/>
      </c>
      <c r="H2306" s="13">
        <f>SUMIFS(Movimentacoes!$G:$G,Movimentacoes!$C:$C,$A2306,Movimentacoes!$E:$E,$C2306,Movimentacoes!$B:$B,"SAIDA_USO")</f>
        <v/>
      </c>
      <c r="I2306" s="13">
        <f>SUMIFS(Movimentacoes!$G:$G,Movimentacoes!$C:$C,$A2306,Movimentacoes!$E:$E,$C2306,Movimentacoes!$B:$B,"SAIDA_DESCARTE")</f>
        <v/>
      </c>
      <c r="J2306" s="13">
        <f>G2306-H2306-I2306</f>
        <v/>
      </c>
      <c r="K2306">
        <f>IF(A2306="","",IF(J2306&lt;=IFERROR(VLOOKUP(A2306,Cadastro_Produtos!$A:$E,5,FALSE),0),"ABAIXO DO MINIMO","OK"))</f>
        <v/>
      </c>
    </row>
    <row r="2307">
      <c r="B2307">
        <f>IFERROR(VLOOKUP(A2307,Cadastro_Produtos!A:B,2,FALSE),"")</f>
        <v/>
      </c>
      <c r="D2307" s="12" t="n"/>
      <c r="E2307" s="13">
        <f>IF(D2307="","",D2307-TODAY())</f>
        <v/>
      </c>
      <c r="F2307">
        <f>IF(D2307="","",IF(E2307&lt;0,"VENCIDO",IF(E2307&lt;=30,"VENCE EM &lt;= 30 DIAS",IF(E2307&lt;=60,"ATENCAO (31-60 DIAS)","OK"))))</f>
        <v/>
      </c>
      <c r="G2307" s="13">
        <f>SUMIFS(Movimentacoes!$G:$G,Movimentacoes!$C:$C,$A2307,Movimentacoes!$E:$E,$C2307,Movimentacoes!$B:$B,"ENTRADA")</f>
        <v/>
      </c>
      <c r="H2307" s="13">
        <f>SUMIFS(Movimentacoes!$G:$G,Movimentacoes!$C:$C,$A2307,Movimentacoes!$E:$E,$C2307,Movimentacoes!$B:$B,"SAIDA_USO")</f>
        <v/>
      </c>
      <c r="I2307" s="13">
        <f>SUMIFS(Movimentacoes!$G:$G,Movimentacoes!$C:$C,$A2307,Movimentacoes!$E:$E,$C2307,Movimentacoes!$B:$B,"SAIDA_DESCARTE")</f>
        <v/>
      </c>
      <c r="J2307" s="13">
        <f>G2307-H2307-I2307</f>
        <v/>
      </c>
      <c r="K2307">
        <f>IF(A2307="","",IF(J2307&lt;=IFERROR(VLOOKUP(A2307,Cadastro_Produtos!$A:$E,5,FALSE),0),"ABAIXO DO MINIMO","OK"))</f>
        <v/>
      </c>
    </row>
    <row r="2308">
      <c r="B2308">
        <f>IFERROR(VLOOKUP(A2308,Cadastro_Produtos!A:B,2,FALSE),"")</f>
        <v/>
      </c>
      <c r="D2308" s="12" t="n"/>
      <c r="E2308" s="13">
        <f>IF(D2308="","",D2308-TODAY())</f>
        <v/>
      </c>
      <c r="F2308">
        <f>IF(D2308="","",IF(E2308&lt;0,"VENCIDO",IF(E2308&lt;=30,"VENCE EM &lt;= 30 DIAS",IF(E2308&lt;=60,"ATENCAO (31-60 DIAS)","OK"))))</f>
        <v/>
      </c>
      <c r="G2308" s="13">
        <f>SUMIFS(Movimentacoes!$G:$G,Movimentacoes!$C:$C,$A2308,Movimentacoes!$E:$E,$C2308,Movimentacoes!$B:$B,"ENTRADA")</f>
        <v/>
      </c>
      <c r="H2308" s="13">
        <f>SUMIFS(Movimentacoes!$G:$G,Movimentacoes!$C:$C,$A2308,Movimentacoes!$E:$E,$C2308,Movimentacoes!$B:$B,"SAIDA_USO")</f>
        <v/>
      </c>
      <c r="I2308" s="13">
        <f>SUMIFS(Movimentacoes!$G:$G,Movimentacoes!$C:$C,$A2308,Movimentacoes!$E:$E,$C2308,Movimentacoes!$B:$B,"SAIDA_DESCARTE")</f>
        <v/>
      </c>
      <c r="J2308" s="13">
        <f>G2308-H2308-I2308</f>
        <v/>
      </c>
      <c r="K2308">
        <f>IF(A2308="","",IF(J2308&lt;=IFERROR(VLOOKUP(A2308,Cadastro_Produtos!$A:$E,5,FALSE),0),"ABAIXO DO MINIMO","OK"))</f>
        <v/>
      </c>
    </row>
    <row r="2309">
      <c r="B2309">
        <f>IFERROR(VLOOKUP(A2309,Cadastro_Produtos!A:B,2,FALSE),"")</f>
        <v/>
      </c>
      <c r="D2309" s="12" t="n"/>
      <c r="E2309" s="13">
        <f>IF(D2309="","",D2309-TODAY())</f>
        <v/>
      </c>
      <c r="F2309">
        <f>IF(D2309="","",IF(E2309&lt;0,"VENCIDO",IF(E2309&lt;=30,"VENCE EM &lt;= 30 DIAS",IF(E2309&lt;=60,"ATENCAO (31-60 DIAS)","OK"))))</f>
        <v/>
      </c>
      <c r="G2309" s="13">
        <f>SUMIFS(Movimentacoes!$G:$G,Movimentacoes!$C:$C,$A2309,Movimentacoes!$E:$E,$C2309,Movimentacoes!$B:$B,"ENTRADA")</f>
        <v/>
      </c>
      <c r="H2309" s="13">
        <f>SUMIFS(Movimentacoes!$G:$G,Movimentacoes!$C:$C,$A2309,Movimentacoes!$E:$E,$C2309,Movimentacoes!$B:$B,"SAIDA_USO")</f>
        <v/>
      </c>
      <c r="I2309" s="13">
        <f>SUMIFS(Movimentacoes!$G:$G,Movimentacoes!$C:$C,$A2309,Movimentacoes!$E:$E,$C2309,Movimentacoes!$B:$B,"SAIDA_DESCARTE")</f>
        <v/>
      </c>
      <c r="J2309" s="13">
        <f>G2309-H2309-I2309</f>
        <v/>
      </c>
      <c r="K2309">
        <f>IF(A2309="","",IF(J2309&lt;=IFERROR(VLOOKUP(A2309,Cadastro_Produtos!$A:$E,5,FALSE),0),"ABAIXO DO MINIMO","OK"))</f>
        <v/>
      </c>
    </row>
    <row r="2310">
      <c r="B2310">
        <f>IFERROR(VLOOKUP(A2310,Cadastro_Produtos!A:B,2,FALSE),"")</f>
        <v/>
      </c>
      <c r="D2310" s="12" t="n"/>
      <c r="E2310" s="13">
        <f>IF(D2310="","",D2310-TODAY())</f>
        <v/>
      </c>
      <c r="F2310">
        <f>IF(D2310="","",IF(E2310&lt;0,"VENCIDO",IF(E2310&lt;=30,"VENCE EM &lt;= 30 DIAS",IF(E2310&lt;=60,"ATENCAO (31-60 DIAS)","OK"))))</f>
        <v/>
      </c>
      <c r="G2310" s="13">
        <f>SUMIFS(Movimentacoes!$G:$G,Movimentacoes!$C:$C,$A2310,Movimentacoes!$E:$E,$C2310,Movimentacoes!$B:$B,"ENTRADA")</f>
        <v/>
      </c>
      <c r="H2310" s="13">
        <f>SUMIFS(Movimentacoes!$G:$G,Movimentacoes!$C:$C,$A2310,Movimentacoes!$E:$E,$C2310,Movimentacoes!$B:$B,"SAIDA_USO")</f>
        <v/>
      </c>
      <c r="I2310" s="13">
        <f>SUMIFS(Movimentacoes!$G:$G,Movimentacoes!$C:$C,$A2310,Movimentacoes!$E:$E,$C2310,Movimentacoes!$B:$B,"SAIDA_DESCARTE")</f>
        <v/>
      </c>
      <c r="J2310" s="13">
        <f>G2310-H2310-I2310</f>
        <v/>
      </c>
      <c r="K2310">
        <f>IF(A2310="","",IF(J2310&lt;=IFERROR(VLOOKUP(A2310,Cadastro_Produtos!$A:$E,5,FALSE),0),"ABAIXO DO MINIMO","OK"))</f>
        <v/>
      </c>
    </row>
    <row r="2311">
      <c r="B2311">
        <f>IFERROR(VLOOKUP(A2311,Cadastro_Produtos!A:B,2,FALSE),"")</f>
        <v/>
      </c>
      <c r="D2311" s="12" t="n"/>
      <c r="E2311" s="13">
        <f>IF(D2311="","",D2311-TODAY())</f>
        <v/>
      </c>
      <c r="F2311">
        <f>IF(D2311="","",IF(E2311&lt;0,"VENCIDO",IF(E2311&lt;=30,"VENCE EM &lt;= 30 DIAS",IF(E2311&lt;=60,"ATENCAO (31-60 DIAS)","OK"))))</f>
        <v/>
      </c>
      <c r="G2311" s="13">
        <f>SUMIFS(Movimentacoes!$G:$G,Movimentacoes!$C:$C,$A2311,Movimentacoes!$E:$E,$C2311,Movimentacoes!$B:$B,"ENTRADA")</f>
        <v/>
      </c>
      <c r="H2311" s="13">
        <f>SUMIFS(Movimentacoes!$G:$G,Movimentacoes!$C:$C,$A2311,Movimentacoes!$E:$E,$C2311,Movimentacoes!$B:$B,"SAIDA_USO")</f>
        <v/>
      </c>
      <c r="I2311" s="13">
        <f>SUMIFS(Movimentacoes!$G:$G,Movimentacoes!$C:$C,$A2311,Movimentacoes!$E:$E,$C2311,Movimentacoes!$B:$B,"SAIDA_DESCARTE")</f>
        <v/>
      </c>
      <c r="J2311" s="13">
        <f>G2311-H2311-I2311</f>
        <v/>
      </c>
      <c r="K2311">
        <f>IF(A2311="","",IF(J2311&lt;=IFERROR(VLOOKUP(A2311,Cadastro_Produtos!$A:$E,5,FALSE),0),"ABAIXO DO MINIMO","OK"))</f>
        <v/>
      </c>
    </row>
    <row r="2312">
      <c r="B2312">
        <f>IFERROR(VLOOKUP(A2312,Cadastro_Produtos!A:B,2,FALSE),"")</f>
        <v/>
      </c>
      <c r="D2312" s="12" t="n"/>
      <c r="E2312" s="13">
        <f>IF(D2312="","",D2312-TODAY())</f>
        <v/>
      </c>
      <c r="F2312">
        <f>IF(D2312="","",IF(E2312&lt;0,"VENCIDO",IF(E2312&lt;=30,"VENCE EM &lt;= 30 DIAS",IF(E2312&lt;=60,"ATENCAO (31-60 DIAS)","OK"))))</f>
        <v/>
      </c>
      <c r="G2312" s="13">
        <f>SUMIFS(Movimentacoes!$G:$G,Movimentacoes!$C:$C,$A2312,Movimentacoes!$E:$E,$C2312,Movimentacoes!$B:$B,"ENTRADA")</f>
        <v/>
      </c>
      <c r="H2312" s="13">
        <f>SUMIFS(Movimentacoes!$G:$G,Movimentacoes!$C:$C,$A2312,Movimentacoes!$E:$E,$C2312,Movimentacoes!$B:$B,"SAIDA_USO")</f>
        <v/>
      </c>
      <c r="I2312" s="13">
        <f>SUMIFS(Movimentacoes!$G:$G,Movimentacoes!$C:$C,$A2312,Movimentacoes!$E:$E,$C2312,Movimentacoes!$B:$B,"SAIDA_DESCARTE")</f>
        <v/>
      </c>
      <c r="J2312" s="13">
        <f>G2312-H2312-I2312</f>
        <v/>
      </c>
      <c r="K2312">
        <f>IF(A2312="","",IF(J2312&lt;=IFERROR(VLOOKUP(A2312,Cadastro_Produtos!$A:$E,5,FALSE),0),"ABAIXO DO MINIMO","OK"))</f>
        <v/>
      </c>
    </row>
    <row r="2313">
      <c r="B2313">
        <f>IFERROR(VLOOKUP(A2313,Cadastro_Produtos!A:B,2,FALSE),"")</f>
        <v/>
      </c>
      <c r="D2313" s="12" t="n"/>
      <c r="E2313" s="13">
        <f>IF(D2313="","",D2313-TODAY())</f>
        <v/>
      </c>
      <c r="F2313">
        <f>IF(D2313="","",IF(E2313&lt;0,"VENCIDO",IF(E2313&lt;=30,"VENCE EM &lt;= 30 DIAS",IF(E2313&lt;=60,"ATENCAO (31-60 DIAS)","OK"))))</f>
        <v/>
      </c>
      <c r="G2313" s="13">
        <f>SUMIFS(Movimentacoes!$G:$G,Movimentacoes!$C:$C,$A2313,Movimentacoes!$E:$E,$C2313,Movimentacoes!$B:$B,"ENTRADA")</f>
        <v/>
      </c>
      <c r="H2313" s="13">
        <f>SUMIFS(Movimentacoes!$G:$G,Movimentacoes!$C:$C,$A2313,Movimentacoes!$E:$E,$C2313,Movimentacoes!$B:$B,"SAIDA_USO")</f>
        <v/>
      </c>
      <c r="I2313" s="13">
        <f>SUMIFS(Movimentacoes!$G:$G,Movimentacoes!$C:$C,$A2313,Movimentacoes!$E:$E,$C2313,Movimentacoes!$B:$B,"SAIDA_DESCARTE")</f>
        <v/>
      </c>
      <c r="J2313" s="13">
        <f>G2313-H2313-I2313</f>
        <v/>
      </c>
      <c r="K2313">
        <f>IF(A2313="","",IF(J2313&lt;=IFERROR(VLOOKUP(A2313,Cadastro_Produtos!$A:$E,5,FALSE),0),"ABAIXO DO MINIMO","OK"))</f>
        <v/>
      </c>
    </row>
    <row r="2314">
      <c r="B2314">
        <f>IFERROR(VLOOKUP(A2314,Cadastro_Produtos!A:B,2,FALSE),"")</f>
        <v/>
      </c>
      <c r="D2314" s="12" t="n"/>
      <c r="E2314" s="13">
        <f>IF(D2314="","",D2314-TODAY())</f>
        <v/>
      </c>
      <c r="F2314">
        <f>IF(D2314="","",IF(E2314&lt;0,"VENCIDO",IF(E2314&lt;=30,"VENCE EM &lt;= 30 DIAS",IF(E2314&lt;=60,"ATENCAO (31-60 DIAS)","OK"))))</f>
        <v/>
      </c>
      <c r="G2314" s="13">
        <f>SUMIFS(Movimentacoes!$G:$G,Movimentacoes!$C:$C,$A2314,Movimentacoes!$E:$E,$C2314,Movimentacoes!$B:$B,"ENTRADA")</f>
        <v/>
      </c>
      <c r="H2314" s="13">
        <f>SUMIFS(Movimentacoes!$G:$G,Movimentacoes!$C:$C,$A2314,Movimentacoes!$E:$E,$C2314,Movimentacoes!$B:$B,"SAIDA_USO")</f>
        <v/>
      </c>
      <c r="I2314" s="13">
        <f>SUMIFS(Movimentacoes!$G:$G,Movimentacoes!$C:$C,$A2314,Movimentacoes!$E:$E,$C2314,Movimentacoes!$B:$B,"SAIDA_DESCARTE")</f>
        <v/>
      </c>
      <c r="J2314" s="13">
        <f>G2314-H2314-I2314</f>
        <v/>
      </c>
      <c r="K2314">
        <f>IF(A2314="","",IF(J2314&lt;=IFERROR(VLOOKUP(A2314,Cadastro_Produtos!$A:$E,5,FALSE),0),"ABAIXO DO MINIMO","OK"))</f>
        <v/>
      </c>
    </row>
    <row r="2315">
      <c r="B2315">
        <f>IFERROR(VLOOKUP(A2315,Cadastro_Produtos!A:B,2,FALSE),"")</f>
        <v/>
      </c>
      <c r="D2315" s="12" t="n"/>
      <c r="E2315" s="13">
        <f>IF(D2315="","",D2315-TODAY())</f>
        <v/>
      </c>
      <c r="F2315">
        <f>IF(D2315="","",IF(E2315&lt;0,"VENCIDO",IF(E2315&lt;=30,"VENCE EM &lt;= 30 DIAS",IF(E2315&lt;=60,"ATENCAO (31-60 DIAS)","OK"))))</f>
        <v/>
      </c>
      <c r="G2315" s="13">
        <f>SUMIFS(Movimentacoes!$G:$G,Movimentacoes!$C:$C,$A2315,Movimentacoes!$E:$E,$C2315,Movimentacoes!$B:$B,"ENTRADA")</f>
        <v/>
      </c>
      <c r="H2315" s="13">
        <f>SUMIFS(Movimentacoes!$G:$G,Movimentacoes!$C:$C,$A2315,Movimentacoes!$E:$E,$C2315,Movimentacoes!$B:$B,"SAIDA_USO")</f>
        <v/>
      </c>
      <c r="I2315" s="13">
        <f>SUMIFS(Movimentacoes!$G:$G,Movimentacoes!$C:$C,$A2315,Movimentacoes!$E:$E,$C2315,Movimentacoes!$B:$B,"SAIDA_DESCARTE")</f>
        <v/>
      </c>
      <c r="J2315" s="13">
        <f>G2315-H2315-I2315</f>
        <v/>
      </c>
      <c r="K2315">
        <f>IF(A2315="","",IF(J2315&lt;=IFERROR(VLOOKUP(A2315,Cadastro_Produtos!$A:$E,5,FALSE),0),"ABAIXO DO MINIMO","OK"))</f>
        <v/>
      </c>
    </row>
    <row r="2316">
      <c r="B2316">
        <f>IFERROR(VLOOKUP(A2316,Cadastro_Produtos!A:B,2,FALSE),"")</f>
        <v/>
      </c>
      <c r="D2316" s="12" t="n"/>
      <c r="E2316" s="13">
        <f>IF(D2316="","",D2316-TODAY())</f>
        <v/>
      </c>
      <c r="F2316">
        <f>IF(D2316="","",IF(E2316&lt;0,"VENCIDO",IF(E2316&lt;=30,"VENCE EM &lt;= 30 DIAS",IF(E2316&lt;=60,"ATENCAO (31-60 DIAS)","OK"))))</f>
        <v/>
      </c>
      <c r="G2316" s="13">
        <f>SUMIFS(Movimentacoes!$G:$G,Movimentacoes!$C:$C,$A2316,Movimentacoes!$E:$E,$C2316,Movimentacoes!$B:$B,"ENTRADA")</f>
        <v/>
      </c>
      <c r="H2316" s="13">
        <f>SUMIFS(Movimentacoes!$G:$G,Movimentacoes!$C:$C,$A2316,Movimentacoes!$E:$E,$C2316,Movimentacoes!$B:$B,"SAIDA_USO")</f>
        <v/>
      </c>
      <c r="I2316" s="13">
        <f>SUMIFS(Movimentacoes!$G:$G,Movimentacoes!$C:$C,$A2316,Movimentacoes!$E:$E,$C2316,Movimentacoes!$B:$B,"SAIDA_DESCARTE")</f>
        <v/>
      </c>
      <c r="J2316" s="13">
        <f>G2316-H2316-I2316</f>
        <v/>
      </c>
      <c r="K2316">
        <f>IF(A2316="","",IF(J2316&lt;=IFERROR(VLOOKUP(A2316,Cadastro_Produtos!$A:$E,5,FALSE),0),"ABAIXO DO MINIMO","OK"))</f>
        <v/>
      </c>
    </row>
    <row r="2317">
      <c r="B2317">
        <f>IFERROR(VLOOKUP(A2317,Cadastro_Produtos!A:B,2,FALSE),"")</f>
        <v/>
      </c>
      <c r="D2317" s="12" t="n"/>
      <c r="E2317" s="13">
        <f>IF(D2317="","",D2317-TODAY())</f>
        <v/>
      </c>
      <c r="F2317">
        <f>IF(D2317="","",IF(E2317&lt;0,"VENCIDO",IF(E2317&lt;=30,"VENCE EM &lt;= 30 DIAS",IF(E2317&lt;=60,"ATENCAO (31-60 DIAS)","OK"))))</f>
        <v/>
      </c>
      <c r="G2317" s="13">
        <f>SUMIFS(Movimentacoes!$G:$G,Movimentacoes!$C:$C,$A2317,Movimentacoes!$E:$E,$C2317,Movimentacoes!$B:$B,"ENTRADA")</f>
        <v/>
      </c>
      <c r="H2317" s="13">
        <f>SUMIFS(Movimentacoes!$G:$G,Movimentacoes!$C:$C,$A2317,Movimentacoes!$E:$E,$C2317,Movimentacoes!$B:$B,"SAIDA_USO")</f>
        <v/>
      </c>
      <c r="I2317" s="13">
        <f>SUMIFS(Movimentacoes!$G:$G,Movimentacoes!$C:$C,$A2317,Movimentacoes!$E:$E,$C2317,Movimentacoes!$B:$B,"SAIDA_DESCARTE")</f>
        <v/>
      </c>
      <c r="J2317" s="13">
        <f>G2317-H2317-I2317</f>
        <v/>
      </c>
      <c r="K2317">
        <f>IF(A2317="","",IF(J2317&lt;=IFERROR(VLOOKUP(A2317,Cadastro_Produtos!$A:$E,5,FALSE),0),"ABAIXO DO MINIMO","OK"))</f>
        <v/>
      </c>
    </row>
    <row r="2318">
      <c r="B2318">
        <f>IFERROR(VLOOKUP(A2318,Cadastro_Produtos!A:B,2,FALSE),"")</f>
        <v/>
      </c>
      <c r="D2318" s="12" t="n"/>
      <c r="E2318" s="13">
        <f>IF(D2318="","",D2318-TODAY())</f>
        <v/>
      </c>
      <c r="F2318">
        <f>IF(D2318="","",IF(E2318&lt;0,"VENCIDO",IF(E2318&lt;=30,"VENCE EM &lt;= 30 DIAS",IF(E2318&lt;=60,"ATENCAO (31-60 DIAS)","OK"))))</f>
        <v/>
      </c>
      <c r="G2318" s="13">
        <f>SUMIFS(Movimentacoes!$G:$G,Movimentacoes!$C:$C,$A2318,Movimentacoes!$E:$E,$C2318,Movimentacoes!$B:$B,"ENTRADA")</f>
        <v/>
      </c>
      <c r="H2318" s="13">
        <f>SUMIFS(Movimentacoes!$G:$G,Movimentacoes!$C:$C,$A2318,Movimentacoes!$E:$E,$C2318,Movimentacoes!$B:$B,"SAIDA_USO")</f>
        <v/>
      </c>
      <c r="I2318" s="13">
        <f>SUMIFS(Movimentacoes!$G:$G,Movimentacoes!$C:$C,$A2318,Movimentacoes!$E:$E,$C2318,Movimentacoes!$B:$B,"SAIDA_DESCARTE")</f>
        <v/>
      </c>
      <c r="J2318" s="13">
        <f>G2318-H2318-I2318</f>
        <v/>
      </c>
      <c r="K2318">
        <f>IF(A2318="","",IF(J2318&lt;=IFERROR(VLOOKUP(A2318,Cadastro_Produtos!$A:$E,5,FALSE),0),"ABAIXO DO MINIMO","OK"))</f>
        <v/>
      </c>
    </row>
    <row r="2319">
      <c r="B2319">
        <f>IFERROR(VLOOKUP(A2319,Cadastro_Produtos!A:B,2,FALSE),"")</f>
        <v/>
      </c>
      <c r="D2319" s="12" t="n"/>
      <c r="E2319" s="13">
        <f>IF(D2319="","",D2319-TODAY())</f>
        <v/>
      </c>
      <c r="F2319">
        <f>IF(D2319="","",IF(E2319&lt;0,"VENCIDO",IF(E2319&lt;=30,"VENCE EM &lt;= 30 DIAS",IF(E2319&lt;=60,"ATENCAO (31-60 DIAS)","OK"))))</f>
        <v/>
      </c>
      <c r="G2319" s="13">
        <f>SUMIFS(Movimentacoes!$G:$G,Movimentacoes!$C:$C,$A2319,Movimentacoes!$E:$E,$C2319,Movimentacoes!$B:$B,"ENTRADA")</f>
        <v/>
      </c>
      <c r="H2319" s="13">
        <f>SUMIFS(Movimentacoes!$G:$G,Movimentacoes!$C:$C,$A2319,Movimentacoes!$E:$E,$C2319,Movimentacoes!$B:$B,"SAIDA_USO")</f>
        <v/>
      </c>
      <c r="I2319" s="13">
        <f>SUMIFS(Movimentacoes!$G:$G,Movimentacoes!$C:$C,$A2319,Movimentacoes!$E:$E,$C2319,Movimentacoes!$B:$B,"SAIDA_DESCARTE")</f>
        <v/>
      </c>
      <c r="J2319" s="13">
        <f>G2319-H2319-I2319</f>
        <v/>
      </c>
      <c r="K2319">
        <f>IF(A2319="","",IF(J2319&lt;=IFERROR(VLOOKUP(A2319,Cadastro_Produtos!$A:$E,5,FALSE),0),"ABAIXO DO MINIMO","OK"))</f>
        <v/>
      </c>
    </row>
    <row r="2320">
      <c r="B2320">
        <f>IFERROR(VLOOKUP(A2320,Cadastro_Produtos!A:B,2,FALSE),"")</f>
        <v/>
      </c>
      <c r="D2320" s="12" t="n"/>
      <c r="E2320" s="13">
        <f>IF(D2320="","",D2320-TODAY())</f>
        <v/>
      </c>
      <c r="F2320">
        <f>IF(D2320="","",IF(E2320&lt;0,"VENCIDO",IF(E2320&lt;=30,"VENCE EM &lt;= 30 DIAS",IF(E2320&lt;=60,"ATENCAO (31-60 DIAS)","OK"))))</f>
        <v/>
      </c>
      <c r="G2320" s="13">
        <f>SUMIFS(Movimentacoes!$G:$G,Movimentacoes!$C:$C,$A2320,Movimentacoes!$E:$E,$C2320,Movimentacoes!$B:$B,"ENTRADA")</f>
        <v/>
      </c>
      <c r="H2320" s="13">
        <f>SUMIFS(Movimentacoes!$G:$G,Movimentacoes!$C:$C,$A2320,Movimentacoes!$E:$E,$C2320,Movimentacoes!$B:$B,"SAIDA_USO")</f>
        <v/>
      </c>
      <c r="I2320" s="13">
        <f>SUMIFS(Movimentacoes!$G:$G,Movimentacoes!$C:$C,$A2320,Movimentacoes!$E:$E,$C2320,Movimentacoes!$B:$B,"SAIDA_DESCARTE")</f>
        <v/>
      </c>
      <c r="J2320" s="13">
        <f>G2320-H2320-I2320</f>
        <v/>
      </c>
      <c r="K2320">
        <f>IF(A2320="","",IF(J2320&lt;=IFERROR(VLOOKUP(A2320,Cadastro_Produtos!$A:$E,5,FALSE),0),"ABAIXO DO MINIMO","OK"))</f>
        <v/>
      </c>
    </row>
    <row r="2321">
      <c r="B2321">
        <f>IFERROR(VLOOKUP(A2321,Cadastro_Produtos!A:B,2,FALSE),"")</f>
        <v/>
      </c>
      <c r="D2321" s="12" t="n"/>
      <c r="E2321" s="13">
        <f>IF(D2321="","",D2321-TODAY())</f>
        <v/>
      </c>
      <c r="F2321">
        <f>IF(D2321="","",IF(E2321&lt;0,"VENCIDO",IF(E2321&lt;=30,"VENCE EM &lt;= 30 DIAS",IF(E2321&lt;=60,"ATENCAO (31-60 DIAS)","OK"))))</f>
        <v/>
      </c>
      <c r="G2321" s="13">
        <f>SUMIFS(Movimentacoes!$G:$G,Movimentacoes!$C:$C,$A2321,Movimentacoes!$E:$E,$C2321,Movimentacoes!$B:$B,"ENTRADA")</f>
        <v/>
      </c>
      <c r="H2321" s="13">
        <f>SUMIFS(Movimentacoes!$G:$G,Movimentacoes!$C:$C,$A2321,Movimentacoes!$E:$E,$C2321,Movimentacoes!$B:$B,"SAIDA_USO")</f>
        <v/>
      </c>
      <c r="I2321" s="13">
        <f>SUMIFS(Movimentacoes!$G:$G,Movimentacoes!$C:$C,$A2321,Movimentacoes!$E:$E,$C2321,Movimentacoes!$B:$B,"SAIDA_DESCARTE")</f>
        <v/>
      </c>
      <c r="J2321" s="13">
        <f>G2321-H2321-I2321</f>
        <v/>
      </c>
      <c r="K2321">
        <f>IF(A2321="","",IF(J2321&lt;=IFERROR(VLOOKUP(A2321,Cadastro_Produtos!$A:$E,5,FALSE),0),"ABAIXO DO MINIMO","OK"))</f>
        <v/>
      </c>
    </row>
    <row r="2322">
      <c r="B2322">
        <f>IFERROR(VLOOKUP(A2322,Cadastro_Produtos!A:B,2,FALSE),"")</f>
        <v/>
      </c>
      <c r="D2322" s="12" t="n"/>
      <c r="E2322" s="13">
        <f>IF(D2322="","",D2322-TODAY())</f>
        <v/>
      </c>
      <c r="F2322">
        <f>IF(D2322="","",IF(E2322&lt;0,"VENCIDO",IF(E2322&lt;=30,"VENCE EM &lt;= 30 DIAS",IF(E2322&lt;=60,"ATENCAO (31-60 DIAS)","OK"))))</f>
        <v/>
      </c>
      <c r="G2322" s="13">
        <f>SUMIFS(Movimentacoes!$G:$G,Movimentacoes!$C:$C,$A2322,Movimentacoes!$E:$E,$C2322,Movimentacoes!$B:$B,"ENTRADA")</f>
        <v/>
      </c>
      <c r="H2322" s="13">
        <f>SUMIFS(Movimentacoes!$G:$G,Movimentacoes!$C:$C,$A2322,Movimentacoes!$E:$E,$C2322,Movimentacoes!$B:$B,"SAIDA_USO")</f>
        <v/>
      </c>
      <c r="I2322" s="13">
        <f>SUMIFS(Movimentacoes!$G:$G,Movimentacoes!$C:$C,$A2322,Movimentacoes!$E:$E,$C2322,Movimentacoes!$B:$B,"SAIDA_DESCARTE")</f>
        <v/>
      </c>
      <c r="J2322" s="13">
        <f>G2322-H2322-I2322</f>
        <v/>
      </c>
      <c r="K2322">
        <f>IF(A2322="","",IF(J2322&lt;=IFERROR(VLOOKUP(A2322,Cadastro_Produtos!$A:$E,5,FALSE),0),"ABAIXO DO MINIMO","OK"))</f>
        <v/>
      </c>
    </row>
    <row r="2323">
      <c r="B2323">
        <f>IFERROR(VLOOKUP(A2323,Cadastro_Produtos!A:B,2,FALSE),"")</f>
        <v/>
      </c>
      <c r="D2323" s="12" t="n"/>
      <c r="E2323" s="13">
        <f>IF(D2323="","",D2323-TODAY())</f>
        <v/>
      </c>
      <c r="F2323">
        <f>IF(D2323="","",IF(E2323&lt;0,"VENCIDO",IF(E2323&lt;=30,"VENCE EM &lt;= 30 DIAS",IF(E2323&lt;=60,"ATENCAO (31-60 DIAS)","OK"))))</f>
        <v/>
      </c>
      <c r="G2323" s="13">
        <f>SUMIFS(Movimentacoes!$G:$G,Movimentacoes!$C:$C,$A2323,Movimentacoes!$E:$E,$C2323,Movimentacoes!$B:$B,"ENTRADA")</f>
        <v/>
      </c>
      <c r="H2323" s="13">
        <f>SUMIFS(Movimentacoes!$G:$G,Movimentacoes!$C:$C,$A2323,Movimentacoes!$E:$E,$C2323,Movimentacoes!$B:$B,"SAIDA_USO")</f>
        <v/>
      </c>
      <c r="I2323" s="13">
        <f>SUMIFS(Movimentacoes!$G:$G,Movimentacoes!$C:$C,$A2323,Movimentacoes!$E:$E,$C2323,Movimentacoes!$B:$B,"SAIDA_DESCARTE")</f>
        <v/>
      </c>
      <c r="J2323" s="13">
        <f>G2323-H2323-I2323</f>
        <v/>
      </c>
      <c r="K2323">
        <f>IF(A2323="","",IF(J2323&lt;=IFERROR(VLOOKUP(A2323,Cadastro_Produtos!$A:$E,5,FALSE),0),"ABAIXO DO MINIMO","OK"))</f>
        <v/>
      </c>
    </row>
    <row r="2324">
      <c r="B2324">
        <f>IFERROR(VLOOKUP(A2324,Cadastro_Produtos!A:B,2,FALSE),"")</f>
        <v/>
      </c>
      <c r="D2324" s="12" t="n"/>
      <c r="E2324" s="13">
        <f>IF(D2324="","",D2324-TODAY())</f>
        <v/>
      </c>
      <c r="F2324">
        <f>IF(D2324="","",IF(E2324&lt;0,"VENCIDO",IF(E2324&lt;=30,"VENCE EM &lt;= 30 DIAS",IF(E2324&lt;=60,"ATENCAO (31-60 DIAS)","OK"))))</f>
        <v/>
      </c>
      <c r="G2324" s="13">
        <f>SUMIFS(Movimentacoes!$G:$G,Movimentacoes!$C:$C,$A2324,Movimentacoes!$E:$E,$C2324,Movimentacoes!$B:$B,"ENTRADA")</f>
        <v/>
      </c>
      <c r="H2324" s="13">
        <f>SUMIFS(Movimentacoes!$G:$G,Movimentacoes!$C:$C,$A2324,Movimentacoes!$E:$E,$C2324,Movimentacoes!$B:$B,"SAIDA_USO")</f>
        <v/>
      </c>
      <c r="I2324" s="13">
        <f>SUMIFS(Movimentacoes!$G:$G,Movimentacoes!$C:$C,$A2324,Movimentacoes!$E:$E,$C2324,Movimentacoes!$B:$B,"SAIDA_DESCARTE")</f>
        <v/>
      </c>
      <c r="J2324" s="13">
        <f>G2324-H2324-I2324</f>
        <v/>
      </c>
      <c r="K2324">
        <f>IF(A2324="","",IF(J2324&lt;=IFERROR(VLOOKUP(A2324,Cadastro_Produtos!$A:$E,5,FALSE),0),"ABAIXO DO MINIMO","OK"))</f>
        <v/>
      </c>
    </row>
    <row r="2325">
      <c r="B2325">
        <f>IFERROR(VLOOKUP(A2325,Cadastro_Produtos!A:B,2,FALSE),"")</f>
        <v/>
      </c>
      <c r="D2325" s="12" t="n"/>
      <c r="E2325" s="13">
        <f>IF(D2325="","",D2325-TODAY())</f>
        <v/>
      </c>
      <c r="F2325">
        <f>IF(D2325="","",IF(E2325&lt;0,"VENCIDO",IF(E2325&lt;=30,"VENCE EM &lt;= 30 DIAS",IF(E2325&lt;=60,"ATENCAO (31-60 DIAS)","OK"))))</f>
        <v/>
      </c>
      <c r="G2325" s="13">
        <f>SUMIFS(Movimentacoes!$G:$G,Movimentacoes!$C:$C,$A2325,Movimentacoes!$E:$E,$C2325,Movimentacoes!$B:$B,"ENTRADA")</f>
        <v/>
      </c>
      <c r="H2325" s="13">
        <f>SUMIFS(Movimentacoes!$G:$G,Movimentacoes!$C:$C,$A2325,Movimentacoes!$E:$E,$C2325,Movimentacoes!$B:$B,"SAIDA_USO")</f>
        <v/>
      </c>
      <c r="I2325" s="13">
        <f>SUMIFS(Movimentacoes!$G:$G,Movimentacoes!$C:$C,$A2325,Movimentacoes!$E:$E,$C2325,Movimentacoes!$B:$B,"SAIDA_DESCARTE")</f>
        <v/>
      </c>
      <c r="J2325" s="13">
        <f>G2325-H2325-I2325</f>
        <v/>
      </c>
      <c r="K2325">
        <f>IF(A2325="","",IF(J2325&lt;=IFERROR(VLOOKUP(A2325,Cadastro_Produtos!$A:$E,5,FALSE),0),"ABAIXO DO MINIMO","OK"))</f>
        <v/>
      </c>
    </row>
    <row r="2326">
      <c r="B2326">
        <f>IFERROR(VLOOKUP(A2326,Cadastro_Produtos!A:B,2,FALSE),"")</f>
        <v/>
      </c>
      <c r="D2326" s="12" t="n"/>
      <c r="E2326" s="13">
        <f>IF(D2326="","",D2326-TODAY())</f>
        <v/>
      </c>
      <c r="F2326">
        <f>IF(D2326="","",IF(E2326&lt;0,"VENCIDO",IF(E2326&lt;=30,"VENCE EM &lt;= 30 DIAS",IF(E2326&lt;=60,"ATENCAO (31-60 DIAS)","OK"))))</f>
        <v/>
      </c>
      <c r="G2326" s="13">
        <f>SUMIFS(Movimentacoes!$G:$G,Movimentacoes!$C:$C,$A2326,Movimentacoes!$E:$E,$C2326,Movimentacoes!$B:$B,"ENTRADA")</f>
        <v/>
      </c>
      <c r="H2326" s="13">
        <f>SUMIFS(Movimentacoes!$G:$G,Movimentacoes!$C:$C,$A2326,Movimentacoes!$E:$E,$C2326,Movimentacoes!$B:$B,"SAIDA_USO")</f>
        <v/>
      </c>
      <c r="I2326" s="13">
        <f>SUMIFS(Movimentacoes!$G:$G,Movimentacoes!$C:$C,$A2326,Movimentacoes!$E:$E,$C2326,Movimentacoes!$B:$B,"SAIDA_DESCARTE")</f>
        <v/>
      </c>
      <c r="J2326" s="13">
        <f>G2326-H2326-I2326</f>
        <v/>
      </c>
      <c r="K2326">
        <f>IF(A2326="","",IF(J2326&lt;=IFERROR(VLOOKUP(A2326,Cadastro_Produtos!$A:$E,5,FALSE),0),"ABAIXO DO MINIMO","OK"))</f>
        <v/>
      </c>
    </row>
    <row r="2327">
      <c r="B2327">
        <f>IFERROR(VLOOKUP(A2327,Cadastro_Produtos!A:B,2,FALSE),"")</f>
        <v/>
      </c>
      <c r="D2327" s="12" t="n"/>
      <c r="E2327" s="13">
        <f>IF(D2327="","",D2327-TODAY())</f>
        <v/>
      </c>
      <c r="F2327">
        <f>IF(D2327="","",IF(E2327&lt;0,"VENCIDO",IF(E2327&lt;=30,"VENCE EM &lt;= 30 DIAS",IF(E2327&lt;=60,"ATENCAO (31-60 DIAS)","OK"))))</f>
        <v/>
      </c>
      <c r="G2327" s="13">
        <f>SUMIFS(Movimentacoes!$G:$G,Movimentacoes!$C:$C,$A2327,Movimentacoes!$E:$E,$C2327,Movimentacoes!$B:$B,"ENTRADA")</f>
        <v/>
      </c>
      <c r="H2327" s="13">
        <f>SUMIFS(Movimentacoes!$G:$G,Movimentacoes!$C:$C,$A2327,Movimentacoes!$E:$E,$C2327,Movimentacoes!$B:$B,"SAIDA_USO")</f>
        <v/>
      </c>
      <c r="I2327" s="13">
        <f>SUMIFS(Movimentacoes!$G:$G,Movimentacoes!$C:$C,$A2327,Movimentacoes!$E:$E,$C2327,Movimentacoes!$B:$B,"SAIDA_DESCARTE")</f>
        <v/>
      </c>
      <c r="J2327" s="13">
        <f>G2327-H2327-I2327</f>
        <v/>
      </c>
      <c r="K2327">
        <f>IF(A2327="","",IF(J2327&lt;=IFERROR(VLOOKUP(A2327,Cadastro_Produtos!$A:$E,5,FALSE),0),"ABAIXO DO MINIMO","OK"))</f>
        <v/>
      </c>
    </row>
    <row r="2328">
      <c r="B2328">
        <f>IFERROR(VLOOKUP(A2328,Cadastro_Produtos!A:B,2,FALSE),"")</f>
        <v/>
      </c>
      <c r="D2328" s="12" t="n"/>
      <c r="E2328" s="13">
        <f>IF(D2328="","",D2328-TODAY())</f>
        <v/>
      </c>
      <c r="F2328">
        <f>IF(D2328="","",IF(E2328&lt;0,"VENCIDO",IF(E2328&lt;=30,"VENCE EM &lt;= 30 DIAS",IF(E2328&lt;=60,"ATENCAO (31-60 DIAS)","OK"))))</f>
        <v/>
      </c>
      <c r="G2328" s="13">
        <f>SUMIFS(Movimentacoes!$G:$G,Movimentacoes!$C:$C,$A2328,Movimentacoes!$E:$E,$C2328,Movimentacoes!$B:$B,"ENTRADA")</f>
        <v/>
      </c>
      <c r="H2328" s="13">
        <f>SUMIFS(Movimentacoes!$G:$G,Movimentacoes!$C:$C,$A2328,Movimentacoes!$E:$E,$C2328,Movimentacoes!$B:$B,"SAIDA_USO")</f>
        <v/>
      </c>
      <c r="I2328" s="13">
        <f>SUMIFS(Movimentacoes!$G:$G,Movimentacoes!$C:$C,$A2328,Movimentacoes!$E:$E,$C2328,Movimentacoes!$B:$B,"SAIDA_DESCARTE")</f>
        <v/>
      </c>
      <c r="J2328" s="13">
        <f>G2328-H2328-I2328</f>
        <v/>
      </c>
      <c r="K2328">
        <f>IF(A2328="","",IF(J2328&lt;=IFERROR(VLOOKUP(A2328,Cadastro_Produtos!$A:$E,5,FALSE),0),"ABAIXO DO MINIMO","OK"))</f>
        <v/>
      </c>
    </row>
    <row r="2329">
      <c r="B2329">
        <f>IFERROR(VLOOKUP(A2329,Cadastro_Produtos!A:B,2,FALSE),"")</f>
        <v/>
      </c>
      <c r="D2329" s="12" t="n"/>
      <c r="E2329" s="13">
        <f>IF(D2329="","",D2329-TODAY())</f>
        <v/>
      </c>
      <c r="F2329">
        <f>IF(D2329="","",IF(E2329&lt;0,"VENCIDO",IF(E2329&lt;=30,"VENCE EM &lt;= 30 DIAS",IF(E2329&lt;=60,"ATENCAO (31-60 DIAS)","OK"))))</f>
        <v/>
      </c>
      <c r="G2329" s="13">
        <f>SUMIFS(Movimentacoes!$G:$G,Movimentacoes!$C:$C,$A2329,Movimentacoes!$E:$E,$C2329,Movimentacoes!$B:$B,"ENTRADA")</f>
        <v/>
      </c>
      <c r="H2329" s="13">
        <f>SUMIFS(Movimentacoes!$G:$G,Movimentacoes!$C:$C,$A2329,Movimentacoes!$E:$E,$C2329,Movimentacoes!$B:$B,"SAIDA_USO")</f>
        <v/>
      </c>
      <c r="I2329" s="13">
        <f>SUMIFS(Movimentacoes!$G:$G,Movimentacoes!$C:$C,$A2329,Movimentacoes!$E:$E,$C2329,Movimentacoes!$B:$B,"SAIDA_DESCARTE")</f>
        <v/>
      </c>
      <c r="J2329" s="13">
        <f>G2329-H2329-I2329</f>
        <v/>
      </c>
      <c r="K2329">
        <f>IF(A2329="","",IF(J2329&lt;=IFERROR(VLOOKUP(A2329,Cadastro_Produtos!$A:$E,5,FALSE),0),"ABAIXO DO MINIMO","OK"))</f>
        <v/>
      </c>
    </row>
    <row r="2330">
      <c r="B2330">
        <f>IFERROR(VLOOKUP(A2330,Cadastro_Produtos!A:B,2,FALSE),"")</f>
        <v/>
      </c>
      <c r="D2330" s="12" t="n"/>
      <c r="E2330" s="13">
        <f>IF(D2330="","",D2330-TODAY())</f>
        <v/>
      </c>
      <c r="F2330">
        <f>IF(D2330="","",IF(E2330&lt;0,"VENCIDO",IF(E2330&lt;=30,"VENCE EM &lt;= 30 DIAS",IF(E2330&lt;=60,"ATENCAO (31-60 DIAS)","OK"))))</f>
        <v/>
      </c>
      <c r="G2330" s="13">
        <f>SUMIFS(Movimentacoes!$G:$G,Movimentacoes!$C:$C,$A2330,Movimentacoes!$E:$E,$C2330,Movimentacoes!$B:$B,"ENTRADA")</f>
        <v/>
      </c>
      <c r="H2330" s="13">
        <f>SUMIFS(Movimentacoes!$G:$G,Movimentacoes!$C:$C,$A2330,Movimentacoes!$E:$E,$C2330,Movimentacoes!$B:$B,"SAIDA_USO")</f>
        <v/>
      </c>
      <c r="I2330" s="13">
        <f>SUMIFS(Movimentacoes!$G:$G,Movimentacoes!$C:$C,$A2330,Movimentacoes!$E:$E,$C2330,Movimentacoes!$B:$B,"SAIDA_DESCARTE")</f>
        <v/>
      </c>
      <c r="J2330" s="13">
        <f>G2330-H2330-I2330</f>
        <v/>
      </c>
      <c r="K2330">
        <f>IF(A2330="","",IF(J2330&lt;=IFERROR(VLOOKUP(A2330,Cadastro_Produtos!$A:$E,5,FALSE),0),"ABAIXO DO MINIMO","OK"))</f>
        <v/>
      </c>
    </row>
    <row r="2331">
      <c r="B2331">
        <f>IFERROR(VLOOKUP(A2331,Cadastro_Produtos!A:B,2,FALSE),"")</f>
        <v/>
      </c>
      <c r="D2331" s="12" t="n"/>
      <c r="E2331" s="13">
        <f>IF(D2331="","",D2331-TODAY())</f>
        <v/>
      </c>
      <c r="F2331">
        <f>IF(D2331="","",IF(E2331&lt;0,"VENCIDO",IF(E2331&lt;=30,"VENCE EM &lt;= 30 DIAS",IF(E2331&lt;=60,"ATENCAO (31-60 DIAS)","OK"))))</f>
        <v/>
      </c>
      <c r="G2331" s="13">
        <f>SUMIFS(Movimentacoes!$G:$G,Movimentacoes!$C:$C,$A2331,Movimentacoes!$E:$E,$C2331,Movimentacoes!$B:$B,"ENTRADA")</f>
        <v/>
      </c>
      <c r="H2331" s="13">
        <f>SUMIFS(Movimentacoes!$G:$G,Movimentacoes!$C:$C,$A2331,Movimentacoes!$E:$E,$C2331,Movimentacoes!$B:$B,"SAIDA_USO")</f>
        <v/>
      </c>
      <c r="I2331" s="13">
        <f>SUMIFS(Movimentacoes!$G:$G,Movimentacoes!$C:$C,$A2331,Movimentacoes!$E:$E,$C2331,Movimentacoes!$B:$B,"SAIDA_DESCARTE")</f>
        <v/>
      </c>
      <c r="J2331" s="13">
        <f>G2331-H2331-I2331</f>
        <v/>
      </c>
      <c r="K2331">
        <f>IF(A2331="","",IF(J2331&lt;=IFERROR(VLOOKUP(A2331,Cadastro_Produtos!$A:$E,5,FALSE),0),"ABAIXO DO MINIMO","OK"))</f>
        <v/>
      </c>
    </row>
    <row r="2332">
      <c r="B2332">
        <f>IFERROR(VLOOKUP(A2332,Cadastro_Produtos!A:B,2,FALSE),"")</f>
        <v/>
      </c>
      <c r="D2332" s="12" t="n"/>
      <c r="E2332" s="13">
        <f>IF(D2332="","",D2332-TODAY())</f>
        <v/>
      </c>
      <c r="F2332">
        <f>IF(D2332="","",IF(E2332&lt;0,"VENCIDO",IF(E2332&lt;=30,"VENCE EM &lt;= 30 DIAS",IF(E2332&lt;=60,"ATENCAO (31-60 DIAS)","OK"))))</f>
        <v/>
      </c>
      <c r="G2332" s="13">
        <f>SUMIFS(Movimentacoes!$G:$G,Movimentacoes!$C:$C,$A2332,Movimentacoes!$E:$E,$C2332,Movimentacoes!$B:$B,"ENTRADA")</f>
        <v/>
      </c>
      <c r="H2332" s="13">
        <f>SUMIFS(Movimentacoes!$G:$G,Movimentacoes!$C:$C,$A2332,Movimentacoes!$E:$E,$C2332,Movimentacoes!$B:$B,"SAIDA_USO")</f>
        <v/>
      </c>
      <c r="I2332" s="13">
        <f>SUMIFS(Movimentacoes!$G:$G,Movimentacoes!$C:$C,$A2332,Movimentacoes!$E:$E,$C2332,Movimentacoes!$B:$B,"SAIDA_DESCARTE")</f>
        <v/>
      </c>
      <c r="J2332" s="13">
        <f>G2332-H2332-I2332</f>
        <v/>
      </c>
      <c r="K2332">
        <f>IF(A2332="","",IF(J2332&lt;=IFERROR(VLOOKUP(A2332,Cadastro_Produtos!$A:$E,5,FALSE),0),"ABAIXO DO MINIMO","OK"))</f>
        <v/>
      </c>
    </row>
    <row r="2333">
      <c r="B2333">
        <f>IFERROR(VLOOKUP(A2333,Cadastro_Produtos!A:B,2,FALSE),"")</f>
        <v/>
      </c>
      <c r="D2333" s="12" t="n"/>
      <c r="E2333" s="13">
        <f>IF(D2333="","",D2333-TODAY())</f>
        <v/>
      </c>
      <c r="F2333">
        <f>IF(D2333="","",IF(E2333&lt;0,"VENCIDO",IF(E2333&lt;=30,"VENCE EM &lt;= 30 DIAS",IF(E2333&lt;=60,"ATENCAO (31-60 DIAS)","OK"))))</f>
        <v/>
      </c>
      <c r="G2333" s="13">
        <f>SUMIFS(Movimentacoes!$G:$G,Movimentacoes!$C:$C,$A2333,Movimentacoes!$E:$E,$C2333,Movimentacoes!$B:$B,"ENTRADA")</f>
        <v/>
      </c>
      <c r="H2333" s="13">
        <f>SUMIFS(Movimentacoes!$G:$G,Movimentacoes!$C:$C,$A2333,Movimentacoes!$E:$E,$C2333,Movimentacoes!$B:$B,"SAIDA_USO")</f>
        <v/>
      </c>
      <c r="I2333" s="13">
        <f>SUMIFS(Movimentacoes!$G:$G,Movimentacoes!$C:$C,$A2333,Movimentacoes!$E:$E,$C2333,Movimentacoes!$B:$B,"SAIDA_DESCARTE")</f>
        <v/>
      </c>
      <c r="J2333" s="13">
        <f>G2333-H2333-I2333</f>
        <v/>
      </c>
      <c r="K2333">
        <f>IF(A2333="","",IF(J2333&lt;=IFERROR(VLOOKUP(A2333,Cadastro_Produtos!$A:$E,5,FALSE),0),"ABAIXO DO MINIMO","OK"))</f>
        <v/>
      </c>
    </row>
    <row r="2334">
      <c r="B2334">
        <f>IFERROR(VLOOKUP(A2334,Cadastro_Produtos!A:B,2,FALSE),"")</f>
        <v/>
      </c>
      <c r="D2334" s="12" t="n"/>
      <c r="E2334" s="13">
        <f>IF(D2334="","",D2334-TODAY())</f>
        <v/>
      </c>
      <c r="F2334">
        <f>IF(D2334="","",IF(E2334&lt;0,"VENCIDO",IF(E2334&lt;=30,"VENCE EM &lt;= 30 DIAS",IF(E2334&lt;=60,"ATENCAO (31-60 DIAS)","OK"))))</f>
        <v/>
      </c>
      <c r="G2334" s="13">
        <f>SUMIFS(Movimentacoes!$G:$G,Movimentacoes!$C:$C,$A2334,Movimentacoes!$E:$E,$C2334,Movimentacoes!$B:$B,"ENTRADA")</f>
        <v/>
      </c>
      <c r="H2334" s="13">
        <f>SUMIFS(Movimentacoes!$G:$G,Movimentacoes!$C:$C,$A2334,Movimentacoes!$E:$E,$C2334,Movimentacoes!$B:$B,"SAIDA_USO")</f>
        <v/>
      </c>
      <c r="I2334" s="13">
        <f>SUMIFS(Movimentacoes!$G:$G,Movimentacoes!$C:$C,$A2334,Movimentacoes!$E:$E,$C2334,Movimentacoes!$B:$B,"SAIDA_DESCARTE")</f>
        <v/>
      </c>
      <c r="J2334" s="13">
        <f>G2334-H2334-I2334</f>
        <v/>
      </c>
      <c r="K2334">
        <f>IF(A2334="","",IF(J2334&lt;=IFERROR(VLOOKUP(A2334,Cadastro_Produtos!$A:$E,5,FALSE),0),"ABAIXO DO MINIMO","OK"))</f>
        <v/>
      </c>
    </row>
    <row r="2335">
      <c r="B2335">
        <f>IFERROR(VLOOKUP(A2335,Cadastro_Produtos!A:B,2,FALSE),"")</f>
        <v/>
      </c>
      <c r="D2335" s="12" t="n"/>
      <c r="E2335" s="13">
        <f>IF(D2335="","",D2335-TODAY())</f>
        <v/>
      </c>
      <c r="F2335">
        <f>IF(D2335="","",IF(E2335&lt;0,"VENCIDO",IF(E2335&lt;=30,"VENCE EM &lt;= 30 DIAS",IF(E2335&lt;=60,"ATENCAO (31-60 DIAS)","OK"))))</f>
        <v/>
      </c>
      <c r="G2335" s="13">
        <f>SUMIFS(Movimentacoes!$G:$G,Movimentacoes!$C:$C,$A2335,Movimentacoes!$E:$E,$C2335,Movimentacoes!$B:$B,"ENTRADA")</f>
        <v/>
      </c>
      <c r="H2335" s="13">
        <f>SUMIFS(Movimentacoes!$G:$G,Movimentacoes!$C:$C,$A2335,Movimentacoes!$E:$E,$C2335,Movimentacoes!$B:$B,"SAIDA_USO")</f>
        <v/>
      </c>
      <c r="I2335" s="13">
        <f>SUMIFS(Movimentacoes!$G:$G,Movimentacoes!$C:$C,$A2335,Movimentacoes!$E:$E,$C2335,Movimentacoes!$B:$B,"SAIDA_DESCARTE")</f>
        <v/>
      </c>
      <c r="J2335" s="13">
        <f>G2335-H2335-I2335</f>
        <v/>
      </c>
      <c r="K2335">
        <f>IF(A2335="","",IF(J2335&lt;=IFERROR(VLOOKUP(A2335,Cadastro_Produtos!$A:$E,5,FALSE),0),"ABAIXO DO MINIMO","OK"))</f>
        <v/>
      </c>
    </row>
    <row r="2336">
      <c r="B2336">
        <f>IFERROR(VLOOKUP(A2336,Cadastro_Produtos!A:B,2,FALSE),"")</f>
        <v/>
      </c>
      <c r="D2336" s="12" t="n"/>
      <c r="E2336" s="13">
        <f>IF(D2336="","",D2336-TODAY())</f>
        <v/>
      </c>
      <c r="F2336">
        <f>IF(D2336="","",IF(E2336&lt;0,"VENCIDO",IF(E2336&lt;=30,"VENCE EM &lt;= 30 DIAS",IF(E2336&lt;=60,"ATENCAO (31-60 DIAS)","OK"))))</f>
        <v/>
      </c>
      <c r="G2336" s="13">
        <f>SUMIFS(Movimentacoes!$G:$G,Movimentacoes!$C:$C,$A2336,Movimentacoes!$E:$E,$C2336,Movimentacoes!$B:$B,"ENTRADA")</f>
        <v/>
      </c>
      <c r="H2336" s="13">
        <f>SUMIFS(Movimentacoes!$G:$G,Movimentacoes!$C:$C,$A2336,Movimentacoes!$E:$E,$C2336,Movimentacoes!$B:$B,"SAIDA_USO")</f>
        <v/>
      </c>
      <c r="I2336" s="13">
        <f>SUMIFS(Movimentacoes!$G:$G,Movimentacoes!$C:$C,$A2336,Movimentacoes!$E:$E,$C2336,Movimentacoes!$B:$B,"SAIDA_DESCARTE")</f>
        <v/>
      </c>
      <c r="J2336" s="13">
        <f>G2336-H2336-I2336</f>
        <v/>
      </c>
      <c r="K2336">
        <f>IF(A2336="","",IF(J2336&lt;=IFERROR(VLOOKUP(A2336,Cadastro_Produtos!$A:$E,5,FALSE),0),"ABAIXO DO MINIMO","OK"))</f>
        <v/>
      </c>
    </row>
    <row r="2337">
      <c r="B2337">
        <f>IFERROR(VLOOKUP(A2337,Cadastro_Produtos!A:B,2,FALSE),"")</f>
        <v/>
      </c>
      <c r="D2337" s="12" t="n"/>
      <c r="E2337" s="13">
        <f>IF(D2337="","",D2337-TODAY())</f>
        <v/>
      </c>
      <c r="F2337">
        <f>IF(D2337="","",IF(E2337&lt;0,"VENCIDO",IF(E2337&lt;=30,"VENCE EM &lt;= 30 DIAS",IF(E2337&lt;=60,"ATENCAO (31-60 DIAS)","OK"))))</f>
        <v/>
      </c>
      <c r="G2337" s="13">
        <f>SUMIFS(Movimentacoes!$G:$G,Movimentacoes!$C:$C,$A2337,Movimentacoes!$E:$E,$C2337,Movimentacoes!$B:$B,"ENTRADA")</f>
        <v/>
      </c>
      <c r="H2337" s="13">
        <f>SUMIFS(Movimentacoes!$G:$G,Movimentacoes!$C:$C,$A2337,Movimentacoes!$E:$E,$C2337,Movimentacoes!$B:$B,"SAIDA_USO")</f>
        <v/>
      </c>
      <c r="I2337" s="13">
        <f>SUMIFS(Movimentacoes!$G:$G,Movimentacoes!$C:$C,$A2337,Movimentacoes!$E:$E,$C2337,Movimentacoes!$B:$B,"SAIDA_DESCARTE")</f>
        <v/>
      </c>
      <c r="J2337" s="13">
        <f>G2337-H2337-I2337</f>
        <v/>
      </c>
      <c r="K2337">
        <f>IF(A2337="","",IF(J2337&lt;=IFERROR(VLOOKUP(A2337,Cadastro_Produtos!$A:$E,5,FALSE),0),"ABAIXO DO MINIMO","OK"))</f>
        <v/>
      </c>
    </row>
    <row r="2338">
      <c r="B2338">
        <f>IFERROR(VLOOKUP(A2338,Cadastro_Produtos!A:B,2,FALSE),"")</f>
        <v/>
      </c>
      <c r="D2338" s="12" t="n"/>
      <c r="E2338" s="13">
        <f>IF(D2338="","",D2338-TODAY())</f>
        <v/>
      </c>
      <c r="F2338">
        <f>IF(D2338="","",IF(E2338&lt;0,"VENCIDO",IF(E2338&lt;=30,"VENCE EM &lt;= 30 DIAS",IF(E2338&lt;=60,"ATENCAO (31-60 DIAS)","OK"))))</f>
        <v/>
      </c>
      <c r="G2338" s="13">
        <f>SUMIFS(Movimentacoes!$G:$G,Movimentacoes!$C:$C,$A2338,Movimentacoes!$E:$E,$C2338,Movimentacoes!$B:$B,"ENTRADA")</f>
        <v/>
      </c>
      <c r="H2338" s="13">
        <f>SUMIFS(Movimentacoes!$G:$G,Movimentacoes!$C:$C,$A2338,Movimentacoes!$E:$E,$C2338,Movimentacoes!$B:$B,"SAIDA_USO")</f>
        <v/>
      </c>
      <c r="I2338" s="13">
        <f>SUMIFS(Movimentacoes!$G:$G,Movimentacoes!$C:$C,$A2338,Movimentacoes!$E:$E,$C2338,Movimentacoes!$B:$B,"SAIDA_DESCARTE")</f>
        <v/>
      </c>
      <c r="J2338" s="13">
        <f>G2338-H2338-I2338</f>
        <v/>
      </c>
      <c r="K2338">
        <f>IF(A2338="","",IF(J2338&lt;=IFERROR(VLOOKUP(A2338,Cadastro_Produtos!$A:$E,5,FALSE),0),"ABAIXO DO MINIMO","OK"))</f>
        <v/>
      </c>
    </row>
    <row r="2339">
      <c r="B2339">
        <f>IFERROR(VLOOKUP(A2339,Cadastro_Produtos!A:B,2,FALSE),"")</f>
        <v/>
      </c>
      <c r="D2339" s="12" t="n"/>
      <c r="E2339" s="13">
        <f>IF(D2339="","",D2339-TODAY())</f>
        <v/>
      </c>
      <c r="F2339">
        <f>IF(D2339="","",IF(E2339&lt;0,"VENCIDO",IF(E2339&lt;=30,"VENCE EM &lt;= 30 DIAS",IF(E2339&lt;=60,"ATENCAO (31-60 DIAS)","OK"))))</f>
        <v/>
      </c>
      <c r="G2339" s="13">
        <f>SUMIFS(Movimentacoes!$G:$G,Movimentacoes!$C:$C,$A2339,Movimentacoes!$E:$E,$C2339,Movimentacoes!$B:$B,"ENTRADA")</f>
        <v/>
      </c>
      <c r="H2339" s="13">
        <f>SUMIFS(Movimentacoes!$G:$G,Movimentacoes!$C:$C,$A2339,Movimentacoes!$E:$E,$C2339,Movimentacoes!$B:$B,"SAIDA_USO")</f>
        <v/>
      </c>
      <c r="I2339" s="13">
        <f>SUMIFS(Movimentacoes!$G:$G,Movimentacoes!$C:$C,$A2339,Movimentacoes!$E:$E,$C2339,Movimentacoes!$B:$B,"SAIDA_DESCARTE")</f>
        <v/>
      </c>
      <c r="J2339" s="13">
        <f>G2339-H2339-I2339</f>
        <v/>
      </c>
      <c r="K2339">
        <f>IF(A2339="","",IF(J2339&lt;=IFERROR(VLOOKUP(A2339,Cadastro_Produtos!$A:$E,5,FALSE),0),"ABAIXO DO MINIMO","OK"))</f>
        <v/>
      </c>
    </row>
    <row r="2340">
      <c r="B2340">
        <f>IFERROR(VLOOKUP(A2340,Cadastro_Produtos!A:B,2,FALSE),"")</f>
        <v/>
      </c>
      <c r="D2340" s="12" t="n"/>
      <c r="E2340" s="13">
        <f>IF(D2340="","",D2340-TODAY())</f>
        <v/>
      </c>
      <c r="F2340">
        <f>IF(D2340="","",IF(E2340&lt;0,"VENCIDO",IF(E2340&lt;=30,"VENCE EM &lt;= 30 DIAS",IF(E2340&lt;=60,"ATENCAO (31-60 DIAS)","OK"))))</f>
        <v/>
      </c>
      <c r="G2340" s="13">
        <f>SUMIFS(Movimentacoes!$G:$G,Movimentacoes!$C:$C,$A2340,Movimentacoes!$E:$E,$C2340,Movimentacoes!$B:$B,"ENTRADA")</f>
        <v/>
      </c>
      <c r="H2340" s="13">
        <f>SUMIFS(Movimentacoes!$G:$G,Movimentacoes!$C:$C,$A2340,Movimentacoes!$E:$E,$C2340,Movimentacoes!$B:$B,"SAIDA_USO")</f>
        <v/>
      </c>
      <c r="I2340" s="13">
        <f>SUMIFS(Movimentacoes!$G:$G,Movimentacoes!$C:$C,$A2340,Movimentacoes!$E:$E,$C2340,Movimentacoes!$B:$B,"SAIDA_DESCARTE")</f>
        <v/>
      </c>
      <c r="J2340" s="13">
        <f>G2340-H2340-I2340</f>
        <v/>
      </c>
      <c r="K2340">
        <f>IF(A2340="","",IF(J2340&lt;=IFERROR(VLOOKUP(A2340,Cadastro_Produtos!$A:$E,5,FALSE),0),"ABAIXO DO MINIMO","OK"))</f>
        <v/>
      </c>
    </row>
    <row r="2341">
      <c r="B2341">
        <f>IFERROR(VLOOKUP(A2341,Cadastro_Produtos!A:B,2,FALSE),"")</f>
        <v/>
      </c>
      <c r="D2341" s="12" t="n"/>
      <c r="E2341" s="13">
        <f>IF(D2341="","",D2341-TODAY())</f>
        <v/>
      </c>
      <c r="F2341">
        <f>IF(D2341="","",IF(E2341&lt;0,"VENCIDO",IF(E2341&lt;=30,"VENCE EM &lt;= 30 DIAS",IF(E2341&lt;=60,"ATENCAO (31-60 DIAS)","OK"))))</f>
        <v/>
      </c>
      <c r="G2341" s="13">
        <f>SUMIFS(Movimentacoes!$G:$G,Movimentacoes!$C:$C,$A2341,Movimentacoes!$E:$E,$C2341,Movimentacoes!$B:$B,"ENTRADA")</f>
        <v/>
      </c>
      <c r="H2341" s="13">
        <f>SUMIFS(Movimentacoes!$G:$G,Movimentacoes!$C:$C,$A2341,Movimentacoes!$E:$E,$C2341,Movimentacoes!$B:$B,"SAIDA_USO")</f>
        <v/>
      </c>
      <c r="I2341" s="13">
        <f>SUMIFS(Movimentacoes!$G:$G,Movimentacoes!$C:$C,$A2341,Movimentacoes!$E:$E,$C2341,Movimentacoes!$B:$B,"SAIDA_DESCARTE")</f>
        <v/>
      </c>
      <c r="J2341" s="13">
        <f>G2341-H2341-I2341</f>
        <v/>
      </c>
      <c r="K2341">
        <f>IF(A2341="","",IF(J2341&lt;=IFERROR(VLOOKUP(A2341,Cadastro_Produtos!$A:$E,5,FALSE),0),"ABAIXO DO MINIMO","OK"))</f>
        <v/>
      </c>
    </row>
    <row r="2342">
      <c r="B2342">
        <f>IFERROR(VLOOKUP(A2342,Cadastro_Produtos!A:B,2,FALSE),"")</f>
        <v/>
      </c>
      <c r="D2342" s="12" t="n"/>
      <c r="E2342" s="13">
        <f>IF(D2342="","",D2342-TODAY())</f>
        <v/>
      </c>
      <c r="F2342">
        <f>IF(D2342="","",IF(E2342&lt;0,"VENCIDO",IF(E2342&lt;=30,"VENCE EM &lt;= 30 DIAS",IF(E2342&lt;=60,"ATENCAO (31-60 DIAS)","OK"))))</f>
        <v/>
      </c>
      <c r="G2342" s="13">
        <f>SUMIFS(Movimentacoes!$G:$G,Movimentacoes!$C:$C,$A2342,Movimentacoes!$E:$E,$C2342,Movimentacoes!$B:$B,"ENTRADA")</f>
        <v/>
      </c>
      <c r="H2342" s="13">
        <f>SUMIFS(Movimentacoes!$G:$G,Movimentacoes!$C:$C,$A2342,Movimentacoes!$E:$E,$C2342,Movimentacoes!$B:$B,"SAIDA_USO")</f>
        <v/>
      </c>
      <c r="I2342" s="13">
        <f>SUMIFS(Movimentacoes!$G:$G,Movimentacoes!$C:$C,$A2342,Movimentacoes!$E:$E,$C2342,Movimentacoes!$B:$B,"SAIDA_DESCARTE")</f>
        <v/>
      </c>
      <c r="J2342" s="13">
        <f>G2342-H2342-I2342</f>
        <v/>
      </c>
      <c r="K2342">
        <f>IF(A2342="","",IF(J2342&lt;=IFERROR(VLOOKUP(A2342,Cadastro_Produtos!$A:$E,5,FALSE),0),"ABAIXO DO MINIMO","OK"))</f>
        <v/>
      </c>
    </row>
    <row r="2343">
      <c r="B2343">
        <f>IFERROR(VLOOKUP(A2343,Cadastro_Produtos!A:B,2,FALSE),"")</f>
        <v/>
      </c>
      <c r="D2343" s="12" t="n"/>
      <c r="E2343" s="13">
        <f>IF(D2343="","",D2343-TODAY())</f>
        <v/>
      </c>
      <c r="F2343">
        <f>IF(D2343="","",IF(E2343&lt;0,"VENCIDO",IF(E2343&lt;=30,"VENCE EM &lt;= 30 DIAS",IF(E2343&lt;=60,"ATENCAO (31-60 DIAS)","OK"))))</f>
        <v/>
      </c>
      <c r="G2343" s="13">
        <f>SUMIFS(Movimentacoes!$G:$G,Movimentacoes!$C:$C,$A2343,Movimentacoes!$E:$E,$C2343,Movimentacoes!$B:$B,"ENTRADA")</f>
        <v/>
      </c>
      <c r="H2343" s="13">
        <f>SUMIFS(Movimentacoes!$G:$G,Movimentacoes!$C:$C,$A2343,Movimentacoes!$E:$E,$C2343,Movimentacoes!$B:$B,"SAIDA_USO")</f>
        <v/>
      </c>
      <c r="I2343" s="13">
        <f>SUMIFS(Movimentacoes!$G:$G,Movimentacoes!$C:$C,$A2343,Movimentacoes!$E:$E,$C2343,Movimentacoes!$B:$B,"SAIDA_DESCARTE")</f>
        <v/>
      </c>
      <c r="J2343" s="13">
        <f>G2343-H2343-I2343</f>
        <v/>
      </c>
      <c r="K2343">
        <f>IF(A2343="","",IF(J2343&lt;=IFERROR(VLOOKUP(A2343,Cadastro_Produtos!$A:$E,5,FALSE),0),"ABAIXO DO MINIMO","OK"))</f>
        <v/>
      </c>
    </row>
    <row r="2344">
      <c r="B2344">
        <f>IFERROR(VLOOKUP(A2344,Cadastro_Produtos!A:B,2,FALSE),"")</f>
        <v/>
      </c>
      <c r="D2344" s="12" t="n"/>
      <c r="E2344" s="13">
        <f>IF(D2344="","",D2344-TODAY())</f>
        <v/>
      </c>
      <c r="F2344">
        <f>IF(D2344="","",IF(E2344&lt;0,"VENCIDO",IF(E2344&lt;=30,"VENCE EM &lt;= 30 DIAS",IF(E2344&lt;=60,"ATENCAO (31-60 DIAS)","OK"))))</f>
        <v/>
      </c>
      <c r="G2344" s="13">
        <f>SUMIFS(Movimentacoes!$G:$G,Movimentacoes!$C:$C,$A2344,Movimentacoes!$E:$E,$C2344,Movimentacoes!$B:$B,"ENTRADA")</f>
        <v/>
      </c>
      <c r="H2344" s="13">
        <f>SUMIFS(Movimentacoes!$G:$G,Movimentacoes!$C:$C,$A2344,Movimentacoes!$E:$E,$C2344,Movimentacoes!$B:$B,"SAIDA_USO")</f>
        <v/>
      </c>
      <c r="I2344" s="13">
        <f>SUMIFS(Movimentacoes!$G:$G,Movimentacoes!$C:$C,$A2344,Movimentacoes!$E:$E,$C2344,Movimentacoes!$B:$B,"SAIDA_DESCARTE")</f>
        <v/>
      </c>
      <c r="J2344" s="13">
        <f>G2344-H2344-I2344</f>
        <v/>
      </c>
      <c r="K2344">
        <f>IF(A2344="","",IF(J2344&lt;=IFERROR(VLOOKUP(A2344,Cadastro_Produtos!$A:$E,5,FALSE),0),"ABAIXO DO MINIMO","OK"))</f>
        <v/>
      </c>
    </row>
    <row r="2345">
      <c r="B2345">
        <f>IFERROR(VLOOKUP(A2345,Cadastro_Produtos!A:B,2,FALSE),"")</f>
        <v/>
      </c>
      <c r="D2345" s="12" t="n"/>
      <c r="E2345" s="13">
        <f>IF(D2345="","",D2345-TODAY())</f>
        <v/>
      </c>
      <c r="F2345">
        <f>IF(D2345="","",IF(E2345&lt;0,"VENCIDO",IF(E2345&lt;=30,"VENCE EM &lt;= 30 DIAS",IF(E2345&lt;=60,"ATENCAO (31-60 DIAS)","OK"))))</f>
        <v/>
      </c>
      <c r="G2345" s="13">
        <f>SUMIFS(Movimentacoes!$G:$G,Movimentacoes!$C:$C,$A2345,Movimentacoes!$E:$E,$C2345,Movimentacoes!$B:$B,"ENTRADA")</f>
        <v/>
      </c>
      <c r="H2345" s="13">
        <f>SUMIFS(Movimentacoes!$G:$G,Movimentacoes!$C:$C,$A2345,Movimentacoes!$E:$E,$C2345,Movimentacoes!$B:$B,"SAIDA_USO")</f>
        <v/>
      </c>
      <c r="I2345" s="13">
        <f>SUMIFS(Movimentacoes!$G:$G,Movimentacoes!$C:$C,$A2345,Movimentacoes!$E:$E,$C2345,Movimentacoes!$B:$B,"SAIDA_DESCARTE")</f>
        <v/>
      </c>
      <c r="J2345" s="13">
        <f>G2345-H2345-I2345</f>
        <v/>
      </c>
      <c r="K2345">
        <f>IF(A2345="","",IF(J2345&lt;=IFERROR(VLOOKUP(A2345,Cadastro_Produtos!$A:$E,5,FALSE),0),"ABAIXO DO MINIMO","OK"))</f>
        <v/>
      </c>
    </row>
    <row r="2346">
      <c r="B2346">
        <f>IFERROR(VLOOKUP(A2346,Cadastro_Produtos!A:B,2,FALSE),"")</f>
        <v/>
      </c>
      <c r="D2346" s="12" t="n"/>
      <c r="E2346" s="13">
        <f>IF(D2346="","",D2346-TODAY())</f>
        <v/>
      </c>
      <c r="F2346">
        <f>IF(D2346="","",IF(E2346&lt;0,"VENCIDO",IF(E2346&lt;=30,"VENCE EM &lt;= 30 DIAS",IF(E2346&lt;=60,"ATENCAO (31-60 DIAS)","OK"))))</f>
        <v/>
      </c>
      <c r="G2346" s="13">
        <f>SUMIFS(Movimentacoes!$G:$G,Movimentacoes!$C:$C,$A2346,Movimentacoes!$E:$E,$C2346,Movimentacoes!$B:$B,"ENTRADA")</f>
        <v/>
      </c>
      <c r="H2346" s="13">
        <f>SUMIFS(Movimentacoes!$G:$G,Movimentacoes!$C:$C,$A2346,Movimentacoes!$E:$E,$C2346,Movimentacoes!$B:$B,"SAIDA_USO")</f>
        <v/>
      </c>
      <c r="I2346" s="13">
        <f>SUMIFS(Movimentacoes!$G:$G,Movimentacoes!$C:$C,$A2346,Movimentacoes!$E:$E,$C2346,Movimentacoes!$B:$B,"SAIDA_DESCARTE")</f>
        <v/>
      </c>
      <c r="J2346" s="13">
        <f>G2346-H2346-I2346</f>
        <v/>
      </c>
      <c r="K2346">
        <f>IF(A2346="","",IF(J2346&lt;=IFERROR(VLOOKUP(A2346,Cadastro_Produtos!$A:$E,5,FALSE),0),"ABAIXO DO MINIMO","OK"))</f>
        <v/>
      </c>
    </row>
    <row r="2347">
      <c r="B2347">
        <f>IFERROR(VLOOKUP(A2347,Cadastro_Produtos!A:B,2,FALSE),"")</f>
        <v/>
      </c>
      <c r="D2347" s="12" t="n"/>
      <c r="E2347" s="13">
        <f>IF(D2347="","",D2347-TODAY())</f>
        <v/>
      </c>
      <c r="F2347">
        <f>IF(D2347="","",IF(E2347&lt;0,"VENCIDO",IF(E2347&lt;=30,"VENCE EM &lt;= 30 DIAS",IF(E2347&lt;=60,"ATENCAO (31-60 DIAS)","OK"))))</f>
        <v/>
      </c>
      <c r="G2347" s="13">
        <f>SUMIFS(Movimentacoes!$G:$G,Movimentacoes!$C:$C,$A2347,Movimentacoes!$E:$E,$C2347,Movimentacoes!$B:$B,"ENTRADA")</f>
        <v/>
      </c>
      <c r="H2347" s="13">
        <f>SUMIFS(Movimentacoes!$G:$G,Movimentacoes!$C:$C,$A2347,Movimentacoes!$E:$E,$C2347,Movimentacoes!$B:$B,"SAIDA_USO")</f>
        <v/>
      </c>
      <c r="I2347" s="13">
        <f>SUMIFS(Movimentacoes!$G:$G,Movimentacoes!$C:$C,$A2347,Movimentacoes!$E:$E,$C2347,Movimentacoes!$B:$B,"SAIDA_DESCARTE")</f>
        <v/>
      </c>
      <c r="J2347" s="13">
        <f>G2347-H2347-I2347</f>
        <v/>
      </c>
      <c r="K2347">
        <f>IF(A2347="","",IF(J2347&lt;=IFERROR(VLOOKUP(A2347,Cadastro_Produtos!$A:$E,5,FALSE),0),"ABAIXO DO MINIMO","OK"))</f>
        <v/>
      </c>
    </row>
    <row r="2348">
      <c r="B2348">
        <f>IFERROR(VLOOKUP(A2348,Cadastro_Produtos!A:B,2,FALSE),"")</f>
        <v/>
      </c>
      <c r="D2348" s="12" t="n"/>
      <c r="E2348" s="13">
        <f>IF(D2348="","",D2348-TODAY())</f>
        <v/>
      </c>
      <c r="F2348">
        <f>IF(D2348="","",IF(E2348&lt;0,"VENCIDO",IF(E2348&lt;=30,"VENCE EM &lt;= 30 DIAS",IF(E2348&lt;=60,"ATENCAO (31-60 DIAS)","OK"))))</f>
        <v/>
      </c>
      <c r="G2348" s="13">
        <f>SUMIFS(Movimentacoes!$G:$G,Movimentacoes!$C:$C,$A2348,Movimentacoes!$E:$E,$C2348,Movimentacoes!$B:$B,"ENTRADA")</f>
        <v/>
      </c>
      <c r="H2348" s="13">
        <f>SUMIFS(Movimentacoes!$G:$G,Movimentacoes!$C:$C,$A2348,Movimentacoes!$E:$E,$C2348,Movimentacoes!$B:$B,"SAIDA_USO")</f>
        <v/>
      </c>
      <c r="I2348" s="13">
        <f>SUMIFS(Movimentacoes!$G:$G,Movimentacoes!$C:$C,$A2348,Movimentacoes!$E:$E,$C2348,Movimentacoes!$B:$B,"SAIDA_DESCARTE")</f>
        <v/>
      </c>
      <c r="J2348" s="13">
        <f>G2348-H2348-I2348</f>
        <v/>
      </c>
      <c r="K2348">
        <f>IF(A2348="","",IF(J2348&lt;=IFERROR(VLOOKUP(A2348,Cadastro_Produtos!$A:$E,5,FALSE),0),"ABAIXO DO MINIMO","OK"))</f>
        <v/>
      </c>
    </row>
    <row r="2349">
      <c r="B2349">
        <f>IFERROR(VLOOKUP(A2349,Cadastro_Produtos!A:B,2,FALSE),"")</f>
        <v/>
      </c>
      <c r="D2349" s="12" t="n"/>
      <c r="E2349" s="13">
        <f>IF(D2349="","",D2349-TODAY())</f>
        <v/>
      </c>
      <c r="F2349">
        <f>IF(D2349="","",IF(E2349&lt;0,"VENCIDO",IF(E2349&lt;=30,"VENCE EM &lt;= 30 DIAS",IF(E2349&lt;=60,"ATENCAO (31-60 DIAS)","OK"))))</f>
        <v/>
      </c>
      <c r="G2349" s="13">
        <f>SUMIFS(Movimentacoes!$G:$G,Movimentacoes!$C:$C,$A2349,Movimentacoes!$E:$E,$C2349,Movimentacoes!$B:$B,"ENTRADA")</f>
        <v/>
      </c>
      <c r="H2349" s="13">
        <f>SUMIFS(Movimentacoes!$G:$G,Movimentacoes!$C:$C,$A2349,Movimentacoes!$E:$E,$C2349,Movimentacoes!$B:$B,"SAIDA_USO")</f>
        <v/>
      </c>
      <c r="I2349" s="13">
        <f>SUMIFS(Movimentacoes!$G:$G,Movimentacoes!$C:$C,$A2349,Movimentacoes!$E:$E,$C2349,Movimentacoes!$B:$B,"SAIDA_DESCARTE")</f>
        <v/>
      </c>
      <c r="J2349" s="13">
        <f>G2349-H2349-I2349</f>
        <v/>
      </c>
      <c r="K2349">
        <f>IF(A2349="","",IF(J2349&lt;=IFERROR(VLOOKUP(A2349,Cadastro_Produtos!$A:$E,5,FALSE),0),"ABAIXO DO MINIMO","OK"))</f>
        <v/>
      </c>
    </row>
    <row r="2350">
      <c r="B2350">
        <f>IFERROR(VLOOKUP(A2350,Cadastro_Produtos!A:B,2,FALSE),"")</f>
        <v/>
      </c>
      <c r="D2350" s="12" t="n"/>
      <c r="E2350" s="13">
        <f>IF(D2350="","",D2350-TODAY())</f>
        <v/>
      </c>
      <c r="F2350">
        <f>IF(D2350="","",IF(E2350&lt;0,"VENCIDO",IF(E2350&lt;=30,"VENCE EM &lt;= 30 DIAS",IF(E2350&lt;=60,"ATENCAO (31-60 DIAS)","OK"))))</f>
        <v/>
      </c>
      <c r="G2350" s="13">
        <f>SUMIFS(Movimentacoes!$G:$G,Movimentacoes!$C:$C,$A2350,Movimentacoes!$E:$E,$C2350,Movimentacoes!$B:$B,"ENTRADA")</f>
        <v/>
      </c>
      <c r="H2350" s="13">
        <f>SUMIFS(Movimentacoes!$G:$G,Movimentacoes!$C:$C,$A2350,Movimentacoes!$E:$E,$C2350,Movimentacoes!$B:$B,"SAIDA_USO")</f>
        <v/>
      </c>
      <c r="I2350" s="13">
        <f>SUMIFS(Movimentacoes!$G:$G,Movimentacoes!$C:$C,$A2350,Movimentacoes!$E:$E,$C2350,Movimentacoes!$B:$B,"SAIDA_DESCARTE")</f>
        <v/>
      </c>
      <c r="J2350" s="13">
        <f>G2350-H2350-I2350</f>
        <v/>
      </c>
      <c r="K2350">
        <f>IF(A2350="","",IF(J2350&lt;=IFERROR(VLOOKUP(A2350,Cadastro_Produtos!$A:$E,5,FALSE),0),"ABAIXO DO MINIMO","OK"))</f>
        <v/>
      </c>
    </row>
    <row r="2351">
      <c r="B2351">
        <f>IFERROR(VLOOKUP(A2351,Cadastro_Produtos!A:B,2,FALSE),"")</f>
        <v/>
      </c>
      <c r="D2351" s="12" t="n"/>
      <c r="E2351" s="13">
        <f>IF(D2351="","",D2351-TODAY())</f>
        <v/>
      </c>
      <c r="F2351">
        <f>IF(D2351="","",IF(E2351&lt;0,"VENCIDO",IF(E2351&lt;=30,"VENCE EM &lt;= 30 DIAS",IF(E2351&lt;=60,"ATENCAO (31-60 DIAS)","OK"))))</f>
        <v/>
      </c>
      <c r="G2351" s="13">
        <f>SUMIFS(Movimentacoes!$G:$G,Movimentacoes!$C:$C,$A2351,Movimentacoes!$E:$E,$C2351,Movimentacoes!$B:$B,"ENTRADA")</f>
        <v/>
      </c>
      <c r="H2351" s="13">
        <f>SUMIFS(Movimentacoes!$G:$G,Movimentacoes!$C:$C,$A2351,Movimentacoes!$E:$E,$C2351,Movimentacoes!$B:$B,"SAIDA_USO")</f>
        <v/>
      </c>
      <c r="I2351" s="13">
        <f>SUMIFS(Movimentacoes!$G:$G,Movimentacoes!$C:$C,$A2351,Movimentacoes!$E:$E,$C2351,Movimentacoes!$B:$B,"SAIDA_DESCARTE")</f>
        <v/>
      </c>
      <c r="J2351" s="13">
        <f>G2351-H2351-I2351</f>
        <v/>
      </c>
      <c r="K2351">
        <f>IF(A2351="","",IF(J2351&lt;=IFERROR(VLOOKUP(A2351,Cadastro_Produtos!$A:$E,5,FALSE),0),"ABAIXO DO MINIMO","OK"))</f>
        <v/>
      </c>
    </row>
    <row r="2352">
      <c r="B2352">
        <f>IFERROR(VLOOKUP(A2352,Cadastro_Produtos!A:B,2,FALSE),"")</f>
        <v/>
      </c>
      <c r="D2352" s="12" t="n"/>
      <c r="E2352" s="13">
        <f>IF(D2352="","",D2352-TODAY())</f>
        <v/>
      </c>
      <c r="F2352">
        <f>IF(D2352="","",IF(E2352&lt;0,"VENCIDO",IF(E2352&lt;=30,"VENCE EM &lt;= 30 DIAS",IF(E2352&lt;=60,"ATENCAO (31-60 DIAS)","OK"))))</f>
        <v/>
      </c>
      <c r="G2352" s="13">
        <f>SUMIFS(Movimentacoes!$G:$G,Movimentacoes!$C:$C,$A2352,Movimentacoes!$E:$E,$C2352,Movimentacoes!$B:$B,"ENTRADA")</f>
        <v/>
      </c>
      <c r="H2352" s="13">
        <f>SUMIFS(Movimentacoes!$G:$G,Movimentacoes!$C:$C,$A2352,Movimentacoes!$E:$E,$C2352,Movimentacoes!$B:$B,"SAIDA_USO")</f>
        <v/>
      </c>
      <c r="I2352" s="13">
        <f>SUMIFS(Movimentacoes!$G:$G,Movimentacoes!$C:$C,$A2352,Movimentacoes!$E:$E,$C2352,Movimentacoes!$B:$B,"SAIDA_DESCARTE")</f>
        <v/>
      </c>
      <c r="J2352" s="13">
        <f>G2352-H2352-I2352</f>
        <v/>
      </c>
      <c r="K2352">
        <f>IF(A2352="","",IF(J2352&lt;=IFERROR(VLOOKUP(A2352,Cadastro_Produtos!$A:$E,5,FALSE),0),"ABAIXO DO MINIMO","OK"))</f>
        <v/>
      </c>
    </row>
    <row r="2353">
      <c r="B2353">
        <f>IFERROR(VLOOKUP(A2353,Cadastro_Produtos!A:B,2,FALSE),"")</f>
        <v/>
      </c>
      <c r="D2353" s="12" t="n"/>
      <c r="E2353" s="13">
        <f>IF(D2353="","",D2353-TODAY())</f>
        <v/>
      </c>
      <c r="F2353">
        <f>IF(D2353="","",IF(E2353&lt;0,"VENCIDO",IF(E2353&lt;=30,"VENCE EM &lt;= 30 DIAS",IF(E2353&lt;=60,"ATENCAO (31-60 DIAS)","OK"))))</f>
        <v/>
      </c>
      <c r="G2353" s="13">
        <f>SUMIFS(Movimentacoes!$G:$G,Movimentacoes!$C:$C,$A2353,Movimentacoes!$E:$E,$C2353,Movimentacoes!$B:$B,"ENTRADA")</f>
        <v/>
      </c>
      <c r="H2353" s="13">
        <f>SUMIFS(Movimentacoes!$G:$G,Movimentacoes!$C:$C,$A2353,Movimentacoes!$E:$E,$C2353,Movimentacoes!$B:$B,"SAIDA_USO")</f>
        <v/>
      </c>
      <c r="I2353" s="13">
        <f>SUMIFS(Movimentacoes!$G:$G,Movimentacoes!$C:$C,$A2353,Movimentacoes!$E:$E,$C2353,Movimentacoes!$B:$B,"SAIDA_DESCARTE")</f>
        <v/>
      </c>
      <c r="J2353" s="13">
        <f>G2353-H2353-I2353</f>
        <v/>
      </c>
      <c r="K2353">
        <f>IF(A2353="","",IF(J2353&lt;=IFERROR(VLOOKUP(A2353,Cadastro_Produtos!$A:$E,5,FALSE),0),"ABAIXO DO MINIMO","OK"))</f>
        <v/>
      </c>
    </row>
    <row r="2354">
      <c r="B2354">
        <f>IFERROR(VLOOKUP(A2354,Cadastro_Produtos!A:B,2,FALSE),"")</f>
        <v/>
      </c>
      <c r="D2354" s="12" t="n"/>
      <c r="E2354" s="13">
        <f>IF(D2354="","",D2354-TODAY())</f>
        <v/>
      </c>
      <c r="F2354">
        <f>IF(D2354="","",IF(E2354&lt;0,"VENCIDO",IF(E2354&lt;=30,"VENCE EM &lt;= 30 DIAS",IF(E2354&lt;=60,"ATENCAO (31-60 DIAS)","OK"))))</f>
        <v/>
      </c>
      <c r="G2354" s="13">
        <f>SUMIFS(Movimentacoes!$G:$G,Movimentacoes!$C:$C,$A2354,Movimentacoes!$E:$E,$C2354,Movimentacoes!$B:$B,"ENTRADA")</f>
        <v/>
      </c>
      <c r="H2354" s="13">
        <f>SUMIFS(Movimentacoes!$G:$G,Movimentacoes!$C:$C,$A2354,Movimentacoes!$E:$E,$C2354,Movimentacoes!$B:$B,"SAIDA_USO")</f>
        <v/>
      </c>
      <c r="I2354" s="13">
        <f>SUMIFS(Movimentacoes!$G:$G,Movimentacoes!$C:$C,$A2354,Movimentacoes!$E:$E,$C2354,Movimentacoes!$B:$B,"SAIDA_DESCARTE")</f>
        <v/>
      </c>
      <c r="J2354" s="13">
        <f>G2354-H2354-I2354</f>
        <v/>
      </c>
      <c r="K2354">
        <f>IF(A2354="","",IF(J2354&lt;=IFERROR(VLOOKUP(A2354,Cadastro_Produtos!$A:$E,5,FALSE),0),"ABAIXO DO MINIMO","OK"))</f>
        <v/>
      </c>
    </row>
    <row r="2355">
      <c r="B2355">
        <f>IFERROR(VLOOKUP(A2355,Cadastro_Produtos!A:B,2,FALSE),"")</f>
        <v/>
      </c>
      <c r="D2355" s="12" t="n"/>
      <c r="E2355" s="13">
        <f>IF(D2355="","",D2355-TODAY())</f>
        <v/>
      </c>
      <c r="F2355">
        <f>IF(D2355="","",IF(E2355&lt;0,"VENCIDO",IF(E2355&lt;=30,"VENCE EM &lt;= 30 DIAS",IF(E2355&lt;=60,"ATENCAO (31-60 DIAS)","OK"))))</f>
        <v/>
      </c>
      <c r="G2355" s="13">
        <f>SUMIFS(Movimentacoes!$G:$G,Movimentacoes!$C:$C,$A2355,Movimentacoes!$E:$E,$C2355,Movimentacoes!$B:$B,"ENTRADA")</f>
        <v/>
      </c>
      <c r="H2355" s="13">
        <f>SUMIFS(Movimentacoes!$G:$G,Movimentacoes!$C:$C,$A2355,Movimentacoes!$E:$E,$C2355,Movimentacoes!$B:$B,"SAIDA_USO")</f>
        <v/>
      </c>
      <c r="I2355" s="13">
        <f>SUMIFS(Movimentacoes!$G:$G,Movimentacoes!$C:$C,$A2355,Movimentacoes!$E:$E,$C2355,Movimentacoes!$B:$B,"SAIDA_DESCARTE")</f>
        <v/>
      </c>
      <c r="J2355" s="13">
        <f>G2355-H2355-I2355</f>
        <v/>
      </c>
      <c r="K2355">
        <f>IF(A2355="","",IF(J2355&lt;=IFERROR(VLOOKUP(A2355,Cadastro_Produtos!$A:$E,5,FALSE),0),"ABAIXO DO MINIMO","OK"))</f>
        <v/>
      </c>
    </row>
    <row r="2356">
      <c r="B2356">
        <f>IFERROR(VLOOKUP(A2356,Cadastro_Produtos!A:B,2,FALSE),"")</f>
        <v/>
      </c>
      <c r="D2356" s="12" t="n"/>
      <c r="E2356" s="13">
        <f>IF(D2356="","",D2356-TODAY())</f>
        <v/>
      </c>
      <c r="F2356">
        <f>IF(D2356="","",IF(E2356&lt;0,"VENCIDO",IF(E2356&lt;=30,"VENCE EM &lt;= 30 DIAS",IF(E2356&lt;=60,"ATENCAO (31-60 DIAS)","OK"))))</f>
        <v/>
      </c>
      <c r="G2356" s="13">
        <f>SUMIFS(Movimentacoes!$G:$G,Movimentacoes!$C:$C,$A2356,Movimentacoes!$E:$E,$C2356,Movimentacoes!$B:$B,"ENTRADA")</f>
        <v/>
      </c>
      <c r="H2356" s="13">
        <f>SUMIFS(Movimentacoes!$G:$G,Movimentacoes!$C:$C,$A2356,Movimentacoes!$E:$E,$C2356,Movimentacoes!$B:$B,"SAIDA_USO")</f>
        <v/>
      </c>
      <c r="I2356" s="13">
        <f>SUMIFS(Movimentacoes!$G:$G,Movimentacoes!$C:$C,$A2356,Movimentacoes!$E:$E,$C2356,Movimentacoes!$B:$B,"SAIDA_DESCARTE")</f>
        <v/>
      </c>
      <c r="J2356" s="13">
        <f>G2356-H2356-I2356</f>
        <v/>
      </c>
      <c r="K2356">
        <f>IF(A2356="","",IF(J2356&lt;=IFERROR(VLOOKUP(A2356,Cadastro_Produtos!$A:$E,5,FALSE),0),"ABAIXO DO MINIMO","OK"))</f>
        <v/>
      </c>
    </row>
    <row r="2357">
      <c r="B2357">
        <f>IFERROR(VLOOKUP(A2357,Cadastro_Produtos!A:B,2,FALSE),"")</f>
        <v/>
      </c>
      <c r="D2357" s="12" t="n"/>
      <c r="E2357" s="13">
        <f>IF(D2357="","",D2357-TODAY())</f>
        <v/>
      </c>
      <c r="F2357">
        <f>IF(D2357="","",IF(E2357&lt;0,"VENCIDO",IF(E2357&lt;=30,"VENCE EM &lt;= 30 DIAS",IF(E2357&lt;=60,"ATENCAO (31-60 DIAS)","OK"))))</f>
        <v/>
      </c>
      <c r="G2357" s="13">
        <f>SUMIFS(Movimentacoes!$G:$G,Movimentacoes!$C:$C,$A2357,Movimentacoes!$E:$E,$C2357,Movimentacoes!$B:$B,"ENTRADA")</f>
        <v/>
      </c>
      <c r="H2357" s="13">
        <f>SUMIFS(Movimentacoes!$G:$G,Movimentacoes!$C:$C,$A2357,Movimentacoes!$E:$E,$C2357,Movimentacoes!$B:$B,"SAIDA_USO")</f>
        <v/>
      </c>
      <c r="I2357" s="13">
        <f>SUMIFS(Movimentacoes!$G:$G,Movimentacoes!$C:$C,$A2357,Movimentacoes!$E:$E,$C2357,Movimentacoes!$B:$B,"SAIDA_DESCARTE")</f>
        <v/>
      </c>
      <c r="J2357" s="13">
        <f>G2357-H2357-I2357</f>
        <v/>
      </c>
      <c r="K2357">
        <f>IF(A2357="","",IF(J2357&lt;=IFERROR(VLOOKUP(A2357,Cadastro_Produtos!$A:$E,5,FALSE),0),"ABAIXO DO MINIMO","OK"))</f>
        <v/>
      </c>
    </row>
    <row r="2358">
      <c r="B2358">
        <f>IFERROR(VLOOKUP(A2358,Cadastro_Produtos!A:B,2,FALSE),"")</f>
        <v/>
      </c>
      <c r="D2358" s="12" t="n"/>
      <c r="E2358" s="13">
        <f>IF(D2358="","",D2358-TODAY())</f>
        <v/>
      </c>
      <c r="F2358">
        <f>IF(D2358="","",IF(E2358&lt;0,"VENCIDO",IF(E2358&lt;=30,"VENCE EM &lt;= 30 DIAS",IF(E2358&lt;=60,"ATENCAO (31-60 DIAS)","OK"))))</f>
        <v/>
      </c>
      <c r="G2358" s="13">
        <f>SUMIFS(Movimentacoes!$G:$G,Movimentacoes!$C:$C,$A2358,Movimentacoes!$E:$E,$C2358,Movimentacoes!$B:$B,"ENTRADA")</f>
        <v/>
      </c>
      <c r="H2358" s="13">
        <f>SUMIFS(Movimentacoes!$G:$G,Movimentacoes!$C:$C,$A2358,Movimentacoes!$E:$E,$C2358,Movimentacoes!$B:$B,"SAIDA_USO")</f>
        <v/>
      </c>
      <c r="I2358" s="13">
        <f>SUMIFS(Movimentacoes!$G:$G,Movimentacoes!$C:$C,$A2358,Movimentacoes!$E:$E,$C2358,Movimentacoes!$B:$B,"SAIDA_DESCARTE")</f>
        <v/>
      </c>
      <c r="J2358" s="13">
        <f>G2358-H2358-I2358</f>
        <v/>
      </c>
      <c r="K2358">
        <f>IF(A2358="","",IF(J2358&lt;=IFERROR(VLOOKUP(A2358,Cadastro_Produtos!$A:$E,5,FALSE),0),"ABAIXO DO MINIMO","OK"))</f>
        <v/>
      </c>
    </row>
    <row r="2359">
      <c r="B2359">
        <f>IFERROR(VLOOKUP(A2359,Cadastro_Produtos!A:B,2,FALSE),"")</f>
        <v/>
      </c>
      <c r="D2359" s="12" t="n"/>
      <c r="E2359" s="13">
        <f>IF(D2359="","",D2359-TODAY())</f>
        <v/>
      </c>
      <c r="F2359">
        <f>IF(D2359="","",IF(E2359&lt;0,"VENCIDO",IF(E2359&lt;=30,"VENCE EM &lt;= 30 DIAS",IF(E2359&lt;=60,"ATENCAO (31-60 DIAS)","OK"))))</f>
        <v/>
      </c>
      <c r="G2359" s="13">
        <f>SUMIFS(Movimentacoes!$G:$G,Movimentacoes!$C:$C,$A2359,Movimentacoes!$E:$E,$C2359,Movimentacoes!$B:$B,"ENTRADA")</f>
        <v/>
      </c>
      <c r="H2359" s="13">
        <f>SUMIFS(Movimentacoes!$G:$G,Movimentacoes!$C:$C,$A2359,Movimentacoes!$E:$E,$C2359,Movimentacoes!$B:$B,"SAIDA_USO")</f>
        <v/>
      </c>
      <c r="I2359" s="13">
        <f>SUMIFS(Movimentacoes!$G:$G,Movimentacoes!$C:$C,$A2359,Movimentacoes!$E:$E,$C2359,Movimentacoes!$B:$B,"SAIDA_DESCARTE")</f>
        <v/>
      </c>
      <c r="J2359" s="13">
        <f>G2359-H2359-I2359</f>
        <v/>
      </c>
      <c r="K2359">
        <f>IF(A2359="","",IF(J2359&lt;=IFERROR(VLOOKUP(A2359,Cadastro_Produtos!$A:$E,5,FALSE),0),"ABAIXO DO MINIMO","OK"))</f>
        <v/>
      </c>
    </row>
    <row r="2360">
      <c r="B2360">
        <f>IFERROR(VLOOKUP(A2360,Cadastro_Produtos!A:B,2,FALSE),"")</f>
        <v/>
      </c>
      <c r="D2360" s="12" t="n"/>
      <c r="E2360" s="13">
        <f>IF(D2360="","",D2360-TODAY())</f>
        <v/>
      </c>
      <c r="F2360">
        <f>IF(D2360="","",IF(E2360&lt;0,"VENCIDO",IF(E2360&lt;=30,"VENCE EM &lt;= 30 DIAS",IF(E2360&lt;=60,"ATENCAO (31-60 DIAS)","OK"))))</f>
        <v/>
      </c>
      <c r="G2360" s="13">
        <f>SUMIFS(Movimentacoes!$G:$G,Movimentacoes!$C:$C,$A2360,Movimentacoes!$E:$E,$C2360,Movimentacoes!$B:$B,"ENTRADA")</f>
        <v/>
      </c>
      <c r="H2360" s="13">
        <f>SUMIFS(Movimentacoes!$G:$G,Movimentacoes!$C:$C,$A2360,Movimentacoes!$E:$E,$C2360,Movimentacoes!$B:$B,"SAIDA_USO")</f>
        <v/>
      </c>
      <c r="I2360" s="13">
        <f>SUMIFS(Movimentacoes!$G:$G,Movimentacoes!$C:$C,$A2360,Movimentacoes!$E:$E,$C2360,Movimentacoes!$B:$B,"SAIDA_DESCARTE")</f>
        <v/>
      </c>
      <c r="J2360" s="13">
        <f>G2360-H2360-I2360</f>
        <v/>
      </c>
      <c r="K2360">
        <f>IF(A2360="","",IF(J2360&lt;=IFERROR(VLOOKUP(A2360,Cadastro_Produtos!$A:$E,5,FALSE),0),"ABAIXO DO MINIMO","OK"))</f>
        <v/>
      </c>
    </row>
    <row r="2361">
      <c r="B2361">
        <f>IFERROR(VLOOKUP(A2361,Cadastro_Produtos!A:B,2,FALSE),"")</f>
        <v/>
      </c>
      <c r="D2361" s="12" t="n"/>
      <c r="E2361" s="13">
        <f>IF(D2361="","",D2361-TODAY())</f>
        <v/>
      </c>
      <c r="F2361">
        <f>IF(D2361="","",IF(E2361&lt;0,"VENCIDO",IF(E2361&lt;=30,"VENCE EM &lt;= 30 DIAS",IF(E2361&lt;=60,"ATENCAO (31-60 DIAS)","OK"))))</f>
        <v/>
      </c>
      <c r="G2361" s="13">
        <f>SUMIFS(Movimentacoes!$G:$G,Movimentacoes!$C:$C,$A2361,Movimentacoes!$E:$E,$C2361,Movimentacoes!$B:$B,"ENTRADA")</f>
        <v/>
      </c>
      <c r="H2361" s="13">
        <f>SUMIFS(Movimentacoes!$G:$G,Movimentacoes!$C:$C,$A2361,Movimentacoes!$E:$E,$C2361,Movimentacoes!$B:$B,"SAIDA_USO")</f>
        <v/>
      </c>
      <c r="I2361" s="13">
        <f>SUMIFS(Movimentacoes!$G:$G,Movimentacoes!$C:$C,$A2361,Movimentacoes!$E:$E,$C2361,Movimentacoes!$B:$B,"SAIDA_DESCARTE")</f>
        <v/>
      </c>
      <c r="J2361" s="13">
        <f>G2361-H2361-I2361</f>
        <v/>
      </c>
      <c r="K2361">
        <f>IF(A2361="","",IF(J2361&lt;=IFERROR(VLOOKUP(A2361,Cadastro_Produtos!$A:$E,5,FALSE),0),"ABAIXO DO MINIMO","OK"))</f>
        <v/>
      </c>
    </row>
    <row r="2362">
      <c r="B2362">
        <f>IFERROR(VLOOKUP(A2362,Cadastro_Produtos!A:B,2,FALSE),"")</f>
        <v/>
      </c>
      <c r="D2362" s="12" t="n"/>
      <c r="E2362" s="13">
        <f>IF(D2362="","",D2362-TODAY())</f>
        <v/>
      </c>
      <c r="F2362">
        <f>IF(D2362="","",IF(E2362&lt;0,"VENCIDO",IF(E2362&lt;=30,"VENCE EM &lt;= 30 DIAS",IF(E2362&lt;=60,"ATENCAO (31-60 DIAS)","OK"))))</f>
        <v/>
      </c>
      <c r="G2362" s="13">
        <f>SUMIFS(Movimentacoes!$G:$G,Movimentacoes!$C:$C,$A2362,Movimentacoes!$E:$E,$C2362,Movimentacoes!$B:$B,"ENTRADA")</f>
        <v/>
      </c>
      <c r="H2362" s="13">
        <f>SUMIFS(Movimentacoes!$G:$G,Movimentacoes!$C:$C,$A2362,Movimentacoes!$E:$E,$C2362,Movimentacoes!$B:$B,"SAIDA_USO")</f>
        <v/>
      </c>
      <c r="I2362" s="13">
        <f>SUMIFS(Movimentacoes!$G:$G,Movimentacoes!$C:$C,$A2362,Movimentacoes!$E:$E,$C2362,Movimentacoes!$B:$B,"SAIDA_DESCARTE")</f>
        <v/>
      </c>
      <c r="J2362" s="13">
        <f>G2362-H2362-I2362</f>
        <v/>
      </c>
      <c r="K2362">
        <f>IF(A2362="","",IF(J2362&lt;=IFERROR(VLOOKUP(A2362,Cadastro_Produtos!$A:$E,5,FALSE),0),"ABAIXO DO MINIMO","OK"))</f>
        <v/>
      </c>
    </row>
    <row r="2363">
      <c r="B2363">
        <f>IFERROR(VLOOKUP(A2363,Cadastro_Produtos!A:B,2,FALSE),"")</f>
        <v/>
      </c>
      <c r="D2363" s="12" t="n"/>
      <c r="E2363" s="13">
        <f>IF(D2363="","",D2363-TODAY())</f>
        <v/>
      </c>
      <c r="F2363">
        <f>IF(D2363="","",IF(E2363&lt;0,"VENCIDO",IF(E2363&lt;=30,"VENCE EM &lt;= 30 DIAS",IF(E2363&lt;=60,"ATENCAO (31-60 DIAS)","OK"))))</f>
        <v/>
      </c>
      <c r="G2363" s="13">
        <f>SUMIFS(Movimentacoes!$G:$G,Movimentacoes!$C:$C,$A2363,Movimentacoes!$E:$E,$C2363,Movimentacoes!$B:$B,"ENTRADA")</f>
        <v/>
      </c>
      <c r="H2363" s="13">
        <f>SUMIFS(Movimentacoes!$G:$G,Movimentacoes!$C:$C,$A2363,Movimentacoes!$E:$E,$C2363,Movimentacoes!$B:$B,"SAIDA_USO")</f>
        <v/>
      </c>
      <c r="I2363" s="13">
        <f>SUMIFS(Movimentacoes!$G:$G,Movimentacoes!$C:$C,$A2363,Movimentacoes!$E:$E,$C2363,Movimentacoes!$B:$B,"SAIDA_DESCARTE")</f>
        <v/>
      </c>
      <c r="J2363" s="13">
        <f>G2363-H2363-I2363</f>
        <v/>
      </c>
      <c r="K2363">
        <f>IF(A2363="","",IF(J2363&lt;=IFERROR(VLOOKUP(A2363,Cadastro_Produtos!$A:$E,5,FALSE),0),"ABAIXO DO MINIMO","OK"))</f>
        <v/>
      </c>
    </row>
    <row r="2364">
      <c r="B2364">
        <f>IFERROR(VLOOKUP(A2364,Cadastro_Produtos!A:B,2,FALSE),"")</f>
        <v/>
      </c>
      <c r="D2364" s="12" t="n"/>
      <c r="E2364" s="13">
        <f>IF(D2364="","",D2364-TODAY())</f>
        <v/>
      </c>
      <c r="F2364">
        <f>IF(D2364="","",IF(E2364&lt;0,"VENCIDO",IF(E2364&lt;=30,"VENCE EM &lt;= 30 DIAS",IF(E2364&lt;=60,"ATENCAO (31-60 DIAS)","OK"))))</f>
        <v/>
      </c>
      <c r="G2364" s="13">
        <f>SUMIFS(Movimentacoes!$G:$G,Movimentacoes!$C:$C,$A2364,Movimentacoes!$E:$E,$C2364,Movimentacoes!$B:$B,"ENTRADA")</f>
        <v/>
      </c>
      <c r="H2364" s="13">
        <f>SUMIFS(Movimentacoes!$G:$G,Movimentacoes!$C:$C,$A2364,Movimentacoes!$E:$E,$C2364,Movimentacoes!$B:$B,"SAIDA_USO")</f>
        <v/>
      </c>
      <c r="I2364" s="13">
        <f>SUMIFS(Movimentacoes!$G:$G,Movimentacoes!$C:$C,$A2364,Movimentacoes!$E:$E,$C2364,Movimentacoes!$B:$B,"SAIDA_DESCARTE")</f>
        <v/>
      </c>
      <c r="J2364" s="13">
        <f>G2364-H2364-I2364</f>
        <v/>
      </c>
      <c r="K2364">
        <f>IF(A2364="","",IF(J2364&lt;=IFERROR(VLOOKUP(A2364,Cadastro_Produtos!$A:$E,5,FALSE),0),"ABAIXO DO MINIMO","OK"))</f>
        <v/>
      </c>
    </row>
    <row r="2365">
      <c r="B2365">
        <f>IFERROR(VLOOKUP(A2365,Cadastro_Produtos!A:B,2,FALSE),"")</f>
        <v/>
      </c>
      <c r="D2365" s="12" t="n"/>
      <c r="E2365" s="13">
        <f>IF(D2365="","",D2365-TODAY())</f>
        <v/>
      </c>
      <c r="F2365">
        <f>IF(D2365="","",IF(E2365&lt;0,"VENCIDO",IF(E2365&lt;=30,"VENCE EM &lt;= 30 DIAS",IF(E2365&lt;=60,"ATENCAO (31-60 DIAS)","OK"))))</f>
        <v/>
      </c>
      <c r="G2365" s="13">
        <f>SUMIFS(Movimentacoes!$G:$G,Movimentacoes!$C:$C,$A2365,Movimentacoes!$E:$E,$C2365,Movimentacoes!$B:$B,"ENTRADA")</f>
        <v/>
      </c>
      <c r="H2365" s="13">
        <f>SUMIFS(Movimentacoes!$G:$G,Movimentacoes!$C:$C,$A2365,Movimentacoes!$E:$E,$C2365,Movimentacoes!$B:$B,"SAIDA_USO")</f>
        <v/>
      </c>
      <c r="I2365" s="13">
        <f>SUMIFS(Movimentacoes!$G:$G,Movimentacoes!$C:$C,$A2365,Movimentacoes!$E:$E,$C2365,Movimentacoes!$B:$B,"SAIDA_DESCARTE")</f>
        <v/>
      </c>
      <c r="J2365" s="13">
        <f>G2365-H2365-I2365</f>
        <v/>
      </c>
      <c r="K2365">
        <f>IF(A2365="","",IF(J2365&lt;=IFERROR(VLOOKUP(A2365,Cadastro_Produtos!$A:$E,5,FALSE),0),"ABAIXO DO MINIMO","OK"))</f>
        <v/>
      </c>
    </row>
    <row r="2366">
      <c r="B2366">
        <f>IFERROR(VLOOKUP(A2366,Cadastro_Produtos!A:B,2,FALSE),"")</f>
        <v/>
      </c>
      <c r="D2366" s="12" t="n"/>
      <c r="E2366" s="13">
        <f>IF(D2366="","",D2366-TODAY())</f>
        <v/>
      </c>
      <c r="F2366">
        <f>IF(D2366="","",IF(E2366&lt;0,"VENCIDO",IF(E2366&lt;=30,"VENCE EM &lt;= 30 DIAS",IF(E2366&lt;=60,"ATENCAO (31-60 DIAS)","OK"))))</f>
        <v/>
      </c>
      <c r="G2366" s="13">
        <f>SUMIFS(Movimentacoes!$G:$G,Movimentacoes!$C:$C,$A2366,Movimentacoes!$E:$E,$C2366,Movimentacoes!$B:$B,"ENTRADA")</f>
        <v/>
      </c>
      <c r="H2366" s="13">
        <f>SUMIFS(Movimentacoes!$G:$G,Movimentacoes!$C:$C,$A2366,Movimentacoes!$E:$E,$C2366,Movimentacoes!$B:$B,"SAIDA_USO")</f>
        <v/>
      </c>
      <c r="I2366" s="13">
        <f>SUMIFS(Movimentacoes!$G:$G,Movimentacoes!$C:$C,$A2366,Movimentacoes!$E:$E,$C2366,Movimentacoes!$B:$B,"SAIDA_DESCARTE")</f>
        <v/>
      </c>
      <c r="J2366" s="13">
        <f>G2366-H2366-I2366</f>
        <v/>
      </c>
      <c r="K2366">
        <f>IF(A2366="","",IF(J2366&lt;=IFERROR(VLOOKUP(A2366,Cadastro_Produtos!$A:$E,5,FALSE),0),"ABAIXO DO MINIMO","OK"))</f>
        <v/>
      </c>
    </row>
    <row r="2367">
      <c r="B2367">
        <f>IFERROR(VLOOKUP(A2367,Cadastro_Produtos!A:B,2,FALSE),"")</f>
        <v/>
      </c>
      <c r="D2367" s="12" t="n"/>
      <c r="E2367" s="13">
        <f>IF(D2367="","",D2367-TODAY())</f>
        <v/>
      </c>
      <c r="F2367">
        <f>IF(D2367="","",IF(E2367&lt;0,"VENCIDO",IF(E2367&lt;=30,"VENCE EM &lt;= 30 DIAS",IF(E2367&lt;=60,"ATENCAO (31-60 DIAS)","OK"))))</f>
        <v/>
      </c>
      <c r="G2367" s="13">
        <f>SUMIFS(Movimentacoes!$G:$G,Movimentacoes!$C:$C,$A2367,Movimentacoes!$E:$E,$C2367,Movimentacoes!$B:$B,"ENTRADA")</f>
        <v/>
      </c>
      <c r="H2367" s="13">
        <f>SUMIFS(Movimentacoes!$G:$G,Movimentacoes!$C:$C,$A2367,Movimentacoes!$E:$E,$C2367,Movimentacoes!$B:$B,"SAIDA_USO")</f>
        <v/>
      </c>
      <c r="I2367" s="13">
        <f>SUMIFS(Movimentacoes!$G:$G,Movimentacoes!$C:$C,$A2367,Movimentacoes!$E:$E,$C2367,Movimentacoes!$B:$B,"SAIDA_DESCARTE")</f>
        <v/>
      </c>
      <c r="J2367" s="13">
        <f>G2367-H2367-I2367</f>
        <v/>
      </c>
      <c r="K2367">
        <f>IF(A2367="","",IF(J2367&lt;=IFERROR(VLOOKUP(A2367,Cadastro_Produtos!$A:$E,5,FALSE),0),"ABAIXO DO MINIMO","OK"))</f>
        <v/>
      </c>
    </row>
    <row r="2368">
      <c r="B2368">
        <f>IFERROR(VLOOKUP(A2368,Cadastro_Produtos!A:B,2,FALSE),"")</f>
        <v/>
      </c>
      <c r="D2368" s="12" t="n"/>
      <c r="E2368" s="13">
        <f>IF(D2368="","",D2368-TODAY())</f>
        <v/>
      </c>
      <c r="F2368">
        <f>IF(D2368="","",IF(E2368&lt;0,"VENCIDO",IF(E2368&lt;=30,"VENCE EM &lt;= 30 DIAS",IF(E2368&lt;=60,"ATENCAO (31-60 DIAS)","OK"))))</f>
        <v/>
      </c>
      <c r="G2368" s="13">
        <f>SUMIFS(Movimentacoes!$G:$G,Movimentacoes!$C:$C,$A2368,Movimentacoes!$E:$E,$C2368,Movimentacoes!$B:$B,"ENTRADA")</f>
        <v/>
      </c>
      <c r="H2368" s="13">
        <f>SUMIFS(Movimentacoes!$G:$G,Movimentacoes!$C:$C,$A2368,Movimentacoes!$E:$E,$C2368,Movimentacoes!$B:$B,"SAIDA_USO")</f>
        <v/>
      </c>
      <c r="I2368" s="13">
        <f>SUMIFS(Movimentacoes!$G:$G,Movimentacoes!$C:$C,$A2368,Movimentacoes!$E:$E,$C2368,Movimentacoes!$B:$B,"SAIDA_DESCARTE")</f>
        <v/>
      </c>
      <c r="J2368" s="13">
        <f>G2368-H2368-I2368</f>
        <v/>
      </c>
      <c r="K2368">
        <f>IF(A2368="","",IF(J2368&lt;=IFERROR(VLOOKUP(A2368,Cadastro_Produtos!$A:$E,5,FALSE),0),"ABAIXO DO MINIMO","OK"))</f>
        <v/>
      </c>
    </row>
    <row r="2369">
      <c r="B2369">
        <f>IFERROR(VLOOKUP(A2369,Cadastro_Produtos!A:B,2,FALSE),"")</f>
        <v/>
      </c>
      <c r="D2369" s="12" t="n"/>
      <c r="E2369" s="13">
        <f>IF(D2369="","",D2369-TODAY())</f>
        <v/>
      </c>
      <c r="F2369">
        <f>IF(D2369="","",IF(E2369&lt;0,"VENCIDO",IF(E2369&lt;=30,"VENCE EM &lt;= 30 DIAS",IF(E2369&lt;=60,"ATENCAO (31-60 DIAS)","OK"))))</f>
        <v/>
      </c>
      <c r="G2369" s="13">
        <f>SUMIFS(Movimentacoes!$G:$G,Movimentacoes!$C:$C,$A2369,Movimentacoes!$E:$E,$C2369,Movimentacoes!$B:$B,"ENTRADA")</f>
        <v/>
      </c>
      <c r="H2369" s="13">
        <f>SUMIFS(Movimentacoes!$G:$G,Movimentacoes!$C:$C,$A2369,Movimentacoes!$E:$E,$C2369,Movimentacoes!$B:$B,"SAIDA_USO")</f>
        <v/>
      </c>
      <c r="I2369" s="13">
        <f>SUMIFS(Movimentacoes!$G:$G,Movimentacoes!$C:$C,$A2369,Movimentacoes!$E:$E,$C2369,Movimentacoes!$B:$B,"SAIDA_DESCARTE")</f>
        <v/>
      </c>
      <c r="J2369" s="13">
        <f>G2369-H2369-I2369</f>
        <v/>
      </c>
      <c r="K2369">
        <f>IF(A2369="","",IF(J2369&lt;=IFERROR(VLOOKUP(A2369,Cadastro_Produtos!$A:$E,5,FALSE),0),"ABAIXO DO MINIMO","OK"))</f>
        <v/>
      </c>
    </row>
    <row r="2370">
      <c r="B2370">
        <f>IFERROR(VLOOKUP(A2370,Cadastro_Produtos!A:B,2,FALSE),"")</f>
        <v/>
      </c>
      <c r="D2370" s="12" t="n"/>
      <c r="E2370" s="13">
        <f>IF(D2370="","",D2370-TODAY())</f>
        <v/>
      </c>
      <c r="F2370">
        <f>IF(D2370="","",IF(E2370&lt;0,"VENCIDO",IF(E2370&lt;=30,"VENCE EM &lt;= 30 DIAS",IF(E2370&lt;=60,"ATENCAO (31-60 DIAS)","OK"))))</f>
        <v/>
      </c>
      <c r="G2370" s="13">
        <f>SUMIFS(Movimentacoes!$G:$G,Movimentacoes!$C:$C,$A2370,Movimentacoes!$E:$E,$C2370,Movimentacoes!$B:$B,"ENTRADA")</f>
        <v/>
      </c>
      <c r="H2370" s="13">
        <f>SUMIFS(Movimentacoes!$G:$G,Movimentacoes!$C:$C,$A2370,Movimentacoes!$E:$E,$C2370,Movimentacoes!$B:$B,"SAIDA_USO")</f>
        <v/>
      </c>
      <c r="I2370" s="13">
        <f>SUMIFS(Movimentacoes!$G:$G,Movimentacoes!$C:$C,$A2370,Movimentacoes!$E:$E,$C2370,Movimentacoes!$B:$B,"SAIDA_DESCARTE")</f>
        <v/>
      </c>
      <c r="J2370" s="13">
        <f>G2370-H2370-I2370</f>
        <v/>
      </c>
      <c r="K2370">
        <f>IF(A2370="","",IF(J2370&lt;=IFERROR(VLOOKUP(A2370,Cadastro_Produtos!$A:$E,5,FALSE),0),"ABAIXO DO MINIMO","OK"))</f>
        <v/>
      </c>
    </row>
    <row r="2371">
      <c r="B2371">
        <f>IFERROR(VLOOKUP(A2371,Cadastro_Produtos!A:B,2,FALSE),"")</f>
        <v/>
      </c>
      <c r="D2371" s="12" t="n"/>
      <c r="E2371" s="13">
        <f>IF(D2371="","",D2371-TODAY())</f>
        <v/>
      </c>
      <c r="F2371">
        <f>IF(D2371="","",IF(E2371&lt;0,"VENCIDO",IF(E2371&lt;=30,"VENCE EM &lt;= 30 DIAS",IF(E2371&lt;=60,"ATENCAO (31-60 DIAS)","OK"))))</f>
        <v/>
      </c>
      <c r="G2371" s="13">
        <f>SUMIFS(Movimentacoes!$G:$G,Movimentacoes!$C:$C,$A2371,Movimentacoes!$E:$E,$C2371,Movimentacoes!$B:$B,"ENTRADA")</f>
        <v/>
      </c>
      <c r="H2371" s="13">
        <f>SUMIFS(Movimentacoes!$G:$G,Movimentacoes!$C:$C,$A2371,Movimentacoes!$E:$E,$C2371,Movimentacoes!$B:$B,"SAIDA_USO")</f>
        <v/>
      </c>
      <c r="I2371" s="13">
        <f>SUMIFS(Movimentacoes!$G:$G,Movimentacoes!$C:$C,$A2371,Movimentacoes!$E:$E,$C2371,Movimentacoes!$B:$B,"SAIDA_DESCARTE")</f>
        <v/>
      </c>
      <c r="J2371" s="13">
        <f>G2371-H2371-I2371</f>
        <v/>
      </c>
      <c r="K2371">
        <f>IF(A2371="","",IF(J2371&lt;=IFERROR(VLOOKUP(A2371,Cadastro_Produtos!$A:$E,5,FALSE),0),"ABAIXO DO MINIMO","OK"))</f>
        <v/>
      </c>
    </row>
    <row r="2372">
      <c r="B2372">
        <f>IFERROR(VLOOKUP(A2372,Cadastro_Produtos!A:B,2,FALSE),"")</f>
        <v/>
      </c>
      <c r="D2372" s="12" t="n"/>
      <c r="E2372" s="13">
        <f>IF(D2372="","",D2372-TODAY())</f>
        <v/>
      </c>
      <c r="F2372">
        <f>IF(D2372="","",IF(E2372&lt;0,"VENCIDO",IF(E2372&lt;=30,"VENCE EM &lt;= 30 DIAS",IF(E2372&lt;=60,"ATENCAO (31-60 DIAS)","OK"))))</f>
        <v/>
      </c>
      <c r="G2372" s="13">
        <f>SUMIFS(Movimentacoes!$G:$G,Movimentacoes!$C:$C,$A2372,Movimentacoes!$E:$E,$C2372,Movimentacoes!$B:$B,"ENTRADA")</f>
        <v/>
      </c>
      <c r="H2372" s="13">
        <f>SUMIFS(Movimentacoes!$G:$G,Movimentacoes!$C:$C,$A2372,Movimentacoes!$E:$E,$C2372,Movimentacoes!$B:$B,"SAIDA_USO")</f>
        <v/>
      </c>
      <c r="I2372" s="13">
        <f>SUMIFS(Movimentacoes!$G:$G,Movimentacoes!$C:$C,$A2372,Movimentacoes!$E:$E,$C2372,Movimentacoes!$B:$B,"SAIDA_DESCARTE")</f>
        <v/>
      </c>
      <c r="J2372" s="13">
        <f>G2372-H2372-I2372</f>
        <v/>
      </c>
      <c r="K2372">
        <f>IF(A2372="","",IF(J2372&lt;=IFERROR(VLOOKUP(A2372,Cadastro_Produtos!$A:$E,5,FALSE),0),"ABAIXO DO MINIMO","OK"))</f>
        <v/>
      </c>
    </row>
    <row r="2373">
      <c r="B2373">
        <f>IFERROR(VLOOKUP(A2373,Cadastro_Produtos!A:B,2,FALSE),"")</f>
        <v/>
      </c>
      <c r="D2373" s="12" t="n"/>
      <c r="E2373" s="13">
        <f>IF(D2373="","",D2373-TODAY())</f>
        <v/>
      </c>
      <c r="F2373">
        <f>IF(D2373="","",IF(E2373&lt;0,"VENCIDO",IF(E2373&lt;=30,"VENCE EM &lt;= 30 DIAS",IF(E2373&lt;=60,"ATENCAO (31-60 DIAS)","OK"))))</f>
        <v/>
      </c>
      <c r="G2373" s="13">
        <f>SUMIFS(Movimentacoes!$G:$G,Movimentacoes!$C:$C,$A2373,Movimentacoes!$E:$E,$C2373,Movimentacoes!$B:$B,"ENTRADA")</f>
        <v/>
      </c>
      <c r="H2373" s="13">
        <f>SUMIFS(Movimentacoes!$G:$G,Movimentacoes!$C:$C,$A2373,Movimentacoes!$E:$E,$C2373,Movimentacoes!$B:$B,"SAIDA_USO")</f>
        <v/>
      </c>
      <c r="I2373" s="13">
        <f>SUMIFS(Movimentacoes!$G:$G,Movimentacoes!$C:$C,$A2373,Movimentacoes!$E:$E,$C2373,Movimentacoes!$B:$B,"SAIDA_DESCARTE")</f>
        <v/>
      </c>
      <c r="J2373" s="13">
        <f>G2373-H2373-I2373</f>
        <v/>
      </c>
      <c r="K2373">
        <f>IF(A2373="","",IF(J2373&lt;=IFERROR(VLOOKUP(A2373,Cadastro_Produtos!$A:$E,5,FALSE),0),"ABAIXO DO MINIMO","OK"))</f>
        <v/>
      </c>
    </row>
    <row r="2374">
      <c r="B2374">
        <f>IFERROR(VLOOKUP(A2374,Cadastro_Produtos!A:B,2,FALSE),"")</f>
        <v/>
      </c>
      <c r="D2374" s="12" t="n"/>
      <c r="E2374" s="13">
        <f>IF(D2374="","",D2374-TODAY())</f>
        <v/>
      </c>
      <c r="F2374">
        <f>IF(D2374="","",IF(E2374&lt;0,"VENCIDO",IF(E2374&lt;=30,"VENCE EM &lt;= 30 DIAS",IF(E2374&lt;=60,"ATENCAO (31-60 DIAS)","OK"))))</f>
        <v/>
      </c>
      <c r="G2374" s="13">
        <f>SUMIFS(Movimentacoes!$G:$G,Movimentacoes!$C:$C,$A2374,Movimentacoes!$E:$E,$C2374,Movimentacoes!$B:$B,"ENTRADA")</f>
        <v/>
      </c>
      <c r="H2374" s="13">
        <f>SUMIFS(Movimentacoes!$G:$G,Movimentacoes!$C:$C,$A2374,Movimentacoes!$E:$E,$C2374,Movimentacoes!$B:$B,"SAIDA_USO")</f>
        <v/>
      </c>
      <c r="I2374" s="13">
        <f>SUMIFS(Movimentacoes!$G:$G,Movimentacoes!$C:$C,$A2374,Movimentacoes!$E:$E,$C2374,Movimentacoes!$B:$B,"SAIDA_DESCARTE")</f>
        <v/>
      </c>
      <c r="J2374" s="13">
        <f>G2374-H2374-I2374</f>
        <v/>
      </c>
      <c r="K2374">
        <f>IF(A2374="","",IF(J2374&lt;=IFERROR(VLOOKUP(A2374,Cadastro_Produtos!$A:$E,5,FALSE),0),"ABAIXO DO MINIMO","OK"))</f>
        <v/>
      </c>
    </row>
    <row r="2375">
      <c r="B2375">
        <f>IFERROR(VLOOKUP(A2375,Cadastro_Produtos!A:B,2,FALSE),"")</f>
        <v/>
      </c>
      <c r="D2375" s="12" t="n"/>
      <c r="E2375" s="13">
        <f>IF(D2375="","",D2375-TODAY())</f>
        <v/>
      </c>
      <c r="F2375">
        <f>IF(D2375="","",IF(E2375&lt;0,"VENCIDO",IF(E2375&lt;=30,"VENCE EM &lt;= 30 DIAS",IF(E2375&lt;=60,"ATENCAO (31-60 DIAS)","OK"))))</f>
        <v/>
      </c>
      <c r="G2375" s="13">
        <f>SUMIFS(Movimentacoes!$G:$G,Movimentacoes!$C:$C,$A2375,Movimentacoes!$E:$E,$C2375,Movimentacoes!$B:$B,"ENTRADA")</f>
        <v/>
      </c>
      <c r="H2375" s="13">
        <f>SUMIFS(Movimentacoes!$G:$G,Movimentacoes!$C:$C,$A2375,Movimentacoes!$E:$E,$C2375,Movimentacoes!$B:$B,"SAIDA_USO")</f>
        <v/>
      </c>
      <c r="I2375" s="13">
        <f>SUMIFS(Movimentacoes!$G:$G,Movimentacoes!$C:$C,$A2375,Movimentacoes!$E:$E,$C2375,Movimentacoes!$B:$B,"SAIDA_DESCARTE")</f>
        <v/>
      </c>
      <c r="J2375" s="13">
        <f>G2375-H2375-I2375</f>
        <v/>
      </c>
      <c r="K2375">
        <f>IF(A2375="","",IF(J2375&lt;=IFERROR(VLOOKUP(A2375,Cadastro_Produtos!$A:$E,5,FALSE),0),"ABAIXO DO MINIMO","OK"))</f>
        <v/>
      </c>
    </row>
    <row r="2376">
      <c r="B2376">
        <f>IFERROR(VLOOKUP(A2376,Cadastro_Produtos!A:B,2,FALSE),"")</f>
        <v/>
      </c>
      <c r="D2376" s="12" t="n"/>
      <c r="E2376" s="13">
        <f>IF(D2376="","",D2376-TODAY())</f>
        <v/>
      </c>
      <c r="F2376">
        <f>IF(D2376="","",IF(E2376&lt;0,"VENCIDO",IF(E2376&lt;=30,"VENCE EM &lt;= 30 DIAS",IF(E2376&lt;=60,"ATENCAO (31-60 DIAS)","OK"))))</f>
        <v/>
      </c>
      <c r="G2376" s="13">
        <f>SUMIFS(Movimentacoes!$G:$G,Movimentacoes!$C:$C,$A2376,Movimentacoes!$E:$E,$C2376,Movimentacoes!$B:$B,"ENTRADA")</f>
        <v/>
      </c>
      <c r="H2376" s="13">
        <f>SUMIFS(Movimentacoes!$G:$G,Movimentacoes!$C:$C,$A2376,Movimentacoes!$E:$E,$C2376,Movimentacoes!$B:$B,"SAIDA_USO")</f>
        <v/>
      </c>
      <c r="I2376" s="13">
        <f>SUMIFS(Movimentacoes!$G:$G,Movimentacoes!$C:$C,$A2376,Movimentacoes!$E:$E,$C2376,Movimentacoes!$B:$B,"SAIDA_DESCARTE")</f>
        <v/>
      </c>
      <c r="J2376" s="13">
        <f>G2376-H2376-I2376</f>
        <v/>
      </c>
      <c r="K2376">
        <f>IF(A2376="","",IF(J2376&lt;=IFERROR(VLOOKUP(A2376,Cadastro_Produtos!$A:$E,5,FALSE),0),"ABAIXO DO MINIMO","OK"))</f>
        <v/>
      </c>
    </row>
    <row r="2377">
      <c r="B2377">
        <f>IFERROR(VLOOKUP(A2377,Cadastro_Produtos!A:B,2,FALSE),"")</f>
        <v/>
      </c>
      <c r="D2377" s="12" t="n"/>
      <c r="E2377" s="13">
        <f>IF(D2377="","",D2377-TODAY())</f>
        <v/>
      </c>
      <c r="F2377">
        <f>IF(D2377="","",IF(E2377&lt;0,"VENCIDO",IF(E2377&lt;=30,"VENCE EM &lt;= 30 DIAS",IF(E2377&lt;=60,"ATENCAO (31-60 DIAS)","OK"))))</f>
        <v/>
      </c>
      <c r="G2377" s="13">
        <f>SUMIFS(Movimentacoes!$G:$G,Movimentacoes!$C:$C,$A2377,Movimentacoes!$E:$E,$C2377,Movimentacoes!$B:$B,"ENTRADA")</f>
        <v/>
      </c>
      <c r="H2377" s="13">
        <f>SUMIFS(Movimentacoes!$G:$G,Movimentacoes!$C:$C,$A2377,Movimentacoes!$E:$E,$C2377,Movimentacoes!$B:$B,"SAIDA_USO")</f>
        <v/>
      </c>
      <c r="I2377" s="13">
        <f>SUMIFS(Movimentacoes!$G:$G,Movimentacoes!$C:$C,$A2377,Movimentacoes!$E:$E,$C2377,Movimentacoes!$B:$B,"SAIDA_DESCARTE")</f>
        <v/>
      </c>
      <c r="J2377" s="13">
        <f>G2377-H2377-I2377</f>
        <v/>
      </c>
      <c r="K2377">
        <f>IF(A2377="","",IF(J2377&lt;=IFERROR(VLOOKUP(A2377,Cadastro_Produtos!$A:$E,5,FALSE),0),"ABAIXO DO MINIMO","OK"))</f>
        <v/>
      </c>
    </row>
    <row r="2378">
      <c r="B2378">
        <f>IFERROR(VLOOKUP(A2378,Cadastro_Produtos!A:B,2,FALSE),"")</f>
        <v/>
      </c>
      <c r="D2378" s="12" t="n"/>
      <c r="E2378" s="13">
        <f>IF(D2378="","",D2378-TODAY())</f>
        <v/>
      </c>
      <c r="F2378">
        <f>IF(D2378="","",IF(E2378&lt;0,"VENCIDO",IF(E2378&lt;=30,"VENCE EM &lt;= 30 DIAS",IF(E2378&lt;=60,"ATENCAO (31-60 DIAS)","OK"))))</f>
        <v/>
      </c>
      <c r="G2378" s="13">
        <f>SUMIFS(Movimentacoes!$G:$G,Movimentacoes!$C:$C,$A2378,Movimentacoes!$E:$E,$C2378,Movimentacoes!$B:$B,"ENTRADA")</f>
        <v/>
      </c>
      <c r="H2378" s="13">
        <f>SUMIFS(Movimentacoes!$G:$G,Movimentacoes!$C:$C,$A2378,Movimentacoes!$E:$E,$C2378,Movimentacoes!$B:$B,"SAIDA_USO")</f>
        <v/>
      </c>
      <c r="I2378" s="13">
        <f>SUMIFS(Movimentacoes!$G:$G,Movimentacoes!$C:$C,$A2378,Movimentacoes!$E:$E,$C2378,Movimentacoes!$B:$B,"SAIDA_DESCARTE")</f>
        <v/>
      </c>
      <c r="J2378" s="13">
        <f>G2378-H2378-I2378</f>
        <v/>
      </c>
      <c r="K2378">
        <f>IF(A2378="","",IF(J2378&lt;=IFERROR(VLOOKUP(A2378,Cadastro_Produtos!$A:$E,5,FALSE),0),"ABAIXO DO MINIMO","OK"))</f>
        <v/>
      </c>
    </row>
    <row r="2379">
      <c r="B2379">
        <f>IFERROR(VLOOKUP(A2379,Cadastro_Produtos!A:B,2,FALSE),"")</f>
        <v/>
      </c>
      <c r="D2379" s="12" t="n"/>
      <c r="E2379" s="13">
        <f>IF(D2379="","",D2379-TODAY())</f>
        <v/>
      </c>
      <c r="F2379">
        <f>IF(D2379="","",IF(E2379&lt;0,"VENCIDO",IF(E2379&lt;=30,"VENCE EM &lt;= 30 DIAS",IF(E2379&lt;=60,"ATENCAO (31-60 DIAS)","OK"))))</f>
        <v/>
      </c>
      <c r="G2379" s="13">
        <f>SUMIFS(Movimentacoes!$G:$G,Movimentacoes!$C:$C,$A2379,Movimentacoes!$E:$E,$C2379,Movimentacoes!$B:$B,"ENTRADA")</f>
        <v/>
      </c>
      <c r="H2379" s="13">
        <f>SUMIFS(Movimentacoes!$G:$G,Movimentacoes!$C:$C,$A2379,Movimentacoes!$E:$E,$C2379,Movimentacoes!$B:$B,"SAIDA_USO")</f>
        <v/>
      </c>
      <c r="I2379" s="13">
        <f>SUMIFS(Movimentacoes!$G:$G,Movimentacoes!$C:$C,$A2379,Movimentacoes!$E:$E,$C2379,Movimentacoes!$B:$B,"SAIDA_DESCARTE")</f>
        <v/>
      </c>
      <c r="J2379" s="13">
        <f>G2379-H2379-I2379</f>
        <v/>
      </c>
      <c r="K2379">
        <f>IF(A2379="","",IF(J2379&lt;=IFERROR(VLOOKUP(A2379,Cadastro_Produtos!$A:$E,5,FALSE),0),"ABAIXO DO MINIMO","OK"))</f>
        <v/>
      </c>
    </row>
    <row r="2380">
      <c r="B2380">
        <f>IFERROR(VLOOKUP(A2380,Cadastro_Produtos!A:B,2,FALSE),"")</f>
        <v/>
      </c>
      <c r="D2380" s="12" t="n"/>
      <c r="E2380" s="13">
        <f>IF(D2380="","",D2380-TODAY())</f>
        <v/>
      </c>
      <c r="F2380">
        <f>IF(D2380="","",IF(E2380&lt;0,"VENCIDO",IF(E2380&lt;=30,"VENCE EM &lt;= 30 DIAS",IF(E2380&lt;=60,"ATENCAO (31-60 DIAS)","OK"))))</f>
        <v/>
      </c>
      <c r="G2380" s="13">
        <f>SUMIFS(Movimentacoes!$G:$G,Movimentacoes!$C:$C,$A2380,Movimentacoes!$E:$E,$C2380,Movimentacoes!$B:$B,"ENTRADA")</f>
        <v/>
      </c>
      <c r="H2380" s="13">
        <f>SUMIFS(Movimentacoes!$G:$G,Movimentacoes!$C:$C,$A2380,Movimentacoes!$E:$E,$C2380,Movimentacoes!$B:$B,"SAIDA_USO")</f>
        <v/>
      </c>
      <c r="I2380" s="13">
        <f>SUMIFS(Movimentacoes!$G:$G,Movimentacoes!$C:$C,$A2380,Movimentacoes!$E:$E,$C2380,Movimentacoes!$B:$B,"SAIDA_DESCARTE")</f>
        <v/>
      </c>
      <c r="J2380" s="13">
        <f>G2380-H2380-I2380</f>
        <v/>
      </c>
      <c r="K2380">
        <f>IF(A2380="","",IF(J2380&lt;=IFERROR(VLOOKUP(A2380,Cadastro_Produtos!$A:$E,5,FALSE),0),"ABAIXO DO MINIMO","OK"))</f>
        <v/>
      </c>
    </row>
    <row r="2381">
      <c r="B2381">
        <f>IFERROR(VLOOKUP(A2381,Cadastro_Produtos!A:B,2,FALSE),"")</f>
        <v/>
      </c>
      <c r="D2381" s="12" t="n"/>
      <c r="E2381" s="13">
        <f>IF(D2381="","",D2381-TODAY())</f>
        <v/>
      </c>
      <c r="F2381">
        <f>IF(D2381="","",IF(E2381&lt;0,"VENCIDO",IF(E2381&lt;=30,"VENCE EM &lt;= 30 DIAS",IF(E2381&lt;=60,"ATENCAO (31-60 DIAS)","OK"))))</f>
        <v/>
      </c>
      <c r="G2381" s="13">
        <f>SUMIFS(Movimentacoes!$G:$G,Movimentacoes!$C:$C,$A2381,Movimentacoes!$E:$E,$C2381,Movimentacoes!$B:$B,"ENTRADA")</f>
        <v/>
      </c>
      <c r="H2381" s="13">
        <f>SUMIFS(Movimentacoes!$G:$G,Movimentacoes!$C:$C,$A2381,Movimentacoes!$E:$E,$C2381,Movimentacoes!$B:$B,"SAIDA_USO")</f>
        <v/>
      </c>
      <c r="I2381" s="13">
        <f>SUMIFS(Movimentacoes!$G:$G,Movimentacoes!$C:$C,$A2381,Movimentacoes!$E:$E,$C2381,Movimentacoes!$B:$B,"SAIDA_DESCARTE")</f>
        <v/>
      </c>
      <c r="J2381" s="13">
        <f>G2381-H2381-I2381</f>
        <v/>
      </c>
      <c r="K2381">
        <f>IF(A2381="","",IF(J2381&lt;=IFERROR(VLOOKUP(A2381,Cadastro_Produtos!$A:$E,5,FALSE),0),"ABAIXO DO MINIMO","OK"))</f>
        <v/>
      </c>
    </row>
    <row r="2382">
      <c r="B2382">
        <f>IFERROR(VLOOKUP(A2382,Cadastro_Produtos!A:B,2,FALSE),"")</f>
        <v/>
      </c>
      <c r="D2382" s="12" t="n"/>
      <c r="E2382" s="13">
        <f>IF(D2382="","",D2382-TODAY())</f>
        <v/>
      </c>
      <c r="F2382">
        <f>IF(D2382="","",IF(E2382&lt;0,"VENCIDO",IF(E2382&lt;=30,"VENCE EM &lt;= 30 DIAS",IF(E2382&lt;=60,"ATENCAO (31-60 DIAS)","OK"))))</f>
        <v/>
      </c>
      <c r="G2382" s="13">
        <f>SUMIFS(Movimentacoes!$G:$G,Movimentacoes!$C:$C,$A2382,Movimentacoes!$E:$E,$C2382,Movimentacoes!$B:$B,"ENTRADA")</f>
        <v/>
      </c>
      <c r="H2382" s="13">
        <f>SUMIFS(Movimentacoes!$G:$G,Movimentacoes!$C:$C,$A2382,Movimentacoes!$E:$E,$C2382,Movimentacoes!$B:$B,"SAIDA_USO")</f>
        <v/>
      </c>
      <c r="I2382" s="13">
        <f>SUMIFS(Movimentacoes!$G:$G,Movimentacoes!$C:$C,$A2382,Movimentacoes!$E:$E,$C2382,Movimentacoes!$B:$B,"SAIDA_DESCARTE")</f>
        <v/>
      </c>
      <c r="J2382" s="13">
        <f>G2382-H2382-I2382</f>
        <v/>
      </c>
      <c r="K2382">
        <f>IF(A2382="","",IF(J2382&lt;=IFERROR(VLOOKUP(A2382,Cadastro_Produtos!$A:$E,5,FALSE),0),"ABAIXO DO MINIMO","OK"))</f>
        <v/>
      </c>
    </row>
    <row r="2383">
      <c r="B2383">
        <f>IFERROR(VLOOKUP(A2383,Cadastro_Produtos!A:B,2,FALSE),"")</f>
        <v/>
      </c>
      <c r="D2383" s="12" t="n"/>
      <c r="E2383" s="13">
        <f>IF(D2383="","",D2383-TODAY())</f>
        <v/>
      </c>
      <c r="F2383">
        <f>IF(D2383="","",IF(E2383&lt;0,"VENCIDO",IF(E2383&lt;=30,"VENCE EM &lt;= 30 DIAS",IF(E2383&lt;=60,"ATENCAO (31-60 DIAS)","OK"))))</f>
        <v/>
      </c>
      <c r="G2383" s="13">
        <f>SUMIFS(Movimentacoes!$G:$G,Movimentacoes!$C:$C,$A2383,Movimentacoes!$E:$E,$C2383,Movimentacoes!$B:$B,"ENTRADA")</f>
        <v/>
      </c>
      <c r="H2383" s="13">
        <f>SUMIFS(Movimentacoes!$G:$G,Movimentacoes!$C:$C,$A2383,Movimentacoes!$E:$E,$C2383,Movimentacoes!$B:$B,"SAIDA_USO")</f>
        <v/>
      </c>
      <c r="I2383" s="13">
        <f>SUMIFS(Movimentacoes!$G:$G,Movimentacoes!$C:$C,$A2383,Movimentacoes!$E:$E,$C2383,Movimentacoes!$B:$B,"SAIDA_DESCARTE")</f>
        <v/>
      </c>
      <c r="J2383" s="13">
        <f>G2383-H2383-I2383</f>
        <v/>
      </c>
      <c r="K2383">
        <f>IF(A2383="","",IF(J2383&lt;=IFERROR(VLOOKUP(A2383,Cadastro_Produtos!$A:$E,5,FALSE),0),"ABAIXO DO MINIMO","OK"))</f>
        <v/>
      </c>
    </row>
    <row r="2384">
      <c r="B2384">
        <f>IFERROR(VLOOKUP(A2384,Cadastro_Produtos!A:B,2,FALSE),"")</f>
        <v/>
      </c>
      <c r="D2384" s="12" t="n"/>
      <c r="E2384" s="13">
        <f>IF(D2384="","",D2384-TODAY())</f>
        <v/>
      </c>
      <c r="F2384">
        <f>IF(D2384="","",IF(E2384&lt;0,"VENCIDO",IF(E2384&lt;=30,"VENCE EM &lt;= 30 DIAS",IF(E2384&lt;=60,"ATENCAO (31-60 DIAS)","OK"))))</f>
        <v/>
      </c>
      <c r="G2384" s="13">
        <f>SUMIFS(Movimentacoes!$G:$G,Movimentacoes!$C:$C,$A2384,Movimentacoes!$E:$E,$C2384,Movimentacoes!$B:$B,"ENTRADA")</f>
        <v/>
      </c>
      <c r="H2384" s="13">
        <f>SUMIFS(Movimentacoes!$G:$G,Movimentacoes!$C:$C,$A2384,Movimentacoes!$E:$E,$C2384,Movimentacoes!$B:$B,"SAIDA_USO")</f>
        <v/>
      </c>
      <c r="I2384" s="13">
        <f>SUMIFS(Movimentacoes!$G:$G,Movimentacoes!$C:$C,$A2384,Movimentacoes!$E:$E,$C2384,Movimentacoes!$B:$B,"SAIDA_DESCARTE")</f>
        <v/>
      </c>
      <c r="J2384" s="13">
        <f>G2384-H2384-I2384</f>
        <v/>
      </c>
      <c r="K2384">
        <f>IF(A2384="","",IF(J2384&lt;=IFERROR(VLOOKUP(A2384,Cadastro_Produtos!$A:$E,5,FALSE),0),"ABAIXO DO MINIMO","OK"))</f>
        <v/>
      </c>
    </row>
    <row r="2385">
      <c r="B2385">
        <f>IFERROR(VLOOKUP(A2385,Cadastro_Produtos!A:B,2,FALSE),"")</f>
        <v/>
      </c>
      <c r="D2385" s="12" t="n"/>
      <c r="E2385" s="13">
        <f>IF(D2385="","",D2385-TODAY())</f>
        <v/>
      </c>
      <c r="F2385">
        <f>IF(D2385="","",IF(E2385&lt;0,"VENCIDO",IF(E2385&lt;=30,"VENCE EM &lt;= 30 DIAS",IF(E2385&lt;=60,"ATENCAO (31-60 DIAS)","OK"))))</f>
        <v/>
      </c>
      <c r="G2385" s="13">
        <f>SUMIFS(Movimentacoes!$G:$G,Movimentacoes!$C:$C,$A2385,Movimentacoes!$E:$E,$C2385,Movimentacoes!$B:$B,"ENTRADA")</f>
        <v/>
      </c>
      <c r="H2385" s="13">
        <f>SUMIFS(Movimentacoes!$G:$G,Movimentacoes!$C:$C,$A2385,Movimentacoes!$E:$E,$C2385,Movimentacoes!$B:$B,"SAIDA_USO")</f>
        <v/>
      </c>
      <c r="I2385" s="13">
        <f>SUMIFS(Movimentacoes!$G:$G,Movimentacoes!$C:$C,$A2385,Movimentacoes!$E:$E,$C2385,Movimentacoes!$B:$B,"SAIDA_DESCARTE")</f>
        <v/>
      </c>
      <c r="J2385" s="13">
        <f>G2385-H2385-I2385</f>
        <v/>
      </c>
      <c r="K2385">
        <f>IF(A2385="","",IF(J2385&lt;=IFERROR(VLOOKUP(A2385,Cadastro_Produtos!$A:$E,5,FALSE),0),"ABAIXO DO MINIMO","OK"))</f>
        <v/>
      </c>
    </row>
    <row r="2386">
      <c r="B2386">
        <f>IFERROR(VLOOKUP(A2386,Cadastro_Produtos!A:B,2,FALSE),"")</f>
        <v/>
      </c>
      <c r="D2386" s="12" t="n"/>
      <c r="E2386" s="13">
        <f>IF(D2386="","",D2386-TODAY())</f>
        <v/>
      </c>
      <c r="F2386">
        <f>IF(D2386="","",IF(E2386&lt;0,"VENCIDO",IF(E2386&lt;=30,"VENCE EM &lt;= 30 DIAS",IF(E2386&lt;=60,"ATENCAO (31-60 DIAS)","OK"))))</f>
        <v/>
      </c>
      <c r="G2386" s="13">
        <f>SUMIFS(Movimentacoes!$G:$G,Movimentacoes!$C:$C,$A2386,Movimentacoes!$E:$E,$C2386,Movimentacoes!$B:$B,"ENTRADA")</f>
        <v/>
      </c>
      <c r="H2386" s="13">
        <f>SUMIFS(Movimentacoes!$G:$G,Movimentacoes!$C:$C,$A2386,Movimentacoes!$E:$E,$C2386,Movimentacoes!$B:$B,"SAIDA_USO")</f>
        <v/>
      </c>
      <c r="I2386" s="13">
        <f>SUMIFS(Movimentacoes!$G:$G,Movimentacoes!$C:$C,$A2386,Movimentacoes!$E:$E,$C2386,Movimentacoes!$B:$B,"SAIDA_DESCARTE")</f>
        <v/>
      </c>
      <c r="J2386" s="13">
        <f>G2386-H2386-I2386</f>
        <v/>
      </c>
      <c r="K2386">
        <f>IF(A2386="","",IF(J2386&lt;=IFERROR(VLOOKUP(A2386,Cadastro_Produtos!$A:$E,5,FALSE),0),"ABAIXO DO MINIMO","OK"))</f>
        <v/>
      </c>
    </row>
    <row r="2387">
      <c r="B2387">
        <f>IFERROR(VLOOKUP(A2387,Cadastro_Produtos!A:B,2,FALSE),"")</f>
        <v/>
      </c>
      <c r="D2387" s="12" t="n"/>
      <c r="E2387" s="13">
        <f>IF(D2387="","",D2387-TODAY())</f>
        <v/>
      </c>
      <c r="F2387">
        <f>IF(D2387="","",IF(E2387&lt;0,"VENCIDO",IF(E2387&lt;=30,"VENCE EM &lt;= 30 DIAS",IF(E2387&lt;=60,"ATENCAO (31-60 DIAS)","OK"))))</f>
        <v/>
      </c>
      <c r="G2387" s="13">
        <f>SUMIFS(Movimentacoes!$G:$G,Movimentacoes!$C:$C,$A2387,Movimentacoes!$E:$E,$C2387,Movimentacoes!$B:$B,"ENTRADA")</f>
        <v/>
      </c>
      <c r="H2387" s="13">
        <f>SUMIFS(Movimentacoes!$G:$G,Movimentacoes!$C:$C,$A2387,Movimentacoes!$E:$E,$C2387,Movimentacoes!$B:$B,"SAIDA_USO")</f>
        <v/>
      </c>
      <c r="I2387" s="13">
        <f>SUMIFS(Movimentacoes!$G:$G,Movimentacoes!$C:$C,$A2387,Movimentacoes!$E:$E,$C2387,Movimentacoes!$B:$B,"SAIDA_DESCARTE")</f>
        <v/>
      </c>
      <c r="J2387" s="13">
        <f>G2387-H2387-I2387</f>
        <v/>
      </c>
      <c r="K2387">
        <f>IF(A2387="","",IF(J2387&lt;=IFERROR(VLOOKUP(A2387,Cadastro_Produtos!$A:$E,5,FALSE),0),"ABAIXO DO MINIMO","OK"))</f>
        <v/>
      </c>
    </row>
    <row r="2388">
      <c r="B2388">
        <f>IFERROR(VLOOKUP(A2388,Cadastro_Produtos!A:B,2,FALSE),"")</f>
        <v/>
      </c>
      <c r="D2388" s="12" t="n"/>
      <c r="E2388" s="13">
        <f>IF(D2388="","",D2388-TODAY())</f>
        <v/>
      </c>
      <c r="F2388">
        <f>IF(D2388="","",IF(E2388&lt;0,"VENCIDO",IF(E2388&lt;=30,"VENCE EM &lt;= 30 DIAS",IF(E2388&lt;=60,"ATENCAO (31-60 DIAS)","OK"))))</f>
        <v/>
      </c>
      <c r="G2388" s="13">
        <f>SUMIFS(Movimentacoes!$G:$G,Movimentacoes!$C:$C,$A2388,Movimentacoes!$E:$E,$C2388,Movimentacoes!$B:$B,"ENTRADA")</f>
        <v/>
      </c>
      <c r="H2388" s="13">
        <f>SUMIFS(Movimentacoes!$G:$G,Movimentacoes!$C:$C,$A2388,Movimentacoes!$E:$E,$C2388,Movimentacoes!$B:$B,"SAIDA_USO")</f>
        <v/>
      </c>
      <c r="I2388" s="13">
        <f>SUMIFS(Movimentacoes!$G:$G,Movimentacoes!$C:$C,$A2388,Movimentacoes!$E:$E,$C2388,Movimentacoes!$B:$B,"SAIDA_DESCARTE")</f>
        <v/>
      </c>
      <c r="J2388" s="13">
        <f>G2388-H2388-I2388</f>
        <v/>
      </c>
      <c r="K2388">
        <f>IF(A2388="","",IF(J2388&lt;=IFERROR(VLOOKUP(A2388,Cadastro_Produtos!$A:$E,5,FALSE),0),"ABAIXO DO MINIMO","OK"))</f>
        <v/>
      </c>
    </row>
    <row r="2389">
      <c r="B2389">
        <f>IFERROR(VLOOKUP(A2389,Cadastro_Produtos!A:B,2,FALSE),"")</f>
        <v/>
      </c>
      <c r="D2389" s="12" t="n"/>
      <c r="E2389" s="13">
        <f>IF(D2389="","",D2389-TODAY())</f>
        <v/>
      </c>
      <c r="F2389">
        <f>IF(D2389="","",IF(E2389&lt;0,"VENCIDO",IF(E2389&lt;=30,"VENCE EM &lt;= 30 DIAS",IF(E2389&lt;=60,"ATENCAO (31-60 DIAS)","OK"))))</f>
        <v/>
      </c>
      <c r="G2389" s="13">
        <f>SUMIFS(Movimentacoes!$G:$G,Movimentacoes!$C:$C,$A2389,Movimentacoes!$E:$E,$C2389,Movimentacoes!$B:$B,"ENTRADA")</f>
        <v/>
      </c>
      <c r="H2389" s="13">
        <f>SUMIFS(Movimentacoes!$G:$G,Movimentacoes!$C:$C,$A2389,Movimentacoes!$E:$E,$C2389,Movimentacoes!$B:$B,"SAIDA_USO")</f>
        <v/>
      </c>
      <c r="I2389" s="13">
        <f>SUMIFS(Movimentacoes!$G:$G,Movimentacoes!$C:$C,$A2389,Movimentacoes!$E:$E,$C2389,Movimentacoes!$B:$B,"SAIDA_DESCARTE")</f>
        <v/>
      </c>
      <c r="J2389" s="13">
        <f>G2389-H2389-I2389</f>
        <v/>
      </c>
      <c r="K2389">
        <f>IF(A2389="","",IF(J2389&lt;=IFERROR(VLOOKUP(A2389,Cadastro_Produtos!$A:$E,5,FALSE),0),"ABAIXO DO MINIMO","OK"))</f>
        <v/>
      </c>
    </row>
    <row r="2390">
      <c r="B2390">
        <f>IFERROR(VLOOKUP(A2390,Cadastro_Produtos!A:B,2,FALSE),"")</f>
        <v/>
      </c>
      <c r="D2390" s="12" t="n"/>
      <c r="E2390" s="13">
        <f>IF(D2390="","",D2390-TODAY())</f>
        <v/>
      </c>
      <c r="F2390">
        <f>IF(D2390="","",IF(E2390&lt;0,"VENCIDO",IF(E2390&lt;=30,"VENCE EM &lt;= 30 DIAS",IF(E2390&lt;=60,"ATENCAO (31-60 DIAS)","OK"))))</f>
        <v/>
      </c>
      <c r="G2390" s="13">
        <f>SUMIFS(Movimentacoes!$G:$G,Movimentacoes!$C:$C,$A2390,Movimentacoes!$E:$E,$C2390,Movimentacoes!$B:$B,"ENTRADA")</f>
        <v/>
      </c>
      <c r="H2390" s="13">
        <f>SUMIFS(Movimentacoes!$G:$G,Movimentacoes!$C:$C,$A2390,Movimentacoes!$E:$E,$C2390,Movimentacoes!$B:$B,"SAIDA_USO")</f>
        <v/>
      </c>
      <c r="I2390" s="13">
        <f>SUMIFS(Movimentacoes!$G:$G,Movimentacoes!$C:$C,$A2390,Movimentacoes!$E:$E,$C2390,Movimentacoes!$B:$B,"SAIDA_DESCARTE")</f>
        <v/>
      </c>
      <c r="J2390" s="13">
        <f>G2390-H2390-I2390</f>
        <v/>
      </c>
      <c r="K2390">
        <f>IF(A2390="","",IF(J2390&lt;=IFERROR(VLOOKUP(A2390,Cadastro_Produtos!$A:$E,5,FALSE),0),"ABAIXO DO MINIMO","OK"))</f>
        <v/>
      </c>
    </row>
    <row r="2391">
      <c r="B2391">
        <f>IFERROR(VLOOKUP(A2391,Cadastro_Produtos!A:B,2,FALSE),"")</f>
        <v/>
      </c>
      <c r="D2391" s="12" t="n"/>
      <c r="E2391" s="13">
        <f>IF(D2391="","",D2391-TODAY())</f>
        <v/>
      </c>
      <c r="F2391">
        <f>IF(D2391="","",IF(E2391&lt;0,"VENCIDO",IF(E2391&lt;=30,"VENCE EM &lt;= 30 DIAS",IF(E2391&lt;=60,"ATENCAO (31-60 DIAS)","OK"))))</f>
        <v/>
      </c>
      <c r="G2391" s="13">
        <f>SUMIFS(Movimentacoes!$G:$G,Movimentacoes!$C:$C,$A2391,Movimentacoes!$E:$E,$C2391,Movimentacoes!$B:$B,"ENTRADA")</f>
        <v/>
      </c>
      <c r="H2391" s="13">
        <f>SUMIFS(Movimentacoes!$G:$G,Movimentacoes!$C:$C,$A2391,Movimentacoes!$E:$E,$C2391,Movimentacoes!$B:$B,"SAIDA_USO")</f>
        <v/>
      </c>
      <c r="I2391" s="13">
        <f>SUMIFS(Movimentacoes!$G:$G,Movimentacoes!$C:$C,$A2391,Movimentacoes!$E:$E,$C2391,Movimentacoes!$B:$B,"SAIDA_DESCARTE")</f>
        <v/>
      </c>
      <c r="J2391" s="13">
        <f>G2391-H2391-I2391</f>
        <v/>
      </c>
      <c r="K2391">
        <f>IF(A2391="","",IF(J2391&lt;=IFERROR(VLOOKUP(A2391,Cadastro_Produtos!$A:$E,5,FALSE),0),"ABAIXO DO MINIMO","OK"))</f>
        <v/>
      </c>
    </row>
    <row r="2392">
      <c r="B2392">
        <f>IFERROR(VLOOKUP(A2392,Cadastro_Produtos!A:B,2,FALSE),"")</f>
        <v/>
      </c>
      <c r="D2392" s="12" t="n"/>
      <c r="E2392" s="13">
        <f>IF(D2392="","",D2392-TODAY())</f>
        <v/>
      </c>
      <c r="F2392">
        <f>IF(D2392="","",IF(E2392&lt;0,"VENCIDO",IF(E2392&lt;=30,"VENCE EM &lt;= 30 DIAS",IF(E2392&lt;=60,"ATENCAO (31-60 DIAS)","OK"))))</f>
        <v/>
      </c>
      <c r="G2392" s="13">
        <f>SUMIFS(Movimentacoes!$G:$G,Movimentacoes!$C:$C,$A2392,Movimentacoes!$E:$E,$C2392,Movimentacoes!$B:$B,"ENTRADA")</f>
        <v/>
      </c>
      <c r="H2392" s="13">
        <f>SUMIFS(Movimentacoes!$G:$G,Movimentacoes!$C:$C,$A2392,Movimentacoes!$E:$E,$C2392,Movimentacoes!$B:$B,"SAIDA_USO")</f>
        <v/>
      </c>
      <c r="I2392" s="13">
        <f>SUMIFS(Movimentacoes!$G:$G,Movimentacoes!$C:$C,$A2392,Movimentacoes!$E:$E,$C2392,Movimentacoes!$B:$B,"SAIDA_DESCARTE")</f>
        <v/>
      </c>
      <c r="J2392" s="13">
        <f>G2392-H2392-I2392</f>
        <v/>
      </c>
      <c r="K2392">
        <f>IF(A2392="","",IF(J2392&lt;=IFERROR(VLOOKUP(A2392,Cadastro_Produtos!$A:$E,5,FALSE),0),"ABAIXO DO MINIMO","OK"))</f>
        <v/>
      </c>
    </row>
    <row r="2393">
      <c r="B2393">
        <f>IFERROR(VLOOKUP(A2393,Cadastro_Produtos!A:B,2,FALSE),"")</f>
        <v/>
      </c>
      <c r="D2393" s="12" t="n"/>
      <c r="E2393" s="13">
        <f>IF(D2393="","",D2393-TODAY())</f>
        <v/>
      </c>
      <c r="F2393">
        <f>IF(D2393="","",IF(E2393&lt;0,"VENCIDO",IF(E2393&lt;=30,"VENCE EM &lt;= 30 DIAS",IF(E2393&lt;=60,"ATENCAO (31-60 DIAS)","OK"))))</f>
        <v/>
      </c>
      <c r="G2393" s="13">
        <f>SUMIFS(Movimentacoes!$G:$G,Movimentacoes!$C:$C,$A2393,Movimentacoes!$E:$E,$C2393,Movimentacoes!$B:$B,"ENTRADA")</f>
        <v/>
      </c>
      <c r="H2393" s="13">
        <f>SUMIFS(Movimentacoes!$G:$G,Movimentacoes!$C:$C,$A2393,Movimentacoes!$E:$E,$C2393,Movimentacoes!$B:$B,"SAIDA_USO")</f>
        <v/>
      </c>
      <c r="I2393" s="13">
        <f>SUMIFS(Movimentacoes!$G:$G,Movimentacoes!$C:$C,$A2393,Movimentacoes!$E:$E,$C2393,Movimentacoes!$B:$B,"SAIDA_DESCARTE")</f>
        <v/>
      </c>
      <c r="J2393" s="13">
        <f>G2393-H2393-I2393</f>
        <v/>
      </c>
      <c r="K2393">
        <f>IF(A2393="","",IF(J2393&lt;=IFERROR(VLOOKUP(A2393,Cadastro_Produtos!$A:$E,5,FALSE),0),"ABAIXO DO MINIMO","OK"))</f>
        <v/>
      </c>
    </row>
    <row r="2394">
      <c r="B2394">
        <f>IFERROR(VLOOKUP(A2394,Cadastro_Produtos!A:B,2,FALSE),"")</f>
        <v/>
      </c>
      <c r="D2394" s="12" t="n"/>
      <c r="E2394" s="13">
        <f>IF(D2394="","",D2394-TODAY())</f>
        <v/>
      </c>
      <c r="F2394">
        <f>IF(D2394="","",IF(E2394&lt;0,"VENCIDO",IF(E2394&lt;=30,"VENCE EM &lt;= 30 DIAS",IF(E2394&lt;=60,"ATENCAO (31-60 DIAS)","OK"))))</f>
        <v/>
      </c>
      <c r="G2394" s="13">
        <f>SUMIFS(Movimentacoes!$G:$G,Movimentacoes!$C:$C,$A2394,Movimentacoes!$E:$E,$C2394,Movimentacoes!$B:$B,"ENTRADA")</f>
        <v/>
      </c>
      <c r="H2394" s="13">
        <f>SUMIFS(Movimentacoes!$G:$G,Movimentacoes!$C:$C,$A2394,Movimentacoes!$E:$E,$C2394,Movimentacoes!$B:$B,"SAIDA_USO")</f>
        <v/>
      </c>
      <c r="I2394" s="13">
        <f>SUMIFS(Movimentacoes!$G:$G,Movimentacoes!$C:$C,$A2394,Movimentacoes!$E:$E,$C2394,Movimentacoes!$B:$B,"SAIDA_DESCARTE")</f>
        <v/>
      </c>
      <c r="J2394" s="13">
        <f>G2394-H2394-I2394</f>
        <v/>
      </c>
      <c r="K2394">
        <f>IF(A2394="","",IF(J2394&lt;=IFERROR(VLOOKUP(A2394,Cadastro_Produtos!$A:$E,5,FALSE),0),"ABAIXO DO MINIMO","OK"))</f>
        <v/>
      </c>
    </row>
    <row r="2395">
      <c r="B2395">
        <f>IFERROR(VLOOKUP(A2395,Cadastro_Produtos!A:B,2,FALSE),"")</f>
        <v/>
      </c>
      <c r="D2395" s="12" t="n"/>
      <c r="E2395" s="13">
        <f>IF(D2395="","",D2395-TODAY())</f>
        <v/>
      </c>
      <c r="F2395">
        <f>IF(D2395="","",IF(E2395&lt;0,"VENCIDO",IF(E2395&lt;=30,"VENCE EM &lt;= 30 DIAS",IF(E2395&lt;=60,"ATENCAO (31-60 DIAS)","OK"))))</f>
        <v/>
      </c>
      <c r="G2395" s="13">
        <f>SUMIFS(Movimentacoes!$G:$G,Movimentacoes!$C:$C,$A2395,Movimentacoes!$E:$E,$C2395,Movimentacoes!$B:$B,"ENTRADA")</f>
        <v/>
      </c>
      <c r="H2395" s="13">
        <f>SUMIFS(Movimentacoes!$G:$G,Movimentacoes!$C:$C,$A2395,Movimentacoes!$E:$E,$C2395,Movimentacoes!$B:$B,"SAIDA_USO")</f>
        <v/>
      </c>
      <c r="I2395" s="13">
        <f>SUMIFS(Movimentacoes!$G:$G,Movimentacoes!$C:$C,$A2395,Movimentacoes!$E:$E,$C2395,Movimentacoes!$B:$B,"SAIDA_DESCARTE")</f>
        <v/>
      </c>
      <c r="J2395" s="13">
        <f>G2395-H2395-I2395</f>
        <v/>
      </c>
      <c r="K2395">
        <f>IF(A2395="","",IF(J2395&lt;=IFERROR(VLOOKUP(A2395,Cadastro_Produtos!$A:$E,5,FALSE),0),"ABAIXO DO MINIMO","OK"))</f>
        <v/>
      </c>
    </row>
    <row r="2396">
      <c r="B2396">
        <f>IFERROR(VLOOKUP(A2396,Cadastro_Produtos!A:B,2,FALSE),"")</f>
        <v/>
      </c>
      <c r="D2396" s="12" t="n"/>
      <c r="E2396" s="13">
        <f>IF(D2396="","",D2396-TODAY())</f>
        <v/>
      </c>
      <c r="F2396">
        <f>IF(D2396="","",IF(E2396&lt;0,"VENCIDO",IF(E2396&lt;=30,"VENCE EM &lt;= 30 DIAS",IF(E2396&lt;=60,"ATENCAO (31-60 DIAS)","OK"))))</f>
        <v/>
      </c>
      <c r="G2396" s="13">
        <f>SUMIFS(Movimentacoes!$G:$G,Movimentacoes!$C:$C,$A2396,Movimentacoes!$E:$E,$C2396,Movimentacoes!$B:$B,"ENTRADA")</f>
        <v/>
      </c>
      <c r="H2396" s="13">
        <f>SUMIFS(Movimentacoes!$G:$G,Movimentacoes!$C:$C,$A2396,Movimentacoes!$E:$E,$C2396,Movimentacoes!$B:$B,"SAIDA_USO")</f>
        <v/>
      </c>
      <c r="I2396" s="13">
        <f>SUMIFS(Movimentacoes!$G:$G,Movimentacoes!$C:$C,$A2396,Movimentacoes!$E:$E,$C2396,Movimentacoes!$B:$B,"SAIDA_DESCARTE")</f>
        <v/>
      </c>
      <c r="J2396" s="13">
        <f>G2396-H2396-I2396</f>
        <v/>
      </c>
      <c r="K2396">
        <f>IF(A2396="","",IF(J2396&lt;=IFERROR(VLOOKUP(A2396,Cadastro_Produtos!$A:$E,5,FALSE),0),"ABAIXO DO MINIMO","OK"))</f>
        <v/>
      </c>
    </row>
    <row r="2397">
      <c r="B2397">
        <f>IFERROR(VLOOKUP(A2397,Cadastro_Produtos!A:B,2,FALSE),"")</f>
        <v/>
      </c>
      <c r="D2397" s="12" t="n"/>
      <c r="E2397" s="13">
        <f>IF(D2397="","",D2397-TODAY())</f>
        <v/>
      </c>
      <c r="F2397">
        <f>IF(D2397="","",IF(E2397&lt;0,"VENCIDO",IF(E2397&lt;=30,"VENCE EM &lt;= 30 DIAS",IF(E2397&lt;=60,"ATENCAO (31-60 DIAS)","OK"))))</f>
        <v/>
      </c>
      <c r="G2397" s="13">
        <f>SUMIFS(Movimentacoes!$G:$G,Movimentacoes!$C:$C,$A2397,Movimentacoes!$E:$E,$C2397,Movimentacoes!$B:$B,"ENTRADA")</f>
        <v/>
      </c>
      <c r="H2397" s="13">
        <f>SUMIFS(Movimentacoes!$G:$G,Movimentacoes!$C:$C,$A2397,Movimentacoes!$E:$E,$C2397,Movimentacoes!$B:$B,"SAIDA_USO")</f>
        <v/>
      </c>
      <c r="I2397" s="13">
        <f>SUMIFS(Movimentacoes!$G:$G,Movimentacoes!$C:$C,$A2397,Movimentacoes!$E:$E,$C2397,Movimentacoes!$B:$B,"SAIDA_DESCARTE")</f>
        <v/>
      </c>
      <c r="J2397" s="13">
        <f>G2397-H2397-I2397</f>
        <v/>
      </c>
      <c r="K2397">
        <f>IF(A2397="","",IF(J2397&lt;=IFERROR(VLOOKUP(A2397,Cadastro_Produtos!$A:$E,5,FALSE),0),"ABAIXO DO MINIMO","OK"))</f>
        <v/>
      </c>
    </row>
    <row r="2398">
      <c r="B2398">
        <f>IFERROR(VLOOKUP(A2398,Cadastro_Produtos!A:B,2,FALSE),"")</f>
        <v/>
      </c>
      <c r="D2398" s="12" t="n"/>
      <c r="E2398" s="13">
        <f>IF(D2398="","",D2398-TODAY())</f>
        <v/>
      </c>
      <c r="F2398">
        <f>IF(D2398="","",IF(E2398&lt;0,"VENCIDO",IF(E2398&lt;=30,"VENCE EM &lt;= 30 DIAS",IF(E2398&lt;=60,"ATENCAO (31-60 DIAS)","OK"))))</f>
        <v/>
      </c>
      <c r="G2398" s="13">
        <f>SUMIFS(Movimentacoes!$G:$G,Movimentacoes!$C:$C,$A2398,Movimentacoes!$E:$E,$C2398,Movimentacoes!$B:$B,"ENTRADA")</f>
        <v/>
      </c>
      <c r="H2398" s="13">
        <f>SUMIFS(Movimentacoes!$G:$G,Movimentacoes!$C:$C,$A2398,Movimentacoes!$E:$E,$C2398,Movimentacoes!$B:$B,"SAIDA_USO")</f>
        <v/>
      </c>
      <c r="I2398" s="13">
        <f>SUMIFS(Movimentacoes!$G:$G,Movimentacoes!$C:$C,$A2398,Movimentacoes!$E:$E,$C2398,Movimentacoes!$B:$B,"SAIDA_DESCARTE")</f>
        <v/>
      </c>
      <c r="J2398" s="13">
        <f>G2398-H2398-I2398</f>
        <v/>
      </c>
      <c r="K2398">
        <f>IF(A2398="","",IF(J2398&lt;=IFERROR(VLOOKUP(A2398,Cadastro_Produtos!$A:$E,5,FALSE),0),"ABAIXO DO MINIMO","OK"))</f>
        <v/>
      </c>
    </row>
    <row r="2399">
      <c r="B2399">
        <f>IFERROR(VLOOKUP(A2399,Cadastro_Produtos!A:B,2,FALSE),"")</f>
        <v/>
      </c>
      <c r="D2399" s="12" t="n"/>
      <c r="E2399" s="13">
        <f>IF(D2399="","",D2399-TODAY())</f>
        <v/>
      </c>
      <c r="F2399">
        <f>IF(D2399="","",IF(E2399&lt;0,"VENCIDO",IF(E2399&lt;=30,"VENCE EM &lt;= 30 DIAS",IF(E2399&lt;=60,"ATENCAO (31-60 DIAS)","OK"))))</f>
        <v/>
      </c>
      <c r="G2399" s="13">
        <f>SUMIFS(Movimentacoes!$G:$G,Movimentacoes!$C:$C,$A2399,Movimentacoes!$E:$E,$C2399,Movimentacoes!$B:$B,"ENTRADA")</f>
        <v/>
      </c>
      <c r="H2399" s="13">
        <f>SUMIFS(Movimentacoes!$G:$G,Movimentacoes!$C:$C,$A2399,Movimentacoes!$E:$E,$C2399,Movimentacoes!$B:$B,"SAIDA_USO")</f>
        <v/>
      </c>
      <c r="I2399" s="13">
        <f>SUMIFS(Movimentacoes!$G:$G,Movimentacoes!$C:$C,$A2399,Movimentacoes!$E:$E,$C2399,Movimentacoes!$B:$B,"SAIDA_DESCARTE")</f>
        <v/>
      </c>
      <c r="J2399" s="13">
        <f>G2399-H2399-I2399</f>
        <v/>
      </c>
      <c r="K2399">
        <f>IF(A2399="","",IF(J2399&lt;=IFERROR(VLOOKUP(A2399,Cadastro_Produtos!$A:$E,5,FALSE),0),"ABAIXO DO MINIMO","OK"))</f>
        <v/>
      </c>
    </row>
    <row r="2400">
      <c r="B2400">
        <f>IFERROR(VLOOKUP(A2400,Cadastro_Produtos!A:B,2,FALSE),"")</f>
        <v/>
      </c>
      <c r="D2400" s="12" t="n"/>
      <c r="E2400" s="13">
        <f>IF(D2400="","",D2400-TODAY())</f>
        <v/>
      </c>
      <c r="F2400">
        <f>IF(D2400="","",IF(E2400&lt;0,"VENCIDO",IF(E2400&lt;=30,"VENCE EM &lt;= 30 DIAS",IF(E2400&lt;=60,"ATENCAO (31-60 DIAS)","OK"))))</f>
        <v/>
      </c>
      <c r="G2400" s="13">
        <f>SUMIFS(Movimentacoes!$G:$G,Movimentacoes!$C:$C,$A2400,Movimentacoes!$E:$E,$C2400,Movimentacoes!$B:$B,"ENTRADA")</f>
        <v/>
      </c>
      <c r="H2400" s="13">
        <f>SUMIFS(Movimentacoes!$G:$G,Movimentacoes!$C:$C,$A2400,Movimentacoes!$E:$E,$C2400,Movimentacoes!$B:$B,"SAIDA_USO")</f>
        <v/>
      </c>
      <c r="I2400" s="13">
        <f>SUMIFS(Movimentacoes!$G:$G,Movimentacoes!$C:$C,$A2400,Movimentacoes!$E:$E,$C2400,Movimentacoes!$B:$B,"SAIDA_DESCARTE")</f>
        <v/>
      </c>
      <c r="J2400" s="13">
        <f>G2400-H2400-I2400</f>
        <v/>
      </c>
      <c r="K2400">
        <f>IF(A2400="","",IF(J2400&lt;=IFERROR(VLOOKUP(A2400,Cadastro_Produtos!$A:$E,5,FALSE),0),"ABAIXO DO MINIMO","OK"))</f>
        <v/>
      </c>
    </row>
    <row r="2401">
      <c r="B2401">
        <f>IFERROR(VLOOKUP(A2401,Cadastro_Produtos!A:B,2,FALSE),"")</f>
        <v/>
      </c>
      <c r="D2401" s="12" t="n"/>
      <c r="E2401" s="13">
        <f>IF(D2401="","",D2401-TODAY())</f>
        <v/>
      </c>
      <c r="F2401">
        <f>IF(D2401="","",IF(E2401&lt;0,"VENCIDO",IF(E2401&lt;=30,"VENCE EM &lt;= 30 DIAS",IF(E2401&lt;=60,"ATENCAO (31-60 DIAS)","OK"))))</f>
        <v/>
      </c>
      <c r="G2401" s="13">
        <f>SUMIFS(Movimentacoes!$G:$G,Movimentacoes!$C:$C,$A2401,Movimentacoes!$E:$E,$C2401,Movimentacoes!$B:$B,"ENTRADA")</f>
        <v/>
      </c>
      <c r="H2401" s="13">
        <f>SUMIFS(Movimentacoes!$G:$G,Movimentacoes!$C:$C,$A2401,Movimentacoes!$E:$E,$C2401,Movimentacoes!$B:$B,"SAIDA_USO")</f>
        <v/>
      </c>
      <c r="I2401" s="13">
        <f>SUMIFS(Movimentacoes!$G:$G,Movimentacoes!$C:$C,$A2401,Movimentacoes!$E:$E,$C2401,Movimentacoes!$B:$B,"SAIDA_DESCARTE")</f>
        <v/>
      </c>
      <c r="J2401" s="13">
        <f>G2401-H2401-I2401</f>
        <v/>
      </c>
      <c r="K2401">
        <f>IF(A2401="","",IF(J2401&lt;=IFERROR(VLOOKUP(A2401,Cadastro_Produtos!$A:$E,5,FALSE),0),"ABAIXO DO MINIMO","OK"))</f>
        <v/>
      </c>
    </row>
    <row r="2402">
      <c r="B2402">
        <f>IFERROR(VLOOKUP(A2402,Cadastro_Produtos!A:B,2,FALSE),"")</f>
        <v/>
      </c>
      <c r="D2402" s="12" t="n"/>
      <c r="E2402" s="13">
        <f>IF(D2402="","",D2402-TODAY())</f>
        <v/>
      </c>
      <c r="F2402">
        <f>IF(D2402="","",IF(E2402&lt;0,"VENCIDO",IF(E2402&lt;=30,"VENCE EM &lt;= 30 DIAS",IF(E2402&lt;=60,"ATENCAO (31-60 DIAS)","OK"))))</f>
        <v/>
      </c>
      <c r="G2402" s="13">
        <f>SUMIFS(Movimentacoes!$G:$G,Movimentacoes!$C:$C,$A2402,Movimentacoes!$E:$E,$C2402,Movimentacoes!$B:$B,"ENTRADA")</f>
        <v/>
      </c>
      <c r="H2402" s="13">
        <f>SUMIFS(Movimentacoes!$G:$G,Movimentacoes!$C:$C,$A2402,Movimentacoes!$E:$E,$C2402,Movimentacoes!$B:$B,"SAIDA_USO")</f>
        <v/>
      </c>
      <c r="I2402" s="13">
        <f>SUMIFS(Movimentacoes!$G:$G,Movimentacoes!$C:$C,$A2402,Movimentacoes!$E:$E,$C2402,Movimentacoes!$B:$B,"SAIDA_DESCARTE")</f>
        <v/>
      </c>
      <c r="J2402" s="13">
        <f>G2402-H2402-I2402</f>
        <v/>
      </c>
      <c r="K2402">
        <f>IF(A2402="","",IF(J2402&lt;=IFERROR(VLOOKUP(A2402,Cadastro_Produtos!$A:$E,5,FALSE),0),"ABAIXO DO MINIMO","OK"))</f>
        <v/>
      </c>
    </row>
    <row r="2403">
      <c r="B2403">
        <f>IFERROR(VLOOKUP(A2403,Cadastro_Produtos!A:B,2,FALSE),"")</f>
        <v/>
      </c>
      <c r="D2403" s="12" t="n"/>
      <c r="E2403" s="13">
        <f>IF(D2403="","",D2403-TODAY())</f>
        <v/>
      </c>
      <c r="F2403">
        <f>IF(D2403="","",IF(E2403&lt;0,"VENCIDO",IF(E2403&lt;=30,"VENCE EM &lt;= 30 DIAS",IF(E2403&lt;=60,"ATENCAO (31-60 DIAS)","OK"))))</f>
        <v/>
      </c>
      <c r="G2403" s="13">
        <f>SUMIFS(Movimentacoes!$G:$G,Movimentacoes!$C:$C,$A2403,Movimentacoes!$E:$E,$C2403,Movimentacoes!$B:$B,"ENTRADA")</f>
        <v/>
      </c>
      <c r="H2403" s="13">
        <f>SUMIFS(Movimentacoes!$G:$G,Movimentacoes!$C:$C,$A2403,Movimentacoes!$E:$E,$C2403,Movimentacoes!$B:$B,"SAIDA_USO")</f>
        <v/>
      </c>
      <c r="I2403" s="13">
        <f>SUMIFS(Movimentacoes!$G:$G,Movimentacoes!$C:$C,$A2403,Movimentacoes!$E:$E,$C2403,Movimentacoes!$B:$B,"SAIDA_DESCARTE")</f>
        <v/>
      </c>
      <c r="J2403" s="13">
        <f>G2403-H2403-I2403</f>
        <v/>
      </c>
      <c r="K2403">
        <f>IF(A2403="","",IF(J2403&lt;=IFERROR(VLOOKUP(A2403,Cadastro_Produtos!$A:$E,5,FALSE),0),"ABAIXO DO MINIMO","OK"))</f>
        <v/>
      </c>
    </row>
    <row r="2404">
      <c r="B2404">
        <f>IFERROR(VLOOKUP(A2404,Cadastro_Produtos!A:B,2,FALSE),"")</f>
        <v/>
      </c>
      <c r="D2404" s="12" t="n"/>
      <c r="E2404" s="13">
        <f>IF(D2404="","",D2404-TODAY())</f>
        <v/>
      </c>
      <c r="F2404">
        <f>IF(D2404="","",IF(E2404&lt;0,"VENCIDO",IF(E2404&lt;=30,"VENCE EM &lt;= 30 DIAS",IF(E2404&lt;=60,"ATENCAO (31-60 DIAS)","OK"))))</f>
        <v/>
      </c>
      <c r="G2404" s="13">
        <f>SUMIFS(Movimentacoes!$G:$G,Movimentacoes!$C:$C,$A2404,Movimentacoes!$E:$E,$C2404,Movimentacoes!$B:$B,"ENTRADA")</f>
        <v/>
      </c>
      <c r="H2404" s="13">
        <f>SUMIFS(Movimentacoes!$G:$G,Movimentacoes!$C:$C,$A2404,Movimentacoes!$E:$E,$C2404,Movimentacoes!$B:$B,"SAIDA_USO")</f>
        <v/>
      </c>
      <c r="I2404" s="13">
        <f>SUMIFS(Movimentacoes!$G:$G,Movimentacoes!$C:$C,$A2404,Movimentacoes!$E:$E,$C2404,Movimentacoes!$B:$B,"SAIDA_DESCARTE")</f>
        <v/>
      </c>
      <c r="J2404" s="13">
        <f>G2404-H2404-I2404</f>
        <v/>
      </c>
      <c r="K2404">
        <f>IF(A2404="","",IF(J2404&lt;=IFERROR(VLOOKUP(A2404,Cadastro_Produtos!$A:$E,5,FALSE),0),"ABAIXO DO MINIMO","OK"))</f>
        <v/>
      </c>
    </row>
    <row r="2405">
      <c r="B2405">
        <f>IFERROR(VLOOKUP(A2405,Cadastro_Produtos!A:B,2,FALSE),"")</f>
        <v/>
      </c>
      <c r="D2405" s="12" t="n"/>
      <c r="E2405" s="13">
        <f>IF(D2405="","",D2405-TODAY())</f>
        <v/>
      </c>
      <c r="F2405">
        <f>IF(D2405="","",IF(E2405&lt;0,"VENCIDO",IF(E2405&lt;=30,"VENCE EM &lt;= 30 DIAS",IF(E2405&lt;=60,"ATENCAO (31-60 DIAS)","OK"))))</f>
        <v/>
      </c>
      <c r="G2405" s="13">
        <f>SUMIFS(Movimentacoes!$G:$G,Movimentacoes!$C:$C,$A2405,Movimentacoes!$E:$E,$C2405,Movimentacoes!$B:$B,"ENTRADA")</f>
        <v/>
      </c>
      <c r="H2405" s="13">
        <f>SUMIFS(Movimentacoes!$G:$G,Movimentacoes!$C:$C,$A2405,Movimentacoes!$E:$E,$C2405,Movimentacoes!$B:$B,"SAIDA_USO")</f>
        <v/>
      </c>
      <c r="I2405" s="13">
        <f>SUMIFS(Movimentacoes!$G:$G,Movimentacoes!$C:$C,$A2405,Movimentacoes!$E:$E,$C2405,Movimentacoes!$B:$B,"SAIDA_DESCARTE")</f>
        <v/>
      </c>
      <c r="J2405" s="13">
        <f>G2405-H2405-I2405</f>
        <v/>
      </c>
      <c r="K2405">
        <f>IF(A2405="","",IF(J2405&lt;=IFERROR(VLOOKUP(A2405,Cadastro_Produtos!$A:$E,5,FALSE),0),"ABAIXO DO MINIMO","OK"))</f>
        <v/>
      </c>
    </row>
    <row r="2406">
      <c r="B2406">
        <f>IFERROR(VLOOKUP(A2406,Cadastro_Produtos!A:B,2,FALSE),"")</f>
        <v/>
      </c>
      <c r="D2406" s="12" t="n"/>
      <c r="E2406" s="13">
        <f>IF(D2406="","",D2406-TODAY())</f>
        <v/>
      </c>
      <c r="F2406">
        <f>IF(D2406="","",IF(E2406&lt;0,"VENCIDO",IF(E2406&lt;=30,"VENCE EM &lt;= 30 DIAS",IF(E2406&lt;=60,"ATENCAO (31-60 DIAS)","OK"))))</f>
        <v/>
      </c>
      <c r="G2406" s="13">
        <f>SUMIFS(Movimentacoes!$G:$G,Movimentacoes!$C:$C,$A2406,Movimentacoes!$E:$E,$C2406,Movimentacoes!$B:$B,"ENTRADA")</f>
        <v/>
      </c>
      <c r="H2406" s="13">
        <f>SUMIFS(Movimentacoes!$G:$G,Movimentacoes!$C:$C,$A2406,Movimentacoes!$E:$E,$C2406,Movimentacoes!$B:$B,"SAIDA_USO")</f>
        <v/>
      </c>
      <c r="I2406" s="13">
        <f>SUMIFS(Movimentacoes!$G:$G,Movimentacoes!$C:$C,$A2406,Movimentacoes!$E:$E,$C2406,Movimentacoes!$B:$B,"SAIDA_DESCARTE")</f>
        <v/>
      </c>
      <c r="J2406" s="13">
        <f>G2406-H2406-I2406</f>
        <v/>
      </c>
      <c r="K2406">
        <f>IF(A2406="","",IF(J2406&lt;=IFERROR(VLOOKUP(A2406,Cadastro_Produtos!$A:$E,5,FALSE),0),"ABAIXO DO MINIMO","OK"))</f>
        <v/>
      </c>
    </row>
    <row r="2407">
      <c r="B2407">
        <f>IFERROR(VLOOKUP(A2407,Cadastro_Produtos!A:B,2,FALSE),"")</f>
        <v/>
      </c>
      <c r="D2407" s="12" t="n"/>
      <c r="E2407" s="13">
        <f>IF(D2407="","",D2407-TODAY())</f>
        <v/>
      </c>
      <c r="F2407">
        <f>IF(D2407="","",IF(E2407&lt;0,"VENCIDO",IF(E2407&lt;=30,"VENCE EM &lt;= 30 DIAS",IF(E2407&lt;=60,"ATENCAO (31-60 DIAS)","OK"))))</f>
        <v/>
      </c>
      <c r="G2407" s="13">
        <f>SUMIFS(Movimentacoes!$G:$G,Movimentacoes!$C:$C,$A2407,Movimentacoes!$E:$E,$C2407,Movimentacoes!$B:$B,"ENTRADA")</f>
        <v/>
      </c>
      <c r="H2407" s="13">
        <f>SUMIFS(Movimentacoes!$G:$G,Movimentacoes!$C:$C,$A2407,Movimentacoes!$E:$E,$C2407,Movimentacoes!$B:$B,"SAIDA_USO")</f>
        <v/>
      </c>
      <c r="I2407" s="13">
        <f>SUMIFS(Movimentacoes!$G:$G,Movimentacoes!$C:$C,$A2407,Movimentacoes!$E:$E,$C2407,Movimentacoes!$B:$B,"SAIDA_DESCARTE")</f>
        <v/>
      </c>
      <c r="J2407" s="13">
        <f>G2407-H2407-I2407</f>
        <v/>
      </c>
      <c r="K2407">
        <f>IF(A2407="","",IF(J2407&lt;=IFERROR(VLOOKUP(A2407,Cadastro_Produtos!$A:$E,5,FALSE),0),"ABAIXO DO MINIMO","OK"))</f>
        <v/>
      </c>
    </row>
    <row r="2408">
      <c r="B2408">
        <f>IFERROR(VLOOKUP(A2408,Cadastro_Produtos!A:B,2,FALSE),"")</f>
        <v/>
      </c>
      <c r="D2408" s="12" t="n"/>
      <c r="E2408" s="13">
        <f>IF(D2408="","",D2408-TODAY())</f>
        <v/>
      </c>
      <c r="F2408">
        <f>IF(D2408="","",IF(E2408&lt;0,"VENCIDO",IF(E2408&lt;=30,"VENCE EM &lt;= 30 DIAS",IF(E2408&lt;=60,"ATENCAO (31-60 DIAS)","OK"))))</f>
        <v/>
      </c>
      <c r="G2408" s="13">
        <f>SUMIFS(Movimentacoes!$G:$G,Movimentacoes!$C:$C,$A2408,Movimentacoes!$E:$E,$C2408,Movimentacoes!$B:$B,"ENTRADA")</f>
        <v/>
      </c>
      <c r="H2408" s="13">
        <f>SUMIFS(Movimentacoes!$G:$G,Movimentacoes!$C:$C,$A2408,Movimentacoes!$E:$E,$C2408,Movimentacoes!$B:$B,"SAIDA_USO")</f>
        <v/>
      </c>
      <c r="I2408" s="13">
        <f>SUMIFS(Movimentacoes!$G:$G,Movimentacoes!$C:$C,$A2408,Movimentacoes!$E:$E,$C2408,Movimentacoes!$B:$B,"SAIDA_DESCARTE")</f>
        <v/>
      </c>
      <c r="J2408" s="13">
        <f>G2408-H2408-I2408</f>
        <v/>
      </c>
      <c r="K2408">
        <f>IF(A2408="","",IF(J2408&lt;=IFERROR(VLOOKUP(A2408,Cadastro_Produtos!$A:$E,5,FALSE),0),"ABAIXO DO MINIMO","OK"))</f>
        <v/>
      </c>
    </row>
    <row r="2409">
      <c r="B2409">
        <f>IFERROR(VLOOKUP(A2409,Cadastro_Produtos!A:B,2,FALSE),"")</f>
        <v/>
      </c>
      <c r="D2409" s="12" t="n"/>
      <c r="E2409" s="13">
        <f>IF(D2409="","",D2409-TODAY())</f>
        <v/>
      </c>
      <c r="F2409">
        <f>IF(D2409="","",IF(E2409&lt;0,"VENCIDO",IF(E2409&lt;=30,"VENCE EM &lt;= 30 DIAS",IF(E2409&lt;=60,"ATENCAO (31-60 DIAS)","OK"))))</f>
        <v/>
      </c>
      <c r="G2409" s="13">
        <f>SUMIFS(Movimentacoes!$G:$G,Movimentacoes!$C:$C,$A2409,Movimentacoes!$E:$E,$C2409,Movimentacoes!$B:$B,"ENTRADA")</f>
        <v/>
      </c>
      <c r="H2409" s="13">
        <f>SUMIFS(Movimentacoes!$G:$G,Movimentacoes!$C:$C,$A2409,Movimentacoes!$E:$E,$C2409,Movimentacoes!$B:$B,"SAIDA_USO")</f>
        <v/>
      </c>
      <c r="I2409" s="13">
        <f>SUMIFS(Movimentacoes!$G:$G,Movimentacoes!$C:$C,$A2409,Movimentacoes!$E:$E,$C2409,Movimentacoes!$B:$B,"SAIDA_DESCARTE")</f>
        <v/>
      </c>
      <c r="J2409" s="13">
        <f>G2409-H2409-I2409</f>
        <v/>
      </c>
      <c r="K2409">
        <f>IF(A2409="","",IF(J2409&lt;=IFERROR(VLOOKUP(A2409,Cadastro_Produtos!$A:$E,5,FALSE),0),"ABAIXO DO MINIMO","OK"))</f>
        <v/>
      </c>
    </row>
    <row r="2410">
      <c r="B2410">
        <f>IFERROR(VLOOKUP(A2410,Cadastro_Produtos!A:B,2,FALSE),"")</f>
        <v/>
      </c>
      <c r="D2410" s="12" t="n"/>
      <c r="E2410" s="13">
        <f>IF(D2410="","",D2410-TODAY())</f>
        <v/>
      </c>
      <c r="F2410">
        <f>IF(D2410="","",IF(E2410&lt;0,"VENCIDO",IF(E2410&lt;=30,"VENCE EM &lt;= 30 DIAS",IF(E2410&lt;=60,"ATENCAO (31-60 DIAS)","OK"))))</f>
        <v/>
      </c>
      <c r="G2410" s="13">
        <f>SUMIFS(Movimentacoes!$G:$G,Movimentacoes!$C:$C,$A2410,Movimentacoes!$E:$E,$C2410,Movimentacoes!$B:$B,"ENTRADA")</f>
        <v/>
      </c>
      <c r="H2410" s="13">
        <f>SUMIFS(Movimentacoes!$G:$G,Movimentacoes!$C:$C,$A2410,Movimentacoes!$E:$E,$C2410,Movimentacoes!$B:$B,"SAIDA_USO")</f>
        <v/>
      </c>
      <c r="I2410" s="13">
        <f>SUMIFS(Movimentacoes!$G:$G,Movimentacoes!$C:$C,$A2410,Movimentacoes!$E:$E,$C2410,Movimentacoes!$B:$B,"SAIDA_DESCARTE")</f>
        <v/>
      </c>
      <c r="J2410" s="13">
        <f>G2410-H2410-I2410</f>
        <v/>
      </c>
      <c r="K2410">
        <f>IF(A2410="","",IF(J2410&lt;=IFERROR(VLOOKUP(A2410,Cadastro_Produtos!$A:$E,5,FALSE),0),"ABAIXO DO MINIMO","OK"))</f>
        <v/>
      </c>
    </row>
    <row r="2411">
      <c r="B2411">
        <f>IFERROR(VLOOKUP(A2411,Cadastro_Produtos!A:B,2,FALSE),"")</f>
        <v/>
      </c>
      <c r="D2411" s="12" t="n"/>
      <c r="E2411" s="13">
        <f>IF(D2411="","",D2411-TODAY())</f>
        <v/>
      </c>
      <c r="F2411">
        <f>IF(D2411="","",IF(E2411&lt;0,"VENCIDO",IF(E2411&lt;=30,"VENCE EM &lt;= 30 DIAS",IF(E2411&lt;=60,"ATENCAO (31-60 DIAS)","OK"))))</f>
        <v/>
      </c>
      <c r="G2411" s="13">
        <f>SUMIFS(Movimentacoes!$G:$G,Movimentacoes!$C:$C,$A2411,Movimentacoes!$E:$E,$C2411,Movimentacoes!$B:$B,"ENTRADA")</f>
        <v/>
      </c>
      <c r="H2411" s="13">
        <f>SUMIFS(Movimentacoes!$G:$G,Movimentacoes!$C:$C,$A2411,Movimentacoes!$E:$E,$C2411,Movimentacoes!$B:$B,"SAIDA_USO")</f>
        <v/>
      </c>
      <c r="I2411" s="13">
        <f>SUMIFS(Movimentacoes!$G:$G,Movimentacoes!$C:$C,$A2411,Movimentacoes!$E:$E,$C2411,Movimentacoes!$B:$B,"SAIDA_DESCARTE")</f>
        <v/>
      </c>
      <c r="J2411" s="13">
        <f>G2411-H2411-I2411</f>
        <v/>
      </c>
      <c r="K2411">
        <f>IF(A2411="","",IF(J2411&lt;=IFERROR(VLOOKUP(A2411,Cadastro_Produtos!$A:$E,5,FALSE),0),"ABAIXO DO MINIMO","OK"))</f>
        <v/>
      </c>
    </row>
    <row r="2412">
      <c r="B2412">
        <f>IFERROR(VLOOKUP(A2412,Cadastro_Produtos!A:B,2,FALSE),"")</f>
        <v/>
      </c>
      <c r="D2412" s="12" t="n"/>
      <c r="E2412" s="13">
        <f>IF(D2412="","",D2412-TODAY())</f>
        <v/>
      </c>
      <c r="F2412">
        <f>IF(D2412="","",IF(E2412&lt;0,"VENCIDO",IF(E2412&lt;=30,"VENCE EM &lt;= 30 DIAS",IF(E2412&lt;=60,"ATENCAO (31-60 DIAS)","OK"))))</f>
        <v/>
      </c>
      <c r="G2412" s="13">
        <f>SUMIFS(Movimentacoes!$G:$G,Movimentacoes!$C:$C,$A2412,Movimentacoes!$E:$E,$C2412,Movimentacoes!$B:$B,"ENTRADA")</f>
        <v/>
      </c>
      <c r="H2412" s="13">
        <f>SUMIFS(Movimentacoes!$G:$G,Movimentacoes!$C:$C,$A2412,Movimentacoes!$E:$E,$C2412,Movimentacoes!$B:$B,"SAIDA_USO")</f>
        <v/>
      </c>
      <c r="I2412" s="13">
        <f>SUMIFS(Movimentacoes!$G:$G,Movimentacoes!$C:$C,$A2412,Movimentacoes!$E:$E,$C2412,Movimentacoes!$B:$B,"SAIDA_DESCARTE")</f>
        <v/>
      </c>
      <c r="J2412" s="13">
        <f>G2412-H2412-I2412</f>
        <v/>
      </c>
      <c r="K2412">
        <f>IF(A2412="","",IF(J2412&lt;=IFERROR(VLOOKUP(A2412,Cadastro_Produtos!$A:$E,5,FALSE),0),"ABAIXO DO MINIMO","OK"))</f>
        <v/>
      </c>
    </row>
    <row r="2413">
      <c r="B2413">
        <f>IFERROR(VLOOKUP(A2413,Cadastro_Produtos!A:B,2,FALSE),"")</f>
        <v/>
      </c>
      <c r="D2413" s="12" t="n"/>
      <c r="E2413" s="13">
        <f>IF(D2413="","",D2413-TODAY())</f>
        <v/>
      </c>
      <c r="F2413">
        <f>IF(D2413="","",IF(E2413&lt;0,"VENCIDO",IF(E2413&lt;=30,"VENCE EM &lt;= 30 DIAS",IF(E2413&lt;=60,"ATENCAO (31-60 DIAS)","OK"))))</f>
        <v/>
      </c>
      <c r="G2413" s="13">
        <f>SUMIFS(Movimentacoes!$G:$G,Movimentacoes!$C:$C,$A2413,Movimentacoes!$E:$E,$C2413,Movimentacoes!$B:$B,"ENTRADA")</f>
        <v/>
      </c>
      <c r="H2413" s="13">
        <f>SUMIFS(Movimentacoes!$G:$G,Movimentacoes!$C:$C,$A2413,Movimentacoes!$E:$E,$C2413,Movimentacoes!$B:$B,"SAIDA_USO")</f>
        <v/>
      </c>
      <c r="I2413" s="13">
        <f>SUMIFS(Movimentacoes!$G:$G,Movimentacoes!$C:$C,$A2413,Movimentacoes!$E:$E,$C2413,Movimentacoes!$B:$B,"SAIDA_DESCARTE")</f>
        <v/>
      </c>
      <c r="J2413" s="13">
        <f>G2413-H2413-I2413</f>
        <v/>
      </c>
      <c r="K2413">
        <f>IF(A2413="","",IF(J2413&lt;=IFERROR(VLOOKUP(A2413,Cadastro_Produtos!$A:$E,5,FALSE),0),"ABAIXO DO MINIMO","OK"))</f>
        <v/>
      </c>
    </row>
    <row r="2414">
      <c r="B2414">
        <f>IFERROR(VLOOKUP(A2414,Cadastro_Produtos!A:B,2,FALSE),"")</f>
        <v/>
      </c>
      <c r="D2414" s="12" t="n"/>
      <c r="E2414" s="13">
        <f>IF(D2414="","",D2414-TODAY())</f>
        <v/>
      </c>
      <c r="F2414">
        <f>IF(D2414="","",IF(E2414&lt;0,"VENCIDO",IF(E2414&lt;=30,"VENCE EM &lt;= 30 DIAS",IF(E2414&lt;=60,"ATENCAO (31-60 DIAS)","OK"))))</f>
        <v/>
      </c>
      <c r="G2414" s="13">
        <f>SUMIFS(Movimentacoes!$G:$G,Movimentacoes!$C:$C,$A2414,Movimentacoes!$E:$E,$C2414,Movimentacoes!$B:$B,"ENTRADA")</f>
        <v/>
      </c>
      <c r="H2414" s="13">
        <f>SUMIFS(Movimentacoes!$G:$G,Movimentacoes!$C:$C,$A2414,Movimentacoes!$E:$E,$C2414,Movimentacoes!$B:$B,"SAIDA_USO")</f>
        <v/>
      </c>
      <c r="I2414" s="13">
        <f>SUMIFS(Movimentacoes!$G:$G,Movimentacoes!$C:$C,$A2414,Movimentacoes!$E:$E,$C2414,Movimentacoes!$B:$B,"SAIDA_DESCARTE")</f>
        <v/>
      </c>
      <c r="J2414" s="13">
        <f>G2414-H2414-I2414</f>
        <v/>
      </c>
      <c r="K2414">
        <f>IF(A2414="","",IF(J2414&lt;=IFERROR(VLOOKUP(A2414,Cadastro_Produtos!$A:$E,5,FALSE),0),"ABAIXO DO MINIMO","OK"))</f>
        <v/>
      </c>
    </row>
    <row r="2415">
      <c r="B2415">
        <f>IFERROR(VLOOKUP(A2415,Cadastro_Produtos!A:B,2,FALSE),"")</f>
        <v/>
      </c>
      <c r="D2415" s="12" t="n"/>
      <c r="E2415" s="13">
        <f>IF(D2415="","",D2415-TODAY())</f>
        <v/>
      </c>
      <c r="F2415">
        <f>IF(D2415="","",IF(E2415&lt;0,"VENCIDO",IF(E2415&lt;=30,"VENCE EM &lt;= 30 DIAS",IF(E2415&lt;=60,"ATENCAO (31-60 DIAS)","OK"))))</f>
        <v/>
      </c>
      <c r="G2415" s="13">
        <f>SUMIFS(Movimentacoes!$G:$G,Movimentacoes!$C:$C,$A2415,Movimentacoes!$E:$E,$C2415,Movimentacoes!$B:$B,"ENTRADA")</f>
        <v/>
      </c>
      <c r="H2415" s="13">
        <f>SUMIFS(Movimentacoes!$G:$G,Movimentacoes!$C:$C,$A2415,Movimentacoes!$E:$E,$C2415,Movimentacoes!$B:$B,"SAIDA_USO")</f>
        <v/>
      </c>
      <c r="I2415" s="13">
        <f>SUMIFS(Movimentacoes!$G:$G,Movimentacoes!$C:$C,$A2415,Movimentacoes!$E:$E,$C2415,Movimentacoes!$B:$B,"SAIDA_DESCARTE")</f>
        <v/>
      </c>
      <c r="J2415" s="13">
        <f>G2415-H2415-I2415</f>
        <v/>
      </c>
      <c r="K2415">
        <f>IF(A2415="","",IF(J2415&lt;=IFERROR(VLOOKUP(A2415,Cadastro_Produtos!$A:$E,5,FALSE),0),"ABAIXO DO MINIMO","OK"))</f>
        <v/>
      </c>
    </row>
    <row r="2416">
      <c r="B2416">
        <f>IFERROR(VLOOKUP(A2416,Cadastro_Produtos!A:B,2,FALSE),"")</f>
        <v/>
      </c>
      <c r="D2416" s="12" t="n"/>
      <c r="E2416" s="13">
        <f>IF(D2416="","",D2416-TODAY())</f>
        <v/>
      </c>
      <c r="F2416">
        <f>IF(D2416="","",IF(E2416&lt;0,"VENCIDO",IF(E2416&lt;=30,"VENCE EM &lt;= 30 DIAS",IF(E2416&lt;=60,"ATENCAO (31-60 DIAS)","OK"))))</f>
        <v/>
      </c>
      <c r="G2416" s="13">
        <f>SUMIFS(Movimentacoes!$G:$G,Movimentacoes!$C:$C,$A2416,Movimentacoes!$E:$E,$C2416,Movimentacoes!$B:$B,"ENTRADA")</f>
        <v/>
      </c>
      <c r="H2416" s="13">
        <f>SUMIFS(Movimentacoes!$G:$G,Movimentacoes!$C:$C,$A2416,Movimentacoes!$E:$E,$C2416,Movimentacoes!$B:$B,"SAIDA_USO")</f>
        <v/>
      </c>
      <c r="I2416" s="13">
        <f>SUMIFS(Movimentacoes!$G:$G,Movimentacoes!$C:$C,$A2416,Movimentacoes!$E:$E,$C2416,Movimentacoes!$B:$B,"SAIDA_DESCARTE")</f>
        <v/>
      </c>
      <c r="J2416" s="13">
        <f>G2416-H2416-I2416</f>
        <v/>
      </c>
      <c r="K2416">
        <f>IF(A2416="","",IF(J2416&lt;=IFERROR(VLOOKUP(A2416,Cadastro_Produtos!$A:$E,5,FALSE),0),"ABAIXO DO MINIMO","OK"))</f>
        <v/>
      </c>
    </row>
    <row r="2417">
      <c r="B2417">
        <f>IFERROR(VLOOKUP(A2417,Cadastro_Produtos!A:B,2,FALSE),"")</f>
        <v/>
      </c>
      <c r="D2417" s="12" t="n"/>
      <c r="E2417" s="13">
        <f>IF(D2417="","",D2417-TODAY())</f>
        <v/>
      </c>
      <c r="F2417">
        <f>IF(D2417="","",IF(E2417&lt;0,"VENCIDO",IF(E2417&lt;=30,"VENCE EM &lt;= 30 DIAS",IF(E2417&lt;=60,"ATENCAO (31-60 DIAS)","OK"))))</f>
        <v/>
      </c>
      <c r="G2417" s="13">
        <f>SUMIFS(Movimentacoes!$G:$G,Movimentacoes!$C:$C,$A2417,Movimentacoes!$E:$E,$C2417,Movimentacoes!$B:$B,"ENTRADA")</f>
        <v/>
      </c>
      <c r="H2417" s="13">
        <f>SUMIFS(Movimentacoes!$G:$G,Movimentacoes!$C:$C,$A2417,Movimentacoes!$E:$E,$C2417,Movimentacoes!$B:$B,"SAIDA_USO")</f>
        <v/>
      </c>
      <c r="I2417" s="13">
        <f>SUMIFS(Movimentacoes!$G:$G,Movimentacoes!$C:$C,$A2417,Movimentacoes!$E:$E,$C2417,Movimentacoes!$B:$B,"SAIDA_DESCARTE")</f>
        <v/>
      </c>
      <c r="J2417" s="13">
        <f>G2417-H2417-I2417</f>
        <v/>
      </c>
      <c r="K2417">
        <f>IF(A2417="","",IF(J2417&lt;=IFERROR(VLOOKUP(A2417,Cadastro_Produtos!$A:$E,5,FALSE),0),"ABAIXO DO MINIMO","OK"))</f>
        <v/>
      </c>
    </row>
    <row r="2418">
      <c r="B2418">
        <f>IFERROR(VLOOKUP(A2418,Cadastro_Produtos!A:B,2,FALSE),"")</f>
        <v/>
      </c>
      <c r="D2418" s="12" t="n"/>
      <c r="E2418" s="13">
        <f>IF(D2418="","",D2418-TODAY())</f>
        <v/>
      </c>
      <c r="F2418">
        <f>IF(D2418="","",IF(E2418&lt;0,"VENCIDO",IF(E2418&lt;=30,"VENCE EM &lt;= 30 DIAS",IF(E2418&lt;=60,"ATENCAO (31-60 DIAS)","OK"))))</f>
        <v/>
      </c>
      <c r="G2418" s="13">
        <f>SUMIFS(Movimentacoes!$G:$G,Movimentacoes!$C:$C,$A2418,Movimentacoes!$E:$E,$C2418,Movimentacoes!$B:$B,"ENTRADA")</f>
        <v/>
      </c>
      <c r="H2418" s="13">
        <f>SUMIFS(Movimentacoes!$G:$G,Movimentacoes!$C:$C,$A2418,Movimentacoes!$E:$E,$C2418,Movimentacoes!$B:$B,"SAIDA_USO")</f>
        <v/>
      </c>
      <c r="I2418" s="13">
        <f>SUMIFS(Movimentacoes!$G:$G,Movimentacoes!$C:$C,$A2418,Movimentacoes!$E:$E,$C2418,Movimentacoes!$B:$B,"SAIDA_DESCARTE")</f>
        <v/>
      </c>
      <c r="J2418" s="13">
        <f>G2418-H2418-I2418</f>
        <v/>
      </c>
      <c r="K2418">
        <f>IF(A2418="","",IF(J2418&lt;=IFERROR(VLOOKUP(A2418,Cadastro_Produtos!$A:$E,5,FALSE),0),"ABAIXO DO MINIMO","OK"))</f>
        <v/>
      </c>
    </row>
    <row r="2419">
      <c r="B2419">
        <f>IFERROR(VLOOKUP(A2419,Cadastro_Produtos!A:B,2,FALSE),"")</f>
        <v/>
      </c>
      <c r="D2419" s="12" t="n"/>
      <c r="E2419" s="13">
        <f>IF(D2419="","",D2419-TODAY())</f>
        <v/>
      </c>
      <c r="F2419">
        <f>IF(D2419="","",IF(E2419&lt;0,"VENCIDO",IF(E2419&lt;=30,"VENCE EM &lt;= 30 DIAS",IF(E2419&lt;=60,"ATENCAO (31-60 DIAS)","OK"))))</f>
        <v/>
      </c>
      <c r="G2419" s="13">
        <f>SUMIFS(Movimentacoes!$G:$G,Movimentacoes!$C:$C,$A2419,Movimentacoes!$E:$E,$C2419,Movimentacoes!$B:$B,"ENTRADA")</f>
        <v/>
      </c>
      <c r="H2419" s="13">
        <f>SUMIFS(Movimentacoes!$G:$G,Movimentacoes!$C:$C,$A2419,Movimentacoes!$E:$E,$C2419,Movimentacoes!$B:$B,"SAIDA_USO")</f>
        <v/>
      </c>
      <c r="I2419" s="13">
        <f>SUMIFS(Movimentacoes!$G:$G,Movimentacoes!$C:$C,$A2419,Movimentacoes!$E:$E,$C2419,Movimentacoes!$B:$B,"SAIDA_DESCARTE")</f>
        <v/>
      </c>
      <c r="J2419" s="13">
        <f>G2419-H2419-I2419</f>
        <v/>
      </c>
      <c r="K2419">
        <f>IF(A2419="","",IF(J2419&lt;=IFERROR(VLOOKUP(A2419,Cadastro_Produtos!$A:$E,5,FALSE),0),"ABAIXO DO MINIMO","OK"))</f>
        <v/>
      </c>
    </row>
    <row r="2420">
      <c r="B2420">
        <f>IFERROR(VLOOKUP(A2420,Cadastro_Produtos!A:B,2,FALSE),"")</f>
        <v/>
      </c>
      <c r="D2420" s="12" t="n"/>
      <c r="E2420" s="13">
        <f>IF(D2420="","",D2420-TODAY())</f>
        <v/>
      </c>
      <c r="F2420">
        <f>IF(D2420="","",IF(E2420&lt;0,"VENCIDO",IF(E2420&lt;=30,"VENCE EM &lt;= 30 DIAS",IF(E2420&lt;=60,"ATENCAO (31-60 DIAS)","OK"))))</f>
        <v/>
      </c>
      <c r="G2420" s="13">
        <f>SUMIFS(Movimentacoes!$G:$G,Movimentacoes!$C:$C,$A2420,Movimentacoes!$E:$E,$C2420,Movimentacoes!$B:$B,"ENTRADA")</f>
        <v/>
      </c>
      <c r="H2420" s="13">
        <f>SUMIFS(Movimentacoes!$G:$G,Movimentacoes!$C:$C,$A2420,Movimentacoes!$E:$E,$C2420,Movimentacoes!$B:$B,"SAIDA_USO")</f>
        <v/>
      </c>
      <c r="I2420" s="13">
        <f>SUMIFS(Movimentacoes!$G:$G,Movimentacoes!$C:$C,$A2420,Movimentacoes!$E:$E,$C2420,Movimentacoes!$B:$B,"SAIDA_DESCARTE")</f>
        <v/>
      </c>
      <c r="J2420" s="13">
        <f>G2420-H2420-I2420</f>
        <v/>
      </c>
      <c r="K2420">
        <f>IF(A2420="","",IF(J2420&lt;=IFERROR(VLOOKUP(A2420,Cadastro_Produtos!$A:$E,5,FALSE),0),"ABAIXO DO MINIMO","OK"))</f>
        <v/>
      </c>
    </row>
    <row r="2421">
      <c r="B2421">
        <f>IFERROR(VLOOKUP(A2421,Cadastro_Produtos!A:B,2,FALSE),"")</f>
        <v/>
      </c>
      <c r="D2421" s="12" t="n"/>
      <c r="E2421" s="13">
        <f>IF(D2421="","",D2421-TODAY())</f>
        <v/>
      </c>
      <c r="F2421">
        <f>IF(D2421="","",IF(E2421&lt;0,"VENCIDO",IF(E2421&lt;=30,"VENCE EM &lt;= 30 DIAS",IF(E2421&lt;=60,"ATENCAO (31-60 DIAS)","OK"))))</f>
        <v/>
      </c>
      <c r="G2421" s="13">
        <f>SUMIFS(Movimentacoes!$G:$G,Movimentacoes!$C:$C,$A2421,Movimentacoes!$E:$E,$C2421,Movimentacoes!$B:$B,"ENTRADA")</f>
        <v/>
      </c>
      <c r="H2421" s="13">
        <f>SUMIFS(Movimentacoes!$G:$G,Movimentacoes!$C:$C,$A2421,Movimentacoes!$E:$E,$C2421,Movimentacoes!$B:$B,"SAIDA_USO")</f>
        <v/>
      </c>
      <c r="I2421" s="13">
        <f>SUMIFS(Movimentacoes!$G:$G,Movimentacoes!$C:$C,$A2421,Movimentacoes!$E:$E,$C2421,Movimentacoes!$B:$B,"SAIDA_DESCARTE")</f>
        <v/>
      </c>
      <c r="J2421" s="13">
        <f>G2421-H2421-I2421</f>
        <v/>
      </c>
      <c r="K2421">
        <f>IF(A2421="","",IF(J2421&lt;=IFERROR(VLOOKUP(A2421,Cadastro_Produtos!$A:$E,5,FALSE),0),"ABAIXO DO MINIMO","OK"))</f>
        <v/>
      </c>
    </row>
    <row r="2422">
      <c r="B2422">
        <f>IFERROR(VLOOKUP(A2422,Cadastro_Produtos!A:B,2,FALSE),"")</f>
        <v/>
      </c>
      <c r="D2422" s="12" t="n"/>
      <c r="E2422" s="13">
        <f>IF(D2422="","",D2422-TODAY())</f>
        <v/>
      </c>
      <c r="F2422">
        <f>IF(D2422="","",IF(E2422&lt;0,"VENCIDO",IF(E2422&lt;=30,"VENCE EM &lt;= 30 DIAS",IF(E2422&lt;=60,"ATENCAO (31-60 DIAS)","OK"))))</f>
        <v/>
      </c>
      <c r="G2422" s="13">
        <f>SUMIFS(Movimentacoes!$G:$G,Movimentacoes!$C:$C,$A2422,Movimentacoes!$E:$E,$C2422,Movimentacoes!$B:$B,"ENTRADA")</f>
        <v/>
      </c>
      <c r="H2422" s="13">
        <f>SUMIFS(Movimentacoes!$G:$G,Movimentacoes!$C:$C,$A2422,Movimentacoes!$E:$E,$C2422,Movimentacoes!$B:$B,"SAIDA_USO")</f>
        <v/>
      </c>
      <c r="I2422" s="13">
        <f>SUMIFS(Movimentacoes!$G:$G,Movimentacoes!$C:$C,$A2422,Movimentacoes!$E:$E,$C2422,Movimentacoes!$B:$B,"SAIDA_DESCARTE")</f>
        <v/>
      </c>
      <c r="J2422" s="13">
        <f>G2422-H2422-I2422</f>
        <v/>
      </c>
      <c r="K2422">
        <f>IF(A2422="","",IF(J2422&lt;=IFERROR(VLOOKUP(A2422,Cadastro_Produtos!$A:$E,5,FALSE),0),"ABAIXO DO MINIMO","OK"))</f>
        <v/>
      </c>
    </row>
    <row r="2423">
      <c r="B2423">
        <f>IFERROR(VLOOKUP(A2423,Cadastro_Produtos!A:B,2,FALSE),"")</f>
        <v/>
      </c>
      <c r="D2423" s="12" t="n"/>
      <c r="E2423" s="13">
        <f>IF(D2423="","",D2423-TODAY())</f>
        <v/>
      </c>
      <c r="F2423">
        <f>IF(D2423="","",IF(E2423&lt;0,"VENCIDO",IF(E2423&lt;=30,"VENCE EM &lt;= 30 DIAS",IF(E2423&lt;=60,"ATENCAO (31-60 DIAS)","OK"))))</f>
        <v/>
      </c>
      <c r="G2423" s="13">
        <f>SUMIFS(Movimentacoes!$G:$G,Movimentacoes!$C:$C,$A2423,Movimentacoes!$E:$E,$C2423,Movimentacoes!$B:$B,"ENTRADA")</f>
        <v/>
      </c>
      <c r="H2423" s="13">
        <f>SUMIFS(Movimentacoes!$G:$G,Movimentacoes!$C:$C,$A2423,Movimentacoes!$E:$E,$C2423,Movimentacoes!$B:$B,"SAIDA_USO")</f>
        <v/>
      </c>
      <c r="I2423" s="13">
        <f>SUMIFS(Movimentacoes!$G:$G,Movimentacoes!$C:$C,$A2423,Movimentacoes!$E:$E,$C2423,Movimentacoes!$B:$B,"SAIDA_DESCARTE")</f>
        <v/>
      </c>
      <c r="J2423" s="13">
        <f>G2423-H2423-I2423</f>
        <v/>
      </c>
      <c r="K2423">
        <f>IF(A2423="","",IF(J2423&lt;=IFERROR(VLOOKUP(A2423,Cadastro_Produtos!$A:$E,5,FALSE),0),"ABAIXO DO MINIMO","OK"))</f>
        <v/>
      </c>
    </row>
    <row r="2424">
      <c r="B2424">
        <f>IFERROR(VLOOKUP(A2424,Cadastro_Produtos!A:B,2,FALSE),"")</f>
        <v/>
      </c>
      <c r="D2424" s="12" t="n"/>
      <c r="E2424" s="13">
        <f>IF(D2424="","",D2424-TODAY())</f>
        <v/>
      </c>
      <c r="F2424">
        <f>IF(D2424="","",IF(E2424&lt;0,"VENCIDO",IF(E2424&lt;=30,"VENCE EM &lt;= 30 DIAS",IF(E2424&lt;=60,"ATENCAO (31-60 DIAS)","OK"))))</f>
        <v/>
      </c>
      <c r="G2424" s="13">
        <f>SUMIFS(Movimentacoes!$G:$G,Movimentacoes!$C:$C,$A2424,Movimentacoes!$E:$E,$C2424,Movimentacoes!$B:$B,"ENTRADA")</f>
        <v/>
      </c>
      <c r="H2424" s="13">
        <f>SUMIFS(Movimentacoes!$G:$G,Movimentacoes!$C:$C,$A2424,Movimentacoes!$E:$E,$C2424,Movimentacoes!$B:$B,"SAIDA_USO")</f>
        <v/>
      </c>
      <c r="I2424" s="13">
        <f>SUMIFS(Movimentacoes!$G:$G,Movimentacoes!$C:$C,$A2424,Movimentacoes!$E:$E,$C2424,Movimentacoes!$B:$B,"SAIDA_DESCARTE")</f>
        <v/>
      </c>
      <c r="J2424" s="13">
        <f>G2424-H2424-I2424</f>
        <v/>
      </c>
      <c r="K2424">
        <f>IF(A2424="","",IF(J2424&lt;=IFERROR(VLOOKUP(A2424,Cadastro_Produtos!$A:$E,5,FALSE),0),"ABAIXO DO MINIMO","OK"))</f>
        <v/>
      </c>
    </row>
    <row r="2425">
      <c r="B2425">
        <f>IFERROR(VLOOKUP(A2425,Cadastro_Produtos!A:B,2,FALSE),"")</f>
        <v/>
      </c>
      <c r="D2425" s="12" t="n"/>
      <c r="E2425" s="13">
        <f>IF(D2425="","",D2425-TODAY())</f>
        <v/>
      </c>
      <c r="F2425">
        <f>IF(D2425="","",IF(E2425&lt;0,"VENCIDO",IF(E2425&lt;=30,"VENCE EM &lt;= 30 DIAS",IF(E2425&lt;=60,"ATENCAO (31-60 DIAS)","OK"))))</f>
        <v/>
      </c>
      <c r="G2425" s="13">
        <f>SUMIFS(Movimentacoes!$G:$G,Movimentacoes!$C:$C,$A2425,Movimentacoes!$E:$E,$C2425,Movimentacoes!$B:$B,"ENTRADA")</f>
        <v/>
      </c>
      <c r="H2425" s="13">
        <f>SUMIFS(Movimentacoes!$G:$G,Movimentacoes!$C:$C,$A2425,Movimentacoes!$E:$E,$C2425,Movimentacoes!$B:$B,"SAIDA_USO")</f>
        <v/>
      </c>
      <c r="I2425" s="13">
        <f>SUMIFS(Movimentacoes!$G:$G,Movimentacoes!$C:$C,$A2425,Movimentacoes!$E:$E,$C2425,Movimentacoes!$B:$B,"SAIDA_DESCARTE")</f>
        <v/>
      </c>
      <c r="J2425" s="13">
        <f>G2425-H2425-I2425</f>
        <v/>
      </c>
      <c r="K2425">
        <f>IF(A2425="","",IF(J2425&lt;=IFERROR(VLOOKUP(A2425,Cadastro_Produtos!$A:$E,5,FALSE),0),"ABAIXO DO MINIMO","OK"))</f>
        <v/>
      </c>
    </row>
    <row r="2426">
      <c r="B2426">
        <f>IFERROR(VLOOKUP(A2426,Cadastro_Produtos!A:B,2,FALSE),"")</f>
        <v/>
      </c>
      <c r="D2426" s="12" t="n"/>
      <c r="E2426" s="13">
        <f>IF(D2426="","",D2426-TODAY())</f>
        <v/>
      </c>
      <c r="F2426">
        <f>IF(D2426="","",IF(E2426&lt;0,"VENCIDO",IF(E2426&lt;=30,"VENCE EM &lt;= 30 DIAS",IF(E2426&lt;=60,"ATENCAO (31-60 DIAS)","OK"))))</f>
        <v/>
      </c>
      <c r="G2426" s="13">
        <f>SUMIFS(Movimentacoes!$G:$G,Movimentacoes!$C:$C,$A2426,Movimentacoes!$E:$E,$C2426,Movimentacoes!$B:$B,"ENTRADA")</f>
        <v/>
      </c>
      <c r="H2426" s="13">
        <f>SUMIFS(Movimentacoes!$G:$G,Movimentacoes!$C:$C,$A2426,Movimentacoes!$E:$E,$C2426,Movimentacoes!$B:$B,"SAIDA_USO")</f>
        <v/>
      </c>
      <c r="I2426" s="13">
        <f>SUMIFS(Movimentacoes!$G:$G,Movimentacoes!$C:$C,$A2426,Movimentacoes!$E:$E,$C2426,Movimentacoes!$B:$B,"SAIDA_DESCARTE")</f>
        <v/>
      </c>
      <c r="J2426" s="13">
        <f>G2426-H2426-I2426</f>
        <v/>
      </c>
      <c r="K2426">
        <f>IF(A2426="","",IF(J2426&lt;=IFERROR(VLOOKUP(A2426,Cadastro_Produtos!$A:$E,5,FALSE),0),"ABAIXO DO MINIMO","OK"))</f>
        <v/>
      </c>
    </row>
    <row r="2427">
      <c r="B2427">
        <f>IFERROR(VLOOKUP(A2427,Cadastro_Produtos!A:B,2,FALSE),"")</f>
        <v/>
      </c>
      <c r="D2427" s="12" t="n"/>
      <c r="E2427" s="13">
        <f>IF(D2427="","",D2427-TODAY())</f>
        <v/>
      </c>
      <c r="F2427">
        <f>IF(D2427="","",IF(E2427&lt;0,"VENCIDO",IF(E2427&lt;=30,"VENCE EM &lt;= 30 DIAS",IF(E2427&lt;=60,"ATENCAO (31-60 DIAS)","OK"))))</f>
        <v/>
      </c>
      <c r="G2427" s="13">
        <f>SUMIFS(Movimentacoes!$G:$G,Movimentacoes!$C:$C,$A2427,Movimentacoes!$E:$E,$C2427,Movimentacoes!$B:$B,"ENTRADA")</f>
        <v/>
      </c>
      <c r="H2427" s="13">
        <f>SUMIFS(Movimentacoes!$G:$G,Movimentacoes!$C:$C,$A2427,Movimentacoes!$E:$E,$C2427,Movimentacoes!$B:$B,"SAIDA_USO")</f>
        <v/>
      </c>
      <c r="I2427" s="13">
        <f>SUMIFS(Movimentacoes!$G:$G,Movimentacoes!$C:$C,$A2427,Movimentacoes!$E:$E,$C2427,Movimentacoes!$B:$B,"SAIDA_DESCARTE")</f>
        <v/>
      </c>
      <c r="J2427" s="13">
        <f>G2427-H2427-I2427</f>
        <v/>
      </c>
      <c r="K2427">
        <f>IF(A2427="","",IF(J2427&lt;=IFERROR(VLOOKUP(A2427,Cadastro_Produtos!$A:$E,5,FALSE),0),"ABAIXO DO MINIMO","OK"))</f>
        <v/>
      </c>
    </row>
    <row r="2428">
      <c r="B2428">
        <f>IFERROR(VLOOKUP(A2428,Cadastro_Produtos!A:B,2,FALSE),"")</f>
        <v/>
      </c>
      <c r="D2428" s="12" t="n"/>
      <c r="E2428" s="13">
        <f>IF(D2428="","",D2428-TODAY())</f>
        <v/>
      </c>
      <c r="F2428">
        <f>IF(D2428="","",IF(E2428&lt;0,"VENCIDO",IF(E2428&lt;=30,"VENCE EM &lt;= 30 DIAS",IF(E2428&lt;=60,"ATENCAO (31-60 DIAS)","OK"))))</f>
        <v/>
      </c>
      <c r="G2428" s="13">
        <f>SUMIFS(Movimentacoes!$G:$G,Movimentacoes!$C:$C,$A2428,Movimentacoes!$E:$E,$C2428,Movimentacoes!$B:$B,"ENTRADA")</f>
        <v/>
      </c>
      <c r="H2428" s="13">
        <f>SUMIFS(Movimentacoes!$G:$G,Movimentacoes!$C:$C,$A2428,Movimentacoes!$E:$E,$C2428,Movimentacoes!$B:$B,"SAIDA_USO")</f>
        <v/>
      </c>
      <c r="I2428" s="13">
        <f>SUMIFS(Movimentacoes!$G:$G,Movimentacoes!$C:$C,$A2428,Movimentacoes!$E:$E,$C2428,Movimentacoes!$B:$B,"SAIDA_DESCARTE")</f>
        <v/>
      </c>
      <c r="J2428" s="13">
        <f>G2428-H2428-I2428</f>
        <v/>
      </c>
      <c r="K2428">
        <f>IF(A2428="","",IF(J2428&lt;=IFERROR(VLOOKUP(A2428,Cadastro_Produtos!$A:$E,5,FALSE),0),"ABAIXO DO MINIMO","OK"))</f>
        <v/>
      </c>
    </row>
    <row r="2429">
      <c r="B2429">
        <f>IFERROR(VLOOKUP(A2429,Cadastro_Produtos!A:B,2,FALSE),"")</f>
        <v/>
      </c>
      <c r="D2429" s="12" t="n"/>
      <c r="E2429" s="13">
        <f>IF(D2429="","",D2429-TODAY())</f>
        <v/>
      </c>
      <c r="F2429">
        <f>IF(D2429="","",IF(E2429&lt;0,"VENCIDO",IF(E2429&lt;=30,"VENCE EM &lt;= 30 DIAS",IF(E2429&lt;=60,"ATENCAO (31-60 DIAS)","OK"))))</f>
        <v/>
      </c>
      <c r="G2429" s="13">
        <f>SUMIFS(Movimentacoes!$G:$G,Movimentacoes!$C:$C,$A2429,Movimentacoes!$E:$E,$C2429,Movimentacoes!$B:$B,"ENTRADA")</f>
        <v/>
      </c>
      <c r="H2429" s="13">
        <f>SUMIFS(Movimentacoes!$G:$G,Movimentacoes!$C:$C,$A2429,Movimentacoes!$E:$E,$C2429,Movimentacoes!$B:$B,"SAIDA_USO")</f>
        <v/>
      </c>
      <c r="I2429" s="13">
        <f>SUMIFS(Movimentacoes!$G:$G,Movimentacoes!$C:$C,$A2429,Movimentacoes!$E:$E,$C2429,Movimentacoes!$B:$B,"SAIDA_DESCARTE")</f>
        <v/>
      </c>
      <c r="J2429" s="13">
        <f>G2429-H2429-I2429</f>
        <v/>
      </c>
      <c r="K2429">
        <f>IF(A2429="","",IF(J2429&lt;=IFERROR(VLOOKUP(A2429,Cadastro_Produtos!$A:$E,5,FALSE),0),"ABAIXO DO MINIMO","OK"))</f>
        <v/>
      </c>
    </row>
    <row r="2430">
      <c r="B2430">
        <f>IFERROR(VLOOKUP(A2430,Cadastro_Produtos!A:B,2,FALSE),"")</f>
        <v/>
      </c>
      <c r="D2430" s="12" t="n"/>
      <c r="E2430" s="13">
        <f>IF(D2430="","",D2430-TODAY())</f>
        <v/>
      </c>
      <c r="F2430">
        <f>IF(D2430="","",IF(E2430&lt;0,"VENCIDO",IF(E2430&lt;=30,"VENCE EM &lt;= 30 DIAS",IF(E2430&lt;=60,"ATENCAO (31-60 DIAS)","OK"))))</f>
        <v/>
      </c>
      <c r="G2430" s="13">
        <f>SUMIFS(Movimentacoes!$G:$G,Movimentacoes!$C:$C,$A2430,Movimentacoes!$E:$E,$C2430,Movimentacoes!$B:$B,"ENTRADA")</f>
        <v/>
      </c>
      <c r="H2430" s="13">
        <f>SUMIFS(Movimentacoes!$G:$G,Movimentacoes!$C:$C,$A2430,Movimentacoes!$E:$E,$C2430,Movimentacoes!$B:$B,"SAIDA_USO")</f>
        <v/>
      </c>
      <c r="I2430" s="13">
        <f>SUMIFS(Movimentacoes!$G:$G,Movimentacoes!$C:$C,$A2430,Movimentacoes!$E:$E,$C2430,Movimentacoes!$B:$B,"SAIDA_DESCARTE")</f>
        <v/>
      </c>
      <c r="J2430" s="13">
        <f>G2430-H2430-I2430</f>
        <v/>
      </c>
      <c r="K2430">
        <f>IF(A2430="","",IF(J2430&lt;=IFERROR(VLOOKUP(A2430,Cadastro_Produtos!$A:$E,5,FALSE),0),"ABAIXO DO MINIMO","OK"))</f>
        <v/>
      </c>
    </row>
    <row r="2431">
      <c r="B2431">
        <f>IFERROR(VLOOKUP(A2431,Cadastro_Produtos!A:B,2,FALSE),"")</f>
        <v/>
      </c>
      <c r="D2431" s="12" t="n"/>
      <c r="E2431" s="13">
        <f>IF(D2431="","",D2431-TODAY())</f>
        <v/>
      </c>
      <c r="F2431">
        <f>IF(D2431="","",IF(E2431&lt;0,"VENCIDO",IF(E2431&lt;=30,"VENCE EM &lt;= 30 DIAS",IF(E2431&lt;=60,"ATENCAO (31-60 DIAS)","OK"))))</f>
        <v/>
      </c>
      <c r="G2431" s="13">
        <f>SUMIFS(Movimentacoes!$G:$G,Movimentacoes!$C:$C,$A2431,Movimentacoes!$E:$E,$C2431,Movimentacoes!$B:$B,"ENTRADA")</f>
        <v/>
      </c>
      <c r="H2431" s="13">
        <f>SUMIFS(Movimentacoes!$G:$G,Movimentacoes!$C:$C,$A2431,Movimentacoes!$E:$E,$C2431,Movimentacoes!$B:$B,"SAIDA_USO")</f>
        <v/>
      </c>
      <c r="I2431" s="13">
        <f>SUMIFS(Movimentacoes!$G:$G,Movimentacoes!$C:$C,$A2431,Movimentacoes!$E:$E,$C2431,Movimentacoes!$B:$B,"SAIDA_DESCARTE")</f>
        <v/>
      </c>
      <c r="J2431" s="13">
        <f>G2431-H2431-I2431</f>
        <v/>
      </c>
      <c r="K2431">
        <f>IF(A2431="","",IF(J2431&lt;=IFERROR(VLOOKUP(A2431,Cadastro_Produtos!$A:$E,5,FALSE),0),"ABAIXO DO MINIMO","OK"))</f>
        <v/>
      </c>
    </row>
    <row r="2432">
      <c r="B2432">
        <f>IFERROR(VLOOKUP(A2432,Cadastro_Produtos!A:B,2,FALSE),"")</f>
        <v/>
      </c>
      <c r="D2432" s="12" t="n"/>
      <c r="E2432" s="13">
        <f>IF(D2432="","",D2432-TODAY())</f>
        <v/>
      </c>
      <c r="F2432">
        <f>IF(D2432="","",IF(E2432&lt;0,"VENCIDO",IF(E2432&lt;=30,"VENCE EM &lt;= 30 DIAS",IF(E2432&lt;=60,"ATENCAO (31-60 DIAS)","OK"))))</f>
        <v/>
      </c>
      <c r="G2432" s="13">
        <f>SUMIFS(Movimentacoes!$G:$G,Movimentacoes!$C:$C,$A2432,Movimentacoes!$E:$E,$C2432,Movimentacoes!$B:$B,"ENTRADA")</f>
        <v/>
      </c>
      <c r="H2432" s="13">
        <f>SUMIFS(Movimentacoes!$G:$G,Movimentacoes!$C:$C,$A2432,Movimentacoes!$E:$E,$C2432,Movimentacoes!$B:$B,"SAIDA_USO")</f>
        <v/>
      </c>
      <c r="I2432" s="13">
        <f>SUMIFS(Movimentacoes!$G:$G,Movimentacoes!$C:$C,$A2432,Movimentacoes!$E:$E,$C2432,Movimentacoes!$B:$B,"SAIDA_DESCARTE")</f>
        <v/>
      </c>
      <c r="J2432" s="13">
        <f>G2432-H2432-I2432</f>
        <v/>
      </c>
      <c r="K2432">
        <f>IF(A2432="","",IF(J2432&lt;=IFERROR(VLOOKUP(A2432,Cadastro_Produtos!$A:$E,5,FALSE),0),"ABAIXO DO MINIMO","OK"))</f>
        <v/>
      </c>
    </row>
    <row r="2433">
      <c r="B2433">
        <f>IFERROR(VLOOKUP(A2433,Cadastro_Produtos!A:B,2,FALSE),"")</f>
        <v/>
      </c>
      <c r="D2433" s="12" t="n"/>
      <c r="E2433" s="13">
        <f>IF(D2433="","",D2433-TODAY())</f>
        <v/>
      </c>
      <c r="F2433">
        <f>IF(D2433="","",IF(E2433&lt;0,"VENCIDO",IF(E2433&lt;=30,"VENCE EM &lt;= 30 DIAS",IF(E2433&lt;=60,"ATENCAO (31-60 DIAS)","OK"))))</f>
        <v/>
      </c>
      <c r="G2433" s="13">
        <f>SUMIFS(Movimentacoes!$G:$G,Movimentacoes!$C:$C,$A2433,Movimentacoes!$E:$E,$C2433,Movimentacoes!$B:$B,"ENTRADA")</f>
        <v/>
      </c>
      <c r="H2433" s="13">
        <f>SUMIFS(Movimentacoes!$G:$G,Movimentacoes!$C:$C,$A2433,Movimentacoes!$E:$E,$C2433,Movimentacoes!$B:$B,"SAIDA_USO")</f>
        <v/>
      </c>
      <c r="I2433" s="13">
        <f>SUMIFS(Movimentacoes!$G:$G,Movimentacoes!$C:$C,$A2433,Movimentacoes!$E:$E,$C2433,Movimentacoes!$B:$B,"SAIDA_DESCARTE")</f>
        <v/>
      </c>
      <c r="J2433" s="13">
        <f>G2433-H2433-I2433</f>
        <v/>
      </c>
      <c r="K2433">
        <f>IF(A2433="","",IF(J2433&lt;=IFERROR(VLOOKUP(A2433,Cadastro_Produtos!$A:$E,5,FALSE),0),"ABAIXO DO MINIMO","OK"))</f>
        <v/>
      </c>
    </row>
    <row r="2434">
      <c r="B2434">
        <f>IFERROR(VLOOKUP(A2434,Cadastro_Produtos!A:B,2,FALSE),"")</f>
        <v/>
      </c>
      <c r="D2434" s="12" t="n"/>
      <c r="E2434" s="13">
        <f>IF(D2434="","",D2434-TODAY())</f>
        <v/>
      </c>
      <c r="F2434">
        <f>IF(D2434="","",IF(E2434&lt;0,"VENCIDO",IF(E2434&lt;=30,"VENCE EM &lt;= 30 DIAS",IF(E2434&lt;=60,"ATENCAO (31-60 DIAS)","OK"))))</f>
        <v/>
      </c>
      <c r="G2434" s="13">
        <f>SUMIFS(Movimentacoes!$G:$G,Movimentacoes!$C:$C,$A2434,Movimentacoes!$E:$E,$C2434,Movimentacoes!$B:$B,"ENTRADA")</f>
        <v/>
      </c>
      <c r="H2434" s="13">
        <f>SUMIFS(Movimentacoes!$G:$G,Movimentacoes!$C:$C,$A2434,Movimentacoes!$E:$E,$C2434,Movimentacoes!$B:$B,"SAIDA_USO")</f>
        <v/>
      </c>
      <c r="I2434" s="13">
        <f>SUMIFS(Movimentacoes!$G:$G,Movimentacoes!$C:$C,$A2434,Movimentacoes!$E:$E,$C2434,Movimentacoes!$B:$B,"SAIDA_DESCARTE")</f>
        <v/>
      </c>
      <c r="J2434" s="13">
        <f>G2434-H2434-I2434</f>
        <v/>
      </c>
      <c r="K2434">
        <f>IF(A2434="","",IF(J2434&lt;=IFERROR(VLOOKUP(A2434,Cadastro_Produtos!$A:$E,5,FALSE),0),"ABAIXO DO MINIMO","OK"))</f>
        <v/>
      </c>
    </row>
    <row r="2435">
      <c r="B2435">
        <f>IFERROR(VLOOKUP(A2435,Cadastro_Produtos!A:B,2,FALSE),"")</f>
        <v/>
      </c>
      <c r="D2435" s="12" t="n"/>
      <c r="E2435" s="13">
        <f>IF(D2435="","",D2435-TODAY())</f>
        <v/>
      </c>
      <c r="F2435">
        <f>IF(D2435="","",IF(E2435&lt;0,"VENCIDO",IF(E2435&lt;=30,"VENCE EM &lt;= 30 DIAS",IF(E2435&lt;=60,"ATENCAO (31-60 DIAS)","OK"))))</f>
        <v/>
      </c>
      <c r="G2435" s="13">
        <f>SUMIFS(Movimentacoes!$G:$G,Movimentacoes!$C:$C,$A2435,Movimentacoes!$E:$E,$C2435,Movimentacoes!$B:$B,"ENTRADA")</f>
        <v/>
      </c>
      <c r="H2435" s="13">
        <f>SUMIFS(Movimentacoes!$G:$G,Movimentacoes!$C:$C,$A2435,Movimentacoes!$E:$E,$C2435,Movimentacoes!$B:$B,"SAIDA_USO")</f>
        <v/>
      </c>
      <c r="I2435" s="13">
        <f>SUMIFS(Movimentacoes!$G:$G,Movimentacoes!$C:$C,$A2435,Movimentacoes!$E:$E,$C2435,Movimentacoes!$B:$B,"SAIDA_DESCARTE")</f>
        <v/>
      </c>
      <c r="J2435" s="13">
        <f>G2435-H2435-I2435</f>
        <v/>
      </c>
      <c r="K2435">
        <f>IF(A2435="","",IF(J2435&lt;=IFERROR(VLOOKUP(A2435,Cadastro_Produtos!$A:$E,5,FALSE),0),"ABAIXO DO MINIMO","OK"))</f>
        <v/>
      </c>
    </row>
    <row r="2436">
      <c r="B2436">
        <f>IFERROR(VLOOKUP(A2436,Cadastro_Produtos!A:B,2,FALSE),"")</f>
        <v/>
      </c>
      <c r="D2436" s="12" t="n"/>
      <c r="E2436" s="13">
        <f>IF(D2436="","",D2436-TODAY())</f>
        <v/>
      </c>
      <c r="F2436">
        <f>IF(D2436="","",IF(E2436&lt;0,"VENCIDO",IF(E2436&lt;=30,"VENCE EM &lt;= 30 DIAS",IF(E2436&lt;=60,"ATENCAO (31-60 DIAS)","OK"))))</f>
        <v/>
      </c>
      <c r="G2436" s="13">
        <f>SUMIFS(Movimentacoes!$G:$G,Movimentacoes!$C:$C,$A2436,Movimentacoes!$E:$E,$C2436,Movimentacoes!$B:$B,"ENTRADA")</f>
        <v/>
      </c>
      <c r="H2436" s="13">
        <f>SUMIFS(Movimentacoes!$G:$G,Movimentacoes!$C:$C,$A2436,Movimentacoes!$E:$E,$C2436,Movimentacoes!$B:$B,"SAIDA_USO")</f>
        <v/>
      </c>
      <c r="I2436" s="13">
        <f>SUMIFS(Movimentacoes!$G:$G,Movimentacoes!$C:$C,$A2436,Movimentacoes!$E:$E,$C2436,Movimentacoes!$B:$B,"SAIDA_DESCARTE")</f>
        <v/>
      </c>
      <c r="J2436" s="13">
        <f>G2436-H2436-I2436</f>
        <v/>
      </c>
      <c r="K2436">
        <f>IF(A2436="","",IF(J2436&lt;=IFERROR(VLOOKUP(A2436,Cadastro_Produtos!$A:$E,5,FALSE),0),"ABAIXO DO MINIMO","OK"))</f>
        <v/>
      </c>
    </row>
    <row r="2437">
      <c r="B2437">
        <f>IFERROR(VLOOKUP(A2437,Cadastro_Produtos!A:B,2,FALSE),"")</f>
        <v/>
      </c>
      <c r="D2437" s="12" t="n"/>
      <c r="E2437" s="13">
        <f>IF(D2437="","",D2437-TODAY())</f>
        <v/>
      </c>
      <c r="F2437">
        <f>IF(D2437="","",IF(E2437&lt;0,"VENCIDO",IF(E2437&lt;=30,"VENCE EM &lt;= 30 DIAS",IF(E2437&lt;=60,"ATENCAO (31-60 DIAS)","OK"))))</f>
        <v/>
      </c>
      <c r="G2437" s="13">
        <f>SUMIFS(Movimentacoes!$G:$G,Movimentacoes!$C:$C,$A2437,Movimentacoes!$E:$E,$C2437,Movimentacoes!$B:$B,"ENTRADA")</f>
        <v/>
      </c>
      <c r="H2437" s="13">
        <f>SUMIFS(Movimentacoes!$G:$G,Movimentacoes!$C:$C,$A2437,Movimentacoes!$E:$E,$C2437,Movimentacoes!$B:$B,"SAIDA_USO")</f>
        <v/>
      </c>
      <c r="I2437" s="13">
        <f>SUMIFS(Movimentacoes!$G:$G,Movimentacoes!$C:$C,$A2437,Movimentacoes!$E:$E,$C2437,Movimentacoes!$B:$B,"SAIDA_DESCARTE")</f>
        <v/>
      </c>
      <c r="J2437" s="13">
        <f>G2437-H2437-I2437</f>
        <v/>
      </c>
      <c r="K2437">
        <f>IF(A2437="","",IF(J2437&lt;=IFERROR(VLOOKUP(A2437,Cadastro_Produtos!$A:$E,5,FALSE),0),"ABAIXO DO MINIMO","OK"))</f>
        <v/>
      </c>
    </row>
    <row r="2438">
      <c r="B2438">
        <f>IFERROR(VLOOKUP(A2438,Cadastro_Produtos!A:B,2,FALSE),"")</f>
        <v/>
      </c>
      <c r="D2438" s="12" t="n"/>
      <c r="E2438" s="13">
        <f>IF(D2438="","",D2438-TODAY())</f>
        <v/>
      </c>
      <c r="F2438">
        <f>IF(D2438="","",IF(E2438&lt;0,"VENCIDO",IF(E2438&lt;=30,"VENCE EM &lt;= 30 DIAS",IF(E2438&lt;=60,"ATENCAO (31-60 DIAS)","OK"))))</f>
        <v/>
      </c>
      <c r="G2438" s="13">
        <f>SUMIFS(Movimentacoes!$G:$G,Movimentacoes!$C:$C,$A2438,Movimentacoes!$E:$E,$C2438,Movimentacoes!$B:$B,"ENTRADA")</f>
        <v/>
      </c>
      <c r="H2438" s="13">
        <f>SUMIFS(Movimentacoes!$G:$G,Movimentacoes!$C:$C,$A2438,Movimentacoes!$E:$E,$C2438,Movimentacoes!$B:$B,"SAIDA_USO")</f>
        <v/>
      </c>
      <c r="I2438" s="13">
        <f>SUMIFS(Movimentacoes!$G:$G,Movimentacoes!$C:$C,$A2438,Movimentacoes!$E:$E,$C2438,Movimentacoes!$B:$B,"SAIDA_DESCARTE")</f>
        <v/>
      </c>
      <c r="J2438" s="13">
        <f>G2438-H2438-I2438</f>
        <v/>
      </c>
      <c r="K2438">
        <f>IF(A2438="","",IF(J2438&lt;=IFERROR(VLOOKUP(A2438,Cadastro_Produtos!$A:$E,5,FALSE),0),"ABAIXO DO MINIMO","OK"))</f>
        <v/>
      </c>
    </row>
    <row r="2439">
      <c r="B2439">
        <f>IFERROR(VLOOKUP(A2439,Cadastro_Produtos!A:B,2,FALSE),"")</f>
        <v/>
      </c>
      <c r="D2439" s="12" t="n"/>
      <c r="E2439" s="13">
        <f>IF(D2439="","",D2439-TODAY())</f>
        <v/>
      </c>
      <c r="F2439">
        <f>IF(D2439="","",IF(E2439&lt;0,"VENCIDO",IF(E2439&lt;=30,"VENCE EM &lt;= 30 DIAS",IF(E2439&lt;=60,"ATENCAO (31-60 DIAS)","OK"))))</f>
        <v/>
      </c>
      <c r="G2439" s="13">
        <f>SUMIFS(Movimentacoes!$G:$G,Movimentacoes!$C:$C,$A2439,Movimentacoes!$E:$E,$C2439,Movimentacoes!$B:$B,"ENTRADA")</f>
        <v/>
      </c>
      <c r="H2439" s="13">
        <f>SUMIFS(Movimentacoes!$G:$G,Movimentacoes!$C:$C,$A2439,Movimentacoes!$E:$E,$C2439,Movimentacoes!$B:$B,"SAIDA_USO")</f>
        <v/>
      </c>
      <c r="I2439" s="13">
        <f>SUMIFS(Movimentacoes!$G:$G,Movimentacoes!$C:$C,$A2439,Movimentacoes!$E:$E,$C2439,Movimentacoes!$B:$B,"SAIDA_DESCARTE")</f>
        <v/>
      </c>
      <c r="J2439" s="13">
        <f>G2439-H2439-I2439</f>
        <v/>
      </c>
      <c r="K2439">
        <f>IF(A2439="","",IF(J2439&lt;=IFERROR(VLOOKUP(A2439,Cadastro_Produtos!$A:$E,5,FALSE),0),"ABAIXO DO MINIMO","OK"))</f>
        <v/>
      </c>
    </row>
    <row r="2440">
      <c r="B2440">
        <f>IFERROR(VLOOKUP(A2440,Cadastro_Produtos!A:B,2,FALSE),"")</f>
        <v/>
      </c>
      <c r="D2440" s="12" t="n"/>
      <c r="E2440" s="13">
        <f>IF(D2440="","",D2440-TODAY())</f>
        <v/>
      </c>
      <c r="F2440">
        <f>IF(D2440="","",IF(E2440&lt;0,"VENCIDO",IF(E2440&lt;=30,"VENCE EM &lt;= 30 DIAS",IF(E2440&lt;=60,"ATENCAO (31-60 DIAS)","OK"))))</f>
        <v/>
      </c>
      <c r="G2440" s="13">
        <f>SUMIFS(Movimentacoes!$G:$G,Movimentacoes!$C:$C,$A2440,Movimentacoes!$E:$E,$C2440,Movimentacoes!$B:$B,"ENTRADA")</f>
        <v/>
      </c>
      <c r="H2440" s="13">
        <f>SUMIFS(Movimentacoes!$G:$G,Movimentacoes!$C:$C,$A2440,Movimentacoes!$E:$E,$C2440,Movimentacoes!$B:$B,"SAIDA_USO")</f>
        <v/>
      </c>
      <c r="I2440" s="13">
        <f>SUMIFS(Movimentacoes!$G:$G,Movimentacoes!$C:$C,$A2440,Movimentacoes!$E:$E,$C2440,Movimentacoes!$B:$B,"SAIDA_DESCARTE")</f>
        <v/>
      </c>
      <c r="J2440" s="13">
        <f>G2440-H2440-I2440</f>
        <v/>
      </c>
      <c r="K2440">
        <f>IF(A2440="","",IF(J2440&lt;=IFERROR(VLOOKUP(A2440,Cadastro_Produtos!$A:$E,5,FALSE),0),"ABAIXO DO MINIMO","OK"))</f>
        <v/>
      </c>
    </row>
    <row r="2441">
      <c r="B2441">
        <f>IFERROR(VLOOKUP(A2441,Cadastro_Produtos!A:B,2,FALSE),"")</f>
        <v/>
      </c>
      <c r="D2441" s="12" t="n"/>
      <c r="E2441" s="13">
        <f>IF(D2441="","",D2441-TODAY())</f>
        <v/>
      </c>
      <c r="F2441">
        <f>IF(D2441="","",IF(E2441&lt;0,"VENCIDO",IF(E2441&lt;=30,"VENCE EM &lt;= 30 DIAS",IF(E2441&lt;=60,"ATENCAO (31-60 DIAS)","OK"))))</f>
        <v/>
      </c>
      <c r="G2441" s="13">
        <f>SUMIFS(Movimentacoes!$G:$G,Movimentacoes!$C:$C,$A2441,Movimentacoes!$E:$E,$C2441,Movimentacoes!$B:$B,"ENTRADA")</f>
        <v/>
      </c>
      <c r="H2441" s="13">
        <f>SUMIFS(Movimentacoes!$G:$G,Movimentacoes!$C:$C,$A2441,Movimentacoes!$E:$E,$C2441,Movimentacoes!$B:$B,"SAIDA_USO")</f>
        <v/>
      </c>
      <c r="I2441" s="13">
        <f>SUMIFS(Movimentacoes!$G:$G,Movimentacoes!$C:$C,$A2441,Movimentacoes!$E:$E,$C2441,Movimentacoes!$B:$B,"SAIDA_DESCARTE")</f>
        <v/>
      </c>
      <c r="J2441" s="13">
        <f>G2441-H2441-I2441</f>
        <v/>
      </c>
      <c r="K2441">
        <f>IF(A2441="","",IF(J2441&lt;=IFERROR(VLOOKUP(A2441,Cadastro_Produtos!$A:$E,5,FALSE),0),"ABAIXO DO MINIMO","OK"))</f>
        <v/>
      </c>
    </row>
    <row r="2442">
      <c r="B2442">
        <f>IFERROR(VLOOKUP(A2442,Cadastro_Produtos!A:B,2,FALSE),"")</f>
        <v/>
      </c>
      <c r="D2442" s="12" t="n"/>
      <c r="E2442" s="13">
        <f>IF(D2442="","",D2442-TODAY())</f>
        <v/>
      </c>
      <c r="F2442">
        <f>IF(D2442="","",IF(E2442&lt;0,"VENCIDO",IF(E2442&lt;=30,"VENCE EM &lt;= 30 DIAS",IF(E2442&lt;=60,"ATENCAO (31-60 DIAS)","OK"))))</f>
        <v/>
      </c>
      <c r="G2442" s="13">
        <f>SUMIFS(Movimentacoes!$G:$G,Movimentacoes!$C:$C,$A2442,Movimentacoes!$E:$E,$C2442,Movimentacoes!$B:$B,"ENTRADA")</f>
        <v/>
      </c>
      <c r="H2442" s="13">
        <f>SUMIFS(Movimentacoes!$G:$G,Movimentacoes!$C:$C,$A2442,Movimentacoes!$E:$E,$C2442,Movimentacoes!$B:$B,"SAIDA_USO")</f>
        <v/>
      </c>
      <c r="I2442" s="13">
        <f>SUMIFS(Movimentacoes!$G:$G,Movimentacoes!$C:$C,$A2442,Movimentacoes!$E:$E,$C2442,Movimentacoes!$B:$B,"SAIDA_DESCARTE")</f>
        <v/>
      </c>
      <c r="J2442" s="13">
        <f>G2442-H2442-I2442</f>
        <v/>
      </c>
      <c r="K2442">
        <f>IF(A2442="","",IF(J2442&lt;=IFERROR(VLOOKUP(A2442,Cadastro_Produtos!$A:$E,5,FALSE),0),"ABAIXO DO MINIMO","OK"))</f>
        <v/>
      </c>
    </row>
    <row r="2443">
      <c r="B2443">
        <f>IFERROR(VLOOKUP(A2443,Cadastro_Produtos!A:B,2,FALSE),"")</f>
        <v/>
      </c>
      <c r="D2443" s="12" t="n"/>
      <c r="E2443" s="13">
        <f>IF(D2443="","",D2443-TODAY())</f>
        <v/>
      </c>
      <c r="F2443">
        <f>IF(D2443="","",IF(E2443&lt;0,"VENCIDO",IF(E2443&lt;=30,"VENCE EM &lt;= 30 DIAS",IF(E2443&lt;=60,"ATENCAO (31-60 DIAS)","OK"))))</f>
        <v/>
      </c>
      <c r="G2443" s="13">
        <f>SUMIFS(Movimentacoes!$G:$G,Movimentacoes!$C:$C,$A2443,Movimentacoes!$E:$E,$C2443,Movimentacoes!$B:$B,"ENTRADA")</f>
        <v/>
      </c>
      <c r="H2443" s="13">
        <f>SUMIFS(Movimentacoes!$G:$G,Movimentacoes!$C:$C,$A2443,Movimentacoes!$E:$E,$C2443,Movimentacoes!$B:$B,"SAIDA_USO")</f>
        <v/>
      </c>
      <c r="I2443" s="13">
        <f>SUMIFS(Movimentacoes!$G:$G,Movimentacoes!$C:$C,$A2443,Movimentacoes!$E:$E,$C2443,Movimentacoes!$B:$B,"SAIDA_DESCARTE")</f>
        <v/>
      </c>
      <c r="J2443" s="13">
        <f>G2443-H2443-I2443</f>
        <v/>
      </c>
      <c r="K2443">
        <f>IF(A2443="","",IF(J2443&lt;=IFERROR(VLOOKUP(A2443,Cadastro_Produtos!$A:$E,5,FALSE),0),"ABAIXO DO MINIMO","OK"))</f>
        <v/>
      </c>
    </row>
    <row r="2444">
      <c r="B2444">
        <f>IFERROR(VLOOKUP(A2444,Cadastro_Produtos!A:B,2,FALSE),"")</f>
        <v/>
      </c>
      <c r="D2444" s="12" t="n"/>
      <c r="E2444" s="13">
        <f>IF(D2444="","",D2444-TODAY())</f>
        <v/>
      </c>
      <c r="F2444">
        <f>IF(D2444="","",IF(E2444&lt;0,"VENCIDO",IF(E2444&lt;=30,"VENCE EM &lt;= 30 DIAS",IF(E2444&lt;=60,"ATENCAO (31-60 DIAS)","OK"))))</f>
        <v/>
      </c>
      <c r="G2444" s="13">
        <f>SUMIFS(Movimentacoes!$G:$G,Movimentacoes!$C:$C,$A2444,Movimentacoes!$E:$E,$C2444,Movimentacoes!$B:$B,"ENTRADA")</f>
        <v/>
      </c>
      <c r="H2444" s="13">
        <f>SUMIFS(Movimentacoes!$G:$G,Movimentacoes!$C:$C,$A2444,Movimentacoes!$E:$E,$C2444,Movimentacoes!$B:$B,"SAIDA_USO")</f>
        <v/>
      </c>
      <c r="I2444" s="13">
        <f>SUMIFS(Movimentacoes!$G:$G,Movimentacoes!$C:$C,$A2444,Movimentacoes!$E:$E,$C2444,Movimentacoes!$B:$B,"SAIDA_DESCARTE")</f>
        <v/>
      </c>
      <c r="J2444" s="13">
        <f>G2444-H2444-I2444</f>
        <v/>
      </c>
      <c r="K2444">
        <f>IF(A2444="","",IF(J2444&lt;=IFERROR(VLOOKUP(A2444,Cadastro_Produtos!$A:$E,5,FALSE),0),"ABAIXO DO MINIMO","OK"))</f>
        <v/>
      </c>
    </row>
    <row r="2445">
      <c r="B2445">
        <f>IFERROR(VLOOKUP(A2445,Cadastro_Produtos!A:B,2,FALSE),"")</f>
        <v/>
      </c>
      <c r="D2445" s="12" t="n"/>
      <c r="E2445" s="13">
        <f>IF(D2445="","",D2445-TODAY())</f>
        <v/>
      </c>
      <c r="F2445">
        <f>IF(D2445="","",IF(E2445&lt;0,"VENCIDO",IF(E2445&lt;=30,"VENCE EM &lt;= 30 DIAS",IF(E2445&lt;=60,"ATENCAO (31-60 DIAS)","OK"))))</f>
        <v/>
      </c>
      <c r="G2445" s="13">
        <f>SUMIFS(Movimentacoes!$G:$G,Movimentacoes!$C:$C,$A2445,Movimentacoes!$E:$E,$C2445,Movimentacoes!$B:$B,"ENTRADA")</f>
        <v/>
      </c>
      <c r="H2445" s="13">
        <f>SUMIFS(Movimentacoes!$G:$G,Movimentacoes!$C:$C,$A2445,Movimentacoes!$E:$E,$C2445,Movimentacoes!$B:$B,"SAIDA_USO")</f>
        <v/>
      </c>
      <c r="I2445" s="13">
        <f>SUMIFS(Movimentacoes!$G:$G,Movimentacoes!$C:$C,$A2445,Movimentacoes!$E:$E,$C2445,Movimentacoes!$B:$B,"SAIDA_DESCARTE")</f>
        <v/>
      </c>
      <c r="J2445" s="13">
        <f>G2445-H2445-I2445</f>
        <v/>
      </c>
      <c r="K2445">
        <f>IF(A2445="","",IF(J2445&lt;=IFERROR(VLOOKUP(A2445,Cadastro_Produtos!$A:$E,5,FALSE),0),"ABAIXO DO MINIMO","OK"))</f>
        <v/>
      </c>
    </row>
    <row r="2446">
      <c r="B2446">
        <f>IFERROR(VLOOKUP(A2446,Cadastro_Produtos!A:B,2,FALSE),"")</f>
        <v/>
      </c>
      <c r="D2446" s="12" t="n"/>
      <c r="E2446" s="13">
        <f>IF(D2446="","",D2446-TODAY())</f>
        <v/>
      </c>
      <c r="F2446">
        <f>IF(D2446="","",IF(E2446&lt;0,"VENCIDO",IF(E2446&lt;=30,"VENCE EM &lt;= 30 DIAS",IF(E2446&lt;=60,"ATENCAO (31-60 DIAS)","OK"))))</f>
        <v/>
      </c>
      <c r="G2446" s="13">
        <f>SUMIFS(Movimentacoes!$G:$G,Movimentacoes!$C:$C,$A2446,Movimentacoes!$E:$E,$C2446,Movimentacoes!$B:$B,"ENTRADA")</f>
        <v/>
      </c>
      <c r="H2446" s="13">
        <f>SUMIFS(Movimentacoes!$G:$G,Movimentacoes!$C:$C,$A2446,Movimentacoes!$E:$E,$C2446,Movimentacoes!$B:$B,"SAIDA_USO")</f>
        <v/>
      </c>
      <c r="I2446" s="13">
        <f>SUMIFS(Movimentacoes!$G:$G,Movimentacoes!$C:$C,$A2446,Movimentacoes!$E:$E,$C2446,Movimentacoes!$B:$B,"SAIDA_DESCARTE")</f>
        <v/>
      </c>
      <c r="J2446" s="13">
        <f>G2446-H2446-I2446</f>
        <v/>
      </c>
      <c r="K2446">
        <f>IF(A2446="","",IF(J2446&lt;=IFERROR(VLOOKUP(A2446,Cadastro_Produtos!$A:$E,5,FALSE),0),"ABAIXO DO MINIMO","OK"))</f>
        <v/>
      </c>
    </row>
    <row r="2447">
      <c r="B2447">
        <f>IFERROR(VLOOKUP(A2447,Cadastro_Produtos!A:B,2,FALSE),"")</f>
        <v/>
      </c>
      <c r="D2447" s="12" t="n"/>
      <c r="E2447" s="13">
        <f>IF(D2447="","",D2447-TODAY())</f>
        <v/>
      </c>
      <c r="F2447">
        <f>IF(D2447="","",IF(E2447&lt;0,"VENCIDO",IF(E2447&lt;=30,"VENCE EM &lt;= 30 DIAS",IF(E2447&lt;=60,"ATENCAO (31-60 DIAS)","OK"))))</f>
        <v/>
      </c>
      <c r="G2447" s="13">
        <f>SUMIFS(Movimentacoes!$G:$G,Movimentacoes!$C:$C,$A2447,Movimentacoes!$E:$E,$C2447,Movimentacoes!$B:$B,"ENTRADA")</f>
        <v/>
      </c>
      <c r="H2447" s="13">
        <f>SUMIFS(Movimentacoes!$G:$G,Movimentacoes!$C:$C,$A2447,Movimentacoes!$E:$E,$C2447,Movimentacoes!$B:$B,"SAIDA_USO")</f>
        <v/>
      </c>
      <c r="I2447" s="13">
        <f>SUMIFS(Movimentacoes!$G:$G,Movimentacoes!$C:$C,$A2447,Movimentacoes!$E:$E,$C2447,Movimentacoes!$B:$B,"SAIDA_DESCARTE")</f>
        <v/>
      </c>
      <c r="J2447" s="13">
        <f>G2447-H2447-I2447</f>
        <v/>
      </c>
      <c r="K2447">
        <f>IF(A2447="","",IF(J2447&lt;=IFERROR(VLOOKUP(A2447,Cadastro_Produtos!$A:$E,5,FALSE),0),"ABAIXO DO MINIMO","OK"))</f>
        <v/>
      </c>
    </row>
    <row r="2448">
      <c r="B2448">
        <f>IFERROR(VLOOKUP(A2448,Cadastro_Produtos!A:B,2,FALSE),"")</f>
        <v/>
      </c>
      <c r="D2448" s="12" t="n"/>
      <c r="E2448" s="13">
        <f>IF(D2448="","",D2448-TODAY())</f>
        <v/>
      </c>
      <c r="F2448">
        <f>IF(D2448="","",IF(E2448&lt;0,"VENCIDO",IF(E2448&lt;=30,"VENCE EM &lt;= 30 DIAS",IF(E2448&lt;=60,"ATENCAO (31-60 DIAS)","OK"))))</f>
        <v/>
      </c>
      <c r="G2448" s="13">
        <f>SUMIFS(Movimentacoes!$G:$G,Movimentacoes!$C:$C,$A2448,Movimentacoes!$E:$E,$C2448,Movimentacoes!$B:$B,"ENTRADA")</f>
        <v/>
      </c>
      <c r="H2448" s="13">
        <f>SUMIFS(Movimentacoes!$G:$G,Movimentacoes!$C:$C,$A2448,Movimentacoes!$E:$E,$C2448,Movimentacoes!$B:$B,"SAIDA_USO")</f>
        <v/>
      </c>
      <c r="I2448" s="13">
        <f>SUMIFS(Movimentacoes!$G:$G,Movimentacoes!$C:$C,$A2448,Movimentacoes!$E:$E,$C2448,Movimentacoes!$B:$B,"SAIDA_DESCARTE")</f>
        <v/>
      </c>
      <c r="J2448" s="13">
        <f>G2448-H2448-I2448</f>
        <v/>
      </c>
      <c r="K2448">
        <f>IF(A2448="","",IF(J2448&lt;=IFERROR(VLOOKUP(A2448,Cadastro_Produtos!$A:$E,5,FALSE),0),"ABAIXO DO MINIMO","OK"))</f>
        <v/>
      </c>
    </row>
    <row r="2449">
      <c r="B2449">
        <f>IFERROR(VLOOKUP(A2449,Cadastro_Produtos!A:B,2,FALSE),"")</f>
        <v/>
      </c>
      <c r="D2449" s="12" t="n"/>
      <c r="E2449" s="13">
        <f>IF(D2449="","",D2449-TODAY())</f>
        <v/>
      </c>
      <c r="F2449">
        <f>IF(D2449="","",IF(E2449&lt;0,"VENCIDO",IF(E2449&lt;=30,"VENCE EM &lt;= 30 DIAS",IF(E2449&lt;=60,"ATENCAO (31-60 DIAS)","OK"))))</f>
        <v/>
      </c>
      <c r="G2449" s="13">
        <f>SUMIFS(Movimentacoes!$G:$G,Movimentacoes!$C:$C,$A2449,Movimentacoes!$E:$E,$C2449,Movimentacoes!$B:$B,"ENTRADA")</f>
        <v/>
      </c>
      <c r="H2449" s="13">
        <f>SUMIFS(Movimentacoes!$G:$G,Movimentacoes!$C:$C,$A2449,Movimentacoes!$E:$E,$C2449,Movimentacoes!$B:$B,"SAIDA_USO")</f>
        <v/>
      </c>
      <c r="I2449" s="13">
        <f>SUMIFS(Movimentacoes!$G:$G,Movimentacoes!$C:$C,$A2449,Movimentacoes!$E:$E,$C2449,Movimentacoes!$B:$B,"SAIDA_DESCARTE")</f>
        <v/>
      </c>
      <c r="J2449" s="13">
        <f>G2449-H2449-I2449</f>
        <v/>
      </c>
      <c r="K2449">
        <f>IF(A2449="","",IF(J2449&lt;=IFERROR(VLOOKUP(A2449,Cadastro_Produtos!$A:$E,5,FALSE),0),"ABAIXO DO MINIMO","OK"))</f>
        <v/>
      </c>
    </row>
    <row r="2450">
      <c r="B2450">
        <f>IFERROR(VLOOKUP(A2450,Cadastro_Produtos!A:B,2,FALSE),"")</f>
        <v/>
      </c>
      <c r="D2450" s="12" t="n"/>
      <c r="E2450" s="13">
        <f>IF(D2450="","",D2450-TODAY())</f>
        <v/>
      </c>
      <c r="F2450">
        <f>IF(D2450="","",IF(E2450&lt;0,"VENCIDO",IF(E2450&lt;=30,"VENCE EM &lt;= 30 DIAS",IF(E2450&lt;=60,"ATENCAO (31-60 DIAS)","OK"))))</f>
        <v/>
      </c>
      <c r="G2450" s="13">
        <f>SUMIFS(Movimentacoes!$G:$G,Movimentacoes!$C:$C,$A2450,Movimentacoes!$E:$E,$C2450,Movimentacoes!$B:$B,"ENTRADA")</f>
        <v/>
      </c>
      <c r="H2450" s="13">
        <f>SUMIFS(Movimentacoes!$G:$G,Movimentacoes!$C:$C,$A2450,Movimentacoes!$E:$E,$C2450,Movimentacoes!$B:$B,"SAIDA_USO")</f>
        <v/>
      </c>
      <c r="I2450" s="13">
        <f>SUMIFS(Movimentacoes!$G:$G,Movimentacoes!$C:$C,$A2450,Movimentacoes!$E:$E,$C2450,Movimentacoes!$B:$B,"SAIDA_DESCARTE")</f>
        <v/>
      </c>
      <c r="J2450" s="13">
        <f>G2450-H2450-I2450</f>
        <v/>
      </c>
      <c r="K2450">
        <f>IF(A2450="","",IF(J2450&lt;=IFERROR(VLOOKUP(A2450,Cadastro_Produtos!$A:$E,5,FALSE),0),"ABAIXO DO MINIMO","OK"))</f>
        <v/>
      </c>
    </row>
    <row r="2451">
      <c r="B2451">
        <f>IFERROR(VLOOKUP(A2451,Cadastro_Produtos!A:B,2,FALSE),"")</f>
        <v/>
      </c>
      <c r="D2451" s="12" t="n"/>
      <c r="E2451" s="13">
        <f>IF(D2451="","",D2451-TODAY())</f>
        <v/>
      </c>
      <c r="F2451">
        <f>IF(D2451="","",IF(E2451&lt;0,"VENCIDO",IF(E2451&lt;=30,"VENCE EM &lt;= 30 DIAS",IF(E2451&lt;=60,"ATENCAO (31-60 DIAS)","OK"))))</f>
        <v/>
      </c>
      <c r="G2451" s="13">
        <f>SUMIFS(Movimentacoes!$G:$G,Movimentacoes!$C:$C,$A2451,Movimentacoes!$E:$E,$C2451,Movimentacoes!$B:$B,"ENTRADA")</f>
        <v/>
      </c>
      <c r="H2451" s="13">
        <f>SUMIFS(Movimentacoes!$G:$G,Movimentacoes!$C:$C,$A2451,Movimentacoes!$E:$E,$C2451,Movimentacoes!$B:$B,"SAIDA_USO")</f>
        <v/>
      </c>
      <c r="I2451" s="13">
        <f>SUMIFS(Movimentacoes!$G:$G,Movimentacoes!$C:$C,$A2451,Movimentacoes!$E:$E,$C2451,Movimentacoes!$B:$B,"SAIDA_DESCARTE")</f>
        <v/>
      </c>
      <c r="J2451" s="13">
        <f>G2451-H2451-I2451</f>
        <v/>
      </c>
      <c r="K2451">
        <f>IF(A2451="","",IF(J2451&lt;=IFERROR(VLOOKUP(A2451,Cadastro_Produtos!$A:$E,5,FALSE),0),"ABAIXO DO MINIMO","OK"))</f>
        <v/>
      </c>
    </row>
    <row r="2452">
      <c r="B2452">
        <f>IFERROR(VLOOKUP(A2452,Cadastro_Produtos!A:B,2,FALSE),"")</f>
        <v/>
      </c>
      <c r="D2452" s="12" t="n"/>
      <c r="E2452" s="13">
        <f>IF(D2452="","",D2452-TODAY())</f>
        <v/>
      </c>
      <c r="F2452">
        <f>IF(D2452="","",IF(E2452&lt;0,"VENCIDO",IF(E2452&lt;=30,"VENCE EM &lt;= 30 DIAS",IF(E2452&lt;=60,"ATENCAO (31-60 DIAS)","OK"))))</f>
        <v/>
      </c>
      <c r="G2452" s="13">
        <f>SUMIFS(Movimentacoes!$G:$G,Movimentacoes!$C:$C,$A2452,Movimentacoes!$E:$E,$C2452,Movimentacoes!$B:$B,"ENTRADA")</f>
        <v/>
      </c>
      <c r="H2452" s="13">
        <f>SUMIFS(Movimentacoes!$G:$G,Movimentacoes!$C:$C,$A2452,Movimentacoes!$E:$E,$C2452,Movimentacoes!$B:$B,"SAIDA_USO")</f>
        <v/>
      </c>
      <c r="I2452" s="13">
        <f>SUMIFS(Movimentacoes!$G:$G,Movimentacoes!$C:$C,$A2452,Movimentacoes!$E:$E,$C2452,Movimentacoes!$B:$B,"SAIDA_DESCARTE")</f>
        <v/>
      </c>
      <c r="J2452" s="13">
        <f>G2452-H2452-I2452</f>
        <v/>
      </c>
      <c r="K2452">
        <f>IF(A2452="","",IF(J2452&lt;=IFERROR(VLOOKUP(A2452,Cadastro_Produtos!$A:$E,5,FALSE),0),"ABAIXO DO MINIMO","OK"))</f>
        <v/>
      </c>
    </row>
    <row r="2453">
      <c r="B2453">
        <f>IFERROR(VLOOKUP(A2453,Cadastro_Produtos!A:B,2,FALSE),"")</f>
        <v/>
      </c>
      <c r="D2453" s="12" t="n"/>
      <c r="E2453" s="13">
        <f>IF(D2453="","",D2453-TODAY())</f>
        <v/>
      </c>
      <c r="F2453">
        <f>IF(D2453="","",IF(E2453&lt;0,"VENCIDO",IF(E2453&lt;=30,"VENCE EM &lt;= 30 DIAS",IF(E2453&lt;=60,"ATENCAO (31-60 DIAS)","OK"))))</f>
        <v/>
      </c>
      <c r="G2453" s="13">
        <f>SUMIFS(Movimentacoes!$G:$G,Movimentacoes!$C:$C,$A2453,Movimentacoes!$E:$E,$C2453,Movimentacoes!$B:$B,"ENTRADA")</f>
        <v/>
      </c>
      <c r="H2453" s="13">
        <f>SUMIFS(Movimentacoes!$G:$G,Movimentacoes!$C:$C,$A2453,Movimentacoes!$E:$E,$C2453,Movimentacoes!$B:$B,"SAIDA_USO")</f>
        <v/>
      </c>
      <c r="I2453" s="13">
        <f>SUMIFS(Movimentacoes!$G:$G,Movimentacoes!$C:$C,$A2453,Movimentacoes!$E:$E,$C2453,Movimentacoes!$B:$B,"SAIDA_DESCARTE")</f>
        <v/>
      </c>
      <c r="J2453" s="13">
        <f>G2453-H2453-I2453</f>
        <v/>
      </c>
      <c r="K2453">
        <f>IF(A2453="","",IF(J2453&lt;=IFERROR(VLOOKUP(A2453,Cadastro_Produtos!$A:$E,5,FALSE),0),"ABAIXO DO MINIMO","OK"))</f>
        <v/>
      </c>
    </row>
    <row r="2454">
      <c r="B2454">
        <f>IFERROR(VLOOKUP(A2454,Cadastro_Produtos!A:B,2,FALSE),"")</f>
        <v/>
      </c>
      <c r="D2454" s="12" t="n"/>
      <c r="E2454" s="13">
        <f>IF(D2454="","",D2454-TODAY())</f>
        <v/>
      </c>
      <c r="F2454">
        <f>IF(D2454="","",IF(E2454&lt;0,"VENCIDO",IF(E2454&lt;=30,"VENCE EM &lt;= 30 DIAS",IF(E2454&lt;=60,"ATENCAO (31-60 DIAS)","OK"))))</f>
        <v/>
      </c>
      <c r="G2454" s="13">
        <f>SUMIFS(Movimentacoes!$G:$G,Movimentacoes!$C:$C,$A2454,Movimentacoes!$E:$E,$C2454,Movimentacoes!$B:$B,"ENTRADA")</f>
        <v/>
      </c>
      <c r="H2454" s="13">
        <f>SUMIFS(Movimentacoes!$G:$G,Movimentacoes!$C:$C,$A2454,Movimentacoes!$E:$E,$C2454,Movimentacoes!$B:$B,"SAIDA_USO")</f>
        <v/>
      </c>
      <c r="I2454" s="13">
        <f>SUMIFS(Movimentacoes!$G:$G,Movimentacoes!$C:$C,$A2454,Movimentacoes!$E:$E,$C2454,Movimentacoes!$B:$B,"SAIDA_DESCARTE")</f>
        <v/>
      </c>
      <c r="J2454" s="13">
        <f>G2454-H2454-I2454</f>
        <v/>
      </c>
      <c r="K2454">
        <f>IF(A2454="","",IF(J2454&lt;=IFERROR(VLOOKUP(A2454,Cadastro_Produtos!$A:$E,5,FALSE),0),"ABAIXO DO MINIMO","OK"))</f>
        <v/>
      </c>
    </row>
    <row r="2455">
      <c r="B2455">
        <f>IFERROR(VLOOKUP(A2455,Cadastro_Produtos!A:B,2,FALSE),"")</f>
        <v/>
      </c>
      <c r="D2455" s="12" t="n"/>
      <c r="E2455" s="13">
        <f>IF(D2455="","",D2455-TODAY())</f>
        <v/>
      </c>
      <c r="F2455">
        <f>IF(D2455="","",IF(E2455&lt;0,"VENCIDO",IF(E2455&lt;=30,"VENCE EM &lt;= 30 DIAS",IF(E2455&lt;=60,"ATENCAO (31-60 DIAS)","OK"))))</f>
        <v/>
      </c>
      <c r="G2455" s="13">
        <f>SUMIFS(Movimentacoes!$G:$G,Movimentacoes!$C:$C,$A2455,Movimentacoes!$E:$E,$C2455,Movimentacoes!$B:$B,"ENTRADA")</f>
        <v/>
      </c>
      <c r="H2455" s="13">
        <f>SUMIFS(Movimentacoes!$G:$G,Movimentacoes!$C:$C,$A2455,Movimentacoes!$E:$E,$C2455,Movimentacoes!$B:$B,"SAIDA_USO")</f>
        <v/>
      </c>
      <c r="I2455" s="13">
        <f>SUMIFS(Movimentacoes!$G:$G,Movimentacoes!$C:$C,$A2455,Movimentacoes!$E:$E,$C2455,Movimentacoes!$B:$B,"SAIDA_DESCARTE")</f>
        <v/>
      </c>
      <c r="J2455" s="13">
        <f>G2455-H2455-I2455</f>
        <v/>
      </c>
      <c r="K2455">
        <f>IF(A2455="","",IF(J2455&lt;=IFERROR(VLOOKUP(A2455,Cadastro_Produtos!$A:$E,5,FALSE),0),"ABAIXO DO MINIMO","OK"))</f>
        <v/>
      </c>
    </row>
    <row r="2456">
      <c r="B2456">
        <f>IFERROR(VLOOKUP(A2456,Cadastro_Produtos!A:B,2,FALSE),"")</f>
        <v/>
      </c>
      <c r="D2456" s="12" t="n"/>
      <c r="E2456" s="13">
        <f>IF(D2456="","",D2456-TODAY())</f>
        <v/>
      </c>
      <c r="F2456">
        <f>IF(D2456="","",IF(E2456&lt;0,"VENCIDO",IF(E2456&lt;=30,"VENCE EM &lt;= 30 DIAS",IF(E2456&lt;=60,"ATENCAO (31-60 DIAS)","OK"))))</f>
        <v/>
      </c>
      <c r="G2456" s="13">
        <f>SUMIFS(Movimentacoes!$G:$G,Movimentacoes!$C:$C,$A2456,Movimentacoes!$E:$E,$C2456,Movimentacoes!$B:$B,"ENTRADA")</f>
        <v/>
      </c>
      <c r="H2456" s="13">
        <f>SUMIFS(Movimentacoes!$G:$G,Movimentacoes!$C:$C,$A2456,Movimentacoes!$E:$E,$C2456,Movimentacoes!$B:$B,"SAIDA_USO")</f>
        <v/>
      </c>
      <c r="I2456" s="13">
        <f>SUMIFS(Movimentacoes!$G:$G,Movimentacoes!$C:$C,$A2456,Movimentacoes!$E:$E,$C2456,Movimentacoes!$B:$B,"SAIDA_DESCARTE")</f>
        <v/>
      </c>
      <c r="J2456" s="13">
        <f>G2456-H2456-I2456</f>
        <v/>
      </c>
      <c r="K2456">
        <f>IF(A2456="","",IF(J2456&lt;=IFERROR(VLOOKUP(A2456,Cadastro_Produtos!$A:$E,5,FALSE),0),"ABAIXO DO MINIMO","OK"))</f>
        <v/>
      </c>
    </row>
    <row r="2457">
      <c r="B2457">
        <f>IFERROR(VLOOKUP(A2457,Cadastro_Produtos!A:B,2,FALSE),"")</f>
        <v/>
      </c>
      <c r="D2457" s="12" t="n"/>
      <c r="E2457" s="13">
        <f>IF(D2457="","",D2457-TODAY())</f>
        <v/>
      </c>
      <c r="F2457">
        <f>IF(D2457="","",IF(E2457&lt;0,"VENCIDO",IF(E2457&lt;=30,"VENCE EM &lt;= 30 DIAS",IF(E2457&lt;=60,"ATENCAO (31-60 DIAS)","OK"))))</f>
        <v/>
      </c>
      <c r="G2457" s="13">
        <f>SUMIFS(Movimentacoes!$G:$G,Movimentacoes!$C:$C,$A2457,Movimentacoes!$E:$E,$C2457,Movimentacoes!$B:$B,"ENTRADA")</f>
        <v/>
      </c>
      <c r="H2457" s="13">
        <f>SUMIFS(Movimentacoes!$G:$G,Movimentacoes!$C:$C,$A2457,Movimentacoes!$E:$E,$C2457,Movimentacoes!$B:$B,"SAIDA_USO")</f>
        <v/>
      </c>
      <c r="I2457" s="13">
        <f>SUMIFS(Movimentacoes!$G:$G,Movimentacoes!$C:$C,$A2457,Movimentacoes!$E:$E,$C2457,Movimentacoes!$B:$B,"SAIDA_DESCARTE")</f>
        <v/>
      </c>
      <c r="J2457" s="13">
        <f>G2457-H2457-I2457</f>
        <v/>
      </c>
      <c r="K2457">
        <f>IF(A2457="","",IF(J2457&lt;=IFERROR(VLOOKUP(A2457,Cadastro_Produtos!$A:$E,5,FALSE),0),"ABAIXO DO MINIMO","OK"))</f>
        <v/>
      </c>
    </row>
    <row r="2458">
      <c r="B2458">
        <f>IFERROR(VLOOKUP(A2458,Cadastro_Produtos!A:B,2,FALSE),"")</f>
        <v/>
      </c>
      <c r="D2458" s="12" t="n"/>
      <c r="E2458" s="13">
        <f>IF(D2458="","",D2458-TODAY())</f>
        <v/>
      </c>
      <c r="F2458">
        <f>IF(D2458="","",IF(E2458&lt;0,"VENCIDO",IF(E2458&lt;=30,"VENCE EM &lt;= 30 DIAS",IF(E2458&lt;=60,"ATENCAO (31-60 DIAS)","OK"))))</f>
        <v/>
      </c>
      <c r="G2458" s="13">
        <f>SUMIFS(Movimentacoes!$G:$G,Movimentacoes!$C:$C,$A2458,Movimentacoes!$E:$E,$C2458,Movimentacoes!$B:$B,"ENTRADA")</f>
        <v/>
      </c>
      <c r="H2458" s="13">
        <f>SUMIFS(Movimentacoes!$G:$G,Movimentacoes!$C:$C,$A2458,Movimentacoes!$E:$E,$C2458,Movimentacoes!$B:$B,"SAIDA_USO")</f>
        <v/>
      </c>
      <c r="I2458" s="13">
        <f>SUMIFS(Movimentacoes!$G:$G,Movimentacoes!$C:$C,$A2458,Movimentacoes!$E:$E,$C2458,Movimentacoes!$B:$B,"SAIDA_DESCARTE")</f>
        <v/>
      </c>
      <c r="J2458" s="13">
        <f>G2458-H2458-I2458</f>
        <v/>
      </c>
      <c r="K2458">
        <f>IF(A2458="","",IF(J2458&lt;=IFERROR(VLOOKUP(A2458,Cadastro_Produtos!$A:$E,5,FALSE),0),"ABAIXO DO MINIMO","OK"))</f>
        <v/>
      </c>
    </row>
    <row r="2459">
      <c r="B2459">
        <f>IFERROR(VLOOKUP(A2459,Cadastro_Produtos!A:B,2,FALSE),"")</f>
        <v/>
      </c>
      <c r="D2459" s="12" t="n"/>
      <c r="E2459" s="13">
        <f>IF(D2459="","",D2459-TODAY())</f>
        <v/>
      </c>
      <c r="F2459">
        <f>IF(D2459="","",IF(E2459&lt;0,"VENCIDO",IF(E2459&lt;=30,"VENCE EM &lt;= 30 DIAS",IF(E2459&lt;=60,"ATENCAO (31-60 DIAS)","OK"))))</f>
        <v/>
      </c>
      <c r="G2459" s="13">
        <f>SUMIFS(Movimentacoes!$G:$G,Movimentacoes!$C:$C,$A2459,Movimentacoes!$E:$E,$C2459,Movimentacoes!$B:$B,"ENTRADA")</f>
        <v/>
      </c>
      <c r="H2459" s="13">
        <f>SUMIFS(Movimentacoes!$G:$G,Movimentacoes!$C:$C,$A2459,Movimentacoes!$E:$E,$C2459,Movimentacoes!$B:$B,"SAIDA_USO")</f>
        <v/>
      </c>
      <c r="I2459" s="13">
        <f>SUMIFS(Movimentacoes!$G:$G,Movimentacoes!$C:$C,$A2459,Movimentacoes!$E:$E,$C2459,Movimentacoes!$B:$B,"SAIDA_DESCARTE")</f>
        <v/>
      </c>
      <c r="J2459" s="13">
        <f>G2459-H2459-I2459</f>
        <v/>
      </c>
      <c r="K2459">
        <f>IF(A2459="","",IF(J2459&lt;=IFERROR(VLOOKUP(A2459,Cadastro_Produtos!$A:$E,5,FALSE),0),"ABAIXO DO MINIMO","OK"))</f>
        <v/>
      </c>
    </row>
    <row r="2460">
      <c r="B2460">
        <f>IFERROR(VLOOKUP(A2460,Cadastro_Produtos!A:B,2,FALSE),"")</f>
        <v/>
      </c>
      <c r="D2460" s="12" t="n"/>
      <c r="E2460" s="13">
        <f>IF(D2460="","",D2460-TODAY())</f>
        <v/>
      </c>
      <c r="F2460">
        <f>IF(D2460="","",IF(E2460&lt;0,"VENCIDO",IF(E2460&lt;=30,"VENCE EM &lt;= 30 DIAS",IF(E2460&lt;=60,"ATENCAO (31-60 DIAS)","OK"))))</f>
        <v/>
      </c>
      <c r="G2460" s="13">
        <f>SUMIFS(Movimentacoes!$G:$G,Movimentacoes!$C:$C,$A2460,Movimentacoes!$E:$E,$C2460,Movimentacoes!$B:$B,"ENTRADA")</f>
        <v/>
      </c>
      <c r="H2460" s="13">
        <f>SUMIFS(Movimentacoes!$G:$G,Movimentacoes!$C:$C,$A2460,Movimentacoes!$E:$E,$C2460,Movimentacoes!$B:$B,"SAIDA_USO")</f>
        <v/>
      </c>
      <c r="I2460" s="13">
        <f>SUMIFS(Movimentacoes!$G:$G,Movimentacoes!$C:$C,$A2460,Movimentacoes!$E:$E,$C2460,Movimentacoes!$B:$B,"SAIDA_DESCARTE")</f>
        <v/>
      </c>
      <c r="J2460" s="13">
        <f>G2460-H2460-I2460</f>
        <v/>
      </c>
      <c r="K2460">
        <f>IF(A2460="","",IF(J2460&lt;=IFERROR(VLOOKUP(A2460,Cadastro_Produtos!$A:$E,5,FALSE),0),"ABAIXO DO MINIMO","OK"))</f>
        <v/>
      </c>
    </row>
    <row r="2461">
      <c r="B2461">
        <f>IFERROR(VLOOKUP(A2461,Cadastro_Produtos!A:B,2,FALSE),"")</f>
        <v/>
      </c>
      <c r="D2461" s="12" t="n"/>
      <c r="E2461" s="13">
        <f>IF(D2461="","",D2461-TODAY())</f>
        <v/>
      </c>
      <c r="F2461">
        <f>IF(D2461="","",IF(E2461&lt;0,"VENCIDO",IF(E2461&lt;=30,"VENCE EM &lt;= 30 DIAS",IF(E2461&lt;=60,"ATENCAO (31-60 DIAS)","OK"))))</f>
        <v/>
      </c>
      <c r="G2461" s="13">
        <f>SUMIFS(Movimentacoes!$G:$G,Movimentacoes!$C:$C,$A2461,Movimentacoes!$E:$E,$C2461,Movimentacoes!$B:$B,"ENTRADA")</f>
        <v/>
      </c>
      <c r="H2461" s="13">
        <f>SUMIFS(Movimentacoes!$G:$G,Movimentacoes!$C:$C,$A2461,Movimentacoes!$E:$E,$C2461,Movimentacoes!$B:$B,"SAIDA_USO")</f>
        <v/>
      </c>
      <c r="I2461" s="13">
        <f>SUMIFS(Movimentacoes!$G:$G,Movimentacoes!$C:$C,$A2461,Movimentacoes!$E:$E,$C2461,Movimentacoes!$B:$B,"SAIDA_DESCARTE")</f>
        <v/>
      </c>
      <c r="J2461" s="13">
        <f>G2461-H2461-I2461</f>
        <v/>
      </c>
      <c r="K2461">
        <f>IF(A2461="","",IF(J2461&lt;=IFERROR(VLOOKUP(A2461,Cadastro_Produtos!$A:$E,5,FALSE),0),"ABAIXO DO MINIMO","OK"))</f>
        <v/>
      </c>
    </row>
    <row r="2462">
      <c r="B2462">
        <f>IFERROR(VLOOKUP(A2462,Cadastro_Produtos!A:B,2,FALSE),"")</f>
        <v/>
      </c>
      <c r="D2462" s="12" t="n"/>
      <c r="E2462" s="13">
        <f>IF(D2462="","",D2462-TODAY())</f>
        <v/>
      </c>
      <c r="F2462">
        <f>IF(D2462="","",IF(E2462&lt;0,"VENCIDO",IF(E2462&lt;=30,"VENCE EM &lt;= 30 DIAS",IF(E2462&lt;=60,"ATENCAO (31-60 DIAS)","OK"))))</f>
        <v/>
      </c>
      <c r="G2462" s="13">
        <f>SUMIFS(Movimentacoes!$G:$G,Movimentacoes!$C:$C,$A2462,Movimentacoes!$E:$E,$C2462,Movimentacoes!$B:$B,"ENTRADA")</f>
        <v/>
      </c>
      <c r="H2462" s="13">
        <f>SUMIFS(Movimentacoes!$G:$G,Movimentacoes!$C:$C,$A2462,Movimentacoes!$E:$E,$C2462,Movimentacoes!$B:$B,"SAIDA_USO")</f>
        <v/>
      </c>
      <c r="I2462" s="13">
        <f>SUMIFS(Movimentacoes!$G:$G,Movimentacoes!$C:$C,$A2462,Movimentacoes!$E:$E,$C2462,Movimentacoes!$B:$B,"SAIDA_DESCARTE")</f>
        <v/>
      </c>
      <c r="J2462" s="13">
        <f>G2462-H2462-I2462</f>
        <v/>
      </c>
      <c r="K2462">
        <f>IF(A2462="","",IF(J2462&lt;=IFERROR(VLOOKUP(A2462,Cadastro_Produtos!$A:$E,5,FALSE),0),"ABAIXO DO MINIMO","OK"))</f>
        <v/>
      </c>
    </row>
    <row r="2463">
      <c r="B2463">
        <f>IFERROR(VLOOKUP(A2463,Cadastro_Produtos!A:B,2,FALSE),"")</f>
        <v/>
      </c>
      <c r="D2463" s="12" t="n"/>
      <c r="E2463" s="13">
        <f>IF(D2463="","",D2463-TODAY())</f>
        <v/>
      </c>
      <c r="F2463">
        <f>IF(D2463="","",IF(E2463&lt;0,"VENCIDO",IF(E2463&lt;=30,"VENCE EM &lt;= 30 DIAS",IF(E2463&lt;=60,"ATENCAO (31-60 DIAS)","OK"))))</f>
        <v/>
      </c>
      <c r="G2463" s="13">
        <f>SUMIFS(Movimentacoes!$G:$G,Movimentacoes!$C:$C,$A2463,Movimentacoes!$E:$E,$C2463,Movimentacoes!$B:$B,"ENTRADA")</f>
        <v/>
      </c>
      <c r="H2463" s="13">
        <f>SUMIFS(Movimentacoes!$G:$G,Movimentacoes!$C:$C,$A2463,Movimentacoes!$E:$E,$C2463,Movimentacoes!$B:$B,"SAIDA_USO")</f>
        <v/>
      </c>
      <c r="I2463" s="13">
        <f>SUMIFS(Movimentacoes!$G:$G,Movimentacoes!$C:$C,$A2463,Movimentacoes!$E:$E,$C2463,Movimentacoes!$B:$B,"SAIDA_DESCARTE")</f>
        <v/>
      </c>
      <c r="J2463" s="13">
        <f>G2463-H2463-I2463</f>
        <v/>
      </c>
      <c r="K2463">
        <f>IF(A2463="","",IF(J2463&lt;=IFERROR(VLOOKUP(A2463,Cadastro_Produtos!$A:$E,5,FALSE),0),"ABAIXO DO MINIMO","OK"))</f>
        <v/>
      </c>
    </row>
    <row r="2464">
      <c r="B2464">
        <f>IFERROR(VLOOKUP(A2464,Cadastro_Produtos!A:B,2,FALSE),"")</f>
        <v/>
      </c>
      <c r="D2464" s="12" t="n"/>
      <c r="E2464" s="13">
        <f>IF(D2464="","",D2464-TODAY())</f>
        <v/>
      </c>
      <c r="F2464">
        <f>IF(D2464="","",IF(E2464&lt;0,"VENCIDO",IF(E2464&lt;=30,"VENCE EM &lt;= 30 DIAS",IF(E2464&lt;=60,"ATENCAO (31-60 DIAS)","OK"))))</f>
        <v/>
      </c>
      <c r="G2464" s="13">
        <f>SUMIFS(Movimentacoes!$G:$G,Movimentacoes!$C:$C,$A2464,Movimentacoes!$E:$E,$C2464,Movimentacoes!$B:$B,"ENTRADA")</f>
        <v/>
      </c>
      <c r="H2464" s="13">
        <f>SUMIFS(Movimentacoes!$G:$G,Movimentacoes!$C:$C,$A2464,Movimentacoes!$E:$E,$C2464,Movimentacoes!$B:$B,"SAIDA_USO")</f>
        <v/>
      </c>
      <c r="I2464" s="13">
        <f>SUMIFS(Movimentacoes!$G:$G,Movimentacoes!$C:$C,$A2464,Movimentacoes!$E:$E,$C2464,Movimentacoes!$B:$B,"SAIDA_DESCARTE")</f>
        <v/>
      </c>
      <c r="J2464" s="13">
        <f>G2464-H2464-I2464</f>
        <v/>
      </c>
      <c r="K2464">
        <f>IF(A2464="","",IF(J2464&lt;=IFERROR(VLOOKUP(A2464,Cadastro_Produtos!$A:$E,5,FALSE),0),"ABAIXO DO MINIMO","OK"))</f>
        <v/>
      </c>
    </row>
    <row r="2465">
      <c r="B2465">
        <f>IFERROR(VLOOKUP(A2465,Cadastro_Produtos!A:B,2,FALSE),"")</f>
        <v/>
      </c>
      <c r="D2465" s="12" t="n"/>
      <c r="E2465" s="13">
        <f>IF(D2465="","",D2465-TODAY())</f>
        <v/>
      </c>
      <c r="F2465">
        <f>IF(D2465="","",IF(E2465&lt;0,"VENCIDO",IF(E2465&lt;=30,"VENCE EM &lt;= 30 DIAS",IF(E2465&lt;=60,"ATENCAO (31-60 DIAS)","OK"))))</f>
        <v/>
      </c>
      <c r="G2465" s="13">
        <f>SUMIFS(Movimentacoes!$G:$G,Movimentacoes!$C:$C,$A2465,Movimentacoes!$E:$E,$C2465,Movimentacoes!$B:$B,"ENTRADA")</f>
        <v/>
      </c>
      <c r="H2465" s="13">
        <f>SUMIFS(Movimentacoes!$G:$G,Movimentacoes!$C:$C,$A2465,Movimentacoes!$E:$E,$C2465,Movimentacoes!$B:$B,"SAIDA_USO")</f>
        <v/>
      </c>
      <c r="I2465" s="13">
        <f>SUMIFS(Movimentacoes!$G:$G,Movimentacoes!$C:$C,$A2465,Movimentacoes!$E:$E,$C2465,Movimentacoes!$B:$B,"SAIDA_DESCARTE")</f>
        <v/>
      </c>
      <c r="J2465" s="13">
        <f>G2465-H2465-I2465</f>
        <v/>
      </c>
      <c r="K2465">
        <f>IF(A2465="","",IF(J2465&lt;=IFERROR(VLOOKUP(A2465,Cadastro_Produtos!$A:$E,5,FALSE),0),"ABAIXO DO MINIMO","OK"))</f>
        <v/>
      </c>
    </row>
    <row r="2466">
      <c r="B2466">
        <f>IFERROR(VLOOKUP(A2466,Cadastro_Produtos!A:B,2,FALSE),"")</f>
        <v/>
      </c>
      <c r="D2466" s="12" t="n"/>
      <c r="E2466" s="13">
        <f>IF(D2466="","",D2466-TODAY())</f>
        <v/>
      </c>
      <c r="F2466">
        <f>IF(D2466="","",IF(E2466&lt;0,"VENCIDO",IF(E2466&lt;=30,"VENCE EM &lt;= 30 DIAS",IF(E2466&lt;=60,"ATENCAO (31-60 DIAS)","OK"))))</f>
        <v/>
      </c>
      <c r="G2466" s="13">
        <f>SUMIFS(Movimentacoes!$G:$G,Movimentacoes!$C:$C,$A2466,Movimentacoes!$E:$E,$C2466,Movimentacoes!$B:$B,"ENTRADA")</f>
        <v/>
      </c>
      <c r="H2466" s="13">
        <f>SUMIFS(Movimentacoes!$G:$G,Movimentacoes!$C:$C,$A2466,Movimentacoes!$E:$E,$C2466,Movimentacoes!$B:$B,"SAIDA_USO")</f>
        <v/>
      </c>
      <c r="I2466" s="13">
        <f>SUMIFS(Movimentacoes!$G:$G,Movimentacoes!$C:$C,$A2466,Movimentacoes!$E:$E,$C2466,Movimentacoes!$B:$B,"SAIDA_DESCARTE")</f>
        <v/>
      </c>
      <c r="J2466" s="13">
        <f>G2466-H2466-I2466</f>
        <v/>
      </c>
      <c r="K2466">
        <f>IF(A2466="","",IF(J2466&lt;=IFERROR(VLOOKUP(A2466,Cadastro_Produtos!$A:$E,5,FALSE),0),"ABAIXO DO MINIMO","OK"))</f>
        <v/>
      </c>
    </row>
    <row r="2467">
      <c r="B2467">
        <f>IFERROR(VLOOKUP(A2467,Cadastro_Produtos!A:B,2,FALSE),"")</f>
        <v/>
      </c>
      <c r="D2467" s="12" t="n"/>
      <c r="E2467" s="13">
        <f>IF(D2467="","",D2467-TODAY())</f>
        <v/>
      </c>
      <c r="F2467">
        <f>IF(D2467="","",IF(E2467&lt;0,"VENCIDO",IF(E2467&lt;=30,"VENCE EM &lt;= 30 DIAS",IF(E2467&lt;=60,"ATENCAO (31-60 DIAS)","OK"))))</f>
        <v/>
      </c>
      <c r="G2467" s="13">
        <f>SUMIFS(Movimentacoes!$G:$G,Movimentacoes!$C:$C,$A2467,Movimentacoes!$E:$E,$C2467,Movimentacoes!$B:$B,"ENTRADA")</f>
        <v/>
      </c>
      <c r="H2467" s="13">
        <f>SUMIFS(Movimentacoes!$G:$G,Movimentacoes!$C:$C,$A2467,Movimentacoes!$E:$E,$C2467,Movimentacoes!$B:$B,"SAIDA_USO")</f>
        <v/>
      </c>
      <c r="I2467" s="13">
        <f>SUMIFS(Movimentacoes!$G:$G,Movimentacoes!$C:$C,$A2467,Movimentacoes!$E:$E,$C2467,Movimentacoes!$B:$B,"SAIDA_DESCARTE")</f>
        <v/>
      </c>
      <c r="J2467" s="13">
        <f>G2467-H2467-I2467</f>
        <v/>
      </c>
      <c r="K2467">
        <f>IF(A2467="","",IF(J2467&lt;=IFERROR(VLOOKUP(A2467,Cadastro_Produtos!$A:$E,5,FALSE),0),"ABAIXO DO MINIMO","OK"))</f>
        <v/>
      </c>
    </row>
    <row r="2468">
      <c r="B2468">
        <f>IFERROR(VLOOKUP(A2468,Cadastro_Produtos!A:B,2,FALSE),"")</f>
        <v/>
      </c>
      <c r="D2468" s="12" t="n"/>
      <c r="E2468" s="13">
        <f>IF(D2468="","",D2468-TODAY())</f>
        <v/>
      </c>
      <c r="F2468">
        <f>IF(D2468="","",IF(E2468&lt;0,"VENCIDO",IF(E2468&lt;=30,"VENCE EM &lt;= 30 DIAS",IF(E2468&lt;=60,"ATENCAO (31-60 DIAS)","OK"))))</f>
        <v/>
      </c>
      <c r="G2468" s="13">
        <f>SUMIFS(Movimentacoes!$G:$G,Movimentacoes!$C:$C,$A2468,Movimentacoes!$E:$E,$C2468,Movimentacoes!$B:$B,"ENTRADA")</f>
        <v/>
      </c>
      <c r="H2468" s="13">
        <f>SUMIFS(Movimentacoes!$G:$G,Movimentacoes!$C:$C,$A2468,Movimentacoes!$E:$E,$C2468,Movimentacoes!$B:$B,"SAIDA_USO")</f>
        <v/>
      </c>
      <c r="I2468" s="13">
        <f>SUMIFS(Movimentacoes!$G:$G,Movimentacoes!$C:$C,$A2468,Movimentacoes!$E:$E,$C2468,Movimentacoes!$B:$B,"SAIDA_DESCARTE")</f>
        <v/>
      </c>
      <c r="J2468" s="13">
        <f>G2468-H2468-I2468</f>
        <v/>
      </c>
      <c r="K2468">
        <f>IF(A2468="","",IF(J2468&lt;=IFERROR(VLOOKUP(A2468,Cadastro_Produtos!$A:$E,5,FALSE),0),"ABAIXO DO MINIMO","OK"))</f>
        <v/>
      </c>
    </row>
    <row r="2469">
      <c r="B2469">
        <f>IFERROR(VLOOKUP(A2469,Cadastro_Produtos!A:B,2,FALSE),"")</f>
        <v/>
      </c>
      <c r="D2469" s="12" t="n"/>
      <c r="E2469" s="13">
        <f>IF(D2469="","",D2469-TODAY())</f>
        <v/>
      </c>
      <c r="F2469">
        <f>IF(D2469="","",IF(E2469&lt;0,"VENCIDO",IF(E2469&lt;=30,"VENCE EM &lt;= 30 DIAS",IF(E2469&lt;=60,"ATENCAO (31-60 DIAS)","OK"))))</f>
        <v/>
      </c>
      <c r="G2469" s="13">
        <f>SUMIFS(Movimentacoes!$G:$G,Movimentacoes!$C:$C,$A2469,Movimentacoes!$E:$E,$C2469,Movimentacoes!$B:$B,"ENTRADA")</f>
        <v/>
      </c>
      <c r="H2469" s="13">
        <f>SUMIFS(Movimentacoes!$G:$G,Movimentacoes!$C:$C,$A2469,Movimentacoes!$E:$E,$C2469,Movimentacoes!$B:$B,"SAIDA_USO")</f>
        <v/>
      </c>
      <c r="I2469" s="13">
        <f>SUMIFS(Movimentacoes!$G:$G,Movimentacoes!$C:$C,$A2469,Movimentacoes!$E:$E,$C2469,Movimentacoes!$B:$B,"SAIDA_DESCARTE")</f>
        <v/>
      </c>
      <c r="J2469" s="13">
        <f>G2469-H2469-I2469</f>
        <v/>
      </c>
      <c r="K2469">
        <f>IF(A2469="","",IF(J2469&lt;=IFERROR(VLOOKUP(A2469,Cadastro_Produtos!$A:$E,5,FALSE),0),"ABAIXO DO MINIMO","OK"))</f>
        <v/>
      </c>
    </row>
    <row r="2470">
      <c r="B2470">
        <f>IFERROR(VLOOKUP(A2470,Cadastro_Produtos!A:B,2,FALSE),"")</f>
        <v/>
      </c>
      <c r="D2470" s="12" t="n"/>
      <c r="E2470" s="13">
        <f>IF(D2470="","",D2470-TODAY())</f>
        <v/>
      </c>
      <c r="F2470">
        <f>IF(D2470="","",IF(E2470&lt;0,"VENCIDO",IF(E2470&lt;=30,"VENCE EM &lt;= 30 DIAS",IF(E2470&lt;=60,"ATENCAO (31-60 DIAS)","OK"))))</f>
        <v/>
      </c>
      <c r="G2470" s="13">
        <f>SUMIFS(Movimentacoes!$G:$G,Movimentacoes!$C:$C,$A2470,Movimentacoes!$E:$E,$C2470,Movimentacoes!$B:$B,"ENTRADA")</f>
        <v/>
      </c>
      <c r="H2470" s="13">
        <f>SUMIFS(Movimentacoes!$G:$G,Movimentacoes!$C:$C,$A2470,Movimentacoes!$E:$E,$C2470,Movimentacoes!$B:$B,"SAIDA_USO")</f>
        <v/>
      </c>
      <c r="I2470" s="13">
        <f>SUMIFS(Movimentacoes!$G:$G,Movimentacoes!$C:$C,$A2470,Movimentacoes!$E:$E,$C2470,Movimentacoes!$B:$B,"SAIDA_DESCARTE")</f>
        <v/>
      </c>
      <c r="J2470" s="13">
        <f>G2470-H2470-I2470</f>
        <v/>
      </c>
      <c r="K2470">
        <f>IF(A2470="","",IF(J2470&lt;=IFERROR(VLOOKUP(A2470,Cadastro_Produtos!$A:$E,5,FALSE),0),"ABAIXO DO MINIMO","OK"))</f>
        <v/>
      </c>
    </row>
    <row r="2471">
      <c r="B2471">
        <f>IFERROR(VLOOKUP(A2471,Cadastro_Produtos!A:B,2,FALSE),"")</f>
        <v/>
      </c>
      <c r="D2471" s="12" t="n"/>
      <c r="E2471" s="13">
        <f>IF(D2471="","",D2471-TODAY())</f>
        <v/>
      </c>
      <c r="F2471">
        <f>IF(D2471="","",IF(E2471&lt;0,"VENCIDO",IF(E2471&lt;=30,"VENCE EM &lt;= 30 DIAS",IF(E2471&lt;=60,"ATENCAO (31-60 DIAS)","OK"))))</f>
        <v/>
      </c>
      <c r="G2471" s="13">
        <f>SUMIFS(Movimentacoes!$G:$G,Movimentacoes!$C:$C,$A2471,Movimentacoes!$E:$E,$C2471,Movimentacoes!$B:$B,"ENTRADA")</f>
        <v/>
      </c>
      <c r="H2471" s="13">
        <f>SUMIFS(Movimentacoes!$G:$G,Movimentacoes!$C:$C,$A2471,Movimentacoes!$E:$E,$C2471,Movimentacoes!$B:$B,"SAIDA_USO")</f>
        <v/>
      </c>
      <c r="I2471" s="13">
        <f>SUMIFS(Movimentacoes!$G:$G,Movimentacoes!$C:$C,$A2471,Movimentacoes!$E:$E,$C2471,Movimentacoes!$B:$B,"SAIDA_DESCARTE")</f>
        <v/>
      </c>
      <c r="J2471" s="13">
        <f>G2471-H2471-I2471</f>
        <v/>
      </c>
      <c r="K2471">
        <f>IF(A2471="","",IF(J2471&lt;=IFERROR(VLOOKUP(A2471,Cadastro_Produtos!$A:$E,5,FALSE),0),"ABAIXO DO MINIMO","OK"))</f>
        <v/>
      </c>
    </row>
    <row r="2472">
      <c r="B2472">
        <f>IFERROR(VLOOKUP(A2472,Cadastro_Produtos!A:B,2,FALSE),"")</f>
        <v/>
      </c>
      <c r="D2472" s="12" t="n"/>
      <c r="E2472" s="13">
        <f>IF(D2472="","",D2472-TODAY())</f>
        <v/>
      </c>
      <c r="F2472">
        <f>IF(D2472="","",IF(E2472&lt;0,"VENCIDO",IF(E2472&lt;=30,"VENCE EM &lt;= 30 DIAS",IF(E2472&lt;=60,"ATENCAO (31-60 DIAS)","OK"))))</f>
        <v/>
      </c>
      <c r="G2472" s="13">
        <f>SUMIFS(Movimentacoes!$G:$G,Movimentacoes!$C:$C,$A2472,Movimentacoes!$E:$E,$C2472,Movimentacoes!$B:$B,"ENTRADA")</f>
        <v/>
      </c>
      <c r="H2472" s="13">
        <f>SUMIFS(Movimentacoes!$G:$G,Movimentacoes!$C:$C,$A2472,Movimentacoes!$E:$E,$C2472,Movimentacoes!$B:$B,"SAIDA_USO")</f>
        <v/>
      </c>
      <c r="I2472" s="13">
        <f>SUMIFS(Movimentacoes!$G:$G,Movimentacoes!$C:$C,$A2472,Movimentacoes!$E:$E,$C2472,Movimentacoes!$B:$B,"SAIDA_DESCARTE")</f>
        <v/>
      </c>
      <c r="J2472" s="13">
        <f>G2472-H2472-I2472</f>
        <v/>
      </c>
      <c r="K2472">
        <f>IF(A2472="","",IF(J2472&lt;=IFERROR(VLOOKUP(A2472,Cadastro_Produtos!$A:$E,5,FALSE),0),"ABAIXO DO MINIMO","OK"))</f>
        <v/>
      </c>
    </row>
    <row r="2473">
      <c r="B2473">
        <f>IFERROR(VLOOKUP(A2473,Cadastro_Produtos!A:B,2,FALSE),"")</f>
        <v/>
      </c>
      <c r="D2473" s="12" t="n"/>
      <c r="E2473" s="13">
        <f>IF(D2473="","",D2473-TODAY())</f>
        <v/>
      </c>
      <c r="F2473">
        <f>IF(D2473="","",IF(E2473&lt;0,"VENCIDO",IF(E2473&lt;=30,"VENCE EM &lt;= 30 DIAS",IF(E2473&lt;=60,"ATENCAO (31-60 DIAS)","OK"))))</f>
        <v/>
      </c>
      <c r="G2473" s="13">
        <f>SUMIFS(Movimentacoes!$G:$G,Movimentacoes!$C:$C,$A2473,Movimentacoes!$E:$E,$C2473,Movimentacoes!$B:$B,"ENTRADA")</f>
        <v/>
      </c>
      <c r="H2473" s="13">
        <f>SUMIFS(Movimentacoes!$G:$G,Movimentacoes!$C:$C,$A2473,Movimentacoes!$E:$E,$C2473,Movimentacoes!$B:$B,"SAIDA_USO")</f>
        <v/>
      </c>
      <c r="I2473" s="13">
        <f>SUMIFS(Movimentacoes!$G:$G,Movimentacoes!$C:$C,$A2473,Movimentacoes!$E:$E,$C2473,Movimentacoes!$B:$B,"SAIDA_DESCARTE")</f>
        <v/>
      </c>
      <c r="J2473" s="13">
        <f>G2473-H2473-I2473</f>
        <v/>
      </c>
      <c r="K2473">
        <f>IF(A2473="","",IF(J2473&lt;=IFERROR(VLOOKUP(A2473,Cadastro_Produtos!$A:$E,5,FALSE),0),"ABAIXO DO MINIMO","OK"))</f>
        <v/>
      </c>
    </row>
    <row r="2474">
      <c r="B2474">
        <f>IFERROR(VLOOKUP(A2474,Cadastro_Produtos!A:B,2,FALSE),"")</f>
        <v/>
      </c>
      <c r="D2474" s="12" t="n"/>
      <c r="E2474" s="13">
        <f>IF(D2474="","",D2474-TODAY())</f>
        <v/>
      </c>
      <c r="F2474">
        <f>IF(D2474="","",IF(E2474&lt;0,"VENCIDO",IF(E2474&lt;=30,"VENCE EM &lt;= 30 DIAS",IF(E2474&lt;=60,"ATENCAO (31-60 DIAS)","OK"))))</f>
        <v/>
      </c>
      <c r="G2474" s="13">
        <f>SUMIFS(Movimentacoes!$G:$G,Movimentacoes!$C:$C,$A2474,Movimentacoes!$E:$E,$C2474,Movimentacoes!$B:$B,"ENTRADA")</f>
        <v/>
      </c>
      <c r="H2474" s="13">
        <f>SUMIFS(Movimentacoes!$G:$G,Movimentacoes!$C:$C,$A2474,Movimentacoes!$E:$E,$C2474,Movimentacoes!$B:$B,"SAIDA_USO")</f>
        <v/>
      </c>
      <c r="I2474" s="13">
        <f>SUMIFS(Movimentacoes!$G:$G,Movimentacoes!$C:$C,$A2474,Movimentacoes!$E:$E,$C2474,Movimentacoes!$B:$B,"SAIDA_DESCARTE")</f>
        <v/>
      </c>
      <c r="J2474" s="13">
        <f>G2474-H2474-I2474</f>
        <v/>
      </c>
      <c r="K2474">
        <f>IF(A2474="","",IF(J2474&lt;=IFERROR(VLOOKUP(A2474,Cadastro_Produtos!$A:$E,5,FALSE),0),"ABAIXO DO MINIMO","OK"))</f>
        <v/>
      </c>
    </row>
    <row r="2475">
      <c r="B2475">
        <f>IFERROR(VLOOKUP(A2475,Cadastro_Produtos!A:B,2,FALSE),"")</f>
        <v/>
      </c>
      <c r="D2475" s="12" t="n"/>
      <c r="E2475" s="13">
        <f>IF(D2475="","",D2475-TODAY())</f>
        <v/>
      </c>
      <c r="F2475">
        <f>IF(D2475="","",IF(E2475&lt;0,"VENCIDO",IF(E2475&lt;=30,"VENCE EM &lt;= 30 DIAS",IF(E2475&lt;=60,"ATENCAO (31-60 DIAS)","OK"))))</f>
        <v/>
      </c>
      <c r="G2475" s="13">
        <f>SUMIFS(Movimentacoes!$G:$G,Movimentacoes!$C:$C,$A2475,Movimentacoes!$E:$E,$C2475,Movimentacoes!$B:$B,"ENTRADA")</f>
        <v/>
      </c>
      <c r="H2475" s="13">
        <f>SUMIFS(Movimentacoes!$G:$G,Movimentacoes!$C:$C,$A2475,Movimentacoes!$E:$E,$C2475,Movimentacoes!$B:$B,"SAIDA_USO")</f>
        <v/>
      </c>
      <c r="I2475" s="13">
        <f>SUMIFS(Movimentacoes!$G:$G,Movimentacoes!$C:$C,$A2475,Movimentacoes!$E:$E,$C2475,Movimentacoes!$B:$B,"SAIDA_DESCARTE")</f>
        <v/>
      </c>
      <c r="J2475" s="13">
        <f>G2475-H2475-I2475</f>
        <v/>
      </c>
      <c r="K2475">
        <f>IF(A2475="","",IF(J2475&lt;=IFERROR(VLOOKUP(A2475,Cadastro_Produtos!$A:$E,5,FALSE),0),"ABAIXO DO MINIMO","OK"))</f>
        <v/>
      </c>
    </row>
    <row r="2476">
      <c r="B2476">
        <f>IFERROR(VLOOKUP(A2476,Cadastro_Produtos!A:B,2,FALSE),"")</f>
        <v/>
      </c>
      <c r="D2476" s="12" t="n"/>
      <c r="E2476" s="13">
        <f>IF(D2476="","",D2476-TODAY())</f>
        <v/>
      </c>
      <c r="F2476">
        <f>IF(D2476="","",IF(E2476&lt;0,"VENCIDO",IF(E2476&lt;=30,"VENCE EM &lt;= 30 DIAS",IF(E2476&lt;=60,"ATENCAO (31-60 DIAS)","OK"))))</f>
        <v/>
      </c>
      <c r="G2476" s="13">
        <f>SUMIFS(Movimentacoes!$G:$G,Movimentacoes!$C:$C,$A2476,Movimentacoes!$E:$E,$C2476,Movimentacoes!$B:$B,"ENTRADA")</f>
        <v/>
      </c>
      <c r="H2476" s="13">
        <f>SUMIFS(Movimentacoes!$G:$G,Movimentacoes!$C:$C,$A2476,Movimentacoes!$E:$E,$C2476,Movimentacoes!$B:$B,"SAIDA_USO")</f>
        <v/>
      </c>
      <c r="I2476" s="13">
        <f>SUMIFS(Movimentacoes!$G:$G,Movimentacoes!$C:$C,$A2476,Movimentacoes!$E:$E,$C2476,Movimentacoes!$B:$B,"SAIDA_DESCARTE")</f>
        <v/>
      </c>
      <c r="J2476" s="13">
        <f>G2476-H2476-I2476</f>
        <v/>
      </c>
      <c r="K2476">
        <f>IF(A2476="","",IF(J2476&lt;=IFERROR(VLOOKUP(A2476,Cadastro_Produtos!$A:$E,5,FALSE),0),"ABAIXO DO MINIMO","OK"))</f>
        <v/>
      </c>
    </row>
    <row r="2477">
      <c r="B2477">
        <f>IFERROR(VLOOKUP(A2477,Cadastro_Produtos!A:B,2,FALSE),"")</f>
        <v/>
      </c>
      <c r="D2477" s="12" t="n"/>
      <c r="E2477" s="13">
        <f>IF(D2477="","",D2477-TODAY())</f>
        <v/>
      </c>
      <c r="F2477">
        <f>IF(D2477="","",IF(E2477&lt;0,"VENCIDO",IF(E2477&lt;=30,"VENCE EM &lt;= 30 DIAS",IF(E2477&lt;=60,"ATENCAO (31-60 DIAS)","OK"))))</f>
        <v/>
      </c>
      <c r="G2477" s="13">
        <f>SUMIFS(Movimentacoes!$G:$G,Movimentacoes!$C:$C,$A2477,Movimentacoes!$E:$E,$C2477,Movimentacoes!$B:$B,"ENTRADA")</f>
        <v/>
      </c>
      <c r="H2477" s="13">
        <f>SUMIFS(Movimentacoes!$G:$G,Movimentacoes!$C:$C,$A2477,Movimentacoes!$E:$E,$C2477,Movimentacoes!$B:$B,"SAIDA_USO")</f>
        <v/>
      </c>
      <c r="I2477" s="13">
        <f>SUMIFS(Movimentacoes!$G:$G,Movimentacoes!$C:$C,$A2477,Movimentacoes!$E:$E,$C2477,Movimentacoes!$B:$B,"SAIDA_DESCARTE")</f>
        <v/>
      </c>
      <c r="J2477" s="13">
        <f>G2477-H2477-I2477</f>
        <v/>
      </c>
      <c r="K2477">
        <f>IF(A2477="","",IF(J2477&lt;=IFERROR(VLOOKUP(A2477,Cadastro_Produtos!$A:$E,5,FALSE),0),"ABAIXO DO MINIMO","OK"))</f>
        <v/>
      </c>
    </row>
    <row r="2478">
      <c r="B2478">
        <f>IFERROR(VLOOKUP(A2478,Cadastro_Produtos!A:B,2,FALSE),"")</f>
        <v/>
      </c>
      <c r="D2478" s="12" t="n"/>
      <c r="E2478" s="13">
        <f>IF(D2478="","",D2478-TODAY())</f>
        <v/>
      </c>
      <c r="F2478">
        <f>IF(D2478="","",IF(E2478&lt;0,"VENCIDO",IF(E2478&lt;=30,"VENCE EM &lt;= 30 DIAS",IF(E2478&lt;=60,"ATENCAO (31-60 DIAS)","OK"))))</f>
        <v/>
      </c>
      <c r="G2478" s="13">
        <f>SUMIFS(Movimentacoes!$G:$G,Movimentacoes!$C:$C,$A2478,Movimentacoes!$E:$E,$C2478,Movimentacoes!$B:$B,"ENTRADA")</f>
        <v/>
      </c>
      <c r="H2478" s="13">
        <f>SUMIFS(Movimentacoes!$G:$G,Movimentacoes!$C:$C,$A2478,Movimentacoes!$E:$E,$C2478,Movimentacoes!$B:$B,"SAIDA_USO")</f>
        <v/>
      </c>
      <c r="I2478" s="13">
        <f>SUMIFS(Movimentacoes!$G:$G,Movimentacoes!$C:$C,$A2478,Movimentacoes!$E:$E,$C2478,Movimentacoes!$B:$B,"SAIDA_DESCARTE")</f>
        <v/>
      </c>
      <c r="J2478" s="13">
        <f>G2478-H2478-I2478</f>
        <v/>
      </c>
      <c r="K2478">
        <f>IF(A2478="","",IF(J2478&lt;=IFERROR(VLOOKUP(A2478,Cadastro_Produtos!$A:$E,5,FALSE),0),"ABAIXO DO MINIMO","OK"))</f>
        <v/>
      </c>
    </row>
    <row r="2479">
      <c r="B2479">
        <f>IFERROR(VLOOKUP(A2479,Cadastro_Produtos!A:B,2,FALSE),"")</f>
        <v/>
      </c>
      <c r="D2479" s="12" t="n"/>
      <c r="E2479" s="13">
        <f>IF(D2479="","",D2479-TODAY())</f>
        <v/>
      </c>
      <c r="F2479">
        <f>IF(D2479="","",IF(E2479&lt;0,"VENCIDO",IF(E2479&lt;=30,"VENCE EM &lt;= 30 DIAS",IF(E2479&lt;=60,"ATENCAO (31-60 DIAS)","OK"))))</f>
        <v/>
      </c>
      <c r="G2479" s="13">
        <f>SUMIFS(Movimentacoes!$G:$G,Movimentacoes!$C:$C,$A2479,Movimentacoes!$E:$E,$C2479,Movimentacoes!$B:$B,"ENTRADA")</f>
        <v/>
      </c>
      <c r="H2479" s="13">
        <f>SUMIFS(Movimentacoes!$G:$G,Movimentacoes!$C:$C,$A2479,Movimentacoes!$E:$E,$C2479,Movimentacoes!$B:$B,"SAIDA_USO")</f>
        <v/>
      </c>
      <c r="I2479" s="13">
        <f>SUMIFS(Movimentacoes!$G:$G,Movimentacoes!$C:$C,$A2479,Movimentacoes!$E:$E,$C2479,Movimentacoes!$B:$B,"SAIDA_DESCARTE")</f>
        <v/>
      </c>
      <c r="J2479" s="13">
        <f>G2479-H2479-I2479</f>
        <v/>
      </c>
      <c r="K2479">
        <f>IF(A2479="","",IF(J2479&lt;=IFERROR(VLOOKUP(A2479,Cadastro_Produtos!$A:$E,5,FALSE),0),"ABAIXO DO MINIMO","OK"))</f>
        <v/>
      </c>
    </row>
    <row r="2480">
      <c r="B2480">
        <f>IFERROR(VLOOKUP(A2480,Cadastro_Produtos!A:B,2,FALSE),"")</f>
        <v/>
      </c>
      <c r="D2480" s="12" t="n"/>
      <c r="E2480" s="13">
        <f>IF(D2480="","",D2480-TODAY())</f>
        <v/>
      </c>
      <c r="F2480">
        <f>IF(D2480="","",IF(E2480&lt;0,"VENCIDO",IF(E2480&lt;=30,"VENCE EM &lt;= 30 DIAS",IF(E2480&lt;=60,"ATENCAO (31-60 DIAS)","OK"))))</f>
        <v/>
      </c>
      <c r="G2480" s="13">
        <f>SUMIFS(Movimentacoes!$G:$G,Movimentacoes!$C:$C,$A2480,Movimentacoes!$E:$E,$C2480,Movimentacoes!$B:$B,"ENTRADA")</f>
        <v/>
      </c>
      <c r="H2480" s="13">
        <f>SUMIFS(Movimentacoes!$G:$G,Movimentacoes!$C:$C,$A2480,Movimentacoes!$E:$E,$C2480,Movimentacoes!$B:$B,"SAIDA_USO")</f>
        <v/>
      </c>
      <c r="I2480" s="13">
        <f>SUMIFS(Movimentacoes!$G:$G,Movimentacoes!$C:$C,$A2480,Movimentacoes!$E:$E,$C2480,Movimentacoes!$B:$B,"SAIDA_DESCARTE")</f>
        <v/>
      </c>
      <c r="J2480" s="13">
        <f>G2480-H2480-I2480</f>
        <v/>
      </c>
      <c r="K2480">
        <f>IF(A2480="","",IF(J2480&lt;=IFERROR(VLOOKUP(A2480,Cadastro_Produtos!$A:$E,5,FALSE),0),"ABAIXO DO MINIMO","OK"))</f>
        <v/>
      </c>
    </row>
    <row r="2481">
      <c r="B2481">
        <f>IFERROR(VLOOKUP(A2481,Cadastro_Produtos!A:B,2,FALSE),"")</f>
        <v/>
      </c>
      <c r="D2481" s="12" t="n"/>
      <c r="E2481" s="13">
        <f>IF(D2481="","",D2481-TODAY())</f>
        <v/>
      </c>
      <c r="F2481">
        <f>IF(D2481="","",IF(E2481&lt;0,"VENCIDO",IF(E2481&lt;=30,"VENCE EM &lt;= 30 DIAS",IF(E2481&lt;=60,"ATENCAO (31-60 DIAS)","OK"))))</f>
        <v/>
      </c>
      <c r="G2481" s="13">
        <f>SUMIFS(Movimentacoes!$G:$G,Movimentacoes!$C:$C,$A2481,Movimentacoes!$E:$E,$C2481,Movimentacoes!$B:$B,"ENTRADA")</f>
        <v/>
      </c>
      <c r="H2481" s="13">
        <f>SUMIFS(Movimentacoes!$G:$G,Movimentacoes!$C:$C,$A2481,Movimentacoes!$E:$E,$C2481,Movimentacoes!$B:$B,"SAIDA_USO")</f>
        <v/>
      </c>
      <c r="I2481" s="13">
        <f>SUMIFS(Movimentacoes!$G:$G,Movimentacoes!$C:$C,$A2481,Movimentacoes!$E:$E,$C2481,Movimentacoes!$B:$B,"SAIDA_DESCARTE")</f>
        <v/>
      </c>
      <c r="J2481" s="13">
        <f>G2481-H2481-I2481</f>
        <v/>
      </c>
      <c r="K2481">
        <f>IF(A2481="","",IF(J2481&lt;=IFERROR(VLOOKUP(A2481,Cadastro_Produtos!$A:$E,5,FALSE),0),"ABAIXO DO MINIMO","OK"))</f>
        <v/>
      </c>
    </row>
    <row r="2482">
      <c r="B2482">
        <f>IFERROR(VLOOKUP(A2482,Cadastro_Produtos!A:B,2,FALSE),"")</f>
        <v/>
      </c>
      <c r="D2482" s="12" t="n"/>
      <c r="E2482" s="13">
        <f>IF(D2482="","",D2482-TODAY())</f>
        <v/>
      </c>
      <c r="F2482">
        <f>IF(D2482="","",IF(E2482&lt;0,"VENCIDO",IF(E2482&lt;=30,"VENCE EM &lt;= 30 DIAS",IF(E2482&lt;=60,"ATENCAO (31-60 DIAS)","OK"))))</f>
        <v/>
      </c>
      <c r="G2482" s="13">
        <f>SUMIFS(Movimentacoes!$G:$G,Movimentacoes!$C:$C,$A2482,Movimentacoes!$E:$E,$C2482,Movimentacoes!$B:$B,"ENTRADA")</f>
        <v/>
      </c>
      <c r="H2482" s="13">
        <f>SUMIFS(Movimentacoes!$G:$G,Movimentacoes!$C:$C,$A2482,Movimentacoes!$E:$E,$C2482,Movimentacoes!$B:$B,"SAIDA_USO")</f>
        <v/>
      </c>
      <c r="I2482" s="13">
        <f>SUMIFS(Movimentacoes!$G:$G,Movimentacoes!$C:$C,$A2482,Movimentacoes!$E:$E,$C2482,Movimentacoes!$B:$B,"SAIDA_DESCARTE")</f>
        <v/>
      </c>
      <c r="J2482" s="13">
        <f>G2482-H2482-I2482</f>
        <v/>
      </c>
      <c r="K2482">
        <f>IF(A2482="","",IF(J2482&lt;=IFERROR(VLOOKUP(A2482,Cadastro_Produtos!$A:$E,5,FALSE),0),"ABAIXO DO MINIMO","OK"))</f>
        <v/>
      </c>
    </row>
    <row r="2483">
      <c r="B2483">
        <f>IFERROR(VLOOKUP(A2483,Cadastro_Produtos!A:B,2,FALSE),"")</f>
        <v/>
      </c>
      <c r="D2483" s="12" t="n"/>
      <c r="E2483" s="13">
        <f>IF(D2483="","",D2483-TODAY())</f>
        <v/>
      </c>
      <c r="F2483">
        <f>IF(D2483="","",IF(E2483&lt;0,"VENCIDO",IF(E2483&lt;=30,"VENCE EM &lt;= 30 DIAS",IF(E2483&lt;=60,"ATENCAO (31-60 DIAS)","OK"))))</f>
        <v/>
      </c>
      <c r="G2483" s="13">
        <f>SUMIFS(Movimentacoes!$G:$G,Movimentacoes!$C:$C,$A2483,Movimentacoes!$E:$E,$C2483,Movimentacoes!$B:$B,"ENTRADA")</f>
        <v/>
      </c>
      <c r="H2483" s="13">
        <f>SUMIFS(Movimentacoes!$G:$G,Movimentacoes!$C:$C,$A2483,Movimentacoes!$E:$E,$C2483,Movimentacoes!$B:$B,"SAIDA_USO")</f>
        <v/>
      </c>
      <c r="I2483" s="13">
        <f>SUMIFS(Movimentacoes!$G:$G,Movimentacoes!$C:$C,$A2483,Movimentacoes!$E:$E,$C2483,Movimentacoes!$B:$B,"SAIDA_DESCARTE")</f>
        <v/>
      </c>
      <c r="J2483" s="13">
        <f>G2483-H2483-I2483</f>
        <v/>
      </c>
      <c r="K2483">
        <f>IF(A2483="","",IF(J2483&lt;=IFERROR(VLOOKUP(A2483,Cadastro_Produtos!$A:$E,5,FALSE),0),"ABAIXO DO MINIMO","OK"))</f>
        <v/>
      </c>
    </row>
    <row r="2484">
      <c r="B2484">
        <f>IFERROR(VLOOKUP(A2484,Cadastro_Produtos!A:B,2,FALSE),"")</f>
        <v/>
      </c>
      <c r="D2484" s="12" t="n"/>
      <c r="E2484" s="13">
        <f>IF(D2484="","",D2484-TODAY())</f>
        <v/>
      </c>
      <c r="F2484">
        <f>IF(D2484="","",IF(E2484&lt;0,"VENCIDO",IF(E2484&lt;=30,"VENCE EM &lt;= 30 DIAS",IF(E2484&lt;=60,"ATENCAO (31-60 DIAS)","OK"))))</f>
        <v/>
      </c>
      <c r="G2484" s="13">
        <f>SUMIFS(Movimentacoes!$G:$G,Movimentacoes!$C:$C,$A2484,Movimentacoes!$E:$E,$C2484,Movimentacoes!$B:$B,"ENTRADA")</f>
        <v/>
      </c>
      <c r="H2484" s="13">
        <f>SUMIFS(Movimentacoes!$G:$G,Movimentacoes!$C:$C,$A2484,Movimentacoes!$E:$E,$C2484,Movimentacoes!$B:$B,"SAIDA_USO")</f>
        <v/>
      </c>
      <c r="I2484" s="13">
        <f>SUMIFS(Movimentacoes!$G:$G,Movimentacoes!$C:$C,$A2484,Movimentacoes!$E:$E,$C2484,Movimentacoes!$B:$B,"SAIDA_DESCARTE")</f>
        <v/>
      </c>
      <c r="J2484" s="13">
        <f>G2484-H2484-I2484</f>
        <v/>
      </c>
      <c r="K2484">
        <f>IF(A2484="","",IF(J2484&lt;=IFERROR(VLOOKUP(A2484,Cadastro_Produtos!$A:$E,5,FALSE),0),"ABAIXO DO MINIMO","OK"))</f>
        <v/>
      </c>
    </row>
    <row r="2485">
      <c r="B2485">
        <f>IFERROR(VLOOKUP(A2485,Cadastro_Produtos!A:B,2,FALSE),"")</f>
        <v/>
      </c>
      <c r="D2485" s="12" t="n"/>
      <c r="E2485" s="13">
        <f>IF(D2485="","",D2485-TODAY())</f>
        <v/>
      </c>
      <c r="F2485">
        <f>IF(D2485="","",IF(E2485&lt;0,"VENCIDO",IF(E2485&lt;=30,"VENCE EM &lt;= 30 DIAS",IF(E2485&lt;=60,"ATENCAO (31-60 DIAS)","OK"))))</f>
        <v/>
      </c>
      <c r="G2485" s="13">
        <f>SUMIFS(Movimentacoes!$G:$G,Movimentacoes!$C:$C,$A2485,Movimentacoes!$E:$E,$C2485,Movimentacoes!$B:$B,"ENTRADA")</f>
        <v/>
      </c>
      <c r="H2485" s="13">
        <f>SUMIFS(Movimentacoes!$G:$G,Movimentacoes!$C:$C,$A2485,Movimentacoes!$E:$E,$C2485,Movimentacoes!$B:$B,"SAIDA_USO")</f>
        <v/>
      </c>
      <c r="I2485" s="13">
        <f>SUMIFS(Movimentacoes!$G:$G,Movimentacoes!$C:$C,$A2485,Movimentacoes!$E:$E,$C2485,Movimentacoes!$B:$B,"SAIDA_DESCARTE")</f>
        <v/>
      </c>
      <c r="J2485" s="13">
        <f>G2485-H2485-I2485</f>
        <v/>
      </c>
      <c r="K2485">
        <f>IF(A2485="","",IF(J2485&lt;=IFERROR(VLOOKUP(A2485,Cadastro_Produtos!$A:$E,5,FALSE),0),"ABAIXO DO MINIMO","OK"))</f>
        <v/>
      </c>
    </row>
    <row r="2486">
      <c r="B2486">
        <f>IFERROR(VLOOKUP(A2486,Cadastro_Produtos!A:B,2,FALSE),"")</f>
        <v/>
      </c>
      <c r="D2486" s="12" t="n"/>
      <c r="E2486" s="13">
        <f>IF(D2486="","",D2486-TODAY())</f>
        <v/>
      </c>
      <c r="F2486">
        <f>IF(D2486="","",IF(E2486&lt;0,"VENCIDO",IF(E2486&lt;=30,"VENCE EM &lt;= 30 DIAS",IF(E2486&lt;=60,"ATENCAO (31-60 DIAS)","OK"))))</f>
        <v/>
      </c>
      <c r="G2486" s="13">
        <f>SUMIFS(Movimentacoes!$G:$G,Movimentacoes!$C:$C,$A2486,Movimentacoes!$E:$E,$C2486,Movimentacoes!$B:$B,"ENTRADA")</f>
        <v/>
      </c>
      <c r="H2486" s="13">
        <f>SUMIFS(Movimentacoes!$G:$G,Movimentacoes!$C:$C,$A2486,Movimentacoes!$E:$E,$C2486,Movimentacoes!$B:$B,"SAIDA_USO")</f>
        <v/>
      </c>
      <c r="I2486" s="13">
        <f>SUMIFS(Movimentacoes!$G:$G,Movimentacoes!$C:$C,$A2486,Movimentacoes!$E:$E,$C2486,Movimentacoes!$B:$B,"SAIDA_DESCARTE")</f>
        <v/>
      </c>
      <c r="J2486" s="13">
        <f>G2486-H2486-I2486</f>
        <v/>
      </c>
      <c r="K2486">
        <f>IF(A2486="","",IF(J2486&lt;=IFERROR(VLOOKUP(A2486,Cadastro_Produtos!$A:$E,5,FALSE),0),"ABAIXO DO MINIMO","OK"))</f>
        <v/>
      </c>
    </row>
    <row r="2487">
      <c r="B2487">
        <f>IFERROR(VLOOKUP(A2487,Cadastro_Produtos!A:B,2,FALSE),"")</f>
        <v/>
      </c>
      <c r="D2487" s="12" t="n"/>
      <c r="E2487" s="13">
        <f>IF(D2487="","",D2487-TODAY())</f>
        <v/>
      </c>
      <c r="F2487">
        <f>IF(D2487="","",IF(E2487&lt;0,"VENCIDO",IF(E2487&lt;=30,"VENCE EM &lt;= 30 DIAS",IF(E2487&lt;=60,"ATENCAO (31-60 DIAS)","OK"))))</f>
        <v/>
      </c>
      <c r="G2487" s="13">
        <f>SUMIFS(Movimentacoes!$G:$G,Movimentacoes!$C:$C,$A2487,Movimentacoes!$E:$E,$C2487,Movimentacoes!$B:$B,"ENTRADA")</f>
        <v/>
      </c>
      <c r="H2487" s="13">
        <f>SUMIFS(Movimentacoes!$G:$G,Movimentacoes!$C:$C,$A2487,Movimentacoes!$E:$E,$C2487,Movimentacoes!$B:$B,"SAIDA_USO")</f>
        <v/>
      </c>
      <c r="I2487" s="13">
        <f>SUMIFS(Movimentacoes!$G:$G,Movimentacoes!$C:$C,$A2487,Movimentacoes!$E:$E,$C2487,Movimentacoes!$B:$B,"SAIDA_DESCARTE")</f>
        <v/>
      </c>
      <c r="J2487" s="13">
        <f>G2487-H2487-I2487</f>
        <v/>
      </c>
      <c r="K2487">
        <f>IF(A2487="","",IF(J2487&lt;=IFERROR(VLOOKUP(A2487,Cadastro_Produtos!$A:$E,5,FALSE),0),"ABAIXO DO MINIMO","OK"))</f>
        <v/>
      </c>
    </row>
    <row r="2488">
      <c r="B2488">
        <f>IFERROR(VLOOKUP(A2488,Cadastro_Produtos!A:B,2,FALSE),"")</f>
        <v/>
      </c>
      <c r="D2488" s="12" t="n"/>
      <c r="E2488" s="13">
        <f>IF(D2488="","",D2488-TODAY())</f>
        <v/>
      </c>
      <c r="F2488">
        <f>IF(D2488="","",IF(E2488&lt;0,"VENCIDO",IF(E2488&lt;=30,"VENCE EM &lt;= 30 DIAS",IF(E2488&lt;=60,"ATENCAO (31-60 DIAS)","OK"))))</f>
        <v/>
      </c>
      <c r="G2488" s="13">
        <f>SUMIFS(Movimentacoes!$G:$G,Movimentacoes!$C:$C,$A2488,Movimentacoes!$E:$E,$C2488,Movimentacoes!$B:$B,"ENTRADA")</f>
        <v/>
      </c>
      <c r="H2488" s="13">
        <f>SUMIFS(Movimentacoes!$G:$G,Movimentacoes!$C:$C,$A2488,Movimentacoes!$E:$E,$C2488,Movimentacoes!$B:$B,"SAIDA_USO")</f>
        <v/>
      </c>
      <c r="I2488" s="13">
        <f>SUMIFS(Movimentacoes!$G:$G,Movimentacoes!$C:$C,$A2488,Movimentacoes!$E:$E,$C2488,Movimentacoes!$B:$B,"SAIDA_DESCARTE")</f>
        <v/>
      </c>
      <c r="J2488" s="13">
        <f>G2488-H2488-I2488</f>
        <v/>
      </c>
      <c r="K2488">
        <f>IF(A2488="","",IF(J2488&lt;=IFERROR(VLOOKUP(A2488,Cadastro_Produtos!$A:$E,5,FALSE),0),"ABAIXO DO MINIMO","OK"))</f>
        <v/>
      </c>
    </row>
    <row r="2489">
      <c r="B2489">
        <f>IFERROR(VLOOKUP(A2489,Cadastro_Produtos!A:B,2,FALSE),"")</f>
        <v/>
      </c>
      <c r="D2489" s="12" t="n"/>
      <c r="E2489" s="13">
        <f>IF(D2489="","",D2489-TODAY())</f>
        <v/>
      </c>
      <c r="F2489">
        <f>IF(D2489="","",IF(E2489&lt;0,"VENCIDO",IF(E2489&lt;=30,"VENCE EM &lt;= 30 DIAS",IF(E2489&lt;=60,"ATENCAO (31-60 DIAS)","OK"))))</f>
        <v/>
      </c>
      <c r="G2489" s="13">
        <f>SUMIFS(Movimentacoes!$G:$G,Movimentacoes!$C:$C,$A2489,Movimentacoes!$E:$E,$C2489,Movimentacoes!$B:$B,"ENTRADA")</f>
        <v/>
      </c>
      <c r="H2489" s="13">
        <f>SUMIFS(Movimentacoes!$G:$G,Movimentacoes!$C:$C,$A2489,Movimentacoes!$E:$E,$C2489,Movimentacoes!$B:$B,"SAIDA_USO")</f>
        <v/>
      </c>
      <c r="I2489" s="13">
        <f>SUMIFS(Movimentacoes!$G:$G,Movimentacoes!$C:$C,$A2489,Movimentacoes!$E:$E,$C2489,Movimentacoes!$B:$B,"SAIDA_DESCARTE")</f>
        <v/>
      </c>
      <c r="J2489" s="13">
        <f>G2489-H2489-I2489</f>
        <v/>
      </c>
      <c r="K2489">
        <f>IF(A2489="","",IF(J2489&lt;=IFERROR(VLOOKUP(A2489,Cadastro_Produtos!$A:$E,5,FALSE),0),"ABAIXO DO MINIMO","OK"))</f>
        <v/>
      </c>
    </row>
    <row r="2490">
      <c r="B2490">
        <f>IFERROR(VLOOKUP(A2490,Cadastro_Produtos!A:B,2,FALSE),"")</f>
        <v/>
      </c>
      <c r="D2490" s="12" t="n"/>
      <c r="E2490" s="13">
        <f>IF(D2490="","",D2490-TODAY())</f>
        <v/>
      </c>
      <c r="F2490">
        <f>IF(D2490="","",IF(E2490&lt;0,"VENCIDO",IF(E2490&lt;=30,"VENCE EM &lt;= 30 DIAS",IF(E2490&lt;=60,"ATENCAO (31-60 DIAS)","OK"))))</f>
        <v/>
      </c>
      <c r="G2490" s="13">
        <f>SUMIFS(Movimentacoes!$G:$G,Movimentacoes!$C:$C,$A2490,Movimentacoes!$E:$E,$C2490,Movimentacoes!$B:$B,"ENTRADA")</f>
        <v/>
      </c>
      <c r="H2490" s="13">
        <f>SUMIFS(Movimentacoes!$G:$G,Movimentacoes!$C:$C,$A2490,Movimentacoes!$E:$E,$C2490,Movimentacoes!$B:$B,"SAIDA_USO")</f>
        <v/>
      </c>
      <c r="I2490" s="13">
        <f>SUMIFS(Movimentacoes!$G:$G,Movimentacoes!$C:$C,$A2490,Movimentacoes!$E:$E,$C2490,Movimentacoes!$B:$B,"SAIDA_DESCARTE")</f>
        <v/>
      </c>
      <c r="J2490" s="13">
        <f>G2490-H2490-I2490</f>
        <v/>
      </c>
      <c r="K2490">
        <f>IF(A2490="","",IF(J2490&lt;=IFERROR(VLOOKUP(A2490,Cadastro_Produtos!$A:$E,5,FALSE),0),"ABAIXO DO MINIMO","OK"))</f>
        <v/>
      </c>
    </row>
    <row r="2491">
      <c r="B2491">
        <f>IFERROR(VLOOKUP(A2491,Cadastro_Produtos!A:B,2,FALSE),"")</f>
        <v/>
      </c>
      <c r="D2491" s="12" t="n"/>
      <c r="E2491" s="13">
        <f>IF(D2491="","",D2491-TODAY())</f>
        <v/>
      </c>
      <c r="F2491">
        <f>IF(D2491="","",IF(E2491&lt;0,"VENCIDO",IF(E2491&lt;=30,"VENCE EM &lt;= 30 DIAS",IF(E2491&lt;=60,"ATENCAO (31-60 DIAS)","OK"))))</f>
        <v/>
      </c>
      <c r="G2491" s="13">
        <f>SUMIFS(Movimentacoes!$G:$G,Movimentacoes!$C:$C,$A2491,Movimentacoes!$E:$E,$C2491,Movimentacoes!$B:$B,"ENTRADA")</f>
        <v/>
      </c>
      <c r="H2491" s="13">
        <f>SUMIFS(Movimentacoes!$G:$G,Movimentacoes!$C:$C,$A2491,Movimentacoes!$E:$E,$C2491,Movimentacoes!$B:$B,"SAIDA_USO")</f>
        <v/>
      </c>
      <c r="I2491" s="13">
        <f>SUMIFS(Movimentacoes!$G:$G,Movimentacoes!$C:$C,$A2491,Movimentacoes!$E:$E,$C2491,Movimentacoes!$B:$B,"SAIDA_DESCARTE")</f>
        <v/>
      </c>
      <c r="J2491" s="13">
        <f>G2491-H2491-I2491</f>
        <v/>
      </c>
      <c r="K2491">
        <f>IF(A2491="","",IF(J2491&lt;=IFERROR(VLOOKUP(A2491,Cadastro_Produtos!$A:$E,5,FALSE),0),"ABAIXO DO MINIMO","OK"))</f>
        <v/>
      </c>
    </row>
    <row r="2492">
      <c r="B2492">
        <f>IFERROR(VLOOKUP(A2492,Cadastro_Produtos!A:B,2,FALSE),"")</f>
        <v/>
      </c>
      <c r="D2492" s="12" t="n"/>
      <c r="E2492" s="13">
        <f>IF(D2492="","",D2492-TODAY())</f>
        <v/>
      </c>
      <c r="F2492">
        <f>IF(D2492="","",IF(E2492&lt;0,"VENCIDO",IF(E2492&lt;=30,"VENCE EM &lt;= 30 DIAS",IF(E2492&lt;=60,"ATENCAO (31-60 DIAS)","OK"))))</f>
        <v/>
      </c>
      <c r="G2492" s="13">
        <f>SUMIFS(Movimentacoes!$G:$G,Movimentacoes!$C:$C,$A2492,Movimentacoes!$E:$E,$C2492,Movimentacoes!$B:$B,"ENTRADA")</f>
        <v/>
      </c>
      <c r="H2492" s="13">
        <f>SUMIFS(Movimentacoes!$G:$G,Movimentacoes!$C:$C,$A2492,Movimentacoes!$E:$E,$C2492,Movimentacoes!$B:$B,"SAIDA_USO")</f>
        <v/>
      </c>
      <c r="I2492" s="13">
        <f>SUMIFS(Movimentacoes!$G:$G,Movimentacoes!$C:$C,$A2492,Movimentacoes!$E:$E,$C2492,Movimentacoes!$B:$B,"SAIDA_DESCARTE")</f>
        <v/>
      </c>
      <c r="J2492" s="13">
        <f>G2492-H2492-I2492</f>
        <v/>
      </c>
      <c r="K2492">
        <f>IF(A2492="","",IF(J2492&lt;=IFERROR(VLOOKUP(A2492,Cadastro_Produtos!$A:$E,5,FALSE),0),"ABAIXO DO MINIMO","OK"))</f>
        <v/>
      </c>
    </row>
    <row r="2493">
      <c r="B2493">
        <f>IFERROR(VLOOKUP(A2493,Cadastro_Produtos!A:B,2,FALSE),"")</f>
        <v/>
      </c>
      <c r="D2493" s="12" t="n"/>
      <c r="E2493" s="13">
        <f>IF(D2493="","",D2493-TODAY())</f>
        <v/>
      </c>
      <c r="F2493">
        <f>IF(D2493="","",IF(E2493&lt;0,"VENCIDO",IF(E2493&lt;=30,"VENCE EM &lt;= 30 DIAS",IF(E2493&lt;=60,"ATENCAO (31-60 DIAS)","OK"))))</f>
        <v/>
      </c>
      <c r="G2493" s="13">
        <f>SUMIFS(Movimentacoes!$G:$G,Movimentacoes!$C:$C,$A2493,Movimentacoes!$E:$E,$C2493,Movimentacoes!$B:$B,"ENTRADA")</f>
        <v/>
      </c>
      <c r="H2493" s="13">
        <f>SUMIFS(Movimentacoes!$G:$G,Movimentacoes!$C:$C,$A2493,Movimentacoes!$E:$E,$C2493,Movimentacoes!$B:$B,"SAIDA_USO")</f>
        <v/>
      </c>
      <c r="I2493" s="13">
        <f>SUMIFS(Movimentacoes!$G:$G,Movimentacoes!$C:$C,$A2493,Movimentacoes!$E:$E,$C2493,Movimentacoes!$B:$B,"SAIDA_DESCARTE")</f>
        <v/>
      </c>
      <c r="J2493" s="13">
        <f>G2493-H2493-I2493</f>
        <v/>
      </c>
      <c r="K2493">
        <f>IF(A2493="","",IF(J2493&lt;=IFERROR(VLOOKUP(A2493,Cadastro_Produtos!$A:$E,5,FALSE),0),"ABAIXO DO MINIMO","OK"))</f>
        <v/>
      </c>
    </row>
    <row r="2494">
      <c r="B2494">
        <f>IFERROR(VLOOKUP(A2494,Cadastro_Produtos!A:B,2,FALSE),"")</f>
        <v/>
      </c>
      <c r="D2494" s="12" t="n"/>
      <c r="E2494" s="13">
        <f>IF(D2494="","",D2494-TODAY())</f>
        <v/>
      </c>
      <c r="F2494">
        <f>IF(D2494="","",IF(E2494&lt;0,"VENCIDO",IF(E2494&lt;=30,"VENCE EM &lt;= 30 DIAS",IF(E2494&lt;=60,"ATENCAO (31-60 DIAS)","OK"))))</f>
        <v/>
      </c>
      <c r="G2494" s="13">
        <f>SUMIFS(Movimentacoes!$G:$G,Movimentacoes!$C:$C,$A2494,Movimentacoes!$E:$E,$C2494,Movimentacoes!$B:$B,"ENTRADA")</f>
        <v/>
      </c>
      <c r="H2494" s="13">
        <f>SUMIFS(Movimentacoes!$G:$G,Movimentacoes!$C:$C,$A2494,Movimentacoes!$E:$E,$C2494,Movimentacoes!$B:$B,"SAIDA_USO")</f>
        <v/>
      </c>
      <c r="I2494" s="13">
        <f>SUMIFS(Movimentacoes!$G:$G,Movimentacoes!$C:$C,$A2494,Movimentacoes!$E:$E,$C2494,Movimentacoes!$B:$B,"SAIDA_DESCARTE")</f>
        <v/>
      </c>
      <c r="J2494" s="13">
        <f>G2494-H2494-I2494</f>
        <v/>
      </c>
      <c r="K2494">
        <f>IF(A2494="","",IF(J2494&lt;=IFERROR(VLOOKUP(A2494,Cadastro_Produtos!$A:$E,5,FALSE),0),"ABAIXO DO MINIMO","OK"))</f>
        <v/>
      </c>
    </row>
    <row r="2495">
      <c r="B2495">
        <f>IFERROR(VLOOKUP(A2495,Cadastro_Produtos!A:B,2,FALSE),"")</f>
        <v/>
      </c>
      <c r="D2495" s="12" t="n"/>
      <c r="E2495" s="13">
        <f>IF(D2495="","",D2495-TODAY())</f>
        <v/>
      </c>
      <c r="F2495">
        <f>IF(D2495="","",IF(E2495&lt;0,"VENCIDO",IF(E2495&lt;=30,"VENCE EM &lt;= 30 DIAS",IF(E2495&lt;=60,"ATENCAO (31-60 DIAS)","OK"))))</f>
        <v/>
      </c>
      <c r="G2495" s="13">
        <f>SUMIFS(Movimentacoes!$G:$G,Movimentacoes!$C:$C,$A2495,Movimentacoes!$E:$E,$C2495,Movimentacoes!$B:$B,"ENTRADA")</f>
        <v/>
      </c>
      <c r="H2495" s="13">
        <f>SUMIFS(Movimentacoes!$G:$G,Movimentacoes!$C:$C,$A2495,Movimentacoes!$E:$E,$C2495,Movimentacoes!$B:$B,"SAIDA_USO")</f>
        <v/>
      </c>
      <c r="I2495" s="13">
        <f>SUMIFS(Movimentacoes!$G:$G,Movimentacoes!$C:$C,$A2495,Movimentacoes!$E:$E,$C2495,Movimentacoes!$B:$B,"SAIDA_DESCARTE")</f>
        <v/>
      </c>
      <c r="J2495" s="13">
        <f>G2495-H2495-I2495</f>
        <v/>
      </c>
      <c r="K2495">
        <f>IF(A2495="","",IF(J2495&lt;=IFERROR(VLOOKUP(A2495,Cadastro_Produtos!$A:$E,5,FALSE),0),"ABAIXO DO MINIMO","OK"))</f>
        <v/>
      </c>
    </row>
    <row r="2496">
      <c r="B2496">
        <f>IFERROR(VLOOKUP(A2496,Cadastro_Produtos!A:B,2,FALSE),"")</f>
        <v/>
      </c>
      <c r="D2496" s="12" t="n"/>
      <c r="E2496" s="13">
        <f>IF(D2496="","",D2496-TODAY())</f>
        <v/>
      </c>
      <c r="F2496">
        <f>IF(D2496="","",IF(E2496&lt;0,"VENCIDO",IF(E2496&lt;=30,"VENCE EM &lt;= 30 DIAS",IF(E2496&lt;=60,"ATENCAO (31-60 DIAS)","OK"))))</f>
        <v/>
      </c>
      <c r="G2496" s="13">
        <f>SUMIFS(Movimentacoes!$G:$G,Movimentacoes!$C:$C,$A2496,Movimentacoes!$E:$E,$C2496,Movimentacoes!$B:$B,"ENTRADA")</f>
        <v/>
      </c>
      <c r="H2496" s="13">
        <f>SUMIFS(Movimentacoes!$G:$G,Movimentacoes!$C:$C,$A2496,Movimentacoes!$E:$E,$C2496,Movimentacoes!$B:$B,"SAIDA_USO")</f>
        <v/>
      </c>
      <c r="I2496" s="13">
        <f>SUMIFS(Movimentacoes!$G:$G,Movimentacoes!$C:$C,$A2496,Movimentacoes!$E:$E,$C2496,Movimentacoes!$B:$B,"SAIDA_DESCARTE")</f>
        <v/>
      </c>
      <c r="J2496" s="13">
        <f>G2496-H2496-I2496</f>
        <v/>
      </c>
      <c r="K2496">
        <f>IF(A2496="","",IF(J2496&lt;=IFERROR(VLOOKUP(A2496,Cadastro_Produtos!$A:$E,5,FALSE),0),"ABAIXO DO MINIMO","OK"))</f>
        <v/>
      </c>
    </row>
    <row r="2497">
      <c r="B2497">
        <f>IFERROR(VLOOKUP(A2497,Cadastro_Produtos!A:B,2,FALSE),"")</f>
        <v/>
      </c>
      <c r="D2497" s="12" t="n"/>
      <c r="E2497" s="13">
        <f>IF(D2497="","",D2497-TODAY())</f>
        <v/>
      </c>
      <c r="F2497">
        <f>IF(D2497="","",IF(E2497&lt;0,"VENCIDO",IF(E2497&lt;=30,"VENCE EM &lt;= 30 DIAS",IF(E2497&lt;=60,"ATENCAO (31-60 DIAS)","OK"))))</f>
        <v/>
      </c>
      <c r="G2497" s="13">
        <f>SUMIFS(Movimentacoes!$G:$G,Movimentacoes!$C:$C,$A2497,Movimentacoes!$E:$E,$C2497,Movimentacoes!$B:$B,"ENTRADA")</f>
        <v/>
      </c>
      <c r="H2497" s="13">
        <f>SUMIFS(Movimentacoes!$G:$G,Movimentacoes!$C:$C,$A2497,Movimentacoes!$E:$E,$C2497,Movimentacoes!$B:$B,"SAIDA_USO")</f>
        <v/>
      </c>
      <c r="I2497" s="13">
        <f>SUMIFS(Movimentacoes!$G:$G,Movimentacoes!$C:$C,$A2497,Movimentacoes!$E:$E,$C2497,Movimentacoes!$B:$B,"SAIDA_DESCARTE")</f>
        <v/>
      </c>
      <c r="J2497" s="13">
        <f>G2497-H2497-I2497</f>
        <v/>
      </c>
      <c r="K2497">
        <f>IF(A2497="","",IF(J2497&lt;=IFERROR(VLOOKUP(A2497,Cadastro_Produtos!$A:$E,5,FALSE),0),"ABAIXO DO MINIMO","OK"))</f>
        <v/>
      </c>
    </row>
    <row r="2498">
      <c r="B2498">
        <f>IFERROR(VLOOKUP(A2498,Cadastro_Produtos!A:B,2,FALSE),"")</f>
        <v/>
      </c>
      <c r="D2498" s="12" t="n"/>
      <c r="E2498" s="13">
        <f>IF(D2498="","",D2498-TODAY())</f>
        <v/>
      </c>
      <c r="F2498">
        <f>IF(D2498="","",IF(E2498&lt;0,"VENCIDO",IF(E2498&lt;=30,"VENCE EM &lt;= 30 DIAS",IF(E2498&lt;=60,"ATENCAO (31-60 DIAS)","OK"))))</f>
        <v/>
      </c>
      <c r="G2498" s="13">
        <f>SUMIFS(Movimentacoes!$G:$G,Movimentacoes!$C:$C,$A2498,Movimentacoes!$E:$E,$C2498,Movimentacoes!$B:$B,"ENTRADA")</f>
        <v/>
      </c>
      <c r="H2498" s="13">
        <f>SUMIFS(Movimentacoes!$G:$G,Movimentacoes!$C:$C,$A2498,Movimentacoes!$E:$E,$C2498,Movimentacoes!$B:$B,"SAIDA_USO")</f>
        <v/>
      </c>
      <c r="I2498" s="13">
        <f>SUMIFS(Movimentacoes!$G:$G,Movimentacoes!$C:$C,$A2498,Movimentacoes!$E:$E,$C2498,Movimentacoes!$B:$B,"SAIDA_DESCARTE")</f>
        <v/>
      </c>
      <c r="J2498" s="13">
        <f>G2498-H2498-I2498</f>
        <v/>
      </c>
      <c r="K2498">
        <f>IF(A2498="","",IF(J2498&lt;=IFERROR(VLOOKUP(A2498,Cadastro_Produtos!$A:$E,5,FALSE),0),"ABAIXO DO MINIMO","OK"))</f>
        <v/>
      </c>
    </row>
    <row r="2499">
      <c r="B2499">
        <f>IFERROR(VLOOKUP(A2499,Cadastro_Produtos!A:B,2,FALSE),"")</f>
        <v/>
      </c>
      <c r="D2499" s="12" t="n"/>
      <c r="E2499" s="13">
        <f>IF(D2499="","",D2499-TODAY())</f>
        <v/>
      </c>
      <c r="F2499">
        <f>IF(D2499="","",IF(E2499&lt;0,"VENCIDO",IF(E2499&lt;=30,"VENCE EM &lt;= 30 DIAS",IF(E2499&lt;=60,"ATENCAO (31-60 DIAS)","OK"))))</f>
        <v/>
      </c>
      <c r="G2499" s="13">
        <f>SUMIFS(Movimentacoes!$G:$G,Movimentacoes!$C:$C,$A2499,Movimentacoes!$E:$E,$C2499,Movimentacoes!$B:$B,"ENTRADA")</f>
        <v/>
      </c>
      <c r="H2499" s="13">
        <f>SUMIFS(Movimentacoes!$G:$G,Movimentacoes!$C:$C,$A2499,Movimentacoes!$E:$E,$C2499,Movimentacoes!$B:$B,"SAIDA_USO")</f>
        <v/>
      </c>
      <c r="I2499" s="13">
        <f>SUMIFS(Movimentacoes!$G:$G,Movimentacoes!$C:$C,$A2499,Movimentacoes!$E:$E,$C2499,Movimentacoes!$B:$B,"SAIDA_DESCARTE")</f>
        <v/>
      </c>
      <c r="J2499" s="13">
        <f>G2499-H2499-I2499</f>
        <v/>
      </c>
      <c r="K2499">
        <f>IF(A2499="","",IF(J2499&lt;=IFERROR(VLOOKUP(A2499,Cadastro_Produtos!$A:$E,5,FALSE),0),"ABAIXO DO MINIMO","OK"))</f>
        <v/>
      </c>
    </row>
    <row r="2500">
      <c r="B2500">
        <f>IFERROR(VLOOKUP(A2500,Cadastro_Produtos!A:B,2,FALSE),"")</f>
        <v/>
      </c>
      <c r="D2500" s="12" t="n"/>
      <c r="E2500" s="13">
        <f>IF(D2500="","",D2500-TODAY())</f>
        <v/>
      </c>
      <c r="F2500">
        <f>IF(D2500="","",IF(E2500&lt;0,"VENCIDO",IF(E2500&lt;=30,"VENCE EM &lt;= 30 DIAS",IF(E2500&lt;=60,"ATENCAO (31-60 DIAS)","OK"))))</f>
        <v/>
      </c>
      <c r="G2500" s="13">
        <f>SUMIFS(Movimentacoes!$G:$G,Movimentacoes!$C:$C,$A2500,Movimentacoes!$E:$E,$C2500,Movimentacoes!$B:$B,"ENTRADA")</f>
        <v/>
      </c>
      <c r="H2500" s="13">
        <f>SUMIFS(Movimentacoes!$G:$G,Movimentacoes!$C:$C,$A2500,Movimentacoes!$E:$E,$C2500,Movimentacoes!$B:$B,"SAIDA_USO")</f>
        <v/>
      </c>
      <c r="I2500" s="13">
        <f>SUMIFS(Movimentacoes!$G:$G,Movimentacoes!$C:$C,$A2500,Movimentacoes!$E:$E,$C2500,Movimentacoes!$B:$B,"SAIDA_DESCARTE")</f>
        <v/>
      </c>
      <c r="J2500" s="13">
        <f>G2500-H2500-I2500</f>
        <v/>
      </c>
      <c r="K2500">
        <f>IF(A2500="","",IF(J2500&lt;=IFERROR(VLOOKUP(A2500,Cadastro_Produtos!$A:$E,5,FALSE),0),"ABAIXO DO MINIMO","OK"))</f>
        <v/>
      </c>
    </row>
    <row r="2501">
      <c r="B2501">
        <f>IFERROR(VLOOKUP(A2501,Cadastro_Produtos!A:B,2,FALSE),"")</f>
        <v/>
      </c>
      <c r="D2501" s="12" t="n"/>
      <c r="E2501" s="13">
        <f>IF(D2501="","",D2501-TODAY())</f>
        <v/>
      </c>
      <c r="F2501">
        <f>IF(D2501="","",IF(E2501&lt;0,"VENCIDO",IF(E2501&lt;=30,"VENCE EM &lt;= 30 DIAS",IF(E2501&lt;=60,"ATENCAO (31-60 DIAS)","OK"))))</f>
        <v/>
      </c>
      <c r="G2501" s="13">
        <f>SUMIFS(Movimentacoes!$G:$G,Movimentacoes!$C:$C,$A2501,Movimentacoes!$E:$E,$C2501,Movimentacoes!$B:$B,"ENTRADA")</f>
        <v/>
      </c>
      <c r="H2501" s="13">
        <f>SUMIFS(Movimentacoes!$G:$G,Movimentacoes!$C:$C,$A2501,Movimentacoes!$E:$E,$C2501,Movimentacoes!$B:$B,"SAIDA_USO")</f>
        <v/>
      </c>
      <c r="I2501" s="13">
        <f>SUMIFS(Movimentacoes!$G:$G,Movimentacoes!$C:$C,$A2501,Movimentacoes!$E:$E,$C2501,Movimentacoes!$B:$B,"SAIDA_DESCARTE")</f>
        <v/>
      </c>
      <c r="J2501" s="13">
        <f>G2501-H2501-I2501</f>
        <v/>
      </c>
      <c r="K2501">
        <f>IF(A2501="","",IF(J2501&lt;=IFERROR(VLOOKUP(A2501,Cadastro_Produtos!$A:$E,5,FALSE),0),"ABAIXO DO MINIMO","OK"))</f>
        <v/>
      </c>
    </row>
    <row r="2502">
      <c r="B2502">
        <f>IFERROR(VLOOKUP(A2502,Cadastro_Produtos!A:B,2,FALSE),"")</f>
        <v/>
      </c>
      <c r="D2502" s="12" t="n"/>
      <c r="E2502" s="13">
        <f>IF(D2502="","",D2502-TODAY())</f>
        <v/>
      </c>
      <c r="F2502">
        <f>IF(D2502="","",IF(E2502&lt;0,"VENCIDO",IF(E2502&lt;=30,"VENCE EM &lt;= 30 DIAS",IF(E2502&lt;=60,"ATENCAO (31-60 DIAS)","OK"))))</f>
        <v/>
      </c>
      <c r="G2502" s="13">
        <f>SUMIFS(Movimentacoes!$G:$G,Movimentacoes!$C:$C,$A2502,Movimentacoes!$E:$E,$C2502,Movimentacoes!$B:$B,"ENTRADA")</f>
        <v/>
      </c>
      <c r="H2502" s="13">
        <f>SUMIFS(Movimentacoes!$G:$G,Movimentacoes!$C:$C,$A2502,Movimentacoes!$E:$E,$C2502,Movimentacoes!$B:$B,"SAIDA_USO")</f>
        <v/>
      </c>
      <c r="I2502" s="13">
        <f>SUMIFS(Movimentacoes!$G:$G,Movimentacoes!$C:$C,$A2502,Movimentacoes!$E:$E,$C2502,Movimentacoes!$B:$B,"SAIDA_DESCARTE")</f>
        <v/>
      </c>
      <c r="J2502" s="13">
        <f>G2502-H2502-I2502</f>
        <v/>
      </c>
      <c r="K2502">
        <f>IF(A2502="","",IF(J2502&lt;=IFERROR(VLOOKUP(A2502,Cadastro_Produtos!$A:$E,5,FALSE),0),"ABAIXO DO MINIMO","OK"))</f>
        <v/>
      </c>
    </row>
    <row r="2503">
      <c r="B2503">
        <f>IFERROR(VLOOKUP(A2503,Cadastro_Produtos!A:B,2,FALSE),"")</f>
        <v/>
      </c>
      <c r="D2503" s="12" t="n"/>
      <c r="E2503" s="13">
        <f>IF(D2503="","",D2503-TODAY())</f>
        <v/>
      </c>
      <c r="F2503">
        <f>IF(D2503="","",IF(E2503&lt;0,"VENCIDO",IF(E2503&lt;=30,"VENCE EM &lt;= 30 DIAS",IF(E2503&lt;=60,"ATENCAO (31-60 DIAS)","OK"))))</f>
        <v/>
      </c>
      <c r="G2503" s="13">
        <f>SUMIFS(Movimentacoes!$G:$G,Movimentacoes!$C:$C,$A2503,Movimentacoes!$E:$E,$C2503,Movimentacoes!$B:$B,"ENTRADA")</f>
        <v/>
      </c>
      <c r="H2503" s="13">
        <f>SUMIFS(Movimentacoes!$G:$G,Movimentacoes!$C:$C,$A2503,Movimentacoes!$E:$E,$C2503,Movimentacoes!$B:$B,"SAIDA_USO")</f>
        <v/>
      </c>
      <c r="I2503" s="13">
        <f>SUMIFS(Movimentacoes!$G:$G,Movimentacoes!$C:$C,$A2503,Movimentacoes!$E:$E,$C2503,Movimentacoes!$B:$B,"SAIDA_DESCARTE")</f>
        <v/>
      </c>
      <c r="J2503" s="13">
        <f>G2503-H2503-I2503</f>
        <v/>
      </c>
      <c r="K2503">
        <f>IF(A2503="","",IF(J2503&lt;=IFERROR(VLOOKUP(A2503,Cadastro_Produtos!$A:$E,5,FALSE),0),"ABAIXO DO MINIMO","OK"))</f>
        <v/>
      </c>
    </row>
    <row r="2504">
      <c r="B2504">
        <f>IFERROR(VLOOKUP(A2504,Cadastro_Produtos!A:B,2,FALSE),"")</f>
        <v/>
      </c>
      <c r="D2504" s="12" t="n"/>
      <c r="E2504" s="13">
        <f>IF(D2504="","",D2504-TODAY())</f>
        <v/>
      </c>
      <c r="F2504">
        <f>IF(D2504="","",IF(E2504&lt;0,"VENCIDO",IF(E2504&lt;=30,"VENCE EM &lt;= 30 DIAS",IF(E2504&lt;=60,"ATENCAO (31-60 DIAS)","OK"))))</f>
        <v/>
      </c>
      <c r="G2504" s="13">
        <f>SUMIFS(Movimentacoes!$G:$G,Movimentacoes!$C:$C,$A2504,Movimentacoes!$E:$E,$C2504,Movimentacoes!$B:$B,"ENTRADA")</f>
        <v/>
      </c>
      <c r="H2504" s="13">
        <f>SUMIFS(Movimentacoes!$G:$G,Movimentacoes!$C:$C,$A2504,Movimentacoes!$E:$E,$C2504,Movimentacoes!$B:$B,"SAIDA_USO")</f>
        <v/>
      </c>
      <c r="I2504" s="13">
        <f>SUMIFS(Movimentacoes!$G:$G,Movimentacoes!$C:$C,$A2504,Movimentacoes!$E:$E,$C2504,Movimentacoes!$B:$B,"SAIDA_DESCARTE")</f>
        <v/>
      </c>
      <c r="J2504" s="13">
        <f>G2504-H2504-I2504</f>
        <v/>
      </c>
      <c r="K2504">
        <f>IF(A2504="","",IF(J2504&lt;=IFERROR(VLOOKUP(A2504,Cadastro_Produtos!$A:$E,5,FALSE),0),"ABAIXO DO MINIMO","OK"))</f>
        <v/>
      </c>
    </row>
    <row r="2505">
      <c r="B2505">
        <f>IFERROR(VLOOKUP(A2505,Cadastro_Produtos!A:B,2,FALSE),"")</f>
        <v/>
      </c>
      <c r="D2505" s="12" t="n"/>
      <c r="E2505" s="13">
        <f>IF(D2505="","",D2505-TODAY())</f>
        <v/>
      </c>
      <c r="F2505">
        <f>IF(D2505="","",IF(E2505&lt;0,"VENCIDO",IF(E2505&lt;=30,"VENCE EM &lt;= 30 DIAS",IF(E2505&lt;=60,"ATENCAO (31-60 DIAS)","OK"))))</f>
        <v/>
      </c>
      <c r="G2505" s="13">
        <f>SUMIFS(Movimentacoes!$G:$G,Movimentacoes!$C:$C,$A2505,Movimentacoes!$E:$E,$C2505,Movimentacoes!$B:$B,"ENTRADA")</f>
        <v/>
      </c>
      <c r="H2505" s="13">
        <f>SUMIFS(Movimentacoes!$G:$G,Movimentacoes!$C:$C,$A2505,Movimentacoes!$E:$E,$C2505,Movimentacoes!$B:$B,"SAIDA_USO")</f>
        <v/>
      </c>
      <c r="I2505" s="13">
        <f>SUMIFS(Movimentacoes!$G:$G,Movimentacoes!$C:$C,$A2505,Movimentacoes!$E:$E,$C2505,Movimentacoes!$B:$B,"SAIDA_DESCARTE")</f>
        <v/>
      </c>
      <c r="J2505" s="13">
        <f>G2505-H2505-I2505</f>
        <v/>
      </c>
      <c r="K2505">
        <f>IF(A2505="","",IF(J2505&lt;=IFERROR(VLOOKUP(A2505,Cadastro_Produtos!$A:$E,5,FALSE),0),"ABAIXO DO MINIMO","OK"))</f>
        <v/>
      </c>
    </row>
    <row r="2506">
      <c r="B2506">
        <f>IFERROR(VLOOKUP(A2506,Cadastro_Produtos!A:B,2,FALSE),"")</f>
        <v/>
      </c>
      <c r="D2506" s="12" t="n"/>
      <c r="E2506" s="13">
        <f>IF(D2506="","",D2506-TODAY())</f>
        <v/>
      </c>
      <c r="F2506">
        <f>IF(D2506="","",IF(E2506&lt;0,"VENCIDO",IF(E2506&lt;=30,"VENCE EM &lt;= 30 DIAS",IF(E2506&lt;=60,"ATENCAO (31-60 DIAS)","OK"))))</f>
        <v/>
      </c>
      <c r="G2506" s="13">
        <f>SUMIFS(Movimentacoes!$G:$G,Movimentacoes!$C:$C,$A2506,Movimentacoes!$E:$E,$C2506,Movimentacoes!$B:$B,"ENTRADA")</f>
        <v/>
      </c>
      <c r="H2506" s="13">
        <f>SUMIFS(Movimentacoes!$G:$G,Movimentacoes!$C:$C,$A2506,Movimentacoes!$E:$E,$C2506,Movimentacoes!$B:$B,"SAIDA_USO")</f>
        <v/>
      </c>
      <c r="I2506" s="13">
        <f>SUMIFS(Movimentacoes!$G:$G,Movimentacoes!$C:$C,$A2506,Movimentacoes!$E:$E,$C2506,Movimentacoes!$B:$B,"SAIDA_DESCARTE")</f>
        <v/>
      </c>
      <c r="J2506" s="13">
        <f>G2506-H2506-I2506</f>
        <v/>
      </c>
      <c r="K2506">
        <f>IF(A2506="","",IF(J2506&lt;=IFERROR(VLOOKUP(A2506,Cadastro_Produtos!$A:$E,5,FALSE),0),"ABAIXO DO MINIMO","OK"))</f>
        <v/>
      </c>
    </row>
    <row r="2507">
      <c r="B2507">
        <f>IFERROR(VLOOKUP(A2507,Cadastro_Produtos!A:B,2,FALSE),"")</f>
        <v/>
      </c>
      <c r="D2507" s="12" t="n"/>
      <c r="E2507" s="13">
        <f>IF(D2507="","",D2507-TODAY())</f>
        <v/>
      </c>
      <c r="F2507">
        <f>IF(D2507="","",IF(E2507&lt;0,"VENCIDO",IF(E2507&lt;=30,"VENCE EM &lt;= 30 DIAS",IF(E2507&lt;=60,"ATENCAO (31-60 DIAS)","OK"))))</f>
        <v/>
      </c>
      <c r="G2507" s="13">
        <f>SUMIFS(Movimentacoes!$G:$G,Movimentacoes!$C:$C,$A2507,Movimentacoes!$E:$E,$C2507,Movimentacoes!$B:$B,"ENTRADA")</f>
        <v/>
      </c>
      <c r="H2507" s="13">
        <f>SUMIFS(Movimentacoes!$G:$G,Movimentacoes!$C:$C,$A2507,Movimentacoes!$E:$E,$C2507,Movimentacoes!$B:$B,"SAIDA_USO")</f>
        <v/>
      </c>
      <c r="I2507" s="13">
        <f>SUMIFS(Movimentacoes!$G:$G,Movimentacoes!$C:$C,$A2507,Movimentacoes!$E:$E,$C2507,Movimentacoes!$B:$B,"SAIDA_DESCARTE")</f>
        <v/>
      </c>
      <c r="J2507" s="13">
        <f>G2507-H2507-I2507</f>
        <v/>
      </c>
      <c r="K2507">
        <f>IF(A2507="","",IF(J2507&lt;=IFERROR(VLOOKUP(A2507,Cadastro_Produtos!$A:$E,5,FALSE),0),"ABAIXO DO MINIMO","OK"))</f>
        <v/>
      </c>
    </row>
    <row r="2508">
      <c r="B2508">
        <f>IFERROR(VLOOKUP(A2508,Cadastro_Produtos!A:B,2,FALSE),"")</f>
        <v/>
      </c>
      <c r="D2508" s="12" t="n"/>
      <c r="E2508" s="13">
        <f>IF(D2508="","",D2508-TODAY())</f>
        <v/>
      </c>
      <c r="F2508">
        <f>IF(D2508="","",IF(E2508&lt;0,"VENCIDO",IF(E2508&lt;=30,"VENCE EM &lt;= 30 DIAS",IF(E2508&lt;=60,"ATENCAO (31-60 DIAS)","OK"))))</f>
        <v/>
      </c>
      <c r="G2508" s="13">
        <f>SUMIFS(Movimentacoes!$G:$G,Movimentacoes!$C:$C,$A2508,Movimentacoes!$E:$E,$C2508,Movimentacoes!$B:$B,"ENTRADA")</f>
        <v/>
      </c>
      <c r="H2508" s="13">
        <f>SUMIFS(Movimentacoes!$G:$G,Movimentacoes!$C:$C,$A2508,Movimentacoes!$E:$E,$C2508,Movimentacoes!$B:$B,"SAIDA_USO")</f>
        <v/>
      </c>
      <c r="I2508" s="13">
        <f>SUMIFS(Movimentacoes!$G:$G,Movimentacoes!$C:$C,$A2508,Movimentacoes!$E:$E,$C2508,Movimentacoes!$B:$B,"SAIDA_DESCARTE")</f>
        <v/>
      </c>
      <c r="J2508" s="13">
        <f>G2508-H2508-I2508</f>
        <v/>
      </c>
      <c r="K2508">
        <f>IF(A2508="","",IF(J2508&lt;=IFERROR(VLOOKUP(A2508,Cadastro_Produtos!$A:$E,5,FALSE),0),"ABAIXO DO MINIMO","OK"))</f>
        <v/>
      </c>
    </row>
    <row r="2509">
      <c r="B2509">
        <f>IFERROR(VLOOKUP(A2509,Cadastro_Produtos!A:B,2,FALSE),"")</f>
        <v/>
      </c>
      <c r="D2509" s="12" t="n"/>
      <c r="E2509" s="13">
        <f>IF(D2509="","",D2509-TODAY())</f>
        <v/>
      </c>
      <c r="F2509">
        <f>IF(D2509="","",IF(E2509&lt;0,"VENCIDO",IF(E2509&lt;=30,"VENCE EM &lt;= 30 DIAS",IF(E2509&lt;=60,"ATENCAO (31-60 DIAS)","OK"))))</f>
        <v/>
      </c>
      <c r="G2509" s="13">
        <f>SUMIFS(Movimentacoes!$G:$G,Movimentacoes!$C:$C,$A2509,Movimentacoes!$E:$E,$C2509,Movimentacoes!$B:$B,"ENTRADA")</f>
        <v/>
      </c>
      <c r="H2509" s="13">
        <f>SUMIFS(Movimentacoes!$G:$G,Movimentacoes!$C:$C,$A2509,Movimentacoes!$E:$E,$C2509,Movimentacoes!$B:$B,"SAIDA_USO")</f>
        <v/>
      </c>
      <c r="I2509" s="13">
        <f>SUMIFS(Movimentacoes!$G:$G,Movimentacoes!$C:$C,$A2509,Movimentacoes!$E:$E,$C2509,Movimentacoes!$B:$B,"SAIDA_DESCARTE")</f>
        <v/>
      </c>
      <c r="J2509" s="13">
        <f>G2509-H2509-I2509</f>
        <v/>
      </c>
      <c r="K2509">
        <f>IF(A2509="","",IF(J2509&lt;=IFERROR(VLOOKUP(A2509,Cadastro_Produtos!$A:$E,5,FALSE),0),"ABAIXO DO MINIMO","OK"))</f>
        <v/>
      </c>
    </row>
    <row r="2510">
      <c r="B2510">
        <f>IFERROR(VLOOKUP(A2510,Cadastro_Produtos!A:B,2,FALSE),"")</f>
        <v/>
      </c>
      <c r="D2510" s="12" t="n"/>
      <c r="E2510" s="13">
        <f>IF(D2510="","",D2510-TODAY())</f>
        <v/>
      </c>
      <c r="F2510">
        <f>IF(D2510="","",IF(E2510&lt;0,"VENCIDO",IF(E2510&lt;=30,"VENCE EM &lt;= 30 DIAS",IF(E2510&lt;=60,"ATENCAO (31-60 DIAS)","OK"))))</f>
        <v/>
      </c>
      <c r="G2510" s="13">
        <f>SUMIFS(Movimentacoes!$G:$G,Movimentacoes!$C:$C,$A2510,Movimentacoes!$E:$E,$C2510,Movimentacoes!$B:$B,"ENTRADA")</f>
        <v/>
      </c>
      <c r="H2510" s="13">
        <f>SUMIFS(Movimentacoes!$G:$G,Movimentacoes!$C:$C,$A2510,Movimentacoes!$E:$E,$C2510,Movimentacoes!$B:$B,"SAIDA_USO")</f>
        <v/>
      </c>
      <c r="I2510" s="13">
        <f>SUMIFS(Movimentacoes!$G:$G,Movimentacoes!$C:$C,$A2510,Movimentacoes!$E:$E,$C2510,Movimentacoes!$B:$B,"SAIDA_DESCARTE")</f>
        <v/>
      </c>
      <c r="J2510" s="13">
        <f>G2510-H2510-I2510</f>
        <v/>
      </c>
      <c r="K2510">
        <f>IF(A2510="","",IF(J2510&lt;=IFERROR(VLOOKUP(A2510,Cadastro_Produtos!$A:$E,5,FALSE),0),"ABAIXO DO MINIMO","OK"))</f>
        <v/>
      </c>
    </row>
    <row r="2511">
      <c r="B2511">
        <f>IFERROR(VLOOKUP(A2511,Cadastro_Produtos!A:B,2,FALSE),"")</f>
        <v/>
      </c>
      <c r="D2511" s="12" t="n"/>
      <c r="E2511" s="13">
        <f>IF(D2511="","",D2511-TODAY())</f>
        <v/>
      </c>
      <c r="F2511">
        <f>IF(D2511="","",IF(E2511&lt;0,"VENCIDO",IF(E2511&lt;=30,"VENCE EM &lt;= 30 DIAS",IF(E2511&lt;=60,"ATENCAO (31-60 DIAS)","OK"))))</f>
        <v/>
      </c>
      <c r="G2511" s="13">
        <f>SUMIFS(Movimentacoes!$G:$G,Movimentacoes!$C:$C,$A2511,Movimentacoes!$E:$E,$C2511,Movimentacoes!$B:$B,"ENTRADA")</f>
        <v/>
      </c>
      <c r="H2511" s="13">
        <f>SUMIFS(Movimentacoes!$G:$G,Movimentacoes!$C:$C,$A2511,Movimentacoes!$E:$E,$C2511,Movimentacoes!$B:$B,"SAIDA_USO")</f>
        <v/>
      </c>
      <c r="I2511" s="13">
        <f>SUMIFS(Movimentacoes!$G:$G,Movimentacoes!$C:$C,$A2511,Movimentacoes!$E:$E,$C2511,Movimentacoes!$B:$B,"SAIDA_DESCARTE")</f>
        <v/>
      </c>
      <c r="J2511" s="13">
        <f>G2511-H2511-I2511</f>
        <v/>
      </c>
      <c r="K2511">
        <f>IF(A2511="","",IF(J2511&lt;=IFERROR(VLOOKUP(A2511,Cadastro_Produtos!$A:$E,5,FALSE),0),"ABAIXO DO MINIMO","OK"))</f>
        <v/>
      </c>
    </row>
    <row r="2512">
      <c r="B2512">
        <f>IFERROR(VLOOKUP(A2512,Cadastro_Produtos!A:B,2,FALSE),"")</f>
        <v/>
      </c>
      <c r="D2512" s="12" t="n"/>
      <c r="E2512" s="13">
        <f>IF(D2512="","",D2512-TODAY())</f>
        <v/>
      </c>
      <c r="F2512">
        <f>IF(D2512="","",IF(E2512&lt;0,"VENCIDO",IF(E2512&lt;=30,"VENCE EM &lt;= 30 DIAS",IF(E2512&lt;=60,"ATENCAO (31-60 DIAS)","OK"))))</f>
        <v/>
      </c>
      <c r="G2512" s="13">
        <f>SUMIFS(Movimentacoes!$G:$G,Movimentacoes!$C:$C,$A2512,Movimentacoes!$E:$E,$C2512,Movimentacoes!$B:$B,"ENTRADA")</f>
        <v/>
      </c>
      <c r="H2512" s="13">
        <f>SUMIFS(Movimentacoes!$G:$G,Movimentacoes!$C:$C,$A2512,Movimentacoes!$E:$E,$C2512,Movimentacoes!$B:$B,"SAIDA_USO")</f>
        <v/>
      </c>
      <c r="I2512" s="13">
        <f>SUMIFS(Movimentacoes!$G:$G,Movimentacoes!$C:$C,$A2512,Movimentacoes!$E:$E,$C2512,Movimentacoes!$B:$B,"SAIDA_DESCARTE")</f>
        <v/>
      </c>
      <c r="J2512" s="13">
        <f>G2512-H2512-I2512</f>
        <v/>
      </c>
      <c r="K2512">
        <f>IF(A2512="","",IF(J2512&lt;=IFERROR(VLOOKUP(A2512,Cadastro_Produtos!$A:$E,5,FALSE),0),"ABAIXO DO MINIMO","OK"))</f>
        <v/>
      </c>
    </row>
    <row r="2513">
      <c r="B2513">
        <f>IFERROR(VLOOKUP(A2513,Cadastro_Produtos!A:B,2,FALSE),"")</f>
        <v/>
      </c>
      <c r="D2513" s="12" t="n"/>
      <c r="E2513" s="13">
        <f>IF(D2513="","",D2513-TODAY())</f>
        <v/>
      </c>
      <c r="F2513">
        <f>IF(D2513="","",IF(E2513&lt;0,"VENCIDO",IF(E2513&lt;=30,"VENCE EM &lt;= 30 DIAS",IF(E2513&lt;=60,"ATENCAO (31-60 DIAS)","OK"))))</f>
        <v/>
      </c>
      <c r="G2513" s="13">
        <f>SUMIFS(Movimentacoes!$G:$G,Movimentacoes!$C:$C,$A2513,Movimentacoes!$E:$E,$C2513,Movimentacoes!$B:$B,"ENTRADA")</f>
        <v/>
      </c>
      <c r="H2513" s="13">
        <f>SUMIFS(Movimentacoes!$G:$G,Movimentacoes!$C:$C,$A2513,Movimentacoes!$E:$E,$C2513,Movimentacoes!$B:$B,"SAIDA_USO")</f>
        <v/>
      </c>
      <c r="I2513" s="13">
        <f>SUMIFS(Movimentacoes!$G:$G,Movimentacoes!$C:$C,$A2513,Movimentacoes!$E:$E,$C2513,Movimentacoes!$B:$B,"SAIDA_DESCARTE")</f>
        <v/>
      </c>
      <c r="J2513" s="13">
        <f>G2513-H2513-I2513</f>
        <v/>
      </c>
      <c r="K2513">
        <f>IF(A2513="","",IF(J2513&lt;=IFERROR(VLOOKUP(A2513,Cadastro_Produtos!$A:$E,5,FALSE),0),"ABAIXO DO MINIMO","OK"))</f>
        <v/>
      </c>
    </row>
    <row r="2514">
      <c r="B2514">
        <f>IFERROR(VLOOKUP(A2514,Cadastro_Produtos!A:B,2,FALSE),"")</f>
        <v/>
      </c>
      <c r="D2514" s="12" t="n"/>
      <c r="E2514" s="13">
        <f>IF(D2514="","",D2514-TODAY())</f>
        <v/>
      </c>
      <c r="F2514">
        <f>IF(D2514="","",IF(E2514&lt;0,"VENCIDO",IF(E2514&lt;=30,"VENCE EM &lt;= 30 DIAS",IF(E2514&lt;=60,"ATENCAO (31-60 DIAS)","OK"))))</f>
        <v/>
      </c>
      <c r="G2514" s="13">
        <f>SUMIFS(Movimentacoes!$G:$G,Movimentacoes!$C:$C,$A2514,Movimentacoes!$E:$E,$C2514,Movimentacoes!$B:$B,"ENTRADA")</f>
        <v/>
      </c>
      <c r="H2514" s="13">
        <f>SUMIFS(Movimentacoes!$G:$G,Movimentacoes!$C:$C,$A2514,Movimentacoes!$E:$E,$C2514,Movimentacoes!$B:$B,"SAIDA_USO")</f>
        <v/>
      </c>
      <c r="I2514" s="13">
        <f>SUMIFS(Movimentacoes!$G:$G,Movimentacoes!$C:$C,$A2514,Movimentacoes!$E:$E,$C2514,Movimentacoes!$B:$B,"SAIDA_DESCARTE")</f>
        <v/>
      </c>
      <c r="J2514" s="13">
        <f>G2514-H2514-I2514</f>
        <v/>
      </c>
      <c r="K2514">
        <f>IF(A2514="","",IF(J2514&lt;=IFERROR(VLOOKUP(A2514,Cadastro_Produtos!$A:$E,5,FALSE),0),"ABAIXO DO MINIMO","OK"))</f>
        <v/>
      </c>
    </row>
    <row r="2515">
      <c r="B2515">
        <f>IFERROR(VLOOKUP(A2515,Cadastro_Produtos!A:B,2,FALSE),"")</f>
        <v/>
      </c>
      <c r="D2515" s="12" t="n"/>
      <c r="E2515" s="13">
        <f>IF(D2515="","",D2515-TODAY())</f>
        <v/>
      </c>
      <c r="F2515">
        <f>IF(D2515="","",IF(E2515&lt;0,"VENCIDO",IF(E2515&lt;=30,"VENCE EM &lt;= 30 DIAS",IF(E2515&lt;=60,"ATENCAO (31-60 DIAS)","OK"))))</f>
        <v/>
      </c>
      <c r="G2515" s="13">
        <f>SUMIFS(Movimentacoes!$G:$G,Movimentacoes!$C:$C,$A2515,Movimentacoes!$E:$E,$C2515,Movimentacoes!$B:$B,"ENTRADA")</f>
        <v/>
      </c>
      <c r="H2515" s="13">
        <f>SUMIFS(Movimentacoes!$G:$G,Movimentacoes!$C:$C,$A2515,Movimentacoes!$E:$E,$C2515,Movimentacoes!$B:$B,"SAIDA_USO")</f>
        <v/>
      </c>
      <c r="I2515" s="13">
        <f>SUMIFS(Movimentacoes!$G:$G,Movimentacoes!$C:$C,$A2515,Movimentacoes!$E:$E,$C2515,Movimentacoes!$B:$B,"SAIDA_DESCARTE")</f>
        <v/>
      </c>
      <c r="J2515" s="13">
        <f>G2515-H2515-I2515</f>
        <v/>
      </c>
      <c r="K2515">
        <f>IF(A2515="","",IF(J2515&lt;=IFERROR(VLOOKUP(A2515,Cadastro_Produtos!$A:$E,5,FALSE),0),"ABAIXO DO MINIMO","OK"))</f>
        <v/>
      </c>
    </row>
    <row r="2516">
      <c r="B2516">
        <f>IFERROR(VLOOKUP(A2516,Cadastro_Produtos!A:B,2,FALSE),"")</f>
        <v/>
      </c>
      <c r="D2516" s="12" t="n"/>
      <c r="E2516" s="13">
        <f>IF(D2516="","",D2516-TODAY())</f>
        <v/>
      </c>
      <c r="F2516">
        <f>IF(D2516="","",IF(E2516&lt;0,"VENCIDO",IF(E2516&lt;=30,"VENCE EM &lt;= 30 DIAS",IF(E2516&lt;=60,"ATENCAO (31-60 DIAS)","OK"))))</f>
        <v/>
      </c>
      <c r="G2516" s="13">
        <f>SUMIFS(Movimentacoes!$G:$G,Movimentacoes!$C:$C,$A2516,Movimentacoes!$E:$E,$C2516,Movimentacoes!$B:$B,"ENTRADA")</f>
        <v/>
      </c>
      <c r="H2516" s="13">
        <f>SUMIFS(Movimentacoes!$G:$G,Movimentacoes!$C:$C,$A2516,Movimentacoes!$E:$E,$C2516,Movimentacoes!$B:$B,"SAIDA_USO")</f>
        <v/>
      </c>
      <c r="I2516" s="13">
        <f>SUMIFS(Movimentacoes!$G:$G,Movimentacoes!$C:$C,$A2516,Movimentacoes!$E:$E,$C2516,Movimentacoes!$B:$B,"SAIDA_DESCARTE")</f>
        <v/>
      </c>
      <c r="J2516" s="13">
        <f>G2516-H2516-I2516</f>
        <v/>
      </c>
      <c r="K2516">
        <f>IF(A2516="","",IF(J2516&lt;=IFERROR(VLOOKUP(A2516,Cadastro_Produtos!$A:$E,5,FALSE),0),"ABAIXO DO MINIMO","OK"))</f>
        <v/>
      </c>
    </row>
    <row r="2517">
      <c r="B2517">
        <f>IFERROR(VLOOKUP(A2517,Cadastro_Produtos!A:B,2,FALSE),"")</f>
        <v/>
      </c>
      <c r="D2517" s="12" t="n"/>
      <c r="E2517" s="13">
        <f>IF(D2517="","",D2517-TODAY())</f>
        <v/>
      </c>
      <c r="F2517">
        <f>IF(D2517="","",IF(E2517&lt;0,"VENCIDO",IF(E2517&lt;=30,"VENCE EM &lt;= 30 DIAS",IF(E2517&lt;=60,"ATENCAO (31-60 DIAS)","OK"))))</f>
        <v/>
      </c>
      <c r="G2517" s="13">
        <f>SUMIFS(Movimentacoes!$G:$G,Movimentacoes!$C:$C,$A2517,Movimentacoes!$E:$E,$C2517,Movimentacoes!$B:$B,"ENTRADA")</f>
        <v/>
      </c>
      <c r="H2517" s="13">
        <f>SUMIFS(Movimentacoes!$G:$G,Movimentacoes!$C:$C,$A2517,Movimentacoes!$E:$E,$C2517,Movimentacoes!$B:$B,"SAIDA_USO")</f>
        <v/>
      </c>
      <c r="I2517" s="13">
        <f>SUMIFS(Movimentacoes!$G:$G,Movimentacoes!$C:$C,$A2517,Movimentacoes!$E:$E,$C2517,Movimentacoes!$B:$B,"SAIDA_DESCARTE")</f>
        <v/>
      </c>
      <c r="J2517" s="13">
        <f>G2517-H2517-I2517</f>
        <v/>
      </c>
      <c r="K2517">
        <f>IF(A2517="","",IF(J2517&lt;=IFERROR(VLOOKUP(A2517,Cadastro_Produtos!$A:$E,5,FALSE),0),"ABAIXO DO MINIMO","OK"))</f>
        <v/>
      </c>
    </row>
    <row r="2518">
      <c r="B2518">
        <f>IFERROR(VLOOKUP(A2518,Cadastro_Produtos!A:B,2,FALSE),"")</f>
        <v/>
      </c>
      <c r="D2518" s="12" t="n"/>
      <c r="E2518" s="13">
        <f>IF(D2518="","",D2518-TODAY())</f>
        <v/>
      </c>
      <c r="F2518">
        <f>IF(D2518="","",IF(E2518&lt;0,"VENCIDO",IF(E2518&lt;=30,"VENCE EM &lt;= 30 DIAS",IF(E2518&lt;=60,"ATENCAO (31-60 DIAS)","OK"))))</f>
        <v/>
      </c>
      <c r="G2518" s="13">
        <f>SUMIFS(Movimentacoes!$G:$G,Movimentacoes!$C:$C,$A2518,Movimentacoes!$E:$E,$C2518,Movimentacoes!$B:$B,"ENTRADA")</f>
        <v/>
      </c>
      <c r="H2518" s="13">
        <f>SUMIFS(Movimentacoes!$G:$G,Movimentacoes!$C:$C,$A2518,Movimentacoes!$E:$E,$C2518,Movimentacoes!$B:$B,"SAIDA_USO")</f>
        <v/>
      </c>
      <c r="I2518" s="13">
        <f>SUMIFS(Movimentacoes!$G:$G,Movimentacoes!$C:$C,$A2518,Movimentacoes!$E:$E,$C2518,Movimentacoes!$B:$B,"SAIDA_DESCARTE")</f>
        <v/>
      </c>
      <c r="J2518" s="13">
        <f>G2518-H2518-I2518</f>
        <v/>
      </c>
      <c r="K2518">
        <f>IF(A2518="","",IF(J2518&lt;=IFERROR(VLOOKUP(A2518,Cadastro_Produtos!$A:$E,5,FALSE),0),"ABAIXO DO MINIMO","OK"))</f>
        <v/>
      </c>
    </row>
    <row r="2519">
      <c r="B2519">
        <f>IFERROR(VLOOKUP(A2519,Cadastro_Produtos!A:B,2,FALSE),"")</f>
        <v/>
      </c>
      <c r="D2519" s="12" t="n"/>
      <c r="E2519" s="13">
        <f>IF(D2519="","",D2519-TODAY())</f>
        <v/>
      </c>
      <c r="F2519">
        <f>IF(D2519="","",IF(E2519&lt;0,"VENCIDO",IF(E2519&lt;=30,"VENCE EM &lt;= 30 DIAS",IF(E2519&lt;=60,"ATENCAO (31-60 DIAS)","OK"))))</f>
        <v/>
      </c>
      <c r="G2519" s="13">
        <f>SUMIFS(Movimentacoes!$G:$G,Movimentacoes!$C:$C,$A2519,Movimentacoes!$E:$E,$C2519,Movimentacoes!$B:$B,"ENTRADA")</f>
        <v/>
      </c>
      <c r="H2519" s="13">
        <f>SUMIFS(Movimentacoes!$G:$G,Movimentacoes!$C:$C,$A2519,Movimentacoes!$E:$E,$C2519,Movimentacoes!$B:$B,"SAIDA_USO")</f>
        <v/>
      </c>
      <c r="I2519" s="13">
        <f>SUMIFS(Movimentacoes!$G:$G,Movimentacoes!$C:$C,$A2519,Movimentacoes!$E:$E,$C2519,Movimentacoes!$B:$B,"SAIDA_DESCARTE")</f>
        <v/>
      </c>
      <c r="J2519" s="13">
        <f>G2519-H2519-I2519</f>
        <v/>
      </c>
      <c r="K2519">
        <f>IF(A2519="","",IF(J2519&lt;=IFERROR(VLOOKUP(A2519,Cadastro_Produtos!$A:$E,5,FALSE),0),"ABAIXO DO MINIMO","OK"))</f>
        <v/>
      </c>
    </row>
    <row r="2520">
      <c r="B2520">
        <f>IFERROR(VLOOKUP(A2520,Cadastro_Produtos!A:B,2,FALSE),"")</f>
        <v/>
      </c>
      <c r="D2520" s="12" t="n"/>
      <c r="E2520" s="13">
        <f>IF(D2520="","",D2520-TODAY())</f>
        <v/>
      </c>
      <c r="F2520">
        <f>IF(D2520="","",IF(E2520&lt;0,"VENCIDO",IF(E2520&lt;=30,"VENCE EM &lt;= 30 DIAS",IF(E2520&lt;=60,"ATENCAO (31-60 DIAS)","OK"))))</f>
        <v/>
      </c>
      <c r="G2520" s="13">
        <f>SUMIFS(Movimentacoes!$G:$G,Movimentacoes!$C:$C,$A2520,Movimentacoes!$E:$E,$C2520,Movimentacoes!$B:$B,"ENTRADA")</f>
        <v/>
      </c>
      <c r="H2520" s="13">
        <f>SUMIFS(Movimentacoes!$G:$G,Movimentacoes!$C:$C,$A2520,Movimentacoes!$E:$E,$C2520,Movimentacoes!$B:$B,"SAIDA_USO")</f>
        <v/>
      </c>
      <c r="I2520" s="13">
        <f>SUMIFS(Movimentacoes!$G:$G,Movimentacoes!$C:$C,$A2520,Movimentacoes!$E:$E,$C2520,Movimentacoes!$B:$B,"SAIDA_DESCARTE")</f>
        <v/>
      </c>
      <c r="J2520" s="13">
        <f>G2520-H2520-I2520</f>
        <v/>
      </c>
      <c r="K2520">
        <f>IF(A2520="","",IF(J2520&lt;=IFERROR(VLOOKUP(A2520,Cadastro_Produtos!$A:$E,5,FALSE),0),"ABAIXO DO MINIMO","OK"))</f>
        <v/>
      </c>
    </row>
    <row r="2521">
      <c r="B2521">
        <f>IFERROR(VLOOKUP(A2521,Cadastro_Produtos!A:B,2,FALSE),"")</f>
        <v/>
      </c>
      <c r="D2521" s="12" t="n"/>
      <c r="E2521" s="13">
        <f>IF(D2521="","",D2521-TODAY())</f>
        <v/>
      </c>
      <c r="F2521">
        <f>IF(D2521="","",IF(E2521&lt;0,"VENCIDO",IF(E2521&lt;=30,"VENCE EM &lt;= 30 DIAS",IF(E2521&lt;=60,"ATENCAO (31-60 DIAS)","OK"))))</f>
        <v/>
      </c>
      <c r="G2521" s="13">
        <f>SUMIFS(Movimentacoes!$G:$G,Movimentacoes!$C:$C,$A2521,Movimentacoes!$E:$E,$C2521,Movimentacoes!$B:$B,"ENTRADA")</f>
        <v/>
      </c>
      <c r="H2521" s="13">
        <f>SUMIFS(Movimentacoes!$G:$G,Movimentacoes!$C:$C,$A2521,Movimentacoes!$E:$E,$C2521,Movimentacoes!$B:$B,"SAIDA_USO")</f>
        <v/>
      </c>
      <c r="I2521" s="13">
        <f>SUMIFS(Movimentacoes!$G:$G,Movimentacoes!$C:$C,$A2521,Movimentacoes!$E:$E,$C2521,Movimentacoes!$B:$B,"SAIDA_DESCARTE")</f>
        <v/>
      </c>
      <c r="J2521" s="13">
        <f>G2521-H2521-I2521</f>
        <v/>
      </c>
      <c r="K2521">
        <f>IF(A2521="","",IF(J2521&lt;=IFERROR(VLOOKUP(A2521,Cadastro_Produtos!$A:$E,5,FALSE),0),"ABAIXO DO MINIMO","OK"))</f>
        <v/>
      </c>
    </row>
    <row r="2522">
      <c r="B2522">
        <f>IFERROR(VLOOKUP(A2522,Cadastro_Produtos!A:B,2,FALSE),"")</f>
        <v/>
      </c>
      <c r="D2522" s="12" t="n"/>
      <c r="E2522" s="13">
        <f>IF(D2522="","",D2522-TODAY())</f>
        <v/>
      </c>
      <c r="F2522">
        <f>IF(D2522="","",IF(E2522&lt;0,"VENCIDO",IF(E2522&lt;=30,"VENCE EM &lt;= 30 DIAS",IF(E2522&lt;=60,"ATENCAO (31-60 DIAS)","OK"))))</f>
        <v/>
      </c>
      <c r="G2522" s="13">
        <f>SUMIFS(Movimentacoes!$G:$G,Movimentacoes!$C:$C,$A2522,Movimentacoes!$E:$E,$C2522,Movimentacoes!$B:$B,"ENTRADA")</f>
        <v/>
      </c>
      <c r="H2522" s="13">
        <f>SUMIFS(Movimentacoes!$G:$G,Movimentacoes!$C:$C,$A2522,Movimentacoes!$E:$E,$C2522,Movimentacoes!$B:$B,"SAIDA_USO")</f>
        <v/>
      </c>
      <c r="I2522" s="13">
        <f>SUMIFS(Movimentacoes!$G:$G,Movimentacoes!$C:$C,$A2522,Movimentacoes!$E:$E,$C2522,Movimentacoes!$B:$B,"SAIDA_DESCARTE")</f>
        <v/>
      </c>
      <c r="J2522" s="13">
        <f>G2522-H2522-I2522</f>
        <v/>
      </c>
      <c r="K2522">
        <f>IF(A2522="","",IF(J2522&lt;=IFERROR(VLOOKUP(A2522,Cadastro_Produtos!$A:$E,5,FALSE),0),"ABAIXO DO MINIMO","OK"))</f>
        <v/>
      </c>
    </row>
    <row r="2523">
      <c r="B2523">
        <f>IFERROR(VLOOKUP(A2523,Cadastro_Produtos!A:B,2,FALSE),"")</f>
        <v/>
      </c>
      <c r="D2523" s="12" t="n"/>
      <c r="E2523" s="13">
        <f>IF(D2523="","",D2523-TODAY())</f>
        <v/>
      </c>
      <c r="F2523">
        <f>IF(D2523="","",IF(E2523&lt;0,"VENCIDO",IF(E2523&lt;=30,"VENCE EM &lt;= 30 DIAS",IF(E2523&lt;=60,"ATENCAO (31-60 DIAS)","OK"))))</f>
        <v/>
      </c>
      <c r="G2523" s="13">
        <f>SUMIFS(Movimentacoes!$G:$G,Movimentacoes!$C:$C,$A2523,Movimentacoes!$E:$E,$C2523,Movimentacoes!$B:$B,"ENTRADA")</f>
        <v/>
      </c>
      <c r="H2523" s="13">
        <f>SUMIFS(Movimentacoes!$G:$G,Movimentacoes!$C:$C,$A2523,Movimentacoes!$E:$E,$C2523,Movimentacoes!$B:$B,"SAIDA_USO")</f>
        <v/>
      </c>
      <c r="I2523" s="13">
        <f>SUMIFS(Movimentacoes!$G:$G,Movimentacoes!$C:$C,$A2523,Movimentacoes!$E:$E,$C2523,Movimentacoes!$B:$B,"SAIDA_DESCARTE")</f>
        <v/>
      </c>
      <c r="J2523" s="13">
        <f>G2523-H2523-I2523</f>
        <v/>
      </c>
      <c r="K2523">
        <f>IF(A2523="","",IF(J2523&lt;=IFERROR(VLOOKUP(A2523,Cadastro_Produtos!$A:$E,5,FALSE),0),"ABAIXO DO MINIMO","OK"))</f>
        <v/>
      </c>
    </row>
    <row r="2524">
      <c r="B2524">
        <f>IFERROR(VLOOKUP(A2524,Cadastro_Produtos!A:B,2,FALSE),"")</f>
        <v/>
      </c>
      <c r="D2524" s="12" t="n"/>
      <c r="E2524" s="13">
        <f>IF(D2524="","",D2524-TODAY())</f>
        <v/>
      </c>
      <c r="F2524">
        <f>IF(D2524="","",IF(E2524&lt;0,"VENCIDO",IF(E2524&lt;=30,"VENCE EM &lt;= 30 DIAS",IF(E2524&lt;=60,"ATENCAO (31-60 DIAS)","OK"))))</f>
        <v/>
      </c>
      <c r="G2524" s="13">
        <f>SUMIFS(Movimentacoes!$G:$G,Movimentacoes!$C:$C,$A2524,Movimentacoes!$E:$E,$C2524,Movimentacoes!$B:$B,"ENTRADA")</f>
        <v/>
      </c>
      <c r="H2524" s="13">
        <f>SUMIFS(Movimentacoes!$G:$G,Movimentacoes!$C:$C,$A2524,Movimentacoes!$E:$E,$C2524,Movimentacoes!$B:$B,"SAIDA_USO")</f>
        <v/>
      </c>
      <c r="I2524" s="13">
        <f>SUMIFS(Movimentacoes!$G:$G,Movimentacoes!$C:$C,$A2524,Movimentacoes!$E:$E,$C2524,Movimentacoes!$B:$B,"SAIDA_DESCARTE")</f>
        <v/>
      </c>
      <c r="J2524" s="13">
        <f>G2524-H2524-I2524</f>
        <v/>
      </c>
      <c r="K2524">
        <f>IF(A2524="","",IF(J2524&lt;=IFERROR(VLOOKUP(A2524,Cadastro_Produtos!$A:$E,5,FALSE),0),"ABAIXO DO MINIMO","OK"))</f>
        <v/>
      </c>
    </row>
    <row r="2525">
      <c r="B2525">
        <f>IFERROR(VLOOKUP(A2525,Cadastro_Produtos!A:B,2,FALSE),"")</f>
        <v/>
      </c>
      <c r="D2525" s="12" t="n"/>
      <c r="E2525" s="13">
        <f>IF(D2525="","",D2525-TODAY())</f>
        <v/>
      </c>
      <c r="F2525">
        <f>IF(D2525="","",IF(E2525&lt;0,"VENCIDO",IF(E2525&lt;=30,"VENCE EM &lt;= 30 DIAS",IF(E2525&lt;=60,"ATENCAO (31-60 DIAS)","OK"))))</f>
        <v/>
      </c>
      <c r="G2525" s="13">
        <f>SUMIFS(Movimentacoes!$G:$G,Movimentacoes!$C:$C,$A2525,Movimentacoes!$E:$E,$C2525,Movimentacoes!$B:$B,"ENTRADA")</f>
        <v/>
      </c>
      <c r="H2525" s="13">
        <f>SUMIFS(Movimentacoes!$G:$G,Movimentacoes!$C:$C,$A2525,Movimentacoes!$E:$E,$C2525,Movimentacoes!$B:$B,"SAIDA_USO")</f>
        <v/>
      </c>
      <c r="I2525" s="13">
        <f>SUMIFS(Movimentacoes!$G:$G,Movimentacoes!$C:$C,$A2525,Movimentacoes!$E:$E,$C2525,Movimentacoes!$B:$B,"SAIDA_DESCARTE")</f>
        <v/>
      </c>
      <c r="J2525" s="13">
        <f>G2525-H2525-I2525</f>
        <v/>
      </c>
      <c r="K2525">
        <f>IF(A2525="","",IF(J2525&lt;=IFERROR(VLOOKUP(A2525,Cadastro_Produtos!$A:$E,5,FALSE),0),"ABAIXO DO MINIMO","OK"))</f>
        <v/>
      </c>
    </row>
    <row r="2526">
      <c r="B2526">
        <f>IFERROR(VLOOKUP(A2526,Cadastro_Produtos!A:B,2,FALSE),"")</f>
        <v/>
      </c>
      <c r="D2526" s="12" t="n"/>
      <c r="E2526" s="13">
        <f>IF(D2526="","",D2526-TODAY())</f>
        <v/>
      </c>
      <c r="F2526">
        <f>IF(D2526="","",IF(E2526&lt;0,"VENCIDO",IF(E2526&lt;=30,"VENCE EM &lt;= 30 DIAS",IF(E2526&lt;=60,"ATENCAO (31-60 DIAS)","OK"))))</f>
        <v/>
      </c>
      <c r="G2526" s="13">
        <f>SUMIFS(Movimentacoes!$G:$G,Movimentacoes!$C:$C,$A2526,Movimentacoes!$E:$E,$C2526,Movimentacoes!$B:$B,"ENTRADA")</f>
        <v/>
      </c>
      <c r="H2526" s="13">
        <f>SUMIFS(Movimentacoes!$G:$G,Movimentacoes!$C:$C,$A2526,Movimentacoes!$E:$E,$C2526,Movimentacoes!$B:$B,"SAIDA_USO")</f>
        <v/>
      </c>
      <c r="I2526" s="13">
        <f>SUMIFS(Movimentacoes!$G:$G,Movimentacoes!$C:$C,$A2526,Movimentacoes!$E:$E,$C2526,Movimentacoes!$B:$B,"SAIDA_DESCARTE")</f>
        <v/>
      </c>
      <c r="J2526" s="13">
        <f>G2526-H2526-I2526</f>
        <v/>
      </c>
      <c r="K2526">
        <f>IF(A2526="","",IF(J2526&lt;=IFERROR(VLOOKUP(A2526,Cadastro_Produtos!$A:$E,5,FALSE),0),"ABAIXO DO MINIMO","OK"))</f>
        <v/>
      </c>
    </row>
    <row r="2527">
      <c r="B2527">
        <f>IFERROR(VLOOKUP(A2527,Cadastro_Produtos!A:B,2,FALSE),"")</f>
        <v/>
      </c>
      <c r="D2527" s="12" t="n"/>
      <c r="E2527" s="13">
        <f>IF(D2527="","",D2527-TODAY())</f>
        <v/>
      </c>
      <c r="F2527">
        <f>IF(D2527="","",IF(E2527&lt;0,"VENCIDO",IF(E2527&lt;=30,"VENCE EM &lt;= 30 DIAS",IF(E2527&lt;=60,"ATENCAO (31-60 DIAS)","OK"))))</f>
        <v/>
      </c>
      <c r="G2527" s="13">
        <f>SUMIFS(Movimentacoes!$G:$G,Movimentacoes!$C:$C,$A2527,Movimentacoes!$E:$E,$C2527,Movimentacoes!$B:$B,"ENTRADA")</f>
        <v/>
      </c>
      <c r="H2527" s="13">
        <f>SUMIFS(Movimentacoes!$G:$G,Movimentacoes!$C:$C,$A2527,Movimentacoes!$E:$E,$C2527,Movimentacoes!$B:$B,"SAIDA_USO")</f>
        <v/>
      </c>
      <c r="I2527" s="13">
        <f>SUMIFS(Movimentacoes!$G:$G,Movimentacoes!$C:$C,$A2527,Movimentacoes!$E:$E,$C2527,Movimentacoes!$B:$B,"SAIDA_DESCARTE")</f>
        <v/>
      </c>
      <c r="J2527" s="13">
        <f>G2527-H2527-I2527</f>
        <v/>
      </c>
      <c r="K2527">
        <f>IF(A2527="","",IF(J2527&lt;=IFERROR(VLOOKUP(A2527,Cadastro_Produtos!$A:$E,5,FALSE),0),"ABAIXO DO MINIMO","OK"))</f>
        <v/>
      </c>
    </row>
    <row r="2528">
      <c r="B2528">
        <f>IFERROR(VLOOKUP(A2528,Cadastro_Produtos!A:B,2,FALSE),"")</f>
        <v/>
      </c>
      <c r="D2528" s="12" t="n"/>
      <c r="E2528" s="13">
        <f>IF(D2528="","",D2528-TODAY())</f>
        <v/>
      </c>
      <c r="F2528">
        <f>IF(D2528="","",IF(E2528&lt;0,"VENCIDO",IF(E2528&lt;=30,"VENCE EM &lt;= 30 DIAS",IF(E2528&lt;=60,"ATENCAO (31-60 DIAS)","OK"))))</f>
        <v/>
      </c>
      <c r="G2528" s="13">
        <f>SUMIFS(Movimentacoes!$G:$G,Movimentacoes!$C:$C,$A2528,Movimentacoes!$E:$E,$C2528,Movimentacoes!$B:$B,"ENTRADA")</f>
        <v/>
      </c>
      <c r="H2528" s="13">
        <f>SUMIFS(Movimentacoes!$G:$G,Movimentacoes!$C:$C,$A2528,Movimentacoes!$E:$E,$C2528,Movimentacoes!$B:$B,"SAIDA_USO")</f>
        <v/>
      </c>
      <c r="I2528" s="13">
        <f>SUMIFS(Movimentacoes!$G:$G,Movimentacoes!$C:$C,$A2528,Movimentacoes!$E:$E,$C2528,Movimentacoes!$B:$B,"SAIDA_DESCARTE")</f>
        <v/>
      </c>
      <c r="J2528" s="13">
        <f>G2528-H2528-I2528</f>
        <v/>
      </c>
      <c r="K2528">
        <f>IF(A2528="","",IF(J2528&lt;=IFERROR(VLOOKUP(A2528,Cadastro_Produtos!$A:$E,5,FALSE),0),"ABAIXO DO MINIMO","OK"))</f>
        <v/>
      </c>
    </row>
    <row r="2529">
      <c r="B2529">
        <f>IFERROR(VLOOKUP(A2529,Cadastro_Produtos!A:B,2,FALSE),"")</f>
        <v/>
      </c>
      <c r="D2529" s="12" t="n"/>
      <c r="E2529" s="13">
        <f>IF(D2529="","",D2529-TODAY())</f>
        <v/>
      </c>
      <c r="F2529">
        <f>IF(D2529="","",IF(E2529&lt;0,"VENCIDO",IF(E2529&lt;=30,"VENCE EM &lt;= 30 DIAS",IF(E2529&lt;=60,"ATENCAO (31-60 DIAS)","OK"))))</f>
        <v/>
      </c>
      <c r="G2529" s="13">
        <f>SUMIFS(Movimentacoes!$G:$G,Movimentacoes!$C:$C,$A2529,Movimentacoes!$E:$E,$C2529,Movimentacoes!$B:$B,"ENTRADA")</f>
        <v/>
      </c>
      <c r="H2529" s="13">
        <f>SUMIFS(Movimentacoes!$G:$G,Movimentacoes!$C:$C,$A2529,Movimentacoes!$E:$E,$C2529,Movimentacoes!$B:$B,"SAIDA_USO")</f>
        <v/>
      </c>
      <c r="I2529" s="13">
        <f>SUMIFS(Movimentacoes!$G:$G,Movimentacoes!$C:$C,$A2529,Movimentacoes!$E:$E,$C2529,Movimentacoes!$B:$B,"SAIDA_DESCARTE")</f>
        <v/>
      </c>
      <c r="J2529" s="13">
        <f>G2529-H2529-I2529</f>
        <v/>
      </c>
      <c r="K2529">
        <f>IF(A2529="","",IF(J2529&lt;=IFERROR(VLOOKUP(A2529,Cadastro_Produtos!$A:$E,5,FALSE),0),"ABAIXO DO MINIMO","OK"))</f>
        <v/>
      </c>
    </row>
    <row r="2530">
      <c r="B2530">
        <f>IFERROR(VLOOKUP(A2530,Cadastro_Produtos!A:B,2,FALSE),"")</f>
        <v/>
      </c>
      <c r="D2530" s="12" t="n"/>
      <c r="E2530" s="13">
        <f>IF(D2530="","",D2530-TODAY())</f>
        <v/>
      </c>
      <c r="F2530">
        <f>IF(D2530="","",IF(E2530&lt;0,"VENCIDO",IF(E2530&lt;=30,"VENCE EM &lt;= 30 DIAS",IF(E2530&lt;=60,"ATENCAO (31-60 DIAS)","OK"))))</f>
        <v/>
      </c>
      <c r="G2530" s="13">
        <f>SUMIFS(Movimentacoes!$G:$G,Movimentacoes!$C:$C,$A2530,Movimentacoes!$E:$E,$C2530,Movimentacoes!$B:$B,"ENTRADA")</f>
        <v/>
      </c>
      <c r="H2530" s="13">
        <f>SUMIFS(Movimentacoes!$G:$G,Movimentacoes!$C:$C,$A2530,Movimentacoes!$E:$E,$C2530,Movimentacoes!$B:$B,"SAIDA_USO")</f>
        <v/>
      </c>
      <c r="I2530" s="13">
        <f>SUMIFS(Movimentacoes!$G:$G,Movimentacoes!$C:$C,$A2530,Movimentacoes!$E:$E,$C2530,Movimentacoes!$B:$B,"SAIDA_DESCARTE")</f>
        <v/>
      </c>
      <c r="J2530" s="13">
        <f>G2530-H2530-I2530</f>
        <v/>
      </c>
      <c r="K2530">
        <f>IF(A2530="","",IF(J2530&lt;=IFERROR(VLOOKUP(A2530,Cadastro_Produtos!$A:$E,5,FALSE),0),"ABAIXO DO MINIMO","OK"))</f>
        <v/>
      </c>
    </row>
    <row r="2531">
      <c r="B2531">
        <f>IFERROR(VLOOKUP(A2531,Cadastro_Produtos!A:B,2,FALSE),"")</f>
        <v/>
      </c>
      <c r="D2531" s="12" t="n"/>
      <c r="E2531" s="13">
        <f>IF(D2531="","",D2531-TODAY())</f>
        <v/>
      </c>
      <c r="F2531">
        <f>IF(D2531="","",IF(E2531&lt;0,"VENCIDO",IF(E2531&lt;=30,"VENCE EM &lt;= 30 DIAS",IF(E2531&lt;=60,"ATENCAO (31-60 DIAS)","OK"))))</f>
        <v/>
      </c>
      <c r="G2531" s="13">
        <f>SUMIFS(Movimentacoes!$G:$G,Movimentacoes!$C:$C,$A2531,Movimentacoes!$E:$E,$C2531,Movimentacoes!$B:$B,"ENTRADA")</f>
        <v/>
      </c>
      <c r="H2531" s="13">
        <f>SUMIFS(Movimentacoes!$G:$G,Movimentacoes!$C:$C,$A2531,Movimentacoes!$E:$E,$C2531,Movimentacoes!$B:$B,"SAIDA_USO")</f>
        <v/>
      </c>
      <c r="I2531" s="13">
        <f>SUMIFS(Movimentacoes!$G:$G,Movimentacoes!$C:$C,$A2531,Movimentacoes!$E:$E,$C2531,Movimentacoes!$B:$B,"SAIDA_DESCARTE")</f>
        <v/>
      </c>
      <c r="J2531" s="13">
        <f>G2531-H2531-I2531</f>
        <v/>
      </c>
      <c r="K2531">
        <f>IF(A2531="","",IF(J2531&lt;=IFERROR(VLOOKUP(A2531,Cadastro_Produtos!$A:$E,5,FALSE),0),"ABAIXO DO MINIMO","OK"))</f>
        <v/>
      </c>
    </row>
    <row r="2532">
      <c r="B2532">
        <f>IFERROR(VLOOKUP(A2532,Cadastro_Produtos!A:B,2,FALSE),"")</f>
        <v/>
      </c>
      <c r="D2532" s="12" t="n"/>
      <c r="E2532" s="13">
        <f>IF(D2532="","",D2532-TODAY())</f>
        <v/>
      </c>
      <c r="F2532">
        <f>IF(D2532="","",IF(E2532&lt;0,"VENCIDO",IF(E2532&lt;=30,"VENCE EM &lt;= 30 DIAS",IF(E2532&lt;=60,"ATENCAO (31-60 DIAS)","OK"))))</f>
        <v/>
      </c>
      <c r="G2532" s="13">
        <f>SUMIFS(Movimentacoes!$G:$G,Movimentacoes!$C:$C,$A2532,Movimentacoes!$E:$E,$C2532,Movimentacoes!$B:$B,"ENTRADA")</f>
        <v/>
      </c>
      <c r="H2532" s="13">
        <f>SUMIFS(Movimentacoes!$G:$G,Movimentacoes!$C:$C,$A2532,Movimentacoes!$E:$E,$C2532,Movimentacoes!$B:$B,"SAIDA_USO")</f>
        <v/>
      </c>
      <c r="I2532" s="13">
        <f>SUMIFS(Movimentacoes!$G:$G,Movimentacoes!$C:$C,$A2532,Movimentacoes!$E:$E,$C2532,Movimentacoes!$B:$B,"SAIDA_DESCARTE")</f>
        <v/>
      </c>
      <c r="J2532" s="13">
        <f>G2532-H2532-I2532</f>
        <v/>
      </c>
      <c r="K2532">
        <f>IF(A2532="","",IF(J2532&lt;=IFERROR(VLOOKUP(A2532,Cadastro_Produtos!$A:$E,5,FALSE),0),"ABAIXO DO MINIMO","OK"))</f>
        <v/>
      </c>
    </row>
    <row r="2533">
      <c r="B2533">
        <f>IFERROR(VLOOKUP(A2533,Cadastro_Produtos!A:B,2,FALSE),"")</f>
        <v/>
      </c>
      <c r="D2533" s="12" t="n"/>
      <c r="E2533" s="13">
        <f>IF(D2533="","",D2533-TODAY())</f>
        <v/>
      </c>
      <c r="F2533">
        <f>IF(D2533="","",IF(E2533&lt;0,"VENCIDO",IF(E2533&lt;=30,"VENCE EM &lt;= 30 DIAS",IF(E2533&lt;=60,"ATENCAO (31-60 DIAS)","OK"))))</f>
        <v/>
      </c>
      <c r="G2533" s="13">
        <f>SUMIFS(Movimentacoes!$G:$G,Movimentacoes!$C:$C,$A2533,Movimentacoes!$E:$E,$C2533,Movimentacoes!$B:$B,"ENTRADA")</f>
        <v/>
      </c>
      <c r="H2533" s="13">
        <f>SUMIFS(Movimentacoes!$G:$G,Movimentacoes!$C:$C,$A2533,Movimentacoes!$E:$E,$C2533,Movimentacoes!$B:$B,"SAIDA_USO")</f>
        <v/>
      </c>
      <c r="I2533" s="13">
        <f>SUMIFS(Movimentacoes!$G:$G,Movimentacoes!$C:$C,$A2533,Movimentacoes!$E:$E,$C2533,Movimentacoes!$B:$B,"SAIDA_DESCARTE")</f>
        <v/>
      </c>
      <c r="J2533" s="13">
        <f>G2533-H2533-I2533</f>
        <v/>
      </c>
      <c r="K2533">
        <f>IF(A2533="","",IF(J2533&lt;=IFERROR(VLOOKUP(A2533,Cadastro_Produtos!$A:$E,5,FALSE),0),"ABAIXO DO MINIMO","OK"))</f>
        <v/>
      </c>
    </row>
    <row r="2534">
      <c r="B2534">
        <f>IFERROR(VLOOKUP(A2534,Cadastro_Produtos!A:B,2,FALSE),"")</f>
        <v/>
      </c>
      <c r="D2534" s="12" t="n"/>
      <c r="E2534" s="13">
        <f>IF(D2534="","",D2534-TODAY())</f>
        <v/>
      </c>
      <c r="F2534">
        <f>IF(D2534="","",IF(E2534&lt;0,"VENCIDO",IF(E2534&lt;=30,"VENCE EM &lt;= 30 DIAS",IF(E2534&lt;=60,"ATENCAO (31-60 DIAS)","OK"))))</f>
        <v/>
      </c>
      <c r="G2534" s="13">
        <f>SUMIFS(Movimentacoes!$G:$G,Movimentacoes!$C:$C,$A2534,Movimentacoes!$E:$E,$C2534,Movimentacoes!$B:$B,"ENTRADA")</f>
        <v/>
      </c>
      <c r="H2534" s="13">
        <f>SUMIFS(Movimentacoes!$G:$G,Movimentacoes!$C:$C,$A2534,Movimentacoes!$E:$E,$C2534,Movimentacoes!$B:$B,"SAIDA_USO")</f>
        <v/>
      </c>
      <c r="I2534" s="13">
        <f>SUMIFS(Movimentacoes!$G:$G,Movimentacoes!$C:$C,$A2534,Movimentacoes!$E:$E,$C2534,Movimentacoes!$B:$B,"SAIDA_DESCARTE")</f>
        <v/>
      </c>
      <c r="J2534" s="13">
        <f>G2534-H2534-I2534</f>
        <v/>
      </c>
      <c r="K2534">
        <f>IF(A2534="","",IF(J2534&lt;=IFERROR(VLOOKUP(A2534,Cadastro_Produtos!$A:$E,5,FALSE),0),"ABAIXO DO MINIMO","OK"))</f>
        <v/>
      </c>
    </row>
    <row r="2535">
      <c r="B2535">
        <f>IFERROR(VLOOKUP(A2535,Cadastro_Produtos!A:B,2,FALSE),"")</f>
        <v/>
      </c>
      <c r="D2535" s="12" t="n"/>
      <c r="E2535" s="13">
        <f>IF(D2535="","",D2535-TODAY())</f>
        <v/>
      </c>
      <c r="F2535">
        <f>IF(D2535="","",IF(E2535&lt;0,"VENCIDO",IF(E2535&lt;=30,"VENCE EM &lt;= 30 DIAS",IF(E2535&lt;=60,"ATENCAO (31-60 DIAS)","OK"))))</f>
        <v/>
      </c>
      <c r="G2535" s="13">
        <f>SUMIFS(Movimentacoes!$G:$G,Movimentacoes!$C:$C,$A2535,Movimentacoes!$E:$E,$C2535,Movimentacoes!$B:$B,"ENTRADA")</f>
        <v/>
      </c>
      <c r="H2535" s="13">
        <f>SUMIFS(Movimentacoes!$G:$G,Movimentacoes!$C:$C,$A2535,Movimentacoes!$E:$E,$C2535,Movimentacoes!$B:$B,"SAIDA_USO")</f>
        <v/>
      </c>
      <c r="I2535" s="13">
        <f>SUMIFS(Movimentacoes!$G:$G,Movimentacoes!$C:$C,$A2535,Movimentacoes!$E:$E,$C2535,Movimentacoes!$B:$B,"SAIDA_DESCARTE")</f>
        <v/>
      </c>
      <c r="J2535" s="13">
        <f>G2535-H2535-I2535</f>
        <v/>
      </c>
      <c r="K2535">
        <f>IF(A2535="","",IF(J2535&lt;=IFERROR(VLOOKUP(A2535,Cadastro_Produtos!$A:$E,5,FALSE),0),"ABAIXO DO MINIMO","OK"))</f>
        <v/>
      </c>
    </row>
    <row r="2536">
      <c r="B2536">
        <f>IFERROR(VLOOKUP(A2536,Cadastro_Produtos!A:B,2,FALSE),"")</f>
        <v/>
      </c>
      <c r="D2536" s="12" t="n"/>
      <c r="E2536" s="13">
        <f>IF(D2536="","",D2536-TODAY())</f>
        <v/>
      </c>
      <c r="F2536">
        <f>IF(D2536="","",IF(E2536&lt;0,"VENCIDO",IF(E2536&lt;=30,"VENCE EM &lt;= 30 DIAS",IF(E2536&lt;=60,"ATENCAO (31-60 DIAS)","OK"))))</f>
        <v/>
      </c>
      <c r="G2536" s="13">
        <f>SUMIFS(Movimentacoes!$G:$G,Movimentacoes!$C:$C,$A2536,Movimentacoes!$E:$E,$C2536,Movimentacoes!$B:$B,"ENTRADA")</f>
        <v/>
      </c>
      <c r="H2536" s="13">
        <f>SUMIFS(Movimentacoes!$G:$G,Movimentacoes!$C:$C,$A2536,Movimentacoes!$E:$E,$C2536,Movimentacoes!$B:$B,"SAIDA_USO")</f>
        <v/>
      </c>
      <c r="I2536" s="13">
        <f>SUMIFS(Movimentacoes!$G:$G,Movimentacoes!$C:$C,$A2536,Movimentacoes!$E:$E,$C2536,Movimentacoes!$B:$B,"SAIDA_DESCARTE")</f>
        <v/>
      </c>
      <c r="J2536" s="13">
        <f>G2536-H2536-I2536</f>
        <v/>
      </c>
      <c r="K2536">
        <f>IF(A2536="","",IF(J2536&lt;=IFERROR(VLOOKUP(A2536,Cadastro_Produtos!$A:$E,5,FALSE),0),"ABAIXO DO MINIMO","OK"))</f>
        <v/>
      </c>
    </row>
    <row r="2537">
      <c r="B2537">
        <f>IFERROR(VLOOKUP(A2537,Cadastro_Produtos!A:B,2,FALSE),"")</f>
        <v/>
      </c>
      <c r="D2537" s="12" t="n"/>
      <c r="E2537" s="13">
        <f>IF(D2537="","",D2537-TODAY())</f>
        <v/>
      </c>
      <c r="F2537">
        <f>IF(D2537="","",IF(E2537&lt;0,"VENCIDO",IF(E2537&lt;=30,"VENCE EM &lt;= 30 DIAS",IF(E2537&lt;=60,"ATENCAO (31-60 DIAS)","OK"))))</f>
        <v/>
      </c>
      <c r="G2537" s="13">
        <f>SUMIFS(Movimentacoes!$G:$G,Movimentacoes!$C:$C,$A2537,Movimentacoes!$E:$E,$C2537,Movimentacoes!$B:$B,"ENTRADA")</f>
        <v/>
      </c>
      <c r="H2537" s="13">
        <f>SUMIFS(Movimentacoes!$G:$G,Movimentacoes!$C:$C,$A2537,Movimentacoes!$E:$E,$C2537,Movimentacoes!$B:$B,"SAIDA_USO")</f>
        <v/>
      </c>
      <c r="I2537" s="13">
        <f>SUMIFS(Movimentacoes!$G:$G,Movimentacoes!$C:$C,$A2537,Movimentacoes!$E:$E,$C2537,Movimentacoes!$B:$B,"SAIDA_DESCARTE")</f>
        <v/>
      </c>
      <c r="J2537" s="13">
        <f>G2537-H2537-I2537</f>
        <v/>
      </c>
      <c r="K2537">
        <f>IF(A2537="","",IF(J2537&lt;=IFERROR(VLOOKUP(A2537,Cadastro_Produtos!$A:$E,5,FALSE),0),"ABAIXO DO MINIMO","OK"))</f>
        <v/>
      </c>
    </row>
    <row r="2538">
      <c r="B2538">
        <f>IFERROR(VLOOKUP(A2538,Cadastro_Produtos!A:B,2,FALSE),"")</f>
        <v/>
      </c>
      <c r="D2538" s="12" t="n"/>
      <c r="E2538" s="13">
        <f>IF(D2538="","",D2538-TODAY())</f>
        <v/>
      </c>
      <c r="F2538">
        <f>IF(D2538="","",IF(E2538&lt;0,"VENCIDO",IF(E2538&lt;=30,"VENCE EM &lt;= 30 DIAS",IF(E2538&lt;=60,"ATENCAO (31-60 DIAS)","OK"))))</f>
        <v/>
      </c>
      <c r="G2538" s="13">
        <f>SUMIFS(Movimentacoes!$G:$G,Movimentacoes!$C:$C,$A2538,Movimentacoes!$E:$E,$C2538,Movimentacoes!$B:$B,"ENTRADA")</f>
        <v/>
      </c>
      <c r="H2538" s="13">
        <f>SUMIFS(Movimentacoes!$G:$G,Movimentacoes!$C:$C,$A2538,Movimentacoes!$E:$E,$C2538,Movimentacoes!$B:$B,"SAIDA_USO")</f>
        <v/>
      </c>
      <c r="I2538" s="13">
        <f>SUMIFS(Movimentacoes!$G:$G,Movimentacoes!$C:$C,$A2538,Movimentacoes!$E:$E,$C2538,Movimentacoes!$B:$B,"SAIDA_DESCARTE")</f>
        <v/>
      </c>
      <c r="J2538" s="13">
        <f>G2538-H2538-I2538</f>
        <v/>
      </c>
      <c r="K2538">
        <f>IF(A2538="","",IF(J2538&lt;=IFERROR(VLOOKUP(A2538,Cadastro_Produtos!$A:$E,5,FALSE),0),"ABAIXO DO MINIMO","OK"))</f>
        <v/>
      </c>
    </row>
    <row r="2539">
      <c r="B2539">
        <f>IFERROR(VLOOKUP(A2539,Cadastro_Produtos!A:B,2,FALSE),"")</f>
        <v/>
      </c>
      <c r="D2539" s="12" t="n"/>
      <c r="E2539" s="13">
        <f>IF(D2539="","",D2539-TODAY())</f>
        <v/>
      </c>
      <c r="F2539">
        <f>IF(D2539="","",IF(E2539&lt;0,"VENCIDO",IF(E2539&lt;=30,"VENCE EM &lt;= 30 DIAS",IF(E2539&lt;=60,"ATENCAO (31-60 DIAS)","OK"))))</f>
        <v/>
      </c>
      <c r="G2539" s="13">
        <f>SUMIFS(Movimentacoes!$G:$G,Movimentacoes!$C:$C,$A2539,Movimentacoes!$E:$E,$C2539,Movimentacoes!$B:$B,"ENTRADA")</f>
        <v/>
      </c>
      <c r="H2539" s="13">
        <f>SUMIFS(Movimentacoes!$G:$G,Movimentacoes!$C:$C,$A2539,Movimentacoes!$E:$E,$C2539,Movimentacoes!$B:$B,"SAIDA_USO")</f>
        <v/>
      </c>
      <c r="I2539" s="13">
        <f>SUMIFS(Movimentacoes!$G:$G,Movimentacoes!$C:$C,$A2539,Movimentacoes!$E:$E,$C2539,Movimentacoes!$B:$B,"SAIDA_DESCARTE")</f>
        <v/>
      </c>
      <c r="J2539" s="13">
        <f>G2539-H2539-I2539</f>
        <v/>
      </c>
      <c r="K2539">
        <f>IF(A2539="","",IF(J2539&lt;=IFERROR(VLOOKUP(A2539,Cadastro_Produtos!$A:$E,5,FALSE),0),"ABAIXO DO MINIMO","OK"))</f>
        <v/>
      </c>
    </row>
    <row r="2540">
      <c r="B2540">
        <f>IFERROR(VLOOKUP(A2540,Cadastro_Produtos!A:B,2,FALSE),"")</f>
        <v/>
      </c>
      <c r="D2540" s="12" t="n"/>
      <c r="E2540" s="13">
        <f>IF(D2540="","",D2540-TODAY())</f>
        <v/>
      </c>
      <c r="F2540">
        <f>IF(D2540="","",IF(E2540&lt;0,"VENCIDO",IF(E2540&lt;=30,"VENCE EM &lt;= 30 DIAS",IF(E2540&lt;=60,"ATENCAO (31-60 DIAS)","OK"))))</f>
        <v/>
      </c>
      <c r="G2540" s="13">
        <f>SUMIFS(Movimentacoes!$G:$G,Movimentacoes!$C:$C,$A2540,Movimentacoes!$E:$E,$C2540,Movimentacoes!$B:$B,"ENTRADA")</f>
        <v/>
      </c>
      <c r="H2540" s="13">
        <f>SUMIFS(Movimentacoes!$G:$G,Movimentacoes!$C:$C,$A2540,Movimentacoes!$E:$E,$C2540,Movimentacoes!$B:$B,"SAIDA_USO")</f>
        <v/>
      </c>
      <c r="I2540" s="13">
        <f>SUMIFS(Movimentacoes!$G:$G,Movimentacoes!$C:$C,$A2540,Movimentacoes!$E:$E,$C2540,Movimentacoes!$B:$B,"SAIDA_DESCARTE")</f>
        <v/>
      </c>
      <c r="J2540" s="13">
        <f>G2540-H2540-I2540</f>
        <v/>
      </c>
      <c r="K2540">
        <f>IF(A2540="","",IF(J2540&lt;=IFERROR(VLOOKUP(A2540,Cadastro_Produtos!$A:$E,5,FALSE),0),"ABAIXO DO MINIMO","OK"))</f>
        <v/>
      </c>
    </row>
    <row r="2541">
      <c r="B2541">
        <f>IFERROR(VLOOKUP(A2541,Cadastro_Produtos!A:B,2,FALSE),"")</f>
        <v/>
      </c>
      <c r="D2541" s="12" t="n"/>
      <c r="E2541" s="13">
        <f>IF(D2541="","",D2541-TODAY())</f>
        <v/>
      </c>
      <c r="F2541">
        <f>IF(D2541="","",IF(E2541&lt;0,"VENCIDO",IF(E2541&lt;=30,"VENCE EM &lt;= 30 DIAS",IF(E2541&lt;=60,"ATENCAO (31-60 DIAS)","OK"))))</f>
        <v/>
      </c>
      <c r="G2541" s="13">
        <f>SUMIFS(Movimentacoes!$G:$G,Movimentacoes!$C:$C,$A2541,Movimentacoes!$E:$E,$C2541,Movimentacoes!$B:$B,"ENTRADA")</f>
        <v/>
      </c>
      <c r="H2541" s="13">
        <f>SUMIFS(Movimentacoes!$G:$G,Movimentacoes!$C:$C,$A2541,Movimentacoes!$E:$E,$C2541,Movimentacoes!$B:$B,"SAIDA_USO")</f>
        <v/>
      </c>
      <c r="I2541" s="13">
        <f>SUMIFS(Movimentacoes!$G:$G,Movimentacoes!$C:$C,$A2541,Movimentacoes!$E:$E,$C2541,Movimentacoes!$B:$B,"SAIDA_DESCARTE")</f>
        <v/>
      </c>
      <c r="J2541" s="13">
        <f>G2541-H2541-I2541</f>
        <v/>
      </c>
      <c r="K2541">
        <f>IF(A2541="","",IF(J2541&lt;=IFERROR(VLOOKUP(A2541,Cadastro_Produtos!$A:$E,5,FALSE),0),"ABAIXO DO MINIMO","OK"))</f>
        <v/>
      </c>
    </row>
    <row r="2542">
      <c r="B2542">
        <f>IFERROR(VLOOKUP(A2542,Cadastro_Produtos!A:B,2,FALSE),"")</f>
        <v/>
      </c>
      <c r="D2542" s="12" t="n"/>
      <c r="E2542" s="13">
        <f>IF(D2542="","",D2542-TODAY())</f>
        <v/>
      </c>
      <c r="F2542">
        <f>IF(D2542="","",IF(E2542&lt;0,"VENCIDO",IF(E2542&lt;=30,"VENCE EM &lt;= 30 DIAS",IF(E2542&lt;=60,"ATENCAO (31-60 DIAS)","OK"))))</f>
        <v/>
      </c>
      <c r="G2542" s="13">
        <f>SUMIFS(Movimentacoes!$G:$G,Movimentacoes!$C:$C,$A2542,Movimentacoes!$E:$E,$C2542,Movimentacoes!$B:$B,"ENTRADA")</f>
        <v/>
      </c>
      <c r="H2542" s="13">
        <f>SUMIFS(Movimentacoes!$G:$G,Movimentacoes!$C:$C,$A2542,Movimentacoes!$E:$E,$C2542,Movimentacoes!$B:$B,"SAIDA_USO")</f>
        <v/>
      </c>
      <c r="I2542" s="13">
        <f>SUMIFS(Movimentacoes!$G:$G,Movimentacoes!$C:$C,$A2542,Movimentacoes!$E:$E,$C2542,Movimentacoes!$B:$B,"SAIDA_DESCARTE")</f>
        <v/>
      </c>
      <c r="J2542" s="13">
        <f>G2542-H2542-I2542</f>
        <v/>
      </c>
      <c r="K2542">
        <f>IF(A2542="","",IF(J2542&lt;=IFERROR(VLOOKUP(A2542,Cadastro_Produtos!$A:$E,5,FALSE),0),"ABAIXO DO MINIMO","OK"))</f>
        <v/>
      </c>
    </row>
    <row r="2543">
      <c r="B2543">
        <f>IFERROR(VLOOKUP(A2543,Cadastro_Produtos!A:B,2,FALSE),"")</f>
        <v/>
      </c>
      <c r="D2543" s="12" t="n"/>
      <c r="E2543" s="13">
        <f>IF(D2543="","",D2543-TODAY())</f>
        <v/>
      </c>
      <c r="F2543">
        <f>IF(D2543="","",IF(E2543&lt;0,"VENCIDO",IF(E2543&lt;=30,"VENCE EM &lt;= 30 DIAS",IF(E2543&lt;=60,"ATENCAO (31-60 DIAS)","OK"))))</f>
        <v/>
      </c>
      <c r="G2543" s="13">
        <f>SUMIFS(Movimentacoes!$G:$G,Movimentacoes!$C:$C,$A2543,Movimentacoes!$E:$E,$C2543,Movimentacoes!$B:$B,"ENTRADA")</f>
        <v/>
      </c>
      <c r="H2543" s="13">
        <f>SUMIFS(Movimentacoes!$G:$G,Movimentacoes!$C:$C,$A2543,Movimentacoes!$E:$E,$C2543,Movimentacoes!$B:$B,"SAIDA_USO")</f>
        <v/>
      </c>
      <c r="I2543" s="13">
        <f>SUMIFS(Movimentacoes!$G:$G,Movimentacoes!$C:$C,$A2543,Movimentacoes!$E:$E,$C2543,Movimentacoes!$B:$B,"SAIDA_DESCARTE")</f>
        <v/>
      </c>
      <c r="J2543" s="13">
        <f>G2543-H2543-I2543</f>
        <v/>
      </c>
      <c r="K2543">
        <f>IF(A2543="","",IF(J2543&lt;=IFERROR(VLOOKUP(A2543,Cadastro_Produtos!$A:$E,5,FALSE),0),"ABAIXO DO MINIMO","OK"))</f>
        <v/>
      </c>
    </row>
    <row r="2544">
      <c r="B2544">
        <f>IFERROR(VLOOKUP(A2544,Cadastro_Produtos!A:B,2,FALSE),"")</f>
        <v/>
      </c>
      <c r="D2544" s="12" t="n"/>
      <c r="E2544" s="13">
        <f>IF(D2544="","",D2544-TODAY())</f>
        <v/>
      </c>
      <c r="F2544">
        <f>IF(D2544="","",IF(E2544&lt;0,"VENCIDO",IF(E2544&lt;=30,"VENCE EM &lt;= 30 DIAS",IF(E2544&lt;=60,"ATENCAO (31-60 DIAS)","OK"))))</f>
        <v/>
      </c>
      <c r="G2544" s="13">
        <f>SUMIFS(Movimentacoes!$G:$G,Movimentacoes!$C:$C,$A2544,Movimentacoes!$E:$E,$C2544,Movimentacoes!$B:$B,"ENTRADA")</f>
        <v/>
      </c>
      <c r="H2544" s="13">
        <f>SUMIFS(Movimentacoes!$G:$G,Movimentacoes!$C:$C,$A2544,Movimentacoes!$E:$E,$C2544,Movimentacoes!$B:$B,"SAIDA_USO")</f>
        <v/>
      </c>
      <c r="I2544" s="13">
        <f>SUMIFS(Movimentacoes!$G:$G,Movimentacoes!$C:$C,$A2544,Movimentacoes!$E:$E,$C2544,Movimentacoes!$B:$B,"SAIDA_DESCARTE")</f>
        <v/>
      </c>
      <c r="J2544" s="13">
        <f>G2544-H2544-I2544</f>
        <v/>
      </c>
      <c r="K2544">
        <f>IF(A2544="","",IF(J2544&lt;=IFERROR(VLOOKUP(A2544,Cadastro_Produtos!$A:$E,5,FALSE),0),"ABAIXO DO MINIMO","OK"))</f>
        <v/>
      </c>
    </row>
    <row r="2545">
      <c r="B2545">
        <f>IFERROR(VLOOKUP(A2545,Cadastro_Produtos!A:B,2,FALSE),"")</f>
        <v/>
      </c>
      <c r="D2545" s="12" t="n"/>
      <c r="E2545" s="13">
        <f>IF(D2545="","",D2545-TODAY())</f>
        <v/>
      </c>
      <c r="F2545">
        <f>IF(D2545="","",IF(E2545&lt;0,"VENCIDO",IF(E2545&lt;=30,"VENCE EM &lt;= 30 DIAS",IF(E2545&lt;=60,"ATENCAO (31-60 DIAS)","OK"))))</f>
        <v/>
      </c>
      <c r="G2545" s="13">
        <f>SUMIFS(Movimentacoes!$G:$G,Movimentacoes!$C:$C,$A2545,Movimentacoes!$E:$E,$C2545,Movimentacoes!$B:$B,"ENTRADA")</f>
        <v/>
      </c>
      <c r="H2545" s="13">
        <f>SUMIFS(Movimentacoes!$G:$G,Movimentacoes!$C:$C,$A2545,Movimentacoes!$E:$E,$C2545,Movimentacoes!$B:$B,"SAIDA_USO")</f>
        <v/>
      </c>
      <c r="I2545" s="13">
        <f>SUMIFS(Movimentacoes!$G:$G,Movimentacoes!$C:$C,$A2545,Movimentacoes!$E:$E,$C2545,Movimentacoes!$B:$B,"SAIDA_DESCARTE")</f>
        <v/>
      </c>
      <c r="J2545" s="13">
        <f>G2545-H2545-I2545</f>
        <v/>
      </c>
      <c r="K2545">
        <f>IF(A2545="","",IF(J2545&lt;=IFERROR(VLOOKUP(A2545,Cadastro_Produtos!$A:$E,5,FALSE),0),"ABAIXO DO MINIMO","OK"))</f>
        <v/>
      </c>
    </row>
    <row r="2546">
      <c r="B2546">
        <f>IFERROR(VLOOKUP(A2546,Cadastro_Produtos!A:B,2,FALSE),"")</f>
        <v/>
      </c>
      <c r="D2546" s="12" t="n"/>
      <c r="E2546" s="13">
        <f>IF(D2546="","",D2546-TODAY())</f>
        <v/>
      </c>
      <c r="F2546">
        <f>IF(D2546="","",IF(E2546&lt;0,"VENCIDO",IF(E2546&lt;=30,"VENCE EM &lt;= 30 DIAS",IF(E2546&lt;=60,"ATENCAO (31-60 DIAS)","OK"))))</f>
        <v/>
      </c>
      <c r="G2546" s="13">
        <f>SUMIFS(Movimentacoes!$G:$G,Movimentacoes!$C:$C,$A2546,Movimentacoes!$E:$E,$C2546,Movimentacoes!$B:$B,"ENTRADA")</f>
        <v/>
      </c>
      <c r="H2546" s="13">
        <f>SUMIFS(Movimentacoes!$G:$G,Movimentacoes!$C:$C,$A2546,Movimentacoes!$E:$E,$C2546,Movimentacoes!$B:$B,"SAIDA_USO")</f>
        <v/>
      </c>
      <c r="I2546" s="13">
        <f>SUMIFS(Movimentacoes!$G:$G,Movimentacoes!$C:$C,$A2546,Movimentacoes!$E:$E,$C2546,Movimentacoes!$B:$B,"SAIDA_DESCARTE")</f>
        <v/>
      </c>
      <c r="J2546" s="13">
        <f>G2546-H2546-I2546</f>
        <v/>
      </c>
      <c r="K2546">
        <f>IF(A2546="","",IF(J2546&lt;=IFERROR(VLOOKUP(A2546,Cadastro_Produtos!$A:$E,5,FALSE),0),"ABAIXO DO MINIMO","OK"))</f>
        <v/>
      </c>
    </row>
    <row r="2547">
      <c r="B2547">
        <f>IFERROR(VLOOKUP(A2547,Cadastro_Produtos!A:B,2,FALSE),"")</f>
        <v/>
      </c>
      <c r="D2547" s="12" t="n"/>
      <c r="E2547" s="13">
        <f>IF(D2547="","",D2547-TODAY())</f>
        <v/>
      </c>
      <c r="F2547">
        <f>IF(D2547="","",IF(E2547&lt;0,"VENCIDO",IF(E2547&lt;=30,"VENCE EM &lt;= 30 DIAS",IF(E2547&lt;=60,"ATENCAO (31-60 DIAS)","OK"))))</f>
        <v/>
      </c>
      <c r="G2547" s="13">
        <f>SUMIFS(Movimentacoes!$G:$G,Movimentacoes!$C:$C,$A2547,Movimentacoes!$E:$E,$C2547,Movimentacoes!$B:$B,"ENTRADA")</f>
        <v/>
      </c>
      <c r="H2547" s="13">
        <f>SUMIFS(Movimentacoes!$G:$G,Movimentacoes!$C:$C,$A2547,Movimentacoes!$E:$E,$C2547,Movimentacoes!$B:$B,"SAIDA_USO")</f>
        <v/>
      </c>
      <c r="I2547" s="13">
        <f>SUMIFS(Movimentacoes!$G:$G,Movimentacoes!$C:$C,$A2547,Movimentacoes!$E:$E,$C2547,Movimentacoes!$B:$B,"SAIDA_DESCARTE")</f>
        <v/>
      </c>
      <c r="J2547" s="13">
        <f>G2547-H2547-I2547</f>
        <v/>
      </c>
      <c r="K2547">
        <f>IF(A2547="","",IF(J2547&lt;=IFERROR(VLOOKUP(A2547,Cadastro_Produtos!$A:$E,5,FALSE),0),"ABAIXO DO MINIMO","OK"))</f>
        <v/>
      </c>
    </row>
    <row r="2548">
      <c r="B2548">
        <f>IFERROR(VLOOKUP(A2548,Cadastro_Produtos!A:B,2,FALSE),"")</f>
        <v/>
      </c>
      <c r="D2548" s="12" t="n"/>
      <c r="E2548" s="13">
        <f>IF(D2548="","",D2548-TODAY())</f>
        <v/>
      </c>
      <c r="F2548">
        <f>IF(D2548="","",IF(E2548&lt;0,"VENCIDO",IF(E2548&lt;=30,"VENCE EM &lt;= 30 DIAS",IF(E2548&lt;=60,"ATENCAO (31-60 DIAS)","OK"))))</f>
        <v/>
      </c>
      <c r="G2548" s="13">
        <f>SUMIFS(Movimentacoes!$G:$G,Movimentacoes!$C:$C,$A2548,Movimentacoes!$E:$E,$C2548,Movimentacoes!$B:$B,"ENTRADA")</f>
        <v/>
      </c>
      <c r="H2548" s="13">
        <f>SUMIFS(Movimentacoes!$G:$G,Movimentacoes!$C:$C,$A2548,Movimentacoes!$E:$E,$C2548,Movimentacoes!$B:$B,"SAIDA_USO")</f>
        <v/>
      </c>
      <c r="I2548" s="13">
        <f>SUMIFS(Movimentacoes!$G:$G,Movimentacoes!$C:$C,$A2548,Movimentacoes!$E:$E,$C2548,Movimentacoes!$B:$B,"SAIDA_DESCARTE")</f>
        <v/>
      </c>
      <c r="J2548" s="13">
        <f>G2548-H2548-I2548</f>
        <v/>
      </c>
      <c r="K2548">
        <f>IF(A2548="","",IF(J2548&lt;=IFERROR(VLOOKUP(A2548,Cadastro_Produtos!$A:$E,5,FALSE),0),"ABAIXO DO MINIMO","OK"))</f>
        <v/>
      </c>
    </row>
    <row r="2549">
      <c r="B2549">
        <f>IFERROR(VLOOKUP(A2549,Cadastro_Produtos!A:B,2,FALSE),"")</f>
        <v/>
      </c>
      <c r="D2549" s="12" t="n"/>
      <c r="E2549" s="13">
        <f>IF(D2549="","",D2549-TODAY())</f>
        <v/>
      </c>
      <c r="F2549">
        <f>IF(D2549="","",IF(E2549&lt;0,"VENCIDO",IF(E2549&lt;=30,"VENCE EM &lt;= 30 DIAS",IF(E2549&lt;=60,"ATENCAO (31-60 DIAS)","OK"))))</f>
        <v/>
      </c>
      <c r="G2549" s="13">
        <f>SUMIFS(Movimentacoes!$G:$G,Movimentacoes!$C:$C,$A2549,Movimentacoes!$E:$E,$C2549,Movimentacoes!$B:$B,"ENTRADA")</f>
        <v/>
      </c>
      <c r="H2549" s="13">
        <f>SUMIFS(Movimentacoes!$G:$G,Movimentacoes!$C:$C,$A2549,Movimentacoes!$E:$E,$C2549,Movimentacoes!$B:$B,"SAIDA_USO")</f>
        <v/>
      </c>
      <c r="I2549" s="13">
        <f>SUMIFS(Movimentacoes!$G:$G,Movimentacoes!$C:$C,$A2549,Movimentacoes!$E:$E,$C2549,Movimentacoes!$B:$B,"SAIDA_DESCARTE")</f>
        <v/>
      </c>
      <c r="J2549" s="13">
        <f>G2549-H2549-I2549</f>
        <v/>
      </c>
      <c r="K2549">
        <f>IF(A2549="","",IF(J2549&lt;=IFERROR(VLOOKUP(A2549,Cadastro_Produtos!$A:$E,5,FALSE),0),"ABAIXO DO MINIMO","OK"))</f>
        <v/>
      </c>
    </row>
    <row r="2550">
      <c r="B2550">
        <f>IFERROR(VLOOKUP(A2550,Cadastro_Produtos!A:B,2,FALSE),"")</f>
        <v/>
      </c>
      <c r="D2550" s="12" t="n"/>
      <c r="E2550" s="13">
        <f>IF(D2550="","",D2550-TODAY())</f>
        <v/>
      </c>
      <c r="F2550">
        <f>IF(D2550="","",IF(E2550&lt;0,"VENCIDO",IF(E2550&lt;=30,"VENCE EM &lt;= 30 DIAS",IF(E2550&lt;=60,"ATENCAO (31-60 DIAS)","OK"))))</f>
        <v/>
      </c>
      <c r="G2550" s="13">
        <f>SUMIFS(Movimentacoes!$G:$G,Movimentacoes!$C:$C,$A2550,Movimentacoes!$E:$E,$C2550,Movimentacoes!$B:$B,"ENTRADA")</f>
        <v/>
      </c>
      <c r="H2550" s="13">
        <f>SUMIFS(Movimentacoes!$G:$G,Movimentacoes!$C:$C,$A2550,Movimentacoes!$E:$E,$C2550,Movimentacoes!$B:$B,"SAIDA_USO")</f>
        <v/>
      </c>
      <c r="I2550" s="13">
        <f>SUMIFS(Movimentacoes!$G:$G,Movimentacoes!$C:$C,$A2550,Movimentacoes!$E:$E,$C2550,Movimentacoes!$B:$B,"SAIDA_DESCARTE")</f>
        <v/>
      </c>
      <c r="J2550" s="13">
        <f>G2550-H2550-I2550</f>
        <v/>
      </c>
      <c r="K2550">
        <f>IF(A2550="","",IF(J2550&lt;=IFERROR(VLOOKUP(A2550,Cadastro_Produtos!$A:$E,5,FALSE),0),"ABAIXO DO MINIMO","OK"))</f>
        <v/>
      </c>
    </row>
    <row r="2551">
      <c r="B2551">
        <f>IFERROR(VLOOKUP(A2551,Cadastro_Produtos!A:B,2,FALSE),"")</f>
        <v/>
      </c>
      <c r="D2551" s="12" t="n"/>
      <c r="E2551" s="13">
        <f>IF(D2551="","",D2551-TODAY())</f>
        <v/>
      </c>
      <c r="F2551">
        <f>IF(D2551="","",IF(E2551&lt;0,"VENCIDO",IF(E2551&lt;=30,"VENCE EM &lt;= 30 DIAS",IF(E2551&lt;=60,"ATENCAO (31-60 DIAS)","OK"))))</f>
        <v/>
      </c>
      <c r="G2551" s="13">
        <f>SUMIFS(Movimentacoes!$G:$G,Movimentacoes!$C:$C,$A2551,Movimentacoes!$E:$E,$C2551,Movimentacoes!$B:$B,"ENTRADA")</f>
        <v/>
      </c>
      <c r="H2551" s="13">
        <f>SUMIFS(Movimentacoes!$G:$G,Movimentacoes!$C:$C,$A2551,Movimentacoes!$E:$E,$C2551,Movimentacoes!$B:$B,"SAIDA_USO")</f>
        <v/>
      </c>
      <c r="I2551" s="13">
        <f>SUMIFS(Movimentacoes!$G:$G,Movimentacoes!$C:$C,$A2551,Movimentacoes!$E:$E,$C2551,Movimentacoes!$B:$B,"SAIDA_DESCARTE")</f>
        <v/>
      </c>
      <c r="J2551" s="13">
        <f>G2551-H2551-I2551</f>
        <v/>
      </c>
      <c r="K2551">
        <f>IF(A2551="","",IF(J2551&lt;=IFERROR(VLOOKUP(A2551,Cadastro_Produtos!$A:$E,5,FALSE),0),"ABAIXO DO MINIMO","OK"))</f>
        <v/>
      </c>
    </row>
    <row r="2552">
      <c r="B2552">
        <f>IFERROR(VLOOKUP(A2552,Cadastro_Produtos!A:B,2,FALSE),"")</f>
        <v/>
      </c>
      <c r="D2552" s="12" t="n"/>
      <c r="E2552" s="13">
        <f>IF(D2552="","",D2552-TODAY())</f>
        <v/>
      </c>
      <c r="F2552">
        <f>IF(D2552="","",IF(E2552&lt;0,"VENCIDO",IF(E2552&lt;=30,"VENCE EM &lt;= 30 DIAS",IF(E2552&lt;=60,"ATENCAO (31-60 DIAS)","OK"))))</f>
        <v/>
      </c>
      <c r="G2552" s="13">
        <f>SUMIFS(Movimentacoes!$G:$G,Movimentacoes!$C:$C,$A2552,Movimentacoes!$E:$E,$C2552,Movimentacoes!$B:$B,"ENTRADA")</f>
        <v/>
      </c>
      <c r="H2552" s="13">
        <f>SUMIFS(Movimentacoes!$G:$G,Movimentacoes!$C:$C,$A2552,Movimentacoes!$E:$E,$C2552,Movimentacoes!$B:$B,"SAIDA_USO")</f>
        <v/>
      </c>
      <c r="I2552" s="13">
        <f>SUMIFS(Movimentacoes!$G:$G,Movimentacoes!$C:$C,$A2552,Movimentacoes!$E:$E,$C2552,Movimentacoes!$B:$B,"SAIDA_DESCARTE")</f>
        <v/>
      </c>
      <c r="J2552" s="13">
        <f>G2552-H2552-I2552</f>
        <v/>
      </c>
      <c r="K2552">
        <f>IF(A2552="","",IF(J2552&lt;=IFERROR(VLOOKUP(A2552,Cadastro_Produtos!$A:$E,5,FALSE),0),"ABAIXO DO MINIMO","OK"))</f>
        <v/>
      </c>
    </row>
    <row r="2553">
      <c r="B2553">
        <f>IFERROR(VLOOKUP(A2553,Cadastro_Produtos!A:B,2,FALSE),"")</f>
        <v/>
      </c>
      <c r="D2553" s="12" t="n"/>
      <c r="E2553" s="13">
        <f>IF(D2553="","",D2553-TODAY())</f>
        <v/>
      </c>
      <c r="F2553">
        <f>IF(D2553="","",IF(E2553&lt;0,"VENCIDO",IF(E2553&lt;=30,"VENCE EM &lt;= 30 DIAS",IF(E2553&lt;=60,"ATENCAO (31-60 DIAS)","OK"))))</f>
        <v/>
      </c>
      <c r="G2553" s="13">
        <f>SUMIFS(Movimentacoes!$G:$G,Movimentacoes!$C:$C,$A2553,Movimentacoes!$E:$E,$C2553,Movimentacoes!$B:$B,"ENTRADA")</f>
        <v/>
      </c>
      <c r="H2553" s="13">
        <f>SUMIFS(Movimentacoes!$G:$G,Movimentacoes!$C:$C,$A2553,Movimentacoes!$E:$E,$C2553,Movimentacoes!$B:$B,"SAIDA_USO")</f>
        <v/>
      </c>
      <c r="I2553" s="13">
        <f>SUMIFS(Movimentacoes!$G:$G,Movimentacoes!$C:$C,$A2553,Movimentacoes!$E:$E,$C2553,Movimentacoes!$B:$B,"SAIDA_DESCARTE")</f>
        <v/>
      </c>
      <c r="J2553" s="13">
        <f>G2553-H2553-I2553</f>
        <v/>
      </c>
      <c r="K2553">
        <f>IF(A2553="","",IF(J2553&lt;=IFERROR(VLOOKUP(A2553,Cadastro_Produtos!$A:$E,5,FALSE),0),"ABAIXO DO MINIMO","OK"))</f>
        <v/>
      </c>
    </row>
    <row r="2554">
      <c r="B2554">
        <f>IFERROR(VLOOKUP(A2554,Cadastro_Produtos!A:B,2,FALSE),"")</f>
        <v/>
      </c>
      <c r="D2554" s="12" t="n"/>
      <c r="E2554" s="13">
        <f>IF(D2554="","",D2554-TODAY())</f>
        <v/>
      </c>
      <c r="F2554">
        <f>IF(D2554="","",IF(E2554&lt;0,"VENCIDO",IF(E2554&lt;=30,"VENCE EM &lt;= 30 DIAS",IF(E2554&lt;=60,"ATENCAO (31-60 DIAS)","OK"))))</f>
        <v/>
      </c>
      <c r="G2554" s="13">
        <f>SUMIFS(Movimentacoes!$G:$G,Movimentacoes!$C:$C,$A2554,Movimentacoes!$E:$E,$C2554,Movimentacoes!$B:$B,"ENTRADA")</f>
        <v/>
      </c>
      <c r="H2554" s="13">
        <f>SUMIFS(Movimentacoes!$G:$G,Movimentacoes!$C:$C,$A2554,Movimentacoes!$E:$E,$C2554,Movimentacoes!$B:$B,"SAIDA_USO")</f>
        <v/>
      </c>
      <c r="I2554" s="13">
        <f>SUMIFS(Movimentacoes!$G:$G,Movimentacoes!$C:$C,$A2554,Movimentacoes!$E:$E,$C2554,Movimentacoes!$B:$B,"SAIDA_DESCARTE")</f>
        <v/>
      </c>
      <c r="J2554" s="13">
        <f>G2554-H2554-I2554</f>
        <v/>
      </c>
      <c r="K2554">
        <f>IF(A2554="","",IF(J2554&lt;=IFERROR(VLOOKUP(A2554,Cadastro_Produtos!$A:$E,5,FALSE),0),"ABAIXO DO MINIMO","OK"))</f>
        <v/>
      </c>
    </row>
    <row r="2555">
      <c r="B2555">
        <f>IFERROR(VLOOKUP(A2555,Cadastro_Produtos!A:B,2,FALSE),"")</f>
        <v/>
      </c>
      <c r="D2555" s="12" t="n"/>
      <c r="E2555" s="13">
        <f>IF(D2555="","",D2555-TODAY())</f>
        <v/>
      </c>
      <c r="F2555">
        <f>IF(D2555="","",IF(E2555&lt;0,"VENCIDO",IF(E2555&lt;=30,"VENCE EM &lt;= 30 DIAS",IF(E2555&lt;=60,"ATENCAO (31-60 DIAS)","OK"))))</f>
        <v/>
      </c>
      <c r="G2555" s="13">
        <f>SUMIFS(Movimentacoes!$G:$G,Movimentacoes!$C:$C,$A2555,Movimentacoes!$E:$E,$C2555,Movimentacoes!$B:$B,"ENTRADA")</f>
        <v/>
      </c>
      <c r="H2555" s="13">
        <f>SUMIFS(Movimentacoes!$G:$G,Movimentacoes!$C:$C,$A2555,Movimentacoes!$E:$E,$C2555,Movimentacoes!$B:$B,"SAIDA_USO")</f>
        <v/>
      </c>
      <c r="I2555" s="13">
        <f>SUMIFS(Movimentacoes!$G:$G,Movimentacoes!$C:$C,$A2555,Movimentacoes!$E:$E,$C2555,Movimentacoes!$B:$B,"SAIDA_DESCARTE")</f>
        <v/>
      </c>
      <c r="J2555" s="13">
        <f>G2555-H2555-I2555</f>
        <v/>
      </c>
      <c r="K2555">
        <f>IF(A2555="","",IF(J2555&lt;=IFERROR(VLOOKUP(A2555,Cadastro_Produtos!$A:$E,5,FALSE),0),"ABAIXO DO MINIMO","OK"))</f>
        <v/>
      </c>
    </row>
    <row r="2556">
      <c r="B2556">
        <f>IFERROR(VLOOKUP(A2556,Cadastro_Produtos!A:B,2,FALSE),"")</f>
        <v/>
      </c>
      <c r="D2556" s="12" t="n"/>
      <c r="E2556" s="13">
        <f>IF(D2556="","",D2556-TODAY())</f>
        <v/>
      </c>
      <c r="F2556">
        <f>IF(D2556="","",IF(E2556&lt;0,"VENCIDO",IF(E2556&lt;=30,"VENCE EM &lt;= 30 DIAS",IF(E2556&lt;=60,"ATENCAO (31-60 DIAS)","OK"))))</f>
        <v/>
      </c>
      <c r="G2556" s="13">
        <f>SUMIFS(Movimentacoes!$G:$G,Movimentacoes!$C:$C,$A2556,Movimentacoes!$E:$E,$C2556,Movimentacoes!$B:$B,"ENTRADA")</f>
        <v/>
      </c>
      <c r="H2556" s="13">
        <f>SUMIFS(Movimentacoes!$G:$G,Movimentacoes!$C:$C,$A2556,Movimentacoes!$E:$E,$C2556,Movimentacoes!$B:$B,"SAIDA_USO")</f>
        <v/>
      </c>
      <c r="I2556" s="13">
        <f>SUMIFS(Movimentacoes!$G:$G,Movimentacoes!$C:$C,$A2556,Movimentacoes!$E:$E,$C2556,Movimentacoes!$B:$B,"SAIDA_DESCARTE")</f>
        <v/>
      </c>
      <c r="J2556" s="13">
        <f>G2556-H2556-I2556</f>
        <v/>
      </c>
      <c r="K2556">
        <f>IF(A2556="","",IF(J2556&lt;=IFERROR(VLOOKUP(A2556,Cadastro_Produtos!$A:$E,5,FALSE),0),"ABAIXO DO MINIMO","OK"))</f>
        <v/>
      </c>
    </row>
    <row r="2557">
      <c r="B2557">
        <f>IFERROR(VLOOKUP(A2557,Cadastro_Produtos!A:B,2,FALSE),"")</f>
        <v/>
      </c>
      <c r="D2557" s="12" t="n"/>
      <c r="E2557" s="13">
        <f>IF(D2557="","",D2557-TODAY())</f>
        <v/>
      </c>
      <c r="F2557">
        <f>IF(D2557="","",IF(E2557&lt;0,"VENCIDO",IF(E2557&lt;=30,"VENCE EM &lt;= 30 DIAS",IF(E2557&lt;=60,"ATENCAO (31-60 DIAS)","OK"))))</f>
        <v/>
      </c>
      <c r="G2557" s="13">
        <f>SUMIFS(Movimentacoes!$G:$G,Movimentacoes!$C:$C,$A2557,Movimentacoes!$E:$E,$C2557,Movimentacoes!$B:$B,"ENTRADA")</f>
        <v/>
      </c>
      <c r="H2557" s="13">
        <f>SUMIFS(Movimentacoes!$G:$G,Movimentacoes!$C:$C,$A2557,Movimentacoes!$E:$E,$C2557,Movimentacoes!$B:$B,"SAIDA_USO")</f>
        <v/>
      </c>
      <c r="I2557" s="13">
        <f>SUMIFS(Movimentacoes!$G:$G,Movimentacoes!$C:$C,$A2557,Movimentacoes!$E:$E,$C2557,Movimentacoes!$B:$B,"SAIDA_DESCARTE")</f>
        <v/>
      </c>
      <c r="J2557" s="13">
        <f>G2557-H2557-I2557</f>
        <v/>
      </c>
      <c r="K2557">
        <f>IF(A2557="","",IF(J2557&lt;=IFERROR(VLOOKUP(A2557,Cadastro_Produtos!$A:$E,5,FALSE),0),"ABAIXO DO MINIMO","OK"))</f>
        <v/>
      </c>
    </row>
    <row r="2558">
      <c r="B2558">
        <f>IFERROR(VLOOKUP(A2558,Cadastro_Produtos!A:B,2,FALSE),"")</f>
        <v/>
      </c>
      <c r="D2558" s="12" t="n"/>
      <c r="E2558" s="13">
        <f>IF(D2558="","",D2558-TODAY())</f>
        <v/>
      </c>
      <c r="F2558">
        <f>IF(D2558="","",IF(E2558&lt;0,"VENCIDO",IF(E2558&lt;=30,"VENCE EM &lt;= 30 DIAS",IF(E2558&lt;=60,"ATENCAO (31-60 DIAS)","OK"))))</f>
        <v/>
      </c>
      <c r="G2558" s="13">
        <f>SUMIFS(Movimentacoes!$G:$G,Movimentacoes!$C:$C,$A2558,Movimentacoes!$E:$E,$C2558,Movimentacoes!$B:$B,"ENTRADA")</f>
        <v/>
      </c>
      <c r="H2558" s="13">
        <f>SUMIFS(Movimentacoes!$G:$G,Movimentacoes!$C:$C,$A2558,Movimentacoes!$E:$E,$C2558,Movimentacoes!$B:$B,"SAIDA_USO")</f>
        <v/>
      </c>
      <c r="I2558" s="13">
        <f>SUMIFS(Movimentacoes!$G:$G,Movimentacoes!$C:$C,$A2558,Movimentacoes!$E:$E,$C2558,Movimentacoes!$B:$B,"SAIDA_DESCARTE")</f>
        <v/>
      </c>
      <c r="J2558" s="13">
        <f>G2558-H2558-I2558</f>
        <v/>
      </c>
      <c r="K2558">
        <f>IF(A2558="","",IF(J2558&lt;=IFERROR(VLOOKUP(A2558,Cadastro_Produtos!$A:$E,5,FALSE),0),"ABAIXO DO MINIMO","OK"))</f>
        <v/>
      </c>
    </row>
    <row r="2559">
      <c r="B2559">
        <f>IFERROR(VLOOKUP(A2559,Cadastro_Produtos!A:B,2,FALSE),"")</f>
        <v/>
      </c>
      <c r="D2559" s="12" t="n"/>
      <c r="E2559" s="13">
        <f>IF(D2559="","",D2559-TODAY())</f>
        <v/>
      </c>
      <c r="F2559">
        <f>IF(D2559="","",IF(E2559&lt;0,"VENCIDO",IF(E2559&lt;=30,"VENCE EM &lt;= 30 DIAS",IF(E2559&lt;=60,"ATENCAO (31-60 DIAS)","OK"))))</f>
        <v/>
      </c>
      <c r="G2559" s="13">
        <f>SUMIFS(Movimentacoes!$G:$G,Movimentacoes!$C:$C,$A2559,Movimentacoes!$E:$E,$C2559,Movimentacoes!$B:$B,"ENTRADA")</f>
        <v/>
      </c>
      <c r="H2559" s="13">
        <f>SUMIFS(Movimentacoes!$G:$G,Movimentacoes!$C:$C,$A2559,Movimentacoes!$E:$E,$C2559,Movimentacoes!$B:$B,"SAIDA_USO")</f>
        <v/>
      </c>
      <c r="I2559" s="13">
        <f>SUMIFS(Movimentacoes!$G:$G,Movimentacoes!$C:$C,$A2559,Movimentacoes!$E:$E,$C2559,Movimentacoes!$B:$B,"SAIDA_DESCARTE")</f>
        <v/>
      </c>
      <c r="J2559" s="13">
        <f>G2559-H2559-I2559</f>
        <v/>
      </c>
      <c r="K2559">
        <f>IF(A2559="","",IF(J2559&lt;=IFERROR(VLOOKUP(A2559,Cadastro_Produtos!$A:$E,5,FALSE),0),"ABAIXO DO MINIMO","OK"))</f>
        <v/>
      </c>
    </row>
    <row r="2560">
      <c r="B2560">
        <f>IFERROR(VLOOKUP(A2560,Cadastro_Produtos!A:B,2,FALSE),"")</f>
        <v/>
      </c>
      <c r="D2560" s="12" t="n"/>
      <c r="E2560" s="13">
        <f>IF(D2560="","",D2560-TODAY())</f>
        <v/>
      </c>
      <c r="F2560">
        <f>IF(D2560="","",IF(E2560&lt;0,"VENCIDO",IF(E2560&lt;=30,"VENCE EM &lt;= 30 DIAS",IF(E2560&lt;=60,"ATENCAO (31-60 DIAS)","OK"))))</f>
        <v/>
      </c>
      <c r="G2560" s="13">
        <f>SUMIFS(Movimentacoes!$G:$G,Movimentacoes!$C:$C,$A2560,Movimentacoes!$E:$E,$C2560,Movimentacoes!$B:$B,"ENTRADA")</f>
        <v/>
      </c>
      <c r="H2560" s="13">
        <f>SUMIFS(Movimentacoes!$G:$G,Movimentacoes!$C:$C,$A2560,Movimentacoes!$E:$E,$C2560,Movimentacoes!$B:$B,"SAIDA_USO")</f>
        <v/>
      </c>
      <c r="I2560" s="13">
        <f>SUMIFS(Movimentacoes!$G:$G,Movimentacoes!$C:$C,$A2560,Movimentacoes!$E:$E,$C2560,Movimentacoes!$B:$B,"SAIDA_DESCARTE")</f>
        <v/>
      </c>
      <c r="J2560" s="13">
        <f>G2560-H2560-I2560</f>
        <v/>
      </c>
      <c r="K2560">
        <f>IF(A2560="","",IF(J2560&lt;=IFERROR(VLOOKUP(A2560,Cadastro_Produtos!$A:$E,5,FALSE),0),"ABAIXO DO MINIMO","OK"))</f>
        <v/>
      </c>
    </row>
    <row r="2561">
      <c r="B2561">
        <f>IFERROR(VLOOKUP(A2561,Cadastro_Produtos!A:B,2,FALSE),"")</f>
        <v/>
      </c>
      <c r="D2561" s="12" t="n"/>
      <c r="E2561" s="13">
        <f>IF(D2561="","",D2561-TODAY())</f>
        <v/>
      </c>
      <c r="F2561">
        <f>IF(D2561="","",IF(E2561&lt;0,"VENCIDO",IF(E2561&lt;=30,"VENCE EM &lt;= 30 DIAS",IF(E2561&lt;=60,"ATENCAO (31-60 DIAS)","OK"))))</f>
        <v/>
      </c>
      <c r="G2561" s="13">
        <f>SUMIFS(Movimentacoes!$G:$G,Movimentacoes!$C:$C,$A2561,Movimentacoes!$E:$E,$C2561,Movimentacoes!$B:$B,"ENTRADA")</f>
        <v/>
      </c>
      <c r="H2561" s="13">
        <f>SUMIFS(Movimentacoes!$G:$G,Movimentacoes!$C:$C,$A2561,Movimentacoes!$E:$E,$C2561,Movimentacoes!$B:$B,"SAIDA_USO")</f>
        <v/>
      </c>
      <c r="I2561" s="13">
        <f>SUMIFS(Movimentacoes!$G:$G,Movimentacoes!$C:$C,$A2561,Movimentacoes!$E:$E,$C2561,Movimentacoes!$B:$B,"SAIDA_DESCARTE")</f>
        <v/>
      </c>
      <c r="J2561" s="13">
        <f>G2561-H2561-I2561</f>
        <v/>
      </c>
      <c r="K2561">
        <f>IF(A2561="","",IF(J2561&lt;=IFERROR(VLOOKUP(A2561,Cadastro_Produtos!$A:$E,5,FALSE),0),"ABAIXO DO MINIMO","OK"))</f>
        <v/>
      </c>
    </row>
    <row r="2562">
      <c r="B2562">
        <f>IFERROR(VLOOKUP(A2562,Cadastro_Produtos!A:B,2,FALSE),"")</f>
        <v/>
      </c>
      <c r="D2562" s="12" t="n"/>
      <c r="E2562" s="13">
        <f>IF(D2562="","",D2562-TODAY())</f>
        <v/>
      </c>
      <c r="F2562">
        <f>IF(D2562="","",IF(E2562&lt;0,"VENCIDO",IF(E2562&lt;=30,"VENCE EM &lt;= 30 DIAS",IF(E2562&lt;=60,"ATENCAO (31-60 DIAS)","OK"))))</f>
        <v/>
      </c>
      <c r="G2562" s="13">
        <f>SUMIFS(Movimentacoes!$G:$G,Movimentacoes!$C:$C,$A2562,Movimentacoes!$E:$E,$C2562,Movimentacoes!$B:$B,"ENTRADA")</f>
        <v/>
      </c>
      <c r="H2562" s="13">
        <f>SUMIFS(Movimentacoes!$G:$G,Movimentacoes!$C:$C,$A2562,Movimentacoes!$E:$E,$C2562,Movimentacoes!$B:$B,"SAIDA_USO")</f>
        <v/>
      </c>
      <c r="I2562" s="13">
        <f>SUMIFS(Movimentacoes!$G:$G,Movimentacoes!$C:$C,$A2562,Movimentacoes!$E:$E,$C2562,Movimentacoes!$B:$B,"SAIDA_DESCARTE")</f>
        <v/>
      </c>
      <c r="J2562" s="13">
        <f>G2562-H2562-I2562</f>
        <v/>
      </c>
      <c r="K2562">
        <f>IF(A2562="","",IF(J2562&lt;=IFERROR(VLOOKUP(A2562,Cadastro_Produtos!$A:$E,5,FALSE),0),"ABAIXO DO MINIMO","OK"))</f>
        <v/>
      </c>
    </row>
    <row r="2563">
      <c r="B2563">
        <f>IFERROR(VLOOKUP(A2563,Cadastro_Produtos!A:B,2,FALSE),"")</f>
        <v/>
      </c>
      <c r="D2563" s="12" t="n"/>
      <c r="E2563" s="13">
        <f>IF(D2563="","",D2563-TODAY())</f>
        <v/>
      </c>
      <c r="F2563">
        <f>IF(D2563="","",IF(E2563&lt;0,"VENCIDO",IF(E2563&lt;=30,"VENCE EM &lt;= 30 DIAS",IF(E2563&lt;=60,"ATENCAO (31-60 DIAS)","OK"))))</f>
        <v/>
      </c>
      <c r="G2563" s="13">
        <f>SUMIFS(Movimentacoes!$G:$G,Movimentacoes!$C:$C,$A2563,Movimentacoes!$E:$E,$C2563,Movimentacoes!$B:$B,"ENTRADA")</f>
        <v/>
      </c>
      <c r="H2563" s="13">
        <f>SUMIFS(Movimentacoes!$G:$G,Movimentacoes!$C:$C,$A2563,Movimentacoes!$E:$E,$C2563,Movimentacoes!$B:$B,"SAIDA_USO")</f>
        <v/>
      </c>
      <c r="I2563" s="13">
        <f>SUMIFS(Movimentacoes!$G:$G,Movimentacoes!$C:$C,$A2563,Movimentacoes!$E:$E,$C2563,Movimentacoes!$B:$B,"SAIDA_DESCARTE")</f>
        <v/>
      </c>
      <c r="J2563" s="13">
        <f>G2563-H2563-I2563</f>
        <v/>
      </c>
      <c r="K2563">
        <f>IF(A2563="","",IF(J2563&lt;=IFERROR(VLOOKUP(A2563,Cadastro_Produtos!$A:$E,5,FALSE),0),"ABAIXO DO MINIMO","OK"))</f>
        <v/>
      </c>
    </row>
    <row r="2564">
      <c r="B2564">
        <f>IFERROR(VLOOKUP(A2564,Cadastro_Produtos!A:B,2,FALSE),"")</f>
        <v/>
      </c>
      <c r="D2564" s="12" t="n"/>
      <c r="E2564" s="13">
        <f>IF(D2564="","",D2564-TODAY())</f>
        <v/>
      </c>
      <c r="F2564">
        <f>IF(D2564="","",IF(E2564&lt;0,"VENCIDO",IF(E2564&lt;=30,"VENCE EM &lt;= 30 DIAS",IF(E2564&lt;=60,"ATENCAO (31-60 DIAS)","OK"))))</f>
        <v/>
      </c>
      <c r="G2564" s="13">
        <f>SUMIFS(Movimentacoes!$G:$G,Movimentacoes!$C:$C,$A2564,Movimentacoes!$E:$E,$C2564,Movimentacoes!$B:$B,"ENTRADA")</f>
        <v/>
      </c>
      <c r="H2564" s="13">
        <f>SUMIFS(Movimentacoes!$G:$G,Movimentacoes!$C:$C,$A2564,Movimentacoes!$E:$E,$C2564,Movimentacoes!$B:$B,"SAIDA_USO")</f>
        <v/>
      </c>
      <c r="I2564" s="13">
        <f>SUMIFS(Movimentacoes!$G:$G,Movimentacoes!$C:$C,$A2564,Movimentacoes!$E:$E,$C2564,Movimentacoes!$B:$B,"SAIDA_DESCARTE")</f>
        <v/>
      </c>
      <c r="J2564" s="13">
        <f>G2564-H2564-I2564</f>
        <v/>
      </c>
      <c r="K2564">
        <f>IF(A2564="","",IF(J2564&lt;=IFERROR(VLOOKUP(A2564,Cadastro_Produtos!$A:$E,5,FALSE),0),"ABAIXO DO MINIMO","OK"))</f>
        <v/>
      </c>
    </row>
    <row r="2565">
      <c r="B2565">
        <f>IFERROR(VLOOKUP(A2565,Cadastro_Produtos!A:B,2,FALSE),"")</f>
        <v/>
      </c>
      <c r="D2565" s="12" t="n"/>
      <c r="E2565" s="13">
        <f>IF(D2565="","",D2565-TODAY())</f>
        <v/>
      </c>
      <c r="F2565">
        <f>IF(D2565="","",IF(E2565&lt;0,"VENCIDO",IF(E2565&lt;=30,"VENCE EM &lt;= 30 DIAS",IF(E2565&lt;=60,"ATENCAO (31-60 DIAS)","OK"))))</f>
        <v/>
      </c>
      <c r="G2565" s="13">
        <f>SUMIFS(Movimentacoes!$G:$G,Movimentacoes!$C:$C,$A2565,Movimentacoes!$E:$E,$C2565,Movimentacoes!$B:$B,"ENTRADA")</f>
        <v/>
      </c>
      <c r="H2565" s="13">
        <f>SUMIFS(Movimentacoes!$G:$G,Movimentacoes!$C:$C,$A2565,Movimentacoes!$E:$E,$C2565,Movimentacoes!$B:$B,"SAIDA_USO")</f>
        <v/>
      </c>
      <c r="I2565" s="13">
        <f>SUMIFS(Movimentacoes!$G:$G,Movimentacoes!$C:$C,$A2565,Movimentacoes!$E:$E,$C2565,Movimentacoes!$B:$B,"SAIDA_DESCARTE")</f>
        <v/>
      </c>
      <c r="J2565" s="13">
        <f>G2565-H2565-I2565</f>
        <v/>
      </c>
      <c r="K2565">
        <f>IF(A2565="","",IF(J2565&lt;=IFERROR(VLOOKUP(A2565,Cadastro_Produtos!$A:$E,5,FALSE),0),"ABAIXO DO MINIMO","OK"))</f>
        <v/>
      </c>
    </row>
    <row r="2566">
      <c r="B2566">
        <f>IFERROR(VLOOKUP(A2566,Cadastro_Produtos!A:B,2,FALSE),"")</f>
        <v/>
      </c>
      <c r="D2566" s="12" t="n"/>
      <c r="E2566" s="13">
        <f>IF(D2566="","",D2566-TODAY())</f>
        <v/>
      </c>
      <c r="F2566">
        <f>IF(D2566="","",IF(E2566&lt;0,"VENCIDO",IF(E2566&lt;=30,"VENCE EM &lt;= 30 DIAS",IF(E2566&lt;=60,"ATENCAO (31-60 DIAS)","OK"))))</f>
        <v/>
      </c>
      <c r="G2566" s="13">
        <f>SUMIFS(Movimentacoes!$G:$G,Movimentacoes!$C:$C,$A2566,Movimentacoes!$E:$E,$C2566,Movimentacoes!$B:$B,"ENTRADA")</f>
        <v/>
      </c>
      <c r="H2566" s="13">
        <f>SUMIFS(Movimentacoes!$G:$G,Movimentacoes!$C:$C,$A2566,Movimentacoes!$E:$E,$C2566,Movimentacoes!$B:$B,"SAIDA_USO")</f>
        <v/>
      </c>
      <c r="I2566" s="13">
        <f>SUMIFS(Movimentacoes!$G:$G,Movimentacoes!$C:$C,$A2566,Movimentacoes!$E:$E,$C2566,Movimentacoes!$B:$B,"SAIDA_DESCARTE")</f>
        <v/>
      </c>
      <c r="J2566" s="13">
        <f>G2566-H2566-I2566</f>
        <v/>
      </c>
      <c r="K2566">
        <f>IF(A2566="","",IF(J2566&lt;=IFERROR(VLOOKUP(A2566,Cadastro_Produtos!$A:$E,5,FALSE),0),"ABAIXO DO MINIMO","OK"))</f>
        <v/>
      </c>
    </row>
    <row r="2567">
      <c r="B2567">
        <f>IFERROR(VLOOKUP(A2567,Cadastro_Produtos!A:B,2,FALSE),"")</f>
        <v/>
      </c>
      <c r="D2567" s="12" t="n"/>
      <c r="E2567" s="13">
        <f>IF(D2567="","",D2567-TODAY())</f>
        <v/>
      </c>
      <c r="F2567">
        <f>IF(D2567="","",IF(E2567&lt;0,"VENCIDO",IF(E2567&lt;=30,"VENCE EM &lt;= 30 DIAS",IF(E2567&lt;=60,"ATENCAO (31-60 DIAS)","OK"))))</f>
        <v/>
      </c>
      <c r="G2567" s="13">
        <f>SUMIFS(Movimentacoes!$G:$G,Movimentacoes!$C:$C,$A2567,Movimentacoes!$E:$E,$C2567,Movimentacoes!$B:$B,"ENTRADA")</f>
        <v/>
      </c>
      <c r="H2567" s="13">
        <f>SUMIFS(Movimentacoes!$G:$G,Movimentacoes!$C:$C,$A2567,Movimentacoes!$E:$E,$C2567,Movimentacoes!$B:$B,"SAIDA_USO")</f>
        <v/>
      </c>
      <c r="I2567" s="13">
        <f>SUMIFS(Movimentacoes!$G:$G,Movimentacoes!$C:$C,$A2567,Movimentacoes!$E:$E,$C2567,Movimentacoes!$B:$B,"SAIDA_DESCARTE")</f>
        <v/>
      </c>
      <c r="J2567" s="13">
        <f>G2567-H2567-I2567</f>
        <v/>
      </c>
      <c r="K2567">
        <f>IF(A2567="","",IF(J2567&lt;=IFERROR(VLOOKUP(A2567,Cadastro_Produtos!$A:$E,5,FALSE),0),"ABAIXO DO MINIMO","OK"))</f>
        <v/>
      </c>
    </row>
    <row r="2568">
      <c r="B2568">
        <f>IFERROR(VLOOKUP(A2568,Cadastro_Produtos!A:B,2,FALSE),"")</f>
        <v/>
      </c>
      <c r="D2568" s="12" t="n"/>
      <c r="E2568" s="13">
        <f>IF(D2568="","",D2568-TODAY())</f>
        <v/>
      </c>
      <c r="F2568">
        <f>IF(D2568="","",IF(E2568&lt;0,"VENCIDO",IF(E2568&lt;=30,"VENCE EM &lt;= 30 DIAS",IF(E2568&lt;=60,"ATENCAO (31-60 DIAS)","OK"))))</f>
        <v/>
      </c>
      <c r="G2568" s="13">
        <f>SUMIFS(Movimentacoes!$G:$G,Movimentacoes!$C:$C,$A2568,Movimentacoes!$E:$E,$C2568,Movimentacoes!$B:$B,"ENTRADA")</f>
        <v/>
      </c>
      <c r="H2568" s="13">
        <f>SUMIFS(Movimentacoes!$G:$G,Movimentacoes!$C:$C,$A2568,Movimentacoes!$E:$E,$C2568,Movimentacoes!$B:$B,"SAIDA_USO")</f>
        <v/>
      </c>
      <c r="I2568" s="13">
        <f>SUMIFS(Movimentacoes!$G:$G,Movimentacoes!$C:$C,$A2568,Movimentacoes!$E:$E,$C2568,Movimentacoes!$B:$B,"SAIDA_DESCARTE")</f>
        <v/>
      </c>
      <c r="J2568" s="13">
        <f>G2568-H2568-I2568</f>
        <v/>
      </c>
      <c r="K2568">
        <f>IF(A2568="","",IF(J2568&lt;=IFERROR(VLOOKUP(A2568,Cadastro_Produtos!$A:$E,5,FALSE),0),"ABAIXO DO MINIMO","OK"))</f>
        <v/>
      </c>
    </row>
    <row r="2569">
      <c r="B2569">
        <f>IFERROR(VLOOKUP(A2569,Cadastro_Produtos!A:B,2,FALSE),"")</f>
        <v/>
      </c>
      <c r="D2569" s="12" t="n"/>
      <c r="E2569" s="13">
        <f>IF(D2569="","",D2569-TODAY())</f>
        <v/>
      </c>
      <c r="F2569">
        <f>IF(D2569="","",IF(E2569&lt;0,"VENCIDO",IF(E2569&lt;=30,"VENCE EM &lt;= 30 DIAS",IF(E2569&lt;=60,"ATENCAO (31-60 DIAS)","OK"))))</f>
        <v/>
      </c>
      <c r="G2569" s="13">
        <f>SUMIFS(Movimentacoes!$G:$G,Movimentacoes!$C:$C,$A2569,Movimentacoes!$E:$E,$C2569,Movimentacoes!$B:$B,"ENTRADA")</f>
        <v/>
      </c>
      <c r="H2569" s="13">
        <f>SUMIFS(Movimentacoes!$G:$G,Movimentacoes!$C:$C,$A2569,Movimentacoes!$E:$E,$C2569,Movimentacoes!$B:$B,"SAIDA_USO")</f>
        <v/>
      </c>
      <c r="I2569" s="13">
        <f>SUMIFS(Movimentacoes!$G:$G,Movimentacoes!$C:$C,$A2569,Movimentacoes!$E:$E,$C2569,Movimentacoes!$B:$B,"SAIDA_DESCARTE")</f>
        <v/>
      </c>
      <c r="J2569" s="13">
        <f>G2569-H2569-I2569</f>
        <v/>
      </c>
      <c r="K2569">
        <f>IF(A2569="","",IF(J2569&lt;=IFERROR(VLOOKUP(A2569,Cadastro_Produtos!$A:$E,5,FALSE),0),"ABAIXO DO MINIMO","OK"))</f>
        <v/>
      </c>
    </row>
    <row r="2570">
      <c r="B2570">
        <f>IFERROR(VLOOKUP(A2570,Cadastro_Produtos!A:B,2,FALSE),"")</f>
        <v/>
      </c>
      <c r="D2570" s="12" t="n"/>
      <c r="E2570" s="13">
        <f>IF(D2570="","",D2570-TODAY())</f>
        <v/>
      </c>
      <c r="F2570">
        <f>IF(D2570="","",IF(E2570&lt;0,"VENCIDO",IF(E2570&lt;=30,"VENCE EM &lt;= 30 DIAS",IF(E2570&lt;=60,"ATENCAO (31-60 DIAS)","OK"))))</f>
        <v/>
      </c>
      <c r="G2570" s="13">
        <f>SUMIFS(Movimentacoes!$G:$G,Movimentacoes!$C:$C,$A2570,Movimentacoes!$E:$E,$C2570,Movimentacoes!$B:$B,"ENTRADA")</f>
        <v/>
      </c>
      <c r="H2570" s="13">
        <f>SUMIFS(Movimentacoes!$G:$G,Movimentacoes!$C:$C,$A2570,Movimentacoes!$E:$E,$C2570,Movimentacoes!$B:$B,"SAIDA_USO")</f>
        <v/>
      </c>
      <c r="I2570" s="13">
        <f>SUMIFS(Movimentacoes!$G:$G,Movimentacoes!$C:$C,$A2570,Movimentacoes!$E:$E,$C2570,Movimentacoes!$B:$B,"SAIDA_DESCARTE")</f>
        <v/>
      </c>
      <c r="J2570" s="13">
        <f>G2570-H2570-I2570</f>
        <v/>
      </c>
      <c r="K2570">
        <f>IF(A2570="","",IF(J2570&lt;=IFERROR(VLOOKUP(A2570,Cadastro_Produtos!$A:$E,5,FALSE),0),"ABAIXO DO MINIMO","OK"))</f>
        <v/>
      </c>
    </row>
    <row r="2571">
      <c r="B2571">
        <f>IFERROR(VLOOKUP(A2571,Cadastro_Produtos!A:B,2,FALSE),"")</f>
        <v/>
      </c>
      <c r="D2571" s="12" t="n"/>
      <c r="E2571" s="13">
        <f>IF(D2571="","",D2571-TODAY())</f>
        <v/>
      </c>
      <c r="F2571">
        <f>IF(D2571="","",IF(E2571&lt;0,"VENCIDO",IF(E2571&lt;=30,"VENCE EM &lt;= 30 DIAS",IF(E2571&lt;=60,"ATENCAO (31-60 DIAS)","OK"))))</f>
        <v/>
      </c>
      <c r="G2571" s="13">
        <f>SUMIFS(Movimentacoes!$G:$G,Movimentacoes!$C:$C,$A2571,Movimentacoes!$E:$E,$C2571,Movimentacoes!$B:$B,"ENTRADA")</f>
        <v/>
      </c>
      <c r="H2571" s="13">
        <f>SUMIFS(Movimentacoes!$G:$G,Movimentacoes!$C:$C,$A2571,Movimentacoes!$E:$E,$C2571,Movimentacoes!$B:$B,"SAIDA_USO")</f>
        <v/>
      </c>
      <c r="I2571" s="13">
        <f>SUMIFS(Movimentacoes!$G:$G,Movimentacoes!$C:$C,$A2571,Movimentacoes!$E:$E,$C2571,Movimentacoes!$B:$B,"SAIDA_DESCARTE")</f>
        <v/>
      </c>
      <c r="J2571" s="13">
        <f>G2571-H2571-I2571</f>
        <v/>
      </c>
      <c r="K2571">
        <f>IF(A2571="","",IF(J2571&lt;=IFERROR(VLOOKUP(A2571,Cadastro_Produtos!$A:$E,5,FALSE),0),"ABAIXO DO MINIMO","OK"))</f>
        <v/>
      </c>
    </row>
    <row r="2572">
      <c r="B2572">
        <f>IFERROR(VLOOKUP(A2572,Cadastro_Produtos!A:B,2,FALSE),"")</f>
        <v/>
      </c>
      <c r="D2572" s="12" t="n"/>
      <c r="E2572" s="13">
        <f>IF(D2572="","",D2572-TODAY())</f>
        <v/>
      </c>
      <c r="F2572">
        <f>IF(D2572="","",IF(E2572&lt;0,"VENCIDO",IF(E2572&lt;=30,"VENCE EM &lt;= 30 DIAS",IF(E2572&lt;=60,"ATENCAO (31-60 DIAS)","OK"))))</f>
        <v/>
      </c>
      <c r="G2572" s="13">
        <f>SUMIFS(Movimentacoes!$G:$G,Movimentacoes!$C:$C,$A2572,Movimentacoes!$E:$E,$C2572,Movimentacoes!$B:$B,"ENTRADA")</f>
        <v/>
      </c>
      <c r="H2572" s="13">
        <f>SUMIFS(Movimentacoes!$G:$G,Movimentacoes!$C:$C,$A2572,Movimentacoes!$E:$E,$C2572,Movimentacoes!$B:$B,"SAIDA_USO")</f>
        <v/>
      </c>
      <c r="I2572" s="13">
        <f>SUMIFS(Movimentacoes!$G:$G,Movimentacoes!$C:$C,$A2572,Movimentacoes!$E:$E,$C2572,Movimentacoes!$B:$B,"SAIDA_DESCARTE")</f>
        <v/>
      </c>
      <c r="J2572" s="13">
        <f>G2572-H2572-I2572</f>
        <v/>
      </c>
      <c r="K2572">
        <f>IF(A2572="","",IF(J2572&lt;=IFERROR(VLOOKUP(A2572,Cadastro_Produtos!$A:$E,5,FALSE),0),"ABAIXO DO MINIMO","OK"))</f>
        <v/>
      </c>
    </row>
    <row r="2573">
      <c r="B2573">
        <f>IFERROR(VLOOKUP(A2573,Cadastro_Produtos!A:B,2,FALSE),"")</f>
        <v/>
      </c>
      <c r="D2573" s="12" t="n"/>
      <c r="E2573" s="13">
        <f>IF(D2573="","",D2573-TODAY())</f>
        <v/>
      </c>
      <c r="F2573">
        <f>IF(D2573="","",IF(E2573&lt;0,"VENCIDO",IF(E2573&lt;=30,"VENCE EM &lt;= 30 DIAS",IF(E2573&lt;=60,"ATENCAO (31-60 DIAS)","OK"))))</f>
        <v/>
      </c>
      <c r="G2573" s="13">
        <f>SUMIFS(Movimentacoes!$G:$G,Movimentacoes!$C:$C,$A2573,Movimentacoes!$E:$E,$C2573,Movimentacoes!$B:$B,"ENTRADA")</f>
        <v/>
      </c>
      <c r="H2573" s="13">
        <f>SUMIFS(Movimentacoes!$G:$G,Movimentacoes!$C:$C,$A2573,Movimentacoes!$E:$E,$C2573,Movimentacoes!$B:$B,"SAIDA_USO")</f>
        <v/>
      </c>
      <c r="I2573" s="13">
        <f>SUMIFS(Movimentacoes!$G:$G,Movimentacoes!$C:$C,$A2573,Movimentacoes!$E:$E,$C2573,Movimentacoes!$B:$B,"SAIDA_DESCARTE")</f>
        <v/>
      </c>
      <c r="J2573" s="13">
        <f>G2573-H2573-I2573</f>
        <v/>
      </c>
      <c r="K2573">
        <f>IF(A2573="","",IF(J2573&lt;=IFERROR(VLOOKUP(A2573,Cadastro_Produtos!$A:$E,5,FALSE),0),"ABAIXO DO MINIMO","OK"))</f>
        <v/>
      </c>
    </row>
    <row r="2574">
      <c r="B2574">
        <f>IFERROR(VLOOKUP(A2574,Cadastro_Produtos!A:B,2,FALSE),"")</f>
        <v/>
      </c>
      <c r="D2574" s="12" t="n"/>
      <c r="E2574" s="13">
        <f>IF(D2574="","",D2574-TODAY())</f>
        <v/>
      </c>
      <c r="F2574">
        <f>IF(D2574="","",IF(E2574&lt;0,"VENCIDO",IF(E2574&lt;=30,"VENCE EM &lt;= 30 DIAS",IF(E2574&lt;=60,"ATENCAO (31-60 DIAS)","OK"))))</f>
        <v/>
      </c>
      <c r="G2574" s="13">
        <f>SUMIFS(Movimentacoes!$G:$G,Movimentacoes!$C:$C,$A2574,Movimentacoes!$E:$E,$C2574,Movimentacoes!$B:$B,"ENTRADA")</f>
        <v/>
      </c>
      <c r="H2574" s="13">
        <f>SUMIFS(Movimentacoes!$G:$G,Movimentacoes!$C:$C,$A2574,Movimentacoes!$E:$E,$C2574,Movimentacoes!$B:$B,"SAIDA_USO")</f>
        <v/>
      </c>
      <c r="I2574" s="13">
        <f>SUMIFS(Movimentacoes!$G:$G,Movimentacoes!$C:$C,$A2574,Movimentacoes!$E:$E,$C2574,Movimentacoes!$B:$B,"SAIDA_DESCARTE")</f>
        <v/>
      </c>
      <c r="J2574" s="13">
        <f>G2574-H2574-I2574</f>
        <v/>
      </c>
      <c r="K2574">
        <f>IF(A2574="","",IF(J2574&lt;=IFERROR(VLOOKUP(A2574,Cadastro_Produtos!$A:$E,5,FALSE),0),"ABAIXO DO MINIMO","OK"))</f>
        <v/>
      </c>
    </row>
    <row r="2575">
      <c r="B2575">
        <f>IFERROR(VLOOKUP(A2575,Cadastro_Produtos!A:B,2,FALSE),"")</f>
        <v/>
      </c>
      <c r="D2575" s="12" t="n"/>
      <c r="E2575" s="13">
        <f>IF(D2575="","",D2575-TODAY())</f>
        <v/>
      </c>
      <c r="F2575">
        <f>IF(D2575="","",IF(E2575&lt;0,"VENCIDO",IF(E2575&lt;=30,"VENCE EM &lt;= 30 DIAS",IF(E2575&lt;=60,"ATENCAO (31-60 DIAS)","OK"))))</f>
        <v/>
      </c>
      <c r="G2575" s="13">
        <f>SUMIFS(Movimentacoes!$G:$G,Movimentacoes!$C:$C,$A2575,Movimentacoes!$E:$E,$C2575,Movimentacoes!$B:$B,"ENTRADA")</f>
        <v/>
      </c>
      <c r="H2575" s="13">
        <f>SUMIFS(Movimentacoes!$G:$G,Movimentacoes!$C:$C,$A2575,Movimentacoes!$E:$E,$C2575,Movimentacoes!$B:$B,"SAIDA_USO")</f>
        <v/>
      </c>
      <c r="I2575" s="13">
        <f>SUMIFS(Movimentacoes!$G:$G,Movimentacoes!$C:$C,$A2575,Movimentacoes!$E:$E,$C2575,Movimentacoes!$B:$B,"SAIDA_DESCARTE")</f>
        <v/>
      </c>
      <c r="J2575" s="13">
        <f>G2575-H2575-I2575</f>
        <v/>
      </c>
      <c r="K2575">
        <f>IF(A2575="","",IF(J2575&lt;=IFERROR(VLOOKUP(A2575,Cadastro_Produtos!$A:$E,5,FALSE),0),"ABAIXO DO MINIMO","OK"))</f>
        <v/>
      </c>
    </row>
    <row r="2576">
      <c r="B2576">
        <f>IFERROR(VLOOKUP(A2576,Cadastro_Produtos!A:B,2,FALSE),"")</f>
        <v/>
      </c>
      <c r="D2576" s="12" t="n"/>
      <c r="E2576" s="13">
        <f>IF(D2576="","",D2576-TODAY())</f>
        <v/>
      </c>
      <c r="F2576">
        <f>IF(D2576="","",IF(E2576&lt;0,"VENCIDO",IF(E2576&lt;=30,"VENCE EM &lt;= 30 DIAS",IF(E2576&lt;=60,"ATENCAO (31-60 DIAS)","OK"))))</f>
        <v/>
      </c>
      <c r="G2576" s="13">
        <f>SUMIFS(Movimentacoes!$G:$G,Movimentacoes!$C:$C,$A2576,Movimentacoes!$E:$E,$C2576,Movimentacoes!$B:$B,"ENTRADA")</f>
        <v/>
      </c>
      <c r="H2576" s="13">
        <f>SUMIFS(Movimentacoes!$G:$G,Movimentacoes!$C:$C,$A2576,Movimentacoes!$E:$E,$C2576,Movimentacoes!$B:$B,"SAIDA_USO")</f>
        <v/>
      </c>
      <c r="I2576" s="13">
        <f>SUMIFS(Movimentacoes!$G:$G,Movimentacoes!$C:$C,$A2576,Movimentacoes!$E:$E,$C2576,Movimentacoes!$B:$B,"SAIDA_DESCARTE")</f>
        <v/>
      </c>
      <c r="J2576" s="13">
        <f>G2576-H2576-I2576</f>
        <v/>
      </c>
      <c r="K2576">
        <f>IF(A2576="","",IF(J2576&lt;=IFERROR(VLOOKUP(A2576,Cadastro_Produtos!$A:$E,5,FALSE),0),"ABAIXO DO MINIMO","OK"))</f>
        <v/>
      </c>
    </row>
    <row r="2577">
      <c r="B2577">
        <f>IFERROR(VLOOKUP(A2577,Cadastro_Produtos!A:B,2,FALSE),"")</f>
        <v/>
      </c>
      <c r="D2577" s="12" t="n"/>
      <c r="E2577" s="13">
        <f>IF(D2577="","",D2577-TODAY())</f>
        <v/>
      </c>
      <c r="F2577">
        <f>IF(D2577="","",IF(E2577&lt;0,"VENCIDO",IF(E2577&lt;=30,"VENCE EM &lt;= 30 DIAS",IF(E2577&lt;=60,"ATENCAO (31-60 DIAS)","OK"))))</f>
        <v/>
      </c>
      <c r="G2577" s="13">
        <f>SUMIFS(Movimentacoes!$G:$G,Movimentacoes!$C:$C,$A2577,Movimentacoes!$E:$E,$C2577,Movimentacoes!$B:$B,"ENTRADA")</f>
        <v/>
      </c>
      <c r="H2577" s="13">
        <f>SUMIFS(Movimentacoes!$G:$G,Movimentacoes!$C:$C,$A2577,Movimentacoes!$E:$E,$C2577,Movimentacoes!$B:$B,"SAIDA_USO")</f>
        <v/>
      </c>
      <c r="I2577" s="13">
        <f>SUMIFS(Movimentacoes!$G:$G,Movimentacoes!$C:$C,$A2577,Movimentacoes!$E:$E,$C2577,Movimentacoes!$B:$B,"SAIDA_DESCARTE")</f>
        <v/>
      </c>
      <c r="J2577" s="13">
        <f>G2577-H2577-I2577</f>
        <v/>
      </c>
      <c r="K2577">
        <f>IF(A2577="","",IF(J2577&lt;=IFERROR(VLOOKUP(A2577,Cadastro_Produtos!$A:$E,5,FALSE),0),"ABAIXO DO MINIMO","OK"))</f>
        <v/>
      </c>
    </row>
    <row r="2578">
      <c r="B2578">
        <f>IFERROR(VLOOKUP(A2578,Cadastro_Produtos!A:B,2,FALSE),"")</f>
        <v/>
      </c>
      <c r="D2578" s="12" t="n"/>
      <c r="E2578" s="13">
        <f>IF(D2578="","",D2578-TODAY())</f>
        <v/>
      </c>
      <c r="F2578">
        <f>IF(D2578="","",IF(E2578&lt;0,"VENCIDO",IF(E2578&lt;=30,"VENCE EM &lt;= 30 DIAS",IF(E2578&lt;=60,"ATENCAO (31-60 DIAS)","OK"))))</f>
        <v/>
      </c>
      <c r="G2578" s="13">
        <f>SUMIFS(Movimentacoes!$G:$G,Movimentacoes!$C:$C,$A2578,Movimentacoes!$E:$E,$C2578,Movimentacoes!$B:$B,"ENTRADA")</f>
        <v/>
      </c>
      <c r="H2578" s="13">
        <f>SUMIFS(Movimentacoes!$G:$G,Movimentacoes!$C:$C,$A2578,Movimentacoes!$E:$E,$C2578,Movimentacoes!$B:$B,"SAIDA_USO")</f>
        <v/>
      </c>
      <c r="I2578" s="13">
        <f>SUMIFS(Movimentacoes!$G:$G,Movimentacoes!$C:$C,$A2578,Movimentacoes!$E:$E,$C2578,Movimentacoes!$B:$B,"SAIDA_DESCARTE")</f>
        <v/>
      </c>
      <c r="J2578" s="13">
        <f>G2578-H2578-I2578</f>
        <v/>
      </c>
      <c r="K2578">
        <f>IF(A2578="","",IF(J2578&lt;=IFERROR(VLOOKUP(A2578,Cadastro_Produtos!$A:$E,5,FALSE),0),"ABAIXO DO MINIMO","OK"))</f>
        <v/>
      </c>
    </row>
    <row r="2579">
      <c r="B2579">
        <f>IFERROR(VLOOKUP(A2579,Cadastro_Produtos!A:B,2,FALSE),"")</f>
        <v/>
      </c>
      <c r="D2579" s="12" t="n"/>
      <c r="E2579" s="13">
        <f>IF(D2579="","",D2579-TODAY())</f>
        <v/>
      </c>
      <c r="F2579">
        <f>IF(D2579="","",IF(E2579&lt;0,"VENCIDO",IF(E2579&lt;=30,"VENCE EM &lt;= 30 DIAS",IF(E2579&lt;=60,"ATENCAO (31-60 DIAS)","OK"))))</f>
        <v/>
      </c>
      <c r="G2579" s="13">
        <f>SUMIFS(Movimentacoes!$G:$G,Movimentacoes!$C:$C,$A2579,Movimentacoes!$E:$E,$C2579,Movimentacoes!$B:$B,"ENTRADA")</f>
        <v/>
      </c>
      <c r="H2579" s="13">
        <f>SUMIFS(Movimentacoes!$G:$G,Movimentacoes!$C:$C,$A2579,Movimentacoes!$E:$E,$C2579,Movimentacoes!$B:$B,"SAIDA_USO")</f>
        <v/>
      </c>
      <c r="I2579" s="13">
        <f>SUMIFS(Movimentacoes!$G:$G,Movimentacoes!$C:$C,$A2579,Movimentacoes!$E:$E,$C2579,Movimentacoes!$B:$B,"SAIDA_DESCARTE")</f>
        <v/>
      </c>
      <c r="J2579" s="13">
        <f>G2579-H2579-I2579</f>
        <v/>
      </c>
      <c r="K2579">
        <f>IF(A2579="","",IF(J2579&lt;=IFERROR(VLOOKUP(A2579,Cadastro_Produtos!$A:$E,5,FALSE),0),"ABAIXO DO MINIMO","OK"))</f>
        <v/>
      </c>
    </row>
    <row r="2580">
      <c r="B2580">
        <f>IFERROR(VLOOKUP(A2580,Cadastro_Produtos!A:B,2,FALSE),"")</f>
        <v/>
      </c>
      <c r="D2580" s="12" t="n"/>
      <c r="E2580" s="13">
        <f>IF(D2580="","",D2580-TODAY())</f>
        <v/>
      </c>
      <c r="F2580">
        <f>IF(D2580="","",IF(E2580&lt;0,"VENCIDO",IF(E2580&lt;=30,"VENCE EM &lt;= 30 DIAS",IF(E2580&lt;=60,"ATENCAO (31-60 DIAS)","OK"))))</f>
        <v/>
      </c>
      <c r="G2580" s="13">
        <f>SUMIFS(Movimentacoes!$G:$G,Movimentacoes!$C:$C,$A2580,Movimentacoes!$E:$E,$C2580,Movimentacoes!$B:$B,"ENTRADA")</f>
        <v/>
      </c>
      <c r="H2580" s="13">
        <f>SUMIFS(Movimentacoes!$G:$G,Movimentacoes!$C:$C,$A2580,Movimentacoes!$E:$E,$C2580,Movimentacoes!$B:$B,"SAIDA_USO")</f>
        <v/>
      </c>
      <c r="I2580" s="13">
        <f>SUMIFS(Movimentacoes!$G:$G,Movimentacoes!$C:$C,$A2580,Movimentacoes!$E:$E,$C2580,Movimentacoes!$B:$B,"SAIDA_DESCARTE")</f>
        <v/>
      </c>
      <c r="J2580" s="13">
        <f>G2580-H2580-I2580</f>
        <v/>
      </c>
      <c r="K2580">
        <f>IF(A2580="","",IF(J2580&lt;=IFERROR(VLOOKUP(A2580,Cadastro_Produtos!$A:$E,5,FALSE),0),"ABAIXO DO MINIMO","OK"))</f>
        <v/>
      </c>
    </row>
    <row r="2581">
      <c r="B2581">
        <f>IFERROR(VLOOKUP(A2581,Cadastro_Produtos!A:B,2,FALSE),"")</f>
        <v/>
      </c>
      <c r="D2581" s="12" t="n"/>
      <c r="E2581" s="13">
        <f>IF(D2581="","",D2581-TODAY())</f>
        <v/>
      </c>
      <c r="F2581">
        <f>IF(D2581="","",IF(E2581&lt;0,"VENCIDO",IF(E2581&lt;=30,"VENCE EM &lt;= 30 DIAS",IF(E2581&lt;=60,"ATENCAO (31-60 DIAS)","OK"))))</f>
        <v/>
      </c>
      <c r="G2581" s="13">
        <f>SUMIFS(Movimentacoes!$G:$G,Movimentacoes!$C:$C,$A2581,Movimentacoes!$E:$E,$C2581,Movimentacoes!$B:$B,"ENTRADA")</f>
        <v/>
      </c>
      <c r="H2581" s="13">
        <f>SUMIFS(Movimentacoes!$G:$G,Movimentacoes!$C:$C,$A2581,Movimentacoes!$E:$E,$C2581,Movimentacoes!$B:$B,"SAIDA_USO")</f>
        <v/>
      </c>
      <c r="I2581" s="13">
        <f>SUMIFS(Movimentacoes!$G:$G,Movimentacoes!$C:$C,$A2581,Movimentacoes!$E:$E,$C2581,Movimentacoes!$B:$B,"SAIDA_DESCARTE")</f>
        <v/>
      </c>
      <c r="J2581" s="13">
        <f>G2581-H2581-I2581</f>
        <v/>
      </c>
      <c r="K2581">
        <f>IF(A2581="","",IF(J2581&lt;=IFERROR(VLOOKUP(A2581,Cadastro_Produtos!$A:$E,5,FALSE),0),"ABAIXO DO MINIMO","OK"))</f>
        <v/>
      </c>
    </row>
    <row r="2582">
      <c r="B2582">
        <f>IFERROR(VLOOKUP(A2582,Cadastro_Produtos!A:B,2,FALSE),"")</f>
        <v/>
      </c>
      <c r="D2582" s="12" t="n"/>
      <c r="E2582" s="13">
        <f>IF(D2582="","",D2582-TODAY())</f>
        <v/>
      </c>
      <c r="F2582">
        <f>IF(D2582="","",IF(E2582&lt;0,"VENCIDO",IF(E2582&lt;=30,"VENCE EM &lt;= 30 DIAS",IF(E2582&lt;=60,"ATENCAO (31-60 DIAS)","OK"))))</f>
        <v/>
      </c>
      <c r="G2582" s="13">
        <f>SUMIFS(Movimentacoes!$G:$G,Movimentacoes!$C:$C,$A2582,Movimentacoes!$E:$E,$C2582,Movimentacoes!$B:$B,"ENTRADA")</f>
        <v/>
      </c>
      <c r="H2582" s="13">
        <f>SUMIFS(Movimentacoes!$G:$G,Movimentacoes!$C:$C,$A2582,Movimentacoes!$E:$E,$C2582,Movimentacoes!$B:$B,"SAIDA_USO")</f>
        <v/>
      </c>
      <c r="I2582" s="13">
        <f>SUMIFS(Movimentacoes!$G:$G,Movimentacoes!$C:$C,$A2582,Movimentacoes!$E:$E,$C2582,Movimentacoes!$B:$B,"SAIDA_DESCARTE")</f>
        <v/>
      </c>
      <c r="J2582" s="13">
        <f>G2582-H2582-I2582</f>
        <v/>
      </c>
      <c r="K2582">
        <f>IF(A2582="","",IF(J2582&lt;=IFERROR(VLOOKUP(A2582,Cadastro_Produtos!$A:$E,5,FALSE),0),"ABAIXO DO MINIMO","OK"))</f>
        <v/>
      </c>
    </row>
    <row r="2583">
      <c r="B2583">
        <f>IFERROR(VLOOKUP(A2583,Cadastro_Produtos!A:B,2,FALSE),"")</f>
        <v/>
      </c>
      <c r="D2583" s="12" t="n"/>
      <c r="E2583" s="13">
        <f>IF(D2583="","",D2583-TODAY())</f>
        <v/>
      </c>
      <c r="F2583">
        <f>IF(D2583="","",IF(E2583&lt;0,"VENCIDO",IF(E2583&lt;=30,"VENCE EM &lt;= 30 DIAS",IF(E2583&lt;=60,"ATENCAO (31-60 DIAS)","OK"))))</f>
        <v/>
      </c>
      <c r="G2583" s="13">
        <f>SUMIFS(Movimentacoes!$G:$G,Movimentacoes!$C:$C,$A2583,Movimentacoes!$E:$E,$C2583,Movimentacoes!$B:$B,"ENTRADA")</f>
        <v/>
      </c>
      <c r="H2583" s="13">
        <f>SUMIFS(Movimentacoes!$G:$G,Movimentacoes!$C:$C,$A2583,Movimentacoes!$E:$E,$C2583,Movimentacoes!$B:$B,"SAIDA_USO")</f>
        <v/>
      </c>
      <c r="I2583" s="13">
        <f>SUMIFS(Movimentacoes!$G:$G,Movimentacoes!$C:$C,$A2583,Movimentacoes!$E:$E,$C2583,Movimentacoes!$B:$B,"SAIDA_DESCARTE")</f>
        <v/>
      </c>
      <c r="J2583" s="13">
        <f>G2583-H2583-I2583</f>
        <v/>
      </c>
      <c r="K2583">
        <f>IF(A2583="","",IF(J2583&lt;=IFERROR(VLOOKUP(A2583,Cadastro_Produtos!$A:$E,5,FALSE),0),"ABAIXO DO MINIMO","OK"))</f>
        <v/>
      </c>
    </row>
    <row r="2584">
      <c r="B2584">
        <f>IFERROR(VLOOKUP(A2584,Cadastro_Produtos!A:B,2,FALSE),"")</f>
        <v/>
      </c>
      <c r="D2584" s="12" t="n"/>
      <c r="E2584" s="13">
        <f>IF(D2584="","",D2584-TODAY())</f>
        <v/>
      </c>
      <c r="F2584">
        <f>IF(D2584="","",IF(E2584&lt;0,"VENCIDO",IF(E2584&lt;=30,"VENCE EM &lt;= 30 DIAS",IF(E2584&lt;=60,"ATENCAO (31-60 DIAS)","OK"))))</f>
        <v/>
      </c>
      <c r="G2584" s="13">
        <f>SUMIFS(Movimentacoes!$G:$G,Movimentacoes!$C:$C,$A2584,Movimentacoes!$E:$E,$C2584,Movimentacoes!$B:$B,"ENTRADA")</f>
        <v/>
      </c>
      <c r="H2584" s="13">
        <f>SUMIFS(Movimentacoes!$G:$G,Movimentacoes!$C:$C,$A2584,Movimentacoes!$E:$E,$C2584,Movimentacoes!$B:$B,"SAIDA_USO")</f>
        <v/>
      </c>
      <c r="I2584" s="13">
        <f>SUMIFS(Movimentacoes!$G:$G,Movimentacoes!$C:$C,$A2584,Movimentacoes!$E:$E,$C2584,Movimentacoes!$B:$B,"SAIDA_DESCARTE")</f>
        <v/>
      </c>
      <c r="J2584" s="13">
        <f>G2584-H2584-I2584</f>
        <v/>
      </c>
      <c r="K2584">
        <f>IF(A2584="","",IF(J2584&lt;=IFERROR(VLOOKUP(A2584,Cadastro_Produtos!$A:$E,5,FALSE),0),"ABAIXO DO MINIMO","OK"))</f>
        <v/>
      </c>
    </row>
    <row r="2585">
      <c r="B2585">
        <f>IFERROR(VLOOKUP(A2585,Cadastro_Produtos!A:B,2,FALSE),"")</f>
        <v/>
      </c>
      <c r="D2585" s="12" t="n"/>
      <c r="E2585" s="13">
        <f>IF(D2585="","",D2585-TODAY())</f>
        <v/>
      </c>
      <c r="F2585">
        <f>IF(D2585="","",IF(E2585&lt;0,"VENCIDO",IF(E2585&lt;=30,"VENCE EM &lt;= 30 DIAS",IF(E2585&lt;=60,"ATENCAO (31-60 DIAS)","OK"))))</f>
        <v/>
      </c>
      <c r="G2585" s="13">
        <f>SUMIFS(Movimentacoes!$G:$G,Movimentacoes!$C:$C,$A2585,Movimentacoes!$E:$E,$C2585,Movimentacoes!$B:$B,"ENTRADA")</f>
        <v/>
      </c>
      <c r="H2585" s="13">
        <f>SUMIFS(Movimentacoes!$G:$G,Movimentacoes!$C:$C,$A2585,Movimentacoes!$E:$E,$C2585,Movimentacoes!$B:$B,"SAIDA_USO")</f>
        <v/>
      </c>
      <c r="I2585" s="13">
        <f>SUMIFS(Movimentacoes!$G:$G,Movimentacoes!$C:$C,$A2585,Movimentacoes!$E:$E,$C2585,Movimentacoes!$B:$B,"SAIDA_DESCARTE")</f>
        <v/>
      </c>
      <c r="J2585" s="13">
        <f>G2585-H2585-I2585</f>
        <v/>
      </c>
      <c r="K2585">
        <f>IF(A2585="","",IF(J2585&lt;=IFERROR(VLOOKUP(A2585,Cadastro_Produtos!$A:$E,5,FALSE),0),"ABAIXO DO MINIMO","OK"))</f>
        <v/>
      </c>
    </row>
    <row r="2586">
      <c r="B2586">
        <f>IFERROR(VLOOKUP(A2586,Cadastro_Produtos!A:B,2,FALSE),"")</f>
        <v/>
      </c>
      <c r="D2586" s="12" t="n"/>
      <c r="E2586" s="13">
        <f>IF(D2586="","",D2586-TODAY())</f>
        <v/>
      </c>
      <c r="F2586">
        <f>IF(D2586="","",IF(E2586&lt;0,"VENCIDO",IF(E2586&lt;=30,"VENCE EM &lt;= 30 DIAS",IF(E2586&lt;=60,"ATENCAO (31-60 DIAS)","OK"))))</f>
        <v/>
      </c>
      <c r="G2586" s="13">
        <f>SUMIFS(Movimentacoes!$G:$G,Movimentacoes!$C:$C,$A2586,Movimentacoes!$E:$E,$C2586,Movimentacoes!$B:$B,"ENTRADA")</f>
        <v/>
      </c>
      <c r="H2586" s="13">
        <f>SUMIFS(Movimentacoes!$G:$G,Movimentacoes!$C:$C,$A2586,Movimentacoes!$E:$E,$C2586,Movimentacoes!$B:$B,"SAIDA_USO")</f>
        <v/>
      </c>
      <c r="I2586" s="13">
        <f>SUMIFS(Movimentacoes!$G:$G,Movimentacoes!$C:$C,$A2586,Movimentacoes!$E:$E,$C2586,Movimentacoes!$B:$B,"SAIDA_DESCARTE")</f>
        <v/>
      </c>
      <c r="J2586" s="13">
        <f>G2586-H2586-I2586</f>
        <v/>
      </c>
      <c r="K2586">
        <f>IF(A2586="","",IF(J2586&lt;=IFERROR(VLOOKUP(A2586,Cadastro_Produtos!$A:$E,5,FALSE),0),"ABAIXO DO MINIMO","OK"))</f>
        <v/>
      </c>
    </row>
    <row r="2587">
      <c r="B2587">
        <f>IFERROR(VLOOKUP(A2587,Cadastro_Produtos!A:B,2,FALSE),"")</f>
        <v/>
      </c>
      <c r="D2587" s="12" t="n"/>
      <c r="E2587" s="13">
        <f>IF(D2587="","",D2587-TODAY())</f>
        <v/>
      </c>
      <c r="F2587">
        <f>IF(D2587="","",IF(E2587&lt;0,"VENCIDO",IF(E2587&lt;=30,"VENCE EM &lt;= 30 DIAS",IF(E2587&lt;=60,"ATENCAO (31-60 DIAS)","OK"))))</f>
        <v/>
      </c>
      <c r="G2587" s="13">
        <f>SUMIFS(Movimentacoes!$G:$G,Movimentacoes!$C:$C,$A2587,Movimentacoes!$E:$E,$C2587,Movimentacoes!$B:$B,"ENTRADA")</f>
        <v/>
      </c>
      <c r="H2587" s="13">
        <f>SUMIFS(Movimentacoes!$G:$G,Movimentacoes!$C:$C,$A2587,Movimentacoes!$E:$E,$C2587,Movimentacoes!$B:$B,"SAIDA_USO")</f>
        <v/>
      </c>
      <c r="I2587" s="13">
        <f>SUMIFS(Movimentacoes!$G:$G,Movimentacoes!$C:$C,$A2587,Movimentacoes!$E:$E,$C2587,Movimentacoes!$B:$B,"SAIDA_DESCARTE")</f>
        <v/>
      </c>
      <c r="J2587" s="13">
        <f>G2587-H2587-I2587</f>
        <v/>
      </c>
      <c r="K2587">
        <f>IF(A2587="","",IF(J2587&lt;=IFERROR(VLOOKUP(A2587,Cadastro_Produtos!$A:$E,5,FALSE),0),"ABAIXO DO MINIMO","OK"))</f>
        <v/>
      </c>
    </row>
    <row r="2588">
      <c r="B2588">
        <f>IFERROR(VLOOKUP(A2588,Cadastro_Produtos!A:B,2,FALSE),"")</f>
        <v/>
      </c>
      <c r="D2588" s="12" t="n"/>
      <c r="E2588" s="13">
        <f>IF(D2588="","",D2588-TODAY())</f>
        <v/>
      </c>
      <c r="F2588">
        <f>IF(D2588="","",IF(E2588&lt;0,"VENCIDO",IF(E2588&lt;=30,"VENCE EM &lt;= 30 DIAS",IF(E2588&lt;=60,"ATENCAO (31-60 DIAS)","OK"))))</f>
        <v/>
      </c>
      <c r="G2588" s="13">
        <f>SUMIFS(Movimentacoes!$G:$G,Movimentacoes!$C:$C,$A2588,Movimentacoes!$E:$E,$C2588,Movimentacoes!$B:$B,"ENTRADA")</f>
        <v/>
      </c>
      <c r="H2588" s="13">
        <f>SUMIFS(Movimentacoes!$G:$G,Movimentacoes!$C:$C,$A2588,Movimentacoes!$E:$E,$C2588,Movimentacoes!$B:$B,"SAIDA_USO")</f>
        <v/>
      </c>
      <c r="I2588" s="13">
        <f>SUMIFS(Movimentacoes!$G:$G,Movimentacoes!$C:$C,$A2588,Movimentacoes!$E:$E,$C2588,Movimentacoes!$B:$B,"SAIDA_DESCARTE")</f>
        <v/>
      </c>
      <c r="J2588" s="13">
        <f>G2588-H2588-I2588</f>
        <v/>
      </c>
      <c r="K2588">
        <f>IF(A2588="","",IF(J2588&lt;=IFERROR(VLOOKUP(A2588,Cadastro_Produtos!$A:$E,5,FALSE),0),"ABAIXO DO MINIMO","OK"))</f>
        <v/>
      </c>
    </row>
    <row r="2589">
      <c r="B2589">
        <f>IFERROR(VLOOKUP(A2589,Cadastro_Produtos!A:B,2,FALSE),"")</f>
        <v/>
      </c>
      <c r="D2589" s="12" t="n"/>
      <c r="E2589" s="13">
        <f>IF(D2589="","",D2589-TODAY())</f>
        <v/>
      </c>
      <c r="F2589">
        <f>IF(D2589="","",IF(E2589&lt;0,"VENCIDO",IF(E2589&lt;=30,"VENCE EM &lt;= 30 DIAS",IF(E2589&lt;=60,"ATENCAO (31-60 DIAS)","OK"))))</f>
        <v/>
      </c>
      <c r="G2589" s="13">
        <f>SUMIFS(Movimentacoes!$G:$G,Movimentacoes!$C:$C,$A2589,Movimentacoes!$E:$E,$C2589,Movimentacoes!$B:$B,"ENTRADA")</f>
        <v/>
      </c>
      <c r="H2589" s="13">
        <f>SUMIFS(Movimentacoes!$G:$G,Movimentacoes!$C:$C,$A2589,Movimentacoes!$E:$E,$C2589,Movimentacoes!$B:$B,"SAIDA_USO")</f>
        <v/>
      </c>
      <c r="I2589" s="13">
        <f>SUMIFS(Movimentacoes!$G:$G,Movimentacoes!$C:$C,$A2589,Movimentacoes!$E:$E,$C2589,Movimentacoes!$B:$B,"SAIDA_DESCARTE")</f>
        <v/>
      </c>
      <c r="J2589" s="13">
        <f>G2589-H2589-I2589</f>
        <v/>
      </c>
      <c r="K2589">
        <f>IF(A2589="","",IF(J2589&lt;=IFERROR(VLOOKUP(A2589,Cadastro_Produtos!$A:$E,5,FALSE),0),"ABAIXO DO MINIMO","OK"))</f>
        <v/>
      </c>
    </row>
    <row r="2590">
      <c r="B2590">
        <f>IFERROR(VLOOKUP(A2590,Cadastro_Produtos!A:B,2,FALSE),"")</f>
        <v/>
      </c>
      <c r="D2590" s="12" t="n"/>
      <c r="E2590" s="13">
        <f>IF(D2590="","",D2590-TODAY())</f>
        <v/>
      </c>
      <c r="F2590">
        <f>IF(D2590="","",IF(E2590&lt;0,"VENCIDO",IF(E2590&lt;=30,"VENCE EM &lt;= 30 DIAS",IF(E2590&lt;=60,"ATENCAO (31-60 DIAS)","OK"))))</f>
        <v/>
      </c>
      <c r="G2590" s="13">
        <f>SUMIFS(Movimentacoes!$G:$G,Movimentacoes!$C:$C,$A2590,Movimentacoes!$E:$E,$C2590,Movimentacoes!$B:$B,"ENTRADA")</f>
        <v/>
      </c>
      <c r="H2590" s="13">
        <f>SUMIFS(Movimentacoes!$G:$G,Movimentacoes!$C:$C,$A2590,Movimentacoes!$E:$E,$C2590,Movimentacoes!$B:$B,"SAIDA_USO")</f>
        <v/>
      </c>
      <c r="I2590" s="13">
        <f>SUMIFS(Movimentacoes!$G:$G,Movimentacoes!$C:$C,$A2590,Movimentacoes!$E:$E,$C2590,Movimentacoes!$B:$B,"SAIDA_DESCARTE")</f>
        <v/>
      </c>
      <c r="J2590" s="13">
        <f>G2590-H2590-I2590</f>
        <v/>
      </c>
      <c r="K2590">
        <f>IF(A2590="","",IF(J2590&lt;=IFERROR(VLOOKUP(A2590,Cadastro_Produtos!$A:$E,5,FALSE),0),"ABAIXO DO MINIMO","OK"))</f>
        <v/>
      </c>
    </row>
    <row r="2591">
      <c r="B2591">
        <f>IFERROR(VLOOKUP(A2591,Cadastro_Produtos!A:B,2,FALSE),"")</f>
        <v/>
      </c>
      <c r="D2591" s="12" t="n"/>
      <c r="E2591" s="13">
        <f>IF(D2591="","",D2591-TODAY())</f>
        <v/>
      </c>
      <c r="F2591">
        <f>IF(D2591="","",IF(E2591&lt;0,"VENCIDO",IF(E2591&lt;=30,"VENCE EM &lt;= 30 DIAS",IF(E2591&lt;=60,"ATENCAO (31-60 DIAS)","OK"))))</f>
        <v/>
      </c>
      <c r="G2591" s="13">
        <f>SUMIFS(Movimentacoes!$G:$G,Movimentacoes!$C:$C,$A2591,Movimentacoes!$E:$E,$C2591,Movimentacoes!$B:$B,"ENTRADA")</f>
        <v/>
      </c>
      <c r="H2591" s="13">
        <f>SUMIFS(Movimentacoes!$G:$G,Movimentacoes!$C:$C,$A2591,Movimentacoes!$E:$E,$C2591,Movimentacoes!$B:$B,"SAIDA_USO")</f>
        <v/>
      </c>
      <c r="I2591" s="13">
        <f>SUMIFS(Movimentacoes!$G:$G,Movimentacoes!$C:$C,$A2591,Movimentacoes!$E:$E,$C2591,Movimentacoes!$B:$B,"SAIDA_DESCARTE")</f>
        <v/>
      </c>
      <c r="J2591" s="13">
        <f>G2591-H2591-I2591</f>
        <v/>
      </c>
      <c r="K2591">
        <f>IF(A2591="","",IF(J2591&lt;=IFERROR(VLOOKUP(A2591,Cadastro_Produtos!$A:$E,5,FALSE),0),"ABAIXO DO MINIMO","OK"))</f>
        <v/>
      </c>
    </row>
    <row r="2592">
      <c r="B2592">
        <f>IFERROR(VLOOKUP(A2592,Cadastro_Produtos!A:B,2,FALSE),"")</f>
        <v/>
      </c>
      <c r="D2592" s="12" t="n"/>
      <c r="E2592" s="13">
        <f>IF(D2592="","",D2592-TODAY())</f>
        <v/>
      </c>
      <c r="F2592">
        <f>IF(D2592="","",IF(E2592&lt;0,"VENCIDO",IF(E2592&lt;=30,"VENCE EM &lt;= 30 DIAS",IF(E2592&lt;=60,"ATENCAO (31-60 DIAS)","OK"))))</f>
        <v/>
      </c>
      <c r="G2592" s="13">
        <f>SUMIFS(Movimentacoes!$G:$G,Movimentacoes!$C:$C,$A2592,Movimentacoes!$E:$E,$C2592,Movimentacoes!$B:$B,"ENTRADA")</f>
        <v/>
      </c>
      <c r="H2592" s="13">
        <f>SUMIFS(Movimentacoes!$G:$G,Movimentacoes!$C:$C,$A2592,Movimentacoes!$E:$E,$C2592,Movimentacoes!$B:$B,"SAIDA_USO")</f>
        <v/>
      </c>
      <c r="I2592" s="13">
        <f>SUMIFS(Movimentacoes!$G:$G,Movimentacoes!$C:$C,$A2592,Movimentacoes!$E:$E,$C2592,Movimentacoes!$B:$B,"SAIDA_DESCARTE")</f>
        <v/>
      </c>
      <c r="J2592" s="13">
        <f>G2592-H2592-I2592</f>
        <v/>
      </c>
      <c r="K2592">
        <f>IF(A2592="","",IF(J2592&lt;=IFERROR(VLOOKUP(A2592,Cadastro_Produtos!$A:$E,5,FALSE),0),"ABAIXO DO MINIMO","OK"))</f>
        <v/>
      </c>
    </row>
    <row r="2593">
      <c r="B2593">
        <f>IFERROR(VLOOKUP(A2593,Cadastro_Produtos!A:B,2,FALSE),"")</f>
        <v/>
      </c>
      <c r="D2593" s="12" t="n"/>
      <c r="E2593" s="13">
        <f>IF(D2593="","",D2593-TODAY())</f>
        <v/>
      </c>
      <c r="F2593">
        <f>IF(D2593="","",IF(E2593&lt;0,"VENCIDO",IF(E2593&lt;=30,"VENCE EM &lt;= 30 DIAS",IF(E2593&lt;=60,"ATENCAO (31-60 DIAS)","OK"))))</f>
        <v/>
      </c>
      <c r="G2593" s="13">
        <f>SUMIFS(Movimentacoes!$G:$G,Movimentacoes!$C:$C,$A2593,Movimentacoes!$E:$E,$C2593,Movimentacoes!$B:$B,"ENTRADA")</f>
        <v/>
      </c>
      <c r="H2593" s="13">
        <f>SUMIFS(Movimentacoes!$G:$G,Movimentacoes!$C:$C,$A2593,Movimentacoes!$E:$E,$C2593,Movimentacoes!$B:$B,"SAIDA_USO")</f>
        <v/>
      </c>
      <c r="I2593" s="13">
        <f>SUMIFS(Movimentacoes!$G:$G,Movimentacoes!$C:$C,$A2593,Movimentacoes!$E:$E,$C2593,Movimentacoes!$B:$B,"SAIDA_DESCARTE")</f>
        <v/>
      </c>
      <c r="J2593" s="13">
        <f>G2593-H2593-I2593</f>
        <v/>
      </c>
      <c r="K2593">
        <f>IF(A2593="","",IF(J2593&lt;=IFERROR(VLOOKUP(A2593,Cadastro_Produtos!$A:$E,5,FALSE),0),"ABAIXO DO MINIMO","OK"))</f>
        <v/>
      </c>
    </row>
    <row r="2594">
      <c r="B2594">
        <f>IFERROR(VLOOKUP(A2594,Cadastro_Produtos!A:B,2,FALSE),"")</f>
        <v/>
      </c>
      <c r="D2594" s="12" t="n"/>
      <c r="E2594" s="13">
        <f>IF(D2594="","",D2594-TODAY())</f>
        <v/>
      </c>
      <c r="F2594">
        <f>IF(D2594="","",IF(E2594&lt;0,"VENCIDO",IF(E2594&lt;=30,"VENCE EM &lt;= 30 DIAS",IF(E2594&lt;=60,"ATENCAO (31-60 DIAS)","OK"))))</f>
        <v/>
      </c>
      <c r="G2594" s="13">
        <f>SUMIFS(Movimentacoes!$G:$G,Movimentacoes!$C:$C,$A2594,Movimentacoes!$E:$E,$C2594,Movimentacoes!$B:$B,"ENTRADA")</f>
        <v/>
      </c>
      <c r="H2594" s="13">
        <f>SUMIFS(Movimentacoes!$G:$G,Movimentacoes!$C:$C,$A2594,Movimentacoes!$E:$E,$C2594,Movimentacoes!$B:$B,"SAIDA_USO")</f>
        <v/>
      </c>
      <c r="I2594" s="13">
        <f>SUMIFS(Movimentacoes!$G:$G,Movimentacoes!$C:$C,$A2594,Movimentacoes!$E:$E,$C2594,Movimentacoes!$B:$B,"SAIDA_DESCARTE")</f>
        <v/>
      </c>
      <c r="J2594" s="13">
        <f>G2594-H2594-I2594</f>
        <v/>
      </c>
      <c r="K2594">
        <f>IF(A2594="","",IF(J2594&lt;=IFERROR(VLOOKUP(A2594,Cadastro_Produtos!$A:$E,5,FALSE),0),"ABAIXO DO MINIMO","OK"))</f>
        <v/>
      </c>
    </row>
    <row r="2595">
      <c r="B2595">
        <f>IFERROR(VLOOKUP(A2595,Cadastro_Produtos!A:B,2,FALSE),"")</f>
        <v/>
      </c>
      <c r="D2595" s="12" t="n"/>
      <c r="E2595" s="13">
        <f>IF(D2595="","",D2595-TODAY())</f>
        <v/>
      </c>
      <c r="F2595">
        <f>IF(D2595="","",IF(E2595&lt;0,"VENCIDO",IF(E2595&lt;=30,"VENCE EM &lt;= 30 DIAS",IF(E2595&lt;=60,"ATENCAO (31-60 DIAS)","OK"))))</f>
        <v/>
      </c>
      <c r="G2595" s="13">
        <f>SUMIFS(Movimentacoes!$G:$G,Movimentacoes!$C:$C,$A2595,Movimentacoes!$E:$E,$C2595,Movimentacoes!$B:$B,"ENTRADA")</f>
        <v/>
      </c>
      <c r="H2595" s="13">
        <f>SUMIFS(Movimentacoes!$G:$G,Movimentacoes!$C:$C,$A2595,Movimentacoes!$E:$E,$C2595,Movimentacoes!$B:$B,"SAIDA_USO")</f>
        <v/>
      </c>
      <c r="I2595" s="13">
        <f>SUMIFS(Movimentacoes!$G:$G,Movimentacoes!$C:$C,$A2595,Movimentacoes!$E:$E,$C2595,Movimentacoes!$B:$B,"SAIDA_DESCARTE")</f>
        <v/>
      </c>
      <c r="J2595" s="13">
        <f>G2595-H2595-I2595</f>
        <v/>
      </c>
      <c r="K2595">
        <f>IF(A2595="","",IF(J2595&lt;=IFERROR(VLOOKUP(A2595,Cadastro_Produtos!$A:$E,5,FALSE),0),"ABAIXO DO MINIMO","OK"))</f>
        <v/>
      </c>
    </row>
    <row r="2596">
      <c r="B2596">
        <f>IFERROR(VLOOKUP(A2596,Cadastro_Produtos!A:B,2,FALSE),"")</f>
        <v/>
      </c>
      <c r="D2596" s="12" t="n"/>
      <c r="E2596" s="13">
        <f>IF(D2596="","",D2596-TODAY())</f>
        <v/>
      </c>
      <c r="F2596">
        <f>IF(D2596="","",IF(E2596&lt;0,"VENCIDO",IF(E2596&lt;=30,"VENCE EM &lt;= 30 DIAS",IF(E2596&lt;=60,"ATENCAO (31-60 DIAS)","OK"))))</f>
        <v/>
      </c>
      <c r="G2596" s="13">
        <f>SUMIFS(Movimentacoes!$G:$G,Movimentacoes!$C:$C,$A2596,Movimentacoes!$E:$E,$C2596,Movimentacoes!$B:$B,"ENTRADA")</f>
        <v/>
      </c>
      <c r="H2596" s="13">
        <f>SUMIFS(Movimentacoes!$G:$G,Movimentacoes!$C:$C,$A2596,Movimentacoes!$E:$E,$C2596,Movimentacoes!$B:$B,"SAIDA_USO")</f>
        <v/>
      </c>
      <c r="I2596" s="13">
        <f>SUMIFS(Movimentacoes!$G:$G,Movimentacoes!$C:$C,$A2596,Movimentacoes!$E:$E,$C2596,Movimentacoes!$B:$B,"SAIDA_DESCARTE")</f>
        <v/>
      </c>
      <c r="J2596" s="13">
        <f>G2596-H2596-I2596</f>
        <v/>
      </c>
      <c r="K2596">
        <f>IF(A2596="","",IF(J2596&lt;=IFERROR(VLOOKUP(A2596,Cadastro_Produtos!$A:$E,5,FALSE),0),"ABAIXO DO MINIMO","OK"))</f>
        <v/>
      </c>
    </row>
    <row r="2597">
      <c r="B2597">
        <f>IFERROR(VLOOKUP(A2597,Cadastro_Produtos!A:B,2,FALSE),"")</f>
        <v/>
      </c>
      <c r="D2597" s="12" t="n"/>
      <c r="E2597" s="13">
        <f>IF(D2597="","",D2597-TODAY())</f>
        <v/>
      </c>
      <c r="F2597">
        <f>IF(D2597="","",IF(E2597&lt;0,"VENCIDO",IF(E2597&lt;=30,"VENCE EM &lt;= 30 DIAS",IF(E2597&lt;=60,"ATENCAO (31-60 DIAS)","OK"))))</f>
        <v/>
      </c>
      <c r="G2597" s="13">
        <f>SUMIFS(Movimentacoes!$G:$G,Movimentacoes!$C:$C,$A2597,Movimentacoes!$E:$E,$C2597,Movimentacoes!$B:$B,"ENTRADA")</f>
        <v/>
      </c>
      <c r="H2597" s="13">
        <f>SUMIFS(Movimentacoes!$G:$G,Movimentacoes!$C:$C,$A2597,Movimentacoes!$E:$E,$C2597,Movimentacoes!$B:$B,"SAIDA_USO")</f>
        <v/>
      </c>
      <c r="I2597" s="13">
        <f>SUMIFS(Movimentacoes!$G:$G,Movimentacoes!$C:$C,$A2597,Movimentacoes!$E:$E,$C2597,Movimentacoes!$B:$B,"SAIDA_DESCARTE")</f>
        <v/>
      </c>
      <c r="J2597" s="13">
        <f>G2597-H2597-I2597</f>
        <v/>
      </c>
      <c r="K2597">
        <f>IF(A2597="","",IF(J2597&lt;=IFERROR(VLOOKUP(A2597,Cadastro_Produtos!$A:$E,5,FALSE),0),"ABAIXO DO MINIMO","OK"))</f>
        <v/>
      </c>
    </row>
    <row r="2598">
      <c r="B2598">
        <f>IFERROR(VLOOKUP(A2598,Cadastro_Produtos!A:B,2,FALSE),"")</f>
        <v/>
      </c>
      <c r="D2598" s="12" t="n"/>
      <c r="E2598" s="13">
        <f>IF(D2598="","",D2598-TODAY())</f>
        <v/>
      </c>
      <c r="F2598">
        <f>IF(D2598="","",IF(E2598&lt;0,"VENCIDO",IF(E2598&lt;=30,"VENCE EM &lt;= 30 DIAS",IF(E2598&lt;=60,"ATENCAO (31-60 DIAS)","OK"))))</f>
        <v/>
      </c>
      <c r="G2598" s="13">
        <f>SUMIFS(Movimentacoes!$G:$G,Movimentacoes!$C:$C,$A2598,Movimentacoes!$E:$E,$C2598,Movimentacoes!$B:$B,"ENTRADA")</f>
        <v/>
      </c>
      <c r="H2598" s="13">
        <f>SUMIFS(Movimentacoes!$G:$G,Movimentacoes!$C:$C,$A2598,Movimentacoes!$E:$E,$C2598,Movimentacoes!$B:$B,"SAIDA_USO")</f>
        <v/>
      </c>
      <c r="I2598" s="13">
        <f>SUMIFS(Movimentacoes!$G:$G,Movimentacoes!$C:$C,$A2598,Movimentacoes!$E:$E,$C2598,Movimentacoes!$B:$B,"SAIDA_DESCARTE")</f>
        <v/>
      </c>
      <c r="J2598" s="13">
        <f>G2598-H2598-I2598</f>
        <v/>
      </c>
      <c r="K2598">
        <f>IF(A2598="","",IF(J2598&lt;=IFERROR(VLOOKUP(A2598,Cadastro_Produtos!$A:$E,5,FALSE),0),"ABAIXO DO MINIMO","OK"))</f>
        <v/>
      </c>
    </row>
    <row r="2599">
      <c r="B2599">
        <f>IFERROR(VLOOKUP(A2599,Cadastro_Produtos!A:B,2,FALSE),"")</f>
        <v/>
      </c>
      <c r="D2599" s="12" t="n"/>
      <c r="E2599" s="13">
        <f>IF(D2599="","",D2599-TODAY())</f>
        <v/>
      </c>
      <c r="F2599">
        <f>IF(D2599="","",IF(E2599&lt;0,"VENCIDO",IF(E2599&lt;=30,"VENCE EM &lt;= 30 DIAS",IF(E2599&lt;=60,"ATENCAO (31-60 DIAS)","OK"))))</f>
        <v/>
      </c>
      <c r="G2599" s="13">
        <f>SUMIFS(Movimentacoes!$G:$G,Movimentacoes!$C:$C,$A2599,Movimentacoes!$E:$E,$C2599,Movimentacoes!$B:$B,"ENTRADA")</f>
        <v/>
      </c>
      <c r="H2599" s="13">
        <f>SUMIFS(Movimentacoes!$G:$G,Movimentacoes!$C:$C,$A2599,Movimentacoes!$E:$E,$C2599,Movimentacoes!$B:$B,"SAIDA_USO")</f>
        <v/>
      </c>
      <c r="I2599" s="13">
        <f>SUMIFS(Movimentacoes!$G:$G,Movimentacoes!$C:$C,$A2599,Movimentacoes!$E:$E,$C2599,Movimentacoes!$B:$B,"SAIDA_DESCARTE")</f>
        <v/>
      </c>
      <c r="J2599" s="13">
        <f>G2599-H2599-I2599</f>
        <v/>
      </c>
      <c r="K2599">
        <f>IF(A2599="","",IF(J2599&lt;=IFERROR(VLOOKUP(A2599,Cadastro_Produtos!$A:$E,5,FALSE),0),"ABAIXO DO MINIMO","OK"))</f>
        <v/>
      </c>
    </row>
    <row r="2600">
      <c r="B2600">
        <f>IFERROR(VLOOKUP(A2600,Cadastro_Produtos!A:B,2,FALSE),"")</f>
        <v/>
      </c>
      <c r="D2600" s="12" t="n"/>
      <c r="E2600" s="13">
        <f>IF(D2600="","",D2600-TODAY())</f>
        <v/>
      </c>
      <c r="F2600">
        <f>IF(D2600="","",IF(E2600&lt;0,"VENCIDO",IF(E2600&lt;=30,"VENCE EM &lt;= 30 DIAS",IF(E2600&lt;=60,"ATENCAO (31-60 DIAS)","OK"))))</f>
        <v/>
      </c>
      <c r="G2600" s="13">
        <f>SUMIFS(Movimentacoes!$G:$G,Movimentacoes!$C:$C,$A2600,Movimentacoes!$E:$E,$C2600,Movimentacoes!$B:$B,"ENTRADA")</f>
        <v/>
      </c>
      <c r="H2600" s="13">
        <f>SUMIFS(Movimentacoes!$G:$G,Movimentacoes!$C:$C,$A2600,Movimentacoes!$E:$E,$C2600,Movimentacoes!$B:$B,"SAIDA_USO")</f>
        <v/>
      </c>
      <c r="I2600" s="13">
        <f>SUMIFS(Movimentacoes!$G:$G,Movimentacoes!$C:$C,$A2600,Movimentacoes!$E:$E,$C2600,Movimentacoes!$B:$B,"SAIDA_DESCARTE")</f>
        <v/>
      </c>
      <c r="J2600" s="13">
        <f>G2600-H2600-I2600</f>
        <v/>
      </c>
      <c r="K2600">
        <f>IF(A2600="","",IF(J2600&lt;=IFERROR(VLOOKUP(A2600,Cadastro_Produtos!$A:$E,5,FALSE),0),"ABAIXO DO MINIMO","OK"))</f>
        <v/>
      </c>
    </row>
    <row r="2601">
      <c r="B2601">
        <f>IFERROR(VLOOKUP(A2601,Cadastro_Produtos!A:B,2,FALSE),"")</f>
        <v/>
      </c>
      <c r="D2601" s="12" t="n"/>
      <c r="E2601" s="13">
        <f>IF(D2601="","",D2601-TODAY())</f>
        <v/>
      </c>
      <c r="F2601">
        <f>IF(D2601="","",IF(E2601&lt;0,"VENCIDO",IF(E2601&lt;=30,"VENCE EM &lt;= 30 DIAS",IF(E2601&lt;=60,"ATENCAO (31-60 DIAS)","OK"))))</f>
        <v/>
      </c>
      <c r="G2601" s="13">
        <f>SUMIFS(Movimentacoes!$G:$G,Movimentacoes!$C:$C,$A2601,Movimentacoes!$E:$E,$C2601,Movimentacoes!$B:$B,"ENTRADA")</f>
        <v/>
      </c>
      <c r="H2601" s="13">
        <f>SUMIFS(Movimentacoes!$G:$G,Movimentacoes!$C:$C,$A2601,Movimentacoes!$E:$E,$C2601,Movimentacoes!$B:$B,"SAIDA_USO")</f>
        <v/>
      </c>
      <c r="I2601" s="13">
        <f>SUMIFS(Movimentacoes!$G:$G,Movimentacoes!$C:$C,$A2601,Movimentacoes!$E:$E,$C2601,Movimentacoes!$B:$B,"SAIDA_DESCARTE")</f>
        <v/>
      </c>
      <c r="J2601" s="13">
        <f>G2601-H2601-I2601</f>
        <v/>
      </c>
      <c r="K2601">
        <f>IF(A2601="","",IF(J2601&lt;=IFERROR(VLOOKUP(A2601,Cadastro_Produtos!$A:$E,5,FALSE),0),"ABAIXO DO MINIMO","OK"))</f>
        <v/>
      </c>
    </row>
    <row r="2602">
      <c r="B2602">
        <f>IFERROR(VLOOKUP(A2602,Cadastro_Produtos!A:B,2,FALSE),"")</f>
        <v/>
      </c>
      <c r="D2602" s="12" t="n"/>
      <c r="E2602" s="13">
        <f>IF(D2602="","",D2602-TODAY())</f>
        <v/>
      </c>
      <c r="F2602">
        <f>IF(D2602="","",IF(E2602&lt;0,"VENCIDO",IF(E2602&lt;=30,"VENCE EM &lt;= 30 DIAS",IF(E2602&lt;=60,"ATENCAO (31-60 DIAS)","OK"))))</f>
        <v/>
      </c>
      <c r="G2602" s="13">
        <f>SUMIFS(Movimentacoes!$G:$G,Movimentacoes!$C:$C,$A2602,Movimentacoes!$E:$E,$C2602,Movimentacoes!$B:$B,"ENTRADA")</f>
        <v/>
      </c>
      <c r="H2602" s="13">
        <f>SUMIFS(Movimentacoes!$G:$G,Movimentacoes!$C:$C,$A2602,Movimentacoes!$E:$E,$C2602,Movimentacoes!$B:$B,"SAIDA_USO")</f>
        <v/>
      </c>
      <c r="I2602" s="13">
        <f>SUMIFS(Movimentacoes!$G:$G,Movimentacoes!$C:$C,$A2602,Movimentacoes!$E:$E,$C2602,Movimentacoes!$B:$B,"SAIDA_DESCARTE")</f>
        <v/>
      </c>
      <c r="J2602" s="13">
        <f>G2602-H2602-I2602</f>
        <v/>
      </c>
      <c r="K2602">
        <f>IF(A2602="","",IF(J2602&lt;=IFERROR(VLOOKUP(A2602,Cadastro_Produtos!$A:$E,5,FALSE),0),"ABAIXO DO MINIMO","OK"))</f>
        <v/>
      </c>
    </row>
    <row r="2603">
      <c r="B2603">
        <f>IFERROR(VLOOKUP(A2603,Cadastro_Produtos!A:B,2,FALSE),"")</f>
        <v/>
      </c>
      <c r="D2603" s="12" t="n"/>
      <c r="E2603" s="13">
        <f>IF(D2603="","",D2603-TODAY())</f>
        <v/>
      </c>
      <c r="F2603">
        <f>IF(D2603="","",IF(E2603&lt;0,"VENCIDO",IF(E2603&lt;=30,"VENCE EM &lt;= 30 DIAS",IF(E2603&lt;=60,"ATENCAO (31-60 DIAS)","OK"))))</f>
        <v/>
      </c>
      <c r="G2603" s="13">
        <f>SUMIFS(Movimentacoes!$G:$G,Movimentacoes!$C:$C,$A2603,Movimentacoes!$E:$E,$C2603,Movimentacoes!$B:$B,"ENTRADA")</f>
        <v/>
      </c>
      <c r="H2603" s="13">
        <f>SUMIFS(Movimentacoes!$G:$G,Movimentacoes!$C:$C,$A2603,Movimentacoes!$E:$E,$C2603,Movimentacoes!$B:$B,"SAIDA_USO")</f>
        <v/>
      </c>
      <c r="I2603" s="13">
        <f>SUMIFS(Movimentacoes!$G:$G,Movimentacoes!$C:$C,$A2603,Movimentacoes!$E:$E,$C2603,Movimentacoes!$B:$B,"SAIDA_DESCARTE")</f>
        <v/>
      </c>
      <c r="J2603" s="13">
        <f>G2603-H2603-I2603</f>
        <v/>
      </c>
      <c r="K2603">
        <f>IF(A2603="","",IF(J2603&lt;=IFERROR(VLOOKUP(A2603,Cadastro_Produtos!$A:$E,5,FALSE),0),"ABAIXO DO MINIMO","OK"))</f>
        <v/>
      </c>
    </row>
    <row r="2604">
      <c r="B2604">
        <f>IFERROR(VLOOKUP(A2604,Cadastro_Produtos!A:B,2,FALSE),"")</f>
        <v/>
      </c>
      <c r="D2604" s="12" t="n"/>
      <c r="E2604" s="13">
        <f>IF(D2604="","",D2604-TODAY())</f>
        <v/>
      </c>
      <c r="F2604">
        <f>IF(D2604="","",IF(E2604&lt;0,"VENCIDO",IF(E2604&lt;=30,"VENCE EM &lt;= 30 DIAS",IF(E2604&lt;=60,"ATENCAO (31-60 DIAS)","OK"))))</f>
        <v/>
      </c>
      <c r="G2604" s="13">
        <f>SUMIFS(Movimentacoes!$G:$G,Movimentacoes!$C:$C,$A2604,Movimentacoes!$E:$E,$C2604,Movimentacoes!$B:$B,"ENTRADA")</f>
        <v/>
      </c>
      <c r="H2604" s="13">
        <f>SUMIFS(Movimentacoes!$G:$G,Movimentacoes!$C:$C,$A2604,Movimentacoes!$E:$E,$C2604,Movimentacoes!$B:$B,"SAIDA_USO")</f>
        <v/>
      </c>
      <c r="I2604" s="13">
        <f>SUMIFS(Movimentacoes!$G:$G,Movimentacoes!$C:$C,$A2604,Movimentacoes!$E:$E,$C2604,Movimentacoes!$B:$B,"SAIDA_DESCARTE")</f>
        <v/>
      </c>
      <c r="J2604" s="13">
        <f>G2604-H2604-I2604</f>
        <v/>
      </c>
      <c r="K2604">
        <f>IF(A2604="","",IF(J2604&lt;=IFERROR(VLOOKUP(A2604,Cadastro_Produtos!$A:$E,5,FALSE),0),"ABAIXO DO MINIMO","OK"))</f>
        <v/>
      </c>
    </row>
    <row r="2605">
      <c r="B2605">
        <f>IFERROR(VLOOKUP(A2605,Cadastro_Produtos!A:B,2,FALSE),"")</f>
        <v/>
      </c>
      <c r="D2605" s="12" t="n"/>
      <c r="E2605" s="13">
        <f>IF(D2605="","",D2605-TODAY())</f>
        <v/>
      </c>
      <c r="F2605">
        <f>IF(D2605="","",IF(E2605&lt;0,"VENCIDO",IF(E2605&lt;=30,"VENCE EM &lt;= 30 DIAS",IF(E2605&lt;=60,"ATENCAO (31-60 DIAS)","OK"))))</f>
        <v/>
      </c>
      <c r="G2605" s="13">
        <f>SUMIFS(Movimentacoes!$G:$G,Movimentacoes!$C:$C,$A2605,Movimentacoes!$E:$E,$C2605,Movimentacoes!$B:$B,"ENTRADA")</f>
        <v/>
      </c>
      <c r="H2605" s="13">
        <f>SUMIFS(Movimentacoes!$G:$G,Movimentacoes!$C:$C,$A2605,Movimentacoes!$E:$E,$C2605,Movimentacoes!$B:$B,"SAIDA_USO")</f>
        <v/>
      </c>
      <c r="I2605" s="13">
        <f>SUMIFS(Movimentacoes!$G:$G,Movimentacoes!$C:$C,$A2605,Movimentacoes!$E:$E,$C2605,Movimentacoes!$B:$B,"SAIDA_DESCARTE")</f>
        <v/>
      </c>
      <c r="J2605" s="13">
        <f>G2605-H2605-I2605</f>
        <v/>
      </c>
      <c r="K2605">
        <f>IF(A2605="","",IF(J2605&lt;=IFERROR(VLOOKUP(A2605,Cadastro_Produtos!$A:$E,5,FALSE),0),"ABAIXO DO MINIMO","OK"))</f>
        <v/>
      </c>
    </row>
    <row r="2606">
      <c r="B2606">
        <f>IFERROR(VLOOKUP(A2606,Cadastro_Produtos!A:B,2,FALSE),"")</f>
        <v/>
      </c>
      <c r="D2606" s="12" t="n"/>
      <c r="E2606" s="13">
        <f>IF(D2606="","",D2606-TODAY())</f>
        <v/>
      </c>
      <c r="F2606">
        <f>IF(D2606="","",IF(E2606&lt;0,"VENCIDO",IF(E2606&lt;=30,"VENCE EM &lt;= 30 DIAS",IF(E2606&lt;=60,"ATENCAO (31-60 DIAS)","OK"))))</f>
        <v/>
      </c>
      <c r="G2606" s="13">
        <f>SUMIFS(Movimentacoes!$G:$G,Movimentacoes!$C:$C,$A2606,Movimentacoes!$E:$E,$C2606,Movimentacoes!$B:$B,"ENTRADA")</f>
        <v/>
      </c>
      <c r="H2606" s="13">
        <f>SUMIFS(Movimentacoes!$G:$G,Movimentacoes!$C:$C,$A2606,Movimentacoes!$E:$E,$C2606,Movimentacoes!$B:$B,"SAIDA_USO")</f>
        <v/>
      </c>
      <c r="I2606" s="13">
        <f>SUMIFS(Movimentacoes!$G:$G,Movimentacoes!$C:$C,$A2606,Movimentacoes!$E:$E,$C2606,Movimentacoes!$B:$B,"SAIDA_DESCARTE")</f>
        <v/>
      </c>
      <c r="J2606" s="13">
        <f>G2606-H2606-I2606</f>
        <v/>
      </c>
      <c r="K2606">
        <f>IF(A2606="","",IF(J2606&lt;=IFERROR(VLOOKUP(A2606,Cadastro_Produtos!$A:$E,5,FALSE),0),"ABAIXO DO MINIMO","OK"))</f>
        <v/>
      </c>
    </row>
    <row r="2607">
      <c r="B2607">
        <f>IFERROR(VLOOKUP(A2607,Cadastro_Produtos!A:B,2,FALSE),"")</f>
        <v/>
      </c>
      <c r="D2607" s="12" t="n"/>
      <c r="E2607" s="13">
        <f>IF(D2607="","",D2607-TODAY())</f>
        <v/>
      </c>
      <c r="F2607">
        <f>IF(D2607="","",IF(E2607&lt;0,"VENCIDO",IF(E2607&lt;=30,"VENCE EM &lt;= 30 DIAS",IF(E2607&lt;=60,"ATENCAO (31-60 DIAS)","OK"))))</f>
        <v/>
      </c>
      <c r="G2607" s="13">
        <f>SUMIFS(Movimentacoes!$G:$G,Movimentacoes!$C:$C,$A2607,Movimentacoes!$E:$E,$C2607,Movimentacoes!$B:$B,"ENTRADA")</f>
        <v/>
      </c>
      <c r="H2607" s="13">
        <f>SUMIFS(Movimentacoes!$G:$G,Movimentacoes!$C:$C,$A2607,Movimentacoes!$E:$E,$C2607,Movimentacoes!$B:$B,"SAIDA_USO")</f>
        <v/>
      </c>
      <c r="I2607" s="13">
        <f>SUMIFS(Movimentacoes!$G:$G,Movimentacoes!$C:$C,$A2607,Movimentacoes!$E:$E,$C2607,Movimentacoes!$B:$B,"SAIDA_DESCARTE")</f>
        <v/>
      </c>
      <c r="J2607" s="13">
        <f>G2607-H2607-I2607</f>
        <v/>
      </c>
      <c r="K2607">
        <f>IF(A2607="","",IF(J2607&lt;=IFERROR(VLOOKUP(A2607,Cadastro_Produtos!$A:$E,5,FALSE),0),"ABAIXO DO MINIMO","OK"))</f>
        <v/>
      </c>
    </row>
    <row r="2608">
      <c r="B2608">
        <f>IFERROR(VLOOKUP(A2608,Cadastro_Produtos!A:B,2,FALSE),"")</f>
        <v/>
      </c>
      <c r="D2608" s="12" t="n"/>
      <c r="E2608" s="13">
        <f>IF(D2608="","",D2608-TODAY())</f>
        <v/>
      </c>
      <c r="F2608">
        <f>IF(D2608="","",IF(E2608&lt;0,"VENCIDO",IF(E2608&lt;=30,"VENCE EM &lt;= 30 DIAS",IF(E2608&lt;=60,"ATENCAO (31-60 DIAS)","OK"))))</f>
        <v/>
      </c>
      <c r="G2608" s="13">
        <f>SUMIFS(Movimentacoes!$G:$G,Movimentacoes!$C:$C,$A2608,Movimentacoes!$E:$E,$C2608,Movimentacoes!$B:$B,"ENTRADA")</f>
        <v/>
      </c>
      <c r="H2608" s="13">
        <f>SUMIFS(Movimentacoes!$G:$G,Movimentacoes!$C:$C,$A2608,Movimentacoes!$E:$E,$C2608,Movimentacoes!$B:$B,"SAIDA_USO")</f>
        <v/>
      </c>
      <c r="I2608" s="13">
        <f>SUMIFS(Movimentacoes!$G:$G,Movimentacoes!$C:$C,$A2608,Movimentacoes!$E:$E,$C2608,Movimentacoes!$B:$B,"SAIDA_DESCARTE")</f>
        <v/>
      </c>
      <c r="J2608" s="13">
        <f>G2608-H2608-I2608</f>
        <v/>
      </c>
      <c r="K2608">
        <f>IF(A2608="","",IF(J2608&lt;=IFERROR(VLOOKUP(A2608,Cadastro_Produtos!$A:$E,5,FALSE),0),"ABAIXO DO MINIMO","OK"))</f>
        <v/>
      </c>
    </row>
    <row r="2609">
      <c r="B2609">
        <f>IFERROR(VLOOKUP(A2609,Cadastro_Produtos!A:B,2,FALSE),"")</f>
        <v/>
      </c>
      <c r="D2609" s="12" t="n"/>
      <c r="E2609" s="13">
        <f>IF(D2609="","",D2609-TODAY())</f>
        <v/>
      </c>
      <c r="F2609">
        <f>IF(D2609="","",IF(E2609&lt;0,"VENCIDO",IF(E2609&lt;=30,"VENCE EM &lt;= 30 DIAS",IF(E2609&lt;=60,"ATENCAO (31-60 DIAS)","OK"))))</f>
        <v/>
      </c>
      <c r="G2609" s="13">
        <f>SUMIFS(Movimentacoes!$G:$G,Movimentacoes!$C:$C,$A2609,Movimentacoes!$E:$E,$C2609,Movimentacoes!$B:$B,"ENTRADA")</f>
        <v/>
      </c>
      <c r="H2609" s="13">
        <f>SUMIFS(Movimentacoes!$G:$G,Movimentacoes!$C:$C,$A2609,Movimentacoes!$E:$E,$C2609,Movimentacoes!$B:$B,"SAIDA_USO")</f>
        <v/>
      </c>
      <c r="I2609" s="13">
        <f>SUMIFS(Movimentacoes!$G:$G,Movimentacoes!$C:$C,$A2609,Movimentacoes!$E:$E,$C2609,Movimentacoes!$B:$B,"SAIDA_DESCARTE")</f>
        <v/>
      </c>
      <c r="J2609" s="13">
        <f>G2609-H2609-I2609</f>
        <v/>
      </c>
      <c r="K2609">
        <f>IF(A2609="","",IF(J2609&lt;=IFERROR(VLOOKUP(A2609,Cadastro_Produtos!$A:$E,5,FALSE),0),"ABAIXO DO MINIMO","OK"))</f>
        <v/>
      </c>
    </row>
    <row r="2610">
      <c r="B2610">
        <f>IFERROR(VLOOKUP(A2610,Cadastro_Produtos!A:B,2,FALSE),"")</f>
        <v/>
      </c>
      <c r="D2610" s="12" t="n"/>
      <c r="E2610" s="13">
        <f>IF(D2610="","",D2610-TODAY())</f>
        <v/>
      </c>
      <c r="F2610">
        <f>IF(D2610="","",IF(E2610&lt;0,"VENCIDO",IF(E2610&lt;=30,"VENCE EM &lt;= 30 DIAS",IF(E2610&lt;=60,"ATENCAO (31-60 DIAS)","OK"))))</f>
        <v/>
      </c>
      <c r="G2610" s="13">
        <f>SUMIFS(Movimentacoes!$G:$G,Movimentacoes!$C:$C,$A2610,Movimentacoes!$E:$E,$C2610,Movimentacoes!$B:$B,"ENTRADA")</f>
        <v/>
      </c>
      <c r="H2610" s="13">
        <f>SUMIFS(Movimentacoes!$G:$G,Movimentacoes!$C:$C,$A2610,Movimentacoes!$E:$E,$C2610,Movimentacoes!$B:$B,"SAIDA_USO")</f>
        <v/>
      </c>
      <c r="I2610" s="13">
        <f>SUMIFS(Movimentacoes!$G:$G,Movimentacoes!$C:$C,$A2610,Movimentacoes!$E:$E,$C2610,Movimentacoes!$B:$B,"SAIDA_DESCARTE")</f>
        <v/>
      </c>
      <c r="J2610" s="13">
        <f>G2610-H2610-I2610</f>
        <v/>
      </c>
      <c r="K2610">
        <f>IF(A2610="","",IF(J2610&lt;=IFERROR(VLOOKUP(A2610,Cadastro_Produtos!$A:$E,5,FALSE),0),"ABAIXO DO MINIMO","OK"))</f>
        <v/>
      </c>
    </row>
    <row r="2611">
      <c r="B2611">
        <f>IFERROR(VLOOKUP(A2611,Cadastro_Produtos!A:B,2,FALSE),"")</f>
        <v/>
      </c>
      <c r="D2611" s="12" t="n"/>
      <c r="E2611" s="13">
        <f>IF(D2611="","",D2611-TODAY())</f>
        <v/>
      </c>
      <c r="F2611">
        <f>IF(D2611="","",IF(E2611&lt;0,"VENCIDO",IF(E2611&lt;=30,"VENCE EM &lt;= 30 DIAS",IF(E2611&lt;=60,"ATENCAO (31-60 DIAS)","OK"))))</f>
        <v/>
      </c>
      <c r="G2611" s="13">
        <f>SUMIFS(Movimentacoes!$G:$G,Movimentacoes!$C:$C,$A2611,Movimentacoes!$E:$E,$C2611,Movimentacoes!$B:$B,"ENTRADA")</f>
        <v/>
      </c>
      <c r="H2611" s="13">
        <f>SUMIFS(Movimentacoes!$G:$G,Movimentacoes!$C:$C,$A2611,Movimentacoes!$E:$E,$C2611,Movimentacoes!$B:$B,"SAIDA_USO")</f>
        <v/>
      </c>
      <c r="I2611" s="13">
        <f>SUMIFS(Movimentacoes!$G:$G,Movimentacoes!$C:$C,$A2611,Movimentacoes!$E:$E,$C2611,Movimentacoes!$B:$B,"SAIDA_DESCARTE")</f>
        <v/>
      </c>
      <c r="J2611" s="13">
        <f>G2611-H2611-I2611</f>
        <v/>
      </c>
      <c r="K2611">
        <f>IF(A2611="","",IF(J2611&lt;=IFERROR(VLOOKUP(A2611,Cadastro_Produtos!$A:$E,5,FALSE),0),"ABAIXO DO MINIMO","OK"))</f>
        <v/>
      </c>
    </row>
    <row r="2612">
      <c r="B2612">
        <f>IFERROR(VLOOKUP(A2612,Cadastro_Produtos!A:B,2,FALSE),"")</f>
        <v/>
      </c>
      <c r="D2612" s="12" t="n"/>
      <c r="E2612" s="13">
        <f>IF(D2612="","",D2612-TODAY())</f>
        <v/>
      </c>
      <c r="F2612">
        <f>IF(D2612="","",IF(E2612&lt;0,"VENCIDO",IF(E2612&lt;=30,"VENCE EM &lt;= 30 DIAS",IF(E2612&lt;=60,"ATENCAO (31-60 DIAS)","OK"))))</f>
        <v/>
      </c>
      <c r="G2612" s="13">
        <f>SUMIFS(Movimentacoes!$G:$G,Movimentacoes!$C:$C,$A2612,Movimentacoes!$E:$E,$C2612,Movimentacoes!$B:$B,"ENTRADA")</f>
        <v/>
      </c>
      <c r="H2612" s="13">
        <f>SUMIFS(Movimentacoes!$G:$G,Movimentacoes!$C:$C,$A2612,Movimentacoes!$E:$E,$C2612,Movimentacoes!$B:$B,"SAIDA_USO")</f>
        <v/>
      </c>
      <c r="I2612" s="13">
        <f>SUMIFS(Movimentacoes!$G:$G,Movimentacoes!$C:$C,$A2612,Movimentacoes!$E:$E,$C2612,Movimentacoes!$B:$B,"SAIDA_DESCARTE")</f>
        <v/>
      </c>
      <c r="J2612" s="13">
        <f>G2612-H2612-I2612</f>
        <v/>
      </c>
      <c r="K2612">
        <f>IF(A2612="","",IF(J2612&lt;=IFERROR(VLOOKUP(A2612,Cadastro_Produtos!$A:$E,5,FALSE),0),"ABAIXO DO MINIMO","OK"))</f>
        <v/>
      </c>
    </row>
    <row r="2613">
      <c r="B2613">
        <f>IFERROR(VLOOKUP(A2613,Cadastro_Produtos!A:B,2,FALSE),"")</f>
        <v/>
      </c>
      <c r="D2613" s="12" t="n"/>
      <c r="E2613" s="13">
        <f>IF(D2613="","",D2613-TODAY())</f>
        <v/>
      </c>
      <c r="F2613">
        <f>IF(D2613="","",IF(E2613&lt;0,"VENCIDO",IF(E2613&lt;=30,"VENCE EM &lt;= 30 DIAS",IF(E2613&lt;=60,"ATENCAO (31-60 DIAS)","OK"))))</f>
        <v/>
      </c>
      <c r="G2613" s="13">
        <f>SUMIFS(Movimentacoes!$G:$G,Movimentacoes!$C:$C,$A2613,Movimentacoes!$E:$E,$C2613,Movimentacoes!$B:$B,"ENTRADA")</f>
        <v/>
      </c>
      <c r="H2613" s="13">
        <f>SUMIFS(Movimentacoes!$G:$G,Movimentacoes!$C:$C,$A2613,Movimentacoes!$E:$E,$C2613,Movimentacoes!$B:$B,"SAIDA_USO")</f>
        <v/>
      </c>
      <c r="I2613" s="13">
        <f>SUMIFS(Movimentacoes!$G:$G,Movimentacoes!$C:$C,$A2613,Movimentacoes!$E:$E,$C2613,Movimentacoes!$B:$B,"SAIDA_DESCARTE")</f>
        <v/>
      </c>
      <c r="J2613" s="13">
        <f>G2613-H2613-I2613</f>
        <v/>
      </c>
      <c r="K2613">
        <f>IF(A2613="","",IF(J2613&lt;=IFERROR(VLOOKUP(A2613,Cadastro_Produtos!$A:$E,5,FALSE),0),"ABAIXO DO MINIMO","OK"))</f>
        <v/>
      </c>
    </row>
    <row r="2614">
      <c r="B2614">
        <f>IFERROR(VLOOKUP(A2614,Cadastro_Produtos!A:B,2,FALSE),"")</f>
        <v/>
      </c>
      <c r="D2614" s="12" t="n"/>
      <c r="E2614" s="13">
        <f>IF(D2614="","",D2614-TODAY())</f>
        <v/>
      </c>
      <c r="F2614">
        <f>IF(D2614="","",IF(E2614&lt;0,"VENCIDO",IF(E2614&lt;=30,"VENCE EM &lt;= 30 DIAS",IF(E2614&lt;=60,"ATENCAO (31-60 DIAS)","OK"))))</f>
        <v/>
      </c>
      <c r="G2614" s="13">
        <f>SUMIFS(Movimentacoes!$G:$G,Movimentacoes!$C:$C,$A2614,Movimentacoes!$E:$E,$C2614,Movimentacoes!$B:$B,"ENTRADA")</f>
        <v/>
      </c>
      <c r="H2614" s="13">
        <f>SUMIFS(Movimentacoes!$G:$G,Movimentacoes!$C:$C,$A2614,Movimentacoes!$E:$E,$C2614,Movimentacoes!$B:$B,"SAIDA_USO")</f>
        <v/>
      </c>
      <c r="I2614" s="13">
        <f>SUMIFS(Movimentacoes!$G:$G,Movimentacoes!$C:$C,$A2614,Movimentacoes!$E:$E,$C2614,Movimentacoes!$B:$B,"SAIDA_DESCARTE")</f>
        <v/>
      </c>
      <c r="J2614" s="13">
        <f>G2614-H2614-I2614</f>
        <v/>
      </c>
      <c r="K2614">
        <f>IF(A2614="","",IF(J2614&lt;=IFERROR(VLOOKUP(A2614,Cadastro_Produtos!$A:$E,5,FALSE),0),"ABAIXO DO MINIMO","OK"))</f>
        <v/>
      </c>
    </row>
    <row r="2615">
      <c r="B2615">
        <f>IFERROR(VLOOKUP(A2615,Cadastro_Produtos!A:B,2,FALSE),"")</f>
        <v/>
      </c>
      <c r="D2615" s="12" t="n"/>
      <c r="E2615" s="13">
        <f>IF(D2615="","",D2615-TODAY())</f>
        <v/>
      </c>
      <c r="F2615">
        <f>IF(D2615="","",IF(E2615&lt;0,"VENCIDO",IF(E2615&lt;=30,"VENCE EM &lt;= 30 DIAS",IF(E2615&lt;=60,"ATENCAO (31-60 DIAS)","OK"))))</f>
        <v/>
      </c>
      <c r="G2615" s="13">
        <f>SUMIFS(Movimentacoes!$G:$G,Movimentacoes!$C:$C,$A2615,Movimentacoes!$E:$E,$C2615,Movimentacoes!$B:$B,"ENTRADA")</f>
        <v/>
      </c>
      <c r="H2615" s="13">
        <f>SUMIFS(Movimentacoes!$G:$G,Movimentacoes!$C:$C,$A2615,Movimentacoes!$E:$E,$C2615,Movimentacoes!$B:$B,"SAIDA_USO")</f>
        <v/>
      </c>
      <c r="I2615" s="13">
        <f>SUMIFS(Movimentacoes!$G:$G,Movimentacoes!$C:$C,$A2615,Movimentacoes!$E:$E,$C2615,Movimentacoes!$B:$B,"SAIDA_DESCARTE")</f>
        <v/>
      </c>
      <c r="J2615" s="13">
        <f>G2615-H2615-I2615</f>
        <v/>
      </c>
      <c r="K2615">
        <f>IF(A2615="","",IF(J2615&lt;=IFERROR(VLOOKUP(A2615,Cadastro_Produtos!$A:$E,5,FALSE),0),"ABAIXO DO MINIMO","OK"))</f>
        <v/>
      </c>
    </row>
    <row r="2616">
      <c r="B2616">
        <f>IFERROR(VLOOKUP(A2616,Cadastro_Produtos!A:B,2,FALSE),"")</f>
        <v/>
      </c>
      <c r="D2616" s="12" t="n"/>
      <c r="E2616" s="13">
        <f>IF(D2616="","",D2616-TODAY())</f>
        <v/>
      </c>
      <c r="F2616">
        <f>IF(D2616="","",IF(E2616&lt;0,"VENCIDO",IF(E2616&lt;=30,"VENCE EM &lt;= 30 DIAS",IF(E2616&lt;=60,"ATENCAO (31-60 DIAS)","OK"))))</f>
        <v/>
      </c>
      <c r="G2616" s="13">
        <f>SUMIFS(Movimentacoes!$G:$G,Movimentacoes!$C:$C,$A2616,Movimentacoes!$E:$E,$C2616,Movimentacoes!$B:$B,"ENTRADA")</f>
        <v/>
      </c>
      <c r="H2616" s="13">
        <f>SUMIFS(Movimentacoes!$G:$G,Movimentacoes!$C:$C,$A2616,Movimentacoes!$E:$E,$C2616,Movimentacoes!$B:$B,"SAIDA_USO")</f>
        <v/>
      </c>
      <c r="I2616" s="13">
        <f>SUMIFS(Movimentacoes!$G:$G,Movimentacoes!$C:$C,$A2616,Movimentacoes!$E:$E,$C2616,Movimentacoes!$B:$B,"SAIDA_DESCARTE")</f>
        <v/>
      </c>
      <c r="J2616" s="13">
        <f>G2616-H2616-I2616</f>
        <v/>
      </c>
      <c r="K2616">
        <f>IF(A2616="","",IF(J2616&lt;=IFERROR(VLOOKUP(A2616,Cadastro_Produtos!$A:$E,5,FALSE),0),"ABAIXO DO MINIMO","OK"))</f>
        <v/>
      </c>
    </row>
    <row r="2617">
      <c r="B2617">
        <f>IFERROR(VLOOKUP(A2617,Cadastro_Produtos!A:B,2,FALSE),"")</f>
        <v/>
      </c>
      <c r="D2617" s="12" t="n"/>
      <c r="E2617" s="13">
        <f>IF(D2617="","",D2617-TODAY())</f>
        <v/>
      </c>
      <c r="F2617">
        <f>IF(D2617="","",IF(E2617&lt;0,"VENCIDO",IF(E2617&lt;=30,"VENCE EM &lt;= 30 DIAS",IF(E2617&lt;=60,"ATENCAO (31-60 DIAS)","OK"))))</f>
        <v/>
      </c>
      <c r="G2617" s="13">
        <f>SUMIFS(Movimentacoes!$G:$G,Movimentacoes!$C:$C,$A2617,Movimentacoes!$E:$E,$C2617,Movimentacoes!$B:$B,"ENTRADA")</f>
        <v/>
      </c>
      <c r="H2617" s="13">
        <f>SUMIFS(Movimentacoes!$G:$G,Movimentacoes!$C:$C,$A2617,Movimentacoes!$E:$E,$C2617,Movimentacoes!$B:$B,"SAIDA_USO")</f>
        <v/>
      </c>
      <c r="I2617" s="13">
        <f>SUMIFS(Movimentacoes!$G:$G,Movimentacoes!$C:$C,$A2617,Movimentacoes!$E:$E,$C2617,Movimentacoes!$B:$B,"SAIDA_DESCARTE")</f>
        <v/>
      </c>
      <c r="J2617" s="13">
        <f>G2617-H2617-I2617</f>
        <v/>
      </c>
      <c r="K2617">
        <f>IF(A2617="","",IF(J2617&lt;=IFERROR(VLOOKUP(A2617,Cadastro_Produtos!$A:$E,5,FALSE),0),"ABAIXO DO MINIMO","OK"))</f>
        <v/>
      </c>
    </row>
    <row r="2618">
      <c r="B2618">
        <f>IFERROR(VLOOKUP(A2618,Cadastro_Produtos!A:B,2,FALSE),"")</f>
        <v/>
      </c>
      <c r="D2618" s="12" t="n"/>
      <c r="E2618" s="13">
        <f>IF(D2618="","",D2618-TODAY())</f>
        <v/>
      </c>
      <c r="F2618">
        <f>IF(D2618="","",IF(E2618&lt;0,"VENCIDO",IF(E2618&lt;=30,"VENCE EM &lt;= 30 DIAS",IF(E2618&lt;=60,"ATENCAO (31-60 DIAS)","OK"))))</f>
        <v/>
      </c>
      <c r="G2618" s="13">
        <f>SUMIFS(Movimentacoes!$G:$G,Movimentacoes!$C:$C,$A2618,Movimentacoes!$E:$E,$C2618,Movimentacoes!$B:$B,"ENTRADA")</f>
        <v/>
      </c>
      <c r="H2618" s="13">
        <f>SUMIFS(Movimentacoes!$G:$G,Movimentacoes!$C:$C,$A2618,Movimentacoes!$E:$E,$C2618,Movimentacoes!$B:$B,"SAIDA_USO")</f>
        <v/>
      </c>
      <c r="I2618" s="13">
        <f>SUMIFS(Movimentacoes!$G:$G,Movimentacoes!$C:$C,$A2618,Movimentacoes!$E:$E,$C2618,Movimentacoes!$B:$B,"SAIDA_DESCARTE")</f>
        <v/>
      </c>
      <c r="J2618" s="13">
        <f>G2618-H2618-I2618</f>
        <v/>
      </c>
      <c r="K2618">
        <f>IF(A2618="","",IF(J2618&lt;=IFERROR(VLOOKUP(A2618,Cadastro_Produtos!$A:$E,5,FALSE),0),"ABAIXO DO MINIMO","OK"))</f>
        <v/>
      </c>
    </row>
    <row r="2619">
      <c r="B2619">
        <f>IFERROR(VLOOKUP(A2619,Cadastro_Produtos!A:B,2,FALSE),"")</f>
        <v/>
      </c>
      <c r="D2619" s="12" t="n"/>
      <c r="E2619" s="13">
        <f>IF(D2619="","",D2619-TODAY())</f>
        <v/>
      </c>
      <c r="F2619">
        <f>IF(D2619="","",IF(E2619&lt;0,"VENCIDO",IF(E2619&lt;=30,"VENCE EM &lt;= 30 DIAS",IF(E2619&lt;=60,"ATENCAO (31-60 DIAS)","OK"))))</f>
        <v/>
      </c>
      <c r="G2619" s="13">
        <f>SUMIFS(Movimentacoes!$G:$G,Movimentacoes!$C:$C,$A2619,Movimentacoes!$E:$E,$C2619,Movimentacoes!$B:$B,"ENTRADA")</f>
        <v/>
      </c>
      <c r="H2619" s="13">
        <f>SUMIFS(Movimentacoes!$G:$G,Movimentacoes!$C:$C,$A2619,Movimentacoes!$E:$E,$C2619,Movimentacoes!$B:$B,"SAIDA_USO")</f>
        <v/>
      </c>
      <c r="I2619" s="13">
        <f>SUMIFS(Movimentacoes!$G:$G,Movimentacoes!$C:$C,$A2619,Movimentacoes!$E:$E,$C2619,Movimentacoes!$B:$B,"SAIDA_DESCARTE")</f>
        <v/>
      </c>
      <c r="J2619" s="13">
        <f>G2619-H2619-I2619</f>
        <v/>
      </c>
      <c r="K2619">
        <f>IF(A2619="","",IF(J2619&lt;=IFERROR(VLOOKUP(A2619,Cadastro_Produtos!$A:$E,5,FALSE),0),"ABAIXO DO MINIMO","OK"))</f>
        <v/>
      </c>
    </row>
    <row r="2620">
      <c r="B2620">
        <f>IFERROR(VLOOKUP(A2620,Cadastro_Produtos!A:B,2,FALSE),"")</f>
        <v/>
      </c>
      <c r="D2620" s="12" t="n"/>
      <c r="E2620" s="13">
        <f>IF(D2620="","",D2620-TODAY())</f>
        <v/>
      </c>
      <c r="F2620">
        <f>IF(D2620="","",IF(E2620&lt;0,"VENCIDO",IF(E2620&lt;=30,"VENCE EM &lt;= 30 DIAS",IF(E2620&lt;=60,"ATENCAO (31-60 DIAS)","OK"))))</f>
        <v/>
      </c>
      <c r="G2620" s="13">
        <f>SUMIFS(Movimentacoes!$G:$G,Movimentacoes!$C:$C,$A2620,Movimentacoes!$E:$E,$C2620,Movimentacoes!$B:$B,"ENTRADA")</f>
        <v/>
      </c>
      <c r="H2620" s="13">
        <f>SUMIFS(Movimentacoes!$G:$G,Movimentacoes!$C:$C,$A2620,Movimentacoes!$E:$E,$C2620,Movimentacoes!$B:$B,"SAIDA_USO")</f>
        <v/>
      </c>
      <c r="I2620" s="13">
        <f>SUMIFS(Movimentacoes!$G:$G,Movimentacoes!$C:$C,$A2620,Movimentacoes!$E:$E,$C2620,Movimentacoes!$B:$B,"SAIDA_DESCARTE")</f>
        <v/>
      </c>
      <c r="J2620" s="13">
        <f>G2620-H2620-I2620</f>
        <v/>
      </c>
      <c r="K2620">
        <f>IF(A2620="","",IF(J2620&lt;=IFERROR(VLOOKUP(A2620,Cadastro_Produtos!$A:$E,5,FALSE),0),"ABAIXO DO MINIMO","OK"))</f>
        <v/>
      </c>
    </row>
    <row r="2621">
      <c r="B2621">
        <f>IFERROR(VLOOKUP(A2621,Cadastro_Produtos!A:B,2,FALSE),"")</f>
        <v/>
      </c>
      <c r="D2621" s="12" t="n"/>
      <c r="E2621" s="13">
        <f>IF(D2621="","",D2621-TODAY())</f>
        <v/>
      </c>
      <c r="F2621">
        <f>IF(D2621="","",IF(E2621&lt;0,"VENCIDO",IF(E2621&lt;=30,"VENCE EM &lt;= 30 DIAS",IF(E2621&lt;=60,"ATENCAO (31-60 DIAS)","OK"))))</f>
        <v/>
      </c>
      <c r="G2621" s="13">
        <f>SUMIFS(Movimentacoes!$G:$G,Movimentacoes!$C:$C,$A2621,Movimentacoes!$E:$E,$C2621,Movimentacoes!$B:$B,"ENTRADA")</f>
        <v/>
      </c>
      <c r="H2621" s="13">
        <f>SUMIFS(Movimentacoes!$G:$G,Movimentacoes!$C:$C,$A2621,Movimentacoes!$E:$E,$C2621,Movimentacoes!$B:$B,"SAIDA_USO")</f>
        <v/>
      </c>
      <c r="I2621" s="13">
        <f>SUMIFS(Movimentacoes!$G:$G,Movimentacoes!$C:$C,$A2621,Movimentacoes!$E:$E,$C2621,Movimentacoes!$B:$B,"SAIDA_DESCARTE")</f>
        <v/>
      </c>
      <c r="J2621" s="13">
        <f>G2621-H2621-I2621</f>
        <v/>
      </c>
      <c r="K2621">
        <f>IF(A2621="","",IF(J2621&lt;=IFERROR(VLOOKUP(A2621,Cadastro_Produtos!$A:$E,5,FALSE),0),"ABAIXO DO MINIMO","OK"))</f>
        <v/>
      </c>
    </row>
    <row r="2622">
      <c r="B2622">
        <f>IFERROR(VLOOKUP(A2622,Cadastro_Produtos!A:B,2,FALSE),"")</f>
        <v/>
      </c>
      <c r="D2622" s="12" t="n"/>
      <c r="E2622" s="13">
        <f>IF(D2622="","",D2622-TODAY())</f>
        <v/>
      </c>
      <c r="F2622">
        <f>IF(D2622="","",IF(E2622&lt;0,"VENCIDO",IF(E2622&lt;=30,"VENCE EM &lt;= 30 DIAS",IF(E2622&lt;=60,"ATENCAO (31-60 DIAS)","OK"))))</f>
        <v/>
      </c>
      <c r="G2622" s="13">
        <f>SUMIFS(Movimentacoes!$G:$G,Movimentacoes!$C:$C,$A2622,Movimentacoes!$E:$E,$C2622,Movimentacoes!$B:$B,"ENTRADA")</f>
        <v/>
      </c>
      <c r="H2622" s="13">
        <f>SUMIFS(Movimentacoes!$G:$G,Movimentacoes!$C:$C,$A2622,Movimentacoes!$E:$E,$C2622,Movimentacoes!$B:$B,"SAIDA_USO")</f>
        <v/>
      </c>
      <c r="I2622" s="13">
        <f>SUMIFS(Movimentacoes!$G:$G,Movimentacoes!$C:$C,$A2622,Movimentacoes!$E:$E,$C2622,Movimentacoes!$B:$B,"SAIDA_DESCARTE")</f>
        <v/>
      </c>
      <c r="J2622" s="13">
        <f>G2622-H2622-I2622</f>
        <v/>
      </c>
      <c r="K2622">
        <f>IF(A2622="","",IF(J2622&lt;=IFERROR(VLOOKUP(A2622,Cadastro_Produtos!$A:$E,5,FALSE),0),"ABAIXO DO MINIMO","OK"))</f>
        <v/>
      </c>
    </row>
    <row r="2623">
      <c r="B2623">
        <f>IFERROR(VLOOKUP(A2623,Cadastro_Produtos!A:B,2,FALSE),"")</f>
        <v/>
      </c>
      <c r="D2623" s="12" t="n"/>
      <c r="E2623" s="13">
        <f>IF(D2623="","",D2623-TODAY())</f>
        <v/>
      </c>
      <c r="F2623">
        <f>IF(D2623="","",IF(E2623&lt;0,"VENCIDO",IF(E2623&lt;=30,"VENCE EM &lt;= 30 DIAS",IF(E2623&lt;=60,"ATENCAO (31-60 DIAS)","OK"))))</f>
        <v/>
      </c>
      <c r="G2623" s="13">
        <f>SUMIFS(Movimentacoes!$G:$G,Movimentacoes!$C:$C,$A2623,Movimentacoes!$E:$E,$C2623,Movimentacoes!$B:$B,"ENTRADA")</f>
        <v/>
      </c>
      <c r="H2623" s="13">
        <f>SUMIFS(Movimentacoes!$G:$G,Movimentacoes!$C:$C,$A2623,Movimentacoes!$E:$E,$C2623,Movimentacoes!$B:$B,"SAIDA_USO")</f>
        <v/>
      </c>
      <c r="I2623" s="13">
        <f>SUMIFS(Movimentacoes!$G:$G,Movimentacoes!$C:$C,$A2623,Movimentacoes!$E:$E,$C2623,Movimentacoes!$B:$B,"SAIDA_DESCARTE")</f>
        <v/>
      </c>
      <c r="J2623" s="13">
        <f>G2623-H2623-I2623</f>
        <v/>
      </c>
      <c r="K2623">
        <f>IF(A2623="","",IF(J2623&lt;=IFERROR(VLOOKUP(A2623,Cadastro_Produtos!$A:$E,5,FALSE),0),"ABAIXO DO MINIMO","OK"))</f>
        <v/>
      </c>
    </row>
    <row r="2624">
      <c r="B2624">
        <f>IFERROR(VLOOKUP(A2624,Cadastro_Produtos!A:B,2,FALSE),"")</f>
        <v/>
      </c>
      <c r="D2624" s="12" t="n"/>
      <c r="E2624" s="13">
        <f>IF(D2624="","",D2624-TODAY())</f>
        <v/>
      </c>
      <c r="F2624">
        <f>IF(D2624="","",IF(E2624&lt;0,"VENCIDO",IF(E2624&lt;=30,"VENCE EM &lt;= 30 DIAS",IF(E2624&lt;=60,"ATENCAO (31-60 DIAS)","OK"))))</f>
        <v/>
      </c>
      <c r="G2624" s="13">
        <f>SUMIFS(Movimentacoes!$G:$G,Movimentacoes!$C:$C,$A2624,Movimentacoes!$E:$E,$C2624,Movimentacoes!$B:$B,"ENTRADA")</f>
        <v/>
      </c>
      <c r="H2624" s="13">
        <f>SUMIFS(Movimentacoes!$G:$G,Movimentacoes!$C:$C,$A2624,Movimentacoes!$E:$E,$C2624,Movimentacoes!$B:$B,"SAIDA_USO")</f>
        <v/>
      </c>
      <c r="I2624" s="13">
        <f>SUMIFS(Movimentacoes!$G:$G,Movimentacoes!$C:$C,$A2624,Movimentacoes!$E:$E,$C2624,Movimentacoes!$B:$B,"SAIDA_DESCARTE")</f>
        <v/>
      </c>
      <c r="J2624" s="13">
        <f>G2624-H2624-I2624</f>
        <v/>
      </c>
      <c r="K2624">
        <f>IF(A2624="","",IF(J2624&lt;=IFERROR(VLOOKUP(A2624,Cadastro_Produtos!$A:$E,5,FALSE),0),"ABAIXO DO MINIMO","OK"))</f>
        <v/>
      </c>
    </row>
    <row r="2625">
      <c r="B2625">
        <f>IFERROR(VLOOKUP(A2625,Cadastro_Produtos!A:B,2,FALSE),"")</f>
        <v/>
      </c>
      <c r="D2625" s="12" t="n"/>
      <c r="E2625" s="13">
        <f>IF(D2625="","",D2625-TODAY())</f>
        <v/>
      </c>
      <c r="F2625">
        <f>IF(D2625="","",IF(E2625&lt;0,"VENCIDO",IF(E2625&lt;=30,"VENCE EM &lt;= 30 DIAS",IF(E2625&lt;=60,"ATENCAO (31-60 DIAS)","OK"))))</f>
        <v/>
      </c>
      <c r="G2625" s="13">
        <f>SUMIFS(Movimentacoes!$G:$G,Movimentacoes!$C:$C,$A2625,Movimentacoes!$E:$E,$C2625,Movimentacoes!$B:$B,"ENTRADA")</f>
        <v/>
      </c>
      <c r="H2625" s="13">
        <f>SUMIFS(Movimentacoes!$G:$G,Movimentacoes!$C:$C,$A2625,Movimentacoes!$E:$E,$C2625,Movimentacoes!$B:$B,"SAIDA_USO")</f>
        <v/>
      </c>
      <c r="I2625" s="13">
        <f>SUMIFS(Movimentacoes!$G:$G,Movimentacoes!$C:$C,$A2625,Movimentacoes!$E:$E,$C2625,Movimentacoes!$B:$B,"SAIDA_DESCARTE")</f>
        <v/>
      </c>
      <c r="J2625" s="13">
        <f>G2625-H2625-I2625</f>
        <v/>
      </c>
      <c r="K2625">
        <f>IF(A2625="","",IF(J2625&lt;=IFERROR(VLOOKUP(A2625,Cadastro_Produtos!$A:$E,5,FALSE),0),"ABAIXO DO MINIMO","OK"))</f>
        <v/>
      </c>
    </row>
    <row r="2626">
      <c r="B2626">
        <f>IFERROR(VLOOKUP(A2626,Cadastro_Produtos!A:B,2,FALSE),"")</f>
        <v/>
      </c>
      <c r="D2626" s="12" t="n"/>
      <c r="E2626" s="13">
        <f>IF(D2626="","",D2626-TODAY())</f>
        <v/>
      </c>
      <c r="F2626">
        <f>IF(D2626="","",IF(E2626&lt;0,"VENCIDO",IF(E2626&lt;=30,"VENCE EM &lt;= 30 DIAS",IF(E2626&lt;=60,"ATENCAO (31-60 DIAS)","OK"))))</f>
        <v/>
      </c>
      <c r="G2626" s="13">
        <f>SUMIFS(Movimentacoes!$G:$G,Movimentacoes!$C:$C,$A2626,Movimentacoes!$E:$E,$C2626,Movimentacoes!$B:$B,"ENTRADA")</f>
        <v/>
      </c>
      <c r="H2626" s="13">
        <f>SUMIFS(Movimentacoes!$G:$G,Movimentacoes!$C:$C,$A2626,Movimentacoes!$E:$E,$C2626,Movimentacoes!$B:$B,"SAIDA_USO")</f>
        <v/>
      </c>
      <c r="I2626" s="13">
        <f>SUMIFS(Movimentacoes!$G:$G,Movimentacoes!$C:$C,$A2626,Movimentacoes!$E:$E,$C2626,Movimentacoes!$B:$B,"SAIDA_DESCARTE")</f>
        <v/>
      </c>
      <c r="J2626" s="13">
        <f>G2626-H2626-I2626</f>
        <v/>
      </c>
      <c r="K2626">
        <f>IF(A2626="","",IF(J2626&lt;=IFERROR(VLOOKUP(A2626,Cadastro_Produtos!$A:$E,5,FALSE),0),"ABAIXO DO MINIMO","OK"))</f>
        <v/>
      </c>
    </row>
    <row r="2627">
      <c r="B2627">
        <f>IFERROR(VLOOKUP(A2627,Cadastro_Produtos!A:B,2,FALSE),"")</f>
        <v/>
      </c>
      <c r="D2627" s="12" t="n"/>
      <c r="E2627" s="13">
        <f>IF(D2627="","",D2627-TODAY())</f>
        <v/>
      </c>
      <c r="F2627">
        <f>IF(D2627="","",IF(E2627&lt;0,"VENCIDO",IF(E2627&lt;=30,"VENCE EM &lt;= 30 DIAS",IF(E2627&lt;=60,"ATENCAO (31-60 DIAS)","OK"))))</f>
        <v/>
      </c>
      <c r="G2627" s="13">
        <f>SUMIFS(Movimentacoes!$G:$G,Movimentacoes!$C:$C,$A2627,Movimentacoes!$E:$E,$C2627,Movimentacoes!$B:$B,"ENTRADA")</f>
        <v/>
      </c>
      <c r="H2627" s="13">
        <f>SUMIFS(Movimentacoes!$G:$G,Movimentacoes!$C:$C,$A2627,Movimentacoes!$E:$E,$C2627,Movimentacoes!$B:$B,"SAIDA_USO")</f>
        <v/>
      </c>
      <c r="I2627" s="13">
        <f>SUMIFS(Movimentacoes!$G:$G,Movimentacoes!$C:$C,$A2627,Movimentacoes!$E:$E,$C2627,Movimentacoes!$B:$B,"SAIDA_DESCARTE")</f>
        <v/>
      </c>
      <c r="J2627" s="13">
        <f>G2627-H2627-I2627</f>
        <v/>
      </c>
      <c r="K2627">
        <f>IF(A2627="","",IF(J2627&lt;=IFERROR(VLOOKUP(A2627,Cadastro_Produtos!$A:$E,5,FALSE),0),"ABAIXO DO MINIMO","OK"))</f>
        <v/>
      </c>
    </row>
    <row r="2628">
      <c r="B2628">
        <f>IFERROR(VLOOKUP(A2628,Cadastro_Produtos!A:B,2,FALSE),"")</f>
        <v/>
      </c>
      <c r="D2628" s="12" t="n"/>
      <c r="E2628" s="13">
        <f>IF(D2628="","",D2628-TODAY())</f>
        <v/>
      </c>
      <c r="F2628">
        <f>IF(D2628="","",IF(E2628&lt;0,"VENCIDO",IF(E2628&lt;=30,"VENCE EM &lt;= 30 DIAS",IF(E2628&lt;=60,"ATENCAO (31-60 DIAS)","OK"))))</f>
        <v/>
      </c>
      <c r="G2628" s="13">
        <f>SUMIFS(Movimentacoes!$G:$G,Movimentacoes!$C:$C,$A2628,Movimentacoes!$E:$E,$C2628,Movimentacoes!$B:$B,"ENTRADA")</f>
        <v/>
      </c>
      <c r="H2628" s="13">
        <f>SUMIFS(Movimentacoes!$G:$G,Movimentacoes!$C:$C,$A2628,Movimentacoes!$E:$E,$C2628,Movimentacoes!$B:$B,"SAIDA_USO")</f>
        <v/>
      </c>
      <c r="I2628" s="13">
        <f>SUMIFS(Movimentacoes!$G:$G,Movimentacoes!$C:$C,$A2628,Movimentacoes!$E:$E,$C2628,Movimentacoes!$B:$B,"SAIDA_DESCARTE")</f>
        <v/>
      </c>
      <c r="J2628" s="13">
        <f>G2628-H2628-I2628</f>
        <v/>
      </c>
      <c r="K2628">
        <f>IF(A2628="","",IF(J2628&lt;=IFERROR(VLOOKUP(A2628,Cadastro_Produtos!$A:$E,5,FALSE),0),"ABAIXO DO MINIMO","OK"))</f>
        <v/>
      </c>
    </row>
    <row r="2629">
      <c r="B2629">
        <f>IFERROR(VLOOKUP(A2629,Cadastro_Produtos!A:B,2,FALSE),"")</f>
        <v/>
      </c>
      <c r="D2629" s="12" t="n"/>
      <c r="E2629" s="13">
        <f>IF(D2629="","",D2629-TODAY())</f>
        <v/>
      </c>
      <c r="F2629">
        <f>IF(D2629="","",IF(E2629&lt;0,"VENCIDO",IF(E2629&lt;=30,"VENCE EM &lt;= 30 DIAS",IF(E2629&lt;=60,"ATENCAO (31-60 DIAS)","OK"))))</f>
        <v/>
      </c>
      <c r="G2629" s="13">
        <f>SUMIFS(Movimentacoes!$G:$G,Movimentacoes!$C:$C,$A2629,Movimentacoes!$E:$E,$C2629,Movimentacoes!$B:$B,"ENTRADA")</f>
        <v/>
      </c>
      <c r="H2629" s="13">
        <f>SUMIFS(Movimentacoes!$G:$G,Movimentacoes!$C:$C,$A2629,Movimentacoes!$E:$E,$C2629,Movimentacoes!$B:$B,"SAIDA_USO")</f>
        <v/>
      </c>
      <c r="I2629" s="13">
        <f>SUMIFS(Movimentacoes!$G:$G,Movimentacoes!$C:$C,$A2629,Movimentacoes!$E:$E,$C2629,Movimentacoes!$B:$B,"SAIDA_DESCARTE")</f>
        <v/>
      </c>
      <c r="J2629" s="13">
        <f>G2629-H2629-I2629</f>
        <v/>
      </c>
      <c r="K2629">
        <f>IF(A2629="","",IF(J2629&lt;=IFERROR(VLOOKUP(A2629,Cadastro_Produtos!$A:$E,5,FALSE),0),"ABAIXO DO MINIMO","OK"))</f>
        <v/>
      </c>
    </row>
    <row r="2630">
      <c r="B2630">
        <f>IFERROR(VLOOKUP(A2630,Cadastro_Produtos!A:B,2,FALSE),"")</f>
        <v/>
      </c>
      <c r="D2630" s="12" t="n"/>
      <c r="E2630" s="13">
        <f>IF(D2630="","",D2630-TODAY())</f>
        <v/>
      </c>
      <c r="F2630">
        <f>IF(D2630="","",IF(E2630&lt;0,"VENCIDO",IF(E2630&lt;=30,"VENCE EM &lt;= 30 DIAS",IF(E2630&lt;=60,"ATENCAO (31-60 DIAS)","OK"))))</f>
        <v/>
      </c>
      <c r="G2630" s="13">
        <f>SUMIFS(Movimentacoes!$G:$G,Movimentacoes!$C:$C,$A2630,Movimentacoes!$E:$E,$C2630,Movimentacoes!$B:$B,"ENTRADA")</f>
        <v/>
      </c>
      <c r="H2630" s="13">
        <f>SUMIFS(Movimentacoes!$G:$G,Movimentacoes!$C:$C,$A2630,Movimentacoes!$E:$E,$C2630,Movimentacoes!$B:$B,"SAIDA_USO")</f>
        <v/>
      </c>
      <c r="I2630" s="13">
        <f>SUMIFS(Movimentacoes!$G:$G,Movimentacoes!$C:$C,$A2630,Movimentacoes!$E:$E,$C2630,Movimentacoes!$B:$B,"SAIDA_DESCARTE")</f>
        <v/>
      </c>
      <c r="J2630" s="13">
        <f>G2630-H2630-I2630</f>
        <v/>
      </c>
      <c r="K2630">
        <f>IF(A2630="","",IF(J2630&lt;=IFERROR(VLOOKUP(A2630,Cadastro_Produtos!$A:$E,5,FALSE),0),"ABAIXO DO MINIMO","OK"))</f>
        <v/>
      </c>
    </row>
    <row r="2631">
      <c r="B2631">
        <f>IFERROR(VLOOKUP(A2631,Cadastro_Produtos!A:B,2,FALSE),"")</f>
        <v/>
      </c>
      <c r="D2631" s="12" t="n"/>
      <c r="E2631" s="13">
        <f>IF(D2631="","",D2631-TODAY())</f>
        <v/>
      </c>
      <c r="F2631">
        <f>IF(D2631="","",IF(E2631&lt;0,"VENCIDO",IF(E2631&lt;=30,"VENCE EM &lt;= 30 DIAS",IF(E2631&lt;=60,"ATENCAO (31-60 DIAS)","OK"))))</f>
        <v/>
      </c>
      <c r="G2631" s="13">
        <f>SUMIFS(Movimentacoes!$G:$G,Movimentacoes!$C:$C,$A2631,Movimentacoes!$E:$E,$C2631,Movimentacoes!$B:$B,"ENTRADA")</f>
        <v/>
      </c>
      <c r="H2631" s="13">
        <f>SUMIFS(Movimentacoes!$G:$G,Movimentacoes!$C:$C,$A2631,Movimentacoes!$E:$E,$C2631,Movimentacoes!$B:$B,"SAIDA_USO")</f>
        <v/>
      </c>
      <c r="I2631" s="13">
        <f>SUMIFS(Movimentacoes!$G:$G,Movimentacoes!$C:$C,$A2631,Movimentacoes!$E:$E,$C2631,Movimentacoes!$B:$B,"SAIDA_DESCARTE")</f>
        <v/>
      </c>
      <c r="J2631" s="13">
        <f>G2631-H2631-I2631</f>
        <v/>
      </c>
      <c r="K2631">
        <f>IF(A2631="","",IF(J2631&lt;=IFERROR(VLOOKUP(A2631,Cadastro_Produtos!$A:$E,5,FALSE),0),"ABAIXO DO MINIMO","OK"))</f>
        <v/>
      </c>
    </row>
    <row r="2632">
      <c r="B2632">
        <f>IFERROR(VLOOKUP(A2632,Cadastro_Produtos!A:B,2,FALSE),"")</f>
        <v/>
      </c>
      <c r="D2632" s="12" t="n"/>
      <c r="E2632" s="13">
        <f>IF(D2632="","",D2632-TODAY())</f>
        <v/>
      </c>
      <c r="F2632">
        <f>IF(D2632="","",IF(E2632&lt;0,"VENCIDO",IF(E2632&lt;=30,"VENCE EM &lt;= 30 DIAS",IF(E2632&lt;=60,"ATENCAO (31-60 DIAS)","OK"))))</f>
        <v/>
      </c>
      <c r="G2632" s="13">
        <f>SUMIFS(Movimentacoes!$G:$G,Movimentacoes!$C:$C,$A2632,Movimentacoes!$E:$E,$C2632,Movimentacoes!$B:$B,"ENTRADA")</f>
        <v/>
      </c>
      <c r="H2632" s="13">
        <f>SUMIFS(Movimentacoes!$G:$G,Movimentacoes!$C:$C,$A2632,Movimentacoes!$E:$E,$C2632,Movimentacoes!$B:$B,"SAIDA_USO")</f>
        <v/>
      </c>
      <c r="I2632" s="13">
        <f>SUMIFS(Movimentacoes!$G:$G,Movimentacoes!$C:$C,$A2632,Movimentacoes!$E:$E,$C2632,Movimentacoes!$B:$B,"SAIDA_DESCARTE")</f>
        <v/>
      </c>
      <c r="J2632" s="13">
        <f>G2632-H2632-I2632</f>
        <v/>
      </c>
      <c r="K2632">
        <f>IF(A2632="","",IF(J2632&lt;=IFERROR(VLOOKUP(A2632,Cadastro_Produtos!$A:$E,5,FALSE),0),"ABAIXO DO MINIMO","OK"))</f>
        <v/>
      </c>
    </row>
    <row r="2633">
      <c r="B2633">
        <f>IFERROR(VLOOKUP(A2633,Cadastro_Produtos!A:B,2,FALSE),"")</f>
        <v/>
      </c>
      <c r="D2633" s="12" t="n"/>
      <c r="E2633" s="13">
        <f>IF(D2633="","",D2633-TODAY())</f>
        <v/>
      </c>
      <c r="F2633">
        <f>IF(D2633="","",IF(E2633&lt;0,"VENCIDO",IF(E2633&lt;=30,"VENCE EM &lt;= 30 DIAS",IF(E2633&lt;=60,"ATENCAO (31-60 DIAS)","OK"))))</f>
        <v/>
      </c>
      <c r="G2633" s="13">
        <f>SUMIFS(Movimentacoes!$G:$G,Movimentacoes!$C:$C,$A2633,Movimentacoes!$E:$E,$C2633,Movimentacoes!$B:$B,"ENTRADA")</f>
        <v/>
      </c>
      <c r="H2633" s="13">
        <f>SUMIFS(Movimentacoes!$G:$G,Movimentacoes!$C:$C,$A2633,Movimentacoes!$E:$E,$C2633,Movimentacoes!$B:$B,"SAIDA_USO")</f>
        <v/>
      </c>
      <c r="I2633" s="13">
        <f>SUMIFS(Movimentacoes!$G:$G,Movimentacoes!$C:$C,$A2633,Movimentacoes!$E:$E,$C2633,Movimentacoes!$B:$B,"SAIDA_DESCARTE")</f>
        <v/>
      </c>
      <c r="J2633" s="13">
        <f>G2633-H2633-I2633</f>
        <v/>
      </c>
      <c r="K2633">
        <f>IF(A2633="","",IF(J2633&lt;=IFERROR(VLOOKUP(A2633,Cadastro_Produtos!$A:$E,5,FALSE),0),"ABAIXO DO MINIMO","OK"))</f>
        <v/>
      </c>
    </row>
    <row r="2634">
      <c r="B2634">
        <f>IFERROR(VLOOKUP(A2634,Cadastro_Produtos!A:B,2,FALSE),"")</f>
        <v/>
      </c>
      <c r="D2634" s="12" t="n"/>
      <c r="E2634" s="13">
        <f>IF(D2634="","",D2634-TODAY())</f>
        <v/>
      </c>
      <c r="F2634">
        <f>IF(D2634="","",IF(E2634&lt;0,"VENCIDO",IF(E2634&lt;=30,"VENCE EM &lt;= 30 DIAS",IF(E2634&lt;=60,"ATENCAO (31-60 DIAS)","OK"))))</f>
        <v/>
      </c>
      <c r="G2634" s="13">
        <f>SUMIFS(Movimentacoes!$G:$G,Movimentacoes!$C:$C,$A2634,Movimentacoes!$E:$E,$C2634,Movimentacoes!$B:$B,"ENTRADA")</f>
        <v/>
      </c>
      <c r="H2634" s="13">
        <f>SUMIFS(Movimentacoes!$G:$G,Movimentacoes!$C:$C,$A2634,Movimentacoes!$E:$E,$C2634,Movimentacoes!$B:$B,"SAIDA_USO")</f>
        <v/>
      </c>
      <c r="I2634" s="13">
        <f>SUMIFS(Movimentacoes!$G:$G,Movimentacoes!$C:$C,$A2634,Movimentacoes!$E:$E,$C2634,Movimentacoes!$B:$B,"SAIDA_DESCARTE")</f>
        <v/>
      </c>
      <c r="J2634" s="13">
        <f>G2634-H2634-I2634</f>
        <v/>
      </c>
      <c r="K2634">
        <f>IF(A2634="","",IF(J2634&lt;=IFERROR(VLOOKUP(A2634,Cadastro_Produtos!$A:$E,5,FALSE),0),"ABAIXO DO MINIMO","OK"))</f>
        <v/>
      </c>
    </row>
    <row r="2635">
      <c r="B2635">
        <f>IFERROR(VLOOKUP(A2635,Cadastro_Produtos!A:B,2,FALSE),"")</f>
        <v/>
      </c>
      <c r="D2635" s="12" t="n"/>
      <c r="E2635" s="13">
        <f>IF(D2635="","",D2635-TODAY())</f>
        <v/>
      </c>
      <c r="F2635">
        <f>IF(D2635="","",IF(E2635&lt;0,"VENCIDO",IF(E2635&lt;=30,"VENCE EM &lt;= 30 DIAS",IF(E2635&lt;=60,"ATENCAO (31-60 DIAS)","OK"))))</f>
        <v/>
      </c>
      <c r="G2635" s="13">
        <f>SUMIFS(Movimentacoes!$G:$G,Movimentacoes!$C:$C,$A2635,Movimentacoes!$E:$E,$C2635,Movimentacoes!$B:$B,"ENTRADA")</f>
        <v/>
      </c>
      <c r="H2635" s="13">
        <f>SUMIFS(Movimentacoes!$G:$G,Movimentacoes!$C:$C,$A2635,Movimentacoes!$E:$E,$C2635,Movimentacoes!$B:$B,"SAIDA_USO")</f>
        <v/>
      </c>
      <c r="I2635" s="13">
        <f>SUMIFS(Movimentacoes!$G:$G,Movimentacoes!$C:$C,$A2635,Movimentacoes!$E:$E,$C2635,Movimentacoes!$B:$B,"SAIDA_DESCARTE")</f>
        <v/>
      </c>
      <c r="J2635" s="13">
        <f>G2635-H2635-I2635</f>
        <v/>
      </c>
      <c r="K2635">
        <f>IF(A2635="","",IF(J2635&lt;=IFERROR(VLOOKUP(A2635,Cadastro_Produtos!$A:$E,5,FALSE),0),"ABAIXO DO MINIMO","OK"))</f>
        <v/>
      </c>
    </row>
    <row r="2636">
      <c r="B2636">
        <f>IFERROR(VLOOKUP(A2636,Cadastro_Produtos!A:B,2,FALSE),"")</f>
        <v/>
      </c>
      <c r="D2636" s="12" t="n"/>
      <c r="E2636" s="13">
        <f>IF(D2636="","",D2636-TODAY())</f>
        <v/>
      </c>
      <c r="F2636">
        <f>IF(D2636="","",IF(E2636&lt;0,"VENCIDO",IF(E2636&lt;=30,"VENCE EM &lt;= 30 DIAS",IF(E2636&lt;=60,"ATENCAO (31-60 DIAS)","OK"))))</f>
        <v/>
      </c>
      <c r="G2636" s="13">
        <f>SUMIFS(Movimentacoes!$G:$G,Movimentacoes!$C:$C,$A2636,Movimentacoes!$E:$E,$C2636,Movimentacoes!$B:$B,"ENTRADA")</f>
        <v/>
      </c>
      <c r="H2636" s="13">
        <f>SUMIFS(Movimentacoes!$G:$G,Movimentacoes!$C:$C,$A2636,Movimentacoes!$E:$E,$C2636,Movimentacoes!$B:$B,"SAIDA_USO")</f>
        <v/>
      </c>
      <c r="I2636" s="13">
        <f>SUMIFS(Movimentacoes!$G:$G,Movimentacoes!$C:$C,$A2636,Movimentacoes!$E:$E,$C2636,Movimentacoes!$B:$B,"SAIDA_DESCARTE")</f>
        <v/>
      </c>
      <c r="J2636" s="13">
        <f>G2636-H2636-I2636</f>
        <v/>
      </c>
      <c r="K2636">
        <f>IF(A2636="","",IF(J2636&lt;=IFERROR(VLOOKUP(A2636,Cadastro_Produtos!$A:$E,5,FALSE),0),"ABAIXO DO MINIMO","OK"))</f>
        <v/>
      </c>
    </row>
    <row r="2637">
      <c r="B2637">
        <f>IFERROR(VLOOKUP(A2637,Cadastro_Produtos!A:B,2,FALSE),"")</f>
        <v/>
      </c>
      <c r="D2637" s="12" t="n"/>
      <c r="E2637" s="13">
        <f>IF(D2637="","",D2637-TODAY())</f>
        <v/>
      </c>
      <c r="F2637">
        <f>IF(D2637="","",IF(E2637&lt;0,"VENCIDO",IF(E2637&lt;=30,"VENCE EM &lt;= 30 DIAS",IF(E2637&lt;=60,"ATENCAO (31-60 DIAS)","OK"))))</f>
        <v/>
      </c>
      <c r="G2637" s="13">
        <f>SUMIFS(Movimentacoes!$G:$G,Movimentacoes!$C:$C,$A2637,Movimentacoes!$E:$E,$C2637,Movimentacoes!$B:$B,"ENTRADA")</f>
        <v/>
      </c>
      <c r="H2637" s="13">
        <f>SUMIFS(Movimentacoes!$G:$G,Movimentacoes!$C:$C,$A2637,Movimentacoes!$E:$E,$C2637,Movimentacoes!$B:$B,"SAIDA_USO")</f>
        <v/>
      </c>
      <c r="I2637" s="13">
        <f>SUMIFS(Movimentacoes!$G:$G,Movimentacoes!$C:$C,$A2637,Movimentacoes!$E:$E,$C2637,Movimentacoes!$B:$B,"SAIDA_DESCARTE")</f>
        <v/>
      </c>
      <c r="J2637" s="13">
        <f>G2637-H2637-I2637</f>
        <v/>
      </c>
      <c r="K2637">
        <f>IF(A2637="","",IF(J2637&lt;=IFERROR(VLOOKUP(A2637,Cadastro_Produtos!$A:$E,5,FALSE),0),"ABAIXO DO MINIMO","OK"))</f>
        <v/>
      </c>
    </row>
    <row r="2638">
      <c r="B2638">
        <f>IFERROR(VLOOKUP(A2638,Cadastro_Produtos!A:B,2,FALSE),"")</f>
        <v/>
      </c>
      <c r="D2638" s="12" t="n"/>
      <c r="E2638" s="13">
        <f>IF(D2638="","",D2638-TODAY())</f>
        <v/>
      </c>
      <c r="F2638">
        <f>IF(D2638="","",IF(E2638&lt;0,"VENCIDO",IF(E2638&lt;=30,"VENCE EM &lt;= 30 DIAS",IF(E2638&lt;=60,"ATENCAO (31-60 DIAS)","OK"))))</f>
        <v/>
      </c>
      <c r="G2638" s="13">
        <f>SUMIFS(Movimentacoes!$G:$G,Movimentacoes!$C:$C,$A2638,Movimentacoes!$E:$E,$C2638,Movimentacoes!$B:$B,"ENTRADA")</f>
        <v/>
      </c>
      <c r="H2638" s="13">
        <f>SUMIFS(Movimentacoes!$G:$G,Movimentacoes!$C:$C,$A2638,Movimentacoes!$E:$E,$C2638,Movimentacoes!$B:$B,"SAIDA_USO")</f>
        <v/>
      </c>
      <c r="I2638" s="13">
        <f>SUMIFS(Movimentacoes!$G:$G,Movimentacoes!$C:$C,$A2638,Movimentacoes!$E:$E,$C2638,Movimentacoes!$B:$B,"SAIDA_DESCARTE")</f>
        <v/>
      </c>
      <c r="J2638" s="13">
        <f>G2638-H2638-I2638</f>
        <v/>
      </c>
      <c r="K2638">
        <f>IF(A2638="","",IF(J2638&lt;=IFERROR(VLOOKUP(A2638,Cadastro_Produtos!$A:$E,5,FALSE),0),"ABAIXO DO MINIMO","OK"))</f>
        <v/>
      </c>
    </row>
    <row r="2639">
      <c r="B2639">
        <f>IFERROR(VLOOKUP(A2639,Cadastro_Produtos!A:B,2,FALSE),"")</f>
        <v/>
      </c>
      <c r="D2639" s="12" t="n"/>
      <c r="E2639" s="13">
        <f>IF(D2639="","",D2639-TODAY())</f>
        <v/>
      </c>
      <c r="F2639">
        <f>IF(D2639="","",IF(E2639&lt;0,"VENCIDO",IF(E2639&lt;=30,"VENCE EM &lt;= 30 DIAS",IF(E2639&lt;=60,"ATENCAO (31-60 DIAS)","OK"))))</f>
        <v/>
      </c>
      <c r="G2639" s="13">
        <f>SUMIFS(Movimentacoes!$G:$G,Movimentacoes!$C:$C,$A2639,Movimentacoes!$E:$E,$C2639,Movimentacoes!$B:$B,"ENTRADA")</f>
        <v/>
      </c>
      <c r="H2639" s="13">
        <f>SUMIFS(Movimentacoes!$G:$G,Movimentacoes!$C:$C,$A2639,Movimentacoes!$E:$E,$C2639,Movimentacoes!$B:$B,"SAIDA_USO")</f>
        <v/>
      </c>
      <c r="I2639" s="13">
        <f>SUMIFS(Movimentacoes!$G:$G,Movimentacoes!$C:$C,$A2639,Movimentacoes!$E:$E,$C2639,Movimentacoes!$B:$B,"SAIDA_DESCARTE")</f>
        <v/>
      </c>
      <c r="J2639" s="13">
        <f>G2639-H2639-I2639</f>
        <v/>
      </c>
      <c r="K2639">
        <f>IF(A2639="","",IF(J2639&lt;=IFERROR(VLOOKUP(A2639,Cadastro_Produtos!$A:$E,5,FALSE),0),"ABAIXO DO MINIMO","OK"))</f>
        <v/>
      </c>
    </row>
    <row r="2640">
      <c r="B2640">
        <f>IFERROR(VLOOKUP(A2640,Cadastro_Produtos!A:B,2,FALSE),"")</f>
        <v/>
      </c>
      <c r="D2640" s="12" t="n"/>
      <c r="E2640" s="13">
        <f>IF(D2640="","",D2640-TODAY())</f>
        <v/>
      </c>
      <c r="F2640">
        <f>IF(D2640="","",IF(E2640&lt;0,"VENCIDO",IF(E2640&lt;=30,"VENCE EM &lt;= 30 DIAS",IF(E2640&lt;=60,"ATENCAO (31-60 DIAS)","OK"))))</f>
        <v/>
      </c>
      <c r="G2640" s="13">
        <f>SUMIFS(Movimentacoes!$G:$G,Movimentacoes!$C:$C,$A2640,Movimentacoes!$E:$E,$C2640,Movimentacoes!$B:$B,"ENTRADA")</f>
        <v/>
      </c>
      <c r="H2640" s="13">
        <f>SUMIFS(Movimentacoes!$G:$G,Movimentacoes!$C:$C,$A2640,Movimentacoes!$E:$E,$C2640,Movimentacoes!$B:$B,"SAIDA_USO")</f>
        <v/>
      </c>
      <c r="I2640" s="13">
        <f>SUMIFS(Movimentacoes!$G:$G,Movimentacoes!$C:$C,$A2640,Movimentacoes!$E:$E,$C2640,Movimentacoes!$B:$B,"SAIDA_DESCARTE")</f>
        <v/>
      </c>
      <c r="J2640" s="13">
        <f>G2640-H2640-I2640</f>
        <v/>
      </c>
      <c r="K2640">
        <f>IF(A2640="","",IF(J2640&lt;=IFERROR(VLOOKUP(A2640,Cadastro_Produtos!$A:$E,5,FALSE),0),"ABAIXO DO MINIMO","OK"))</f>
        <v/>
      </c>
    </row>
    <row r="2641">
      <c r="B2641">
        <f>IFERROR(VLOOKUP(A2641,Cadastro_Produtos!A:B,2,FALSE),"")</f>
        <v/>
      </c>
      <c r="D2641" s="12" t="n"/>
      <c r="E2641" s="13">
        <f>IF(D2641="","",D2641-TODAY())</f>
        <v/>
      </c>
      <c r="F2641">
        <f>IF(D2641="","",IF(E2641&lt;0,"VENCIDO",IF(E2641&lt;=30,"VENCE EM &lt;= 30 DIAS",IF(E2641&lt;=60,"ATENCAO (31-60 DIAS)","OK"))))</f>
        <v/>
      </c>
      <c r="G2641" s="13">
        <f>SUMIFS(Movimentacoes!$G:$G,Movimentacoes!$C:$C,$A2641,Movimentacoes!$E:$E,$C2641,Movimentacoes!$B:$B,"ENTRADA")</f>
        <v/>
      </c>
      <c r="H2641" s="13">
        <f>SUMIFS(Movimentacoes!$G:$G,Movimentacoes!$C:$C,$A2641,Movimentacoes!$E:$E,$C2641,Movimentacoes!$B:$B,"SAIDA_USO")</f>
        <v/>
      </c>
      <c r="I2641" s="13">
        <f>SUMIFS(Movimentacoes!$G:$G,Movimentacoes!$C:$C,$A2641,Movimentacoes!$E:$E,$C2641,Movimentacoes!$B:$B,"SAIDA_DESCARTE")</f>
        <v/>
      </c>
      <c r="J2641" s="13">
        <f>G2641-H2641-I2641</f>
        <v/>
      </c>
      <c r="K2641">
        <f>IF(A2641="","",IF(J2641&lt;=IFERROR(VLOOKUP(A2641,Cadastro_Produtos!$A:$E,5,FALSE),0),"ABAIXO DO MINIMO","OK"))</f>
        <v/>
      </c>
    </row>
    <row r="2642">
      <c r="B2642">
        <f>IFERROR(VLOOKUP(A2642,Cadastro_Produtos!A:B,2,FALSE),"")</f>
        <v/>
      </c>
      <c r="D2642" s="12" t="n"/>
      <c r="E2642" s="13">
        <f>IF(D2642="","",D2642-TODAY())</f>
        <v/>
      </c>
      <c r="F2642">
        <f>IF(D2642="","",IF(E2642&lt;0,"VENCIDO",IF(E2642&lt;=30,"VENCE EM &lt;= 30 DIAS",IF(E2642&lt;=60,"ATENCAO (31-60 DIAS)","OK"))))</f>
        <v/>
      </c>
      <c r="G2642" s="13">
        <f>SUMIFS(Movimentacoes!$G:$G,Movimentacoes!$C:$C,$A2642,Movimentacoes!$E:$E,$C2642,Movimentacoes!$B:$B,"ENTRADA")</f>
        <v/>
      </c>
      <c r="H2642" s="13">
        <f>SUMIFS(Movimentacoes!$G:$G,Movimentacoes!$C:$C,$A2642,Movimentacoes!$E:$E,$C2642,Movimentacoes!$B:$B,"SAIDA_USO")</f>
        <v/>
      </c>
      <c r="I2642" s="13">
        <f>SUMIFS(Movimentacoes!$G:$G,Movimentacoes!$C:$C,$A2642,Movimentacoes!$E:$E,$C2642,Movimentacoes!$B:$B,"SAIDA_DESCARTE")</f>
        <v/>
      </c>
      <c r="J2642" s="13">
        <f>G2642-H2642-I2642</f>
        <v/>
      </c>
      <c r="K2642">
        <f>IF(A2642="","",IF(J2642&lt;=IFERROR(VLOOKUP(A2642,Cadastro_Produtos!$A:$E,5,FALSE),0),"ABAIXO DO MINIMO","OK"))</f>
        <v/>
      </c>
    </row>
    <row r="2643">
      <c r="B2643">
        <f>IFERROR(VLOOKUP(A2643,Cadastro_Produtos!A:B,2,FALSE),"")</f>
        <v/>
      </c>
      <c r="D2643" s="12" t="n"/>
      <c r="E2643" s="13">
        <f>IF(D2643="","",D2643-TODAY())</f>
        <v/>
      </c>
      <c r="F2643">
        <f>IF(D2643="","",IF(E2643&lt;0,"VENCIDO",IF(E2643&lt;=30,"VENCE EM &lt;= 30 DIAS",IF(E2643&lt;=60,"ATENCAO (31-60 DIAS)","OK"))))</f>
        <v/>
      </c>
      <c r="G2643" s="13">
        <f>SUMIFS(Movimentacoes!$G:$G,Movimentacoes!$C:$C,$A2643,Movimentacoes!$E:$E,$C2643,Movimentacoes!$B:$B,"ENTRADA")</f>
        <v/>
      </c>
      <c r="H2643" s="13">
        <f>SUMIFS(Movimentacoes!$G:$G,Movimentacoes!$C:$C,$A2643,Movimentacoes!$E:$E,$C2643,Movimentacoes!$B:$B,"SAIDA_USO")</f>
        <v/>
      </c>
      <c r="I2643" s="13">
        <f>SUMIFS(Movimentacoes!$G:$G,Movimentacoes!$C:$C,$A2643,Movimentacoes!$E:$E,$C2643,Movimentacoes!$B:$B,"SAIDA_DESCARTE")</f>
        <v/>
      </c>
      <c r="J2643" s="13">
        <f>G2643-H2643-I2643</f>
        <v/>
      </c>
      <c r="K2643">
        <f>IF(A2643="","",IF(J2643&lt;=IFERROR(VLOOKUP(A2643,Cadastro_Produtos!$A:$E,5,FALSE),0),"ABAIXO DO MINIMO","OK"))</f>
        <v/>
      </c>
    </row>
    <row r="2644">
      <c r="B2644">
        <f>IFERROR(VLOOKUP(A2644,Cadastro_Produtos!A:B,2,FALSE),"")</f>
        <v/>
      </c>
      <c r="D2644" s="12" t="n"/>
      <c r="E2644" s="13">
        <f>IF(D2644="","",D2644-TODAY())</f>
        <v/>
      </c>
      <c r="F2644">
        <f>IF(D2644="","",IF(E2644&lt;0,"VENCIDO",IF(E2644&lt;=30,"VENCE EM &lt;= 30 DIAS",IF(E2644&lt;=60,"ATENCAO (31-60 DIAS)","OK"))))</f>
        <v/>
      </c>
      <c r="G2644" s="13">
        <f>SUMIFS(Movimentacoes!$G:$G,Movimentacoes!$C:$C,$A2644,Movimentacoes!$E:$E,$C2644,Movimentacoes!$B:$B,"ENTRADA")</f>
        <v/>
      </c>
      <c r="H2644" s="13">
        <f>SUMIFS(Movimentacoes!$G:$G,Movimentacoes!$C:$C,$A2644,Movimentacoes!$E:$E,$C2644,Movimentacoes!$B:$B,"SAIDA_USO")</f>
        <v/>
      </c>
      <c r="I2644" s="13">
        <f>SUMIFS(Movimentacoes!$G:$G,Movimentacoes!$C:$C,$A2644,Movimentacoes!$E:$E,$C2644,Movimentacoes!$B:$B,"SAIDA_DESCARTE")</f>
        <v/>
      </c>
      <c r="J2644" s="13">
        <f>G2644-H2644-I2644</f>
        <v/>
      </c>
      <c r="K2644">
        <f>IF(A2644="","",IF(J2644&lt;=IFERROR(VLOOKUP(A2644,Cadastro_Produtos!$A:$E,5,FALSE),0),"ABAIXO DO MINIMO","OK"))</f>
        <v/>
      </c>
    </row>
    <row r="2645">
      <c r="B2645">
        <f>IFERROR(VLOOKUP(A2645,Cadastro_Produtos!A:B,2,FALSE),"")</f>
        <v/>
      </c>
      <c r="D2645" s="12" t="n"/>
      <c r="E2645" s="13">
        <f>IF(D2645="","",D2645-TODAY())</f>
        <v/>
      </c>
      <c r="F2645">
        <f>IF(D2645="","",IF(E2645&lt;0,"VENCIDO",IF(E2645&lt;=30,"VENCE EM &lt;= 30 DIAS",IF(E2645&lt;=60,"ATENCAO (31-60 DIAS)","OK"))))</f>
        <v/>
      </c>
      <c r="G2645" s="13">
        <f>SUMIFS(Movimentacoes!$G:$G,Movimentacoes!$C:$C,$A2645,Movimentacoes!$E:$E,$C2645,Movimentacoes!$B:$B,"ENTRADA")</f>
        <v/>
      </c>
      <c r="H2645" s="13">
        <f>SUMIFS(Movimentacoes!$G:$G,Movimentacoes!$C:$C,$A2645,Movimentacoes!$E:$E,$C2645,Movimentacoes!$B:$B,"SAIDA_USO")</f>
        <v/>
      </c>
      <c r="I2645" s="13">
        <f>SUMIFS(Movimentacoes!$G:$G,Movimentacoes!$C:$C,$A2645,Movimentacoes!$E:$E,$C2645,Movimentacoes!$B:$B,"SAIDA_DESCARTE")</f>
        <v/>
      </c>
      <c r="J2645" s="13">
        <f>G2645-H2645-I2645</f>
        <v/>
      </c>
      <c r="K2645">
        <f>IF(A2645="","",IF(J2645&lt;=IFERROR(VLOOKUP(A2645,Cadastro_Produtos!$A:$E,5,FALSE),0),"ABAIXO DO MINIMO","OK"))</f>
        <v/>
      </c>
    </row>
    <row r="2646">
      <c r="B2646">
        <f>IFERROR(VLOOKUP(A2646,Cadastro_Produtos!A:B,2,FALSE),"")</f>
        <v/>
      </c>
      <c r="D2646" s="12" t="n"/>
      <c r="E2646" s="13">
        <f>IF(D2646="","",D2646-TODAY())</f>
        <v/>
      </c>
      <c r="F2646">
        <f>IF(D2646="","",IF(E2646&lt;0,"VENCIDO",IF(E2646&lt;=30,"VENCE EM &lt;= 30 DIAS",IF(E2646&lt;=60,"ATENCAO (31-60 DIAS)","OK"))))</f>
        <v/>
      </c>
      <c r="G2646" s="13">
        <f>SUMIFS(Movimentacoes!$G:$G,Movimentacoes!$C:$C,$A2646,Movimentacoes!$E:$E,$C2646,Movimentacoes!$B:$B,"ENTRADA")</f>
        <v/>
      </c>
      <c r="H2646" s="13">
        <f>SUMIFS(Movimentacoes!$G:$G,Movimentacoes!$C:$C,$A2646,Movimentacoes!$E:$E,$C2646,Movimentacoes!$B:$B,"SAIDA_USO")</f>
        <v/>
      </c>
      <c r="I2646" s="13">
        <f>SUMIFS(Movimentacoes!$G:$G,Movimentacoes!$C:$C,$A2646,Movimentacoes!$E:$E,$C2646,Movimentacoes!$B:$B,"SAIDA_DESCARTE")</f>
        <v/>
      </c>
      <c r="J2646" s="13">
        <f>G2646-H2646-I2646</f>
        <v/>
      </c>
      <c r="K2646">
        <f>IF(A2646="","",IF(J2646&lt;=IFERROR(VLOOKUP(A2646,Cadastro_Produtos!$A:$E,5,FALSE),0),"ABAIXO DO MINIMO","OK"))</f>
        <v/>
      </c>
    </row>
    <row r="2647">
      <c r="B2647">
        <f>IFERROR(VLOOKUP(A2647,Cadastro_Produtos!A:B,2,FALSE),"")</f>
        <v/>
      </c>
      <c r="D2647" s="12" t="n"/>
      <c r="E2647" s="13">
        <f>IF(D2647="","",D2647-TODAY())</f>
        <v/>
      </c>
      <c r="F2647">
        <f>IF(D2647="","",IF(E2647&lt;0,"VENCIDO",IF(E2647&lt;=30,"VENCE EM &lt;= 30 DIAS",IF(E2647&lt;=60,"ATENCAO (31-60 DIAS)","OK"))))</f>
        <v/>
      </c>
      <c r="G2647" s="13">
        <f>SUMIFS(Movimentacoes!$G:$G,Movimentacoes!$C:$C,$A2647,Movimentacoes!$E:$E,$C2647,Movimentacoes!$B:$B,"ENTRADA")</f>
        <v/>
      </c>
      <c r="H2647" s="13">
        <f>SUMIFS(Movimentacoes!$G:$G,Movimentacoes!$C:$C,$A2647,Movimentacoes!$E:$E,$C2647,Movimentacoes!$B:$B,"SAIDA_USO")</f>
        <v/>
      </c>
      <c r="I2647" s="13">
        <f>SUMIFS(Movimentacoes!$G:$G,Movimentacoes!$C:$C,$A2647,Movimentacoes!$E:$E,$C2647,Movimentacoes!$B:$B,"SAIDA_DESCARTE")</f>
        <v/>
      </c>
      <c r="J2647" s="13">
        <f>G2647-H2647-I2647</f>
        <v/>
      </c>
      <c r="K2647">
        <f>IF(A2647="","",IF(J2647&lt;=IFERROR(VLOOKUP(A2647,Cadastro_Produtos!$A:$E,5,FALSE),0),"ABAIXO DO MINIMO","OK"))</f>
        <v/>
      </c>
    </row>
    <row r="2648">
      <c r="B2648">
        <f>IFERROR(VLOOKUP(A2648,Cadastro_Produtos!A:B,2,FALSE),"")</f>
        <v/>
      </c>
      <c r="D2648" s="12" t="n"/>
      <c r="E2648" s="13">
        <f>IF(D2648="","",D2648-TODAY())</f>
        <v/>
      </c>
      <c r="F2648">
        <f>IF(D2648="","",IF(E2648&lt;0,"VENCIDO",IF(E2648&lt;=30,"VENCE EM &lt;= 30 DIAS",IF(E2648&lt;=60,"ATENCAO (31-60 DIAS)","OK"))))</f>
        <v/>
      </c>
      <c r="G2648" s="13">
        <f>SUMIFS(Movimentacoes!$G:$G,Movimentacoes!$C:$C,$A2648,Movimentacoes!$E:$E,$C2648,Movimentacoes!$B:$B,"ENTRADA")</f>
        <v/>
      </c>
      <c r="H2648" s="13">
        <f>SUMIFS(Movimentacoes!$G:$G,Movimentacoes!$C:$C,$A2648,Movimentacoes!$E:$E,$C2648,Movimentacoes!$B:$B,"SAIDA_USO")</f>
        <v/>
      </c>
      <c r="I2648" s="13">
        <f>SUMIFS(Movimentacoes!$G:$G,Movimentacoes!$C:$C,$A2648,Movimentacoes!$E:$E,$C2648,Movimentacoes!$B:$B,"SAIDA_DESCARTE")</f>
        <v/>
      </c>
      <c r="J2648" s="13">
        <f>G2648-H2648-I2648</f>
        <v/>
      </c>
      <c r="K2648">
        <f>IF(A2648="","",IF(J2648&lt;=IFERROR(VLOOKUP(A2648,Cadastro_Produtos!$A:$E,5,FALSE),0),"ABAIXO DO MINIMO","OK"))</f>
        <v/>
      </c>
    </row>
    <row r="2649">
      <c r="B2649">
        <f>IFERROR(VLOOKUP(A2649,Cadastro_Produtos!A:B,2,FALSE),"")</f>
        <v/>
      </c>
      <c r="D2649" s="12" t="n"/>
      <c r="E2649" s="13">
        <f>IF(D2649="","",D2649-TODAY())</f>
        <v/>
      </c>
      <c r="F2649">
        <f>IF(D2649="","",IF(E2649&lt;0,"VENCIDO",IF(E2649&lt;=30,"VENCE EM &lt;= 30 DIAS",IF(E2649&lt;=60,"ATENCAO (31-60 DIAS)","OK"))))</f>
        <v/>
      </c>
      <c r="G2649" s="13">
        <f>SUMIFS(Movimentacoes!$G:$G,Movimentacoes!$C:$C,$A2649,Movimentacoes!$E:$E,$C2649,Movimentacoes!$B:$B,"ENTRADA")</f>
        <v/>
      </c>
      <c r="H2649" s="13">
        <f>SUMIFS(Movimentacoes!$G:$G,Movimentacoes!$C:$C,$A2649,Movimentacoes!$E:$E,$C2649,Movimentacoes!$B:$B,"SAIDA_USO")</f>
        <v/>
      </c>
      <c r="I2649" s="13">
        <f>SUMIFS(Movimentacoes!$G:$G,Movimentacoes!$C:$C,$A2649,Movimentacoes!$E:$E,$C2649,Movimentacoes!$B:$B,"SAIDA_DESCARTE")</f>
        <v/>
      </c>
      <c r="J2649" s="13">
        <f>G2649-H2649-I2649</f>
        <v/>
      </c>
      <c r="K2649">
        <f>IF(A2649="","",IF(J2649&lt;=IFERROR(VLOOKUP(A2649,Cadastro_Produtos!$A:$E,5,FALSE),0),"ABAIXO DO MINIMO","OK"))</f>
        <v/>
      </c>
    </row>
    <row r="2650">
      <c r="B2650">
        <f>IFERROR(VLOOKUP(A2650,Cadastro_Produtos!A:B,2,FALSE),"")</f>
        <v/>
      </c>
      <c r="D2650" s="12" t="n"/>
      <c r="E2650" s="13">
        <f>IF(D2650="","",D2650-TODAY())</f>
        <v/>
      </c>
      <c r="F2650">
        <f>IF(D2650="","",IF(E2650&lt;0,"VENCIDO",IF(E2650&lt;=30,"VENCE EM &lt;= 30 DIAS",IF(E2650&lt;=60,"ATENCAO (31-60 DIAS)","OK"))))</f>
        <v/>
      </c>
      <c r="G2650" s="13">
        <f>SUMIFS(Movimentacoes!$G:$G,Movimentacoes!$C:$C,$A2650,Movimentacoes!$E:$E,$C2650,Movimentacoes!$B:$B,"ENTRADA")</f>
        <v/>
      </c>
      <c r="H2650" s="13">
        <f>SUMIFS(Movimentacoes!$G:$G,Movimentacoes!$C:$C,$A2650,Movimentacoes!$E:$E,$C2650,Movimentacoes!$B:$B,"SAIDA_USO")</f>
        <v/>
      </c>
      <c r="I2650" s="13">
        <f>SUMIFS(Movimentacoes!$G:$G,Movimentacoes!$C:$C,$A2650,Movimentacoes!$E:$E,$C2650,Movimentacoes!$B:$B,"SAIDA_DESCARTE")</f>
        <v/>
      </c>
      <c r="J2650" s="13">
        <f>G2650-H2650-I2650</f>
        <v/>
      </c>
      <c r="K2650">
        <f>IF(A2650="","",IF(J2650&lt;=IFERROR(VLOOKUP(A2650,Cadastro_Produtos!$A:$E,5,FALSE),0),"ABAIXO DO MINIMO","OK"))</f>
        <v/>
      </c>
    </row>
    <row r="2651">
      <c r="B2651">
        <f>IFERROR(VLOOKUP(A2651,Cadastro_Produtos!A:B,2,FALSE),"")</f>
        <v/>
      </c>
      <c r="D2651" s="12" t="n"/>
      <c r="E2651" s="13">
        <f>IF(D2651="","",D2651-TODAY())</f>
        <v/>
      </c>
      <c r="F2651">
        <f>IF(D2651="","",IF(E2651&lt;0,"VENCIDO",IF(E2651&lt;=30,"VENCE EM &lt;= 30 DIAS",IF(E2651&lt;=60,"ATENCAO (31-60 DIAS)","OK"))))</f>
        <v/>
      </c>
      <c r="G2651" s="13">
        <f>SUMIFS(Movimentacoes!$G:$G,Movimentacoes!$C:$C,$A2651,Movimentacoes!$E:$E,$C2651,Movimentacoes!$B:$B,"ENTRADA")</f>
        <v/>
      </c>
      <c r="H2651" s="13">
        <f>SUMIFS(Movimentacoes!$G:$G,Movimentacoes!$C:$C,$A2651,Movimentacoes!$E:$E,$C2651,Movimentacoes!$B:$B,"SAIDA_USO")</f>
        <v/>
      </c>
      <c r="I2651" s="13">
        <f>SUMIFS(Movimentacoes!$G:$G,Movimentacoes!$C:$C,$A2651,Movimentacoes!$E:$E,$C2651,Movimentacoes!$B:$B,"SAIDA_DESCARTE")</f>
        <v/>
      </c>
      <c r="J2651" s="13">
        <f>G2651-H2651-I2651</f>
        <v/>
      </c>
      <c r="K2651">
        <f>IF(A2651="","",IF(J2651&lt;=IFERROR(VLOOKUP(A2651,Cadastro_Produtos!$A:$E,5,FALSE),0),"ABAIXO DO MINIMO","OK"))</f>
        <v/>
      </c>
    </row>
    <row r="2652">
      <c r="B2652">
        <f>IFERROR(VLOOKUP(A2652,Cadastro_Produtos!A:B,2,FALSE),"")</f>
        <v/>
      </c>
      <c r="D2652" s="12" t="n"/>
      <c r="E2652" s="13">
        <f>IF(D2652="","",D2652-TODAY())</f>
        <v/>
      </c>
      <c r="F2652">
        <f>IF(D2652="","",IF(E2652&lt;0,"VENCIDO",IF(E2652&lt;=30,"VENCE EM &lt;= 30 DIAS",IF(E2652&lt;=60,"ATENCAO (31-60 DIAS)","OK"))))</f>
        <v/>
      </c>
      <c r="G2652" s="13">
        <f>SUMIFS(Movimentacoes!$G:$G,Movimentacoes!$C:$C,$A2652,Movimentacoes!$E:$E,$C2652,Movimentacoes!$B:$B,"ENTRADA")</f>
        <v/>
      </c>
      <c r="H2652" s="13">
        <f>SUMIFS(Movimentacoes!$G:$G,Movimentacoes!$C:$C,$A2652,Movimentacoes!$E:$E,$C2652,Movimentacoes!$B:$B,"SAIDA_USO")</f>
        <v/>
      </c>
      <c r="I2652" s="13">
        <f>SUMIFS(Movimentacoes!$G:$G,Movimentacoes!$C:$C,$A2652,Movimentacoes!$E:$E,$C2652,Movimentacoes!$B:$B,"SAIDA_DESCARTE")</f>
        <v/>
      </c>
      <c r="J2652" s="13">
        <f>G2652-H2652-I2652</f>
        <v/>
      </c>
      <c r="K2652">
        <f>IF(A2652="","",IF(J2652&lt;=IFERROR(VLOOKUP(A2652,Cadastro_Produtos!$A:$E,5,FALSE),0),"ABAIXO DO MINIMO","OK"))</f>
        <v/>
      </c>
    </row>
    <row r="2653">
      <c r="B2653">
        <f>IFERROR(VLOOKUP(A2653,Cadastro_Produtos!A:B,2,FALSE),"")</f>
        <v/>
      </c>
      <c r="D2653" s="12" t="n"/>
      <c r="E2653" s="13">
        <f>IF(D2653="","",D2653-TODAY())</f>
        <v/>
      </c>
      <c r="F2653">
        <f>IF(D2653="","",IF(E2653&lt;0,"VENCIDO",IF(E2653&lt;=30,"VENCE EM &lt;= 30 DIAS",IF(E2653&lt;=60,"ATENCAO (31-60 DIAS)","OK"))))</f>
        <v/>
      </c>
      <c r="G2653" s="13">
        <f>SUMIFS(Movimentacoes!$G:$G,Movimentacoes!$C:$C,$A2653,Movimentacoes!$E:$E,$C2653,Movimentacoes!$B:$B,"ENTRADA")</f>
        <v/>
      </c>
      <c r="H2653" s="13">
        <f>SUMIFS(Movimentacoes!$G:$G,Movimentacoes!$C:$C,$A2653,Movimentacoes!$E:$E,$C2653,Movimentacoes!$B:$B,"SAIDA_USO")</f>
        <v/>
      </c>
      <c r="I2653" s="13">
        <f>SUMIFS(Movimentacoes!$G:$G,Movimentacoes!$C:$C,$A2653,Movimentacoes!$E:$E,$C2653,Movimentacoes!$B:$B,"SAIDA_DESCARTE")</f>
        <v/>
      </c>
      <c r="J2653" s="13">
        <f>G2653-H2653-I2653</f>
        <v/>
      </c>
      <c r="K2653">
        <f>IF(A2653="","",IF(J2653&lt;=IFERROR(VLOOKUP(A2653,Cadastro_Produtos!$A:$E,5,FALSE),0),"ABAIXO DO MINIMO","OK"))</f>
        <v/>
      </c>
    </row>
    <row r="2654">
      <c r="B2654">
        <f>IFERROR(VLOOKUP(A2654,Cadastro_Produtos!A:B,2,FALSE),"")</f>
        <v/>
      </c>
      <c r="D2654" s="12" t="n"/>
      <c r="E2654" s="13">
        <f>IF(D2654="","",D2654-TODAY())</f>
        <v/>
      </c>
      <c r="F2654">
        <f>IF(D2654="","",IF(E2654&lt;0,"VENCIDO",IF(E2654&lt;=30,"VENCE EM &lt;= 30 DIAS",IF(E2654&lt;=60,"ATENCAO (31-60 DIAS)","OK"))))</f>
        <v/>
      </c>
      <c r="G2654" s="13">
        <f>SUMIFS(Movimentacoes!$G:$G,Movimentacoes!$C:$C,$A2654,Movimentacoes!$E:$E,$C2654,Movimentacoes!$B:$B,"ENTRADA")</f>
        <v/>
      </c>
      <c r="H2654" s="13">
        <f>SUMIFS(Movimentacoes!$G:$G,Movimentacoes!$C:$C,$A2654,Movimentacoes!$E:$E,$C2654,Movimentacoes!$B:$B,"SAIDA_USO")</f>
        <v/>
      </c>
      <c r="I2654" s="13">
        <f>SUMIFS(Movimentacoes!$G:$G,Movimentacoes!$C:$C,$A2654,Movimentacoes!$E:$E,$C2654,Movimentacoes!$B:$B,"SAIDA_DESCARTE")</f>
        <v/>
      </c>
      <c r="J2654" s="13">
        <f>G2654-H2654-I2654</f>
        <v/>
      </c>
      <c r="K2654">
        <f>IF(A2654="","",IF(J2654&lt;=IFERROR(VLOOKUP(A2654,Cadastro_Produtos!$A:$E,5,FALSE),0),"ABAIXO DO MINIMO","OK"))</f>
        <v/>
      </c>
    </row>
    <row r="2655">
      <c r="B2655">
        <f>IFERROR(VLOOKUP(A2655,Cadastro_Produtos!A:B,2,FALSE),"")</f>
        <v/>
      </c>
      <c r="D2655" s="12" t="n"/>
      <c r="E2655" s="13">
        <f>IF(D2655="","",D2655-TODAY())</f>
        <v/>
      </c>
      <c r="F2655">
        <f>IF(D2655="","",IF(E2655&lt;0,"VENCIDO",IF(E2655&lt;=30,"VENCE EM &lt;= 30 DIAS",IF(E2655&lt;=60,"ATENCAO (31-60 DIAS)","OK"))))</f>
        <v/>
      </c>
      <c r="G2655" s="13">
        <f>SUMIFS(Movimentacoes!$G:$G,Movimentacoes!$C:$C,$A2655,Movimentacoes!$E:$E,$C2655,Movimentacoes!$B:$B,"ENTRADA")</f>
        <v/>
      </c>
      <c r="H2655" s="13">
        <f>SUMIFS(Movimentacoes!$G:$G,Movimentacoes!$C:$C,$A2655,Movimentacoes!$E:$E,$C2655,Movimentacoes!$B:$B,"SAIDA_USO")</f>
        <v/>
      </c>
      <c r="I2655" s="13">
        <f>SUMIFS(Movimentacoes!$G:$G,Movimentacoes!$C:$C,$A2655,Movimentacoes!$E:$E,$C2655,Movimentacoes!$B:$B,"SAIDA_DESCARTE")</f>
        <v/>
      </c>
      <c r="J2655" s="13">
        <f>G2655-H2655-I2655</f>
        <v/>
      </c>
      <c r="K2655">
        <f>IF(A2655="","",IF(J2655&lt;=IFERROR(VLOOKUP(A2655,Cadastro_Produtos!$A:$E,5,FALSE),0),"ABAIXO DO MINIMO","OK"))</f>
        <v/>
      </c>
    </row>
    <row r="2656">
      <c r="B2656">
        <f>IFERROR(VLOOKUP(A2656,Cadastro_Produtos!A:B,2,FALSE),"")</f>
        <v/>
      </c>
      <c r="D2656" s="12" t="n"/>
      <c r="E2656" s="13">
        <f>IF(D2656="","",D2656-TODAY())</f>
        <v/>
      </c>
      <c r="F2656">
        <f>IF(D2656="","",IF(E2656&lt;0,"VENCIDO",IF(E2656&lt;=30,"VENCE EM &lt;= 30 DIAS",IF(E2656&lt;=60,"ATENCAO (31-60 DIAS)","OK"))))</f>
        <v/>
      </c>
      <c r="G2656" s="13">
        <f>SUMIFS(Movimentacoes!$G:$G,Movimentacoes!$C:$C,$A2656,Movimentacoes!$E:$E,$C2656,Movimentacoes!$B:$B,"ENTRADA")</f>
        <v/>
      </c>
      <c r="H2656" s="13">
        <f>SUMIFS(Movimentacoes!$G:$G,Movimentacoes!$C:$C,$A2656,Movimentacoes!$E:$E,$C2656,Movimentacoes!$B:$B,"SAIDA_USO")</f>
        <v/>
      </c>
      <c r="I2656" s="13">
        <f>SUMIFS(Movimentacoes!$G:$G,Movimentacoes!$C:$C,$A2656,Movimentacoes!$E:$E,$C2656,Movimentacoes!$B:$B,"SAIDA_DESCARTE")</f>
        <v/>
      </c>
      <c r="J2656" s="13">
        <f>G2656-H2656-I2656</f>
        <v/>
      </c>
      <c r="K2656">
        <f>IF(A2656="","",IF(J2656&lt;=IFERROR(VLOOKUP(A2656,Cadastro_Produtos!$A:$E,5,FALSE),0),"ABAIXO DO MINIMO","OK"))</f>
        <v/>
      </c>
    </row>
    <row r="2657">
      <c r="B2657">
        <f>IFERROR(VLOOKUP(A2657,Cadastro_Produtos!A:B,2,FALSE),"")</f>
        <v/>
      </c>
      <c r="D2657" s="12" t="n"/>
      <c r="E2657" s="13">
        <f>IF(D2657="","",D2657-TODAY())</f>
        <v/>
      </c>
      <c r="F2657">
        <f>IF(D2657="","",IF(E2657&lt;0,"VENCIDO",IF(E2657&lt;=30,"VENCE EM &lt;= 30 DIAS",IF(E2657&lt;=60,"ATENCAO (31-60 DIAS)","OK"))))</f>
        <v/>
      </c>
      <c r="G2657" s="13">
        <f>SUMIFS(Movimentacoes!$G:$G,Movimentacoes!$C:$C,$A2657,Movimentacoes!$E:$E,$C2657,Movimentacoes!$B:$B,"ENTRADA")</f>
        <v/>
      </c>
      <c r="H2657" s="13">
        <f>SUMIFS(Movimentacoes!$G:$G,Movimentacoes!$C:$C,$A2657,Movimentacoes!$E:$E,$C2657,Movimentacoes!$B:$B,"SAIDA_USO")</f>
        <v/>
      </c>
      <c r="I2657" s="13">
        <f>SUMIFS(Movimentacoes!$G:$G,Movimentacoes!$C:$C,$A2657,Movimentacoes!$E:$E,$C2657,Movimentacoes!$B:$B,"SAIDA_DESCARTE")</f>
        <v/>
      </c>
      <c r="J2657" s="13">
        <f>G2657-H2657-I2657</f>
        <v/>
      </c>
      <c r="K2657">
        <f>IF(A2657="","",IF(J2657&lt;=IFERROR(VLOOKUP(A2657,Cadastro_Produtos!$A:$E,5,FALSE),0),"ABAIXO DO MINIMO","OK"))</f>
        <v/>
      </c>
    </row>
    <row r="2658">
      <c r="B2658">
        <f>IFERROR(VLOOKUP(A2658,Cadastro_Produtos!A:B,2,FALSE),"")</f>
        <v/>
      </c>
      <c r="D2658" s="12" t="n"/>
      <c r="E2658" s="13">
        <f>IF(D2658="","",D2658-TODAY())</f>
        <v/>
      </c>
      <c r="F2658">
        <f>IF(D2658="","",IF(E2658&lt;0,"VENCIDO",IF(E2658&lt;=30,"VENCE EM &lt;= 30 DIAS",IF(E2658&lt;=60,"ATENCAO (31-60 DIAS)","OK"))))</f>
        <v/>
      </c>
      <c r="G2658" s="13">
        <f>SUMIFS(Movimentacoes!$G:$G,Movimentacoes!$C:$C,$A2658,Movimentacoes!$E:$E,$C2658,Movimentacoes!$B:$B,"ENTRADA")</f>
        <v/>
      </c>
      <c r="H2658" s="13">
        <f>SUMIFS(Movimentacoes!$G:$G,Movimentacoes!$C:$C,$A2658,Movimentacoes!$E:$E,$C2658,Movimentacoes!$B:$B,"SAIDA_USO")</f>
        <v/>
      </c>
      <c r="I2658" s="13">
        <f>SUMIFS(Movimentacoes!$G:$G,Movimentacoes!$C:$C,$A2658,Movimentacoes!$E:$E,$C2658,Movimentacoes!$B:$B,"SAIDA_DESCARTE")</f>
        <v/>
      </c>
      <c r="J2658" s="13">
        <f>G2658-H2658-I2658</f>
        <v/>
      </c>
      <c r="K2658">
        <f>IF(A2658="","",IF(J2658&lt;=IFERROR(VLOOKUP(A2658,Cadastro_Produtos!$A:$E,5,FALSE),0),"ABAIXO DO MINIMO","OK"))</f>
        <v/>
      </c>
    </row>
    <row r="2659">
      <c r="B2659">
        <f>IFERROR(VLOOKUP(A2659,Cadastro_Produtos!A:B,2,FALSE),"")</f>
        <v/>
      </c>
      <c r="D2659" s="12" t="n"/>
      <c r="E2659" s="13">
        <f>IF(D2659="","",D2659-TODAY())</f>
        <v/>
      </c>
      <c r="F2659">
        <f>IF(D2659="","",IF(E2659&lt;0,"VENCIDO",IF(E2659&lt;=30,"VENCE EM &lt;= 30 DIAS",IF(E2659&lt;=60,"ATENCAO (31-60 DIAS)","OK"))))</f>
        <v/>
      </c>
      <c r="G2659" s="13">
        <f>SUMIFS(Movimentacoes!$G:$G,Movimentacoes!$C:$C,$A2659,Movimentacoes!$E:$E,$C2659,Movimentacoes!$B:$B,"ENTRADA")</f>
        <v/>
      </c>
      <c r="H2659" s="13">
        <f>SUMIFS(Movimentacoes!$G:$G,Movimentacoes!$C:$C,$A2659,Movimentacoes!$E:$E,$C2659,Movimentacoes!$B:$B,"SAIDA_USO")</f>
        <v/>
      </c>
      <c r="I2659" s="13">
        <f>SUMIFS(Movimentacoes!$G:$G,Movimentacoes!$C:$C,$A2659,Movimentacoes!$E:$E,$C2659,Movimentacoes!$B:$B,"SAIDA_DESCARTE")</f>
        <v/>
      </c>
      <c r="J2659" s="13">
        <f>G2659-H2659-I2659</f>
        <v/>
      </c>
      <c r="K2659">
        <f>IF(A2659="","",IF(J2659&lt;=IFERROR(VLOOKUP(A2659,Cadastro_Produtos!$A:$E,5,FALSE),0),"ABAIXO DO MINIMO","OK"))</f>
        <v/>
      </c>
    </row>
    <row r="2660">
      <c r="B2660">
        <f>IFERROR(VLOOKUP(A2660,Cadastro_Produtos!A:B,2,FALSE),"")</f>
        <v/>
      </c>
      <c r="D2660" s="12" t="n"/>
      <c r="E2660" s="13">
        <f>IF(D2660="","",D2660-TODAY())</f>
        <v/>
      </c>
      <c r="F2660">
        <f>IF(D2660="","",IF(E2660&lt;0,"VENCIDO",IF(E2660&lt;=30,"VENCE EM &lt;= 30 DIAS",IF(E2660&lt;=60,"ATENCAO (31-60 DIAS)","OK"))))</f>
        <v/>
      </c>
      <c r="G2660" s="13">
        <f>SUMIFS(Movimentacoes!$G:$G,Movimentacoes!$C:$C,$A2660,Movimentacoes!$E:$E,$C2660,Movimentacoes!$B:$B,"ENTRADA")</f>
        <v/>
      </c>
      <c r="H2660" s="13">
        <f>SUMIFS(Movimentacoes!$G:$G,Movimentacoes!$C:$C,$A2660,Movimentacoes!$E:$E,$C2660,Movimentacoes!$B:$B,"SAIDA_USO")</f>
        <v/>
      </c>
      <c r="I2660" s="13">
        <f>SUMIFS(Movimentacoes!$G:$G,Movimentacoes!$C:$C,$A2660,Movimentacoes!$E:$E,$C2660,Movimentacoes!$B:$B,"SAIDA_DESCARTE")</f>
        <v/>
      </c>
      <c r="J2660" s="13">
        <f>G2660-H2660-I2660</f>
        <v/>
      </c>
      <c r="K2660">
        <f>IF(A2660="","",IF(J2660&lt;=IFERROR(VLOOKUP(A2660,Cadastro_Produtos!$A:$E,5,FALSE),0),"ABAIXO DO MINIMO","OK"))</f>
        <v/>
      </c>
    </row>
    <row r="2661">
      <c r="B2661">
        <f>IFERROR(VLOOKUP(A2661,Cadastro_Produtos!A:B,2,FALSE),"")</f>
        <v/>
      </c>
      <c r="D2661" s="12" t="n"/>
      <c r="E2661" s="13">
        <f>IF(D2661="","",D2661-TODAY())</f>
        <v/>
      </c>
      <c r="F2661">
        <f>IF(D2661="","",IF(E2661&lt;0,"VENCIDO",IF(E2661&lt;=30,"VENCE EM &lt;= 30 DIAS",IF(E2661&lt;=60,"ATENCAO (31-60 DIAS)","OK"))))</f>
        <v/>
      </c>
      <c r="G2661" s="13">
        <f>SUMIFS(Movimentacoes!$G:$G,Movimentacoes!$C:$C,$A2661,Movimentacoes!$E:$E,$C2661,Movimentacoes!$B:$B,"ENTRADA")</f>
        <v/>
      </c>
      <c r="H2661" s="13">
        <f>SUMIFS(Movimentacoes!$G:$G,Movimentacoes!$C:$C,$A2661,Movimentacoes!$E:$E,$C2661,Movimentacoes!$B:$B,"SAIDA_USO")</f>
        <v/>
      </c>
      <c r="I2661" s="13">
        <f>SUMIFS(Movimentacoes!$G:$G,Movimentacoes!$C:$C,$A2661,Movimentacoes!$E:$E,$C2661,Movimentacoes!$B:$B,"SAIDA_DESCARTE")</f>
        <v/>
      </c>
      <c r="J2661" s="13">
        <f>G2661-H2661-I2661</f>
        <v/>
      </c>
      <c r="K2661">
        <f>IF(A2661="","",IF(J2661&lt;=IFERROR(VLOOKUP(A2661,Cadastro_Produtos!$A:$E,5,FALSE),0),"ABAIXO DO MINIMO","OK"))</f>
        <v/>
      </c>
    </row>
    <row r="2662">
      <c r="B2662">
        <f>IFERROR(VLOOKUP(A2662,Cadastro_Produtos!A:B,2,FALSE),"")</f>
        <v/>
      </c>
      <c r="D2662" s="12" t="n"/>
      <c r="E2662" s="13">
        <f>IF(D2662="","",D2662-TODAY())</f>
        <v/>
      </c>
      <c r="F2662">
        <f>IF(D2662="","",IF(E2662&lt;0,"VENCIDO",IF(E2662&lt;=30,"VENCE EM &lt;= 30 DIAS",IF(E2662&lt;=60,"ATENCAO (31-60 DIAS)","OK"))))</f>
        <v/>
      </c>
      <c r="G2662" s="13">
        <f>SUMIFS(Movimentacoes!$G:$G,Movimentacoes!$C:$C,$A2662,Movimentacoes!$E:$E,$C2662,Movimentacoes!$B:$B,"ENTRADA")</f>
        <v/>
      </c>
      <c r="H2662" s="13">
        <f>SUMIFS(Movimentacoes!$G:$G,Movimentacoes!$C:$C,$A2662,Movimentacoes!$E:$E,$C2662,Movimentacoes!$B:$B,"SAIDA_USO")</f>
        <v/>
      </c>
      <c r="I2662" s="13">
        <f>SUMIFS(Movimentacoes!$G:$G,Movimentacoes!$C:$C,$A2662,Movimentacoes!$E:$E,$C2662,Movimentacoes!$B:$B,"SAIDA_DESCARTE")</f>
        <v/>
      </c>
      <c r="J2662" s="13">
        <f>G2662-H2662-I2662</f>
        <v/>
      </c>
      <c r="K2662">
        <f>IF(A2662="","",IF(J2662&lt;=IFERROR(VLOOKUP(A2662,Cadastro_Produtos!$A:$E,5,FALSE),0),"ABAIXO DO MINIMO","OK"))</f>
        <v/>
      </c>
    </row>
    <row r="2663">
      <c r="B2663">
        <f>IFERROR(VLOOKUP(A2663,Cadastro_Produtos!A:B,2,FALSE),"")</f>
        <v/>
      </c>
      <c r="D2663" s="12" t="n"/>
      <c r="E2663" s="13">
        <f>IF(D2663="","",D2663-TODAY())</f>
        <v/>
      </c>
      <c r="F2663">
        <f>IF(D2663="","",IF(E2663&lt;0,"VENCIDO",IF(E2663&lt;=30,"VENCE EM &lt;= 30 DIAS",IF(E2663&lt;=60,"ATENCAO (31-60 DIAS)","OK"))))</f>
        <v/>
      </c>
      <c r="G2663" s="13">
        <f>SUMIFS(Movimentacoes!$G:$G,Movimentacoes!$C:$C,$A2663,Movimentacoes!$E:$E,$C2663,Movimentacoes!$B:$B,"ENTRADA")</f>
        <v/>
      </c>
      <c r="H2663" s="13">
        <f>SUMIFS(Movimentacoes!$G:$G,Movimentacoes!$C:$C,$A2663,Movimentacoes!$E:$E,$C2663,Movimentacoes!$B:$B,"SAIDA_USO")</f>
        <v/>
      </c>
      <c r="I2663" s="13">
        <f>SUMIFS(Movimentacoes!$G:$G,Movimentacoes!$C:$C,$A2663,Movimentacoes!$E:$E,$C2663,Movimentacoes!$B:$B,"SAIDA_DESCARTE")</f>
        <v/>
      </c>
      <c r="J2663" s="13">
        <f>G2663-H2663-I2663</f>
        <v/>
      </c>
      <c r="K2663">
        <f>IF(A2663="","",IF(J2663&lt;=IFERROR(VLOOKUP(A2663,Cadastro_Produtos!$A:$E,5,FALSE),0),"ABAIXO DO MINIMO","OK"))</f>
        <v/>
      </c>
    </row>
    <row r="2664">
      <c r="B2664">
        <f>IFERROR(VLOOKUP(A2664,Cadastro_Produtos!A:B,2,FALSE),"")</f>
        <v/>
      </c>
      <c r="D2664" s="12" t="n"/>
      <c r="E2664" s="13">
        <f>IF(D2664="","",D2664-TODAY())</f>
        <v/>
      </c>
      <c r="F2664">
        <f>IF(D2664="","",IF(E2664&lt;0,"VENCIDO",IF(E2664&lt;=30,"VENCE EM &lt;= 30 DIAS",IF(E2664&lt;=60,"ATENCAO (31-60 DIAS)","OK"))))</f>
        <v/>
      </c>
      <c r="G2664" s="13">
        <f>SUMIFS(Movimentacoes!$G:$G,Movimentacoes!$C:$C,$A2664,Movimentacoes!$E:$E,$C2664,Movimentacoes!$B:$B,"ENTRADA")</f>
        <v/>
      </c>
      <c r="H2664" s="13">
        <f>SUMIFS(Movimentacoes!$G:$G,Movimentacoes!$C:$C,$A2664,Movimentacoes!$E:$E,$C2664,Movimentacoes!$B:$B,"SAIDA_USO")</f>
        <v/>
      </c>
      <c r="I2664" s="13">
        <f>SUMIFS(Movimentacoes!$G:$G,Movimentacoes!$C:$C,$A2664,Movimentacoes!$E:$E,$C2664,Movimentacoes!$B:$B,"SAIDA_DESCARTE")</f>
        <v/>
      </c>
      <c r="J2664" s="13">
        <f>G2664-H2664-I2664</f>
        <v/>
      </c>
      <c r="K2664">
        <f>IF(A2664="","",IF(J2664&lt;=IFERROR(VLOOKUP(A2664,Cadastro_Produtos!$A:$E,5,FALSE),0),"ABAIXO DO MINIMO","OK"))</f>
        <v/>
      </c>
    </row>
    <row r="2665">
      <c r="B2665">
        <f>IFERROR(VLOOKUP(A2665,Cadastro_Produtos!A:B,2,FALSE),"")</f>
        <v/>
      </c>
      <c r="D2665" s="12" t="n"/>
      <c r="E2665" s="13">
        <f>IF(D2665="","",D2665-TODAY())</f>
        <v/>
      </c>
      <c r="F2665">
        <f>IF(D2665="","",IF(E2665&lt;0,"VENCIDO",IF(E2665&lt;=30,"VENCE EM &lt;= 30 DIAS",IF(E2665&lt;=60,"ATENCAO (31-60 DIAS)","OK"))))</f>
        <v/>
      </c>
      <c r="G2665" s="13">
        <f>SUMIFS(Movimentacoes!$G:$G,Movimentacoes!$C:$C,$A2665,Movimentacoes!$E:$E,$C2665,Movimentacoes!$B:$B,"ENTRADA")</f>
        <v/>
      </c>
      <c r="H2665" s="13">
        <f>SUMIFS(Movimentacoes!$G:$G,Movimentacoes!$C:$C,$A2665,Movimentacoes!$E:$E,$C2665,Movimentacoes!$B:$B,"SAIDA_USO")</f>
        <v/>
      </c>
      <c r="I2665" s="13">
        <f>SUMIFS(Movimentacoes!$G:$G,Movimentacoes!$C:$C,$A2665,Movimentacoes!$E:$E,$C2665,Movimentacoes!$B:$B,"SAIDA_DESCARTE")</f>
        <v/>
      </c>
      <c r="J2665" s="13">
        <f>G2665-H2665-I2665</f>
        <v/>
      </c>
      <c r="K2665">
        <f>IF(A2665="","",IF(J2665&lt;=IFERROR(VLOOKUP(A2665,Cadastro_Produtos!$A:$E,5,FALSE),0),"ABAIXO DO MINIMO","OK"))</f>
        <v/>
      </c>
    </row>
    <row r="2666">
      <c r="B2666">
        <f>IFERROR(VLOOKUP(A2666,Cadastro_Produtos!A:B,2,FALSE),"")</f>
        <v/>
      </c>
      <c r="D2666" s="12" t="n"/>
      <c r="E2666" s="13">
        <f>IF(D2666="","",D2666-TODAY())</f>
        <v/>
      </c>
      <c r="F2666">
        <f>IF(D2666="","",IF(E2666&lt;0,"VENCIDO",IF(E2666&lt;=30,"VENCE EM &lt;= 30 DIAS",IF(E2666&lt;=60,"ATENCAO (31-60 DIAS)","OK"))))</f>
        <v/>
      </c>
      <c r="G2666" s="13">
        <f>SUMIFS(Movimentacoes!$G:$G,Movimentacoes!$C:$C,$A2666,Movimentacoes!$E:$E,$C2666,Movimentacoes!$B:$B,"ENTRADA")</f>
        <v/>
      </c>
      <c r="H2666" s="13">
        <f>SUMIFS(Movimentacoes!$G:$G,Movimentacoes!$C:$C,$A2666,Movimentacoes!$E:$E,$C2666,Movimentacoes!$B:$B,"SAIDA_USO")</f>
        <v/>
      </c>
      <c r="I2666" s="13">
        <f>SUMIFS(Movimentacoes!$G:$G,Movimentacoes!$C:$C,$A2666,Movimentacoes!$E:$E,$C2666,Movimentacoes!$B:$B,"SAIDA_DESCARTE")</f>
        <v/>
      </c>
      <c r="J2666" s="13">
        <f>G2666-H2666-I2666</f>
        <v/>
      </c>
      <c r="K2666">
        <f>IF(A2666="","",IF(J2666&lt;=IFERROR(VLOOKUP(A2666,Cadastro_Produtos!$A:$E,5,FALSE),0),"ABAIXO DO MINIMO","OK"))</f>
        <v/>
      </c>
    </row>
    <row r="2667">
      <c r="B2667">
        <f>IFERROR(VLOOKUP(A2667,Cadastro_Produtos!A:B,2,FALSE),"")</f>
        <v/>
      </c>
      <c r="D2667" s="12" t="n"/>
      <c r="E2667" s="13">
        <f>IF(D2667="","",D2667-TODAY())</f>
        <v/>
      </c>
      <c r="F2667">
        <f>IF(D2667="","",IF(E2667&lt;0,"VENCIDO",IF(E2667&lt;=30,"VENCE EM &lt;= 30 DIAS",IF(E2667&lt;=60,"ATENCAO (31-60 DIAS)","OK"))))</f>
        <v/>
      </c>
      <c r="G2667" s="13">
        <f>SUMIFS(Movimentacoes!$G:$G,Movimentacoes!$C:$C,$A2667,Movimentacoes!$E:$E,$C2667,Movimentacoes!$B:$B,"ENTRADA")</f>
        <v/>
      </c>
      <c r="H2667" s="13">
        <f>SUMIFS(Movimentacoes!$G:$G,Movimentacoes!$C:$C,$A2667,Movimentacoes!$E:$E,$C2667,Movimentacoes!$B:$B,"SAIDA_USO")</f>
        <v/>
      </c>
      <c r="I2667" s="13">
        <f>SUMIFS(Movimentacoes!$G:$G,Movimentacoes!$C:$C,$A2667,Movimentacoes!$E:$E,$C2667,Movimentacoes!$B:$B,"SAIDA_DESCARTE")</f>
        <v/>
      </c>
      <c r="J2667" s="13">
        <f>G2667-H2667-I2667</f>
        <v/>
      </c>
      <c r="K2667">
        <f>IF(A2667="","",IF(J2667&lt;=IFERROR(VLOOKUP(A2667,Cadastro_Produtos!$A:$E,5,FALSE),0),"ABAIXO DO MINIMO","OK"))</f>
        <v/>
      </c>
    </row>
    <row r="2668">
      <c r="B2668">
        <f>IFERROR(VLOOKUP(A2668,Cadastro_Produtos!A:B,2,FALSE),"")</f>
        <v/>
      </c>
      <c r="D2668" s="12" t="n"/>
      <c r="E2668" s="13">
        <f>IF(D2668="","",D2668-TODAY())</f>
        <v/>
      </c>
      <c r="F2668">
        <f>IF(D2668="","",IF(E2668&lt;0,"VENCIDO",IF(E2668&lt;=30,"VENCE EM &lt;= 30 DIAS",IF(E2668&lt;=60,"ATENCAO (31-60 DIAS)","OK"))))</f>
        <v/>
      </c>
      <c r="G2668" s="13">
        <f>SUMIFS(Movimentacoes!$G:$G,Movimentacoes!$C:$C,$A2668,Movimentacoes!$E:$E,$C2668,Movimentacoes!$B:$B,"ENTRADA")</f>
        <v/>
      </c>
      <c r="H2668" s="13">
        <f>SUMIFS(Movimentacoes!$G:$G,Movimentacoes!$C:$C,$A2668,Movimentacoes!$E:$E,$C2668,Movimentacoes!$B:$B,"SAIDA_USO")</f>
        <v/>
      </c>
      <c r="I2668" s="13">
        <f>SUMIFS(Movimentacoes!$G:$G,Movimentacoes!$C:$C,$A2668,Movimentacoes!$E:$E,$C2668,Movimentacoes!$B:$B,"SAIDA_DESCARTE")</f>
        <v/>
      </c>
      <c r="J2668" s="13">
        <f>G2668-H2668-I2668</f>
        <v/>
      </c>
      <c r="K2668">
        <f>IF(A2668="","",IF(J2668&lt;=IFERROR(VLOOKUP(A2668,Cadastro_Produtos!$A:$E,5,FALSE),0),"ABAIXO DO MINIMO","OK"))</f>
        <v/>
      </c>
    </row>
    <row r="2669">
      <c r="B2669">
        <f>IFERROR(VLOOKUP(A2669,Cadastro_Produtos!A:B,2,FALSE),"")</f>
        <v/>
      </c>
      <c r="D2669" s="12" t="n"/>
      <c r="E2669" s="13">
        <f>IF(D2669="","",D2669-TODAY())</f>
        <v/>
      </c>
      <c r="F2669">
        <f>IF(D2669="","",IF(E2669&lt;0,"VENCIDO",IF(E2669&lt;=30,"VENCE EM &lt;= 30 DIAS",IF(E2669&lt;=60,"ATENCAO (31-60 DIAS)","OK"))))</f>
        <v/>
      </c>
      <c r="G2669" s="13">
        <f>SUMIFS(Movimentacoes!$G:$G,Movimentacoes!$C:$C,$A2669,Movimentacoes!$E:$E,$C2669,Movimentacoes!$B:$B,"ENTRADA")</f>
        <v/>
      </c>
      <c r="H2669" s="13">
        <f>SUMIFS(Movimentacoes!$G:$G,Movimentacoes!$C:$C,$A2669,Movimentacoes!$E:$E,$C2669,Movimentacoes!$B:$B,"SAIDA_USO")</f>
        <v/>
      </c>
      <c r="I2669" s="13">
        <f>SUMIFS(Movimentacoes!$G:$G,Movimentacoes!$C:$C,$A2669,Movimentacoes!$E:$E,$C2669,Movimentacoes!$B:$B,"SAIDA_DESCARTE")</f>
        <v/>
      </c>
      <c r="J2669" s="13">
        <f>G2669-H2669-I2669</f>
        <v/>
      </c>
      <c r="K2669">
        <f>IF(A2669="","",IF(J2669&lt;=IFERROR(VLOOKUP(A2669,Cadastro_Produtos!$A:$E,5,FALSE),0),"ABAIXO DO MINIMO","OK"))</f>
        <v/>
      </c>
    </row>
    <row r="2670">
      <c r="B2670">
        <f>IFERROR(VLOOKUP(A2670,Cadastro_Produtos!A:B,2,FALSE),"")</f>
        <v/>
      </c>
      <c r="D2670" s="12" t="n"/>
      <c r="E2670" s="13">
        <f>IF(D2670="","",D2670-TODAY())</f>
        <v/>
      </c>
      <c r="F2670">
        <f>IF(D2670="","",IF(E2670&lt;0,"VENCIDO",IF(E2670&lt;=30,"VENCE EM &lt;= 30 DIAS",IF(E2670&lt;=60,"ATENCAO (31-60 DIAS)","OK"))))</f>
        <v/>
      </c>
      <c r="G2670" s="13">
        <f>SUMIFS(Movimentacoes!$G:$G,Movimentacoes!$C:$C,$A2670,Movimentacoes!$E:$E,$C2670,Movimentacoes!$B:$B,"ENTRADA")</f>
        <v/>
      </c>
      <c r="H2670" s="13">
        <f>SUMIFS(Movimentacoes!$G:$G,Movimentacoes!$C:$C,$A2670,Movimentacoes!$E:$E,$C2670,Movimentacoes!$B:$B,"SAIDA_USO")</f>
        <v/>
      </c>
      <c r="I2670" s="13">
        <f>SUMIFS(Movimentacoes!$G:$G,Movimentacoes!$C:$C,$A2670,Movimentacoes!$E:$E,$C2670,Movimentacoes!$B:$B,"SAIDA_DESCARTE")</f>
        <v/>
      </c>
      <c r="J2670" s="13">
        <f>G2670-H2670-I2670</f>
        <v/>
      </c>
      <c r="K2670">
        <f>IF(A2670="","",IF(J2670&lt;=IFERROR(VLOOKUP(A2670,Cadastro_Produtos!$A:$E,5,FALSE),0),"ABAIXO DO MINIMO","OK"))</f>
        <v/>
      </c>
    </row>
    <row r="2671">
      <c r="B2671">
        <f>IFERROR(VLOOKUP(A2671,Cadastro_Produtos!A:B,2,FALSE),"")</f>
        <v/>
      </c>
      <c r="D2671" s="12" t="n"/>
      <c r="E2671" s="13">
        <f>IF(D2671="","",D2671-TODAY())</f>
        <v/>
      </c>
      <c r="F2671">
        <f>IF(D2671="","",IF(E2671&lt;0,"VENCIDO",IF(E2671&lt;=30,"VENCE EM &lt;= 30 DIAS",IF(E2671&lt;=60,"ATENCAO (31-60 DIAS)","OK"))))</f>
        <v/>
      </c>
      <c r="G2671" s="13">
        <f>SUMIFS(Movimentacoes!$G:$G,Movimentacoes!$C:$C,$A2671,Movimentacoes!$E:$E,$C2671,Movimentacoes!$B:$B,"ENTRADA")</f>
        <v/>
      </c>
      <c r="H2671" s="13">
        <f>SUMIFS(Movimentacoes!$G:$G,Movimentacoes!$C:$C,$A2671,Movimentacoes!$E:$E,$C2671,Movimentacoes!$B:$B,"SAIDA_USO")</f>
        <v/>
      </c>
      <c r="I2671" s="13">
        <f>SUMIFS(Movimentacoes!$G:$G,Movimentacoes!$C:$C,$A2671,Movimentacoes!$E:$E,$C2671,Movimentacoes!$B:$B,"SAIDA_DESCARTE")</f>
        <v/>
      </c>
      <c r="J2671" s="13">
        <f>G2671-H2671-I2671</f>
        <v/>
      </c>
      <c r="K2671">
        <f>IF(A2671="","",IF(J2671&lt;=IFERROR(VLOOKUP(A2671,Cadastro_Produtos!$A:$E,5,FALSE),0),"ABAIXO DO MINIMO","OK"))</f>
        <v/>
      </c>
    </row>
    <row r="2672">
      <c r="B2672">
        <f>IFERROR(VLOOKUP(A2672,Cadastro_Produtos!A:B,2,FALSE),"")</f>
        <v/>
      </c>
      <c r="D2672" s="12" t="n"/>
      <c r="E2672" s="13">
        <f>IF(D2672="","",D2672-TODAY())</f>
        <v/>
      </c>
      <c r="F2672">
        <f>IF(D2672="","",IF(E2672&lt;0,"VENCIDO",IF(E2672&lt;=30,"VENCE EM &lt;= 30 DIAS",IF(E2672&lt;=60,"ATENCAO (31-60 DIAS)","OK"))))</f>
        <v/>
      </c>
      <c r="G2672" s="13">
        <f>SUMIFS(Movimentacoes!$G:$G,Movimentacoes!$C:$C,$A2672,Movimentacoes!$E:$E,$C2672,Movimentacoes!$B:$B,"ENTRADA")</f>
        <v/>
      </c>
      <c r="H2672" s="13">
        <f>SUMIFS(Movimentacoes!$G:$G,Movimentacoes!$C:$C,$A2672,Movimentacoes!$E:$E,$C2672,Movimentacoes!$B:$B,"SAIDA_USO")</f>
        <v/>
      </c>
      <c r="I2672" s="13">
        <f>SUMIFS(Movimentacoes!$G:$G,Movimentacoes!$C:$C,$A2672,Movimentacoes!$E:$E,$C2672,Movimentacoes!$B:$B,"SAIDA_DESCARTE")</f>
        <v/>
      </c>
      <c r="J2672" s="13">
        <f>G2672-H2672-I2672</f>
        <v/>
      </c>
      <c r="K2672">
        <f>IF(A2672="","",IF(J2672&lt;=IFERROR(VLOOKUP(A2672,Cadastro_Produtos!$A:$E,5,FALSE),0),"ABAIXO DO MINIMO","OK"))</f>
        <v/>
      </c>
    </row>
    <row r="2673">
      <c r="B2673">
        <f>IFERROR(VLOOKUP(A2673,Cadastro_Produtos!A:B,2,FALSE),"")</f>
        <v/>
      </c>
      <c r="D2673" s="12" t="n"/>
      <c r="E2673" s="13">
        <f>IF(D2673="","",D2673-TODAY())</f>
        <v/>
      </c>
      <c r="F2673">
        <f>IF(D2673="","",IF(E2673&lt;0,"VENCIDO",IF(E2673&lt;=30,"VENCE EM &lt;= 30 DIAS",IF(E2673&lt;=60,"ATENCAO (31-60 DIAS)","OK"))))</f>
        <v/>
      </c>
      <c r="G2673" s="13">
        <f>SUMIFS(Movimentacoes!$G:$G,Movimentacoes!$C:$C,$A2673,Movimentacoes!$E:$E,$C2673,Movimentacoes!$B:$B,"ENTRADA")</f>
        <v/>
      </c>
      <c r="H2673" s="13">
        <f>SUMIFS(Movimentacoes!$G:$G,Movimentacoes!$C:$C,$A2673,Movimentacoes!$E:$E,$C2673,Movimentacoes!$B:$B,"SAIDA_USO")</f>
        <v/>
      </c>
      <c r="I2673" s="13">
        <f>SUMIFS(Movimentacoes!$G:$G,Movimentacoes!$C:$C,$A2673,Movimentacoes!$E:$E,$C2673,Movimentacoes!$B:$B,"SAIDA_DESCARTE")</f>
        <v/>
      </c>
      <c r="J2673" s="13">
        <f>G2673-H2673-I2673</f>
        <v/>
      </c>
      <c r="K2673">
        <f>IF(A2673="","",IF(J2673&lt;=IFERROR(VLOOKUP(A2673,Cadastro_Produtos!$A:$E,5,FALSE),0),"ABAIXO DO MINIMO","OK"))</f>
        <v/>
      </c>
    </row>
    <row r="2674">
      <c r="B2674">
        <f>IFERROR(VLOOKUP(A2674,Cadastro_Produtos!A:B,2,FALSE),"")</f>
        <v/>
      </c>
      <c r="D2674" s="12" t="n"/>
      <c r="E2674" s="13">
        <f>IF(D2674="","",D2674-TODAY())</f>
        <v/>
      </c>
      <c r="F2674">
        <f>IF(D2674="","",IF(E2674&lt;0,"VENCIDO",IF(E2674&lt;=30,"VENCE EM &lt;= 30 DIAS",IF(E2674&lt;=60,"ATENCAO (31-60 DIAS)","OK"))))</f>
        <v/>
      </c>
      <c r="G2674" s="13">
        <f>SUMIFS(Movimentacoes!$G:$G,Movimentacoes!$C:$C,$A2674,Movimentacoes!$E:$E,$C2674,Movimentacoes!$B:$B,"ENTRADA")</f>
        <v/>
      </c>
      <c r="H2674" s="13">
        <f>SUMIFS(Movimentacoes!$G:$G,Movimentacoes!$C:$C,$A2674,Movimentacoes!$E:$E,$C2674,Movimentacoes!$B:$B,"SAIDA_USO")</f>
        <v/>
      </c>
      <c r="I2674" s="13">
        <f>SUMIFS(Movimentacoes!$G:$G,Movimentacoes!$C:$C,$A2674,Movimentacoes!$E:$E,$C2674,Movimentacoes!$B:$B,"SAIDA_DESCARTE")</f>
        <v/>
      </c>
      <c r="J2674" s="13">
        <f>G2674-H2674-I2674</f>
        <v/>
      </c>
      <c r="K2674">
        <f>IF(A2674="","",IF(J2674&lt;=IFERROR(VLOOKUP(A2674,Cadastro_Produtos!$A:$E,5,FALSE),0),"ABAIXO DO MINIMO","OK"))</f>
        <v/>
      </c>
    </row>
    <row r="2675">
      <c r="B2675">
        <f>IFERROR(VLOOKUP(A2675,Cadastro_Produtos!A:B,2,FALSE),"")</f>
        <v/>
      </c>
      <c r="D2675" s="12" t="n"/>
      <c r="E2675" s="13">
        <f>IF(D2675="","",D2675-TODAY())</f>
        <v/>
      </c>
      <c r="F2675">
        <f>IF(D2675="","",IF(E2675&lt;0,"VENCIDO",IF(E2675&lt;=30,"VENCE EM &lt;= 30 DIAS",IF(E2675&lt;=60,"ATENCAO (31-60 DIAS)","OK"))))</f>
        <v/>
      </c>
      <c r="G2675" s="13">
        <f>SUMIFS(Movimentacoes!$G:$G,Movimentacoes!$C:$C,$A2675,Movimentacoes!$E:$E,$C2675,Movimentacoes!$B:$B,"ENTRADA")</f>
        <v/>
      </c>
      <c r="H2675" s="13">
        <f>SUMIFS(Movimentacoes!$G:$G,Movimentacoes!$C:$C,$A2675,Movimentacoes!$E:$E,$C2675,Movimentacoes!$B:$B,"SAIDA_USO")</f>
        <v/>
      </c>
      <c r="I2675" s="13">
        <f>SUMIFS(Movimentacoes!$G:$G,Movimentacoes!$C:$C,$A2675,Movimentacoes!$E:$E,$C2675,Movimentacoes!$B:$B,"SAIDA_DESCARTE")</f>
        <v/>
      </c>
      <c r="J2675" s="13">
        <f>G2675-H2675-I2675</f>
        <v/>
      </c>
      <c r="K2675">
        <f>IF(A2675="","",IF(J2675&lt;=IFERROR(VLOOKUP(A2675,Cadastro_Produtos!$A:$E,5,FALSE),0),"ABAIXO DO MINIMO","OK"))</f>
        <v/>
      </c>
    </row>
    <row r="2676">
      <c r="B2676">
        <f>IFERROR(VLOOKUP(A2676,Cadastro_Produtos!A:B,2,FALSE),"")</f>
        <v/>
      </c>
      <c r="D2676" s="12" t="n"/>
      <c r="E2676" s="13">
        <f>IF(D2676="","",D2676-TODAY())</f>
        <v/>
      </c>
      <c r="F2676">
        <f>IF(D2676="","",IF(E2676&lt;0,"VENCIDO",IF(E2676&lt;=30,"VENCE EM &lt;= 30 DIAS",IF(E2676&lt;=60,"ATENCAO (31-60 DIAS)","OK"))))</f>
        <v/>
      </c>
      <c r="G2676" s="13">
        <f>SUMIFS(Movimentacoes!$G:$G,Movimentacoes!$C:$C,$A2676,Movimentacoes!$E:$E,$C2676,Movimentacoes!$B:$B,"ENTRADA")</f>
        <v/>
      </c>
      <c r="H2676" s="13">
        <f>SUMIFS(Movimentacoes!$G:$G,Movimentacoes!$C:$C,$A2676,Movimentacoes!$E:$E,$C2676,Movimentacoes!$B:$B,"SAIDA_USO")</f>
        <v/>
      </c>
      <c r="I2676" s="13">
        <f>SUMIFS(Movimentacoes!$G:$G,Movimentacoes!$C:$C,$A2676,Movimentacoes!$E:$E,$C2676,Movimentacoes!$B:$B,"SAIDA_DESCARTE")</f>
        <v/>
      </c>
      <c r="J2676" s="13">
        <f>G2676-H2676-I2676</f>
        <v/>
      </c>
      <c r="K2676">
        <f>IF(A2676="","",IF(J2676&lt;=IFERROR(VLOOKUP(A2676,Cadastro_Produtos!$A:$E,5,FALSE),0),"ABAIXO DO MINIMO","OK"))</f>
        <v/>
      </c>
    </row>
    <row r="2677">
      <c r="B2677">
        <f>IFERROR(VLOOKUP(A2677,Cadastro_Produtos!A:B,2,FALSE),"")</f>
        <v/>
      </c>
      <c r="D2677" s="12" t="n"/>
      <c r="E2677" s="13">
        <f>IF(D2677="","",D2677-TODAY())</f>
        <v/>
      </c>
      <c r="F2677">
        <f>IF(D2677="","",IF(E2677&lt;0,"VENCIDO",IF(E2677&lt;=30,"VENCE EM &lt;= 30 DIAS",IF(E2677&lt;=60,"ATENCAO (31-60 DIAS)","OK"))))</f>
        <v/>
      </c>
      <c r="G2677" s="13">
        <f>SUMIFS(Movimentacoes!$G:$G,Movimentacoes!$C:$C,$A2677,Movimentacoes!$E:$E,$C2677,Movimentacoes!$B:$B,"ENTRADA")</f>
        <v/>
      </c>
      <c r="H2677" s="13">
        <f>SUMIFS(Movimentacoes!$G:$G,Movimentacoes!$C:$C,$A2677,Movimentacoes!$E:$E,$C2677,Movimentacoes!$B:$B,"SAIDA_USO")</f>
        <v/>
      </c>
      <c r="I2677" s="13">
        <f>SUMIFS(Movimentacoes!$G:$G,Movimentacoes!$C:$C,$A2677,Movimentacoes!$E:$E,$C2677,Movimentacoes!$B:$B,"SAIDA_DESCARTE")</f>
        <v/>
      </c>
      <c r="J2677" s="13">
        <f>G2677-H2677-I2677</f>
        <v/>
      </c>
      <c r="K2677">
        <f>IF(A2677="","",IF(J2677&lt;=IFERROR(VLOOKUP(A2677,Cadastro_Produtos!$A:$E,5,FALSE),0),"ABAIXO DO MINIMO","OK"))</f>
        <v/>
      </c>
    </row>
    <row r="2678">
      <c r="B2678">
        <f>IFERROR(VLOOKUP(A2678,Cadastro_Produtos!A:B,2,FALSE),"")</f>
        <v/>
      </c>
      <c r="D2678" s="12" t="n"/>
      <c r="E2678" s="13">
        <f>IF(D2678="","",D2678-TODAY())</f>
        <v/>
      </c>
      <c r="F2678">
        <f>IF(D2678="","",IF(E2678&lt;0,"VENCIDO",IF(E2678&lt;=30,"VENCE EM &lt;= 30 DIAS",IF(E2678&lt;=60,"ATENCAO (31-60 DIAS)","OK"))))</f>
        <v/>
      </c>
      <c r="G2678" s="13">
        <f>SUMIFS(Movimentacoes!$G:$G,Movimentacoes!$C:$C,$A2678,Movimentacoes!$E:$E,$C2678,Movimentacoes!$B:$B,"ENTRADA")</f>
        <v/>
      </c>
      <c r="H2678" s="13">
        <f>SUMIFS(Movimentacoes!$G:$G,Movimentacoes!$C:$C,$A2678,Movimentacoes!$E:$E,$C2678,Movimentacoes!$B:$B,"SAIDA_USO")</f>
        <v/>
      </c>
      <c r="I2678" s="13">
        <f>SUMIFS(Movimentacoes!$G:$G,Movimentacoes!$C:$C,$A2678,Movimentacoes!$E:$E,$C2678,Movimentacoes!$B:$B,"SAIDA_DESCARTE")</f>
        <v/>
      </c>
      <c r="J2678" s="13">
        <f>G2678-H2678-I2678</f>
        <v/>
      </c>
      <c r="K2678">
        <f>IF(A2678="","",IF(J2678&lt;=IFERROR(VLOOKUP(A2678,Cadastro_Produtos!$A:$E,5,FALSE),0),"ABAIXO DO MINIMO","OK"))</f>
        <v/>
      </c>
    </row>
    <row r="2679">
      <c r="B2679">
        <f>IFERROR(VLOOKUP(A2679,Cadastro_Produtos!A:B,2,FALSE),"")</f>
        <v/>
      </c>
      <c r="D2679" s="12" t="n"/>
      <c r="E2679" s="13">
        <f>IF(D2679="","",D2679-TODAY())</f>
        <v/>
      </c>
      <c r="F2679">
        <f>IF(D2679="","",IF(E2679&lt;0,"VENCIDO",IF(E2679&lt;=30,"VENCE EM &lt;= 30 DIAS",IF(E2679&lt;=60,"ATENCAO (31-60 DIAS)","OK"))))</f>
        <v/>
      </c>
      <c r="G2679" s="13">
        <f>SUMIFS(Movimentacoes!$G:$G,Movimentacoes!$C:$C,$A2679,Movimentacoes!$E:$E,$C2679,Movimentacoes!$B:$B,"ENTRADA")</f>
        <v/>
      </c>
      <c r="H2679" s="13">
        <f>SUMIFS(Movimentacoes!$G:$G,Movimentacoes!$C:$C,$A2679,Movimentacoes!$E:$E,$C2679,Movimentacoes!$B:$B,"SAIDA_USO")</f>
        <v/>
      </c>
      <c r="I2679" s="13">
        <f>SUMIFS(Movimentacoes!$G:$G,Movimentacoes!$C:$C,$A2679,Movimentacoes!$E:$E,$C2679,Movimentacoes!$B:$B,"SAIDA_DESCARTE")</f>
        <v/>
      </c>
      <c r="J2679" s="13">
        <f>G2679-H2679-I2679</f>
        <v/>
      </c>
      <c r="K2679">
        <f>IF(A2679="","",IF(J2679&lt;=IFERROR(VLOOKUP(A2679,Cadastro_Produtos!$A:$E,5,FALSE),0),"ABAIXO DO MINIMO","OK"))</f>
        <v/>
      </c>
    </row>
    <row r="2680">
      <c r="B2680">
        <f>IFERROR(VLOOKUP(A2680,Cadastro_Produtos!A:B,2,FALSE),"")</f>
        <v/>
      </c>
      <c r="D2680" s="12" t="n"/>
      <c r="E2680" s="13">
        <f>IF(D2680="","",D2680-TODAY())</f>
        <v/>
      </c>
      <c r="F2680">
        <f>IF(D2680="","",IF(E2680&lt;0,"VENCIDO",IF(E2680&lt;=30,"VENCE EM &lt;= 30 DIAS",IF(E2680&lt;=60,"ATENCAO (31-60 DIAS)","OK"))))</f>
        <v/>
      </c>
      <c r="G2680" s="13">
        <f>SUMIFS(Movimentacoes!$G:$G,Movimentacoes!$C:$C,$A2680,Movimentacoes!$E:$E,$C2680,Movimentacoes!$B:$B,"ENTRADA")</f>
        <v/>
      </c>
      <c r="H2680" s="13">
        <f>SUMIFS(Movimentacoes!$G:$G,Movimentacoes!$C:$C,$A2680,Movimentacoes!$E:$E,$C2680,Movimentacoes!$B:$B,"SAIDA_USO")</f>
        <v/>
      </c>
      <c r="I2680" s="13">
        <f>SUMIFS(Movimentacoes!$G:$G,Movimentacoes!$C:$C,$A2680,Movimentacoes!$E:$E,$C2680,Movimentacoes!$B:$B,"SAIDA_DESCARTE")</f>
        <v/>
      </c>
      <c r="J2680" s="13">
        <f>G2680-H2680-I2680</f>
        <v/>
      </c>
      <c r="K2680">
        <f>IF(A2680="","",IF(J2680&lt;=IFERROR(VLOOKUP(A2680,Cadastro_Produtos!$A:$E,5,FALSE),0),"ABAIXO DO MINIMO","OK"))</f>
        <v/>
      </c>
    </row>
    <row r="2681">
      <c r="B2681">
        <f>IFERROR(VLOOKUP(A2681,Cadastro_Produtos!A:B,2,FALSE),"")</f>
        <v/>
      </c>
      <c r="D2681" s="12" t="n"/>
      <c r="E2681" s="13">
        <f>IF(D2681="","",D2681-TODAY())</f>
        <v/>
      </c>
      <c r="F2681">
        <f>IF(D2681="","",IF(E2681&lt;0,"VENCIDO",IF(E2681&lt;=30,"VENCE EM &lt;= 30 DIAS",IF(E2681&lt;=60,"ATENCAO (31-60 DIAS)","OK"))))</f>
        <v/>
      </c>
      <c r="G2681" s="13">
        <f>SUMIFS(Movimentacoes!$G:$G,Movimentacoes!$C:$C,$A2681,Movimentacoes!$E:$E,$C2681,Movimentacoes!$B:$B,"ENTRADA")</f>
        <v/>
      </c>
      <c r="H2681" s="13">
        <f>SUMIFS(Movimentacoes!$G:$G,Movimentacoes!$C:$C,$A2681,Movimentacoes!$E:$E,$C2681,Movimentacoes!$B:$B,"SAIDA_USO")</f>
        <v/>
      </c>
      <c r="I2681" s="13">
        <f>SUMIFS(Movimentacoes!$G:$G,Movimentacoes!$C:$C,$A2681,Movimentacoes!$E:$E,$C2681,Movimentacoes!$B:$B,"SAIDA_DESCARTE")</f>
        <v/>
      </c>
      <c r="J2681" s="13">
        <f>G2681-H2681-I2681</f>
        <v/>
      </c>
      <c r="K2681">
        <f>IF(A2681="","",IF(J2681&lt;=IFERROR(VLOOKUP(A2681,Cadastro_Produtos!$A:$E,5,FALSE),0),"ABAIXO DO MINIMO","OK"))</f>
        <v/>
      </c>
    </row>
    <row r="2682">
      <c r="B2682">
        <f>IFERROR(VLOOKUP(A2682,Cadastro_Produtos!A:B,2,FALSE),"")</f>
        <v/>
      </c>
      <c r="D2682" s="12" t="n"/>
      <c r="E2682" s="13">
        <f>IF(D2682="","",D2682-TODAY())</f>
        <v/>
      </c>
      <c r="F2682">
        <f>IF(D2682="","",IF(E2682&lt;0,"VENCIDO",IF(E2682&lt;=30,"VENCE EM &lt;= 30 DIAS",IF(E2682&lt;=60,"ATENCAO (31-60 DIAS)","OK"))))</f>
        <v/>
      </c>
      <c r="G2682" s="13">
        <f>SUMIFS(Movimentacoes!$G:$G,Movimentacoes!$C:$C,$A2682,Movimentacoes!$E:$E,$C2682,Movimentacoes!$B:$B,"ENTRADA")</f>
        <v/>
      </c>
      <c r="H2682" s="13">
        <f>SUMIFS(Movimentacoes!$G:$G,Movimentacoes!$C:$C,$A2682,Movimentacoes!$E:$E,$C2682,Movimentacoes!$B:$B,"SAIDA_USO")</f>
        <v/>
      </c>
      <c r="I2682" s="13">
        <f>SUMIFS(Movimentacoes!$G:$G,Movimentacoes!$C:$C,$A2682,Movimentacoes!$E:$E,$C2682,Movimentacoes!$B:$B,"SAIDA_DESCARTE")</f>
        <v/>
      </c>
      <c r="J2682" s="13">
        <f>G2682-H2682-I2682</f>
        <v/>
      </c>
      <c r="K2682">
        <f>IF(A2682="","",IF(J2682&lt;=IFERROR(VLOOKUP(A2682,Cadastro_Produtos!$A:$E,5,FALSE),0),"ABAIXO DO MINIMO","OK"))</f>
        <v/>
      </c>
    </row>
    <row r="2683">
      <c r="B2683">
        <f>IFERROR(VLOOKUP(A2683,Cadastro_Produtos!A:B,2,FALSE),"")</f>
        <v/>
      </c>
      <c r="D2683" s="12" t="n"/>
      <c r="E2683" s="13">
        <f>IF(D2683="","",D2683-TODAY())</f>
        <v/>
      </c>
      <c r="F2683">
        <f>IF(D2683="","",IF(E2683&lt;0,"VENCIDO",IF(E2683&lt;=30,"VENCE EM &lt;= 30 DIAS",IF(E2683&lt;=60,"ATENCAO (31-60 DIAS)","OK"))))</f>
        <v/>
      </c>
      <c r="G2683" s="13">
        <f>SUMIFS(Movimentacoes!$G:$G,Movimentacoes!$C:$C,$A2683,Movimentacoes!$E:$E,$C2683,Movimentacoes!$B:$B,"ENTRADA")</f>
        <v/>
      </c>
      <c r="H2683" s="13">
        <f>SUMIFS(Movimentacoes!$G:$G,Movimentacoes!$C:$C,$A2683,Movimentacoes!$E:$E,$C2683,Movimentacoes!$B:$B,"SAIDA_USO")</f>
        <v/>
      </c>
      <c r="I2683" s="13">
        <f>SUMIFS(Movimentacoes!$G:$G,Movimentacoes!$C:$C,$A2683,Movimentacoes!$E:$E,$C2683,Movimentacoes!$B:$B,"SAIDA_DESCARTE")</f>
        <v/>
      </c>
      <c r="J2683" s="13">
        <f>G2683-H2683-I2683</f>
        <v/>
      </c>
      <c r="K2683">
        <f>IF(A2683="","",IF(J2683&lt;=IFERROR(VLOOKUP(A2683,Cadastro_Produtos!$A:$E,5,FALSE),0),"ABAIXO DO MINIMO","OK"))</f>
        <v/>
      </c>
    </row>
    <row r="2684">
      <c r="B2684">
        <f>IFERROR(VLOOKUP(A2684,Cadastro_Produtos!A:B,2,FALSE),"")</f>
        <v/>
      </c>
      <c r="D2684" s="12" t="n"/>
      <c r="E2684" s="13">
        <f>IF(D2684="","",D2684-TODAY())</f>
        <v/>
      </c>
      <c r="F2684">
        <f>IF(D2684="","",IF(E2684&lt;0,"VENCIDO",IF(E2684&lt;=30,"VENCE EM &lt;= 30 DIAS",IF(E2684&lt;=60,"ATENCAO (31-60 DIAS)","OK"))))</f>
        <v/>
      </c>
      <c r="G2684" s="13">
        <f>SUMIFS(Movimentacoes!$G:$G,Movimentacoes!$C:$C,$A2684,Movimentacoes!$E:$E,$C2684,Movimentacoes!$B:$B,"ENTRADA")</f>
        <v/>
      </c>
      <c r="H2684" s="13">
        <f>SUMIFS(Movimentacoes!$G:$G,Movimentacoes!$C:$C,$A2684,Movimentacoes!$E:$E,$C2684,Movimentacoes!$B:$B,"SAIDA_USO")</f>
        <v/>
      </c>
      <c r="I2684" s="13">
        <f>SUMIFS(Movimentacoes!$G:$G,Movimentacoes!$C:$C,$A2684,Movimentacoes!$E:$E,$C2684,Movimentacoes!$B:$B,"SAIDA_DESCARTE")</f>
        <v/>
      </c>
      <c r="J2684" s="13">
        <f>G2684-H2684-I2684</f>
        <v/>
      </c>
      <c r="K2684">
        <f>IF(A2684="","",IF(J2684&lt;=IFERROR(VLOOKUP(A2684,Cadastro_Produtos!$A:$E,5,FALSE),0),"ABAIXO DO MINIMO","OK"))</f>
        <v/>
      </c>
    </row>
    <row r="2685">
      <c r="B2685">
        <f>IFERROR(VLOOKUP(A2685,Cadastro_Produtos!A:B,2,FALSE),"")</f>
        <v/>
      </c>
      <c r="D2685" s="12" t="n"/>
      <c r="E2685" s="13">
        <f>IF(D2685="","",D2685-TODAY())</f>
        <v/>
      </c>
      <c r="F2685">
        <f>IF(D2685="","",IF(E2685&lt;0,"VENCIDO",IF(E2685&lt;=30,"VENCE EM &lt;= 30 DIAS",IF(E2685&lt;=60,"ATENCAO (31-60 DIAS)","OK"))))</f>
        <v/>
      </c>
      <c r="G2685" s="13">
        <f>SUMIFS(Movimentacoes!$G:$G,Movimentacoes!$C:$C,$A2685,Movimentacoes!$E:$E,$C2685,Movimentacoes!$B:$B,"ENTRADA")</f>
        <v/>
      </c>
      <c r="H2685" s="13">
        <f>SUMIFS(Movimentacoes!$G:$G,Movimentacoes!$C:$C,$A2685,Movimentacoes!$E:$E,$C2685,Movimentacoes!$B:$B,"SAIDA_USO")</f>
        <v/>
      </c>
      <c r="I2685" s="13">
        <f>SUMIFS(Movimentacoes!$G:$G,Movimentacoes!$C:$C,$A2685,Movimentacoes!$E:$E,$C2685,Movimentacoes!$B:$B,"SAIDA_DESCARTE")</f>
        <v/>
      </c>
      <c r="J2685" s="13">
        <f>G2685-H2685-I2685</f>
        <v/>
      </c>
      <c r="K2685">
        <f>IF(A2685="","",IF(J2685&lt;=IFERROR(VLOOKUP(A2685,Cadastro_Produtos!$A:$E,5,FALSE),0),"ABAIXO DO MINIMO","OK"))</f>
        <v/>
      </c>
    </row>
    <row r="2686">
      <c r="B2686">
        <f>IFERROR(VLOOKUP(A2686,Cadastro_Produtos!A:B,2,FALSE),"")</f>
        <v/>
      </c>
      <c r="D2686" s="12" t="n"/>
      <c r="E2686" s="13">
        <f>IF(D2686="","",D2686-TODAY())</f>
        <v/>
      </c>
      <c r="F2686">
        <f>IF(D2686="","",IF(E2686&lt;0,"VENCIDO",IF(E2686&lt;=30,"VENCE EM &lt;= 30 DIAS",IF(E2686&lt;=60,"ATENCAO (31-60 DIAS)","OK"))))</f>
        <v/>
      </c>
      <c r="G2686" s="13">
        <f>SUMIFS(Movimentacoes!$G:$G,Movimentacoes!$C:$C,$A2686,Movimentacoes!$E:$E,$C2686,Movimentacoes!$B:$B,"ENTRADA")</f>
        <v/>
      </c>
      <c r="H2686" s="13">
        <f>SUMIFS(Movimentacoes!$G:$G,Movimentacoes!$C:$C,$A2686,Movimentacoes!$E:$E,$C2686,Movimentacoes!$B:$B,"SAIDA_USO")</f>
        <v/>
      </c>
      <c r="I2686" s="13">
        <f>SUMIFS(Movimentacoes!$G:$G,Movimentacoes!$C:$C,$A2686,Movimentacoes!$E:$E,$C2686,Movimentacoes!$B:$B,"SAIDA_DESCARTE")</f>
        <v/>
      </c>
      <c r="J2686" s="13">
        <f>G2686-H2686-I2686</f>
        <v/>
      </c>
      <c r="K2686">
        <f>IF(A2686="","",IF(J2686&lt;=IFERROR(VLOOKUP(A2686,Cadastro_Produtos!$A:$E,5,FALSE),0),"ABAIXO DO MINIMO","OK"))</f>
        <v/>
      </c>
    </row>
    <row r="2687">
      <c r="B2687">
        <f>IFERROR(VLOOKUP(A2687,Cadastro_Produtos!A:B,2,FALSE),"")</f>
        <v/>
      </c>
      <c r="D2687" s="12" t="n"/>
      <c r="E2687" s="13">
        <f>IF(D2687="","",D2687-TODAY())</f>
        <v/>
      </c>
      <c r="F2687">
        <f>IF(D2687="","",IF(E2687&lt;0,"VENCIDO",IF(E2687&lt;=30,"VENCE EM &lt;= 30 DIAS",IF(E2687&lt;=60,"ATENCAO (31-60 DIAS)","OK"))))</f>
        <v/>
      </c>
      <c r="G2687" s="13">
        <f>SUMIFS(Movimentacoes!$G:$G,Movimentacoes!$C:$C,$A2687,Movimentacoes!$E:$E,$C2687,Movimentacoes!$B:$B,"ENTRADA")</f>
        <v/>
      </c>
      <c r="H2687" s="13">
        <f>SUMIFS(Movimentacoes!$G:$G,Movimentacoes!$C:$C,$A2687,Movimentacoes!$E:$E,$C2687,Movimentacoes!$B:$B,"SAIDA_USO")</f>
        <v/>
      </c>
      <c r="I2687" s="13">
        <f>SUMIFS(Movimentacoes!$G:$G,Movimentacoes!$C:$C,$A2687,Movimentacoes!$E:$E,$C2687,Movimentacoes!$B:$B,"SAIDA_DESCARTE")</f>
        <v/>
      </c>
      <c r="J2687" s="13">
        <f>G2687-H2687-I2687</f>
        <v/>
      </c>
      <c r="K2687">
        <f>IF(A2687="","",IF(J2687&lt;=IFERROR(VLOOKUP(A2687,Cadastro_Produtos!$A:$E,5,FALSE),0),"ABAIXO DO MINIMO","OK"))</f>
        <v/>
      </c>
    </row>
    <row r="2688">
      <c r="B2688">
        <f>IFERROR(VLOOKUP(A2688,Cadastro_Produtos!A:B,2,FALSE),"")</f>
        <v/>
      </c>
      <c r="D2688" s="12" t="n"/>
      <c r="E2688" s="13">
        <f>IF(D2688="","",D2688-TODAY())</f>
        <v/>
      </c>
      <c r="F2688">
        <f>IF(D2688="","",IF(E2688&lt;0,"VENCIDO",IF(E2688&lt;=30,"VENCE EM &lt;= 30 DIAS",IF(E2688&lt;=60,"ATENCAO (31-60 DIAS)","OK"))))</f>
        <v/>
      </c>
      <c r="G2688" s="13">
        <f>SUMIFS(Movimentacoes!$G:$G,Movimentacoes!$C:$C,$A2688,Movimentacoes!$E:$E,$C2688,Movimentacoes!$B:$B,"ENTRADA")</f>
        <v/>
      </c>
      <c r="H2688" s="13">
        <f>SUMIFS(Movimentacoes!$G:$G,Movimentacoes!$C:$C,$A2688,Movimentacoes!$E:$E,$C2688,Movimentacoes!$B:$B,"SAIDA_USO")</f>
        <v/>
      </c>
      <c r="I2688" s="13">
        <f>SUMIFS(Movimentacoes!$G:$G,Movimentacoes!$C:$C,$A2688,Movimentacoes!$E:$E,$C2688,Movimentacoes!$B:$B,"SAIDA_DESCARTE")</f>
        <v/>
      </c>
      <c r="J2688" s="13">
        <f>G2688-H2688-I2688</f>
        <v/>
      </c>
      <c r="K2688">
        <f>IF(A2688="","",IF(J2688&lt;=IFERROR(VLOOKUP(A2688,Cadastro_Produtos!$A:$E,5,FALSE),0),"ABAIXO DO MINIMO","OK"))</f>
        <v/>
      </c>
    </row>
    <row r="2689">
      <c r="B2689">
        <f>IFERROR(VLOOKUP(A2689,Cadastro_Produtos!A:B,2,FALSE),"")</f>
        <v/>
      </c>
      <c r="D2689" s="12" t="n"/>
      <c r="E2689" s="13">
        <f>IF(D2689="","",D2689-TODAY())</f>
        <v/>
      </c>
      <c r="F2689">
        <f>IF(D2689="","",IF(E2689&lt;0,"VENCIDO",IF(E2689&lt;=30,"VENCE EM &lt;= 30 DIAS",IF(E2689&lt;=60,"ATENCAO (31-60 DIAS)","OK"))))</f>
        <v/>
      </c>
      <c r="G2689" s="13">
        <f>SUMIFS(Movimentacoes!$G:$G,Movimentacoes!$C:$C,$A2689,Movimentacoes!$E:$E,$C2689,Movimentacoes!$B:$B,"ENTRADA")</f>
        <v/>
      </c>
      <c r="H2689" s="13">
        <f>SUMIFS(Movimentacoes!$G:$G,Movimentacoes!$C:$C,$A2689,Movimentacoes!$E:$E,$C2689,Movimentacoes!$B:$B,"SAIDA_USO")</f>
        <v/>
      </c>
      <c r="I2689" s="13">
        <f>SUMIFS(Movimentacoes!$G:$G,Movimentacoes!$C:$C,$A2689,Movimentacoes!$E:$E,$C2689,Movimentacoes!$B:$B,"SAIDA_DESCARTE")</f>
        <v/>
      </c>
      <c r="J2689" s="13">
        <f>G2689-H2689-I2689</f>
        <v/>
      </c>
      <c r="K2689">
        <f>IF(A2689="","",IF(J2689&lt;=IFERROR(VLOOKUP(A2689,Cadastro_Produtos!$A:$E,5,FALSE),0),"ABAIXO DO MINIMO","OK"))</f>
        <v/>
      </c>
    </row>
    <row r="2690">
      <c r="B2690">
        <f>IFERROR(VLOOKUP(A2690,Cadastro_Produtos!A:B,2,FALSE),"")</f>
        <v/>
      </c>
      <c r="D2690" s="12" t="n"/>
      <c r="E2690" s="13">
        <f>IF(D2690="","",D2690-TODAY())</f>
        <v/>
      </c>
      <c r="F2690">
        <f>IF(D2690="","",IF(E2690&lt;0,"VENCIDO",IF(E2690&lt;=30,"VENCE EM &lt;= 30 DIAS",IF(E2690&lt;=60,"ATENCAO (31-60 DIAS)","OK"))))</f>
        <v/>
      </c>
      <c r="G2690" s="13">
        <f>SUMIFS(Movimentacoes!$G:$G,Movimentacoes!$C:$C,$A2690,Movimentacoes!$E:$E,$C2690,Movimentacoes!$B:$B,"ENTRADA")</f>
        <v/>
      </c>
      <c r="H2690" s="13">
        <f>SUMIFS(Movimentacoes!$G:$G,Movimentacoes!$C:$C,$A2690,Movimentacoes!$E:$E,$C2690,Movimentacoes!$B:$B,"SAIDA_USO")</f>
        <v/>
      </c>
      <c r="I2690" s="13">
        <f>SUMIFS(Movimentacoes!$G:$G,Movimentacoes!$C:$C,$A2690,Movimentacoes!$E:$E,$C2690,Movimentacoes!$B:$B,"SAIDA_DESCARTE")</f>
        <v/>
      </c>
      <c r="J2690" s="13">
        <f>G2690-H2690-I2690</f>
        <v/>
      </c>
      <c r="K2690">
        <f>IF(A2690="","",IF(J2690&lt;=IFERROR(VLOOKUP(A2690,Cadastro_Produtos!$A:$E,5,FALSE),0),"ABAIXO DO MINIMO","OK"))</f>
        <v/>
      </c>
    </row>
    <row r="2691">
      <c r="B2691">
        <f>IFERROR(VLOOKUP(A2691,Cadastro_Produtos!A:B,2,FALSE),"")</f>
        <v/>
      </c>
      <c r="D2691" s="12" t="n"/>
      <c r="E2691" s="13">
        <f>IF(D2691="","",D2691-TODAY())</f>
        <v/>
      </c>
      <c r="F2691">
        <f>IF(D2691="","",IF(E2691&lt;0,"VENCIDO",IF(E2691&lt;=30,"VENCE EM &lt;= 30 DIAS",IF(E2691&lt;=60,"ATENCAO (31-60 DIAS)","OK"))))</f>
        <v/>
      </c>
      <c r="G2691" s="13">
        <f>SUMIFS(Movimentacoes!$G:$G,Movimentacoes!$C:$C,$A2691,Movimentacoes!$E:$E,$C2691,Movimentacoes!$B:$B,"ENTRADA")</f>
        <v/>
      </c>
      <c r="H2691" s="13">
        <f>SUMIFS(Movimentacoes!$G:$G,Movimentacoes!$C:$C,$A2691,Movimentacoes!$E:$E,$C2691,Movimentacoes!$B:$B,"SAIDA_USO")</f>
        <v/>
      </c>
      <c r="I2691" s="13">
        <f>SUMIFS(Movimentacoes!$G:$G,Movimentacoes!$C:$C,$A2691,Movimentacoes!$E:$E,$C2691,Movimentacoes!$B:$B,"SAIDA_DESCARTE")</f>
        <v/>
      </c>
      <c r="J2691" s="13">
        <f>G2691-H2691-I2691</f>
        <v/>
      </c>
      <c r="K2691">
        <f>IF(A2691="","",IF(J2691&lt;=IFERROR(VLOOKUP(A2691,Cadastro_Produtos!$A:$E,5,FALSE),0),"ABAIXO DO MINIMO","OK"))</f>
        <v/>
      </c>
    </row>
    <row r="2692">
      <c r="B2692">
        <f>IFERROR(VLOOKUP(A2692,Cadastro_Produtos!A:B,2,FALSE),"")</f>
        <v/>
      </c>
      <c r="D2692" s="12" t="n"/>
      <c r="E2692" s="13">
        <f>IF(D2692="","",D2692-TODAY())</f>
        <v/>
      </c>
      <c r="F2692">
        <f>IF(D2692="","",IF(E2692&lt;0,"VENCIDO",IF(E2692&lt;=30,"VENCE EM &lt;= 30 DIAS",IF(E2692&lt;=60,"ATENCAO (31-60 DIAS)","OK"))))</f>
        <v/>
      </c>
      <c r="G2692" s="13">
        <f>SUMIFS(Movimentacoes!$G:$G,Movimentacoes!$C:$C,$A2692,Movimentacoes!$E:$E,$C2692,Movimentacoes!$B:$B,"ENTRADA")</f>
        <v/>
      </c>
      <c r="H2692" s="13">
        <f>SUMIFS(Movimentacoes!$G:$G,Movimentacoes!$C:$C,$A2692,Movimentacoes!$E:$E,$C2692,Movimentacoes!$B:$B,"SAIDA_USO")</f>
        <v/>
      </c>
      <c r="I2692" s="13">
        <f>SUMIFS(Movimentacoes!$G:$G,Movimentacoes!$C:$C,$A2692,Movimentacoes!$E:$E,$C2692,Movimentacoes!$B:$B,"SAIDA_DESCARTE")</f>
        <v/>
      </c>
      <c r="J2692" s="13">
        <f>G2692-H2692-I2692</f>
        <v/>
      </c>
      <c r="K2692">
        <f>IF(A2692="","",IF(J2692&lt;=IFERROR(VLOOKUP(A2692,Cadastro_Produtos!$A:$E,5,FALSE),0),"ABAIXO DO MINIMO","OK"))</f>
        <v/>
      </c>
    </row>
    <row r="2693">
      <c r="B2693">
        <f>IFERROR(VLOOKUP(A2693,Cadastro_Produtos!A:B,2,FALSE),"")</f>
        <v/>
      </c>
      <c r="D2693" s="12" t="n"/>
      <c r="E2693" s="13">
        <f>IF(D2693="","",D2693-TODAY())</f>
        <v/>
      </c>
      <c r="F2693">
        <f>IF(D2693="","",IF(E2693&lt;0,"VENCIDO",IF(E2693&lt;=30,"VENCE EM &lt;= 30 DIAS",IF(E2693&lt;=60,"ATENCAO (31-60 DIAS)","OK"))))</f>
        <v/>
      </c>
      <c r="G2693" s="13">
        <f>SUMIFS(Movimentacoes!$G:$G,Movimentacoes!$C:$C,$A2693,Movimentacoes!$E:$E,$C2693,Movimentacoes!$B:$B,"ENTRADA")</f>
        <v/>
      </c>
      <c r="H2693" s="13">
        <f>SUMIFS(Movimentacoes!$G:$G,Movimentacoes!$C:$C,$A2693,Movimentacoes!$E:$E,$C2693,Movimentacoes!$B:$B,"SAIDA_USO")</f>
        <v/>
      </c>
      <c r="I2693" s="13">
        <f>SUMIFS(Movimentacoes!$G:$G,Movimentacoes!$C:$C,$A2693,Movimentacoes!$E:$E,$C2693,Movimentacoes!$B:$B,"SAIDA_DESCARTE")</f>
        <v/>
      </c>
      <c r="J2693" s="13">
        <f>G2693-H2693-I2693</f>
        <v/>
      </c>
      <c r="K2693">
        <f>IF(A2693="","",IF(J2693&lt;=IFERROR(VLOOKUP(A2693,Cadastro_Produtos!$A:$E,5,FALSE),0),"ABAIXO DO MINIMO","OK"))</f>
        <v/>
      </c>
    </row>
    <row r="2694">
      <c r="B2694">
        <f>IFERROR(VLOOKUP(A2694,Cadastro_Produtos!A:B,2,FALSE),"")</f>
        <v/>
      </c>
      <c r="D2694" s="12" t="n"/>
      <c r="E2694" s="13">
        <f>IF(D2694="","",D2694-TODAY())</f>
        <v/>
      </c>
      <c r="F2694">
        <f>IF(D2694="","",IF(E2694&lt;0,"VENCIDO",IF(E2694&lt;=30,"VENCE EM &lt;= 30 DIAS",IF(E2694&lt;=60,"ATENCAO (31-60 DIAS)","OK"))))</f>
        <v/>
      </c>
      <c r="G2694" s="13">
        <f>SUMIFS(Movimentacoes!$G:$G,Movimentacoes!$C:$C,$A2694,Movimentacoes!$E:$E,$C2694,Movimentacoes!$B:$B,"ENTRADA")</f>
        <v/>
      </c>
      <c r="H2694" s="13">
        <f>SUMIFS(Movimentacoes!$G:$G,Movimentacoes!$C:$C,$A2694,Movimentacoes!$E:$E,$C2694,Movimentacoes!$B:$B,"SAIDA_USO")</f>
        <v/>
      </c>
      <c r="I2694" s="13">
        <f>SUMIFS(Movimentacoes!$G:$G,Movimentacoes!$C:$C,$A2694,Movimentacoes!$E:$E,$C2694,Movimentacoes!$B:$B,"SAIDA_DESCARTE")</f>
        <v/>
      </c>
      <c r="J2694" s="13">
        <f>G2694-H2694-I2694</f>
        <v/>
      </c>
      <c r="K2694">
        <f>IF(A2694="","",IF(J2694&lt;=IFERROR(VLOOKUP(A2694,Cadastro_Produtos!$A:$E,5,FALSE),0),"ABAIXO DO MINIMO","OK"))</f>
        <v/>
      </c>
    </row>
    <row r="2695">
      <c r="B2695">
        <f>IFERROR(VLOOKUP(A2695,Cadastro_Produtos!A:B,2,FALSE),"")</f>
        <v/>
      </c>
      <c r="D2695" s="12" t="n"/>
      <c r="E2695" s="13">
        <f>IF(D2695="","",D2695-TODAY())</f>
        <v/>
      </c>
      <c r="F2695">
        <f>IF(D2695="","",IF(E2695&lt;0,"VENCIDO",IF(E2695&lt;=30,"VENCE EM &lt;= 30 DIAS",IF(E2695&lt;=60,"ATENCAO (31-60 DIAS)","OK"))))</f>
        <v/>
      </c>
      <c r="G2695" s="13">
        <f>SUMIFS(Movimentacoes!$G:$G,Movimentacoes!$C:$C,$A2695,Movimentacoes!$E:$E,$C2695,Movimentacoes!$B:$B,"ENTRADA")</f>
        <v/>
      </c>
      <c r="H2695" s="13">
        <f>SUMIFS(Movimentacoes!$G:$G,Movimentacoes!$C:$C,$A2695,Movimentacoes!$E:$E,$C2695,Movimentacoes!$B:$B,"SAIDA_USO")</f>
        <v/>
      </c>
      <c r="I2695" s="13">
        <f>SUMIFS(Movimentacoes!$G:$G,Movimentacoes!$C:$C,$A2695,Movimentacoes!$E:$E,$C2695,Movimentacoes!$B:$B,"SAIDA_DESCARTE")</f>
        <v/>
      </c>
      <c r="J2695" s="13">
        <f>G2695-H2695-I2695</f>
        <v/>
      </c>
      <c r="K2695">
        <f>IF(A2695="","",IF(J2695&lt;=IFERROR(VLOOKUP(A2695,Cadastro_Produtos!$A:$E,5,FALSE),0),"ABAIXO DO MINIMO","OK"))</f>
        <v/>
      </c>
    </row>
    <row r="2696">
      <c r="B2696">
        <f>IFERROR(VLOOKUP(A2696,Cadastro_Produtos!A:B,2,FALSE),"")</f>
        <v/>
      </c>
      <c r="D2696" s="12" t="n"/>
      <c r="E2696" s="13">
        <f>IF(D2696="","",D2696-TODAY())</f>
        <v/>
      </c>
      <c r="F2696">
        <f>IF(D2696="","",IF(E2696&lt;0,"VENCIDO",IF(E2696&lt;=30,"VENCE EM &lt;= 30 DIAS",IF(E2696&lt;=60,"ATENCAO (31-60 DIAS)","OK"))))</f>
        <v/>
      </c>
      <c r="G2696" s="13">
        <f>SUMIFS(Movimentacoes!$G:$G,Movimentacoes!$C:$C,$A2696,Movimentacoes!$E:$E,$C2696,Movimentacoes!$B:$B,"ENTRADA")</f>
        <v/>
      </c>
      <c r="H2696" s="13">
        <f>SUMIFS(Movimentacoes!$G:$G,Movimentacoes!$C:$C,$A2696,Movimentacoes!$E:$E,$C2696,Movimentacoes!$B:$B,"SAIDA_USO")</f>
        <v/>
      </c>
      <c r="I2696" s="13">
        <f>SUMIFS(Movimentacoes!$G:$G,Movimentacoes!$C:$C,$A2696,Movimentacoes!$E:$E,$C2696,Movimentacoes!$B:$B,"SAIDA_DESCARTE")</f>
        <v/>
      </c>
      <c r="J2696" s="13">
        <f>G2696-H2696-I2696</f>
        <v/>
      </c>
      <c r="K2696">
        <f>IF(A2696="","",IF(J2696&lt;=IFERROR(VLOOKUP(A2696,Cadastro_Produtos!$A:$E,5,FALSE),0),"ABAIXO DO MINIMO","OK"))</f>
        <v/>
      </c>
    </row>
    <row r="2697">
      <c r="B2697">
        <f>IFERROR(VLOOKUP(A2697,Cadastro_Produtos!A:B,2,FALSE),"")</f>
        <v/>
      </c>
      <c r="D2697" s="12" t="n"/>
      <c r="E2697" s="13">
        <f>IF(D2697="","",D2697-TODAY())</f>
        <v/>
      </c>
      <c r="F2697">
        <f>IF(D2697="","",IF(E2697&lt;0,"VENCIDO",IF(E2697&lt;=30,"VENCE EM &lt;= 30 DIAS",IF(E2697&lt;=60,"ATENCAO (31-60 DIAS)","OK"))))</f>
        <v/>
      </c>
      <c r="G2697" s="13">
        <f>SUMIFS(Movimentacoes!$G:$G,Movimentacoes!$C:$C,$A2697,Movimentacoes!$E:$E,$C2697,Movimentacoes!$B:$B,"ENTRADA")</f>
        <v/>
      </c>
      <c r="H2697" s="13">
        <f>SUMIFS(Movimentacoes!$G:$G,Movimentacoes!$C:$C,$A2697,Movimentacoes!$E:$E,$C2697,Movimentacoes!$B:$B,"SAIDA_USO")</f>
        <v/>
      </c>
      <c r="I2697" s="13">
        <f>SUMIFS(Movimentacoes!$G:$G,Movimentacoes!$C:$C,$A2697,Movimentacoes!$E:$E,$C2697,Movimentacoes!$B:$B,"SAIDA_DESCARTE")</f>
        <v/>
      </c>
      <c r="J2697" s="13">
        <f>G2697-H2697-I2697</f>
        <v/>
      </c>
      <c r="K2697">
        <f>IF(A2697="","",IF(J2697&lt;=IFERROR(VLOOKUP(A2697,Cadastro_Produtos!$A:$E,5,FALSE),0),"ABAIXO DO MINIMO","OK"))</f>
        <v/>
      </c>
    </row>
    <row r="2698">
      <c r="B2698">
        <f>IFERROR(VLOOKUP(A2698,Cadastro_Produtos!A:B,2,FALSE),"")</f>
        <v/>
      </c>
      <c r="D2698" s="12" t="n"/>
      <c r="E2698" s="13">
        <f>IF(D2698="","",D2698-TODAY())</f>
        <v/>
      </c>
      <c r="F2698">
        <f>IF(D2698="","",IF(E2698&lt;0,"VENCIDO",IF(E2698&lt;=30,"VENCE EM &lt;= 30 DIAS",IF(E2698&lt;=60,"ATENCAO (31-60 DIAS)","OK"))))</f>
        <v/>
      </c>
      <c r="G2698" s="13">
        <f>SUMIFS(Movimentacoes!$G:$G,Movimentacoes!$C:$C,$A2698,Movimentacoes!$E:$E,$C2698,Movimentacoes!$B:$B,"ENTRADA")</f>
        <v/>
      </c>
      <c r="H2698" s="13">
        <f>SUMIFS(Movimentacoes!$G:$G,Movimentacoes!$C:$C,$A2698,Movimentacoes!$E:$E,$C2698,Movimentacoes!$B:$B,"SAIDA_USO")</f>
        <v/>
      </c>
      <c r="I2698" s="13">
        <f>SUMIFS(Movimentacoes!$G:$G,Movimentacoes!$C:$C,$A2698,Movimentacoes!$E:$E,$C2698,Movimentacoes!$B:$B,"SAIDA_DESCARTE")</f>
        <v/>
      </c>
      <c r="J2698" s="13">
        <f>G2698-H2698-I2698</f>
        <v/>
      </c>
      <c r="K2698">
        <f>IF(A2698="","",IF(J2698&lt;=IFERROR(VLOOKUP(A2698,Cadastro_Produtos!$A:$E,5,FALSE),0),"ABAIXO DO MINIMO","OK"))</f>
        <v/>
      </c>
    </row>
    <row r="2699">
      <c r="B2699">
        <f>IFERROR(VLOOKUP(A2699,Cadastro_Produtos!A:B,2,FALSE),"")</f>
        <v/>
      </c>
      <c r="D2699" s="12" t="n"/>
      <c r="E2699" s="13">
        <f>IF(D2699="","",D2699-TODAY())</f>
        <v/>
      </c>
      <c r="F2699">
        <f>IF(D2699="","",IF(E2699&lt;0,"VENCIDO",IF(E2699&lt;=30,"VENCE EM &lt;= 30 DIAS",IF(E2699&lt;=60,"ATENCAO (31-60 DIAS)","OK"))))</f>
        <v/>
      </c>
      <c r="G2699" s="13">
        <f>SUMIFS(Movimentacoes!$G:$G,Movimentacoes!$C:$C,$A2699,Movimentacoes!$E:$E,$C2699,Movimentacoes!$B:$B,"ENTRADA")</f>
        <v/>
      </c>
      <c r="H2699" s="13">
        <f>SUMIFS(Movimentacoes!$G:$G,Movimentacoes!$C:$C,$A2699,Movimentacoes!$E:$E,$C2699,Movimentacoes!$B:$B,"SAIDA_USO")</f>
        <v/>
      </c>
      <c r="I2699" s="13">
        <f>SUMIFS(Movimentacoes!$G:$G,Movimentacoes!$C:$C,$A2699,Movimentacoes!$E:$E,$C2699,Movimentacoes!$B:$B,"SAIDA_DESCARTE")</f>
        <v/>
      </c>
      <c r="J2699" s="13">
        <f>G2699-H2699-I2699</f>
        <v/>
      </c>
      <c r="K2699">
        <f>IF(A2699="","",IF(J2699&lt;=IFERROR(VLOOKUP(A2699,Cadastro_Produtos!$A:$E,5,FALSE),0),"ABAIXO DO MINIMO","OK"))</f>
        <v/>
      </c>
    </row>
    <row r="2700">
      <c r="B2700">
        <f>IFERROR(VLOOKUP(A2700,Cadastro_Produtos!A:B,2,FALSE),"")</f>
        <v/>
      </c>
      <c r="D2700" s="12" t="n"/>
      <c r="E2700" s="13">
        <f>IF(D2700="","",D2700-TODAY())</f>
        <v/>
      </c>
      <c r="F2700">
        <f>IF(D2700="","",IF(E2700&lt;0,"VENCIDO",IF(E2700&lt;=30,"VENCE EM &lt;= 30 DIAS",IF(E2700&lt;=60,"ATENCAO (31-60 DIAS)","OK"))))</f>
        <v/>
      </c>
      <c r="G2700" s="13">
        <f>SUMIFS(Movimentacoes!$G:$G,Movimentacoes!$C:$C,$A2700,Movimentacoes!$E:$E,$C2700,Movimentacoes!$B:$B,"ENTRADA")</f>
        <v/>
      </c>
      <c r="H2700" s="13">
        <f>SUMIFS(Movimentacoes!$G:$G,Movimentacoes!$C:$C,$A2700,Movimentacoes!$E:$E,$C2700,Movimentacoes!$B:$B,"SAIDA_USO")</f>
        <v/>
      </c>
      <c r="I2700" s="13">
        <f>SUMIFS(Movimentacoes!$G:$G,Movimentacoes!$C:$C,$A2700,Movimentacoes!$E:$E,$C2700,Movimentacoes!$B:$B,"SAIDA_DESCARTE")</f>
        <v/>
      </c>
      <c r="J2700" s="13">
        <f>G2700-H2700-I2700</f>
        <v/>
      </c>
      <c r="K2700">
        <f>IF(A2700="","",IF(J2700&lt;=IFERROR(VLOOKUP(A2700,Cadastro_Produtos!$A:$E,5,FALSE),0),"ABAIXO DO MINIMO","OK"))</f>
        <v/>
      </c>
    </row>
    <row r="2701">
      <c r="B2701">
        <f>IFERROR(VLOOKUP(A2701,Cadastro_Produtos!A:B,2,FALSE),"")</f>
        <v/>
      </c>
      <c r="D2701" s="12" t="n"/>
      <c r="E2701" s="13">
        <f>IF(D2701="","",D2701-TODAY())</f>
        <v/>
      </c>
      <c r="F2701">
        <f>IF(D2701="","",IF(E2701&lt;0,"VENCIDO",IF(E2701&lt;=30,"VENCE EM &lt;= 30 DIAS",IF(E2701&lt;=60,"ATENCAO (31-60 DIAS)","OK"))))</f>
        <v/>
      </c>
      <c r="G2701" s="13">
        <f>SUMIFS(Movimentacoes!$G:$G,Movimentacoes!$C:$C,$A2701,Movimentacoes!$E:$E,$C2701,Movimentacoes!$B:$B,"ENTRADA")</f>
        <v/>
      </c>
      <c r="H2701" s="13">
        <f>SUMIFS(Movimentacoes!$G:$G,Movimentacoes!$C:$C,$A2701,Movimentacoes!$E:$E,$C2701,Movimentacoes!$B:$B,"SAIDA_USO")</f>
        <v/>
      </c>
      <c r="I2701" s="13">
        <f>SUMIFS(Movimentacoes!$G:$G,Movimentacoes!$C:$C,$A2701,Movimentacoes!$E:$E,$C2701,Movimentacoes!$B:$B,"SAIDA_DESCARTE")</f>
        <v/>
      </c>
      <c r="J2701" s="13">
        <f>G2701-H2701-I2701</f>
        <v/>
      </c>
      <c r="K2701">
        <f>IF(A2701="","",IF(J2701&lt;=IFERROR(VLOOKUP(A2701,Cadastro_Produtos!$A:$E,5,FALSE),0),"ABAIXO DO MINIMO","OK"))</f>
        <v/>
      </c>
    </row>
    <row r="2702">
      <c r="B2702">
        <f>IFERROR(VLOOKUP(A2702,Cadastro_Produtos!A:B,2,FALSE),"")</f>
        <v/>
      </c>
      <c r="D2702" s="12" t="n"/>
      <c r="E2702" s="13">
        <f>IF(D2702="","",D2702-TODAY())</f>
        <v/>
      </c>
      <c r="F2702">
        <f>IF(D2702="","",IF(E2702&lt;0,"VENCIDO",IF(E2702&lt;=30,"VENCE EM &lt;= 30 DIAS",IF(E2702&lt;=60,"ATENCAO (31-60 DIAS)","OK"))))</f>
        <v/>
      </c>
      <c r="G2702" s="13">
        <f>SUMIFS(Movimentacoes!$G:$G,Movimentacoes!$C:$C,$A2702,Movimentacoes!$E:$E,$C2702,Movimentacoes!$B:$B,"ENTRADA")</f>
        <v/>
      </c>
      <c r="H2702" s="13">
        <f>SUMIFS(Movimentacoes!$G:$G,Movimentacoes!$C:$C,$A2702,Movimentacoes!$E:$E,$C2702,Movimentacoes!$B:$B,"SAIDA_USO")</f>
        <v/>
      </c>
      <c r="I2702" s="13">
        <f>SUMIFS(Movimentacoes!$G:$G,Movimentacoes!$C:$C,$A2702,Movimentacoes!$E:$E,$C2702,Movimentacoes!$B:$B,"SAIDA_DESCARTE")</f>
        <v/>
      </c>
      <c r="J2702" s="13">
        <f>G2702-H2702-I2702</f>
        <v/>
      </c>
      <c r="K2702">
        <f>IF(A2702="","",IF(J2702&lt;=IFERROR(VLOOKUP(A2702,Cadastro_Produtos!$A:$E,5,FALSE),0),"ABAIXO DO MINIMO","OK"))</f>
        <v/>
      </c>
    </row>
    <row r="2703">
      <c r="B2703">
        <f>IFERROR(VLOOKUP(A2703,Cadastro_Produtos!A:B,2,FALSE),"")</f>
        <v/>
      </c>
      <c r="D2703" s="12" t="n"/>
      <c r="E2703" s="13">
        <f>IF(D2703="","",D2703-TODAY())</f>
        <v/>
      </c>
      <c r="F2703">
        <f>IF(D2703="","",IF(E2703&lt;0,"VENCIDO",IF(E2703&lt;=30,"VENCE EM &lt;= 30 DIAS",IF(E2703&lt;=60,"ATENCAO (31-60 DIAS)","OK"))))</f>
        <v/>
      </c>
      <c r="G2703" s="13">
        <f>SUMIFS(Movimentacoes!$G:$G,Movimentacoes!$C:$C,$A2703,Movimentacoes!$E:$E,$C2703,Movimentacoes!$B:$B,"ENTRADA")</f>
        <v/>
      </c>
      <c r="H2703" s="13">
        <f>SUMIFS(Movimentacoes!$G:$G,Movimentacoes!$C:$C,$A2703,Movimentacoes!$E:$E,$C2703,Movimentacoes!$B:$B,"SAIDA_USO")</f>
        <v/>
      </c>
      <c r="I2703" s="13">
        <f>SUMIFS(Movimentacoes!$G:$G,Movimentacoes!$C:$C,$A2703,Movimentacoes!$E:$E,$C2703,Movimentacoes!$B:$B,"SAIDA_DESCARTE")</f>
        <v/>
      </c>
      <c r="J2703" s="13">
        <f>G2703-H2703-I2703</f>
        <v/>
      </c>
      <c r="K2703">
        <f>IF(A2703="","",IF(J2703&lt;=IFERROR(VLOOKUP(A2703,Cadastro_Produtos!$A:$E,5,FALSE),0),"ABAIXO DO MINIMO","OK"))</f>
        <v/>
      </c>
    </row>
    <row r="2704">
      <c r="B2704">
        <f>IFERROR(VLOOKUP(A2704,Cadastro_Produtos!A:B,2,FALSE),"")</f>
        <v/>
      </c>
      <c r="D2704" s="12" t="n"/>
      <c r="E2704" s="13">
        <f>IF(D2704="","",D2704-TODAY())</f>
        <v/>
      </c>
      <c r="F2704">
        <f>IF(D2704="","",IF(E2704&lt;0,"VENCIDO",IF(E2704&lt;=30,"VENCE EM &lt;= 30 DIAS",IF(E2704&lt;=60,"ATENCAO (31-60 DIAS)","OK"))))</f>
        <v/>
      </c>
      <c r="G2704" s="13">
        <f>SUMIFS(Movimentacoes!$G:$G,Movimentacoes!$C:$C,$A2704,Movimentacoes!$E:$E,$C2704,Movimentacoes!$B:$B,"ENTRADA")</f>
        <v/>
      </c>
      <c r="H2704" s="13">
        <f>SUMIFS(Movimentacoes!$G:$G,Movimentacoes!$C:$C,$A2704,Movimentacoes!$E:$E,$C2704,Movimentacoes!$B:$B,"SAIDA_USO")</f>
        <v/>
      </c>
      <c r="I2704" s="13">
        <f>SUMIFS(Movimentacoes!$G:$G,Movimentacoes!$C:$C,$A2704,Movimentacoes!$E:$E,$C2704,Movimentacoes!$B:$B,"SAIDA_DESCARTE")</f>
        <v/>
      </c>
      <c r="J2704" s="13">
        <f>G2704-H2704-I2704</f>
        <v/>
      </c>
      <c r="K2704">
        <f>IF(A2704="","",IF(J2704&lt;=IFERROR(VLOOKUP(A2704,Cadastro_Produtos!$A:$E,5,FALSE),0),"ABAIXO DO MINIMO","OK"))</f>
        <v/>
      </c>
    </row>
    <row r="2705">
      <c r="B2705">
        <f>IFERROR(VLOOKUP(A2705,Cadastro_Produtos!A:B,2,FALSE),"")</f>
        <v/>
      </c>
      <c r="D2705" s="12" t="n"/>
      <c r="E2705" s="13">
        <f>IF(D2705="","",D2705-TODAY())</f>
        <v/>
      </c>
      <c r="F2705">
        <f>IF(D2705="","",IF(E2705&lt;0,"VENCIDO",IF(E2705&lt;=30,"VENCE EM &lt;= 30 DIAS",IF(E2705&lt;=60,"ATENCAO (31-60 DIAS)","OK"))))</f>
        <v/>
      </c>
      <c r="G2705" s="13">
        <f>SUMIFS(Movimentacoes!$G:$G,Movimentacoes!$C:$C,$A2705,Movimentacoes!$E:$E,$C2705,Movimentacoes!$B:$B,"ENTRADA")</f>
        <v/>
      </c>
      <c r="H2705" s="13">
        <f>SUMIFS(Movimentacoes!$G:$G,Movimentacoes!$C:$C,$A2705,Movimentacoes!$E:$E,$C2705,Movimentacoes!$B:$B,"SAIDA_USO")</f>
        <v/>
      </c>
      <c r="I2705" s="13">
        <f>SUMIFS(Movimentacoes!$G:$G,Movimentacoes!$C:$C,$A2705,Movimentacoes!$E:$E,$C2705,Movimentacoes!$B:$B,"SAIDA_DESCARTE")</f>
        <v/>
      </c>
      <c r="J2705" s="13">
        <f>G2705-H2705-I2705</f>
        <v/>
      </c>
      <c r="K2705">
        <f>IF(A2705="","",IF(J2705&lt;=IFERROR(VLOOKUP(A2705,Cadastro_Produtos!$A:$E,5,FALSE),0),"ABAIXO DO MINIMO","OK"))</f>
        <v/>
      </c>
    </row>
    <row r="2706">
      <c r="B2706">
        <f>IFERROR(VLOOKUP(A2706,Cadastro_Produtos!A:B,2,FALSE),"")</f>
        <v/>
      </c>
      <c r="D2706" s="12" t="n"/>
      <c r="E2706" s="13">
        <f>IF(D2706="","",D2706-TODAY())</f>
        <v/>
      </c>
      <c r="F2706">
        <f>IF(D2706="","",IF(E2706&lt;0,"VENCIDO",IF(E2706&lt;=30,"VENCE EM &lt;= 30 DIAS",IF(E2706&lt;=60,"ATENCAO (31-60 DIAS)","OK"))))</f>
        <v/>
      </c>
      <c r="G2706" s="13">
        <f>SUMIFS(Movimentacoes!$G:$G,Movimentacoes!$C:$C,$A2706,Movimentacoes!$E:$E,$C2706,Movimentacoes!$B:$B,"ENTRADA")</f>
        <v/>
      </c>
      <c r="H2706" s="13">
        <f>SUMIFS(Movimentacoes!$G:$G,Movimentacoes!$C:$C,$A2706,Movimentacoes!$E:$E,$C2706,Movimentacoes!$B:$B,"SAIDA_USO")</f>
        <v/>
      </c>
      <c r="I2706" s="13">
        <f>SUMIFS(Movimentacoes!$G:$G,Movimentacoes!$C:$C,$A2706,Movimentacoes!$E:$E,$C2706,Movimentacoes!$B:$B,"SAIDA_DESCARTE")</f>
        <v/>
      </c>
      <c r="J2706" s="13">
        <f>G2706-H2706-I2706</f>
        <v/>
      </c>
      <c r="K2706">
        <f>IF(A2706="","",IF(J2706&lt;=IFERROR(VLOOKUP(A2706,Cadastro_Produtos!$A:$E,5,FALSE),0),"ABAIXO DO MINIMO","OK"))</f>
        <v/>
      </c>
    </row>
    <row r="2707">
      <c r="B2707">
        <f>IFERROR(VLOOKUP(A2707,Cadastro_Produtos!A:B,2,FALSE),"")</f>
        <v/>
      </c>
      <c r="D2707" s="12" t="n"/>
      <c r="E2707" s="13">
        <f>IF(D2707="","",D2707-TODAY())</f>
        <v/>
      </c>
      <c r="F2707">
        <f>IF(D2707="","",IF(E2707&lt;0,"VENCIDO",IF(E2707&lt;=30,"VENCE EM &lt;= 30 DIAS",IF(E2707&lt;=60,"ATENCAO (31-60 DIAS)","OK"))))</f>
        <v/>
      </c>
      <c r="G2707" s="13">
        <f>SUMIFS(Movimentacoes!$G:$G,Movimentacoes!$C:$C,$A2707,Movimentacoes!$E:$E,$C2707,Movimentacoes!$B:$B,"ENTRADA")</f>
        <v/>
      </c>
      <c r="H2707" s="13">
        <f>SUMIFS(Movimentacoes!$G:$G,Movimentacoes!$C:$C,$A2707,Movimentacoes!$E:$E,$C2707,Movimentacoes!$B:$B,"SAIDA_USO")</f>
        <v/>
      </c>
      <c r="I2707" s="13">
        <f>SUMIFS(Movimentacoes!$G:$G,Movimentacoes!$C:$C,$A2707,Movimentacoes!$E:$E,$C2707,Movimentacoes!$B:$B,"SAIDA_DESCARTE")</f>
        <v/>
      </c>
      <c r="J2707" s="13">
        <f>G2707-H2707-I2707</f>
        <v/>
      </c>
      <c r="K2707">
        <f>IF(A2707="","",IF(J2707&lt;=IFERROR(VLOOKUP(A2707,Cadastro_Produtos!$A:$E,5,FALSE),0),"ABAIXO DO MINIMO","OK"))</f>
        <v/>
      </c>
    </row>
    <row r="2708">
      <c r="B2708">
        <f>IFERROR(VLOOKUP(A2708,Cadastro_Produtos!A:B,2,FALSE),"")</f>
        <v/>
      </c>
      <c r="D2708" s="12" t="n"/>
      <c r="E2708" s="13">
        <f>IF(D2708="","",D2708-TODAY())</f>
        <v/>
      </c>
      <c r="F2708">
        <f>IF(D2708="","",IF(E2708&lt;0,"VENCIDO",IF(E2708&lt;=30,"VENCE EM &lt;= 30 DIAS",IF(E2708&lt;=60,"ATENCAO (31-60 DIAS)","OK"))))</f>
        <v/>
      </c>
      <c r="G2708" s="13">
        <f>SUMIFS(Movimentacoes!$G:$G,Movimentacoes!$C:$C,$A2708,Movimentacoes!$E:$E,$C2708,Movimentacoes!$B:$B,"ENTRADA")</f>
        <v/>
      </c>
      <c r="H2708" s="13">
        <f>SUMIFS(Movimentacoes!$G:$G,Movimentacoes!$C:$C,$A2708,Movimentacoes!$E:$E,$C2708,Movimentacoes!$B:$B,"SAIDA_USO")</f>
        <v/>
      </c>
      <c r="I2708" s="13">
        <f>SUMIFS(Movimentacoes!$G:$G,Movimentacoes!$C:$C,$A2708,Movimentacoes!$E:$E,$C2708,Movimentacoes!$B:$B,"SAIDA_DESCARTE")</f>
        <v/>
      </c>
      <c r="J2708" s="13">
        <f>G2708-H2708-I2708</f>
        <v/>
      </c>
      <c r="K2708">
        <f>IF(A2708="","",IF(J2708&lt;=IFERROR(VLOOKUP(A2708,Cadastro_Produtos!$A:$E,5,FALSE),0),"ABAIXO DO MINIMO","OK"))</f>
        <v/>
      </c>
    </row>
    <row r="2709">
      <c r="B2709">
        <f>IFERROR(VLOOKUP(A2709,Cadastro_Produtos!A:B,2,FALSE),"")</f>
        <v/>
      </c>
      <c r="D2709" s="12" t="n"/>
      <c r="E2709" s="13">
        <f>IF(D2709="","",D2709-TODAY())</f>
        <v/>
      </c>
      <c r="F2709">
        <f>IF(D2709="","",IF(E2709&lt;0,"VENCIDO",IF(E2709&lt;=30,"VENCE EM &lt;= 30 DIAS",IF(E2709&lt;=60,"ATENCAO (31-60 DIAS)","OK"))))</f>
        <v/>
      </c>
      <c r="G2709" s="13">
        <f>SUMIFS(Movimentacoes!$G:$G,Movimentacoes!$C:$C,$A2709,Movimentacoes!$E:$E,$C2709,Movimentacoes!$B:$B,"ENTRADA")</f>
        <v/>
      </c>
      <c r="H2709" s="13">
        <f>SUMIFS(Movimentacoes!$G:$G,Movimentacoes!$C:$C,$A2709,Movimentacoes!$E:$E,$C2709,Movimentacoes!$B:$B,"SAIDA_USO")</f>
        <v/>
      </c>
      <c r="I2709" s="13">
        <f>SUMIFS(Movimentacoes!$G:$G,Movimentacoes!$C:$C,$A2709,Movimentacoes!$E:$E,$C2709,Movimentacoes!$B:$B,"SAIDA_DESCARTE")</f>
        <v/>
      </c>
      <c r="J2709" s="13">
        <f>G2709-H2709-I2709</f>
        <v/>
      </c>
      <c r="K2709">
        <f>IF(A2709="","",IF(J2709&lt;=IFERROR(VLOOKUP(A2709,Cadastro_Produtos!$A:$E,5,FALSE),0),"ABAIXO DO MINIMO","OK"))</f>
        <v/>
      </c>
    </row>
    <row r="2710">
      <c r="B2710">
        <f>IFERROR(VLOOKUP(A2710,Cadastro_Produtos!A:B,2,FALSE),"")</f>
        <v/>
      </c>
      <c r="D2710" s="12" t="n"/>
      <c r="E2710" s="13">
        <f>IF(D2710="","",D2710-TODAY())</f>
        <v/>
      </c>
      <c r="F2710">
        <f>IF(D2710="","",IF(E2710&lt;0,"VENCIDO",IF(E2710&lt;=30,"VENCE EM &lt;= 30 DIAS",IF(E2710&lt;=60,"ATENCAO (31-60 DIAS)","OK"))))</f>
        <v/>
      </c>
      <c r="G2710" s="13">
        <f>SUMIFS(Movimentacoes!$G:$G,Movimentacoes!$C:$C,$A2710,Movimentacoes!$E:$E,$C2710,Movimentacoes!$B:$B,"ENTRADA")</f>
        <v/>
      </c>
      <c r="H2710" s="13">
        <f>SUMIFS(Movimentacoes!$G:$G,Movimentacoes!$C:$C,$A2710,Movimentacoes!$E:$E,$C2710,Movimentacoes!$B:$B,"SAIDA_USO")</f>
        <v/>
      </c>
      <c r="I2710" s="13">
        <f>SUMIFS(Movimentacoes!$G:$G,Movimentacoes!$C:$C,$A2710,Movimentacoes!$E:$E,$C2710,Movimentacoes!$B:$B,"SAIDA_DESCARTE")</f>
        <v/>
      </c>
      <c r="J2710" s="13">
        <f>G2710-H2710-I2710</f>
        <v/>
      </c>
      <c r="K2710">
        <f>IF(A2710="","",IF(J2710&lt;=IFERROR(VLOOKUP(A2710,Cadastro_Produtos!$A:$E,5,FALSE),0),"ABAIXO DO MINIMO","OK"))</f>
        <v/>
      </c>
    </row>
    <row r="2711">
      <c r="B2711">
        <f>IFERROR(VLOOKUP(A2711,Cadastro_Produtos!A:B,2,FALSE),"")</f>
        <v/>
      </c>
      <c r="D2711" s="12" t="n"/>
      <c r="E2711" s="13">
        <f>IF(D2711="","",D2711-TODAY())</f>
        <v/>
      </c>
      <c r="F2711">
        <f>IF(D2711="","",IF(E2711&lt;0,"VENCIDO",IF(E2711&lt;=30,"VENCE EM &lt;= 30 DIAS",IF(E2711&lt;=60,"ATENCAO (31-60 DIAS)","OK"))))</f>
        <v/>
      </c>
      <c r="G2711" s="13">
        <f>SUMIFS(Movimentacoes!$G:$G,Movimentacoes!$C:$C,$A2711,Movimentacoes!$E:$E,$C2711,Movimentacoes!$B:$B,"ENTRADA")</f>
        <v/>
      </c>
      <c r="H2711" s="13">
        <f>SUMIFS(Movimentacoes!$G:$G,Movimentacoes!$C:$C,$A2711,Movimentacoes!$E:$E,$C2711,Movimentacoes!$B:$B,"SAIDA_USO")</f>
        <v/>
      </c>
      <c r="I2711" s="13">
        <f>SUMIFS(Movimentacoes!$G:$G,Movimentacoes!$C:$C,$A2711,Movimentacoes!$E:$E,$C2711,Movimentacoes!$B:$B,"SAIDA_DESCARTE")</f>
        <v/>
      </c>
      <c r="J2711" s="13">
        <f>G2711-H2711-I2711</f>
        <v/>
      </c>
      <c r="K2711">
        <f>IF(A2711="","",IF(J2711&lt;=IFERROR(VLOOKUP(A2711,Cadastro_Produtos!$A:$E,5,FALSE),0),"ABAIXO DO MINIMO","OK"))</f>
        <v/>
      </c>
    </row>
    <row r="2712">
      <c r="B2712">
        <f>IFERROR(VLOOKUP(A2712,Cadastro_Produtos!A:B,2,FALSE),"")</f>
        <v/>
      </c>
      <c r="D2712" s="12" t="n"/>
      <c r="E2712" s="13">
        <f>IF(D2712="","",D2712-TODAY())</f>
        <v/>
      </c>
      <c r="F2712">
        <f>IF(D2712="","",IF(E2712&lt;0,"VENCIDO",IF(E2712&lt;=30,"VENCE EM &lt;= 30 DIAS",IF(E2712&lt;=60,"ATENCAO (31-60 DIAS)","OK"))))</f>
        <v/>
      </c>
      <c r="G2712" s="13">
        <f>SUMIFS(Movimentacoes!$G:$G,Movimentacoes!$C:$C,$A2712,Movimentacoes!$E:$E,$C2712,Movimentacoes!$B:$B,"ENTRADA")</f>
        <v/>
      </c>
      <c r="H2712" s="13">
        <f>SUMIFS(Movimentacoes!$G:$G,Movimentacoes!$C:$C,$A2712,Movimentacoes!$E:$E,$C2712,Movimentacoes!$B:$B,"SAIDA_USO")</f>
        <v/>
      </c>
      <c r="I2712" s="13">
        <f>SUMIFS(Movimentacoes!$G:$G,Movimentacoes!$C:$C,$A2712,Movimentacoes!$E:$E,$C2712,Movimentacoes!$B:$B,"SAIDA_DESCARTE")</f>
        <v/>
      </c>
      <c r="J2712" s="13">
        <f>G2712-H2712-I2712</f>
        <v/>
      </c>
      <c r="K2712">
        <f>IF(A2712="","",IF(J2712&lt;=IFERROR(VLOOKUP(A2712,Cadastro_Produtos!$A:$E,5,FALSE),0),"ABAIXO DO MINIMO","OK"))</f>
        <v/>
      </c>
    </row>
    <row r="2713">
      <c r="B2713">
        <f>IFERROR(VLOOKUP(A2713,Cadastro_Produtos!A:B,2,FALSE),"")</f>
        <v/>
      </c>
      <c r="D2713" s="12" t="n"/>
      <c r="E2713" s="13">
        <f>IF(D2713="","",D2713-TODAY())</f>
        <v/>
      </c>
      <c r="F2713">
        <f>IF(D2713="","",IF(E2713&lt;0,"VENCIDO",IF(E2713&lt;=30,"VENCE EM &lt;= 30 DIAS",IF(E2713&lt;=60,"ATENCAO (31-60 DIAS)","OK"))))</f>
        <v/>
      </c>
      <c r="G2713" s="13">
        <f>SUMIFS(Movimentacoes!$G:$G,Movimentacoes!$C:$C,$A2713,Movimentacoes!$E:$E,$C2713,Movimentacoes!$B:$B,"ENTRADA")</f>
        <v/>
      </c>
      <c r="H2713" s="13">
        <f>SUMIFS(Movimentacoes!$G:$G,Movimentacoes!$C:$C,$A2713,Movimentacoes!$E:$E,$C2713,Movimentacoes!$B:$B,"SAIDA_USO")</f>
        <v/>
      </c>
      <c r="I2713" s="13">
        <f>SUMIFS(Movimentacoes!$G:$G,Movimentacoes!$C:$C,$A2713,Movimentacoes!$E:$E,$C2713,Movimentacoes!$B:$B,"SAIDA_DESCARTE")</f>
        <v/>
      </c>
      <c r="J2713" s="13">
        <f>G2713-H2713-I2713</f>
        <v/>
      </c>
      <c r="K2713">
        <f>IF(A2713="","",IF(J2713&lt;=IFERROR(VLOOKUP(A2713,Cadastro_Produtos!$A:$E,5,FALSE),0),"ABAIXO DO MINIMO","OK"))</f>
        <v/>
      </c>
    </row>
    <row r="2714">
      <c r="B2714">
        <f>IFERROR(VLOOKUP(A2714,Cadastro_Produtos!A:B,2,FALSE),"")</f>
        <v/>
      </c>
      <c r="D2714" s="12" t="n"/>
      <c r="E2714" s="13">
        <f>IF(D2714="","",D2714-TODAY())</f>
        <v/>
      </c>
      <c r="F2714">
        <f>IF(D2714="","",IF(E2714&lt;0,"VENCIDO",IF(E2714&lt;=30,"VENCE EM &lt;= 30 DIAS",IF(E2714&lt;=60,"ATENCAO (31-60 DIAS)","OK"))))</f>
        <v/>
      </c>
      <c r="G2714" s="13">
        <f>SUMIFS(Movimentacoes!$G:$G,Movimentacoes!$C:$C,$A2714,Movimentacoes!$E:$E,$C2714,Movimentacoes!$B:$B,"ENTRADA")</f>
        <v/>
      </c>
      <c r="H2714" s="13">
        <f>SUMIFS(Movimentacoes!$G:$G,Movimentacoes!$C:$C,$A2714,Movimentacoes!$E:$E,$C2714,Movimentacoes!$B:$B,"SAIDA_USO")</f>
        <v/>
      </c>
      <c r="I2714" s="13">
        <f>SUMIFS(Movimentacoes!$G:$G,Movimentacoes!$C:$C,$A2714,Movimentacoes!$E:$E,$C2714,Movimentacoes!$B:$B,"SAIDA_DESCARTE")</f>
        <v/>
      </c>
      <c r="J2714" s="13">
        <f>G2714-H2714-I2714</f>
        <v/>
      </c>
      <c r="K2714">
        <f>IF(A2714="","",IF(J2714&lt;=IFERROR(VLOOKUP(A2714,Cadastro_Produtos!$A:$E,5,FALSE),0),"ABAIXO DO MINIMO","OK"))</f>
        <v/>
      </c>
    </row>
    <row r="2715">
      <c r="B2715">
        <f>IFERROR(VLOOKUP(A2715,Cadastro_Produtos!A:B,2,FALSE),"")</f>
        <v/>
      </c>
      <c r="D2715" s="12" t="n"/>
      <c r="E2715" s="13">
        <f>IF(D2715="","",D2715-TODAY())</f>
        <v/>
      </c>
      <c r="F2715">
        <f>IF(D2715="","",IF(E2715&lt;0,"VENCIDO",IF(E2715&lt;=30,"VENCE EM &lt;= 30 DIAS",IF(E2715&lt;=60,"ATENCAO (31-60 DIAS)","OK"))))</f>
        <v/>
      </c>
      <c r="G2715" s="13">
        <f>SUMIFS(Movimentacoes!$G:$G,Movimentacoes!$C:$C,$A2715,Movimentacoes!$E:$E,$C2715,Movimentacoes!$B:$B,"ENTRADA")</f>
        <v/>
      </c>
      <c r="H2715" s="13">
        <f>SUMIFS(Movimentacoes!$G:$G,Movimentacoes!$C:$C,$A2715,Movimentacoes!$E:$E,$C2715,Movimentacoes!$B:$B,"SAIDA_USO")</f>
        <v/>
      </c>
      <c r="I2715" s="13">
        <f>SUMIFS(Movimentacoes!$G:$G,Movimentacoes!$C:$C,$A2715,Movimentacoes!$E:$E,$C2715,Movimentacoes!$B:$B,"SAIDA_DESCARTE")</f>
        <v/>
      </c>
      <c r="J2715" s="13">
        <f>G2715-H2715-I2715</f>
        <v/>
      </c>
      <c r="K2715">
        <f>IF(A2715="","",IF(J2715&lt;=IFERROR(VLOOKUP(A2715,Cadastro_Produtos!$A:$E,5,FALSE),0),"ABAIXO DO MINIMO","OK"))</f>
        <v/>
      </c>
    </row>
    <row r="2716">
      <c r="B2716">
        <f>IFERROR(VLOOKUP(A2716,Cadastro_Produtos!A:B,2,FALSE),"")</f>
        <v/>
      </c>
      <c r="D2716" s="12" t="n"/>
      <c r="E2716" s="13">
        <f>IF(D2716="","",D2716-TODAY())</f>
        <v/>
      </c>
      <c r="F2716">
        <f>IF(D2716="","",IF(E2716&lt;0,"VENCIDO",IF(E2716&lt;=30,"VENCE EM &lt;= 30 DIAS",IF(E2716&lt;=60,"ATENCAO (31-60 DIAS)","OK"))))</f>
        <v/>
      </c>
      <c r="G2716" s="13">
        <f>SUMIFS(Movimentacoes!$G:$G,Movimentacoes!$C:$C,$A2716,Movimentacoes!$E:$E,$C2716,Movimentacoes!$B:$B,"ENTRADA")</f>
        <v/>
      </c>
      <c r="H2716" s="13">
        <f>SUMIFS(Movimentacoes!$G:$G,Movimentacoes!$C:$C,$A2716,Movimentacoes!$E:$E,$C2716,Movimentacoes!$B:$B,"SAIDA_USO")</f>
        <v/>
      </c>
      <c r="I2716" s="13">
        <f>SUMIFS(Movimentacoes!$G:$G,Movimentacoes!$C:$C,$A2716,Movimentacoes!$E:$E,$C2716,Movimentacoes!$B:$B,"SAIDA_DESCARTE")</f>
        <v/>
      </c>
      <c r="J2716" s="13">
        <f>G2716-H2716-I2716</f>
        <v/>
      </c>
      <c r="K2716">
        <f>IF(A2716="","",IF(J2716&lt;=IFERROR(VLOOKUP(A2716,Cadastro_Produtos!$A:$E,5,FALSE),0),"ABAIXO DO MINIMO","OK"))</f>
        <v/>
      </c>
    </row>
    <row r="2717">
      <c r="B2717">
        <f>IFERROR(VLOOKUP(A2717,Cadastro_Produtos!A:B,2,FALSE),"")</f>
        <v/>
      </c>
      <c r="D2717" s="12" t="n"/>
      <c r="E2717" s="13">
        <f>IF(D2717="","",D2717-TODAY())</f>
        <v/>
      </c>
      <c r="F2717">
        <f>IF(D2717="","",IF(E2717&lt;0,"VENCIDO",IF(E2717&lt;=30,"VENCE EM &lt;= 30 DIAS",IF(E2717&lt;=60,"ATENCAO (31-60 DIAS)","OK"))))</f>
        <v/>
      </c>
      <c r="G2717" s="13">
        <f>SUMIFS(Movimentacoes!$G:$G,Movimentacoes!$C:$C,$A2717,Movimentacoes!$E:$E,$C2717,Movimentacoes!$B:$B,"ENTRADA")</f>
        <v/>
      </c>
      <c r="H2717" s="13">
        <f>SUMIFS(Movimentacoes!$G:$G,Movimentacoes!$C:$C,$A2717,Movimentacoes!$E:$E,$C2717,Movimentacoes!$B:$B,"SAIDA_USO")</f>
        <v/>
      </c>
      <c r="I2717" s="13">
        <f>SUMIFS(Movimentacoes!$G:$G,Movimentacoes!$C:$C,$A2717,Movimentacoes!$E:$E,$C2717,Movimentacoes!$B:$B,"SAIDA_DESCARTE")</f>
        <v/>
      </c>
      <c r="J2717" s="13">
        <f>G2717-H2717-I2717</f>
        <v/>
      </c>
      <c r="K2717">
        <f>IF(A2717="","",IF(J2717&lt;=IFERROR(VLOOKUP(A2717,Cadastro_Produtos!$A:$E,5,FALSE),0),"ABAIXO DO MINIMO","OK"))</f>
        <v/>
      </c>
    </row>
    <row r="2718">
      <c r="B2718">
        <f>IFERROR(VLOOKUP(A2718,Cadastro_Produtos!A:B,2,FALSE),"")</f>
        <v/>
      </c>
      <c r="D2718" s="12" t="n"/>
      <c r="E2718" s="13">
        <f>IF(D2718="","",D2718-TODAY())</f>
        <v/>
      </c>
      <c r="F2718">
        <f>IF(D2718="","",IF(E2718&lt;0,"VENCIDO",IF(E2718&lt;=30,"VENCE EM &lt;= 30 DIAS",IF(E2718&lt;=60,"ATENCAO (31-60 DIAS)","OK"))))</f>
        <v/>
      </c>
      <c r="G2718" s="13">
        <f>SUMIFS(Movimentacoes!$G:$G,Movimentacoes!$C:$C,$A2718,Movimentacoes!$E:$E,$C2718,Movimentacoes!$B:$B,"ENTRADA")</f>
        <v/>
      </c>
      <c r="H2718" s="13">
        <f>SUMIFS(Movimentacoes!$G:$G,Movimentacoes!$C:$C,$A2718,Movimentacoes!$E:$E,$C2718,Movimentacoes!$B:$B,"SAIDA_USO")</f>
        <v/>
      </c>
      <c r="I2718" s="13">
        <f>SUMIFS(Movimentacoes!$G:$G,Movimentacoes!$C:$C,$A2718,Movimentacoes!$E:$E,$C2718,Movimentacoes!$B:$B,"SAIDA_DESCARTE")</f>
        <v/>
      </c>
      <c r="J2718" s="13">
        <f>G2718-H2718-I2718</f>
        <v/>
      </c>
      <c r="K2718">
        <f>IF(A2718="","",IF(J2718&lt;=IFERROR(VLOOKUP(A2718,Cadastro_Produtos!$A:$E,5,FALSE),0),"ABAIXO DO MINIMO","OK"))</f>
        <v/>
      </c>
    </row>
    <row r="2719">
      <c r="B2719">
        <f>IFERROR(VLOOKUP(A2719,Cadastro_Produtos!A:B,2,FALSE),"")</f>
        <v/>
      </c>
      <c r="D2719" s="12" t="n"/>
      <c r="E2719" s="13">
        <f>IF(D2719="","",D2719-TODAY())</f>
        <v/>
      </c>
      <c r="F2719">
        <f>IF(D2719="","",IF(E2719&lt;0,"VENCIDO",IF(E2719&lt;=30,"VENCE EM &lt;= 30 DIAS",IF(E2719&lt;=60,"ATENCAO (31-60 DIAS)","OK"))))</f>
        <v/>
      </c>
      <c r="G2719" s="13">
        <f>SUMIFS(Movimentacoes!$G:$G,Movimentacoes!$C:$C,$A2719,Movimentacoes!$E:$E,$C2719,Movimentacoes!$B:$B,"ENTRADA")</f>
        <v/>
      </c>
      <c r="H2719" s="13">
        <f>SUMIFS(Movimentacoes!$G:$G,Movimentacoes!$C:$C,$A2719,Movimentacoes!$E:$E,$C2719,Movimentacoes!$B:$B,"SAIDA_USO")</f>
        <v/>
      </c>
      <c r="I2719" s="13">
        <f>SUMIFS(Movimentacoes!$G:$G,Movimentacoes!$C:$C,$A2719,Movimentacoes!$E:$E,$C2719,Movimentacoes!$B:$B,"SAIDA_DESCARTE")</f>
        <v/>
      </c>
      <c r="J2719" s="13">
        <f>G2719-H2719-I2719</f>
        <v/>
      </c>
      <c r="K2719">
        <f>IF(A2719="","",IF(J2719&lt;=IFERROR(VLOOKUP(A2719,Cadastro_Produtos!$A:$E,5,FALSE),0),"ABAIXO DO MINIMO","OK"))</f>
        <v/>
      </c>
    </row>
    <row r="2720">
      <c r="B2720">
        <f>IFERROR(VLOOKUP(A2720,Cadastro_Produtos!A:B,2,FALSE),"")</f>
        <v/>
      </c>
      <c r="D2720" s="12" t="n"/>
      <c r="E2720" s="13">
        <f>IF(D2720="","",D2720-TODAY())</f>
        <v/>
      </c>
      <c r="F2720">
        <f>IF(D2720="","",IF(E2720&lt;0,"VENCIDO",IF(E2720&lt;=30,"VENCE EM &lt;= 30 DIAS",IF(E2720&lt;=60,"ATENCAO (31-60 DIAS)","OK"))))</f>
        <v/>
      </c>
      <c r="G2720" s="13">
        <f>SUMIFS(Movimentacoes!$G:$G,Movimentacoes!$C:$C,$A2720,Movimentacoes!$E:$E,$C2720,Movimentacoes!$B:$B,"ENTRADA")</f>
        <v/>
      </c>
      <c r="H2720" s="13">
        <f>SUMIFS(Movimentacoes!$G:$G,Movimentacoes!$C:$C,$A2720,Movimentacoes!$E:$E,$C2720,Movimentacoes!$B:$B,"SAIDA_USO")</f>
        <v/>
      </c>
      <c r="I2720" s="13">
        <f>SUMIFS(Movimentacoes!$G:$G,Movimentacoes!$C:$C,$A2720,Movimentacoes!$E:$E,$C2720,Movimentacoes!$B:$B,"SAIDA_DESCARTE")</f>
        <v/>
      </c>
      <c r="J2720" s="13">
        <f>G2720-H2720-I2720</f>
        <v/>
      </c>
      <c r="K2720">
        <f>IF(A2720="","",IF(J2720&lt;=IFERROR(VLOOKUP(A2720,Cadastro_Produtos!$A:$E,5,FALSE),0),"ABAIXO DO MINIMO","OK"))</f>
        <v/>
      </c>
    </row>
    <row r="2721">
      <c r="B2721">
        <f>IFERROR(VLOOKUP(A2721,Cadastro_Produtos!A:B,2,FALSE),"")</f>
        <v/>
      </c>
      <c r="D2721" s="12" t="n"/>
      <c r="E2721" s="13">
        <f>IF(D2721="","",D2721-TODAY())</f>
        <v/>
      </c>
      <c r="F2721">
        <f>IF(D2721="","",IF(E2721&lt;0,"VENCIDO",IF(E2721&lt;=30,"VENCE EM &lt;= 30 DIAS",IF(E2721&lt;=60,"ATENCAO (31-60 DIAS)","OK"))))</f>
        <v/>
      </c>
      <c r="G2721" s="13">
        <f>SUMIFS(Movimentacoes!$G:$G,Movimentacoes!$C:$C,$A2721,Movimentacoes!$E:$E,$C2721,Movimentacoes!$B:$B,"ENTRADA")</f>
        <v/>
      </c>
      <c r="H2721" s="13">
        <f>SUMIFS(Movimentacoes!$G:$G,Movimentacoes!$C:$C,$A2721,Movimentacoes!$E:$E,$C2721,Movimentacoes!$B:$B,"SAIDA_USO")</f>
        <v/>
      </c>
      <c r="I2721" s="13">
        <f>SUMIFS(Movimentacoes!$G:$G,Movimentacoes!$C:$C,$A2721,Movimentacoes!$E:$E,$C2721,Movimentacoes!$B:$B,"SAIDA_DESCARTE")</f>
        <v/>
      </c>
      <c r="J2721" s="13">
        <f>G2721-H2721-I2721</f>
        <v/>
      </c>
      <c r="K2721">
        <f>IF(A2721="","",IF(J2721&lt;=IFERROR(VLOOKUP(A2721,Cadastro_Produtos!$A:$E,5,FALSE),0),"ABAIXO DO MINIMO","OK"))</f>
        <v/>
      </c>
    </row>
    <row r="2722">
      <c r="B2722">
        <f>IFERROR(VLOOKUP(A2722,Cadastro_Produtos!A:B,2,FALSE),"")</f>
        <v/>
      </c>
      <c r="D2722" s="12" t="n"/>
      <c r="E2722" s="13">
        <f>IF(D2722="","",D2722-TODAY())</f>
        <v/>
      </c>
      <c r="F2722">
        <f>IF(D2722="","",IF(E2722&lt;0,"VENCIDO",IF(E2722&lt;=30,"VENCE EM &lt;= 30 DIAS",IF(E2722&lt;=60,"ATENCAO (31-60 DIAS)","OK"))))</f>
        <v/>
      </c>
      <c r="G2722" s="13">
        <f>SUMIFS(Movimentacoes!$G:$G,Movimentacoes!$C:$C,$A2722,Movimentacoes!$E:$E,$C2722,Movimentacoes!$B:$B,"ENTRADA")</f>
        <v/>
      </c>
      <c r="H2722" s="13">
        <f>SUMIFS(Movimentacoes!$G:$G,Movimentacoes!$C:$C,$A2722,Movimentacoes!$E:$E,$C2722,Movimentacoes!$B:$B,"SAIDA_USO")</f>
        <v/>
      </c>
      <c r="I2722" s="13">
        <f>SUMIFS(Movimentacoes!$G:$G,Movimentacoes!$C:$C,$A2722,Movimentacoes!$E:$E,$C2722,Movimentacoes!$B:$B,"SAIDA_DESCARTE")</f>
        <v/>
      </c>
      <c r="J2722" s="13">
        <f>G2722-H2722-I2722</f>
        <v/>
      </c>
      <c r="K2722">
        <f>IF(A2722="","",IF(J2722&lt;=IFERROR(VLOOKUP(A2722,Cadastro_Produtos!$A:$E,5,FALSE),0),"ABAIXO DO MINIMO","OK"))</f>
        <v/>
      </c>
    </row>
    <row r="2723">
      <c r="B2723">
        <f>IFERROR(VLOOKUP(A2723,Cadastro_Produtos!A:B,2,FALSE),"")</f>
        <v/>
      </c>
      <c r="D2723" s="12" t="n"/>
      <c r="E2723" s="13">
        <f>IF(D2723="","",D2723-TODAY())</f>
        <v/>
      </c>
      <c r="F2723">
        <f>IF(D2723="","",IF(E2723&lt;0,"VENCIDO",IF(E2723&lt;=30,"VENCE EM &lt;= 30 DIAS",IF(E2723&lt;=60,"ATENCAO (31-60 DIAS)","OK"))))</f>
        <v/>
      </c>
      <c r="G2723" s="13">
        <f>SUMIFS(Movimentacoes!$G:$G,Movimentacoes!$C:$C,$A2723,Movimentacoes!$E:$E,$C2723,Movimentacoes!$B:$B,"ENTRADA")</f>
        <v/>
      </c>
      <c r="H2723" s="13">
        <f>SUMIFS(Movimentacoes!$G:$G,Movimentacoes!$C:$C,$A2723,Movimentacoes!$E:$E,$C2723,Movimentacoes!$B:$B,"SAIDA_USO")</f>
        <v/>
      </c>
      <c r="I2723" s="13">
        <f>SUMIFS(Movimentacoes!$G:$G,Movimentacoes!$C:$C,$A2723,Movimentacoes!$E:$E,$C2723,Movimentacoes!$B:$B,"SAIDA_DESCARTE")</f>
        <v/>
      </c>
      <c r="J2723" s="13">
        <f>G2723-H2723-I2723</f>
        <v/>
      </c>
      <c r="K2723">
        <f>IF(A2723="","",IF(J2723&lt;=IFERROR(VLOOKUP(A2723,Cadastro_Produtos!$A:$E,5,FALSE),0),"ABAIXO DO MINIMO","OK"))</f>
        <v/>
      </c>
    </row>
    <row r="2724">
      <c r="B2724">
        <f>IFERROR(VLOOKUP(A2724,Cadastro_Produtos!A:B,2,FALSE),"")</f>
        <v/>
      </c>
      <c r="D2724" s="12" t="n"/>
      <c r="E2724" s="13">
        <f>IF(D2724="","",D2724-TODAY())</f>
        <v/>
      </c>
      <c r="F2724">
        <f>IF(D2724="","",IF(E2724&lt;0,"VENCIDO",IF(E2724&lt;=30,"VENCE EM &lt;= 30 DIAS",IF(E2724&lt;=60,"ATENCAO (31-60 DIAS)","OK"))))</f>
        <v/>
      </c>
      <c r="G2724" s="13">
        <f>SUMIFS(Movimentacoes!$G:$G,Movimentacoes!$C:$C,$A2724,Movimentacoes!$E:$E,$C2724,Movimentacoes!$B:$B,"ENTRADA")</f>
        <v/>
      </c>
      <c r="H2724" s="13">
        <f>SUMIFS(Movimentacoes!$G:$G,Movimentacoes!$C:$C,$A2724,Movimentacoes!$E:$E,$C2724,Movimentacoes!$B:$B,"SAIDA_USO")</f>
        <v/>
      </c>
      <c r="I2724" s="13">
        <f>SUMIFS(Movimentacoes!$G:$G,Movimentacoes!$C:$C,$A2724,Movimentacoes!$E:$E,$C2724,Movimentacoes!$B:$B,"SAIDA_DESCARTE")</f>
        <v/>
      </c>
      <c r="J2724" s="13">
        <f>G2724-H2724-I2724</f>
        <v/>
      </c>
      <c r="K2724">
        <f>IF(A2724="","",IF(J2724&lt;=IFERROR(VLOOKUP(A2724,Cadastro_Produtos!$A:$E,5,FALSE),0),"ABAIXO DO MINIMO","OK"))</f>
        <v/>
      </c>
    </row>
    <row r="2725">
      <c r="B2725">
        <f>IFERROR(VLOOKUP(A2725,Cadastro_Produtos!A:B,2,FALSE),"")</f>
        <v/>
      </c>
      <c r="D2725" s="12" t="n"/>
      <c r="E2725" s="13">
        <f>IF(D2725="","",D2725-TODAY())</f>
        <v/>
      </c>
      <c r="F2725">
        <f>IF(D2725="","",IF(E2725&lt;0,"VENCIDO",IF(E2725&lt;=30,"VENCE EM &lt;= 30 DIAS",IF(E2725&lt;=60,"ATENCAO (31-60 DIAS)","OK"))))</f>
        <v/>
      </c>
      <c r="G2725" s="13">
        <f>SUMIFS(Movimentacoes!$G:$G,Movimentacoes!$C:$C,$A2725,Movimentacoes!$E:$E,$C2725,Movimentacoes!$B:$B,"ENTRADA")</f>
        <v/>
      </c>
      <c r="H2725" s="13">
        <f>SUMIFS(Movimentacoes!$G:$G,Movimentacoes!$C:$C,$A2725,Movimentacoes!$E:$E,$C2725,Movimentacoes!$B:$B,"SAIDA_USO")</f>
        <v/>
      </c>
      <c r="I2725" s="13">
        <f>SUMIFS(Movimentacoes!$G:$G,Movimentacoes!$C:$C,$A2725,Movimentacoes!$E:$E,$C2725,Movimentacoes!$B:$B,"SAIDA_DESCARTE")</f>
        <v/>
      </c>
      <c r="J2725" s="13">
        <f>G2725-H2725-I2725</f>
        <v/>
      </c>
      <c r="K2725">
        <f>IF(A2725="","",IF(J2725&lt;=IFERROR(VLOOKUP(A2725,Cadastro_Produtos!$A:$E,5,FALSE),0),"ABAIXO DO MINIMO","OK"))</f>
        <v/>
      </c>
    </row>
    <row r="2726">
      <c r="B2726">
        <f>IFERROR(VLOOKUP(A2726,Cadastro_Produtos!A:B,2,FALSE),"")</f>
        <v/>
      </c>
      <c r="D2726" s="12" t="n"/>
      <c r="E2726" s="13">
        <f>IF(D2726="","",D2726-TODAY())</f>
        <v/>
      </c>
      <c r="F2726">
        <f>IF(D2726="","",IF(E2726&lt;0,"VENCIDO",IF(E2726&lt;=30,"VENCE EM &lt;= 30 DIAS",IF(E2726&lt;=60,"ATENCAO (31-60 DIAS)","OK"))))</f>
        <v/>
      </c>
      <c r="G2726" s="13">
        <f>SUMIFS(Movimentacoes!$G:$G,Movimentacoes!$C:$C,$A2726,Movimentacoes!$E:$E,$C2726,Movimentacoes!$B:$B,"ENTRADA")</f>
        <v/>
      </c>
      <c r="H2726" s="13">
        <f>SUMIFS(Movimentacoes!$G:$G,Movimentacoes!$C:$C,$A2726,Movimentacoes!$E:$E,$C2726,Movimentacoes!$B:$B,"SAIDA_USO")</f>
        <v/>
      </c>
      <c r="I2726" s="13">
        <f>SUMIFS(Movimentacoes!$G:$G,Movimentacoes!$C:$C,$A2726,Movimentacoes!$E:$E,$C2726,Movimentacoes!$B:$B,"SAIDA_DESCARTE")</f>
        <v/>
      </c>
      <c r="J2726" s="13">
        <f>G2726-H2726-I2726</f>
        <v/>
      </c>
      <c r="K2726">
        <f>IF(A2726="","",IF(J2726&lt;=IFERROR(VLOOKUP(A2726,Cadastro_Produtos!$A:$E,5,FALSE),0),"ABAIXO DO MINIMO","OK"))</f>
        <v/>
      </c>
    </row>
    <row r="2727">
      <c r="B2727">
        <f>IFERROR(VLOOKUP(A2727,Cadastro_Produtos!A:B,2,FALSE),"")</f>
        <v/>
      </c>
      <c r="D2727" s="12" t="n"/>
      <c r="E2727" s="13">
        <f>IF(D2727="","",D2727-TODAY())</f>
        <v/>
      </c>
      <c r="F2727">
        <f>IF(D2727="","",IF(E2727&lt;0,"VENCIDO",IF(E2727&lt;=30,"VENCE EM &lt;= 30 DIAS",IF(E2727&lt;=60,"ATENCAO (31-60 DIAS)","OK"))))</f>
        <v/>
      </c>
      <c r="G2727" s="13">
        <f>SUMIFS(Movimentacoes!$G:$G,Movimentacoes!$C:$C,$A2727,Movimentacoes!$E:$E,$C2727,Movimentacoes!$B:$B,"ENTRADA")</f>
        <v/>
      </c>
      <c r="H2727" s="13">
        <f>SUMIFS(Movimentacoes!$G:$G,Movimentacoes!$C:$C,$A2727,Movimentacoes!$E:$E,$C2727,Movimentacoes!$B:$B,"SAIDA_USO")</f>
        <v/>
      </c>
      <c r="I2727" s="13">
        <f>SUMIFS(Movimentacoes!$G:$G,Movimentacoes!$C:$C,$A2727,Movimentacoes!$E:$E,$C2727,Movimentacoes!$B:$B,"SAIDA_DESCARTE")</f>
        <v/>
      </c>
      <c r="J2727" s="13">
        <f>G2727-H2727-I2727</f>
        <v/>
      </c>
      <c r="K2727">
        <f>IF(A2727="","",IF(J2727&lt;=IFERROR(VLOOKUP(A2727,Cadastro_Produtos!$A:$E,5,FALSE),0),"ABAIXO DO MINIMO","OK"))</f>
        <v/>
      </c>
    </row>
    <row r="2728">
      <c r="B2728">
        <f>IFERROR(VLOOKUP(A2728,Cadastro_Produtos!A:B,2,FALSE),"")</f>
        <v/>
      </c>
      <c r="D2728" s="12" t="n"/>
      <c r="E2728" s="13">
        <f>IF(D2728="","",D2728-TODAY())</f>
        <v/>
      </c>
      <c r="F2728">
        <f>IF(D2728="","",IF(E2728&lt;0,"VENCIDO",IF(E2728&lt;=30,"VENCE EM &lt;= 30 DIAS",IF(E2728&lt;=60,"ATENCAO (31-60 DIAS)","OK"))))</f>
        <v/>
      </c>
      <c r="G2728" s="13">
        <f>SUMIFS(Movimentacoes!$G:$G,Movimentacoes!$C:$C,$A2728,Movimentacoes!$E:$E,$C2728,Movimentacoes!$B:$B,"ENTRADA")</f>
        <v/>
      </c>
      <c r="H2728" s="13">
        <f>SUMIFS(Movimentacoes!$G:$G,Movimentacoes!$C:$C,$A2728,Movimentacoes!$E:$E,$C2728,Movimentacoes!$B:$B,"SAIDA_USO")</f>
        <v/>
      </c>
      <c r="I2728" s="13">
        <f>SUMIFS(Movimentacoes!$G:$G,Movimentacoes!$C:$C,$A2728,Movimentacoes!$E:$E,$C2728,Movimentacoes!$B:$B,"SAIDA_DESCARTE")</f>
        <v/>
      </c>
      <c r="J2728" s="13">
        <f>G2728-H2728-I2728</f>
        <v/>
      </c>
      <c r="K2728">
        <f>IF(A2728="","",IF(J2728&lt;=IFERROR(VLOOKUP(A2728,Cadastro_Produtos!$A:$E,5,FALSE),0),"ABAIXO DO MINIMO","OK"))</f>
        <v/>
      </c>
    </row>
    <row r="2729">
      <c r="B2729">
        <f>IFERROR(VLOOKUP(A2729,Cadastro_Produtos!A:B,2,FALSE),"")</f>
        <v/>
      </c>
      <c r="D2729" s="12" t="n"/>
      <c r="E2729" s="13">
        <f>IF(D2729="","",D2729-TODAY())</f>
        <v/>
      </c>
      <c r="F2729">
        <f>IF(D2729="","",IF(E2729&lt;0,"VENCIDO",IF(E2729&lt;=30,"VENCE EM &lt;= 30 DIAS",IF(E2729&lt;=60,"ATENCAO (31-60 DIAS)","OK"))))</f>
        <v/>
      </c>
      <c r="G2729" s="13">
        <f>SUMIFS(Movimentacoes!$G:$G,Movimentacoes!$C:$C,$A2729,Movimentacoes!$E:$E,$C2729,Movimentacoes!$B:$B,"ENTRADA")</f>
        <v/>
      </c>
      <c r="H2729" s="13">
        <f>SUMIFS(Movimentacoes!$G:$G,Movimentacoes!$C:$C,$A2729,Movimentacoes!$E:$E,$C2729,Movimentacoes!$B:$B,"SAIDA_USO")</f>
        <v/>
      </c>
      <c r="I2729" s="13">
        <f>SUMIFS(Movimentacoes!$G:$G,Movimentacoes!$C:$C,$A2729,Movimentacoes!$E:$E,$C2729,Movimentacoes!$B:$B,"SAIDA_DESCARTE")</f>
        <v/>
      </c>
      <c r="J2729" s="13">
        <f>G2729-H2729-I2729</f>
        <v/>
      </c>
      <c r="K2729">
        <f>IF(A2729="","",IF(J2729&lt;=IFERROR(VLOOKUP(A2729,Cadastro_Produtos!$A:$E,5,FALSE),0),"ABAIXO DO MINIMO","OK"))</f>
        <v/>
      </c>
    </row>
    <row r="2730">
      <c r="B2730">
        <f>IFERROR(VLOOKUP(A2730,Cadastro_Produtos!A:B,2,FALSE),"")</f>
        <v/>
      </c>
      <c r="D2730" s="12" t="n"/>
      <c r="E2730" s="13">
        <f>IF(D2730="","",D2730-TODAY())</f>
        <v/>
      </c>
      <c r="F2730">
        <f>IF(D2730="","",IF(E2730&lt;0,"VENCIDO",IF(E2730&lt;=30,"VENCE EM &lt;= 30 DIAS",IF(E2730&lt;=60,"ATENCAO (31-60 DIAS)","OK"))))</f>
        <v/>
      </c>
      <c r="G2730" s="13">
        <f>SUMIFS(Movimentacoes!$G:$G,Movimentacoes!$C:$C,$A2730,Movimentacoes!$E:$E,$C2730,Movimentacoes!$B:$B,"ENTRADA")</f>
        <v/>
      </c>
      <c r="H2730" s="13">
        <f>SUMIFS(Movimentacoes!$G:$G,Movimentacoes!$C:$C,$A2730,Movimentacoes!$E:$E,$C2730,Movimentacoes!$B:$B,"SAIDA_USO")</f>
        <v/>
      </c>
      <c r="I2730" s="13">
        <f>SUMIFS(Movimentacoes!$G:$G,Movimentacoes!$C:$C,$A2730,Movimentacoes!$E:$E,$C2730,Movimentacoes!$B:$B,"SAIDA_DESCARTE")</f>
        <v/>
      </c>
      <c r="J2730" s="13">
        <f>G2730-H2730-I2730</f>
        <v/>
      </c>
      <c r="K2730">
        <f>IF(A2730="","",IF(J2730&lt;=IFERROR(VLOOKUP(A2730,Cadastro_Produtos!$A:$E,5,FALSE),0),"ABAIXO DO MINIMO","OK"))</f>
        <v/>
      </c>
    </row>
    <row r="2731">
      <c r="B2731">
        <f>IFERROR(VLOOKUP(A2731,Cadastro_Produtos!A:B,2,FALSE),"")</f>
        <v/>
      </c>
      <c r="D2731" s="12" t="n"/>
      <c r="E2731" s="13">
        <f>IF(D2731="","",D2731-TODAY())</f>
        <v/>
      </c>
      <c r="F2731">
        <f>IF(D2731="","",IF(E2731&lt;0,"VENCIDO",IF(E2731&lt;=30,"VENCE EM &lt;= 30 DIAS",IF(E2731&lt;=60,"ATENCAO (31-60 DIAS)","OK"))))</f>
        <v/>
      </c>
      <c r="G2731" s="13">
        <f>SUMIFS(Movimentacoes!$G:$G,Movimentacoes!$C:$C,$A2731,Movimentacoes!$E:$E,$C2731,Movimentacoes!$B:$B,"ENTRADA")</f>
        <v/>
      </c>
      <c r="H2731" s="13">
        <f>SUMIFS(Movimentacoes!$G:$G,Movimentacoes!$C:$C,$A2731,Movimentacoes!$E:$E,$C2731,Movimentacoes!$B:$B,"SAIDA_USO")</f>
        <v/>
      </c>
      <c r="I2731" s="13">
        <f>SUMIFS(Movimentacoes!$G:$G,Movimentacoes!$C:$C,$A2731,Movimentacoes!$E:$E,$C2731,Movimentacoes!$B:$B,"SAIDA_DESCARTE")</f>
        <v/>
      </c>
      <c r="J2731" s="13">
        <f>G2731-H2731-I2731</f>
        <v/>
      </c>
      <c r="K2731">
        <f>IF(A2731="","",IF(J2731&lt;=IFERROR(VLOOKUP(A2731,Cadastro_Produtos!$A:$E,5,FALSE),0),"ABAIXO DO MINIMO","OK"))</f>
        <v/>
      </c>
    </row>
    <row r="2732">
      <c r="B2732">
        <f>IFERROR(VLOOKUP(A2732,Cadastro_Produtos!A:B,2,FALSE),"")</f>
        <v/>
      </c>
      <c r="D2732" s="12" t="n"/>
      <c r="E2732" s="13">
        <f>IF(D2732="","",D2732-TODAY())</f>
        <v/>
      </c>
      <c r="F2732">
        <f>IF(D2732="","",IF(E2732&lt;0,"VENCIDO",IF(E2732&lt;=30,"VENCE EM &lt;= 30 DIAS",IF(E2732&lt;=60,"ATENCAO (31-60 DIAS)","OK"))))</f>
        <v/>
      </c>
      <c r="G2732" s="13">
        <f>SUMIFS(Movimentacoes!$G:$G,Movimentacoes!$C:$C,$A2732,Movimentacoes!$E:$E,$C2732,Movimentacoes!$B:$B,"ENTRADA")</f>
        <v/>
      </c>
      <c r="H2732" s="13">
        <f>SUMIFS(Movimentacoes!$G:$G,Movimentacoes!$C:$C,$A2732,Movimentacoes!$E:$E,$C2732,Movimentacoes!$B:$B,"SAIDA_USO")</f>
        <v/>
      </c>
      <c r="I2732" s="13">
        <f>SUMIFS(Movimentacoes!$G:$G,Movimentacoes!$C:$C,$A2732,Movimentacoes!$E:$E,$C2732,Movimentacoes!$B:$B,"SAIDA_DESCARTE")</f>
        <v/>
      </c>
      <c r="J2732" s="13">
        <f>G2732-H2732-I2732</f>
        <v/>
      </c>
      <c r="K2732">
        <f>IF(A2732="","",IF(J2732&lt;=IFERROR(VLOOKUP(A2732,Cadastro_Produtos!$A:$E,5,FALSE),0),"ABAIXO DO MINIMO","OK"))</f>
        <v/>
      </c>
    </row>
    <row r="2733">
      <c r="B2733">
        <f>IFERROR(VLOOKUP(A2733,Cadastro_Produtos!A:B,2,FALSE),"")</f>
        <v/>
      </c>
      <c r="D2733" s="12" t="n"/>
      <c r="E2733" s="13">
        <f>IF(D2733="","",D2733-TODAY())</f>
        <v/>
      </c>
      <c r="F2733">
        <f>IF(D2733="","",IF(E2733&lt;0,"VENCIDO",IF(E2733&lt;=30,"VENCE EM &lt;= 30 DIAS",IF(E2733&lt;=60,"ATENCAO (31-60 DIAS)","OK"))))</f>
        <v/>
      </c>
      <c r="G2733" s="13">
        <f>SUMIFS(Movimentacoes!$G:$G,Movimentacoes!$C:$C,$A2733,Movimentacoes!$E:$E,$C2733,Movimentacoes!$B:$B,"ENTRADA")</f>
        <v/>
      </c>
      <c r="H2733" s="13">
        <f>SUMIFS(Movimentacoes!$G:$G,Movimentacoes!$C:$C,$A2733,Movimentacoes!$E:$E,$C2733,Movimentacoes!$B:$B,"SAIDA_USO")</f>
        <v/>
      </c>
      <c r="I2733" s="13">
        <f>SUMIFS(Movimentacoes!$G:$G,Movimentacoes!$C:$C,$A2733,Movimentacoes!$E:$E,$C2733,Movimentacoes!$B:$B,"SAIDA_DESCARTE")</f>
        <v/>
      </c>
      <c r="J2733" s="13">
        <f>G2733-H2733-I2733</f>
        <v/>
      </c>
      <c r="K2733">
        <f>IF(A2733="","",IF(J2733&lt;=IFERROR(VLOOKUP(A2733,Cadastro_Produtos!$A:$E,5,FALSE),0),"ABAIXO DO MINIMO","OK"))</f>
        <v/>
      </c>
    </row>
    <row r="2734">
      <c r="B2734">
        <f>IFERROR(VLOOKUP(A2734,Cadastro_Produtos!A:B,2,FALSE),"")</f>
        <v/>
      </c>
      <c r="D2734" s="12" t="n"/>
      <c r="E2734" s="13">
        <f>IF(D2734="","",D2734-TODAY())</f>
        <v/>
      </c>
      <c r="F2734">
        <f>IF(D2734="","",IF(E2734&lt;0,"VENCIDO",IF(E2734&lt;=30,"VENCE EM &lt;= 30 DIAS",IF(E2734&lt;=60,"ATENCAO (31-60 DIAS)","OK"))))</f>
        <v/>
      </c>
      <c r="G2734" s="13">
        <f>SUMIFS(Movimentacoes!$G:$G,Movimentacoes!$C:$C,$A2734,Movimentacoes!$E:$E,$C2734,Movimentacoes!$B:$B,"ENTRADA")</f>
        <v/>
      </c>
      <c r="H2734" s="13">
        <f>SUMIFS(Movimentacoes!$G:$G,Movimentacoes!$C:$C,$A2734,Movimentacoes!$E:$E,$C2734,Movimentacoes!$B:$B,"SAIDA_USO")</f>
        <v/>
      </c>
      <c r="I2734" s="13">
        <f>SUMIFS(Movimentacoes!$G:$G,Movimentacoes!$C:$C,$A2734,Movimentacoes!$E:$E,$C2734,Movimentacoes!$B:$B,"SAIDA_DESCARTE")</f>
        <v/>
      </c>
      <c r="J2734" s="13">
        <f>G2734-H2734-I2734</f>
        <v/>
      </c>
      <c r="K2734">
        <f>IF(A2734="","",IF(J2734&lt;=IFERROR(VLOOKUP(A2734,Cadastro_Produtos!$A:$E,5,FALSE),0),"ABAIXO DO MINIMO","OK"))</f>
        <v/>
      </c>
    </row>
    <row r="2735">
      <c r="B2735">
        <f>IFERROR(VLOOKUP(A2735,Cadastro_Produtos!A:B,2,FALSE),"")</f>
        <v/>
      </c>
      <c r="D2735" s="12" t="n"/>
      <c r="E2735" s="13">
        <f>IF(D2735="","",D2735-TODAY())</f>
        <v/>
      </c>
      <c r="F2735">
        <f>IF(D2735="","",IF(E2735&lt;0,"VENCIDO",IF(E2735&lt;=30,"VENCE EM &lt;= 30 DIAS",IF(E2735&lt;=60,"ATENCAO (31-60 DIAS)","OK"))))</f>
        <v/>
      </c>
      <c r="G2735" s="13">
        <f>SUMIFS(Movimentacoes!$G:$G,Movimentacoes!$C:$C,$A2735,Movimentacoes!$E:$E,$C2735,Movimentacoes!$B:$B,"ENTRADA")</f>
        <v/>
      </c>
      <c r="H2735" s="13">
        <f>SUMIFS(Movimentacoes!$G:$G,Movimentacoes!$C:$C,$A2735,Movimentacoes!$E:$E,$C2735,Movimentacoes!$B:$B,"SAIDA_USO")</f>
        <v/>
      </c>
      <c r="I2735" s="13">
        <f>SUMIFS(Movimentacoes!$G:$G,Movimentacoes!$C:$C,$A2735,Movimentacoes!$E:$E,$C2735,Movimentacoes!$B:$B,"SAIDA_DESCARTE")</f>
        <v/>
      </c>
      <c r="J2735" s="13">
        <f>G2735-H2735-I2735</f>
        <v/>
      </c>
      <c r="K2735">
        <f>IF(A2735="","",IF(J2735&lt;=IFERROR(VLOOKUP(A2735,Cadastro_Produtos!$A:$E,5,FALSE),0),"ABAIXO DO MINIMO","OK"))</f>
        <v/>
      </c>
    </row>
    <row r="2736">
      <c r="B2736">
        <f>IFERROR(VLOOKUP(A2736,Cadastro_Produtos!A:B,2,FALSE),"")</f>
        <v/>
      </c>
      <c r="D2736" s="12" t="n"/>
      <c r="E2736" s="13">
        <f>IF(D2736="","",D2736-TODAY())</f>
        <v/>
      </c>
      <c r="F2736">
        <f>IF(D2736="","",IF(E2736&lt;0,"VENCIDO",IF(E2736&lt;=30,"VENCE EM &lt;= 30 DIAS",IF(E2736&lt;=60,"ATENCAO (31-60 DIAS)","OK"))))</f>
        <v/>
      </c>
      <c r="G2736" s="13">
        <f>SUMIFS(Movimentacoes!$G:$G,Movimentacoes!$C:$C,$A2736,Movimentacoes!$E:$E,$C2736,Movimentacoes!$B:$B,"ENTRADA")</f>
        <v/>
      </c>
      <c r="H2736" s="13">
        <f>SUMIFS(Movimentacoes!$G:$G,Movimentacoes!$C:$C,$A2736,Movimentacoes!$E:$E,$C2736,Movimentacoes!$B:$B,"SAIDA_USO")</f>
        <v/>
      </c>
      <c r="I2736" s="13">
        <f>SUMIFS(Movimentacoes!$G:$G,Movimentacoes!$C:$C,$A2736,Movimentacoes!$E:$E,$C2736,Movimentacoes!$B:$B,"SAIDA_DESCARTE")</f>
        <v/>
      </c>
      <c r="J2736" s="13">
        <f>G2736-H2736-I2736</f>
        <v/>
      </c>
      <c r="K2736">
        <f>IF(A2736="","",IF(J2736&lt;=IFERROR(VLOOKUP(A2736,Cadastro_Produtos!$A:$E,5,FALSE),0),"ABAIXO DO MINIMO","OK"))</f>
        <v/>
      </c>
    </row>
    <row r="2737">
      <c r="B2737">
        <f>IFERROR(VLOOKUP(A2737,Cadastro_Produtos!A:B,2,FALSE),"")</f>
        <v/>
      </c>
      <c r="D2737" s="12" t="n"/>
      <c r="E2737" s="13">
        <f>IF(D2737="","",D2737-TODAY())</f>
        <v/>
      </c>
      <c r="F2737">
        <f>IF(D2737="","",IF(E2737&lt;0,"VENCIDO",IF(E2737&lt;=30,"VENCE EM &lt;= 30 DIAS",IF(E2737&lt;=60,"ATENCAO (31-60 DIAS)","OK"))))</f>
        <v/>
      </c>
      <c r="G2737" s="13">
        <f>SUMIFS(Movimentacoes!$G:$G,Movimentacoes!$C:$C,$A2737,Movimentacoes!$E:$E,$C2737,Movimentacoes!$B:$B,"ENTRADA")</f>
        <v/>
      </c>
      <c r="H2737" s="13">
        <f>SUMIFS(Movimentacoes!$G:$G,Movimentacoes!$C:$C,$A2737,Movimentacoes!$E:$E,$C2737,Movimentacoes!$B:$B,"SAIDA_USO")</f>
        <v/>
      </c>
      <c r="I2737" s="13">
        <f>SUMIFS(Movimentacoes!$G:$G,Movimentacoes!$C:$C,$A2737,Movimentacoes!$E:$E,$C2737,Movimentacoes!$B:$B,"SAIDA_DESCARTE")</f>
        <v/>
      </c>
      <c r="J2737" s="13">
        <f>G2737-H2737-I2737</f>
        <v/>
      </c>
      <c r="K2737">
        <f>IF(A2737="","",IF(J2737&lt;=IFERROR(VLOOKUP(A2737,Cadastro_Produtos!$A:$E,5,FALSE),0),"ABAIXO DO MINIMO","OK"))</f>
        <v/>
      </c>
    </row>
    <row r="2738">
      <c r="B2738">
        <f>IFERROR(VLOOKUP(A2738,Cadastro_Produtos!A:B,2,FALSE),"")</f>
        <v/>
      </c>
      <c r="D2738" s="12" t="n"/>
      <c r="E2738" s="13">
        <f>IF(D2738="","",D2738-TODAY())</f>
        <v/>
      </c>
      <c r="F2738">
        <f>IF(D2738="","",IF(E2738&lt;0,"VENCIDO",IF(E2738&lt;=30,"VENCE EM &lt;= 30 DIAS",IF(E2738&lt;=60,"ATENCAO (31-60 DIAS)","OK"))))</f>
        <v/>
      </c>
      <c r="G2738" s="13">
        <f>SUMIFS(Movimentacoes!$G:$G,Movimentacoes!$C:$C,$A2738,Movimentacoes!$E:$E,$C2738,Movimentacoes!$B:$B,"ENTRADA")</f>
        <v/>
      </c>
      <c r="H2738" s="13">
        <f>SUMIFS(Movimentacoes!$G:$G,Movimentacoes!$C:$C,$A2738,Movimentacoes!$E:$E,$C2738,Movimentacoes!$B:$B,"SAIDA_USO")</f>
        <v/>
      </c>
      <c r="I2738" s="13">
        <f>SUMIFS(Movimentacoes!$G:$G,Movimentacoes!$C:$C,$A2738,Movimentacoes!$E:$E,$C2738,Movimentacoes!$B:$B,"SAIDA_DESCARTE")</f>
        <v/>
      </c>
      <c r="J2738" s="13">
        <f>G2738-H2738-I2738</f>
        <v/>
      </c>
      <c r="K2738">
        <f>IF(A2738="","",IF(J2738&lt;=IFERROR(VLOOKUP(A2738,Cadastro_Produtos!$A:$E,5,FALSE),0),"ABAIXO DO MINIMO","OK"))</f>
        <v/>
      </c>
    </row>
    <row r="2739">
      <c r="B2739">
        <f>IFERROR(VLOOKUP(A2739,Cadastro_Produtos!A:B,2,FALSE),"")</f>
        <v/>
      </c>
      <c r="D2739" s="12" t="n"/>
      <c r="E2739" s="13">
        <f>IF(D2739="","",D2739-TODAY())</f>
        <v/>
      </c>
      <c r="F2739">
        <f>IF(D2739="","",IF(E2739&lt;0,"VENCIDO",IF(E2739&lt;=30,"VENCE EM &lt;= 30 DIAS",IF(E2739&lt;=60,"ATENCAO (31-60 DIAS)","OK"))))</f>
        <v/>
      </c>
      <c r="G2739" s="13">
        <f>SUMIFS(Movimentacoes!$G:$G,Movimentacoes!$C:$C,$A2739,Movimentacoes!$E:$E,$C2739,Movimentacoes!$B:$B,"ENTRADA")</f>
        <v/>
      </c>
      <c r="H2739" s="13">
        <f>SUMIFS(Movimentacoes!$G:$G,Movimentacoes!$C:$C,$A2739,Movimentacoes!$E:$E,$C2739,Movimentacoes!$B:$B,"SAIDA_USO")</f>
        <v/>
      </c>
      <c r="I2739" s="13">
        <f>SUMIFS(Movimentacoes!$G:$G,Movimentacoes!$C:$C,$A2739,Movimentacoes!$E:$E,$C2739,Movimentacoes!$B:$B,"SAIDA_DESCARTE")</f>
        <v/>
      </c>
      <c r="J2739" s="13">
        <f>G2739-H2739-I2739</f>
        <v/>
      </c>
      <c r="K2739">
        <f>IF(A2739="","",IF(J2739&lt;=IFERROR(VLOOKUP(A2739,Cadastro_Produtos!$A:$E,5,FALSE),0),"ABAIXO DO MINIMO","OK"))</f>
        <v/>
      </c>
    </row>
    <row r="2740">
      <c r="B2740">
        <f>IFERROR(VLOOKUP(A2740,Cadastro_Produtos!A:B,2,FALSE),"")</f>
        <v/>
      </c>
      <c r="D2740" s="12" t="n"/>
      <c r="E2740" s="13">
        <f>IF(D2740="","",D2740-TODAY())</f>
        <v/>
      </c>
      <c r="F2740">
        <f>IF(D2740="","",IF(E2740&lt;0,"VENCIDO",IF(E2740&lt;=30,"VENCE EM &lt;= 30 DIAS",IF(E2740&lt;=60,"ATENCAO (31-60 DIAS)","OK"))))</f>
        <v/>
      </c>
      <c r="G2740" s="13">
        <f>SUMIFS(Movimentacoes!$G:$G,Movimentacoes!$C:$C,$A2740,Movimentacoes!$E:$E,$C2740,Movimentacoes!$B:$B,"ENTRADA")</f>
        <v/>
      </c>
      <c r="H2740" s="13">
        <f>SUMIFS(Movimentacoes!$G:$G,Movimentacoes!$C:$C,$A2740,Movimentacoes!$E:$E,$C2740,Movimentacoes!$B:$B,"SAIDA_USO")</f>
        <v/>
      </c>
      <c r="I2740" s="13">
        <f>SUMIFS(Movimentacoes!$G:$G,Movimentacoes!$C:$C,$A2740,Movimentacoes!$E:$E,$C2740,Movimentacoes!$B:$B,"SAIDA_DESCARTE")</f>
        <v/>
      </c>
      <c r="J2740" s="13">
        <f>G2740-H2740-I2740</f>
        <v/>
      </c>
      <c r="K2740">
        <f>IF(A2740="","",IF(J2740&lt;=IFERROR(VLOOKUP(A2740,Cadastro_Produtos!$A:$E,5,FALSE),0),"ABAIXO DO MINIMO","OK"))</f>
        <v/>
      </c>
    </row>
    <row r="2741">
      <c r="B2741">
        <f>IFERROR(VLOOKUP(A2741,Cadastro_Produtos!A:B,2,FALSE),"")</f>
        <v/>
      </c>
      <c r="D2741" s="12" t="n"/>
      <c r="E2741" s="13">
        <f>IF(D2741="","",D2741-TODAY())</f>
        <v/>
      </c>
      <c r="F2741">
        <f>IF(D2741="","",IF(E2741&lt;0,"VENCIDO",IF(E2741&lt;=30,"VENCE EM &lt;= 30 DIAS",IF(E2741&lt;=60,"ATENCAO (31-60 DIAS)","OK"))))</f>
        <v/>
      </c>
      <c r="G2741" s="13">
        <f>SUMIFS(Movimentacoes!$G:$G,Movimentacoes!$C:$C,$A2741,Movimentacoes!$E:$E,$C2741,Movimentacoes!$B:$B,"ENTRADA")</f>
        <v/>
      </c>
      <c r="H2741" s="13">
        <f>SUMIFS(Movimentacoes!$G:$G,Movimentacoes!$C:$C,$A2741,Movimentacoes!$E:$E,$C2741,Movimentacoes!$B:$B,"SAIDA_USO")</f>
        <v/>
      </c>
      <c r="I2741" s="13">
        <f>SUMIFS(Movimentacoes!$G:$G,Movimentacoes!$C:$C,$A2741,Movimentacoes!$E:$E,$C2741,Movimentacoes!$B:$B,"SAIDA_DESCARTE")</f>
        <v/>
      </c>
      <c r="J2741" s="13">
        <f>G2741-H2741-I2741</f>
        <v/>
      </c>
      <c r="K2741">
        <f>IF(A2741="","",IF(J2741&lt;=IFERROR(VLOOKUP(A2741,Cadastro_Produtos!$A:$E,5,FALSE),0),"ABAIXO DO MINIMO","OK"))</f>
        <v/>
      </c>
    </row>
    <row r="2742">
      <c r="B2742">
        <f>IFERROR(VLOOKUP(A2742,Cadastro_Produtos!A:B,2,FALSE),"")</f>
        <v/>
      </c>
      <c r="D2742" s="12" t="n"/>
      <c r="E2742" s="13">
        <f>IF(D2742="","",D2742-TODAY())</f>
        <v/>
      </c>
      <c r="F2742">
        <f>IF(D2742="","",IF(E2742&lt;0,"VENCIDO",IF(E2742&lt;=30,"VENCE EM &lt;= 30 DIAS",IF(E2742&lt;=60,"ATENCAO (31-60 DIAS)","OK"))))</f>
        <v/>
      </c>
      <c r="G2742" s="13">
        <f>SUMIFS(Movimentacoes!$G:$G,Movimentacoes!$C:$C,$A2742,Movimentacoes!$E:$E,$C2742,Movimentacoes!$B:$B,"ENTRADA")</f>
        <v/>
      </c>
      <c r="H2742" s="13">
        <f>SUMIFS(Movimentacoes!$G:$G,Movimentacoes!$C:$C,$A2742,Movimentacoes!$E:$E,$C2742,Movimentacoes!$B:$B,"SAIDA_USO")</f>
        <v/>
      </c>
      <c r="I2742" s="13">
        <f>SUMIFS(Movimentacoes!$G:$G,Movimentacoes!$C:$C,$A2742,Movimentacoes!$E:$E,$C2742,Movimentacoes!$B:$B,"SAIDA_DESCARTE")</f>
        <v/>
      </c>
      <c r="J2742" s="13">
        <f>G2742-H2742-I2742</f>
        <v/>
      </c>
      <c r="K2742">
        <f>IF(A2742="","",IF(J2742&lt;=IFERROR(VLOOKUP(A2742,Cadastro_Produtos!$A:$E,5,FALSE),0),"ABAIXO DO MINIMO","OK"))</f>
        <v/>
      </c>
    </row>
    <row r="2743">
      <c r="B2743">
        <f>IFERROR(VLOOKUP(A2743,Cadastro_Produtos!A:B,2,FALSE),"")</f>
        <v/>
      </c>
      <c r="D2743" s="12" t="n"/>
      <c r="E2743" s="13">
        <f>IF(D2743="","",D2743-TODAY())</f>
        <v/>
      </c>
      <c r="F2743">
        <f>IF(D2743="","",IF(E2743&lt;0,"VENCIDO",IF(E2743&lt;=30,"VENCE EM &lt;= 30 DIAS",IF(E2743&lt;=60,"ATENCAO (31-60 DIAS)","OK"))))</f>
        <v/>
      </c>
      <c r="G2743" s="13">
        <f>SUMIFS(Movimentacoes!$G:$G,Movimentacoes!$C:$C,$A2743,Movimentacoes!$E:$E,$C2743,Movimentacoes!$B:$B,"ENTRADA")</f>
        <v/>
      </c>
      <c r="H2743" s="13">
        <f>SUMIFS(Movimentacoes!$G:$G,Movimentacoes!$C:$C,$A2743,Movimentacoes!$E:$E,$C2743,Movimentacoes!$B:$B,"SAIDA_USO")</f>
        <v/>
      </c>
      <c r="I2743" s="13">
        <f>SUMIFS(Movimentacoes!$G:$G,Movimentacoes!$C:$C,$A2743,Movimentacoes!$E:$E,$C2743,Movimentacoes!$B:$B,"SAIDA_DESCARTE")</f>
        <v/>
      </c>
      <c r="J2743" s="13">
        <f>G2743-H2743-I2743</f>
        <v/>
      </c>
      <c r="K2743">
        <f>IF(A2743="","",IF(J2743&lt;=IFERROR(VLOOKUP(A2743,Cadastro_Produtos!$A:$E,5,FALSE),0),"ABAIXO DO MINIMO","OK"))</f>
        <v/>
      </c>
    </row>
    <row r="2744">
      <c r="B2744">
        <f>IFERROR(VLOOKUP(A2744,Cadastro_Produtos!A:B,2,FALSE),"")</f>
        <v/>
      </c>
      <c r="D2744" s="12" t="n"/>
      <c r="E2744" s="13">
        <f>IF(D2744="","",D2744-TODAY())</f>
        <v/>
      </c>
      <c r="F2744">
        <f>IF(D2744="","",IF(E2744&lt;0,"VENCIDO",IF(E2744&lt;=30,"VENCE EM &lt;= 30 DIAS",IF(E2744&lt;=60,"ATENCAO (31-60 DIAS)","OK"))))</f>
        <v/>
      </c>
      <c r="G2744" s="13">
        <f>SUMIFS(Movimentacoes!$G:$G,Movimentacoes!$C:$C,$A2744,Movimentacoes!$E:$E,$C2744,Movimentacoes!$B:$B,"ENTRADA")</f>
        <v/>
      </c>
      <c r="H2744" s="13">
        <f>SUMIFS(Movimentacoes!$G:$G,Movimentacoes!$C:$C,$A2744,Movimentacoes!$E:$E,$C2744,Movimentacoes!$B:$B,"SAIDA_USO")</f>
        <v/>
      </c>
      <c r="I2744" s="13">
        <f>SUMIFS(Movimentacoes!$G:$G,Movimentacoes!$C:$C,$A2744,Movimentacoes!$E:$E,$C2744,Movimentacoes!$B:$B,"SAIDA_DESCARTE")</f>
        <v/>
      </c>
      <c r="J2744" s="13">
        <f>G2744-H2744-I2744</f>
        <v/>
      </c>
      <c r="K2744">
        <f>IF(A2744="","",IF(J2744&lt;=IFERROR(VLOOKUP(A2744,Cadastro_Produtos!$A:$E,5,FALSE),0),"ABAIXO DO MINIMO","OK"))</f>
        <v/>
      </c>
    </row>
    <row r="2745">
      <c r="B2745">
        <f>IFERROR(VLOOKUP(A2745,Cadastro_Produtos!A:B,2,FALSE),"")</f>
        <v/>
      </c>
      <c r="D2745" s="12" t="n"/>
      <c r="E2745" s="13">
        <f>IF(D2745="","",D2745-TODAY())</f>
        <v/>
      </c>
      <c r="F2745">
        <f>IF(D2745="","",IF(E2745&lt;0,"VENCIDO",IF(E2745&lt;=30,"VENCE EM &lt;= 30 DIAS",IF(E2745&lt;=60,"ATENCAO (31-60 DIAS)","OK"))))</f>
        <v/>
      </c>
      <c r="G2745" s="13">
        <f>SUMIFS(Movimentacoes!$G:$G,Movimentacoes!$C:$C,$A2745,Movimentacoes!$E:$E,$C2745,Movimentacoes!$B:$B,"ENTRADA")</f>
        <v/>
      </c>
      <c r="H2745" s="13">
        <f>SUMIFS(Movimentacoes!$G:$G,Movimentacoes!$C:$C,$A2745,Movimentacoes!$E:$E,$C2745,Movimentacoes!$B:$B,"SAIDA_USO")</f>
        <v/>
      </c>
      <c r="I2745" s="13">
        <f>SUMIFS(Movimentacoes!$G:$G,Movimentacoes!$C:$C,$A2745,Movimentacoes!$E:$E,$C2745,Movimentacoes!$B:$B,"SAIDA_DESCARTE")</f>
        <v/>
      </c>
      <c r="J2745" s="13">
        <f>G2745-H2745-I2745</f>
        <v/>
      </c>
      <c r="K2745">
        <f>IF(A2745="","",IF(J2745&lt;=IFERROR(VLOOKUP(A2745,Cadastro_Produtos!$A:$E,5,FALSE),0),"ABAIXO DO MINIMO","OK"))</f>
        <v/>
      </c>
    </row>
    <row r="2746">
      <c r="B2746">
        <f>IFERROR(VLOOKUP(A2746,Cadastro_Produtos!A:B,2,FALSE),"")</f>
        <v/>
      </c>
      <c r="D2746" s="12" t="n"/>
      <c r="E2746" s="13">
        <f>IF(D2746="","",D2746-TODAY())</f>
        <v/>
      </c>
      <c r="F2746">
        <f>IF(D2746="","",IF(E2746&lt;0,"VENCIDO",IF(E2746&lt;=30,"VENCE EM &lt;= 30 DIAS",IF(E2746&lt;=60,"ATENCAO (31-60 DIAS)","OK"))))</f>
        <v/>
      </c>
      <c r="G2746" s="13">
        <f>SUMIFS(Movimentacoes!$G:$G,Movimentacoes!$C:$C,$A2746,Movimentacoes!$E:$E,$C2746,Movimentacoes!$B:$B,"ENTRADA")</f>
        <v/>
      </c>
      <c r="H2746" s="13">
        <f>SUMIFS(Movimentacoes!$G:$G,Movimentacoes!$C:$C,$A2746,Movimentacoes!$E:$E,$C2746,Movimentacoes!$B:$B,"SAIDA_USO")</f>
        <v/>
      </c>
      <c r="I2746" s="13">
        <f>SUMIFS(Movimentacoes!$G:$G,Movimentacoes!$C:$C,$A2746,Movimentacoes!$E:$E,$C2746,Movimentacoes!$B:$B,"SAIDA_DESCARTE")</f>
        <v/>
      </c>
      <c r="J2746" s="13">
        <f>G2746-H2746-I2746</f>
        <v/>
      </c>
      <c r="K2746">
        <f>IF(A2746="","",IF(J2746&lt;=IFERROR(VLOOKUP(A2746,Cadastro_Produtos!$A:$E,5,FALSE),0),"ABAIXO DO MINIMO","OK"))</f>
        <v/>
      </c>
    </row>
    <row r="2747">
      <c r="B2747">
        <f>IFERROR(VLOOKUP(A2747,Cadastro_Produtos!A:B,2,FALSE),"")</f>
        <v/>
      </c>
      <c r="D2747" s="12" t="n"/>
      <c r="E2747" s="13">
        <f>IF(D2747="","",D2747-TODAY())</f>
        <v/>
      </c>
      <c r="F2747">
        <f>IF(D2747="","",IF(E2747&lt;0,"VENCIDO",IF(E2747&lt;=30,"VENCE EM &lt;= 30 DIAS",IF(E2747&lt;=60,"ATENCAO (31-60 DIAS)","OK"))))</f>
        <v/>
      </c>
      <c r="G2747" s="13">
        <f>SUMIFS(Movimentacoes!$G:$G,Movimentacoes!$C:$C,$A2747,Movimentacoes!$E:$E,$C2747,Movimentacoes!$B:$B,"ENTRADA")</f>
        <v/>
      </c>
      <c r="H2747" s="13">
        <f>SUMIFS(Movimentacoes!$G:$G,Movimentacoes!$C:$C,$A2747,Movimentacoes!$E:$E,$C2747,Movimentacoes!$B:$B,"SAIDA_USO")</f>
        <v/>
      </c>
      <c r="I2747" s="13">
        <f>SUMIFS(Movimentacoes!$G:$G,Movimentacoes!$C:$C,$A2747,Movimentacoes!$E:$E,$C2747,Movimentacoes!$B:$B,"SAIDA_DESCARTE")</f>
        <v/>
      </c>
      <c r="J2747" s="13">
        <f>G2747-H2747-I2747</f>
        <v/>
      </c>
      <c r="K2747">
        <f>IF(A2747="","",IF(J2747&lt;=IFERROR(VLOOKUP(A2747,Cadastro_Produtos!$A:$E,5,FALSE),0),"ABAIXO DO MINIMO","OK"))</f>
        <v/>
      </c>
    </row>
    <row r="2748">
      <c r="B2748">
        <f>IFERROR(VLOOKUP(A2748,Cadastro_Produtos!A:B,2,FALSE),"")</f>
        <v/>
      </c>
      <c r="D2748" s="12" t="n"/>
      <c r="E2748" s="13">
        <f>IF(D2748="","",D2748-TODAY())</f>
        <v/>
      </c>
      <c r="F2748">
        <f>IF(D2748="","",IF(E2748&lt;0,"VENCIDO",IF(E2748&lt;=30,"VENCE EM &lt;= 30 DIAS",IF(E2748&lt;=60,"ATENCAO (31-60 DIAS)","OK"))))</f>
        <v/>
      </c>
      <c r="G2748" s="13">
        <f>SUMIFS(Movimentacoes!$G:$G,Movimentacoes!$C:$C,$A2748,Movimentacoes!$E:$E,$C2748,Movimentacoes!$B:$B,"ENTRADA")</f>
        <v/>
      </c>
      <c r="H2748" s="13">
        <f>SUMIFS(Movimentacoes!$G:$G,Movimentacoes!$C:$C,$A2748,Movimentacoes!$E:$E,$C2748,Movimentacoes!$B:$B,"SAIDA_USO")</f>
        <v/>
      </c>
      <c r="I2748" s="13">
        <f>SUMIFS(Movimentacoes!$G:$G,Movimentacoes!$C:$C,$A2748,Movimentacoes!$E:$E,$C2748,Movimentacoes!$B:$B,"SAIDA_DESCARTE")</f>
        <v/>
      </c>
      <c r="J2748" s="13">
        <f>G2748-H2748-I2748</f>
        <v/>
      </c>
      <c r="K2748">
        <f>IF(A2748="","",IF(J2748&lt;=IFERROR(VLOOKUP(A2748,Cadastro_Produtos!$A:$E,5,FALSE),0),"ABAIXO DO MINIMO","OK"))</f>
        <v/>
      </c>
    </row>
    <row r="2749">
      <c r="B2749">
        <f>IFERROR(VLOOKUP(A2749,Cadastro_Produtos!A:B,2,FALSE),"")</f>
        <v/>
      </c>
      <c r="D2749" s="12" t="n"/>
      <c r="E2749" s="13">
        <f>IF(D2749="","",D2749-TODAY())</f>
        <v/>
      </c>
      <c r="F2749">
        <f>IF(D2749="","",IF(E2749&lt;0,"VENCIDO",IF(E2749&lt;=30,"VENCE EM &lt;= 30 DIAS",IF(E2749&lt;=60,"ATENCAO (31-60 DIAS)","OK"))))</f>
        <v/>
      </c>
      <c r="G2749" s="13">
        <f>SUMIFS(Movimentacoes!$G:$G,Movimentacoes!$C:$C,$A2749,Movimentacoes!$E:$E,$C2749,Movimentacoes!$B:$B,"ENTRADA")</f>
        <v/>
      </c>
      <c r="H2749" s="13">
        <f>SUMIFS(Movimentacoes!$G:$G,Movimentacoes!$C:$C,$A2749,Movimentacoes!$E:$E,$C2749,Movimentacoes!$B:$B,"SAIDA_USO")</f>
        <v/>
      </c>
      <c r="I2749" s="13">
        <f>SUMIFS(Movimentacoes!$G:$G,Movimentacoes!$C:$C,$A2749,Movimentacoes!$E:$E,$C2749,Movimentacoes!$B:$B,"SAIDA_DESCARTE")</f>
        <v/>
      </c>
      <c r="J2749" s="13">
        <f>G2749-H2749-I2749</f>
        <v/>
      </c>
      <c r="K2749">
        <f>IF(A2749="","",IF(J2749&lt;=IFERROR(VLOOKUP(A2749,Cadastro_Produtos!$A:$E,5,FALSE),0),"ABAIXO DO MINIMO","OK"))</f>
        <v/>
      </c>
    </row>
    <row r="2750">
      <c r="B2750">
        <f>IFERROR(VLOOKUP(A2750,Cadastro_Produtos!A:B,2,FALSE),"")</f>
        <v/>
      </c>
      <c r="D2750" s="12" t="n"/>
      <c r="E2750" s="13">
        <f>IF(D2750="","",D2750-TODAY())</f>
        <v/>
      </c>
      <c r="F2750">
        <f>IF(D2750="","",IF(E2750&lt;0,"VENCIDO",IF(E2750&lt;=30,"VENCE EM &lt;= 30 DIAS",IF(E2750&lt;=60,"ATENCAO (31-60 DIAS)","OK"))))</f>
        <v/>
      </c>
      <c r="G2750" s="13">
        <f>SUMIFS(Movimentacoes!$G:$G,Movimentacoes!$C:$C,$A2750,Movimentacoes!$E:$E,$C2750,Movimentacoes!$B:$B,"ENTRADA")</f>
        <v/>
      </c>
      <c r="H2750" s="13">
        <f>SUMIFS(Movimentacoes!$G:$G,Movimentacoes!$C:$C,$A2750,Movimentacoes!$E:$E,$C2750,Movimentacoes!$B:$B,"SAIDA_USO")</f>
        <v/>
      </c>
      <c r="I2750" s="13">
        <f>SUMIFS(Movimentacoes!$G:$G,Movimentacoes!$C:$C,$A2750,Movimentacoes!$E:$E,$C2750,Movimentacoes!$B:$B,"SAIDA_DESCARTE")</f>
        <v/>
      </c>
      <c r="J2750" s="13">
        <f>G2750-H2750-I2750</f>
        <v/>
      </c>
      <c r="K2750">
        <f>IF(A2750="","",IF(J2750&lt;=IFERROR(VLOOKUP(A2750,Cadastro_Produtos!$A:$E,5,FALSE),0),"ABAIXO DO MINIMO","OK"))</f>
        <v/>
      </c>
    </row>
    <row r="2751">
      <c r="B2751">
        <f>IFERROR(VLOOKUP(A2751,Cadastro_Produtos!A:B,2,FALSE),"")</f>
        <v/>
      </c>
      <c r="D2751" s="12" t="n"/>
      <c r="E2751" s="13">
        <f>IF(D2751="","",D2751-TODAY())</f>
        <v/>
      </c>
      <c r="F2751">
        <f>IF(D2751="","",IF(E2751&lt;0,"VENCIDO",IF(E2751&lt;=30,"VENCE EM &lt;= 30 DIAS",IF(E2751&lt;=60,"ATENCAO (31-60 DIAS)","OK"))))</f>
        <v/>
      </c>
      <c r="G2751" s="13">
        <f>SUMIFS(Movimentacoes!$G:$G,Movimentacoes!$C:$C,$A2751,Movimentacoes!$E:$E,$C2751,Movimentacoes!$B:$B,"ENTRADA")</f>
        <v/>
      </c>
      <c r="H2751" s="13">
        <f>SUMIFS(Movimentacoes!$G:$G,Movimentacoes!$C:$C,$A2751,Movimentacoes!$E:$E,$C2751,Movimentacoes!$B:$B,"SAIDA_USO")</f>
        <v/>
      </c>
      <c r="I2751" s="13">
        <f>SUMIFS(Movimentacoes!$G:$G,Movimentacoes!$C:$C,$A2751,Movimentacoes!$E:$E,$C2751,Movimentacoes!$B:$B,"SAIDA_DESCARTE")</f>
        <v/>
      </c>
      <c r="J2751" s="13">
        <f>G2751-H2751-I2751</f>
        <v/>
      </c>
      <c r="K2751">
        <f>IF(A2751="","",IF(J2751&lt;=IFERROR(VLOOKUP(A2751,Cadastro_Produtos!$A:$E,5,FALSE),0),"ABAIXO DO MINIMO","OK"))</f>
        <v/>
      </c>
    </row>
    <row r="2752">
      <c r="B2752">
        <f>IFERROR(VLOOKUP(A2752,Cadastro_Produtos!A:B,2,FALSE),"")</f>
        <v/>
      </c>
      <c r="D2752" s="12" t="n"/>
      <c r="E2752" s="13">
        <f>IF(D2752="","",D2752-TODAY())</f>
        <v/>
      </c>
      <c r="F2752">
        <f>IF(D2752="","",IF(E2752&lt;0,"VENCIDO",IF(E2752&lt;=30,"VENCE EM &lt;= 30 DIAS",IF(E2752&lt;=60,"ATENCAO (31-60 DIAS)","OK"))))</f>
        <v/>
      </c>
      <c r="G2752" s="13">
        <f>SUMIFS(Movimentacoes!$G:$G,Movimentacoes!$C:$C,$A2752,Movimentacoes!$E:$E,$C2752,Movimentacoes!$B:$B,"ENTRADA")</f>
        <v/>
      </c>
      <c r="H2752" s="13">
        <f>SUMIFS(Movimentacoes!$G:$G,Movimentacoes!$C:$C,$A2752,Movimentacoes!$E:$E,$C2752,Movimentacoes!$B:$B,"SAIDA_USO")</f>
        <v/>
      </c>
      <c r="I2752" s="13">
        <f>SUMIFS(Movimentacoes!$G:$G,Movimentacoes!$C:$C,$A2752,Movimentacoes!$E:$E,$C2752,Movimentacoes!$B:$B,"SAIDA_DESCARTE")</f>
        <v/>
      </c>
      <c r="J2752" s="13">
        <f>G2752-H2752-I2752</f>
        <v/>
      </c>
      <c r="K2752">
        <f>IF(A2752="","",IF(J2752&lt;=IFERROR(VLOOKUP(A2752,Cadastro_Produtos!$A:$E,5,FALSE),0),"ABAIXO DO MINIMO","OK"))</f>
        <v/>
      </c>
    </row>
    <row r="2753">
      <c r="B2753">
        <f>IFERROR(VLOOKUP(A2753,Cadastro_Produtos!A:B,2,FALSE),"")</f>
        <v/>
      </c>
      <c r="D2753" s="12" t="n"/>
      <c r="E2753" s="13">
        <f>IF(D2753="","",D2753-TODAY())</f>
        <v/>
      </c>
      <c r="F2753">
        <f>IF(D2753="","",IF(E2753&lt;0,"VENCIDO",IF(E2753&lt;=30,"VENCE EM &lt;= 30 DIAS",IF(E2753&lt;=60,"ATENCAO (31-60 DIAS)","OK"))))</f>
        <v/>
      </c>
      <c r="G2753" s="13">
        <f>SUMIFS(Movimentacoes!$G:$G,Movimentacoes!$C:$C,$A2753,Movimentacoes!$E:$E,$C2753,Movimentacoes!$B:$B,"ENTRADA")</f>
        <v/>
      </c>
      <c r="H2753" s="13">
        <f>SUMIFS(Movimentacoes!$G:$G,Movimentacoes!$C:$C,$A2753,Movimentacoes!$E:$E,$C2753,Movimentacoes!$B:$B,"SAIDA_USO")</f>
        <v/>
      </c>
      <c r="I2753" s="13">
        <f>SUMIFS(Movimentacoes!$G:$G,Movimentacoes!$C:$C,$A2753,Movimentacoes!$E:$E,$C2753,Movimentacoes!$B:$B,"SAIDA_DESCARTE")</f>
        <v/>
      </c>
      <c r="J2753" s="13">
        <f>G2753-H2753-I2753</f>
        <v/>
      </c>
      <c r="K2753">
        <f>IF(A2753="","",IF(J2753&lt;=IFERROR(VLOOKUP(A2753,Cadastro_Produtos!$A:$E,5,FALSE),0),"ABAIXO DO MINIMO","OK"))</f>
        <v/>
      </c>
    </row>
    <row r="2754">
      <c r="B2754">
        <f>IFERROR(VLOOKUP(A2754,Cadastro_Produtos!A:B,2,FALSE),"")</f>
        <v/>
      </c>
      <c r="D2754" s="12" t="n"/>
      <c r="E2754" s="13">
        <f>IF(D2754="","",D2754-TODAY())</f>
        <v/>
      </c>
      <c r="F2754">
        <f>IF(D2754="","",IF(E2754&lt;0,"VENCIDO",IF(E2754&lt;=30,"VENCE EM &lt;= 30 DIAS",IF(E2754&lt;=60,"ATENCAO (31-60 DIAS)","OK"))))</f>
        <v/>
      </c>
      <c r="G2754" s="13">
        <f>SUMIFS(Movimentacoes!$G:$G,Movimentacoes!$C:$C,$A2754,Movimentacoes!$E:$E,$C2754,Movimentacoes!$B:$B,"ENTRADA")</f>
        <v/>
      </c>
      <c r="H2754" s="13">
        <f>SUMIFS(Movimentacoes!$G:$G,Movimentacoes!$C:$C,$A2754,Movimentacoes!$E:$E,$C2754,Movimentacoes!$B:$B,"SAIDA_USO")</f>
        <v/>
      </c>
      <c r="I2754" s="13">
        <f>SUMIFS(Movimentacoes!$G:$G,Movimentacoes!$C:$C,$A2754,Movimentacoes!$E:$E,$C2754,Movimentacoes!$B:$B,"SAIDA_DESCARTE")</f>
        <v/>
      </c>
      <c r="J2754" s="13">
        <f>G2754-H2754-I2754</f>
        <v/>
      </c>
      <c r="K2754">
        <f>IF(A2754="","",IF(J2754&lt;=IFERROR(VLOOKUP(A2754,Cadastro_Produtos!$A:$E,5,FALSE),0),"ABAIXO DO MINIMO","OK"))</f>
        <v/>
      </c>
    </row>
    <row r="2755">
      <c r="B2755">
        <f>IFERROR(VLOOKUP(A2755,Cadastro_Produtos!A:B,2,FALSE),"")</f>
        <v/>
      </c>
      <c r="D2755" s="12" t="n"/>
      <c r="E2755" s="13">
        <f>IF(D2755="","",D2755-TODAY())</f>
        <v/>
      </c>
      <c r="F2755">
        <f>IF(D2755="","",IF(E2755&lt;0,"VENCIDO",IF(E2755&lt;=30,"VENCE EM &lt;= 30 DIAS",IF(E2755&lt;=60,"ATENCAO (31-60 DIAS)","OK"))))</f>
        <v/>
      </c>
      <c r="G2755" s="13">
        <f>SUMIFS(Movimentacoes!$G:$G,Movimentacoes!$C:$C,$A2755,Movimentacoes!$E:$E,$C2755,Movimentacoes!$B:$B,"ENTRADA")</f>
        <v/>
      </c>
      <c r="H2755" s="13">
        <f>SUMIFS(Movimentacoes!$G:$G,Movimentacoes!$C:$C,$A2755,Movimentacoes!$E:$E,$C2755,Movimentacoes!$B:$B,"SAIDA_USO")</f>
        <v/>
      </c>
      <c r="I2755" s="13">
        <f>SUMIFS(Movimentacoes!$G:$G,Movimentacoes!$C:$C,$A2755,Movimentacoes!$E:$E,$C2755,Movimentacoes!$B:$B,"SAIDA_DESCARTE")</f>
        <v/>
      </c>
      <c r="J2755" s="13">
        <f>G2755-H2755-I2755</f>
        <v/>
      </c>
      <c r="K2755">
        <f>IF(A2755="","",IF(J2755&lt;=IFERROR(VLOOKUP(A2755,Cadastro_Produtos!$A:$E,5,FALSE),0),"ABAIXO DO MINIMO","OK"))</f>
        <v/>
      </c>
    </row>
    <row r="2756">
      <c r="B2756">
        <f>IFERROR(VLOOKUP(A2756,Cadastro_Produtos!A:B,2,FALSE),"")</f>
        <v/>
      </c>
      <c r="D2756" s="12" t="n"/>
      <c r="E2756" s="13">
        <f>IF(D2756="","",D2756-TODAY())</f>
        <v/>
      </c>
      <c r="F2756">
        <f>IF(D2756="","",IF(E2756&lt;0,"VENCIDO",IF(E2756&lt;=30,"VENCE EM &lt;= 30 DIAS",IF(E2756&lt;=60,"ATENCAO (31-60 DIAS)","OK"))))</f>
        <v/>
      </c>
      <c r="G2756" s="13">
        <f>SUMIFS(Movimentacoes!$G:$G,Movimentacoes!$C:$C,$A2756,Movimentacoes!$E:$E,$C2756,Movimentacoes!$B:$B,"ENTRADA")</f>
        <v/>
      </c>
      <c r="H2756" s="13">
        <f>SUMIFS(Movimentacoes!$G:$G,Movimentacoes!$C:$C,$A2756,Movimentacoes!$E:$E,$C2756,Movimentacoes!$B:$B,"SAIDA_USO")</f>
        <v/>
      </c>
      <c r="I2756" s="13">
        <f>SUMIFS(Movimentacoes!$G:$G,Movimentacoes!$C:$C,$A2756,Movimentacoes!$E:$E,$C2756,Movimentacoes!$B:$B,"SAIDA_DESCARTE")</f>
        <v/>
      </c>
      <c r="J2756" s="13">
        <f>G2756-H2756-I2756</f>
        <v/>
      </c>
      <c r="K2756">
        <f>IF(A2756="","",IF(J2756&lt;=IFERROR(VLOOKUP(A2756,Cadastro_Produtos!$A:$E,5,FALSE),0),"ABAIXO DO MINIMO","OK"))</f>
        <v/>
      </c>
    </row>
    <row r="2757">
      <c r="B2757">
        <f>IFERROR(VLOOKUP(A2757,Cadastro_Produtos!A:B,2,FALSE),"")</f>
        <v/>
      </c>
      <c r="D2757" s="12" t="n"/>
      <c r="E2757" s="13">
        <f>IF(D2757="","",D2757-TODAY())</f>
        <v/>
      </c>
      <c r="F2757">
        <f>IF(D2757="","",IF(E2757&lt;0,"VENCIDO",IF(E2757&lt;=30,"VENCE EM &lt;= 30 DIAS",IF(E2757&lt;=60,"ATENCAO (31-60 DIAS)","OK"))))</f>
        <v/>
      </c>
      <c r="G2757" s="13">
        <f>SUMIFS(Movimentacoes!$G:$G,Movimentacoes!$C:$C,$A2757,Movimentacoes!$E:$E,$C2757,Movimentacoes!$B:$B,"ENTRADA")</f>
        <v/>
      </c>
      <c r="H2757" s="13">
        <f>SUMIFS(Movimentacoes!$G:$G,Movimentacoes!$C:$C,$A2757,Movimentacoes!$E:$E,$C2757,Movimentacoes!$B:$B,"SAIDA_USO")</f>
        <v/>
      </c>
      <c r="I2757" s="13">
        <f>SUMIFS(Movimentacoes!$G:$G,Movimentacoes!$C:$C,$A2757,Movimentacoes!$E:$E,$C2757,Movimentacoes!$B:$B,"SAIDA_DESCARTE")</f>
        <v/>
      </c>
      <c r="J2757" s="13">
        <f>G2757-H2757-I2757</f>
        <v/>
      </c>
      <c r="K2757">
        <f>IF(A2757="","",IF(J2757&lt;=IFERROR(VLOOKUP(A2757,Cadastro_Produtos!$A:$E,5,FALSE),0),"ABAIXO DO MINIMO","OK"))</f>
        <v/>
      </c>
    </row>
    <row r="2758">
      <c r="B2758">
        <f>IFERROR(VLOOKUP(A2758,Cadastro_Produtos!A:B,2,FALSE),"")</f>
        <v/>
      </c>
      <c r="D2758" s="12" t="n"/>
      <c r="E2758" s="13">
        <f>IF(D2758="","",D2758-TODAY())</f>
        <v/>
      </c>
      <c r="F2758">
        <f>IF(D2758="","",IF(E2758&lt;0,"VENCIDO",IF(E2758&lt;=30,"VENCE EM &lt;= 30 DIAS",IF(E2758&lt;=60,"ATENCAO (31-60 DIAS)","OK"))))</f>
        <v/>
      </c>
      <c r="G2758" s="13">
        <f>SUMIFS(Movimentacoes!$G:$G,Movimentacoes!$C:$C,$A2758,Movimentacoes!$E:$E,$C2758,Movimentacoes!$B:$B,"ENTRADA")</f>
        <v/>
      </c>
      <c r="H2758" s="13">
        <f>SUMIFS(Movimentacoes!$G:$G,Movimentacoes!$C:$C,$A2758,Movimentacoes!$E:$E,$C2758,Movimentacoes!$B:$B,"SAIDA_USO")</f>
        <v/>
      </c>
      <c r="I2758" s="13">
        <f>SUMIFS(Movimentacoes!$G:$G,Movimentacoes!$C:$C,$A2758,Movimentacoes!$E:$E,$C2758,Movimentacoes!$B:$B,"SAIDA_DESCARTE")</f>
        <v/>
      </c>
      <c r="J2758" s="13">
        <f>G2758-H2758-I2758</f>
        <v/>
      </c>
      <c r="K2758">
        <f>IF(A2758="","",IF(J2758&lt;=IFERROR(VLOOKUP(A2758,Cadastro_Produtos!$A:$E,5,FALSE),0),"ABAIXO DO MINIMO","OK"))</f>
        <v/>
      </c>
    </row>
    <row r="2759">
      <c r="B2759">
        <f>IFERROR(VLOOKUP(A2759,Cadastro_Produtos!A:B,2,FALSE),"")</f>
        <v/>
      </c>
      <c r="D2759" s="12" t="n"/>
      <c r="E2759" s="13">
        <f>IF(D2759="","",D2759-TODAY())</f>
        <v/>
      </c>
      <c r="F2759">
        <f>IF(D2759="","",IF(E2759&lt;0,"VENCIDO",IF(E2759&lt;=30,"VENCE EM &lt;= 30 DIAS",IF(E2759&lt;=60,"ATENCAO (31-60 DIAS)","OK"))))</f>
        <v/>
      </c>
      <c r="G2759" s="13">
        <f>SUMIFS(Movimentacoes!$G:$G,Movimentacoes!$C:$C,$A2759,Movimentacoes!$E:$E,$C2759,Movimentacoes!$B:$B,"ENTRADA")</f>
        <v/>
      </c>
      <c r="H2759" s="13">
        <f>SUMIFS(Movimentacoes!$G:$G,Movimentacoes!$C:$C,$A2759,Movimentacoes!$E:$E,$C2759,Movimentacoes!$B:$B,"SAIDA_USO")</f>
        <v/>
      </c>
      <c r="I2759" s="13">
        <f>SUMIFS(Movimentacoes!$G:$G,Movimentacoes!$C:$C,$A2759,Movimentacoes!$E:$E,$C2759,Movimentacoes!$B:$B,"SAIDA_DESCARTE")</f>
        <v/>
      </c>
      <c r="J2759" s="13">
        <f>G2759-H2759-I2759</f>
        <v/>
      </c>
      <c r="K2759">
        <f>IF(A2759="","",IF(J2759&lt;=IFERROR(VLOOKUP(A2759,Cadastro_Produtos!$A:$E,5,FALSE),0),"ABAIXO DO MINIMO","OK"))</f>
        <v/>
      </c>
    </row>
    <row r="2760">
      <c r="B2760">
        <f>IFERROR(VLOOKUP(A2760,Cadastro_Produtos!A:B,2,FALSE),"")</f>
        <v/>
      </c>
      <c r="D2760" s="12" t="n"/>
      <c r="E2760" s="13">
        <f>IF(D2760="","",D2760-TODAY())</f>
        <v/>
      </c>
      <c r="F2760">
        <f>IF(D2760="","",IF(E2760&lt;0,"VENCIDO",IF(E2760&lt;=30,"VENCE EM &lt;= 30 DIAS",IF(E2760&lt;=60,"ATENCAO (31-60 DIAS)","OK"))))</f>
        <v/>
      </c>
      <c r="G2760" s="13">
        <f>SUMIFS(Movimentacoes!$G:$G,Movimentacoes!$C:$C,$A2760,Movimentacoes!$E:$E,$C2760,Movimentacoes!$B:$B,"ENTRADA")</f>
        <v/>
      </c>
      <c r="H2760" s="13">
        <f>SUMIFS(Movimentacoes!$G:$G,Movimentacoes!$C:$C,$A2760,Movimentacoes!$E:$E,$C2760,Movimentacoes!$B:$B,"SAIDA_USO")</f>
        <v/>
      </c>
      <c r="I2760" s="13">
        <f>SUMIFS(Movimentacoes!$G:$G,Movimentacoes!$C:$C,$A2760,Movimentacoes!$E:$E,$C2760,Movimentacoes!$B:$B,"SAIDA_DESCARTE")</f>
        <v/>
      </c>
      <c r="J2760" s="13">
        <f>G2760-H2760-I2760</f>
        <v/>
      </c>
      <c r="K2760">
        <f>IF(A2760="","",IF(J2760&lt;=IFERROR(VLOOKUP(A2760,Cadastro_Produtos!$A:$E,5,FALSE),0),"ABAIXO DO MINIMO","OK"))</f>
        <v/>
      </c>
    </row>
    <row r="2761">
      <c r="B2761">
        <f>IFERROR(VLOOKUP(A2761,Cadastro_Produtos!A:B,2,FALSE),"")</f>
        <v/>
      </c>
      <c r="D2761" s="12" t="n"/>
      <c r="E2761" s="13">
        <f>IF(D2761="","",D2761-TODAY())</f>
        <v/>
      </c>
      <c r="F2761">
        <f>IF(D2761="","",IF(E2761&lt;0,"VENCIDO",IF(E2761&lt;=30,"VENCE EM &lt;= 30 DIAS",IF(E2761&lt;=60,"ATENCAO (31-60 DIAS)","OK"))))</f>
        <v/>
      </c>
      <c r="G2761" s="13">
        <f>SUMIFS(Movimentacoes!$G:$G,Movimentacoes!$C:$C,$A2761,Movimentacoes!$E:$E,$C2761,Movimentacoes!$B:$B,"ENTRADA")</f>
        <v/>
      </c>
      <c r="H2761" s="13">
        <f>SUMIFS(Movimentacoes!$G:$G,Movimentacoes!$C:$C,$A2761,Movimentacoes!$E:$E,$C2761,Movimentacoes!$B:$B,"SAIDA_USO")</f>
        <v/>
      </c>
      <c r="I2761" s="13">
        <f>SUMIFS(Movimentacoes!$G:$G,Movimentacoes!$C:$C,$A2761,Movimentacoes!$E:$E,$C2761,Movimentacoes!$B:$B,"SAIDA_DESCARTE")</f>
        <v/>
      </c>
      <c r="J2761" s="13">
        <f>G2761-H2761-I2761</f>
        <v/>
      </c>
      <c r="K2761">
        <f>IF(A2761="","",IF(J2761&lt;=IFERROR(VLOOKUP(A2761,Cadastro_Produtos!$A:$E,5,FALSE),0),"ABAIXO DO MINIMO","OK"))</f>
        <v/>
      </c>
    </row>
    <row r="2762">
      <c r="B2762">
        <f>IFERROR(VLOOKUP(A2762,Cadastro_Produtos!A:B,2,FALSE),"")</f>
        <v/>
      </c>
      <c r="D2762" s="12" t="n"/>
      <c r="E2762" s="13">
        <f>IF(D2762="","",D2762-TODAY())</f>
        <v/>
      </c>
      <c r="F2762">
        <f>IF(D2762="","",IF(E2762&lt;0,"VENCIDO",IF(E2762&lt;=30,"VENCE EM &lt;= 30 DIAS",IF(E2762&lt;=60,"ATENCAO (31-60 DIAS)","OK"))))</f>
        <v/>
      </c>
      <c r="G2762" s="13">
        <f>SUMIFS(Movimentacoes!$G:$G,Movimentacoes!$C:$C,$A2762,Movimentacoes!$E:$E,$C2762,Movimentacoes!$B:$B,"ENTRADA")</f>
        <v/>
      </c>
      <c r="H2762" s="13">
        <f>SUMIFS(Movimentacoes!$G:$G,Movimentacoes!$C:$C,$A2762,Movimentacoes!$E:$E,$C2762,Movimentacoes!$B:$B,"SAIDA_USO")</f>
        <v/>
      </c>
      <c r="I2762" s="13">
        <f>SUMIFS(Movimentacoes!$G:$G,Movimentacoes!$C:$C,$A2762,Movimentacoes!$E:$E,$C2762,Movimentacoes!$B:$B,"SAIDA_DESCARTE")</f>
        <v/>
      </c>
      <c r="J2762" s="13">
        <f>G2762-H2762-I2762</f>
        <v/>
      </c>
      <c r="K2762">
        <f>IF(A2762="","",IF(J2762&lt;=IFERROR(VLOOKUP(A2762,Cadastro_Produtos!$A:$E,5,FALSE),0),"ABAIXO DO MINIMO","OK"))</f>
        <v/>
      </c>
    </row>
    <row r="2763">
      <c r="B2763">
        <f>IFERROR(VLOOKUP(A2763,Cadastro_Produtos!A:B,2,FALSE),"")</f>
        <v/>
      </c>
      <c r="D2763" s="12" t="n"/>
      <c r="E2763" s="13">
        <f>IF(D2763="","",D2763-TODAY())</f>
        <v/>
      </c>
      <c r="F2763">
        <f>IF(D2763="","",IF(E2763&lt;0,"VENCIDO",IF(E2763&lt;=30,"VENCE EM &lt;= 30 DIAS",IF(E2763&lt;=60,"ATENCAO (31-60 DIAS)","OK"))))</f>
        <v/>
      </c>
      <c r="G2763" s="13">
        <f>SUMIFS(Movimentacoes!$G:$G,Movimentacoes!$C:$C,$A2763,Movimentacoes!$E:$E,$C2763,Movimentacoes!$B:$B,"ENTRADA")</f>
        <v/>
      </c>
      <c r="H2763" s="13">
        <f>SUMIFS(Movimentacoes!$G:$G,Movimentacoes!$C:$C,$A2763,Movimentacoes!$E:$E,$C2763,Movimentacoes!$B:$B,"SAIDA_USO")</f>
        <v/>
      </c>
      <c r="I2763" s="13">
        <f>SUMIFS(Movimentacoes!$G:$G,Movimentacoes!$C:$C,$A2763,Movimentacoes!$E:$E,$C2763,Movimentacoes!$B:$B,"SAIDA_DESCARTE")</f>
        <v/>
      </c>
      <c r="J2763" s="13">
        <f>G2763-H2763-I2763</f>
        <v/>
      </c>
      <c r="K2763">
        <f>IF(A2763="","",IF(J2763&lt;=IFERROR(VLOOKUP(A2763,Cadastro_Produtos!$A:$E,5,FALSE),0),"ABAIXO DO MINIMO","OK"))</f>
        <v/>
      </c>
    </row>
    <row r="2764">
      <c r="B2764">
        <f>IFERROR(VLOOKUP(A2764,Cadastro_Produtos!A:B,2,FALSE),"")</f>
        <v/>
      </c>
      <c r="D2764" s="12" t="n"/>
      <c r="E2764" s="13">
        <f>IF(D2764="","",D2764-TODAY())</f>
        <v/>
      </c>
      <c r="F2764">
        <f>IF(D2764="","",IF(E2764&lt;0,"VENCIDO",IF(E2764&lt;=30,"VENCE EM &lt;= 30 DIAS",IF(E2764&lt;=60,"ATENCAO (31-60 DIAS)","OK"))))</f>
        <v/>
      </c>
      <c r="G2764" s="13">
        <f>SUMIFS(Movimentacoes!$G:$G,Movimentacoes!$C:$C,$A2764,Movimentacoes!$E:$E,$C2764,Movimentacoes!$B:$B,"ENTRADA")</f>
        <v/>
      </c>
      <c r="H2764" s="13">
        <f>SUMIFS(Movimentacoes!$G:$G,Movimentacoes!$C:$C,$A2764,Movimentacoes!$E:$E,$C2764,Movimentacoes!$B:$B,"SAIDA_USO")</f>
        <v/>
      </c>
      <c r="I2764" s="13">
        <f>SUMIFS(Movimentacoes!$G:$G,Movimentacoes!$C:$C,$A2764,Movimentacoes!$E:$E,$C2764,Movimentacoes!$B:$B,"SAIDA_DESCARTE")</f>
        <v/>
      </c>
      <c r="J2764" s="13">
        <f>G2764-H2764-I2764</f>
        <v/>
      </c>
      <c r="K2764">
        <f>IF(A2764="","",IF(J2764&lt;=IFERROR(VLOOKUP(A2764,Cadastro_Produtos!$A:$E,5,FALSE),0),"ABAIXO DO MINIMO","OK"))</f>
        <v/>
      </c>
    </row>
    <row r="2765">
      <c r="B2765">
        <f>IFERROR(VLOOKUP(A2765,Cadastro_Produtos!A:B,2,FALSE),"")</f>
        <v/>
      </c>
      <c r="D2765" s="12" t="n"/>
      <c r="E2765" s="13">
        <f>IF(D2765="","",D2765-TODAY())</f>
        <v/>
      </c>
      <c r="F2765">
        <f>IF(D2765="","",IF(E2765&lt;0,"VENCIDO",IF(E2765&lt;=30,"VENCE EM &lt;= 30 DIAS",IF(E2765&lt;=60,"ATENCAO (31-60 DIAS)","OK"))))</f>
        <v/>
      </c>
      <c r="G2765" s="13">
        <f>SUMIFS(Movimentacoes!$G:$G,Movimentacoes!$C:$C,$A2765,Movimentacoes!$E:$E,$C2765,Movimentacoes!$B:$B,"ENTRADA")</f>
        <v/>
      </c>
      <c r="H2765" s="13">
        <f>SUMIFS(Movimentacoes!$G:$G,Movimentacoes!$C:$C,$A2765,Movimentacoes!$E:$E,$C2765,Movimentacoes!$B:$B,"SAIDA_USO")</f>
        <v/>
      </c>
      <c r="I2765" s="13">
        <f>SUMIFS(Movimentacoes!$G:$G,Movimentacoes!$C:$C,$A2765,Movimentacoes!$E:$E,$C2765,Movimentacoes!$B:$B,"SAIDA_DESCARTE")</f>
        <v/>
      </c>
      <c r="J2765" s="13">
        <f>G2765-H2765-I2765</f>
        <v/>
      </c>
      <c r="K2765">
        <f>IF(A2765="","",IF(J2765&lt;=IFERROR(VLOOKUP(A2765,Cadastro_Produtos!$A:$E,5,FALSE),0),"ABAIXO DO MINIMO","OK"))</f>
        <v/>
      </c>
    </row>
    <row r="2766">
      <c r="B2766">
        <f>IFERROR(VLOOKUP(A2766,Cadastro_Produtos!A:B,2,FALSE),"")</f>
        <v/>
      </c>
      <c r="D2766" s="12" t="n"/>
      <c r="E2766" s="13">
        <f>IF(D2766="","",D2766-TODAY())</f>
        <v/>
      </c>
      <c r="F2766">
        <f>IF(D2766="","",IF(E2766&lt;0,"VENCIDO",IF(E2766&lt;=30,"VENCE EM &lt;= 30 DIAS",IF(E2766&lt;=60,"ATENCAO (31-60 DIAS)","OK"))))</f>
        <v/>
      </c>
      <c r="G2766" s="13">
        <f>SUMIFS(Movimentacoes!$G:$G,Movimentacoes!$C:$C,$A2766,Movimentacoes!$E:$E,$C2766,Movimentacoes!$B:$B,"ENTRADA")</f>
        <v/>
      </c>
      <c r="H2766" s="13">
        <f>SUMIFS(Movimentacoes!$G:$G,Movimentacoes!$C:$C,$A2766,Movimentacoes!$E:$E,$C2766,Movimentacoes!$B:$B,"SAIDA_USO")</f>
        <v/>
      </c>
      <c r="I2766" s="13">
        <f>SUMIFS(Movimentacoes!$G:$G,Movimentacoes!$C:$C,$A2766,Movimentacoes!$E:$E,$C2766,Movimentacoes!$B:$B,"SAIDA_DESCARTE")</f>
        <v/>
      </c>
      <c r="J2766" s="13">
        <f>G2766-H2766-I2766</f>
        <v/>
      </c>
      <c r="K2766">
        <f>IF(A2766="","",IF(J2766&lt;=IFERROR(VLOOKUP(A2766,Cadastro_Produtos!$A:$E,5,FALSE),0),"ABAIXO DO MINIMO","OK"))</f>
        <v/>
      </c>
    </row>
    <row r="2767">
      <c r="B2767">
        <f>IFERROR(VLOOKUP(A2767,Cadastro_Produtos!A:B,2,FALSE),"")</f>
        <v/>
      </c>
      <c r="D2767" s="12" t="n"/>
      <c r="E2767" s="13">
        <f>IF(D2767="","",D2767-TODAY())</f>
        <v/>
      </c>
      <c r="F2767">
        <f>IF(D2767="","",IF(E2767&lt;0,"VENCIDO",IF(E2767&lt;=30,"VENCE EM &lt;= 30 DIAS",IF(E2767&lt;=60,"ATENCAO (31-60 DIAS)","OK"))))</f>
        <v/>
      </c>
      <c r="G2767" s="13">
        <f>SUMIFS(Movimentacoes!$G:$G,Movimentacoes!$C:$C,$A2767,Movimentacoes!$E:$E,$C2767,Movimentacoes!$B:$B,"ENTRADA")</f>
        <v/>
      </c>
      <c r="H2767" s="13">
        <f>SUMIFS(Movimentacoes!$G:$G,Movimentacoes!$C:$C,$A2767,Movimentacoes!$E:$E,$C2767,Movimentacoes!$B:$B,"SAIDA_USO")</f>
        <v/>
      </c>
      <c r="I2767" s="13">
        <f>SUMIFS(Movimentacoes!$G:$G,Movimentacoes!$C:$C,$A2767,Movimentacoes!$E:$E,$C2767,Movimentacoes!$B:$B,"SAIDA_DESCARTE")</f>
        <v/>
      </c>
      <c r="J2767" s="13">
        <f>G2767-H2767-I2767</f>
        <v/>
      </c>
      <c r="K2767">
        <f>IF(A2767="","",IF(J2767&lt;=IFERROR(VLOOKUP(A2767,Cadastro_Produtos!$A:$E,5,FALSE),0),"ABAIXO DO MINIMO","OK"))</f>
        <v/>
      </c>
    </row>
    <row r="2768">
      <c r="B2768">
        <f>IFERROR(VLOOKUP(A2768,Cadastro_Produtos!A:B,2,FALSE),"")</f>
        <v/>
      </c>
      <c r="D2768" s="12" t="n"/>
      <c r="E2768" s="13">
        <f>IF(D2768="","",D2768-TODAY())</f>
        <v/>
      </c>
      <c r="F2768">
        <f>IF(D2768="","",IF(E2768&lt;0,"VENCIDO",IF(E2768&lt;=30,"VENCE EM &lt;= 30 DIAS",IF(E2768&lt;=60,"ATENCAO (31-60 DIAS)","OK"))))</f>
        <v/>
      </c>
      <c r="G2768" s="13">
        <f>SUMIFS(Movimentacoes!$G:$G,Movimentacoes!$C:$C,$A2768,Movimentacoes!$E:$E,$C2768,Movimentacoes!$B:$B,"ENTRADA")</f>
        <v/>
      </c>
      <c r="H2768" s="13">
        <f>SUMIFS(Movimentacoes!$G:$G,Movimentacoes!$C:$C,$A2768,Movimentacoes!$E:$E,$C2768,Movimentacoes!$B:$B,"SAIDA_USO")</f>
        <v/>
      </c>
      <c r="I2768" s="13">
        <f>SUMIFS(Movimentacoes!$G:$G,Movimentacoes!$C:$C,$A2768,Movimentacoes!$E:$E,$C2768,Movimentacoes!$B:$B,"SAIDA_DESCARTE")</f>
        <v/>
      </c>
      <c r="J2768" s="13">
        <f>G2768-H2768-I2768</f>
        <v/>
      </c>
      <c r="K2768">
        <f>IF(A2768="","",IF(J2768&lt;=IFERROR(VLOOKUP(A2768,Cadastro_Produtos!$A:$E,5,FALSE),0),"ABAIXO DO MINIMO","OK"))</f>
        <v/>
      </c>
    </row>
    <row r="2769">
      <c r="B2769">
        <f>IFERROR(VLOOKUP(A2769,Cadastro_Produtos!A:B,2,FALSE),"")</f>
        <v/>
      </c>
      <c r="D2769" s="12" t="n"/>
      <c r="E2769" s="13">
        <f>IF(D2769="","",D2769-TODAY())</f>
        <v/>
      </c>
      <c r="F2769">
        <f>IF(D2769="","",IF(E2769&lt;0,"VENCIDO",IF(E2769&lt;=30,"VENCE EM &lt;= 30 DIAS",IF(E2769&lt;=60,"ATENCAO (31-60 DIAS)","OK"))))</f>
        <v/>
      </c>
      <c r="G2769" s="13">
        <f>SUMIFS(Movimentacoes!$G:$G,Movimentacoes!$C:$C,$A2769,Movimentacoes!$E:$E,$C2769,Movimentacoes!$B:$B,"ENTRADA")</f>
        <v/>
      </c>
      <c r="H2769" s="13">
        <f>SUMIFS(Movimentacoes!$G:$G,Movimentacoes!$C:$C,$A2769,Movimentacoes!$E:$E,$C2769,Movimentacoes!$B:$B,"SAIDA_USO")</f>
        <v/>
      </c>
      <c r="I2769" s="13">
        <f>SUMIFS(Movimentacoes!$G:$G,Movimentacoes!$C:$C,$A2769,Movimentacoes!$E:$E,$C2769,Movimentacoes!$B:$B,"SAIDA_DESCARTE")</f>
        <v/>
      </c>
      <c r="J2769" s="13">
        <f>G2769-H2769-I2769</f>
        <v/>
      </c>
      <c r="K2769">
        <f>IF(A2769="","",IF(J2769&lt;=IFERROR(VLOOKUP(A2769,Cadastro_Produtos!$A:$E,5,FALSE),0),"ABAIXO DO MINIMO","OK"))</f>
        <v/>
      </c>
    </row>
    <row r="2770">
      <c r="B2770">
        <f>IFERROR(VLOOKUP(A2770,Cadastro_Produtos!A:B,2,FALSE),"")</f>
        <v/>
      </c>
      <c r="D2770" s="12" t="n"/>
      <c r="E2770" s="13">
        <f>IF(D2770="","",D2770-TODAY())</f>
        <v/>
      </c>
      <c r="F2770">
        <f>IF(D2770="","",IF(E2770&lt;0,"VENCIDO",IF(E2770&lt;=30,"VENCE EM &lt;= 30 DIAS",IF(E2770&lt;=60,"ATENCAO (31-60 DIAS)","OK"))))</f>
        <v/>
      </c>
      <c r="G2770" s="13">
        <f>SUMIFS(Movimentacoes!$G:$G,Movimentacoes!$C:$C,$A2770,Movimentacoes!$E:$E,$C2770,Movimentacoes!$B:$B,"ENTRADA")</f>
        <v/>
      </c>
      <c r="H2770" s="13">
        <f>SUMIFS(Movimentacoes!$G:$G,Movimentacoes!$C:$C,$A2770,Movimentacoes!$E:$E,$C2770,Movimentacoes!$B:$B,"SAIDA_USO")</f>
        <v/>
      </c>
      <c r="I2770" s="13">
        <f>SUMIFS(Movimentacoes!$G:$G,Movimentacoes!$C:$C,$A2770,Movimentacoes!$E:$E,$C2770,Movimentacoes!$B:$B,"SAIDA_DESCARTE")</f>
        <v/>
      </c>
      <c r="J2770" s="13">
        <f>G2770-H2770-I2770</f>
        <v/>
      </c>
      <c r="K2770">
        <f>IF(A2770="","",IF(J2770&lt;=IFERROR(VLOOKUP(A2770,Cadastro_Produtos!$A:$E,5,FALSE),0),"ABAIXO DO MINIMO","OK"))</f>
        <v/>
      </c>
    </row>
    <row r="2771">
      <c r="B2771">
        <f>IFERROR(VLOOKUP(A2771,Cadastro_Produtos!A:B,2,FALSE),"")</f>
        <v/>
      </c>
      <c r="D2771" s="12" t="n"/>
      <c r="E2771" s="13">
        <f>IF(D2771="","",D2771-TODAY())</f>
        <v/>
      </c>
      <c r="F2771">
        <f>IF(D2771="","",IF(E2771&lt;0,"VENCIDO",IF(E2771&lt;=30,"VENCE EM &lt;= 30 DIAS",IF(E2771&lt;=60,"ATENCAO (31-60 DIAS)","OK"))))</f>
        <v/>
      </c>
      <c r="G2771" s="13">
        <f>SUMIFS(Movimentacoes!$G:$G,Movimentacoes!$C:$C,$A2771,Movimentacoes!$E:$E,$C2771,Movimentacoes!$B:$B,"ENTRADA")</f>
        <v/>
      </c>
      <c r="H2771" s="13">
        <f>SUMIFS(Movimentacoes!$G:$G,Movimentacoes!$C:$C,$A2771,Movimentacoes!$E:$E,$C2771,Movimentacoes!$B:$B,"SAIDA_USO")</f>
        <v/>
      </c>
      <c r="I2771" s="13">
        <f>SUMIFS(Movimentacoes!$G:$G,Movimentacoes!$C:$C,$A2771,Movimentacoes!$E:$E,$C2771,Movimentacoes!$B:$B,"SAIDA_DESCARTE")</f>
        <v/>
      </c>
      <c r="J2771" s="13">
        <f>G2771-H2771-I2771</f>
        <v/>
      </c>
      <c r="K2771">
        <f>IF(A2771="","",IF(J2771&lt;=IFERROR(VLOOKUP(A2771,Cadastro_Produtos!$A:$E,5,FALSE),0),"ABAIXO DO MINIMO","OK"))</f>
        <v/>
      </c>
    </row>
    <row r="2772">
      <c r="B2772">
        <f>IFERROR(VLOOKUP(A2772,Cadastro_Produtos!A:B,2,FALSE),"")</f>
        <v/>
      </c>
      <c r="D2772" s="12" t="n"/>
      <c r="E2772" s="13">
        <f>IF(D2772="","",D2772-TODAY())</f>
        <v/>
      </c>
      <c r="F2772">
        <f>IF(D2772="","",IF(E2772&lt;0,"VENCIDO",IF(E2772&lt;=30,"VENCE EM &lt;= 30 DIAS",IF(E2772&lt;=60,"ATENCAO (31-60 DIAS)","OK"))))</f>
        <v/>
      </c>
      <c r="G2772" s="13">
        <f>SUMIFS(Movimentacoes!$G:$G,Movimentacoes!$C:$C,$A2772,Movimentacoes!$E:$E,$C2772,Movimentacoes!$B:$B,"ENTRADA")</f>
        <v/>
      </c>
      <c r="H2772" s="13">
        <f>SUMIFS(Movimentacoes!$G:$G,Movimentacoes!$C:$C,$A2772,Movimentacoes!$E:$E,$C2772,Movimentacoes!$B:$B,"SAIDA_USO")</f>
        <v/>
      </c>
      <c r="I2772" s="13">
        <f>SUMIFS(Movimentacoes!$G:$G,Movimentacoes!$C:$C,$A2772,Movimentacoes!$E:$E,$C2772,Movimentacoes!$B:$B,"SAIDA_DESCARTE")</f>
        <v/>
      </c>
      <c r="J2772" s="13">
        <f>G2772-H2772-I2772</f>
        <v/>
      </c>
      <c r="K2772">
        <f>IF(A2772="","",IF(J2772&lt;=IFERROR(VLOOKUP(A2772,Cadastro_Produtos!$A:$E,5,FALSE),0),"ABAIXO DO MINIMO","OK"))</f>
        <v/>
      </c>
    </row>
    <row r="2773">
      <c r="B2773">
        <f>IFERROR(VLOOKUP(A2773,Cadastro_Produtos!A:B,2,FALSE),"")</f>
        <v/>
      </c>
      <c r="D2773" s="12" t="n"/>
      <c r="E2773" s="13">
        <f>IF(D2773="","",D2773-TODAY())</f>
        <v/>
      </c>
      <c r="F2773">
        <f>IF(D2773="","",IF(E2773&lt;0,"VENCIDO",IF(E2773&lt;=30,"VENCE EM &lt;= 30 DIAS",IF(E2773&lt;=60,"ATENCAO (31-60 DIAS)","OK"))))</f>
        <v/>
      </c>
      <c r="G2773" s="13">
        <f>SUMIFS(Movimentacoes!$G:$G,Movimentacoes!$C:$C,$A2773,Movimentacoes!$E:$E,$C2773,Movimentacoes!$B:$B,"ENTRADA")</f>
        <v/>
      </c>
      <c r="H2773" s="13">
        <f>SUMIFS(Movimentacoes!$G:$G,Movimentacoes!$C:$C,$A2773,Movimentacoes!$E:$E,$C2773,Movimentacoes!$B:$B,"SAIDA_USO")</f>
        <v/>
      </c>
      <c r="I2773" s="13">
        <f>SUMIFS(Movimentacoes!$G:$G,Movimentacoes!$C:$C,$A2773,Movimentacoes!$E:$E,$C2773,Movimentacoes!$B:$B,"SAIDA_DESCARTE")</f>
        <v/>
      </c>
      <c r="J2773" s="13">
        <f>G2773-H2773-I2773</f>
        <v/>
      </c>
      <c r="K2773">
        <f>IF(A2773="","",IF(J2773&lt;=IFERROR(VLOOKUP(A2773,Cadastro_Produtos!$A:$E,5,FALSE),0),"ABAIXO DO MINIMO","OK"))</f>
        <v/>
      </c>
    </row>
    <row r="2774">
      <c r="B2774">
        <f>IFERROR(VLOOKUP(A2774,Cadastro_Produtos!A:B,2,FALSE),"")</f>
        <v/>
      </c>
      <c r="D2774" s="12" t="n"/>
      <c r="E2774" s="13">
        <f>IF(D2774="","",D2774-TODAY())</f>
        <v/>
      </c>
      <c r="F2774">
        <f>IF(D2774="","",IF(E2774&lt;0,"VENCIDO",IF(E2774&lt;=30,"VENCE EM &lt;= 30 DIAS",IF(E2774&lt;=60,"ATENCAO (31-60 DIAS)","OK"))))</f>
        <v/>
      </c>
      <c r="G2774" s="13">
        <f>SUMIFS(Movimentacoes!$G:$G,Movimentacoes!$C:$C,$A2774,Movimentacoes!$E:$E,$C2774,Movimentacoes!$B:$B,"ENTRADA")</f>
        <v/>
      </c>
      <c r="H2774" s="13">
        <f>SUMIFS(Movimentacoes!$G:$G,Movimentacoes!$C:$C,$A2774,Movimentacoes!$E:$E,$C2774,Movimentacoes!$B:$B,"SAIDA_USO")</f>
        <v/>
      </c>
      <c r="I2774" s="13">
        <f>SUMIFS(Movimentacoes!$G:$G,Movimentacoes!$C:$C,$A2774,Movimentacoes!$E:$E,$C2774,Movimentacoes!$B:$B,"SAIDA_DESCARTE")</f>
        <v/>
      </c>
      <c r="J2774" s="13">
        <f>G2774-H2774-I2774</f>
        <v/>
      </c>
      <c r="K2774">
        <f>IF(A2774="","",IF(J2774&lt;=IFERROR(VLOOKUP(A2774,Cadastro_Produtos!$A:$E,5,FALSE),0),"ABAIXO DO MINIMO","OK"))</f>
        <v/>
      </c>
    </row>
    <row r="2775">
      <c r="B2775">
        <f>IFERROR(VLOOKUP(A2775,Cadastro_Produtos!A:B,2,FALSE),"")</f>
        <v/>
      </c>
      <c r="D2775" s="12" t="n"/>
      <c r="E2775" s="13">
        <f>IF(D2775="","",D2775-TODAY())</f>
        <v/>
      </c>
      <c r="F2775">
        <f>IF(D2775="","",IF(E2775&lt;0,"VENCIDO",IF(E2775&lt;=30,"VENCE EM &lt;= 30 DIAS",IF(E2775&lt;=60,"ATENCAO (31-60 DIAS)","OK"))))</f>
        <v/>
      </c>
      <c r="G2775" s="13">
        <f>SUMIFS(Movimentacoes!$G:$G,Movimentacoes!$C:$C,$A2775,Movimentacoes!$E:$E,$C2775,Movimentacoes!$B:$B,"ENTRADA")</f>
        <v/>
      </c>
      <c r="H2775" s="13">
        <f>SUMIFS(Movimentacoes!$G:$G,Movimentacoes!$C:$C,$A2775,Movimentacoes!$E:$E,$C2775,Movimentacoes!$B:$B,"SAIDA_USO")</f>
        <v/>
      </c>
      <c r="I2775" s="13">
        <f>SUMIFS(Movimentacoes!$G:$G,Movimentacoes!$C:$C,$A2775,Movimentacoes!$E:$E,$C2775,Movimentacoes!$B:$B,"SAIDA_DESCARTE")</f>
        <v/>
      </c>
      <c r="J2775" s="13">
        <f>G2775-H2775-I2775</f>
        <v/>
      </c>
      <c r="K2775">
        <f>IF(A2775="","",IF(J2775&lt;=IFERROR(VLOOKUP(A2775,Cadastro_Produtos!$A:$E,5,FALSE),0),"ABAIXO DO MINIMO","OK"))</f>
        <v/>
      </c>
    </row>
    <row r="2776">
      <c r="B2776">
        <f>IFERROR(VLOOKUP(A2776,Cadastro_Produtos!A:B,2,FALSE),"")</f>
        <v/>
      </c>
      <c r="D2776" s="12" t="n"/>
      <c r="E2776" s="13">
        <f>IF(D2776="","",D2776-TODAY())</f>
        <v/>
      </c>
      <c r="F2776">
        <f>IF(D2776="","",IF(E2776&lt;0,"VENCIDO",IF(E2776&lt;=30,"VENCE EM &lt;= 30 DIAS",IF(E2776&lt;=60,"ATENCAO (31-60 DIAS)","OK"))))</f>
        <v/>
      </c>
      <c r="G2776" s="13">
        <f>SUMIFS(Movimentacoes!$G:$G,Movimentacoes!$C:$C,$A2776,Movimentacoes!$E:$E,$C2776,Movimentacoes!$B:$B,"ENTRADA")</f>
        <v/>
      </c>
      <c r="H2776" s="13">
        <f>SUMIFS(Movimentacoes!$G:$G,Movimentacoes!$C:$C,$A2776,Movimentacoes!$E:$E,$C2776,Movimentacoes!$B:$B,"SAIDA_USO")</f>
        <v/>
      </c>
      <c r="I2776" s="13">
        <f>SUMIFS(Movimentacoes!$G:$G,Movimentacoes!$C:$C,$A2776,Movimentacoes!$E:$E,$C2776,Movimentacoes!$B:$B,"SAIDA_DESCARTE")</f>
        <v/>
      </c>
      <c r="J2776" s="13">
        <f>G2776-H2776-I2776</f>
        <v/>
      </c>
      <c r="K2776">
        <f>IF(A2776="","",IF(J2776&lt;=IFERROR(VLOOKUP(A2776,Cadastro_Produtos!$A:$E,5,FALSE),0),"ABAIXO DO MINIMO","OK"))</f>
        <v/>
      </c>
    </row>
    <row r="2777">
      <c r="B2777">
        <f>IFERROR(VLOOKUP(A2777,Cadastro_Produtos!A:B,2,FALSE),"")</f>
        <v/>
      </c>
      <c r="D2777" s="12" t="n"/>
      <c r="E2777" s="13">
        <f>IF(D2777="","",D2777-TODAY())</f>
        <v/>
      </c>
      <c r="F2777">
        <f>IF(D2777="","",IF(E2777&lt;0,"VENCIDO",IF(E2777&lt;=30,"VENCE EM &lt;= 30 DIAS",IF(E2777&lt;=60,"ATENCAO (31-60 DIAS)","OK"))))</f>
        <v/>
      </c>
      <c r="G2777" s="13">
        <f>SUMIFS(Movimentacoes!$G:$G,Movimentacoes!$C:$C,$A2777,Movimentacoes!$E:$E,$C2777,Movimentacoes!$B:$B,"ENTRADA")</f>
        <v/>
      </c>
      <c r="H2777" s="13">
        <f>SUMIFS(Movimentacoes!$G:$G,Movimentacoes!$C:$C,$A2777,Movimentacoes!$E:$E,$C2777,Movimentacoes!$B:$B,"SAIDA_USO")</f>
        <v/>
      </c>
      <c r="I2777" s="13">
        <f>SUMIFS(Movimentacoes!$G:$G,Movimentacoes!$C:$C,$A2777,Movimentacoes!$E:$E,$C2777,Movimentacoes!$B:$B,"SAIDA_DESCARTE")</f>
        <v/>
      </c>
      <c r="J2777" s="13">
        <f>G2777-H2777-I2777</f>
        <v/>
      </c>
      <c r="K2777">
        <f>IF(A2777="","",IF(J2777&lt;=IFERROR(VLOOKUP(A2777,Cadastro_Produtos!$A:$E,5,FALSE),0),"ABAIXO DO MINIMO","OK"))</f>
        <v/>
      </c>
    </row>
    <row r="2778">
      <c r="B2778">
        <f>IFERROR(VLOOKUP(A2778,Cadastro_Produtos!A:B,2,FALSE),"")</f>
        <v/>
      </c>
      <c r="D2778" s="12" t="n"/>
      <c r="E2778" s="13">
        <f>IF(D2778="","",D2778-TODAY())</f>
        <v/>
      </c>
      <c r="F2778">
        <f>IF(D2778="","",IF(E2778&lt;0,"VENCIDO",IF(E2778&lt;=30,"VENCE EM &lt;= 30 DIAS",IF(E2778&lt;=60,"ATENCAO (31-60 DIAS)","OK"))))</f>
        <v/>
      </c>
      <c r="G2778" s="13">
        <f>SUMIFS(Movimentacoes!$G:$G,Movimentacoes!$C:$C,$A2778,Movimentacoes!$E:$E,$C2778,Movimentacoes!$B:$B,"ENTRADA")</f>
        <v/>
      </c>
      <c r="H2778" s="13">
        <f>SUMIFS(Movimentacoes!$G:$G,Movimentacoes!$C:$C,$A2778,Movimentacoes!$E:$E,$C2778,Movimentacoes!$B:$B,"SAIDA_USO")</f>
        <v/>
      </c>
      <c r="I2778" s="13">
        <f>SUMIFS(Movimentacoes!$G:$G,Movimentacoes!$C:$C,$A2778,Movimentacoes!$E:$E,$C2778,Movimentacoes!$B:$B,"SAIDA_DESCARTE")</f>
        <v/>
      </c>
      <c r="J2778" s="13">
        <f>G2778-H2778-I2778</f>
        <v/>
      </c>
      <c r="K2778">
        <f>IF(A2778="","",IF(J2778&lt;=IFERROR(VLOOKUP(A2778,Cadastro_Produtos!$A:$E,5,FALSE),0),"ABAIXO DO MINIMO","OK"))</f>
        <v/>
      </c>
    </row>
    <row r="2779">
      <c r="B2779">
        <f>IFERROR(VLOOKUP(A2779,Cadastro_Produtos!A:B,2,FALSE),"")</f>
        <v/>
      </c>
      <c r="D2779" s="12" t="n"/>
      <c r="E2779" s="13">
        <f>IF(D2779="","",D2779-TODAY())</f>
        <v/>
      </c>
      <c r="F2779">
        <f>IF(D2779="","",IF(E2779&lt;0,"VENCIDO",IF(E2779&lt;=30,"VENCE EM &lt;= 30 DIAS",IF(E2779&lt;=60,"ATENCAO (31-60 DIAS)","OK"))))</f>
        <v/>
      </c>
      <c r="G2779" s="13">
        <f>SUMIFS(Movimentacoes!$G:$G,Movimentacoes!$C:$C,$A2779,Movimentacoes!$E:$E,$C2779,Movimentacoes!$B:$B,"ENTRADA")</f>
        <v/>
      </c>
      <c r="H2779" s="13">
        <f>SUMIFS(Movimentacoes!$G:$G,Movimentacoes!$C:$C,$A2779,Movimentacoes!$E:$E,$C2779,Movimentacoes!$B:$B,"SAIDA_USO")</f>
        <v/>
      </c>
      <c r="I2779" s="13">
        <f>SUMIFS(Movimentacoes!$G:$G,Movimentacoes!$C:$C,$A2779,Movimentacoes!$E:$E,$C2779,Movimentacoes!$B:$B,"SAIDA_DESCARTE")</f>
        <v/>
      </c>
      <c r="J2779" s="13">
        <f>G2779-H2779-I2779</f>
        <v/>
      </c>
      <c r="K2779">
        <f>IF(A2779="","",IF(J2779&lt;=IFERROR(VLOOKUP(A2779,Cadastro_Produtos!$A:$E,5,FALSE),0),"ABAIXO DO MINIMO","OK"))</f>
        <v/>
      </c>
    </row>
    <row r="2780">
      <c r="B2780">
        <f>IFERROR(VLOOKUP(A2780,Cadastro_Produtos!A:B,2,FALSE),"")</f>
        <v/>
      </c>
      <c r="D2780" s="12" t="n"/>
      <c r="E2780" s="13">
        <f>IF(D2780="","",D2780-TODAY())</f>
        <v/>
      </c>
      <c r="F2780">
        <f>IF(D2780="","",IF(E2780&lt;0,"VENCIDO",IF(E2780&lt;=30,"VENCE EM &lt;= 30 DIAS",IF(E2780&lt;=60,"ATENCAO (31-60 DIAS)","OK"))))</f>
        <v/>
      </c>
      <c r="G2780" s="13">
        <f>SUMIFS(Movimentacoes!$G:$G,Movimentacoes!$C:$C,$A2780,Movimentacoes!$E:$E,$C2780,Movimentacoes!$B:$B,"ENTRADA")</f>
        <v/>
      </c>
      <c r="H2780" s="13">
        <f>SUMIFS(Movimentacoes!$G:$G,Movimentacoes!$C:$C,$A2780,Movimentacoes!$E:$E,$C2780,Movimentacoes!$B:$B,"SAIDA_USO")</f>
        <v/>
      </c>
      <c r="I2780" s="13">
        <f>SUMIFS(Movimentacoes!$G:$G,Movimentacoes!$C:$C,$A2780,Movimentacoes!$E:$E,$C2780,Movimentacoes!$B:$B,"SAIDA_DESCARTE")</f>
        <v/>
      </c>
      <c r="J2780" s="13">
        <f>G2780-H2780-I2780</f>
        <v/>
      </c>
      <c r="K2780">
        <f>IF(A2780="","",IF(J2780&lt;=IFERROR(VLOOKUP(A2780,Cadastro_Produtos!$A:$E,5,FALSE),0),"ABAIXO DO MINIMO","OK"))</f>
        <v/>
      </c>
    </row>
    <row r="2781">
      <c r="B2781">
        <f>IFERROR(VLOOKUP(A2781,Cadastro_Produtos!A:B,2,FALSE),"")</f>
        <v/>
      </c>
      <c r="D2781" s="12" t="n"/>
      <c r="E2781" s="13">
        <f>IF(D2781="","",D2781-TODAY())</f>
        <v/>
      </c>
      <c r="F2781">
        <f>IF(D2781="","",IF(E2781&lt;0,"VENCIDO",IF(E2781&lt;=30,"VENCE EM &lt;= 30 DIAS",IF(E2781&lt;=60,"ATENCAO (31-60 DIAS)","OK"))))</f>
        <v/>
      </c>
      <c r="G2781" s="13">
        <f>SUMIFS(Movimentacoes!$G:$G,Movimentacoes!$C:$C,$A2781,Movimentacoes!$E:$E,$C2781,Movimentacoes!$B:$B,"ENTRADA")</f>
        <v/>
      </c>
      <c r="H2781" s="13">
        <f>SUMIFS(Movimentacoes!$G:$G,Movimentacoes!$C:$C,$A2781,Movimentacoes!$E:$E,$C2781,Movimentacoes!$B:$B,"SAIDA_USO")</f>
        <v/>
      </c>
      <c r="I2781" s="13">
        <f>SUMIFS(Movimentacoes!$G:$G,Movimentacoes!$C:$C,$A2781,Movimentacoes!$E:$E,$C2781,Movimentacoes!$B:$B,"SAIDA_DESCARTE")</f>
        <v/>
      </c>
      <c r="J2781" s="13">
        <f>G2781-H2781-I2781</f>
        <v/>
      </c>
      <c r="K2781">
        <f>IF(A2781="","",IF(J2781&lt;=IFERROR(VLOOKUP(A2781,Cadastro_Produtos!$A:$E,5,FALSE),0),"ABAIXO DO MINIMO","OK"))</f>
        <v/>
      </c>
    </row>
    <row r="2782">
      <c r="B2782">
        <f>IFERROR(VLOOKUP(A2782,Cadastro_Produtos!A:B,2,FALSE),"")</f>
        <v/>
      </c>
      <c r="D2782" s="12" t="n"/>
      <c r="E2782" s="13">
        <f>IF(D2782="","",D2782-TODAY())</f>
        <v/>
      </c>
      <c r="F2782">
        <f>IF(D2782="","",IF(E2782&lt;0,"VENCIDO",IF(E2782&lt;=30,"VENCE EM &lt;= 30 DIAS",IF(E2782&lt;=60,"ATENCAO (31-60 DIAS)","OK"))))</f>
        <v/>
      </c>
      <c r="G2782" s="13">
        <f>SUMIFS(Movimentacoes!$G:$G,Movimentacoes!$C:$C,$A2782,Movimentacoes!$E:$E,$C2782,Movimentacoes!$B:$B,"ENTRADA")</f>
        <v/>
      </c>
      <c r="H2782" s="13">
        <f>SUMIFS(Movimentacoes!$G:$G,Movimentacoes!$C:$C,$A2782,Movimentacoes!$E:$E,$C2782,Movimentacoes!$B:$B,"SAIDA_USO")</f>
        <v/>
      </c>
      <c r="I2782" s="13">
        <f>SUMIFS(Movimentacoes!$G:$G,Movimentacoes!$C:$C,$A2782,Movimentacoes!$E:$E,$C2782,Movimentacoes!$B:$B,"SAIDA_DESCARTE")</f>
        <v/>
      </c>
      <c r="J2782" s="13">
        <f>G2782-H2782-I2782</f>
        <v/>
      </c>
      <c r="K2782">
        <f>IF(A2782="","",IF(J2782&lt;=IFERROR(VLOOKUP(A2782,Cadastro_Produtos!$A:$E,5,FALSE),0),"ABAIXO DO MINIMO","OK"))</f>
        <v/>
      </c>
    </row>
    <row r="2783">
      <c r="B2783">
        <f>IFERROR(VLOOKUP(A2783,Cadastro_Produtos!A:B,2,FALSE),"")</f>
        <v/>
      </c>
      <c r="D2783" s="12" t="n"/>
      <c r="E2783" s="13">
        <f>IF(D2783="","",D2783-TODAY())</f>
        <v/>
      </c>
      <c r="F2783">
        <f>IF(D2783="","",IF(E2783&lt;0,"VENCIDO",IF(E2783&lt;=30,"VENCE EM &lt;= 30 DIAS",IF(E2783&lt;=60,"ATENCAO (31-60 DIAS)","OK"))))</f>
        <v/>
      </c>
      <c r="G2783" s="13">
        <f>SUMIFS(Movimentacoes!$G:$G,Movimentacoes!$C:$C,$A2783,Movimentacoes!$E:$E,$C2783,Movimentacoes!$B:$B,"ENTRADA")</f>
        <v/>
      </c>
      <c r="H2783" s="13">
        <f>SUMIFS(Movimentacoes!$G:$G,Movimentacoes!$C:$C,$A2783,Movimentacoes!$E:$E,$C2783,Movimentacoes!$B:$B,"SAIDA_USO")</f>
        <v/>
      </c>
      <c r="I2783" s="13">
        <f>SUMIFS(Movimentacoes!$G:$G,Movimentacoes!$C:$C,$A2783,Movimentacoes!$E:$E,$C2783,Movimentacoes!$B:$B,"SAIDA_DESCARTE")</f>
        <v/>
      </c>
      <c r="J2783" s="13">
        <f>G2783-H2783-I2783</f>
        <v/>
      </c>
      <c r="K2783">
        <f>IF(A2783="","",IF(J2783&lt;=IFERROR(VLOOKUP(A2783,Cadastro_Produtos!$A:$E,5,FALSE),0),"ABAIXO DO MINIMO","OK"))</f>
        <v/>
      </c>
    </row>
    <row r="2784">
      <c r="B2784">
        <f>IFERROR(VLOOKUP(A2784,Cadastro_Produtos!A:B,2,FALSE),"")</f>
        <v/>
      </c>
      <c r="D2784" s="12" t="n"/>
      <c r="E2784" s="13">
        <f>IF(D2784="","",D2784-TODAY())</f>
        <v/>
      </c>
      <c r="F2784">
        <f>IF(D2784="","",IF(E2784&lt;0,"VENCIDO",IF(E2784&lt;=30,"VENCE EM &lt;= 30 DIAS",IF(E2784&lt;=60,"ATENCAO (31-60 DIAS)","OK"))))</f>
        <v/>
      </c>
      <c r="G2784" s="13">
        <f>SUMIFS(Movimentacoes!$G:$G,Movimentacoes!$C:$C,$A2784,Movimentacoes!$E:$E,$C2784,Movimentacoes!$B:$B,"ENTRADA")</f>
        <v/>
      </c>
      <c r="H2784" s="13">
        <f>SUMIFS(Movimentacoes!$G:$G,Movimentacoes!$C:$C,$A2784,Movimentacoes!$E:$E,$C2784,Movimentacoes!$B:$B,"SAIDA_USO")</f>
        <v/>
      </c>
      <c r="I2784" s="13">
        <f>SUMIFS(Movimentacoes!$G:$G,Movimentacoes!$C:$C,$A2784,Movimentacoes!$E:$E,$C2784,Movimentacoes!$B:$B,"SAIDA_DESCARTE")</f>
        <v/>
      </c>
      <c r="J2784" s="13">
        <f>G2784-H2784-I2784</f>
        <v/>
      </c>
      <c r="K2784">
        <f>IF(A2784="","",IF(J2784&lt;=IFERROR(VLOOKUP(A2784,Cadastro_Produtos!$A:$E,5,FALSE),0),"ABAIXO DO MINIMO","OK"))</f>
        <v/>
      </c>
    </row>
    <row r="2785">
      <c r="B2785">
        <f>IFERROR(VLOOKUP(A2785,Cadastro_Produtos!A:B,2,FALSE),"")</f>
        <v/>
      </c>
      <c r="D2785" s="12" t="n"/>
      <c r="E2785" s="13">
        <f>IF(D2785="","",D2785-TODAY())</f>
        <v/>
      </c>
      <c r="F2785">
        <f>IF(D2785="","",IF(E2785&lt;0,"VENCIDO",IF(E2785&lt;=30,"VENCE EM &lt;= 30 DIAS",IF(E2785&lt;=60,"ATENCAO (31-60 DIAS)","OK"))))</f>
        <v/>
      </c>
      <c r="G2785" s="13">
        <f>SUMIFS(Movimentacoes!$G:$G,Movimentacoes!$C:$C,$A2785,Movimentacoes!$E:$E,$C2785,Movimentacoes!$B:$B,"ENTRADA")</f>
        <v/>
      </c>
      <c r="H2785" s="13">
        <f>SUMIFS(Movimentacoes!$G:$G,Movimentacoes!$C:$C,$A2785,Movimentacoes!$E:$E,$C2785,Movimentacoes!$B:$B,"SAIDA_USO")</f>
        <v/>
      </c>
      <c r="I2785" s="13">
        <f>SUMIFS(Movimentacoes!$G:$G,Movimentacoes!$C:$C,$A2785,Movimentacoes!$E:$E,$C2785,Movimentacoes!$B:$B,"SAIDA_DESCARTE")</f>
        <v/>
      </c>
      <c r="J2785" s="13">
        <f>G2785-H2785-I2785</f>
        <v/>
      </c>
      <c r="K2785">
        <f>IF(A2785="","",IF(J2785&lt;=IFERROR(VLOOKUP(A2785,Cadastro_Produtos!$A:$E,5,FALSE),0),"ABAIXO DO MINIMO","OK"))</f>
        <v/>
      </c>
    </row>
    <row r="2786">
      <c r="B2786">
        <f>IFERROR(VLOOKUP(A2786,Cadastro_Produtos!A:B,2,FALSE),"")</f>
        <v/>
      </c>
      <c r="D2786" s="12" t="n"/>
      <c r="E2786" s="13">
        <f>IF(D2786="","",D2786-TODAY())</f>
        <v/>
      </c>
      <c r="F2786">
        <f>IF(D2786="","",IF(E2786&lt;0,"VENCIDO",IF(E2786&lt;=30,"VENCE EM &lt;= 30 DIAS",IF(E2786&lt;=60,"ATENCAO (31-60 DIAS)","OK"))))</f>
        <v/>
      </c>
      <c r="G2786" s="13">
        <f>SUMIFS(Movimentacoes!$G:$G,Movimentacoes!$C:$C,$A2786,Movimentacoes!$E:$E,$C2786,Movimentacoes!$B:$B,"ENTRADA")</f>
        <v/>
      </c>
      <c r="H2786" s="13">
        <f>SUMIFS(Movimentacoes!$G:$G,Movimentacoes!$C:$C,$A2786,Movimentacoes!$E:$E,$C2786,Movimentacoes!$B:$B,"SAIDA_USO")</f>
        <v/>
      </c>
      <c r="I2786" s="13">
        <f>SUMIFS(Movimentacoes!$G:$G,Movimentacoes!$C:$C,$A2786,Movimentacoes!$E:$E,$C2786,Movimentacoes!$B:$B,"SAIDA_DESCARTE")</f>
        <v/>
      </c>
      <c r="J2786" s="13">
        <f>G2786-H2786-I2786</f>
        <v/>
      </c>
      <c r="K2786">
        <f>IF(A2786="","",IF(J2786&lt;=IFERROR(VLOOKUP(A2786,Cadastro_Produtos!$A:$E,5,FALSE),0),"ABAIXO DO MINIMO","OK"))</f>
        <v/>
      </c>
    </row>
    <row r="2787">
      <c r="B2787">
        <f>IFERROR(VLOOKUP(A2787,Cadastro_Produtos!A:B,2,FALSE),"")</f>
        <v/>
      </c>
      <c r="D2787" s="12" t="n"/>
      <c r="E2787" s="13">
        <f>IF(D2787="","",D2787-TODAY())</f>
        <v/>
      </c>
      <c r="F2787">
        <f>IF(D2787="","",IF(E2787&lt;0,"VENCIDO",IF(E2787&lt;=30,"VENCE EM &lt;= 30 DIAS",IF(E2787&lt;=60,"ATENCAO (31-60 DIAS)","OK"))))</f>
        <v/>
      </c>
      <c r="G2787" s="13">
        <f>SUMIFS(Movimentacoes!$G:$G,Movimentacoes!$C:$C,$A2787,Movimentacoes!$E:$E,$C2787,Movimentacoes!$B:$B,"ENTRADA")</f>
        <v/>
      </c>
      <c r="H2787" s="13">
        <f>SUMIFS(Movimentacoes!$G:$G,Movimentacoes!$C:$C,$A2787,Movimentacoes!$E:$E,$C2787,Movimentacoes!$B:$B,"SAIDA_USO")</f>
        <v/>
      </c>
      <c r="I2787" s="13">
        <f>SUMIFS(Movimentacoes!$G:$G,Movimentacoes!$C:$C,$A2787,Movimentacoes!$E:$E,$C2787,Movimentacoes!$B:$B,"SAIDA_DESCARTE")</f>
        <v/>
      </c>
      <c r="J2787" s="13">
        <f>G2787-H2787-I2787</f>
        <v/>
      </c>
      <c r="K2787">
        <f>IF(A2787="","",IF(J2787&lt;=IFERROR(VLOOKUP(A2787,Cadastro_Produtos!$A:$E,5,FALSE),0),"ABAIXO DO MINIMO","OK"))</f>
        <v/>
      </c>
    </row>
    <row r="2788">
      <c r="B2788">
        <f>IFERROR(VLOOKUP(A2788,Cadastro_Produtos!A:B,2,FALSE),"")</f>
        <v/>
      </c>
      <c r="D2788" s="12" t="n"/>
      <c r="E2788" s="13">
        <f>IF(D2788="","",D2788-TODAY())</f>
        <v/>
      </c>
      <c r="F2788">
        <f>IF(D2788="","",IF(E2788&lt;0,"VENCIDO",IF(E2788&lt;=30,"VENCE EM &lt;= 30 DIAS",IF(E2788&lt;=60,"ATENCAO (31-60 DIAS)","OK"))))</f>
        <v/>
      </c>
      <c r="G2788" s="13">
        <f>SUMIFS(Movimentacoes!$G:$G,Movimentacoes!$C:$C,$A2788,Movimentacoes!$E:$E,$C2788,Movimentacoes!$B:$B,"ENTRADA")</f>
        <v/>
      </c>
      <c r="H2788" s="13">
        <f>SUMIFS(Movimentacoes!$G:$G,Movimentacoes!$C:$C,$A2788,Movimentacoes!$E:$E,$C2788,Movimentacoes!$B:$B,"SAIDA_USO")</f>
        <v/>
      </c>
      <c r="I2788" s="13">
        <f>SUMIFS(Movimentacoes!$G:$G,Movimentacoes!$C:$C,$A2788,Movimentacoes!$E:$E,$C2788,Movimentacoes!$B:$B,"SAIDA_DESCARTE")</f>
        <v/>
      </c>
      <c r="J2788" s="13">
        <f>G2788-H2788-I2788</f>
        <v/>
      </c>
      <c r="K2788">
        <f>IF(A2788="","",IF(J2788&lt;=IFERROR(VLOOKUP(A2788,Cadastro_Produtos!$A:$E,5,FALSE),0),"ABAIXO DO MINIMO","OK"))</f>
        <v/>
      </c>
    </row>
    <row r="2789">
      <c r="B2789">
        <f>IFERROR(VLOOKUP(A2789,Cadastro_Produtos!A:B,2,FALSE),"")</f>
        <v/>
      </c>
      <c r="D2789" s="12" t="n"/>
      <c r="E2789" s="13">
        <f>IF(D2789="","",D2789-TODAY())</f>
        <v/>
      </c>
      <c r="F2789">
        <f>IF(D2789="","",IF(E2789&lt;0,"VENCIDO",IF(E2789&lt;=30,"VENCE EM &lt;= 30 DIAS",IF(E2789&lt;=60,"ATENCAO (31-60 DIAS)","OK"))))</f>
        <v/>
      </c>
      <c r="G2789" s="13">
        <f>SUMIFS(Movimentacoes!$G:$G,Movimentacoes!$C:$C,$A2789,Movimentacoes!$E:$E,$C2789,Movimentacoes!$B:$B,"ENTRADA")</f>
        <v/>
      </c>
      <c r="H2789" s="13">
        <f>SUMIFS(Movimentacoes!$G:$G,Movimentacoes!$C:$C,$A2789,Movimentacoes!$E:$E,$C2789,Movimentacoes!$B:$B,"SAIDA_USO")</f>
        <v/>
      </c>
      <c r="I2789" s="13">
        <f>SUMIFS(Movimentacoes!$G:$G,Movimentacoes!$C:$C,$A2789,Movimentacoes!$E:$E,$C2789,Movimentacoes!$B:$B,"SAIDA_DESCARTE")</f>
        <v/>
      </c>
      <c r="J2789" s="13">
        <f>G2789-H2789-I2789</f>
        <v/>
      </c>
      <c r="K2789">
        <f>IF(A2789="","",IF(J2789&lt;=IFERROR(VLOOKUP(A2789,Cadastro_Produtos!$A:$E,5,FALSE),0),"ABAIXO DO MINIMO","OK"))</f>
        <v/>
      </c>
    </row>
    <row r="2790">
      <c r="B2790">
        <f>IFERROR(VLOOKUP(A2790,Cadastro_Produtos!A:B,2,FALSE),"")</f>
        <v/>
      </c>
      <c r="D2790" s="12" t="n"/>
      <c r="E2790" s="13">
        <f>IF(D2790="","",D2790-TODAY())</f>
        <v/>
      </c>
      <c r="F2790">
        <f>IF(D2790="","",IF(E2790&lt;0,"VENCIDO",IF(E2790&lt;=30,"VENCE EM &lt;= 30 DIAS",IF(E2790&lt;=60,"ATENCAO (31-60 DIAS)","OK"))))</f>
        <v/>
      </c>
      <c r="G2790" s="13">
        <f>SUMIFS(Movimentacoes!$G:$G,Movimentacoes!$C:$C,$A2790,Movimentacoes!$E:$E,$C2790,Movimentacoes!$B:$B,"ENTRADA")</f>
        <v/>
      </c>
      <c r="H2790" s="13">
        <f>SUMIFS(Movimentacoes!$G:$G,Movimentacoes!$C:$C,$A2790,Movimentacoes!$E:$E,$C2790,Movimentacoes!$B:$B,"SAIDA_USO")</f>
        <v/>
      </c>
      <c r="I2790" s="13">
        <f>SUMIFS(Movimentacoes!$G:$G,Movimentacoes!$C:$C,$A2790,Movimentacoes!$E:$E,$C2790,Movimentacoes!$B:$B,"SAIDA_DESCARTE")</f>
        <v/>
      </c>
      <c r="J2790" s="13">
        <f>G2790-H2790-I2790</f>
        <v/>
      </c>
      <c r="K2790">
        <f>IF(A2790="","",IF(J2790&lt;=IFERROR(VLOOKUP(A2790,Cadastro_Produtos!$A:$E,5,FALSE),0),"ABAIXO DO MINIMO","OK"))</f>
        <v/>
      </c>
    </row>
    <row r="2791">
      <c r="B2791">
        <f>IFERROR(VLOOKUP(A2791,Cadastro_Produtos!A:B,2,FALSE),"")</f>
        <v/>
      </c>
      <c r="D2791" s="12" t="n"/>
      <c r="E2791" s="13">
        <f>IF(D2791="","",D2791-TODAY())</f>
        <v/>
      </c>
      <c r="F2791">
        <f>IF(D2791="","",IF(E2791&lt;0,"VENCIDO",IF(E2791&lt;=30,"VENCE EM &lt;= 30 DIAS",IF(E2791&lt;=60,"ATENCAO (31-60 DIAS)","OK"))))</f>
        <v/>
      </c>
      <c r="G2791" s="13">
        <f>SUMIFS(Movimentacoes!$G:$G,Movimentacoes!$C:$C,$A2791,Movimentacoes!$E:$E,$C2791,Movimentacoes!$B:$B,"ENTRADA")</f>
        <v/>
      </c>
      <c r="H2791" s="13">
        <f>SUMIFS(Movimentacoes!$G:$G,Movimentacoes!$C:$C,$A2791,Movimentacoes!$E:$E,$C2791,Movimentacoes!$B:$B,"SAIDA_USO")</f>
        <v/>
      </c>
      <c r="I2791" s="13">
        <f>SUMIFS(Movimentacoes!$G:$G,Movimentacoes!$C:$C,$A2791,Movimentacoes!$E:$E,$C2791,Movimentacoes!$B:$B,"SAIDA_DESCARTE")</f>
        <v/>
      </c>
      <c r="J2791" s="13">
        <f>G2791-H2791-I2791</f>
        <v/>
      </c>
      <c r="K2791">
        <f>IF(A2791="","",IF(J2791&lt;=IFERROR(VLOOKUP(A2791,Cadastro_Produtos!$A:$E,5,FALSE),0),"ABAIXO DO MINIMO","OK"))</f>
        <v/>
      </c>
    </row>
    <row r="2792">
      <c r="B2792">
        <f>IFERROR(VLOOKUP(A2792,Cadastro_Produtos!A:B,2,FALSE),"")</f>
        <v/>
      </c>
      <c r="D2792" s="12" t="n"/>
      <c r="E2792" s="13">
        <f>IF(D2792="","",D2792-TODAY())</f>
        <v/>
      </c>
      <c r="F2792">
        <f>IF(D2792="","",IF(E2792&lt;0,"VENCIDO",IF(E2792&lt;=30,"VENCE EM &lt;= 30 DIAS",IF(E2792&lt;=60,"ATENCAO (31-60 DIAS)","OK"))))</f>
        <v/>
      </c>
      <c r="G2792" s="13">
        <f>SUMIFS(Movimentacoes!$G:$G,Movimentacoes!$C:$C,$A2792,Movimentacoes!$E:$E,$C2792,Movimentacoes!$B:$B,"ENTRADA")</f>
        <v/>
      </c>
      <c r="H2792" s="13">
        <f>SUMIFS(Movimentacoes!$G:$G,Movimentacoes!$C:$C,$A2792,Movimentacoes!$E:$E,$C2792,Movimentacoes!$B:$B,"SAIDA_USO")</f>
        <v/>
      </c>
      <c r="I2792" s="13">
        <f>SUMIFS(Movimentacoes!$G:$G,Movimentacoes!$C:$C,$A2792,Movimentacoes!$E:$E,$C2792,Movimentacoes!$B:$B,"SAIDA_DESCARTE")</f>
        <v/>
      </c>
      <c r="J2792" s="13">
        <f>G2792-H2792-I2792</f>
        <v/>
      </c>
      <c r="K2792">
        <f>IF(A2792="","",IF(J2792&lt;=IFERROR(VLOOKUP(A2792,Cadastro_Produtos!$A:$E,5,FALSE),0),"ABAIXO DO MINIMO","OK"))</f>
        <v/>
      </c>
    </row>
    <row r="2793">
      <c r="B2793">
        <f>IFERROR(VLOOKUP(A2793,Cadastro_Produtos!A:B,2,FALSE),"")</f>
        <v/>
      </c>
      <c r="D2793" s="12" t="n"/>
      <c r="E2793" s="13">
        <f>IF(D2793="","",D2793-TODAY())</f>
        <v/>
      </c>
      <c r="F2793">
        <f>IF(D2793="","",IF(E2793&lt;0,"VENCIDO",IF(E2793&lt;=30,"VENCE EM &lt;= 30 DIAS",IF(E2793&lt;=60,"ATENCAO (31-60 DIAS)","OK"))))</f>
        <v/>
      </c>
      <c r="G2793" s="13">
        <f>SUMIFS(Movimentacoes!$G:$G,Movimentacoes!$C:$C,$A2793,Movimentacoes!$E:$E,$C2793,Movimentacoes!$B:$B,"ENTRADA")</f>
        <v/>
      </c>
      <c r="H2793" s="13">
        <f>SUMIFS(Movimentacoes!$G:$G,Movimentacoes!$C:$C,$A2793,Movimentacoes!$E:$E,$C2793,Movimentacoes!$B:$B,"SAIDA_USO")</f>
        <v/>
      </c>
      <c r="I2793" s="13">
        <f>SUMIFS(Movimentacoes!$G:$G,Movimentacoes!$C:$C,$A2793,Movimentacoes!$E:$E,$C2793,Movimentacoes!$B:$B,"SAIDA_DESCARTE")</f>
        <v/>
      </c>
      <c r="J2793" s="13">
        <f>G2793-H2793-I2793</f>
        <v/>
      </c>
      <c r="K2793">
        <f>IF(A2793="","",IF(J2793&lt;=IFERROR(VLOOKUP(A2793,Cadastro_Produtos!$A:$E,5,FALSE),0),"ABAIXO DO MINIMO","OK"))</f>
        <v/>
      </c>
    </row>
    <row r="2794">
      <c r="B2794">
        <f>IFERROR(VLOOKUP(A2794,Cadastro_Produtos!A:B,2,FALSE),"")</f>
        <v/>
      </c>
      <c r="D2794" s="12" t="n"/>
      <c r="E2794" s="13">
        <f>IF(D2794="","",D2794-TODAY())</f>
        <v/>
      </c>
      <c r="F2794">
        <f>IF(D2794="","",IF(E2794&lt;0,"VENCIDO",IF(E2794&lt;=30,"VENCE EM &lt;= 30 DIAS",IF(E2794&lt;=60,"ATENCAO (31-60 DIAS)","OK"))))</f>
        <v/>
      </c>
      <c r="G2794" s="13">
        <f>SUMIFS(Movimentacoes!$G:$G,Movimentacoes!$C:$C,$A2794,Movimentacoes!$E:$E,$C2794,Movimentacoes!$B:$B,"ENTRADA")</f>
        <v/>
      </c>
      <c r="H2794" s="13">
        <f>SUMIFS(Movimentacoes!$G:$G,Movimentacoes!$C:$C,$A2794,Movimentacoes!$E:$E,$C2794,Movimentacoes!$B:$B,"SAIDA_USO")</f>
        <v/>
      </c>
      <c r="I2794" s="13">
        <f>SUMIFS(Movimentacoes!$G:$G,Movimentacoes!$C:$C,$A2794,Movimentacoes!$E:$E,$C2794,Movimentacoes!$B:$B,"SAIDA_DESCARTE")</f>
        <v/>
      </c>
      <c r="J2794" s="13">
        <f>G2794-H2794-I2794</f>
        <v/>
      </c>
      <c r="K2794">
        <f>IF(A2794="","",IF(J2794&lt;=IFERROR(VLOOKUP(A2794,Cadastro_Produtos!$A:$E,5,FALSE),0),"ABAIXO DO MINIMO","OK"))</f>
        <v/>
      </c>
    </row>
    <row r="2795">
      <c r="B2795">
        <f>IFERROR(VLOOKUP(A2795,Cadastro_Produtos!A:B,2,FALSE),"")</f>
        <v/>
      </c>
      <c r="D2795" s="12" t="n"/>
      <c r="E2795" s="13">
        <f>IF(D2795="","",D2795-TODAY())</f>
        <v/>
      </c>
      <c r="F2795">
        <f>IF(D2795="","",IF(E2795&lt;0,"VENCIDO",IF(E2795&lt;=30,"VENCE EM &lt;= 30 DIAS",IF(E2795&lt;=60,"ATENCAO (31-60 DIAS)","OK"))))</f>
        <v/>
      </c>
      <c r="G2795" s="13">
        <f>SUMIFS(Movimentacoes!$G:$G,Movimentacoes!$C:$C,$A2795,Movimentacoes!$E:$E,$C2795,Movimentacoes!$B:$B,"ENTRADA")</f>
        <v/>
      </c>
      <c r="H2795" s="13">
        <f>SUMIFS(Movimentacoes!$G:$G,Movimentacoes!$C:$C,$A2795,Movimentacoes!$E:$E,$C2795,Movimentacoes!$B:$B,"SAIDA_USO")</f>
        <v/>
      </c>
      <c r="I2795" s="13">
        <f>SUMIFS(Movimentacoes!$G:$G,Movimentacoes!$C:$C,$A2795,Movimentacoes!$E:$E,$C2795,Movimentacoes!$B:$B,"SAIDA_DESCARTE")</f>
        <v/>
      </c>
      <c r="J2795" s="13">
        <f>G2795-H2795-I2795</f>
        <v/>
      </c>
      <c r="K2795">
        <f>IF(A2795="","",IF(J2795&lt;=IFERROR(VLOOKUP(A2795,Cadastro_Produtos!$A:$E,5,FALSE),0),"ABAIXO DO MINIMO","OK"))</f>
        <v/>
      </c>
    </row>
    <row r="2796">
      <c r="B2796">
        <f>IFERROR(VLOOKUP(A2796,Cadastro_Produtos!A:B,2,FALSE),"")</f>
        <v/>
      </c>
      <c r="D2796" s="12" t="n"/>
      <c r="E2796" s="13">
        <f>IF(D2796="","",D2796-TODAY())</f>
        <v/>
      </c>
      <c r="F2796">
        <f>IF(D2796="","",IF(E2796&lt;0,"VENCIDO",IF(E2796&lt;=30,"VENCE EM &lt;= 30 DIAS",IF(E2796&lt;=60,"ATENCAO (31-60 DIAS)","OK"))))</f>
        <v/>
      </c>
      <c r="G2796" s="13">
        <f>SUMIFS(Movimentacoes!$G:$G,Movimentacoes!$C:$C,$A2796,Movimentacoes!$E:$E,$C2796,Movimentacoes!$B:$B,"ENTRADA")</f>
        <v/>
      </c>
      <c r="H2796" s="13">
        <f>SUMIFS(Movimentacoes!$G:$G,Movimentacoes!$C:$C,$A2796,Movimentacoes!$E:$E,$C2796,Movimentacoes!$B:$B,"SAIDA_USO")</f>
        <v/>
      </c>
      <c r="I2796" s="13">
        <f>SUMIFS(Movimentacoes!$G:$G,Movimentacoes!$C:$C,$A2796,Movimentacoes!$E:$E,$C2796,Movimentacoes!$B:$B,"SAIDA_DESCARTE")</f>
        <v/>
      </c>
      <c r="J2796" s="13">
        <f>G2796-H2796-I2796</f>
        <v/>
      </c>
      <c r="K2796">
        <f>IF(A2796="","",IF(J2796&lt;=IFERROR(VLOOKUP(A2796,Cadastro_Produtos!$A:$E,5,FALSE),0),"ABAIXO DO MINIMO","OK"))</f>
        <v/>
      </c>
    </row>
    <row r="2797">
      <c r="B2797">
        <f>IFERROR(VLOOKUP(A2797,Cadastro_Produtos!A:B,2,FALSE),"")</f>
        <v/>
      </c>
      <c r="D2797" s="12" t="n"/>
      <c r="E2797" s="13">
        <f>IF(D2797="","",D2797-TODAY())</f>
        <v/>
      </c>
      <c r="F2797">
        <f>IF(D2797="","",IF(E2797&lt;0,"VENCIDO",IF(E2797&lt;=30,"VENCE EM &lt;= 30 DIAS",IF(E2797&lt;=60,"ATENCAO (31-60 DIAS)","OK"))))</f>
        <v/>
      </c>
      <c r="G2797" s="13">
        <f>SUMIFS(Movimentacoes!$G:$G,Movimentacoes!$C:$C,$A2797,Movimentacoes!$E:$E,$C2797,Movimentacoes!$B:$B,"ENTRADA")</f>
        <v/>
      </c>
      <c r="H2797" s="13">
        <f>SUMIFS(Movimentacoes!$G:$G,Movimentacoes!$C:$C,$A2797,Movimentacoes!$E:$E,$C2797,Movimentacoes!$B:$B,"SAIDA_USO")</f>
        <v/>
      </c>
      <c r="I2797" s="13">
        <f>SUMIFS(Movimentacoes!$G:$G,Movimentacoes!$C:$C,$A2797,Movimentacoes!$E:$E,$C2797,Movimentacoes!$B:$B,"SAIDA_DESCARTE")</f>
        <v/>
      </c>
      <c r="J2797" s="13">
        <f>G2797-H2797-I2797</f>
        <v/>
      </c>
      <c r="K2797">
        <f>IF(A2797="","",IF(J2797&lt;=IFERROR(VLOOKUP(A2797,Cadastro_Produtos!$A:$E,5,FALSE),0),"ABAIXO DO MINIMO","OK"))</f>
        <v/>
      </c>
    </row>
    <row r="2798">
      <c r="B2798">
        <f>IFERROR(VLOOKUP(A2798,Cadastro_Produtos!A:B,2,FALSE),"")</f>
        <v/>
      </c>
      <c r="D2798" s="12" t="n"/>
      <c r="E2798" s="13">
        <f>IF(D2798="","",D2798-TODAY())</f>
        <v/>
      </c>
      <c r="F2798">
        <f>IF(D2798="","",IF(E2798&lt;0,"VENCIDO",IF(E2798&lt;=30,"VENCE EM &lt;= 30 DIAS",IF(E2798&lt;=60,"ATENCAO (31-60 DIAS)","OK"))))</f>
        <v/>
      </c>
      <c r="G2798" s="13">
        <f>SUMIFS(Movimentacoes!$G:$G,Movimentacoes!$C:$C,$A2798,Movimentacoes!$E:$E,$C2798,Movimentacoes!$B:$B,"ENTRADA")</f>
        <v/>
      </c>
      <c r="H2798" s="13">
        <f>SUMIFS(Movimentacoes!$G:$G,Movimentacoes!$C:$C,$A2798,Movimentacoes!$E:$E,$C2798,Movimentacoes!$B:$B,"SAIDA_USO")</f>
        <v/>
      </c>
      <c r="I2798" s="13">
        <f>SUMIFS(Movimentacoes!$G:$G,Movimentacoes!$C:$C,$A2798,Movimentacoes!$E:$E,$C2798,Movimentacoes!$B:$B,"SAIDA_DESCARTE")</f>
        <v/>
      </c>
      <c r="J2798" s="13">
        <f>G2798-H2798-I2798</f>
        <v/>
      </c>
      <c r="K2798">
        <f>IF(A2798="","",IF(J2798&lt;=IFERROR(VLOOKUP(A2798,Cadastro_Produtos!$A:$E,5,FALSE),0),"ABAIXO DO MINIMO","OK"))</f>
        <v/>
      </c>
    </row>
    <row r="2799">
      <c r="B2799">
        <f>IFERROR(VLOOKUP(A2799,Cadastro_Produtos!A:B,2,FALSE),"")</f>
        <v/>
      </c>
      <c r="D2799" s="12" t="n"/>
      <c r="E2799" s="13">
        <f>IF(D2799="","",D2799-TODAY())</f>
        <v/>
      </c>
      <c r="F2799">
        <f>IF(D2799="","",IF(E2799&lt;0,"VENCIDO",IF(E2799&lt;=30,"VENCE EM &lt;= 30 DIAS",IF(E2799&lt;=60,"ATENCAO (31-60 DIAS)","OK"))))</f>
        <v/>
      </c>
      <c r="G2799" s="13">
        <f>SUMIFS(Movimentacoes!$G:$G,Movimentacoes!$C:$C,$A2799,Movimentacoes!$E:$E,$C2799,Movimentacoes!$B:$B,"ENTRADA")</f>
        <v/>
      </c>
      <c r="H2799" s="13">
        <f>SUMIFS(Movimentacoes!$G:$G,Movimentacoes!$C:$C,$A2799,Movimentacoes!$E:$E,$C2799,Movimentacoes!$B:$B,"SAIDA_USO")</f>
        <v/>
      </c>
      <c r="I2799" s="13">
        <f>SUMIFS(Movimentacoes!$G:$G,Movimentacoes!$C:$C,$A2799,Movimentacoes!$E:$E,$C2799,Movimentacoes!$B:$B,"SAIDA_DESCARTE")</f>
        <v/>
      </c>
      <c r="J2799" s="13">
        <f>G2799-H2799-I2799</f>
        <v/>
      </c>
      <c r="K2799">
        <f>IF(A2799="","",IF(J2799&lt;=IFERROR(VLOOKUP(A2799,Cadastro_Produtos!$A:$E,5,FALSE),0),"ABAIXO DO MINIMO","OK"))</f>
        <v/>
      </c>
    </row>
    <row r="2800">
      <c r="B2800">
        <f>IFERROR(VLOOKUP(A2800,Cadastro_Produtos!A:B,2,FALSE),"")</f>
        <v/>
      </c>
      <c r="D2800" s="12" t="n"/>
      <c r="E2800" s="13">
        <f>IF(D2800="","",D2800-TODAY())</f>
        <v/>
      </c>
      <c r="F2800">
        <f>IF(D2800="","",IF(E2800&lt;0,"VENCIDO",IF(E2800&lt;=30,"VENCE EM &lt;= 30 DIAS",IF(E2800&lt;=60,"ATENCAO (31-60 DIAS)","OK"))))</f>
        <v/>
      </c>
      <c r="G2800" s="13">
        <f>SUMIFS(Movimentacoes!$G:$G,Movimentacoes!$C:$C,$A2800,Movimentacoes!$E:$E,$C2800,Movimentacoes!$B:$B,"ENTRADA")</f>
        <v/>
      </c>
      <c r="H2800" s="13">
        <f>SUMIFS(Movimentacoes!$G:$G,Movimentacoes!$C:$C,$A2800,Movimentacoes!$E:$E,$C2800,Movimentacoes!$B:$B,"SAIDA_USO")</f>
        <v/>
      </c>
      <c r="I2800" s="13">
        <f>SUMIFS(Movimentacoes!$G:$G,Movimentacoes!$C:$C,$A2800,Movimentacoes!$E:$E,$C2800,Movimentacoes!$B:$B,"SAIDA_DESCARTE")</f>
        <v/>
      </c>
      <c r="J2800" s="13">
        <f>G2800-H2800-I2800</f>
        <v/>
      </c>
      <c r="K2800">
        <f>IF(A2800="","",IF(J2800&lt;=IFERROR(VLOOKUP(A2800,Cadastro_Produtos!$A:$E,5,FALSE),0),"ABAIXO DO MINIMO","OK"))</f>
        <v/>
      </c>
    </row>
    <row r="2801">
      <c r="B2801">
        <f>IFERROR(VLOOKUP(A2801,Cadastro_Produtos!A:B,2,FALSE),"")</f>
        <v/>
      </c>
      <c r="D2801" s="12" t="n"/>
      <c r="E2801" s="13">
        <f>IF(D2801="","",D2801-TODAY())</f>
        <v/>
      </c>
      <c r="F2801">
        <f>IF(D2801="","",IF(E2801&lt;0,"VENCIDO",IF(E2801&lt;=30,"VENCE EM &lt;= 30 DIAS",IF(E2801&lt;=60,"ATENCAO (31-60 DIAS)","OK"))))</f>
        <v/>
      </c>
      <c r="G2801" s="13">
        <f>SUMIFS(Movimentacoes!$G:$G,Movimentacoes!$C:$C,$A2801,Movimentacoes!$E:$E,$C2801,Movimentacoes!$B:$B,"ENTRADA")</f>
        <v/>
      </c>
      <c r="H2801" s="13">
        <f>SUMIFS(Movimentacoes!$G:$G,Movimentacoes!$C:$C,$A2801,Movimentacoes!$E:$E,$C2801,Movimentacoes!$B:$B,"SAIDA_USO")</f>
        <v/>
      </c>
      <c r="I2801" s="13">
        <f>SUMIFS(Movimentacoes!$G:$G,Movimentacoes!$C:$C,$A2801,Movimentacoes!$E:$E,$C2801,Movimentacoes!$B:$B,"SAIDA_DESCARTE")</f>
        <v/>
      </c>
      <c r="J2801" s="13">
        <f>G2801-H2801-I2801</f>
        <v/>
      </c>
      <c r="K2801">
        <f>IF(A2801="","",IF(J2801&lt;=IFERROR(VLOOKUP(A2801,Cadastro_Produtos!$A:$E,5,FALSE),0),"ABAIXO DO MINIMO","OK"))</f>
        <v/>
      </c>
    </row>
    <row r="2802">
      <c r="B2802">
        <f>IFERROR(VLOOKUP(A2802,Cadastro_Produtos!A:B,2,FALSE),"")</f>
        <v/>
      </c>
      <c r="D2802" s="12" t="n"/>
      <c r="E2802" s="13">
        <f>IF(D2802="","",D2802-TODAY())</f>
        <v/>
      </c>
      <c r="F2802">
        <f>IF(D2802="","",IF(E2802&lt;0,"VENCIDO",IF(E2802&lt;=30,"VENCE EM &lt;= 30 DIAS",IF(E2802&lt;=60,"ATENCAO (31-60 DIAS)","OK"))))</f>
        <v/>
      </c>
      <c r="G2802" s="13">
        <f>SUMIFS(Movimentacoes!$G:$G,Movimentacoes!$C:$C,$A2802,Movimentacoes!$E:$E,$C2802,Movimentacoes!$B:$B,"ENTRADA")</f>
        <v/>
      </c>
      <c r="H2802" s="13">
        <f>SUMIFS(Movimentacoes!$G:$G,Movimentacoes!$C:$C,$A2802,Movimentacoes!$E:$E,$C2802,Movimentacoes!$B:$B,"SAIDA_USO")</f>
        <v/>
      </c>
      <c r="I2802" s="13">
        <f>SUMIFS(Movimentacoes!$G:$G,Movimentacoes!$C:$C,$A2802,Movimentacoes!$E:$E,$C2802,Movimentacoes!$B:$B,"SAIDA_DESCARTE")</f>
        <v/>
      </c>
      <c r="J2802" s="13">
        <f>G2802-H2802-I2802</f>
        <v/>
      </c>
      <c r="K2802">
        <f>IF(A2802="","",IF(J2802&lt;=IFERROR(VLOOKUP(A2802,Cadastro_Produtos!$A:$E,5,FALSE),0),"ABAIXO DO MINIMO","OK"))</f>
        <v/>
      </c>
    </row>
    <row r="2803">
      <c r="B2803">
        <f>IFERROR(VLOOKUP(A2803,Cadastro_Produtos!A:B,2,FALSE),"")</f>
        <v/>
      </c>
      <c r="D2803" s="12" t="n"/>
      <c r="E2803" s="13">
        <f>IF(D2803="","",D2803-TODAY())</f>
        <v/>
      </c>
      <c r="F2803">
        <f>IF(D2803="","",IF(E2803&lt;0,"VENCIDO",IF(E2803&lt;=30,"VENCE EM &lt;= 30 DIAS",IF(E2803&lt;=60,"ATENCAO (31-60 DIAS)","OK"))))</f>
        <v/>
      </c>
      <c r="G2803" s="13">
        <f>SUMIFS(Movimentacoes!$G:$G,Movimentacoes!$C:$C,$A2803,Movimentacoes!$E:$E,$C2803,Movimentacoes!$B:$B,"ENTRADA")</f>
        <v/>
      </c>
      <c r="H2803" s="13">
        <f>SUMIFS(Movimentacoes!$G:$G,Movimentacoes!$C:$C,$A2803,Movimentacoes!$E:$E,$C2803,Movimentacoes!$B:$B,"SAIDA_USO")</f>
        <v/>
      </c>
      <c r="I2803" s="13">
        <f>SUMIFS(Movimentacoes!$G:$G,Movimentacoes!$C:$C,$A2803,Movimentacoes!$E:$E,$C2803,Movimentacoes!$B:$B,"SAIDA_DESCARTE")</f>
        <v/>
      </c>
      <c r="J2803" s="13">
        <f>G2803-H2803-I2803</f>
        <v/>
      </c>
      <c r="K2803">
        <f>IF(A2803="","",IF(J2803&lt;=IFERROR(VLOOKUP(A2803,Cadastro_Produtos!$A:$E,5,FALSE),0),"ABAIXO DO MINIMO","OK"))</f>
        <v/>
      </c>
    </row>
    <row r="2804">
      <c r="B2804">
        <f>IFERROR(VLOOKUP(A2804,Cadastro_Produtos!A:B,2,FALSE),"")</f>
        <v/>
      </c>
      <c r="D2804" s="12" t="n"/>
      <c r="E2804" s="13">
        <f>IF(D2804="","",D2804-TODAY())</f>
        <v/>
      </c>
      <c r="F2804">
        <f>IF(D2804="","",IF(E2804&lt;0,"VENCIDO",IF(E2804&lt;=30,"VENCE EM &lt;= 30 DIAS",IF(E2804&lt;=60,"ATENCAO (31-60 DIAS)","OK"))))</f>
        <v/>
      </c>
      <c r="G2804" s="13">
        <f>SUMIFS(Movimentacoes!$G:$G,Movimentacoes!$C:$C,$A2804,Movimentacoes!$E:$E,$C2804,Movimentacoes!$B:$B,"ENTRADA")</f>
        <v/>
      </c>
      <c r="H2804" s="13">
        <f>SUMIFS(Movimentacoes!$G:$G,Movimentacoes!$C:$C,$A2804,Movimentacoes!$E:$E,$C2804,Movimentacoes!$B:$B,"SAIDA_USO")</f>
        <v/>
      </c>
      <c r="I2804" s="13">
        <f>SUMIFS(Movimentacoes!$G:$G,Movimentacoes!$C:$C,$A2804,Movimentacoes!$E:$E,$C2804,Movimentacoes!$B:$B,"SAIDA_DESCARTE")</f>
        <v/>
      </c>
      <c r="J2804" s="13">
        <f>G2804-H2804-I2804</f>
        <v/>
      </c>
      <c r="K2804">
        <f>IF(A2804="","",IF(J2804&lt;=IFERROR(VLOOKUP(A2804,Cadastro_Produtos!$A:$E,5,FALSE),0),"ABAIXO DO MINIMO","OK"))</f>
        <v/>
      </c>
    </row>
    <row r="2805">
      <c r="B2805">
        <f>IFERROR(VLOOKUP(A2805,Cadastro_Produtos!A:B,2,FALSE),"")</f>
        <v/>
      </c>
      <c r="D2805" s="12" t="n"/>
      <c r="E2805" s="13">
        <f>IF(D2805="","",D2805-TODAY())</f>
        <v/>
      </c>
      <c r="F2805">
        <f>IF(D2805="","",IF(E2805&lt;0,"VENCIDO",IF(E2805&lt;=30,"VENCE EM &lt;= 30 DIAS",IF(E2805&lt;=60,"ATENCAO (31-60 DIAS)","OK"))))</f>
        <v/>
      </c>
      <c r="G2805" s="13">
        <f>SUMIFS(Movimentacoes!$G:$G,Movimentacoes!$C:$C,$A2805,Movimentacoes!$E:$E,$C2805,Movimentacoes!$B:$B,"ENTRADA")</f>
        <v/>
      </c>
      <c r="H2805" s="13">
        <f>SUMIFS(Movimentacoes!$G:$G,Movimentacoes!$C:$C,$A2805,Movimentacoes!$E:$E,$C2805,Movimentacoes!$B:$B,"SAIDA_USO")</f>
        <v/>
      </c>
      <c r="I2805" s="13">
        <f>SUMIFS(Movimentacoes!$G:$G,Movimentacoes!$C:$C,$A2805,Movimentacoes!$E:$E,$C2805,Movimentacoes!$B:$B,"SAIDA_DESCARTE")</f>
        <v/>
      </c>
      <c r="J2805" s="13">
        <f>G2805-H2805-I2805</f>
        <v/>
      </c>
      <c r="K2805">
        <f>IF(A2805="","",IF(J2805&lt;=IFERROR(VLOOKUP(A2805,Cadastro_Produtos!$A:$E,5,FALSE),0),"ABAIXO DO MINIMO","OK"))</f>
        <v/>
      </c>
    </row>
    <row r="2806">
      <c r="B2806">
        <f>IFERROR(VLOOKUP(A2806,Cadastro_Produtos!A:B,2,FALSE),"")</f>
        <v/>
      </c>
      <c r="D2806" s="12" t="n"/>
      <c r="E2806" s="13">
        <f>IF(D2806="","",D2806-TODAY())</f>
        <v/>
      </c>
      <c r="F2806">
        <f>IF(D2806="","",IF(E2806&lt;0,"VENCIDO",IF(E2806&lt;=30,"VENCE EM &lt;= 30 DIAS",IF(E2806&lt;=60,"ATENCAO (31-60 DIAS)","OK"))))</f>
        <v/>
      </c>
      <c r="G2806" s="13">
        <f>SUMIFS(Movimentacoes!$G:$G,Movimentacoes!$C:$C,$A2806,Movimentacoes!$E:$E,$C2806,Movimentacoes!$B:$B,"ENTRADA")</f>
        <v/>
      </c>
      <c r="H2806" s="13">
        <f>SUMIFS(Movimentacoes!$G:$G,Movimentacoes!$C:$C,$A2806,Movimentacoes!$E:$E,$C2806,Movimentacoes!$B:$B,"SAIDA_USO")</f>
        <v/>
      </c>
      <c r="I2806" s="13">
        <f>SUMIFS(Movimentacoes!$G:$G,Movimentacoes!$C:$C,$A2806,Movimentacoes!$E:$E,$C2806,Movimentacoes!$B:$B,"SAIDA_DESCARTE")</f>
        <v/>
      </c>
      <c r="J2806" s="13">
        <f>G2806-H2806-I2806</f>
        <v/>
      </c>
      <c r="K2806">
        <f>IF(A2806="","",IF(J2806&lt;=IFERROR(VLOOKUP(A2806,Cadastro_Produtos!$A:$E,5,FALSE),0),"ABAIXO DO MINIMO","OK"))</f>
        <v/>
      </c>
    </row>
    <row r="2807">
      <c r="B2807">
        <f>IFERROR(VLOOKUP(A2807,Cadastro_Produtos!A:B,2,FALSE),"")</f>
        <v/>
      </c>
      <c r="D2807" s="12" t="n"/>
      <c r="E2807" s="13">
        <f>IF(D2807="","",D2807-TODAY())</f>
        <v/>
      </c>
      <c r="F2807">
        <f>IF(D2807="","",IF(E2807&lt;0,"VENCIDO",IF(E2807&lt;=30,"VENCE EM &lt;= 30 DIAS",IF(E2807&lt;=60,"ATENCAO (31-60 DIAS)","OK"))))</f>
        <v/>
      </c>
      <c r="G2807" s="13">
        <f>SUMIFS(Movimentacoes!$G:$G,Movimentacoes!$C:$C,$A2807,Movimentacoes!$E:$E,$C2807,Movimentacoes!$B:$B,"ENTRADA")</f>
        <v/>
      </c>
      <c r="H2807" s="13">
        <f>SUMIFS(Movimentacoes!$G:$G,Movimentacoes!$C:$C,$A2807,Movimentacoes!$E:$E,$C2807,Movimentacoes!$B:$B,"SAIDA_USO")</f>
        <v/>
      </c>
      <c r="I2807" s="13">
        <f>SUMIFS(Movimentacoes!$G:$G,Movimentacoes!$C:$C,$A2807,Movimentacoes!$E:$E,$C2807,Movimentacoes!$B:$B,"SAIDA_DESCARTE")</f>
        <v/>
      </c>
      <c r="J2807" s="13">
        <f>G2807-H2807-I2807</f>
        <v/>
      </c>
      <c r="K2807">
        <f>IF(A2807="","",IF(J2807&lt;=IFERROR(VLOOKUP(A2807,Cadastro_Produtos!$A:$E,5,FALSE),0),"ABAIXO DO MINIMO","OK"))</f>
        <v/>
      </c>
    </row>
    <row r="2808">
      <c r="B2808">
        <f>IFERROR(VLOOKUP(A2808,Cadastro_Produtos!A:B,2,FALSE),"")</f>
        <v/>
      </c>
      <c r="D2808" s="12" t="n"/>
      <c r="E2808" s="13">
        <f>IF(D2808="","",D2808-TODAY())</f>
        <v/>
      </c>
      <c r="F2808">
        <f>IF(D2808="","",IF(E2808&lt;0,"VENCIDO",IF(E2808&lt;=30,"VENCE EM &lt;= 30 DIAS",IF(E2808&lt;=60,"ATENCAO (31-60 DIAS)","OK"))))</f>
        <v/>
      </c>
      <c r="G2808" s="13">
        <f>SUMIFS(Movimentacoes!$G:$G,Movimentacoes!$C:$C,$A2808,Movimentacoes!$E:$E,$C2808,Movimentacoes!$B:$B,"ENTRADA")</f>
        <v/>
      </c>
      <c r="H2808" s="13">
        <f>SUMIFS(Movimentacoes!$G:$G,Movimentacoes!$C:$C,$A2808,Movimentacoes!$E:$E,$C2808,Movimentacoes!$B:$B,"SAIDA_USO")</f>
        <v/>
      </c>
      <c r="I2808" s="13">
        <f>SUMIFS(Movimentacoes!$G:$G,Movimentacoes!$C:$C,$A2808,Movimentacoes!$E:$E,$C2808,Movimentacoes!$B:$B,"SAIDA_DESCARTE")</f>
        <v/>
      </c>
      <c r="J2808" s="13">
        <f>G2808-H2808-I2808</f>
        <v/>
      </c>
      <c r="K2808">
        <f>IF(A2808="","",IF(J2808&lt;=IFERROR(VLOOKUP(A2808,Cadastro_Produtos!$A:$E,5,FALSE),0),"ABAIXO DO MINIMO","OK"))</f>
        <v/>
      </c>
    </row>
    <row r="2809">
      <c r="B2809">
        <f>IFERROR(VLOOKUP(A2809,Cadastro_Produtos!A:B,2,FALSE),"")</f>
        <v/>
      </c>
      <c r="D2809" s="12" t="n"/>
      <c r="E2809" s="13">
        <f>IF(D2809="","",D2809-TODAY())</f>
        <v/>
      </c>
      <c r="F2809">
        <f>IF(D2809="","",IF(E2809&lt;0,"VENCIDO",IF(E2809&lt;=30,"VENCE EM &lt;= 30 DIAS",IF(E2809&lt;=60,"ATENCAO (31-60 DIAS)","OK"))))</f>
        <v/>
      </c>
      <c r="G2809" s="13">
        <f>SUMIFS(Movimentacoes!$G:$G,Movimentacoes!$C:$C,$A2809,Movimentacoes!$E:$E,$C2809,Movimentacoes!$B:$B,"ENTRADA")</f>
        <v/>
      </c>
      <c r="H2809" s="13">
        <f>SUMIFS(Movimentacoes!$G:$G,Movimentacoes!$C:$C,$A2809,Movimentacoes!$E:$E,$C2809,Movimentacoes!$B:$B,"SAIDA_USO")</f>
        <v/>
      </c>
      <c r="I2809" s="13">
        <f>SUMIFS(Movimentacoes!$G:$G,Movimentacoes!$C:$C,$A2809,Movimentacoes!$E:$E,$C2809,Movimentacoes!$B:$B,"SAIDA_DESCARTE")</f>
        <v/>
      </c>
      <c r="J2809" s="13">
        <f>G2809-H2809-I2809</f>
        <v/>
      </c>
      <c r="K2809">
        <f>IF(A2809="","",IF(J2809&lt;=IFERROR(VLOOKUP(A2809,Cadastro_Produtos!$A:$E,5,FALSE),0),"ABAIXO DO MINIMO","OK"))</f>
        <v/>
      </c>
    </row>
    <row r="2810">
      <c r="B2810">
        <f>IFERROR(VLOOKUP(A2810,Cadastro_Produtos!A:B,2,FALSE),"")</f>
        <v/>
      </c>
      <c r="D2810" s="12" t="n"/>
      <c r="E2810" s="13">
        <f>IF(D2810="","",D2810-TODAY())</f>
        <v/>
      </c>
      <c r="F2810">
        <f>IF(D2810="","",IF(E2810&lt;0,"VENCIDO",IF(E2810&lt;=30,"VENCE EM &lt;= 30 DIAS",IF(E2810&lt;=60,"ATENCAO (31-60 DIAS)","OK"))))</f>
        <v/>
      </c>
      <c r="G2810" s="13">
        <f>SUMIFS(Movimentacoes!$G:$G,Movimentacoes!$C:$C,$A2810,Movimentacoes!$E:$E,$C2810,Movimentacoes!$B:$B,"ENTRADA")</f>
        <v/>
      </c>
      <c r="H2810" s="13">
        <f>SUMIFS(Movimentacoes!$G:$G,Movimentacoes!$C:$C,$A2810,Movimentacoes!$E:$E,$C2810,Movimentacoes!$B:$B,"SAIDA_USO")</f>
        <v/>
      </c>
      <c r="I2810" s="13">
        <f>SUMIFS(Movimentacoes!$G:$G,Movimentacoes!$C:$C,$A2810,Movimentacoes!$E:$E,$C2810,Movimentacoes!$B:$B,"SAIDA_DESCARTE")</f>
        <v/>
      </c>
      <c r="J2810" s="13">
        <f>G2810-H2810-I2810</f>
        <v/>
      </c>
      <c r="K2810">
        <f>IF(A2810="","",IF(J2810&lt;=IFERROR(VLOOKUP(A2810,Cadastro_Produtos!$A:$E,5,FALSE),0),"ABAIXO DO MINIMO","OK"))</f>
        <v/>
      </c>
    </row>
    <row r="2811">
      <c r="B2811">
        <f>IFERROR(VLOOKUP(A2811,Cadastro_Produtos!A:B,2,FALSE),"")</f>
        <v/>
      </c>
      <c r="D2811" s="12" t="n"/>
      <c r="E2811" s="13">
        <f>IF(D2811="","",D2811-TODAY())</f>
        <v/>
      </c>
      <c r="F2811">
        <f>IF(D2811="","",IF(E2811&lt;0,"VENCIDO",IF(E2811&lt;=30,"VENCE EM &lt;= 30 DIAS",IF(E2811&lt;=60,"ATENCAO (31-60 DIAS)","OK"))))</f>
        <v/>
      </c>
      <c r="G2811" s="13">
        <f>SUMIFS(Movimentacoes!$G:$G,Movimentacoes!$C:$C,$A2811,Movimentacoes!$E:$E,$C2811,Movimentacoes!$B:$B,"ENTRADA")</f>
        <v/>
      </c>
      <c r="H2811" s="13">
        <f>SUMIFS(Movimentacoes!$G:$G,Movimentacoes!$C:$C,$A2811,Movimentacoes!$E:$E,$C2811,Movimentacoes!$B:$B,"SAIDA_USO")</f>
        <v/>
      </c>
      <c r="I2811" s="13">
        <f>SUMIFS(Movimentacoes!$G:$G,Movimentacoes!$C:$C,$A2811,Movimentacoes!$E:$E,$C2811,Movimentacoes!$B:$B,"SAIDA_DESCARTE")</f>
        <v/>
      </c>
      <c r="J2811" s="13">
        <f>G2811-H2811-I2811</f>
        <v/>
      </c>
      <c r="K2811">
        <f>IF(A2811="","",IF(J2811&lt;=IFERROR(VLOOKUP(A2811,Cadastro_Produtos!$A:$E,5,FALSE),0),"ABAIXO DO MINIMO","OK"))</f>
        <v/>
      </c>
    </row>
    <row r="2812">
      <c r="B2812">
        <f>IFERROR(VLOOKUP(A2812,Cadastro_Produtos!A:B,2,FALSE),"")</f>
        <v/>
      </c>
      <c r="D2812" s="12" t="n"/>
      <c r="E2812" s="13">
        <f>IF(D2812="","",D2812-TODAY())</f>
        <v/>
      </c>
      <c r="F2812">
        <f>IF(D2812="","",IF(E2812&lt;0,"VENCIDO",IF(E2812&lt;=30,"VENCE EM &lt;= 30 DIAS",IF(E2812&lt;=60,"ATENCAO (31-60 DIAS)","OK"))))</f>
        <v/>
      </c>
      <c r="G2812" s="13">
        <f>SUMIFS(Movimentacoes!$G:$G,Movimentacoes!$C:$C,$A2812,Movimentacoes!$E:$E,$C2812,Movimentacoes!$B:$B,"ENTRADA")</f>
        <v/>
      </c>
      <c r="H2812" s="13">
        <f>SUMIFS(Movimentacoes!$G:$G,Movimentacoes!$C:$C,$A2812,Movimentacoes!$E:$E,$C2812,Movimentacoes!$B:$B,"SAIDA_USO")</f>
        <v/>
      </c>
      <c r="I2812" s="13">
        <f>SUMIFS(Movimentacoes!$G:$G,Movimentacoes!$C:$C,$A2812,Movimentacoes!$E:$E,$C2812,Movimentacoes!$B:$B,"SAIDA_DESCARTE")</f>
        <v/>
      </c>
      <c r="J2812" s="13">
        <f>G2812-H2812-I2812</f>
        <v/>
      </c>
      <c r="K2812">
        <f>IF(A2812="","",IF(J2812&lt;=IFERROR(VLOOKUP(A2812,Cadastro_Produtos!$A:$E,5,FALSE),0),"ABAIXO DO MINIMO","OK"))</f>
        <v/>
      </c>
    </row>
    <row r="2813">
      <c r="B2813">
        <f>IFERROR(VLOOKUP(A2813,Cadastro_Produtos!A:B,2,FALSE),"")</f>
        <v/>
      </c>
      <c r="D2813" s="12" t="n"/>
      <c r="E2813" s="13">
        <f>IF(D2813="","",D2813-TODAY())</f>
        <v/>
      </c>
      <c r="F2813">
        <f>IF(D2813="","",IF(E2813&lt;0,"VENCIDO",IF(E2813&lt;=30,"VENCE EM &lt;= 30 DIAS",IF(E2813&lt;=60,"ATENCAO (31-60 DIAS)","OK"))))</f>
        <v/>
      </c>
      <c r="G2813" s="13">
        <f>SUMIFS(Movimentacoes!$G:$G,Movimentacoes!$C:$C,$A2813,Movimentacoes!$E:$E,$C2813,Movimentacoes!$B:$B,"ENTRADA")</f>
        <v/>
      </c>
      <c r="H2813" s="13">
        <f>SUMIFS(Movimentacoes!$G:$G,Movimentacoes!$C:$C,$A2813,Movimentacoes!$E:$E,$C2813,Movimentacoes!$B:$B,"SAIDA_USO")</f>
        <v/>
      </c>
      <c r="I2813" s="13">
        <f>SUMIFS(Movimentacoes!$G:$G,Movimentacoes!$C:$C,$A2813,Movimentacoes!$E:$E,$C2813,Movimentacoes!$B:$B,"SAIDA_DESCARTE")</f>
        <v/>
      </c>
      <c r="J2813" s="13">
        <f>G2813-H2813-I2813</f>
        <v/>
      </c>
      <c r="K2813">
        <f>IF(A2813="","",IF(J2813&lt;=IFERROR(VLOOKUP(A2813,Cadastro_Produtos!$A:$E,5,FALSE),0),"ABAIXO DO MINIMO","OK"))</f>
        <v/>
      </c>
    </row>
    <row r="2814">
      <c r="B2814">
        <f>IFERROR(VLOOKUP(A2814,Cadastro_Produtos!A:B,2,FALSE),"")</f>
        <v/>
      </c>
      <c r="D2814" s="12" t="n"/>
      <c r="E2814" s="13">
        <f>IF(D2814="","",D2814-TODAY())</f>
        <v/>
      </c>
      <c r="F2814">
        <f>IF(D2814="","",IF(E2814&lt;0,"VENCIDO",IF(E2814&lt;=30,"VENCE EM &lt;= 30 DIAS",IF(E2814&lt;=60,"ATENCAO (31-60 DIAS)","OK"))))</f>
        <v/>
      </c>
      <c r="G2814" s="13">
        <f>SUMIFS(Movimentacoes!$G:$G,Movimentacoes!$C:$C,$A2814,Movimentacoes!$E:$E,$C2814,Movimentacoes!$B:$B,"ENTRADA")</f>
        <v/>
      </c>
      <c r="H2814" s="13">
        <f>SUMIFS(Movimentacoes!$G:$G,Movimentacoes!$C:$C,$A2814,Movimentacoes!$E:$E,$C2814,Movimentacoes!$B:$B,"SAIDA_USO")</f>
        <v/>
      </c>
      <c r="I2814" s="13">
        <f>SUMIFS(Movimentacoes!$G:$G,Movimentacoes!$C:$C,$A2814,Movimentacoes!$E:$E,$C2814,Movimentacoes!$B:$B,"SAIDA_DESCARTE")</f>
        <v/>
      </c>
      <c r="J2814" s="13">
        <f>G2814-H2814-I2814</f>
        <v/>
      </c>
      <c r="K2814">
        <f>IF(A2814="","",IF(J2814&lt;=IFERROR(VLOOKUP(A2814,Cadastro_Produtos!$A:$E,5,FALSE),0),"ABAIXO DO MINIMO","OK"))</f>
        <v/>
      </c>
    </row>
    <row r="2815">
      <c r="B2815">
        <f>IFERROR(VLOOKUP(A2815,Cadastro_Produtos!A:B,2,FALSE),"")</f>
        <v/>
      </c>
      <c r="D2815" s="12" t="n"/>
      <c r="E2815" s="13">
        <f>IF(D2815="","",D2815-TODAY())</f>
        <v/>
      </c>
      <c r="F2815">
        <f>IF(D2815="","",IF(E2815&lt;0,"VENCIDO",IF(E2815&lt;=30,"VENCE EM &lt;= 30 DIAS",IF(E2815&lt;=60,"ATENCAO (31-60 DIAS)","OK"))))</f>
        <v/>
      </c>
      <c r="G2815" s="13">
        <f>SUMIFS(Movimentacoes!$G:$G,Movimentacoes!$C:$C,$A2815,Movimentacoes!$E:$E,$C2815,Movimentacoes!$B:$B,"ENTRADA")</f>
        <v/>
      </c>
      <c r="H2815" s="13">
        <f>SUMIFS(Movimentacoes!$G:$G,Movimentacoes!$C:$C,$A2815,Movimentacoes!$E:$E,$C2815,Movimentacoes!$B:$B,"SAIDA_USO")</f>
        <v/>
      </c>
      <c r="I2815" s="13">
        <f>SUMIFS(Movimentacoes!$G:$G,Movimentacoes!$C:$C,$A2815,Movimentacoes!$E:$E,$C2815,Movimentacoes!$B:$B,"SAIDA_DESCARTE")</f>
        <v/>
      </c>
      <c r="J2815" s="13">
        <f>G2815-H2815-I2815</f>
        <v/>
      </c>
      <c r="K2815">
        <f>IF(A2815="","",IF(J2815&lt;=IFERROR(VLOOKUP(A2815,Cadastro_Produtos!$A:$E,5,FALSE),0),"ABAIXO DO MINIMO","OK"))</f>
        <v/>
      </c>
    </row>
    <row r="2816">
      <c r="B2816">
        <f>IFERROR(VLOOKUP(A2816,Cadastro_Produtos!A:B,2,FALSE),"")</f>
        <v/>
      </c>
      <c r="D2816" s="12" t="n"/>
      <c r="E2816" s="13">
        <f>IF(D2816="","",D2816-TODAY())</f>
        <v/>
      </c>
      <c r="F2816">
        <f>IF(D2816="","",IF(E2816&lt;0,"VENCIDO",IF(E2816&lt;=30,"VENCE EM &lt;= 30 DIAS",IF(E2816&lt;=60,"ATENCAO (31-60 DIAS)","OK"))))</f>
        <v/>
      </c>
      <c r="G2816" s="13">
        <f>SUMIFS(Movimentacoes!$G:$G,Movimentacoes!$C:$C,$A2816,Movimentacoes!$E:$E,$C2816,Movimentacoes!$B:$B,"ENTRADA")</f>
        <v/>
      </c>
      <c r="H2816" s="13">
        <f>SUMIFS(Movimentacoes!$G:$G,Movimentacoes!$C:$C,$A2816,Movimentacoes!$E:$E,$C2816,Movimentacoes!$B:$B,"SAIDA_USO")</f>
        <v/>
      </c>
      <c r="I2816" s="13">
        <f>SUMIFS(Movimentacoes!$G:$G,Movimentacoes!$C:$C,$A2816,Movimentacoes!$E:$E,$C2816,Movimentacoes!$B:$B,"SAIDA_DESCARTE")</f>
        <v/>
      </c>
      <c r="J2816" s="13">
        <f>G2816-H2816-I2816</f>
        <v/>
      </c>
      <c r="K2816">
        <f>IF(A2816="","",IF(J2816&lt;=IFERROR(VLOOKUP(A2816,Cadastro_Produtos!$A:$E,5,FALSE),0),"ABAIXO DO MINIMO","OK"))</f>
        <v/>
      </c>
    </row>
    <row r="2817">
      <c r="B2817">
        <f>IFERROR(VLOOKUP(A2817,Cadastro_Produtos!A:B,2,FALSE),"")</f>
        <v/>
      </c>
      <c r="D2817" s="12" t="n"/>
      <c r="E2817" s="13">
        <f>IF(D2817="","",D2817-TODAY())</f>
        <v/>
      </c>
      <c r="F2817">
        <f>IF(D2817="","",IF(E2817&lt;0,"VENCIDO",IF(E2817&lt;=30,"VENCE EM &lt;= 30 DIAS",IF(E2817&lt;=60,"ATENCAO (31-60 DIAS)","OK"))))</f>
        <v/>
      </c>
      <c r="G2817" s="13">
        <f>SUMIFS(Movimentacoes!$G:$G,Movimentacoes!$C:$C,$A2817,Movimentacoes!$E:$E,$C2817,Movimentacoes!$B:$B,"ENTRADA")</f>
        <v/>
      </c>
      <c r="H2817" s="13">
        <f>SUMIFS(Movimentacoes!$G:$G,Movimentacoes!$C:$C,$A2817,Movimentacoes!$E:$E,$C2817,Movimentacoes!$B:$B,"SAIDA_USO")</f>
        <v/>
      </c>
      <c r="I2817" s="13">
        <f>SUMIFS(Movimentacoes!$G:$G,Movimentacoes!$C:$C,$A2817,Movimentacoes!$E:$E,$C2817,Movimentacoes!$B:$B,"SAIDA_DESCARTE")</f>
        <v/>
      </c>
      <c r="J2817" s="13">
        <f>G2817-H2817-I2817</f>
        <v/>
      </c>
      <c r="K2817">
        <f>IF(A2817="","",IF(J2817&lt;=IFERROR(VLOOKUP(A2817,Cadastro_Produtos!$A:$E,5,FALSE),0),"ABAIXO DO MINIMO","OK"))</f>
        <v/>
      </c>
    </row>
    <row r="2818">
      <c r="B2818">
        <f>IFERROR(VLOOKUP(A2818,Cadastro_Produtos!A:B,2,FALSE),"")</f>
        <v/>
      </c>
      <c r="D2818" s="12" t="n"/>
      <c r="E2818" s="13">
        <f>IF(D2818="","",D2818-TODAY())</f>
        <v/>
      </c>
      <c r="F2818">
        <f>IF(D2818="","",IF(E2818&lt;0,"VENCIDO",IF(E2818&lt;=30,"VENCE EM &lt;= 30 DIAS",IF(E2818&lt;=60,"ATENCAO (31-60 DIAS)","OK"))))</f>
        <v/>
      </c>
      <c r="G2818" s="13">
        <f>SUMIFS(Movimentacoes!$G:$G,Movimentacoes!$C:$C,$A2818,Movimentacoes!$E:$E,$C2818,Movimentacoes!$B:$B,"ENTRADA")</f>
        <v/>
      </c>
      <c r="H2818" s="13">
        <f>SUMIFS(Movimentacoes!$G:$G,Movimentacoes!$C:$C,$A2818,Movimentacoes!$E:$E,$C2818,Movimentacoes!$B:$B,"SAIDA_USO")</f>
        <v/>
      </c>
      <c r="I2818" s="13">
        <f>SUMIFS(Movimentacoes!$G:$G,Movimentacoes!$C:$C,$A2818,Movimentacoes!$E:$E,$C2818,Movimentacoes!$B:$B,"SAIDA_DESCARTE")</f>
        <v/>
      </c>
      <c r="J2818" s="13">
        <f>G2818-H2818-I2818</f>
        <v/>
      </c>
      <c r="K2818">
        <f>IF(A2818="","",IF(J2818&lt;=IFERROR(VLOOKUP(A2818,Cadastro_Produtos!$A:$E,5,FALSE),0),"ABAIXO DO MINIMO","OK"))</f>
        <v/>
      </c>
    </row>
    <row r="2819">
      <c r="B2819">
        <f>IFERROR(VLOOKUP(A2819,Cadastro_Produtos!A:B,2,FALSE),"")</f>
        <v/>
      </c>
      <c r="D2819" s="12" t="n"/>
      <c r="E2819" s="13">
        <f>IF(D2819="","",D2819-TODAY())</f>
        <v/>
      </c>
      <c r="F2819">
        <f>IF(D2819="","",IF(E2819&lt;0,"VENCIDO",IF(E2819&lt;=30,"VENCE EM &lt;= 30 DIAS",IF(E2819&lt;=60,"ATENCAO (31-60 DIAS)","OK"))))</f>
        <v/>
      </c>
      <c r="G2819" s="13">
        <f>SUMIFS(Movimentacoes!$G:$G,Movimentacoes!$C:$C,$A2819,Movimentacoes!$E:$E,$C2819,Movimentacoes!$B:$B,"ENTRADA")</f>
        <v/>
      </c>
      <c r="H2819" s="13">
        <f>SUMIFS(Movimentacoes!$G:$G,Movimentacoes!$C:$C,$A2819,Movimentacoes!$E:$E,$C2819,Movimentacoes!$B:$B,"SAIDA_USO")</f>
        <v/>
      </c>
      <c r="I2819" s="13">
        <f>SUMIFS(Movimentacoes!$G:$G,Movimentacoes!$C:$C,$A2819,Movimentacoes!$E:$E,$C2819,Movimentacoes!$B:$B,"SAIDA_DESCARTE")</f>
        <v/>
      </c>
      <c r="J2819" s="13">
        <f>G2819-H2819-I2819</f>
        <v/>
      </c>
      <c r="K2819">
        <f>IF(A2819="","",IF(J2819&lt;=IFERROR(VLOOKUP(A2819,Cadastro_Produtos!$A:$E,5,FALSE),0),"ABAIXO DO MINIMO","OK"))</f>
        <v/>
      </c>
    </row>
    <row r="2820">
      <c r="B2820">
        <f>IFERROR(VLOOKUP(A2820,Cadastro_Produtos!A:B,2,FALSE),"")</f>
        <v/>
      </c>
      <c r="D2820" s="12" t="n"/>
      <c r="E2820" s="13">
        <f>IF(D2820="","",D2820-TODAY())</f>
        <v/>
      </c>
      <c r="F2820">
        <f>IF(D2820="","",IF(E2820&lt;0,"VENCIDO",IF(E2820&lt;=30,"VENCE EM &lt;= 30 DIAS",IF(E2820&lt;=60,"ATENCAO (31-60 DIAS)","OK"))))</f>
        <v/>
      </c>
      <c r="G2820" s="13">
        <f>SUMIFS(Movimentacoes!$G:$G,Movimentacoes!$C:$C,$A2820,Movimentacoes!$E:$E,$C2820,Movimentacoes!$B:$B,"ENTRADA")</f>
        <v/>
      </c>
      <c r="H2820" s="13">
        <f>SUMIFS(Movimentacoes!$G:$G,Movimentacoes!$C:$C,$A2820,Movimentacoes!$E:$E,$C2820,Movimentacoes!$B:$B,"SAIDA_USO")</f>
        <v/>
      </c>
      <c r="I2820" s="13">
        <f>SUMIFS(Movimentacoes!$G:$G,Movimentacoes!$C:$C,$A2820,Movimentacoes!$E:$E,$C2820,Movimentacoes!$B:$B,"SAIDA_DESCARTE")</f>
        <v/>
      </c>
      <c r="J2820" s="13">
        <f>G2820-H2820-I2820</f>
        <v/>
      </c>
      <c r="K2820">
        <f>IF(A2820="","",IF(J2820&lt;=IFERROR(VLOOKUP(A2820,Cadastro_Produtos!$A:$E,5,FALSE),0),"ABAIXO DO MINIMO","OK"))</f>
        <v/>
      </c>
    </row>
    <row r="2821">
      <c r="B2821">
        <f>IFERROR(VLOOKUP(A2821,Cadastro_Produtos!A:B,2,FALSE),"")</f>
        <v/>
      </c>
      <c r="D2821" s="12" t="n"/>
      <c r="E2821" s="13">
        <f>IF(D2821="","",D2821-TODAY())</f>
        <v/>
      </c>
      <c r="F2821">
        <f>IF(D2821="","",IF(E2821&lt;0,"VENCIDO",IF(E2821&lt;=30,"VENCE EM &lt;= 30 DIAS",IF(E2821&lt;=60,"ATENCAO (31-60 DIAS)","OK"))))</f>
        <v/>
      </c>
      <c r="G2821" s="13">
        <f>SUMIFS(Movimentacoes!$G:$G,Movimentacoes!$C:$C,$A2821,Movimentacoes!$E:$E,$C2821,Movimentacoes!$B:$B,"ENTRADA")</f>
        <v/>
      </c>
      <c r="H2821" s="13">
        <f>SUMIFS(Movimentacoes!$G:$G,Movimentacoes!$C:$C,$A2821,Movimentacoes!$E:$E,$C2821,Movimentacoes!$B:$B,"SAIDA_USO")</f>
        <v/>
      </c>
      <c r="I2821" s="13">
        <f>SUMIFS(Movimentacoes!$G:$G,Movimentacoes!$C:$C,$A2821,Movimentacoes!$E:$E,$C2821,Movimentacoes!$B:$B,"SAIDA_DESCARTE")</f>
        <v/>
      </c>
      <c r="J2821" s="13">
        <f>G2821-H2821-I2821</f>
        <v/>
      </c>
      <c r="K2821">
        <f>IF(A2821="","",IF(J2821&lt;=IFERROR(VLOOKUP(A2821,Cadastro_Produtos!$A:$E,5,FALSE),0),"ABAIXO DO MINIMO","OK"))</f>
        <v/>
      </c>
    </row>
    <row r="2822">
      <c r="B2822">
        <f>IFERROR(VLOOKUP(A2822,Cadastro_Produtos!A:B,2,FALSE),"")</f>
        <v/>
      </c>
      <c r="D2822" s="12" t="n"/>
      <c r="E2822" s="13">
        <f>IF(D2822="","",D2822-TODAY())</f>
        <v/>
      </c>
      <c r="F2822">
        <f>IF(D2822="","",IF(E2822&lt;0,"VENCIDO",IF(E2822&lt;=30,"VENCE EM &lt;= 30 DIAS",IF(E2822&lt;=60,"ATENCAO (31-60 DIAS)","OK"))))</f>
        <v/>
      </c>
      <c r="G2822" s="13">
        <f>SUMIFS(Movimentacoes!$G:$G,Movimentacoes!$C:$C,$A2822,Movimentacoes!$E:$E,$C2822,Movimentacoes!$B:$B,"ENTRADA")</f>
        <v/>
      </c>
      <c r="H2822" s="13">
        <f>SUMIFS(Movimentacoes!$G:$G,Movimentacoes!$C:$C,$A2822,Movimentacoes!$E:$E,$C2822,Movimentacoes!$B:$B,"SAIDA_USO")</f>
        <v/>
      </c>
      <c r="I2822" s="13">
        <f>SUMIFS(Movimentacoes!$G:$G,Movimentacoes!$C:$C,$A2822,Movimentacoes!$E:$E,$C2822,Movimentacoes!$B:$B,"SAIDA_DESCARTE")</f>
        <v/>
      </c>
      <c r="J2822" s="13">
        <f>G2822-H2822-I2822</f>
        <v/>
      </c>
      <c r="K2822">
        <f>IF(A2822="","",IF(J2822&lt;=IFERROR(VLOOKUP(A2822,Cadastro_Produtos!$A:$E,5,FALSE),0),"ABAIXO DO MINIMO","OK"))</f>
        <v/>
      </c>
    </row>
    <row r="2823">
      <c r="B2823">
        <f>IFERROR(VLOOKUP(A2823,Cadastro_Produtos!A:B,2,FALSE),"")</f>
        <v/>
      </c>
      <c r="D2823" s="12" t="n"/>
      <c r="E2823" s="13">
        <f>IF(D2823="","",D2823-TODAY())</f>
        <v/>
      </c>
      <c r="F2823">
        <f>IF(D2823="","",IF(E2823&lt;0,"VENCIDO",IF(E2823&lt;=30,"VENCE EM &lt;= 30 DIAS",IF(E2823&lt;=60,"ATENCAO (31-60 DIAS)","OK"))))</f>
        <v/>
      </c>
      <c r="G2823" s="13">
        <f>SUMIFS(Movimentacoes!$G:$G,Movimentacoes!$C:$C,$A2823,Movimentacoes!$E:$E,$C2823,Movimentacoes!$B:$B,"ENTRADA")</f>
        <v/>
      </c>
      <c r="H2823" s="13">
        <f>SUMIFS(Movimentacoes!$G:$G,Movimentacoes!$C:$C,$A2823,Movimentacoes!$E:$E,$C2823,Movimentacoes!$B:$B,"SAIDA_USO")</f>
        <v/>
      </c>
      <c r="I2823" s="13">
        <f>SUMIFS(Movimentacoes!$G:$G,Movimentacoes!$C:$C,$A2823,Movimentacoes!$E:$E,$C2823,Movimentacoes!$B:$B,"SAIDA_DESCARTE")</f>
        <v/>
      </c>
      <c r="J2823" s="13">
        <f>G2823-H2823-I2823</f>
        <v/>
      </c>
      <c r="K2823">
        <f>IF(A2823="","",IF(J2823&lt;=IFERROR(VLOOKUP(A2823,Cadastro_Produtos!$A:$E,5,FALSE),0),"ABAIXO DO MINIMO","OK"))</f>
        <v/>
      </c>
    </row>
    <row r="2824">
      <c r="B2824">
        <f>IFERROR(VLOOKUP(A2824,Cadastro_Produtos!A:B,2,FALSE),"")</f>
        <v/>
      </c>
      <c r="D2824" s="12" t="n"/>
      <c r="E2824" s="13">
        <f>IF(D2824="","",D2824-TODAY())</f>
        <v/>
      </c>
      <c r="F2824">
        <f>IF(D2824="","",IF(E2824&lt;0,"VENCIDO",IF(E2824&lt;=30,"VENCE EM &lt;= 30 DIAS",IF(E2824&lt;=60,"ATENCAO (31-60 DIAS)","OK"))))</f>
        <v/>
      </c>
      <c r="G2824" s="13">
        <f>SUMIFS(Movimentacoes!$G:$G,Movimentacoes!$C:$C,$A2824,Movimentacoes!$E:$E,$C2824,Movimentacoes!$B:$B,"ENTRADA")</f>
        <v/>
      </c>
      <c r="H2824" s="13">
        <f>SUMIFS(Movimentacoes!$G:$G,Movimentacoes!$C:$C,$A2824,Movimentacoes!$E:$E,$C2824,Movimentacoes!$B:$B,"SAIDA_USO")</f>
        <v/>
      </c>
      <c r="I2824" s="13">
        <f>SUMIFS(Movimentacoes!$G:$G,Movimentacoes!$C:$C,$A2824,Movimentacoes!$E:$E,$C2824,Movimentacoes!$B:$B,"SAIDA_DESCARTE")</f>
        <v/>
      </c>
      <c r="J2824" s="13">
        <f>G2824-H2824-I2824</f>
        <v/>
      </c>
      <c r="K2824">
        <f>IF(A2824="","",IF(J2824&lt;=IFERROR(VLOOKUP(A2824,Cadastro_Produtos!$A:$E,5,FALSE),0),"ABAIXO DO MINIMO","OK"))</f>
        <v/>
      </c>
    </row>
    <row r="2825">
      <c r="B2825">
        <f>IFERROR(VLOOKUP(A2825,Cadastro_Produtos!A:B,2,FALSE),"")</f>
        <v/>
      </c>
      <c r="D2825" s="12" t="n"/>
      <c r="E2825" s="13">
        <f>IF(D2825="","",D2825-TODAY())</f>
        <v/>
      </c>
      <c r="F2825">
        <f>IF(D2825="","",IF(E2825&lt;0,"VENCIDO",IF(E2825&lt;=30,"VENCE EM &lt;= 30 DIAS",IF(E2825&lt;=60,"ATENCAO (31-60 DIAS)","OK"))))</f>
        <v/>
      </c>
      <c r="G2825" s="13">
        <f>SUMIFS(Movimentacoes!$G:$G,Movimentacoes!$C:$C,$A2825,Movimentacoes!$E:$E,$C2825,Movimentacoes!$B:$B,"ENTRADA")</f>
        <v/>
      </c>
      <c r="H2825" s="13">
        <f>SUMIFS(Movimentacoes!$G:$G,Movimentacoes!$C:$C,$A2825,Movimentacoes!$E:$E,$C2825,Movimentacoes!$B:$B,"SAIDA_USO")</f>
        <v/>
      </c>
      <c r="I2825" s="13">
        <f>SUMIFS(Movimentacoes!$G:$G,Movimentacoes!$C:$C,$A2825,Movimentacoes!$E:$E,$C2825,Movimentacoes!$B:$B,"SAIDA_DESCARTE")</f>
        <v/>
      </c>
      <c r="J2825" s="13">
        <f>G2825-H2825-I2825</f>
        <v/>
      </c>
      <c r="K2825">
        <f>IF(A2825="","",IF(J2825&lt;=IFERROR(VLOOKUP(A2825,Cadastro_Produtos!$A:$E,5,FALSE),0),"ABAIXO DO MINIMO","OK"))</f>
        <v/>
      </c>
    </row>
    <row r="2826">
      <c r="B2826">
        <f>IFERROR(VLOOKUP(A2826,Cadastro_Produtos!A:B,2,FALSE),"")</f>
        <v/>
      </c>
      <c r="D2826" s="12" t="n"/>
      <c r="E2826" s="13">
        <f>IF(D2826="","",D2826-TODAY())</f>
        <v/>
      </c>
      <c r="F2826">
        <f>IF(D2826="","",IF(E2826&lt;0,"VENCIDO",IF(E2826&lt;=30,"VENCE EM &lt;= 30 DIAS",IF(E2826&lt;=60,"ATENCAO (31-60 DIAS)","OK"))))</f>
        <v/>
      </c>
      <c r="G2826" s="13">
        <f>SUMIFS(Movimentacoes!$G:$G,Movimentacoes!$C:$C,$A2826,Movimentacoes!$E:$E,$C2826,Movimentacoes!$B:$B,"ENTRADA")</f>
        <v/>
      </c>
      <c r="H2826" s="13">
        <f>SUMIFS(Movimentacoes!$G:$G,Movimentacoes!$C:$C,$A2826,Movimentacoes!$E:$E,$C2826,Movimentacoes!$B:$B,"SAIDA_USO")</f>
        <v/>
      </c>
      <c r="I2826" s="13">
        <f>SUMIFS(Movimentacoes!$G:$G,Movimentacoes!$C:$C,$A2826,Movimentacoes!$E:$E,$C2826,Movimentacoes!$B:$B,"SAIDA_DESCARTE")</f>
        <v/>
      </c>
      <c r="J2826" s="13">
        <f>G2826-H2826-I2826</f>
        <v/>
      </c>
      <c r="K2826">
        <f>IF(A2826="","",IF(J2826&lt;=IFERROR(VLOOKUP(A2826,Cadastro_Produtos!$A:$E,5,FALSE),0),"ABAIXO DO MINIMO","OK"))</f>
        <v/>
      </c>
    </row>
    <row r="2827">
      <c r="B2827">
        <f>IFERROR(VLOOKUP(A2827,Cadastro_Produtos!A:B,2,FALSE),"")</f>
        <v/>
      </c>
      <c r="D2827" s="12" t="n"/>
      <c r="E2827" s="13">
        <f>IF(D2827="","",D2827-TODAY())</f>
        <v/>
      </c>
      <c r="F2827">
        <f>IF(D2827="","",IF(E2827&lt;0,"VENCIDO",IF(E2827&lt;=30,"VENCE EM &lt;= 30 DIAS",IF(E2827&lt;=60,"ATENCAO (31-60 DIAS)","OK"))))</f>
        <v/>
      </c>
      <c r="G2827" s="13">
        <f>SUMIFS(Movimentacoes!$G:$G,Movimentacoes!$C:$C,$A2827,Movimentacoes!$E:$E,$C2827,Movimentacoes!$B:$B,"ENTRADA")</f>
        <v/>
      </c>
      <c r="H2827" s="13">
        <f>SUMIFS(Movimentacoes!$G:$G,Movimentacoes!$C:$C,$A2827,Movimentacoes!$E:$E,$C2827,Movimentacoes!$B:$B,"SAIDA_USO")</f>
        <v/>
      </c>
      <c r="I2827" s="13">
        <f>SUMIFS(Movimentacoes!$G:$G,Movimentacoes!$C:$C,$A2827,Movimentacoes!$E:$E,$C2827,Movimentacoes!$B:$B,"SAIDA_DESCARTE")</f>
        <v/>
      </c>
      <c r="J2827" s="13">
        <f>G2827-H2827-I2827</f>
        <v/>
      </c>
      <c r="K2827">
        <f>IF(A2827="","",IF(J2827&lt;=IFERROR(VLOOKUP(A2827,Cadastro_Produtos!$A:$E,5,FALSE),0),"ABAIXO DO MINIMO","OK"))</f>
        <v/>
      </c>
    </row>
    <row r="2828">
      <c r="B2828">
        <f>IFERROR(VLOOKUP(A2828,Cadastro_Produtos!A:B,2,FALSE),"")</f>
        <v/>
      </c>
      <c r="D2828" s="12" t="n"/>
      <c r="E2828" s="13">
        <f>IF(D2828="","",D2828-TODAY())</f>
        <v/>
      </c>
      <c r="F2828">
        <f>IF(D2828="","",IF(E2828&lt;0,"VENCIDO",IF(E2828&lt;=30,"VENCE EM &lt;= 30 DIAS",IF(E2828&lt;=60,"ATENCAO (31-60 DIAS)","OK"))))</f>
        <v/>
      </c>
      <c r="G2828" s="13">
        <f>SUMIFS(Movimentacoes!$G:$G,Movimentacoes!$C:$C,$A2828,Movimentacoes!$E:$E,$C2828,Movimentacoes!$B:$B,"ENTRADA")</f>
        <v/>
      </c>
      <c r="H2828" s="13">
        <f>SUMIFS(Movimentacoes!$G:$G,Movimentacoes!$C:$C,$A2828,Movimentacoes!$E:$E,$C2828,Movimentacoes!$B:$B,"SAIDA_USO")</f>
        <v/>
      </c>
      <c r="I2828" s="13">
        <f>SUMIFS(Movimentacoes!$G:$G,Movimentacoes!$C:$C,$A2828,Movimentacoes!$E:$E,$C2828,Movimentacoes!$B:$B,"SAIDA_DESCARTE")</f>
        <v/>
      </c>
      <c r="J2828" s="13">
        <f>G2828-H2828-I2828</f>
        <v/>
      </c>
      <c r="K2828">
        <f>IF(A2828="","",IF(J2828&lt;=IFERROR(VLOOKUP(A2828,Cadastro_Produtos!$A:$E,5,FALSE),0),"ABAIXO DO MINIMO","OK"))</f>
        <v/>
      </c>
    </row>
    <row r="2829">
      <c r="B2829">
        <f>IFERROR(VLOOKUP(A2829,Cadastro_Produtos!A:B,2,FALSE),"")</f>
        <v/>
      </c>
      <c r="D2829" s="12" t="n"/>
      <c r="E2829" s="13">
        <f>IF(D2829="","",D2829-TODAY())</f>
        <v/>
      </c>
      <c r="F2829">
        <f>IF(D2829="","",IF(E2829&lt;0,"VENCIDO",IF(E2829&lt;=30,"VENCE EM &lt;= 30 DIAS",IF(E2829&lt;=60,"ATENCAO (31-60 DIAS)","OK"))))</f>
        <v/>
      </c>
      <c r="G2829" s="13">
        <f>SUMIFS(Movimentacoes!$G:$G,Movimentacoes!$C:$C,$A2829,Movimentacoes!$E:$E,$C2829,Movimentacoes!$B:$B,"ENTRADA")</f>
        <v/>
      </c>
      <c r="H2829" s="13">
        <f>SUMIFS(Movimentacoes!$G:$G,Movimentacoes!$C:$C,$A2829,Movimentacoes!$E:$E,$C2829,Movimentacoes!$B:$B,"SAIDA_USO")</f>
        <v/>
      </c>
      <c r="I2829" s="13">
        <f>SUMIFS(Movimentacoes!$G:$G,Movimentacoes!$C:$C,$A2829,Movimentacoes!$E:$E,$C2829,Movimentacoes!$B:$B,"SAIDA_DESCARTE")</f>
        <v/>
      </c>
      <c r="J2829" s="13">
        <f>G2829-H2829-I2829</f>
        <v/>
      </c>
      <c r="K2829">
        <f>IF(A2829="","",IF(J2829&lt;=IFERROR(VLOOKUP(A2829,Cadastro_Produtos!$A:$E,5,FALSE),0),"ABAIXO DO MINIMO","OK"))</f>
        <v/>
      </c>
    </row>
    <row r="2830">
      <c r="B2830">
        <f>IFERROR(VLOOKUP(A2830,Cadastro_Produtos!A:B,2,FALSE),"")</f>
        <v/>
      </c>
      <c r="D2830" s="12" t="n"/>
      <c r="E2830" s="13">
        <f>IF(D2830="","",D2830-TODAY())</f>
        <v/>
      </c>
      <c r="F2830">
        <f>IF(D2830="","",IF(E2830&lt;0,"VENCIDO",IF(E2830&lt;=30,"VENCE EM &lt;= 30 DIAS",IF(E2830&lt;=60,"ATENCAO (31-60 DIAS)","OK"))))</f>
        <v/>
      </c>
      <c r="G2830" s="13">
        <f>SUMIFS(Movimentacoes!$G:$G,Movimentacoes!$C:$C,$A2830,Movimentacoes!$E:$E,$C2830,Movimentacoes!$B:$B,"ENTRADA")</f>
        <v/>
      </c>
      <c r="H2830" s="13">
        <f>SUMIFS(Movimentacoes!$G:$G,Movimentacoes!$C:$C,$A2830,Movimentacoes!$E:$E,$C2830,Movimentacoes!$B:$B,"SAIDA_USO")</f>
        <v/>
      </c>
      <c r="I2830" s="13">
        <f>SUMIFS(Movimentacoes!$G:$G,Movimentacoes!$C:$C,$A2830,Movimentacoes!$E:$E,$C2830,Movimentacoes!$B:$B,"SAIDA_DESCARTE")</f>
        <v/>
      </c>
      <c r="J2830" s="13">
        <f>G2830-H2830-I2830</f>
        <v/>
      </c>
      <c r="K2830">
        <f>IF(A2830="","",IF(J2830&lt;=IFERROR(VLOOKUP(A2830,Cadastro_Produtos!$A:$E,5,FALSE),0),"ABAIXO DO MINIMO","OK"))</f>
        <v/>
      </c>
    </row>
    <row r="2831">
      <c r="B2831">
        <f>IFERROR(VLOOKUP(A2831,Cadastro_Produtos!A:B,2,FALSE),"")</f>
        <v/>
      </c>
      <c r="D2831" s="12" t="n"/>
      <c r="E2831" s="13">
        <f>IF(D2831="","",D2831-TODAY())</f>
        <v/>
      </c>
      <c r="F2831">
        <f>IF(D2831="","",IF(E2831&lt;0,"VENCIDO",IF(E2831&lt;=30,"VENCE EM &lt;= 30 DIAS",IF(E2831&lt;=60,"ATENCAO (31-60 DIAS)","OK"))))</f>
        <v/>
      </c>
      <c r="G2831" s="13">
        <f>SUMIFS(Movimentacoes!$G:$G,Movimentacoes!$C:$C,$A2831,Movimentacoes!$E:$E,$C2831,Movimentacoes!$B:$B,"ENTRADA")</f>
        <v/>
      </c>
      <c r="H2831" s="13">
        <f>SUMIFS(Movimentacoes!$G:$G,Movimentacoes!$C:$C,$A2831,Movimentacoes!$E:$E,$C2831,Movimentacoes!$B:$B,"SAIDA_USO")</f>
        <v/>
      </c>
      <c r="I2831" s="13">
        <f>SUMIFS(Movimentacoes!$G:$G,Movimentacoes!$C:$C,$A2831,Movimentacoes!$E:$E,$C2831,Movimentacoes!$B:$B,"SAIDA_DESCARTE")</f>
        <v/>
      </c>
      <c r="J2831" s="13">
        <f>G2831-H2831-I2831</f>
        <v/>
      </c>
      <c r="K2831">
        <f>IF(A2831="","",IF(J2831&lt;=IFERROR(VLOOKUP(A2831,Cadastro_Produtos!$A:$E,5,FALSE),0),"ABAIXO DO MINIMO","OK"))</f>
        <v/>
      </c>
    </row>
    <row r="2832">
      <c r="B2832">
        <f>IFERROR(VLOOKUP(A2832,Cadastro_Produtos!A:B,2,FALSE),"")</f>
        <v/>
      </c>
      <c r="D2832" s="12" t="n"/>
      <c r="E2832" s="13">
        <f>IF(D2832="","",D2832-TODAY())</f>
        <v/>
      </c>
      <c r="F2832">
        <f>IF(D2832="","",IF(E2832&lt;0,"VENCIDO",IF(E2832&lt;=30,"VENCE EM &lt;= 30 DIAS",IF(E2832&lt;=60,"ATENCAO (31-60 DIAS)","OK"))))</f>
        <v/>
      </c>
      <c r="G2832" s="13">
        <f>SUMIFS(Movimentacoes!$G:$G,Movimentacoes!$C:$C,$A2832,Movimentacoes!$E:$E,$C2832,Movimentacoes!$B:$B,"ENTRADA")</f>
        <v/>
      </c>
      <c r="H2832" s="13">
        <f>SUMIFS(Movimentacoes!$G:$G,Movimentacoes!$C:$C,$A2832,Movimentacoes!$E:$E,$C2832,Movimentacoes!$B:$B,"SAIDA_USO")</f>
        <v/>
      </c>
      <c r="I2832" s="13">
        <f>SUMIFS(Movimentacoes!$G:$G,Movimentacoes!$C:$C,$A2832,Movimentacoes!$E:$E,$C2832,Movimentacoes!$B:$B,"SAIDA_DESCARTE")</f>
        <v/>
      </c>
      <c r="J2832" s="13">
        <f>G2832-H2832-I2832</f>
        <v/>
      </c>
      <c r="K2832">
        <f>IF(A2832="","",IF(J2832&lt;=IFERROR(VLOOKUP(A2832,Cadastro_Produtos!$A:$E,5,FALSE),0),"ABAIXO DO MINIMO","OK"))</f>
        <v/>
      </c>
    </row>
    <row r="2833">
      <c r="B2833">
        <f>IFERROR(VLOOKUP(A2833,Cadastro_Produtos!A:B,2,FALSE),"")</f>
        <v/>
      </c>
      <c r="D2833" s="12" t="n"/>
      <c r="E2833" s="13">
        <f>IF(D2833="","",D2833-TODAY())</f>
        <v/>
      </c>
      <c r="F2833">
        <f>IF(D2833="","",IF(E2833&lt;0,"VENCIDO",IF(E2833&lt;=30,"VENCE EM &lt;= 30 DIAS",IF(E2833&lt;=60,"ATENCAO (31-60 DIAS)","OK"))))</f>
        <v/>
      </c>
      <c r="G2833" s="13">
        <f>SUMIFS(Movimentacoes!$G:$G,Movimentacoes!$C:$C,$A2833,Movimentacoes!$E:$E,$C2833,Movimentacoes!$B:$B,"ENTRADA")</f>
        <v/>
      </c>
      <c r="H2833" s="13">
        <f>SUMIFS(Movimentacoes!$G:$G,Movimentacoes!$C:$C,$A2833,Movimentacoes!$E:$E,$C2833,Movimentacoes!$B:$B,"SAIDA_USO")</f>
        <v/>
      </c>
      <c r="I2833" s="13">
        <f>SUMIFS(Movimentacoes!$G:$G,Movimentacoes!$C:$C,$A2833,Movimentacoes!$E:$E,$C2833,Movimentacoes!$B:$B,"SAIDA_DESCARTE")</f>
        <v/>
      </c>
      <c r="J2833" s="13">
        <f>G2833-H2833-I2833</f>
        <v/>
      </c>
      <c r="K2833">
        <f>IF(A2833="","",IF(J2833&lt;=IFERROR(VLOOKUP(A2833,Cadastro_Produtos!$A:$E,5,FALSE),0),"ABAIXO DO MINIMO","OK"))</f>
        <v/>
      </c>
    </row>
    <row r="2834">
      <c r="B2834">
        <f>IFERROR(VLOOKUP(A2834,Cadastro_Produtos!A:B,2,FALSE),"")</f>
        <v/>
      </c>
      <c r="D2834" s="12" t="n"/>
      <c r="E2834" s="13">
        <f>IF(D2834="","",D2834-TODAY())</f>
        <v/>
      </c>
      <c r="F2834">
        <f>IF(D2834="","",IF(E2834&lt;0,"VENCIDO",IF(E2834&lt;=30,"VENCE EM &lt;= 30 DIAS",IF(E2834&lt;=60,"ATENCAO (31-60 DIAS)","OK"))))</f>
        <v/>
      </c>
      <c r="G2834" s="13">
        <f>SUMIFS(Movimentacoes!$G:$G,Movimentacoes!$C:$C,$A2834,Movimentacoes!$E:$E,$C2834,Movimentacoes!$B:$B,"ENTRADA")</f>
        <v/>
      </c>
      <c r="H2834" s="13">
        <f>SUMIFS(Movimentacoes!$G:$G,Movimentacoes!$C:$C,$A2834,Movimentacoes!$E:$E,$C2834,Movimentacoes!$B:$B,"SAIDA_USO")</f>
        <v/>
      </c>
      <c r="I2834" s="13">
        <f>SUMIFS(Movimentacoes!$G:$G,Movimentacoes!$C:$C,$A2834,Movimentacoes!$E:$E,$C2834,Movimentacoes!$B:$B,"SAIDA_DESCARTE")</f>
        <v/>
      </c>
      <c r="J2834" s="13">
        <f>G2834-H2834-I2834</f>
        <v/>
      </c>
      <c r="K2834">
        <f>IF(A2834="","",IF(J2834&lt;=IFERROR(VLOOKUP(A2834,Cadastro_Produtos!$A:$E,5,FALSE),0),"ABAIXO DO MINIMO","OK"))</f>
        <v/>
      </c>
    </row>
    <row r="2835">
      <c r="B2835">
        <f>IFERROR(VLOOKUP(A2835,Cadastro_Produtos!A:B,2,FALSE),"")</f>
        <v/>
      </c>
      <c r="D2835" s="12" t="n"/>
      <c r="E2835" s="13">
        <f>IF(D2835="","",D2835-TODAY())</f>
        <v/>
      </c>
      <c r="F2835">
        <f>IF(D2835="","",IF(E2835&lt;0,"VENCIDO",IF(E2835&lt;=30,"VENCE EM &lt;= 30 DIAS",IF(E2835&lt;=60,"ATENCAO (31-60 DIAS)","OK"))))</f>
        <v/>
      </c>
      <c r="G2835" s="13">
        <f>SUMIFS(Movimentacoes!$G:$G,Movimentacoes!$C:$C,$A2835,Movimentacoes!$E:$E,$C2835,Movimentacoes!$B:$B,"ENTRADA")</f>
        <v/>
      </c>
      <c r="H2835" s="13">
        <f>SUMIFS(Movimentacoes!$G:$G,Movimentacoes!$C:$C,$A2835,Movimentacoes!$E:$E,$C2835,Movimentacoes!$B:$B,"SAIDA_USO")</f>
        <v/>
      </c>
      <c r="I2835" s="13">
        <f>SUMIFS(Movimentacoes!$G:$G,Movimentacoes!$C:$C,$A2835,Movimentacoes!$E:$E,$C2835,Movimentacoes!$B:$B,"SAIDA_DESCARTE")</f>
        <v/>
      </c>
      <c r="J2835" s="13">
        <f>G2835-H2835-I2835</f>
        <v/>
      </c>
      <c r="K2835">
        <f>IF(A2835="","",IF(J2835&lt;=IFERROR(VLOOKUP(A2835,Cadastro_Produtos!$A:$E,5,FALSE),0),"ABAIXO DO MINIMO","OK"))</f>
        <v/>
      </c>
    </row>
    <row r="2836">
      <c r="B2836">
        <f>IFERROR(VLOOKUP(A2836,Cadastro_Produtos!A:B,2,FALSE),"")</f>
        <v/>
      </c>
      <c r="D2836" s="12" t="n"/>
      <c r="E2836" s="13">
        <f>IF(D2836="","",D2836-TODAY())</f>
        <v/>
      </c>
      <c r="F2836">
        <f>IF(D2836="","",IF(E2836&lt;0,"VENCIDO",IF(E2836&lt;=30,"VENCE EM &lt;= 30 DIAS",IF(E2836&lt;=60,"ATENCAO (31-60 DIAS)","OK"))))</f>
        <v/>
      </c>
      <c r="G2836" s="13">
        <f>SUMIFS(Movimentacoes!$G:$G,Movimentacoes!$C:$C,$A2836,Movimentacoes!$E:$E,$C2836,Movimentacoes!$B:$B,"ENTRADA")</f>
        <v/>
      </c>
      <c r="H2836" s="13">
        <f>SUMIFS(Movimentacoes!$G:$G,Movimentacoes!$C:$C,$A2836,Movimentacoes!$E:$E,$C2836,Movimentacoes!$B:$B,"SAIDA_USO")</f>
        <v/>
      </c>
      <c r="I2836" s="13">
        <f>SUMIFS(Movimentacoes!$G:$G,Movimentacoes!$C:$C,$A2836,Movimentacoes!$E:$E,$C2836,Movimentacoes!$B:$B,"SAIDA_DESCARTE")</f>
        <v/>
      </c>
      <c r="J2836" s="13">
        <f>G2836-H2836-I2836</f>
        <v/>
      </c>
      <c r="K2836">
        <f>IF(A2836="","",IF(J2836&lt;=IFERROR(VLOOKUP(A2836,Cadastro_Produtos!$A:$E,5,FALSE),0),"ABAIXO DO MINIMO","OK"))</f>
        <v/>
      </c>
    </row>
    <row r="2837">
      <c r="B2837">
        <f>IFERROR(VLOOKUP(A2837,Cadastro_Produtos!A:B,2,FALSE),"")</f>
        <v/>
      </c>
      <c r="D2837" s="12" t="n"/>
      <c r="E2837" s="13">
        <f>IF(D2837="","",D2837-TODAY())</f>
        <v/>
      </c>
      <c r="F2837">
        <f>IF(D2837="","",IF(E2837&lt;0,"VENCIDO",IF(E2837&lt;=30,"VENCE EM &lt;= 30 DIAS",IF(E2837&lt;=60,"ATENCAO (31-60 DIAS)","OK"))))</f>
        <v/>
      </c>
      <c r="G2837" s="13">
        <f>SUMIFS(Movimentacoes!$G:$G,Movimentacoes!$C:$C,$A2837,Movimentacoes!$E:$E,$C2837,Movimentacoes!$B:$B,"ENTRADA")</f>
        <v/>
      </c>
      <c r="H2837" s="13">
        <f>SUMIFS(Movimentacoes!$G:$G,Movimentacoes!$C:$C,$A2837,Movimentacoes!$E:$E,$C2837,Movimentacoes!$B:$B,"SAIDA_USO")</f>
        <v/>
      </c>
      <c r="I2837" s="13">
        <f>SUMIFS(Movimentacoes!$G:$G,Movimentacoes!$C:$C,$A2837,Movimentacoes!$E:$E,$C2837,Movimentacoes!$B:$B,"SAIDA_DESCARTE")</f>
        <v/>
      </c>
      <c r="J2837" s="13">
        <f>G2837-H2837-I2837</f>
        <v/>
      </c>
      <c r="K2837">
        <f>IF(A2837="","",IF(J2837&lt;=IFERROR(VLOOKUP(A2837,Cadastro_Produtos!$A:$E,5,FALSE),0),"ABAIXO DO MINIMO","OK"))</f>
        <v/>
      </c>
    </row>
    <row r="2838">
      <c r="B2838">
        <f>IFERROR(VLOOKUP(A2838,Cadastro_Produtos!A:B,2,FALSE),"")</f>
        <v/>
      </c>
      <c r="D2838" s="12" t="n"/>
      <c r="E2838" s="13">
        <f>IF(D2838="","",D2838-TODAY())</f>
        <v/>
      </c>
      <c r="F2838">
        <f>IF(D2838="","",IF(E2838&lt;0,"VENCIDO",IF(E2838&lt;=30,"VENCE EM &lt;= 30 DIAS",IF(E2838&lt;=60,"ATENCAO (31-60 DIAS)","OK"))))</f>
        <v/>
      </c>
      <c r="G2838" s="13">
        <f>SUMIFS(Movimentacoes!$G:$G,Movimentacoes!$C:$C,$A2838,Movimentacoes!$E:$E,$C2838,Movimentacoes!$B:$B,"ENTRADA")</f>
        <v/>
      </c>
      <c r="H2838" s="13">
        <f>SUMIFS(Movimentacoes!$G:$G,Movimentacoes!$C:$C,$A2838,Movimentacoes!$E:$E,$C2838,Movimentacoes!$B:$B,"SAIDA_USO")</f>
        <v/>
      </c>
      <c r="I2838" s="13">
        <f>SUMIFS(Movimentacoes!$G:$G,Movimentacoes!$C:$C,$A2838,Movimentacoes!$E:$E,$C2838,Movimentacoes!$B:$B,"SAIDA_DESCARTE")</f>
        <v/>
      </c>
      <c r="J2838" s="13">
        <f>G2838-H2838-I2838</f>
        <v/>
      </c>
      <c r="K2838">
        <f>IF(A2838="","",IF(J2838&lt;=IFERROR(VLOOKUP(A2838,Cadastro_Produtos!$A:$E,5,FALSE),0),"ABAIXO DO MINIMO","OK"))</f>
        <v/>
      </c>
    </row>
    <row r="2839">
      <c r="B2839">
        <f>IFERROR(VLOOKUP(A2839,Cadastro_Produtos!A:B,2,FALSE),"")</f>
        <v/>
      </c>
      <c r="D2839" s="12" t="n"/>
      <c r="E2839" s="13">
        <f>IF(D2839="","",D2839-TODAY())</f>
        <v/>
      </c>
      <c r="F2839">
        <f>IF(D2839="","",IF(E2839&lt;0,"VENCIDO",IF(E2839&lt;=30,"VENCE EM &lt;= 30 DIAS",IF(E2839&lt;=60,"ATENCAO (31-60 DIAS)","OK"))))</f>
        <v/>
      </c>
      <c r="G2839" s="13">
        <f>SUMIFS(Movimentacoes!$G:$G,Movimentacoes!$C:$C,$A2839,Movimentacoes!$E:$E,$C2839,Movimentacoes!$B:$B,"ENTRADA")</f>
        <v/>
      </c>
      <c r="H2839" s="13">
        <f>SUMIFS(Movimentacoes!$G:$G,Movimentacoes!$C:$C,$A2839,Movimentacoes!$E:$E,$C2839,Movimentacoes!$B:$B,"SAIDA_USO")</f>
        <v/>
      </c>
      <c r="I2839" s="13">
        <f>SUMIFS(Movimentacoes!$G:$G,Movimentacoes!$C:$C,$A2839,Movimentacoes!$E:$E,$C2839,Movimentacoes!$B:$B,"SAIDA_DESCARTE")</f>
        <v/>
      </c>
      <c r="J2839" s="13">
        <f>G2839-H2839-I2839</f>
        <v/>
      </c>
      <c r="K2839">
        <f>IF(A2839="","",IF(J2839&lt;=IFERROR(VLOOKUP(A2839,Cadastro_Produtos!$A:$E,5,FALSE),0),"ABAIXO DO MINIMO","OK"))</f>
        <v/>
      </c>
    </row>
    <row r="2840">
      <c r="B2840">
        <f>IFERROR(VLOOKUP(A2840,Cadastro_Produtos!A:B,2,FALSE),"")</f>
        <v/>
      </c>
      <c r="D2840" s="12" t="n"/>
      <c r="E2840" s="13">
        <f>IF(D2840="","",D2840-TODAY())</f>
        <v/>
      </c>
      <c r="F2840">
        <f>IF(D2840="","",IF(E2840&lt;0,"VENCIDO",IF(E2840&lt;=30,"VENCE EM &lt;= 30 DIAS",IF(E2840&lt;=60,"ATENCAO (31-60 DIAS)","OK"))))</f>
        <v/>
      </c>
      <c r="G2840" s="13">
        <f>SUMIFS(Movimentacoes!$G:$G,Movimentacoes!$C:$C,$A2840,Movimentacoes!$E:$E,$C2840,Movimentacoes!$B:$B,"ENTRADA")</f>
        <v/>
      </c>
      <c r="H2840" s="13">
        <f>SUMIFS(Movimentacoes!$G:$G,Movimentacoes!$C:$C,$A2840,Movimentacoes!$E:$E,$C2840,Movimentacoes!$B:$B,"SAIDA_USO")</f>
        <v/>
      </c>
      <c r="I2840" s="13">
        <f>SUMIFS(Movimentacoes!$G:$G,Movimentacoes!$C:$C,$A2840,Movimentacoes!$E:$E,$C2840,Movimentacoes!$B:$B,"SAIDA_DESCARTE")</f>
        <v/>
      </c>
      <c r="J2840" s="13">
        <f>G2840-H2840-I2840</f>
        <v/>
      </c>
      <c r="K2840">
        <f>IF(A2840="","",IF(J2840&lt;=IFERROR(VLOOKUP(A2840,Cadastro_Produtos!$A:$E,5,FALSE),0),"ABAIXO DO MINIMO","OK"))</f>
        <v/>
      </c>
    </row>
    <row r="2841">
      <c r="B2841">
        <f>IFERROR(VLOOKUP(A2841,Cadastro_Produtos!A:B,2,FALSE),"")</f>
        <v/>
      </c>
      <c r="D2841" s="12" t="n"/>
      <c r="E2841" s="13">
        <f>IF(D2841="","",D2841-TODAY())</f>
        <v/>
      </c>
      <c r="F2841">
        <f>IF(D2841="","",IF(E2841&lt;0,"VENCIDO",IF(E2841&lt;=30,"VENCE EM &lt;= 30 DIAS",IF(E2841&lt;=60,"ATENCAO (31-60 DIAS)","OK"))))</f>
        <v/>
      </c>
      <c r="G2841" s="13">
        <f>SUMIFS(Movimentacoes!$G:$G,Movimentacoes!$C:$C,$A2841,Movimentacoes!$E:$E,$C2841,Movimentacoes!$B:$B,"ENTRADA")</f>
        <v/>
      </c>
      <c r="H2841" s="13">
        <f>SUMIFS(Movimentacoes!$G:$G,Movimentacoes!$C:$C,$A2841,Movimentacoes!$E:$E,$C2841,Movimentacoes!$B:$B,"SAIDA_USO")</f>
        <v/>
      </c>
      <c r="I2841" s="13">
        <f>SUMIFS(Movimentacoes!$G:$G,Movimentacoes!$C:$C,$A2841,Movimentacoes!$E:$E,$C2841,Movimentacoes!$B:$B,"SAIDA_DESCARTE")</f>
        <v/>
      </c>
      <c r="J2841" s="13">
        <f>G2841-H2841-I2841</f>
        <v/>
      </c>
      <c r="K2841">
        <f>IF(A2841="","",IF(J2841&lt;=IFERROR(VLOOKUP(A2841,Cadastro_Produtos!$A:$E,5,FALSE),0),"ABAIXO DO MINIMO","OK"))</f>
        <v/>
      </c>
    </row>
    <row r="2842">
      <c r="B2842">
        <f>IFERROR(VLOOKUP(A2842,Cadastro_Produtos!A:B,2,FALSE),"")</f>
        <v/>
      </c>
      <c r="D2842" s="12" t="n"/>
      <c r="E2842" s="13">
        <f>IF(D2842="","",D2842-TODAY())</f>
        <v/>
      </c>
      <c r="F2842">
        <f>IF(D2842="","",IF(E2842&lt;0,"VENCIDO",IF(E2842&lt;=30,"VENCE EM &lt;= 30 DIAS",IF(E2842&lt;=60,"ATENCAO (31-60 DIAS)","OK"))))</f>
        <v/>
      </c>
      <c r="G2842" s="13">
        <f>SUMIFS(Movimentacoes!$G:$G,Movimentacoes!$C:$C,$A2842,Movimentacoes!$E:$E,$C2842,Movimentacoes!$B:$B,"ENTRADA")</f>
        <v/>
      </c>
      <c r="H2842" s="13">
        <f>SUMIFS(Movimentacoes!$G:$G,Movimentacoes!$C:$C,$A2842,Movimentacoes!$E:$E,$C2842,Movimentacoes!$B:$B,"SAIDA_USO")</f>
        <v/>
      </c>
      <c r="I2842" s="13">
        <f>SUMIFS(Movimentacoes!$G:$G,Movimentacoes!$C:$C,$A2842,Movimentacoes!$E:$E,$C2842,Movimentacoes!$B:$B,"SAIDA_DESCARTE")</f>
        <v/>
      </c>
      <c r="J2842" s="13">
        <f>G2842-H2842-I2842</f>
        <v/>
      </c>
      <c r="K2842">
        <f>IF(A2842="","",IF(J2842&lt;=IFERROR(VLOOKUP(A2842,Cadastro_Produtos!$A:$E,5,FALSE),0),"ABAIXO DO MINIMO","OK"))</f>
        <v/>
      </c>
    </row>
    <row r="2843">
      <c r="B2843">
        <f>IFERROR(VLOOKUP(A2843,Cadastro_Produtos!A:B,2,FALSE),"")</f>
        <v/>
      </c>
      <c r="D2843" s="12" t="n"/>
      <c r="E2843" s="13">
        <f>IF(D2843="","",D2843-TODAY())</f>
        <v/>
      </c>
      <c r="F2843">
        <f>IF(D2843="","",IF(E2843&lt;0,"VENCIDO",IF(E2843&lt;=30,"VENCE EM &lt;= 30 DIAS",IF(E2843&lt;=60,"ATENCAO (31-60 DIAS)","OK"))))</f>
        <v/>
      </c>
      <c r="G2843" s="13">
        <f>SUMIFS(Movimentacoes!$G:$G,Movimentacoes!$C:$C,$A2843,Movimentacoes!$E:$E,$C2843,Movimentacoes!$B:$B,"ENTRADA")</f>
        <v/>
      </c>
      <c r="H2843" s="13">
        <f>SUMIFS(Movimentacoes!$G:$G,Movimentacoes!$C:$C,$A2843,Movimentacoes!$E:$E,$C2843,Movimentacoes!$B:$B,"SAIDA_USO")</f>
        <v/>
      </c>
      <c r="I2843" s="13">
        <f>SUMIFS(Movimentacoes!$G:$G,Movimentacoes!$C:$C,$A2843,Movimentacoes!$E:$E,$C2843,Movimentacoes!$B:$B,"SAIDA_DESCARTE")</f>
        <v/>
      </c>
      <c r="J2843" s="13">
        <f>G2843-H2843-I2843</f>
        <v/>
      </c>
      <c r="K2843">
        <f>IF(A2843="","",IF(J2843&lt;=IFERROR(VLOOKUP(A2843,Cadastro_Produtos!$A:$E,5,FALSE),0),"ABAIXO DO MINIMO","OK"))</f>
        <v/>
      </c>
    </row>
    <row r="2844">
      <c r="B2844">
        <f>IFERROR(VLOOKUP(A2844,Cadastro_Produtos!A:B,2,FALSE),"")</f>
        <v/>
      </c>
      <c r="D2844" s="12" t="n"/>
      <c r="E2844" s="13">
        <f>IF(D2844="","",D2844-TODAY())</f>
        <v/>
      </c>
      <c r="F2844">
        <f>IF(D2844="","",IF(E2844&lt;0,"VENCIDO",IF(E2844&lt;=30,"VENCE EM &lt;= 30 DIAS",IF(E2844&lt;=60,"ATENCAO (31-60 DIAS)","OK"))))</f>
        <v/>
      </c>
      <c r="G2844" s="13">
        <f>SUMIFS(Movimentacoes!$G:$G,Movimentacoes!$C:$C,$A2844,Movimentacoes!$E:$E,$C2844,Movimentacoes!$B:$B,"ENTRADA")</f>
        <v/>
      </c>
      <c r="H2844" s="13">
        <f>SUMIFS(Movimentacoes!$G:$G,Movimentacoes!$C:$C,$A2844,Movimentacoes!$E:$E,$C2844,Movimentacoes!$B:$B,"SAIDA_USO")</f>
        <v/>
      </c>
      <c r="I2844" s="13">
        <f>SUMIFS(Movimentacoes!$G:$G,Movimentacoes!$C:$C,$A2844,Movimentacoes!$E:$E,$C2844,Movimentacoes!$B:$B,"SAIDA_DESCARTE")</f>
        <v/>
      </c>
      <c r="J2844" s="13">
        <f>G2844-H2844-I2844</f>
        <v/>
      </c>
      <c r="K2844">
        <f>IF(A2844="","",IF(J2844&lt;=IFERROR(VLOOKUP(A2844,Cadastro_Produtos!$A:$E,5,FALSE),0),"ABAIXO DO MINIMO","OK"))</f>
        <v/>
      </c>
    </row>
    <row r="2845">
      <c r="B2845">
        <f>IFERROR(VLOOKUP(A2845,Cadastro_Produtos!A:B,2,FALSE),"")</f>
        <v/>
      </c>
      <c r="D2845" s="12" t="n"/>
      <c r="E2845" s="13">
        <f>IF(D2845="","",D2845-TODAY())</f>
        <v/>
      </c>
      <c r="F2845">
        <f>IF(D2845="","",IF(E2845&lt;0,"VENCIDO",IF(E2845&lt;=30,"VENCE EM &lt;= 30 DIAS",IF(E2845&lt;=60,"ATENCAO (31-60 DIAS)","OK"))))</f>
        <v/>
      </c>
      <c r="G2845" s="13">
        <f>SUMIFS(Movimentacoes!$G:$G,Movimentacoes!$C:$C,$A2845,Movimentacoes!$E:$E,$C2845,Movimentacoes!$B:$B,"ENTRADA")</f>
        <v/>
      </c>
      <c r="H2845" s="13">
        <f>SUMIFS(Movimentacoes!$G:$G,Movimentacoes!$C:$C,$A2845,Movimentacoes!$E:$E,$C2845,Movimentacoes!$B:$B,"SAIDA_USO")</f>
        <v/>
      </c>
      <c r="I2845" s="13">
        <f>SUMIFS(Movimentacoes!$G:$G,Movimentacoes!$C:$C,$A2845,Movimentacoes!$E:$E,$C2845,Movimentacoes!$B:$B,"SAIDA_DESCARTE")</f>
        <v/>
      </c>
      <c r="J2845" s="13">
        <f>G2845-H2845-I2845</f>
        <v/>
      </c>
      <c r="K2845">
        <f>IF(A2845="","",IF(J2845&lt;=IFERROR(VLOOKUP(A2845,Cadastro_Produtos!$A:$E,5,FALSE),0),"ABAIXO DO MINIMO","OK"))</f>
        <v/>
      </c>
    </row>
    <row r="2846">
      <c r="B2846">
        <f>IFERROR(VLOOKUP(A2846,Cadastro_Produtos!A:B,2,FALSE),"")</f>
        <v/>
      </c>
      <c r="D2846" s="12" t="n"/>
      <c r="E2846" s="13">
        <f>IF(D2846="","",D2846-TODAY())</f>
        <v/>
      </c>
      <c r="F2846">
        <f>IF(D2846="","",IF(E2846&lt;0,"VENCIDO",IF(E2846&lt;=30,"VENCE EM &lt;= 30 DIAS",IF(E2846&lt;=60,"ATENCAO (31-60 DIAS)","OK"))))</f>
        <v/>
      </c>
      <c r="G2846" s="13">
        <f>SUMIFS(Movimentacoes!$G:$G,Movimentacoes!$C:$C,$A2846,Movimentacoes!$E:$E,$C2846,Movimentacoes!$B:$B,"ENTRADA")</f>
        <v/>
      </c>
      <c r="H2846" s="13">
        <f>SUMIFS(Movimentacoes!$G:$G,Movimentacoes!$C:$C,$A2846,Movimentacoes!$E:$E,$C2846,Movimentacoes!$B:$B,"SAIDA_USO")</f>
        <v/>
      </c>
      <c r="I2846" s="13">
        <f>SUMIFS(Movimentacoes!$G:$G,Movimentacoes!$C:$C,$A2846,Movimentacoes!$E:$E,$C2846,Movimentacoes!$B:$B,"SAIDA_DESCARTE")</f>
        <v/>
      </c>
      <c r="J2846" s="13">
        <f>G2846-H2846-I2846</f>
        <v/>
      </c>
      <c r="K2846">
        <f>IF(A2846="","",IF(J2846&lt;=IFERROR(VLOOKUP(A2846,Cadastro_Produtos!$A:$E,5,FALSE),0),"ABAIXO DO MINIMO","OK"))</f>
        <v/>
      </c>
    </row>
    <row r="2847">
      <c r="B2847">
        <f>IFERROR(VLOOKUP(A2847,Cadastro_Produtos!A:B,2,FALSE),"")</f>
        <v/>
      </c>
      <c r="D2847" s="12" t="n"/>
      <c r="E2847" s="13">
        <f>IF(D2847="","",D2847-TODAY())</f>
        <v/>
      </c>
      <c r="F2847">
        <f>IF(D2847="","",IF(E2847&lt;0,"VENCIDO",IF(E2847&lt;=30,"VENCE EM &lt;= 30 DIAS",IF(E2847&lt;=60,"ATENCAO (31-60 DIAS)","OK"))))</f>
        <v/>
      </c>
      <c r="G2847" s="13">
        <f>SUMIFS(Movimentacoes!$G:$G,Movimentacoes!$C:$C,$A2847,Movimentacoes!$E:$E,$C2847,Movimentacoes!$B:$B,"ENTRADA")</f>
        <v/>
      </c>
      <c r="H2847" s="13">
        <f>SUMIFS(Movimentacoes!$G:$G,Movimentacoes!$C:$C,$A2847,Movimentacoes!$E:$E,$C2847,Movimentacoes!$B:$B,"SAIDA_USO")</f>
        <v/>
      </c>
      <c r="I2847" s="13">
        <f>SUMIFS(Movimentacoes!$G:$G,Movimentacoes!$C:$C,$A2847,Movimentacoes!$E:$E,$C2847,Movimentacoes!$B:$B,"SAIDA_DESCARTE")</f>
        <v/>
      </c>
      <c r="J2847" s="13">
        <f>G2847-H2847-I2847</f>
        <v/>
      </c>
      <c r="K2847">
        <f>IF(A2847="","",IF(J2847&lt;=IFERROR(VLOOKUP(A2847,Cadastro_Produtos!$A:$E,5,FALSE),0),"ABAIXO DO MINIMO","OK"))</f>
        <v/>
      </c>
    </row>
    <row r="2848">
      <c r="B2848">
        <f>IFERROR(VLOOKUP(A2848,Cadastro_Produtos!A:B,2,FALSE),"")</f>
        <v/>
      </c>
      <c r="D2848" s="12" t="n"/>
      <c r="E2848" s="13">
        <f>IF(D2848="","",D2848-TODAY())</f>
        <v/>
      </c>
      <c r="F2848">
        <f>IF(D2848="","",IF(E2848&lt;0,"VENCIDO",IF(E2848&lt;=30,"VENCE EM &lt;= 30 DIAS",IF(E2848&lt;=60,"ATENCAO (31-60 DIAS)","OK"))))</f>
        <v/>
      </c>
      <c r="G2848" s="13">
        <f>SUMIFS(Movimentacoes!$G:$G,Movimentacoes!$C:$C,$A2848,Movimentacoes!$E:$E,$C2848,Movimentacoes!$B:$B,"ENTRADA")</f>
        <v/>
      </c>
      <c r="H2848" s="13">
        <f>SUMIFS(Movimentacoes!$G:$G,Movimentacoes!$C:$C,$A2848,Movimentacoes!$E:$E,$C2848,Movimentacoes!$B:$B,"SAIDA_USO")</f>
        <v/>
      </c>
      <c r="I2848" s="13">
        <f>SUMIFS(Movimentacoes!$G:$G,Movimentacoes!$C:$C,$A2848,Movimentacoes!$E:$E,$C2848,Movimentacoes!$B:$B,"SAIDA_DESCARTE")</f>
        <v/>
      </c>
      <c r="J2848" s="13">
        <f>G2848-H2848-I2848</f>
        <v/>
      </c>
      <c r="K2848">
        <f>IF(A2848="","",IF(J2848&lt;=IFERROR(VLOOKUP(A2848,Cadastro_Produtos!$A:$E,5,FALSE),0),"ABAIXO DO MINIMO","OK"))</f>
        <v/>
      </c>
    </row>
    <row r="2849">
      <c r="B2849">
        <f>IFERROR(VLOOKUP(A2849,Cadastro_Produtos!A:B,2,FALSE),"")</f>
        <v/>
      </c>
      <c r="D2849" s="12" t="n"/>
      <c r="E2849" s="13">
        <f>IF(D2849="","",D2849-TODAY())</f>
        <v/>
      </c>
      <c r="F2849">
        <f>IF(D2849="","",IF(E2849&lt;0,"VENCIDO",IF(E2849&lt;=30,"VENCE EM &lt;= 30 DIAS",IF(E2849&lt;=60,"ATENCAO (31-60 DIAS)","OK"))))</f>
        <v/>
      </c>
      <c r="G2849" s="13">
        <f>SUMIFS(Movimentacoes!$G:$G,Movimentacoes!$C:$C,$A2849,Movimentacoes!$E:$E,$C2849,Movimentacoes!$B:$B,"ENTRADA")</f>
        <v/>
      </c>
      <c r="H2849" s="13">
        <f>SUMIFS(Movimentacoes!$G:$G,Movimentacoes!$C:$C,$A2849,Movimentacoes!$E:$E,$C2849,Movimentacoes!$B:$B,"SAIDA_USO")</f>
        <v/>
      </c>
      <c r="I2849" s="13">
        <f>SUMIFS(Movimentacoes!$G:$G,Movimentacoes!$C:$C,$A2849,Movimentacoes!$E:$E,$C2849,Movimentacoes!$B:$B,"SAIDA_DESCARTE")</f>
        <v/>
      </c>
      <c r="J2849" s="13">
        <f>G2849-H2849-I2849</f>
        <v/>
      </c>
      <c r="K2849">
        <f>IF(A2849="","",IF(J2849&lt;=IFERROR(VLOOKUP(A2849,Cadastro_Produtos!$A:$E,5,FALSE),0),"ABAIXO DO MINIMO","OK"))</f>
        <v/>
      </c>
    </row>
    <row r="2850">
      <c r="B2850">
        <f>IFERROR(VLOOKUP(A2850,Cadastro_Produtos!A:B,2,FALSE),"")</f>
        <v/>
      </c>
      <c r="D2850" s="12" t="n"/>
      <c r="E2850" s="13">
        <f>IF(D2850="","",D2850-TODAY())</f>
        <v/>
      </c>
      <c r="F2850">
        <f>IF(D2850="","",IF(E2850&lt;0,"VENCIDO",IF(E2850&lt;=30,"VENCE EM &lt;= 30 DIAS",IF(E2850&lt;=60,"ATENCAO (31-60 DIAS)","OK"))))</f>
        <v/>
      </c>
      <c r="G2850" s="13">
        <f>SUMIFS(Movimentacoes!$G:$G,Movimentacoes!$C:$C,$A2850,Movimentacoes!$E:$E,$C2850,Movimentacoes!$B:$B,"ENTRADA")</f>
        <v/>
      </c>
      <c r="H2850" s="13">
        <f>SUMIFS(Movimentacoes!$G:$G,Movimentacoes!$C:$C,$A2850,Movimentacoes!$E:$E,$C2850,Movimentacoes!$B:$B,"SAIDA_USO")</f>
        <v/>
      </c>
      <c r="I2850" s="13">
        <f>SUMIFS(Movimentacoes!$G:$G,Movimentacoes!$C:$C,$A2850,Movimentacoes!$E:$E,$C2850,Movimentacoes!$B:$B,"SAIDA_DESCARTE")</f>
        <v/>
      </c>
      <c r="J2850" s="13">
        <f>G2850-H2850-I2850</f>
        <v/>
      </c>
      <c r="K2850">
        <f>IF(A2850="","",IF(J2850&lt;=IFERROR(VLOOKUP(A2850,Cadastro_Produtos!$A:$E,5,FALSE),0),"ABAIXO DO MINIMO","OK"))</f>
        <v/>
      </c>
    </row>
    <row r="2851">
      <c r="B2851">
        <f>IFERROR(VLOOKUP(A2851,Cadastro_Produtos!A:B,2,FALSE),"")</f>
        <v/>
      </c>
      <c r="D2851" s="12" t="n"/>
      <c r="E2851" s="13">
        <f>IF(D2851="","",D2851-TODAY())</f>
        <v/>
      </c>
      <c r="F2851">
        <f>IF(D2851="","",IF(E2851&lt;0,"VENCIDO",IF(E2851&lt;=30,"VENCE EM &lt;= 30 DIAS",IF(E2851&lt;=60,"ATENCAO (31-60 DIAS)","OK"))))</f>
        <v/>
      </c>
      <c r="G2851" s="13">
        <f>SUMIFS(Movimentacoes!$G:$G,Movimentacoes!$C:$C,$A2851,Movimentacoes!$E:$E,$C2851,Movimentacoes!$B:$B,"ENTRADA")</f>
        <v/>
      </c>
      <c r="H2851" s="13">
        <f>SUMIFS(Movimentacoes!$G:$G,Movimentacoes!$C:$C,$A2851,Movimentacoes!$E:$E,$C2851,Movimentacoes!$B:$B,"SAIDA_USO")</f>
        <v/>
      </c>
      <c r="I2851" s="13">
        <f>SUMIFS(Movimentacoes!$G:$G,Movimentacoes!$C:$C,$A2851,Movimentacoes!$E:$E,$C2851,Movimentacoes!$B:$B,"SAIDA_DESCARTE")</f>
        <v/>
      </c>
      <c r="J2851" s="13">
        <f>G2851-H2851-I2851</f>
        <v/>
      </c>
      <c r="K2851">
        <f>IF(A2851="","",IF(J2851&lt;=IFERROR(VLOOKUP(A2851,Cadastro_Produtos!$A:$E,5,FALSE),0),"ABAIXO DO MINIMO","OK"))</f>
        <v/>
      </c>
    </row>
    <row r="2852">
      <c r="B2852">
        <f>IFERROR(VLOOKUP(A2852,Cadastro_Produtos!A:B,2,FALSE),"")</f>
        <v/>
      </c>
      <c r="D2852" s="12" t="n"/>
      <c r="E2852" s="13">
        <f>IF(D2852="","",D2852-TODAY())</f>
        <v/>
      </c>
      <c r="F2852">
        <f>IF(D2852="","",IF(E2852&lt;0,"VENCIDO",IF(E2852&lt;=30,"VENCE EM &lt;= 30 DIAS",IF(E2852&lt;=60,"ATENCAO (31-60 DIAS)","OK"))))</f>
        <v/>
      </c>
      <c r="G2852" s="13">
        <f>SUMIFS(Movimentacoes!$G:$G,Movimentacoes!$C:$C,$A2852,Movimentacoes!$E:$E,$C2852,Movimentacoes!$B:$B,"ENTRADA")</f>
        <v/>
      </c>
      <c r="H2852" s="13">
        <f>SUMIFS(Movimentacoes!$G:$G,Movimentacoes!$C:$C,$A2852,Movimentacoes!$E:$E,$C2852,Movimentacoes!$B:$B,"SAIDA_USO")</f>
        <v/>
      </c>
      <c r="I2852" s="13">
        <f>SUMIFS(Movimentacoes!$G:$G,Movimentacoes!$C:$C,$A2852,Movimentacoes!$E:$E,$C2852,Movimentacoes!$B:$B,"SAIDA_DESCARTE")</f>
        <v/>
      </c>
      <c r="J2852" s="13">
        <f>G2852-H2852-I2852</f>
        <v/>
      </c>
      <c r="K2852">
        <f>IF(A2852="","",IF(J2852&lt;=IFERROR(VLOOKUP(A2852,Cadastro_Produtos!$A:$E,5,FALSE),0),"ABAIXO DO MINIMO","OK"))</f>
        <v/>
      </c>
    </row>
    <row r="2853">
      <c r="B2853">
        <f>IFERROR(VLOOKUP(A2853,Cadastro_Produtos!A:B,2,FALSE),"")</f>
        <v/>
      </c>
      <c r="D2853" s="12" t="n"/>
      <c r="E2853" s="13">
        <f>IF(D2853="","",D2853-TODAY())</f>
        <v/>
      </c>
      <c r="F2853">
        <f>IF(D2853="","",IF(E2853&lt;0,"VENCIDO",IF(E2853&lt;=30,"VENCE EM &lt;= 30 DIAS",IF(E2853&lt;=60,"ATENCAO (31-60 DIAS)","OK"))))</f>
        <v/>
      </c>
      <c r="G2853" s="13">
        <f>SUMIFS(Movimentacoes!$G:$G,Movimentacoes!$C:$C,$A2853,Movimentacoes!$E:$E,$C2853,Movimentacoes!$B:$B,"ENTRADA")</f>
        <v/>
      </c>
      <c r="H2853" s="13">
        <f>SUMIFS(Movimentacoes!$G:$G,Movimentacoes!$C:$C,$A2853,Movimentacoes!$E:$E,$C2853,Movimentacoes!$B:$B,"SAIDA_USO")</f>
        <v/>
      </c>
      <c r="I2853" s="13">
        <f>SUMIFS(Movimentacoes!$G:$G,Movimentacoes!$C:$C,$A2853,Movimentacoes!$E:$E,$C2853,Movimentacoes!$B:$B,"SAIDA_DESCARTE")</f>
        <v/>
      </c>
      <c r="J2853" s="13">
        <f>G2853-H2853-I2853</f>
        <v/>
      </c>
      <c r="K2853">
        <f>IF(A2853="","",IF(J2853&lt;=IFERROR(VLOOKUP(A2853,Cadastro_Produtos!$A:$E,5,FALSE),0),"ABAIXO DO MINIMO","OK"))</f>
        <v/>
      </c>
    </row>
    <row r="2854">
      <c r="B2854">
        <f>IFERROR(VLOOKUP(A2854,Cadastro_Produtos!A:B,2,FALSE),"")</f>
        <v/>
      </c>
      <c r="D2854" s="12" t="n"/>
      <c r="E2854" s="13">
        <f>IF(D2854="","",D2854-TODAY())</f>
        <v/>
      </c>
      <c r="F2854">
        <f>IF(D2854="","",IF(E2854&lt;0,"VENCIDO",IF(E2854&lt;=30,"VENCE EM &lt;= 30 DIAS",IF(E2854&lt;=60,"ATENCAO (31-60 DIAS)","OK"))))</f>
        <v/>
      </c>
      <c r="G2854" s="13">
        <f>SUMIFS(Movimentacoes!$G:$G,Movimentacoes!$C:$C,$A2854,Movimentacoes!$E:$E,$C2854,Movimentacoes!$B:$B,"ENTRADA")</f>
        <v/>
      </c>
      <c r="H2854" s="13">
        <f>SUMIFS(Movimentacoes!$G:$G,Movimentacoes!$C:$C,$A2854,Movimentacoes!$E:$E,$C2854,Movimentacoes!$B:$B,"SAIDA_USO")</f>
        <v/>
      </c>
      <c r="I2854" s="13">
        <f>SUMIFS(Movimentacoes!$G:$G,Movimentacoes!$C:$C,$A2854,Movimentacoes!$E:$E,$C2854,Movimentacoes!$B:$B,"SAIDA_DESCARTE")</f>
        <v/>
      </c>
      <c r="J2854" s="13">
        <f>G2854-H2854-I2854</f>
        <v/>
      </c>
      <c r="K2854">
        <f>IF(A2854="","",IF(J2854&lt;=IFERROR(VLOOKUP(A2854,Cadastro_Produtos!$A:$E,5,FALSE),0),"ABAIXO DO MINIMO","OK"))</f>
        <v/>
      </c>
    </row>
    <row r="2855">
      <c r="B2855">
        <f>IFERROR(VLOOKUP(A2855,Cadastro_Produtos!A:B,2,FALSE),"")</f>
        <v/>
      </c>
      <c r="D2855" s="12" t="n"/>
      <c r="E2855" s="13">
        <f>IF(D2855="","",D2855-TODAY())</f>
        <v/>
      </c>
      <c r="F2855">
        <f>IF(D2855="","",IF(E2855&lt;0,"VENCIDO",IF(E2855&lt;=30,"VENCE EM &lt;= 30 DIAS",IF(E2855&lt;=60,"ATENCAO (31-60 DIAS)","OK"))))</f>
        <v/>
      </c>
      <c r="G2855" s="13">
        <f>SUMIFS(Movimentacoes!$G:$G,Movimentacoes!$C:$C,$A2855,Movimentacoes!$E:$E,$C2855,Movimentacoes!$B:$B,"ENTRADA")</f>
        <v/>
      </c>
      <c r="H2855" s="13">
        <f>SUMIFS(Movimentacoes!$G:$G,Movimentacoes!$C:$C,$A2855,Movimentacoes!$E:$E,$C2855,Movimentacoes!$B:$B,"SAIDA_USO")</f>
        <v/>
      </c>
      <c r="I2855" s="13">
        <f>SUMIFS(Movimentacoes!$G:$G,Movimentacoes!$C:$C,$A2855,Movimentacoes!$E:$E,$C2855,Movimentacoes!$B:$B,"SAIDA_DESCARTE")</f>
        <v/>
      </c>
      <c r="J2855" s="13">
        <f>G2855-H2855-I2855</f>
        <v/>
      </c>
      <c r="K2855">
        <f>IF(A2855="","",IF(J2855&lt;=IFERROR(VLOOKUP(A2855,Cadastro_Produtos!$A:$E,5,FALSE),0),"ABAIXO DO MINIMO","OK"))</f>
        <v/>
      </c>
    </row>
    <row r="2856">
      <c r="B2856">
        <f>IFERROR(VLOOKUP(A2856,Cadastro_Produtos!A:B,2,FALSE),"")</f>
        <v/>
      </c>
      <c r="D2856" s="12" t="n"/>
      <c r="E2856" s="13">
        <f>IF(D2856="","",D2856-TODAY())</f>
        <v/>
      </c>
      <c r="F2856">
        <f>IF(D2856="","",IF(E2856&lt;0,"VENCIDO",IF(E2856&lt;=30,"VENCE EM &lt;= 30 DIAS",IF(E2856&lt;=60,"ATENCAO (31-60 DIAS)","OK"))))</f>
        <v/>
      </c>
      <c r="G2856" s="13">
        <f>SUMIFS(Movimentacoes!$G:$G,Movimentacoes!$C:$C,$A2856,Movimentacoes!$E:$E,$C2856,Movimentacoes!$B:$B,"ENTRADA")</f>
        <v/>
      </c>
      <c r="H2856" s="13">
        <f>SUMIFS(Movimentacoes!$G:$G,Movimentacoes!$C:$C,$A2856,Movimentacoes!$E:$E,$C2856,Movimentacoes!$B:$B,"SAIDA_USO")</f>
        <v/>
      </c>
      <c r="I2856" s="13">
        <f>SUMIFS(Movimentacoes!$G:$G,Movimentacoes!$C:$C,$A2856,Movimentacoes!$E:$E,$C2856,Movimentacoes!$B:$B,"SAIDA_DESCARTE")</f>
        <v/>
      </c>
      <c r="J2856" s="13">
        <f>G2856-H2856-I2856</f>
        <v/>
      </c>
      <c r="K2856">
        <f>IF(A2856="","",IF(J2856&lt;=IFERROR(VLOOKUP(A2856,Cadastro_Produtos!$A:$E,5,FALSE),0),"ABAIXO DO MINIMO","OK"))</f>
        <v/>
      </c>
    </row>
    <row r="2857">
      <c r="B2857">
        <f>IFERROR(VLOOKUP(A2857,Cadastro_Produtos!A:B,2,FALSE),"")</f>
        <v/>
      </c>
      <c r="D2857" s="12" t="n"/>
      <c r="E2857" s="13">
        <f>IF(D2857="","",D2857-TODAY())</f>
        <v/>
      </c>
      <c r="F2857">
        <f>IF(D2857="","",IF(E2857&lt;0,"VENCIDO",IF(E2857&lt;=30,"VENCE EM &lt;= 30 DIAS",IF(E2857&lt;=60,"ATENCAO (31-60 DIAS)","OK"))))</f>
        <v/>
      </c>
      <c r="G2857" s="13">
        <f>SUMIFS(Movimentacoes!$G:$G,Movimentacoes!$C:$C,$A2857,Movimentacoes!$E:$E,$C2857,Movimentacoes!$B:$B,"ENTRADA")</f>
        <v/>
      </c>
      <c r="H2857" s="13">
        <f>SUMIFS(Movimentacoes!$G:$G,Movimentacoes!$C:$C,$A2857,Movimentacoes!$E:$E,$C2857,Movimentacoes!$B:$B,"SAIDA_USO")</f>
        <v/>
      </c>
      <c r="I2857" s="13">
        <f>SUMIFS(Movimentacoes!$G:$G,Movimentacoes!$C:$C,$A2857,Movimentacoes!$E:$E,$C2857,Movimentacoes!$B:$B,"SAIDA_DESCARTE")</f>
        <v/>
      </c>
      <c r="J2857" s="13">
        <f>G2857-H2857-I2857</f>
        <v/>
      </c>
      <c r="K2857">
        <f>IF(A2857="","",IF(J2857&lt;=IFERROR(VLOOKUP(A2857,Cadastro_Produtos!$A:$E,5,FALSE),0),"ABAIXO DO MINIMO","OK"))</f>
        <v/>
      </c>
    </row>
    <row r="2858">
      <c r="B2858">
        <f>IFERROR(VLOOKUP(A2858,Cadastro_Produtos!A:B,2,FALSE),"")</f>
        <v/>
      </c>
      <c r="D2858" s="12" t="n"/>
      <c r="E2858" s="13">
        <f>IF(D2858="","",D2858-TODAY())</f>
        <v/>
      </c>
      <c r="F2858">
        <f>IF(D2858="","",IF(E2858&lt;0,"VENCIDO",IF(E2858&lt;=30,"VENCE EM &lt;= 30 DIAS",IF(E2858&lt;=60,"ATENCAO (31-60 DIAS)","OK"))))</f>
        <v/>
      </c>
      <c r="G2858" s="13">
        <f>SUMIFS(Movimentacoes!$G:$G,Movimentacoes!$C:$C,$A2858,Movimentacoes!$E:$E,$C2858,Movimentacoes!$B:$B,"ENTRADA")</f>
        <v/>
      </c>
      <c r="H2858" s="13">
        <f>SUMIFS(Movimentacoes!$G:$G,Movimentacoes!$C:$C,$A2858,Movimentacoes!$E:$E,$C2858,Movimentacoes!$B:$B,"SAIDA_USO")</f>
        <v/>
      </c>
      <c r="I2858" s="13">
        <f>SUMIFS(Movimentacoes!$G:$G,Movimentacoes!$C:$C,$A2858,Movimentacoes!$E:$E,$C2858,Movimentacoes!$B:$B,"SAIDA_DESCARTE")</f>
        <v/>
      </c>
      <c r="J2858" s="13">
        <f>G2858-H2858-I2858</f>
        <v/>
      </c>
      <c r="K2858">
        <f>IF(A2858="","",IF(J2858&lt;=IFERROR(VLOOKUP(A2858,Cadastro_Produtos!$A:$E,5,FALSE),0),"ABAIXO DO MINIMO","OK"))</f>
        <v/>
      </c>
    </row>
    <row r="2859">
      <c r="B2859">
        <f>IFERROR(VLOOKUP(A2859,Cadastro_Produtos!A:B,2,FALSE),"")</f>
        <v/>
      </c>
      <c r="D2859" s="12" t="n"/>
      <c r="E2859" s="13">
        <f>IF(D2859="","",D2859-TODAY())</f>
        <v/>
      </c>
      <c r="F2859">
        <f>IF(D2859="","",IF(E2859&lt;0,"VENCIDO",IF(E2859&lt;=30,"VENCE EM &lt;= 30 DIAS",IF(E2859&lt;=60,"ATENCAO (31-60 DIAS)","OK"))))</f>
        <v/>
      </c>
      <c r="G2859" s="13">
        <f>SUMIFS(Movimentacoes!$G:$G,Movimentacoes!$C:$C,$A2859,Movimentacoes!$E:$E,$C2859,Movimentacoes!$B:$B,"ENTRADA")</f>
        <v/>
      </c>
      <c r="H2859" s="13">
        <f>SUMIFS(Movimentacoes!$G:$G,Movimentacoes!$C:$C,$A2859,Movimentacoes!$E:$E,$C2859,Movimentacoes!$B:$B,"SAIDA_USO")</f>
        <v/>
      </c>
      <c r="I2859" s="13">
        <f>SUMIFS(Movimentacoes!$G:$G,Movimentacoes!$C:$C,$A2859,Movimentacoes!$E:$E,$C2859,Movimentacoes!$B:$B,"SAIDA_DESCARTE")</f>
        <v/>
      </c>
      <c r="J2859" s="13">
        <f>G2859-H2859-I2859</f>
        <v/>
      </c>
      <c r="K2859">
        <f>IF(A2859="","",IF(J2859&lt;=IFERROR(VLOOKUP(A2859,Cadastro_Produtos!$A:$E,5,FALSE),0),"ABAIXO DO MINIMO","OK"))</f>
        <v/>
      </c>
    </row>
    <row r="2860">
      <c r="B2860">
        <f>IFERROR(VLOOKUP(A2860,Cadastro_Produtos!A:B,2,FALSE),"")</f>
        <v/>
      </c>
      <c r="D2860" s="12" t="n"/>
      <c r="E2860" s="13">
        <f>IF(D2860="","",D2860-TODAY())</f>
        <v/>
      </c>
      <c r="F2860">
        <f>IF(D2860="","",IF(E2860&lt;0,"VENCIDO",IF(E2860&lt;=30,"VENCE EM &lt;= 30 DIAS",IF(E2860&lt;=60,"ATENCAO (31-60 DIAS)","OK"))))</f>
        <v/>
      </c>
      <c r="G2860" s="13">
        <f>SUMIFS(Movimentacoes!$G:$G,Movimentacoes!$C:$C,$A2860,Movimentacoes!$E:$E,$C2860,Movimentacoes!$B:$B,"ENTRADA")</f>
        <v/>
      </c>
      <c r="H2860" s="13">
        <f>SUMIFS(Movimentacoes!$G:$G,Movimentacoes!$C:$C,$A2860,Movimentacoes!$E:$E,$C2860,Movimentacoes!$B:$B,"SAIDA_USO")</f>
        <v/>
      </c>
      <c r="I2860" s="13">
        <f>SUMIFS(Movimentacoes!$G:$G,Movimentacoes!$C:$C,$A2860,Movimentacoes!$E:$E,$C2860,Movimentacoes!$B:$B,"SAIDA_DESCARTE")</f>
        <v/>
      </c>
      <c r="J2860" s="13">
        <f>G2860-H2860-I2860</f>
        <v/>
      </c>
      <c r="K2860">
        <f>IF(A2860="","",IF(J2860&lt;=IFERROR(VLOOKUP(A2860,Cadastro_Produtos!$A:$E,5,FALSE),0),"ABAIXO DO MINIMO","OK"))</f>
        <v/>
      </c>
    </row>
    <row r="2861">
      <c r="B2861">
        <f>IFERROR(VLOOKUP(A2861,Cadastro_Produtos!A:B,2,FALSE),"")</f>
        <v/>
      </c>
      <c r="D2861" s="12" t="n"/>
      <c r="E2861" s="13">
        <f>IF(D2861="","",D2861-TODAY())</f>
        <v/>
      </c>
      <c r="F2861">
        <f>IF(D2861="","",IF(E2861&lt;0,"VENCIDO",IF(E2861&lt;=30,"VENCE EM &lt;= 30 DIAS",IF(E2861&lt;=60,"ATENCAO (31-60 DIAS)","OK"))))</f>
        <v/>
      </c>
      <c r="G2861" s="13">
        <f>SUMIFS(Movimentacoes!$G:$G,Movimentacoes!$C:$C,$A2861,Movimentacoes!$E:$E,$C2861,Movimentacoes!$B:$B,"ENTRADA")</f>
        <v/>
      </c>
      <c r="H2861" s="13">
        <f>SUMIFS(Movimentacoes!$G:$G,Movimentacoes!$C:$C,$A2861,Movimentacoes!$E:$E,$C2861,Movimentacoes!$B:$B,"SAIDA_USO")</f>
        <v/>
      </c>
      <c r="I2861" s="13">
        <f>SUMIFS(Movimentacoes!$G:$G,Movimentacoes!$C:$C,$A2861,Movimentacoes!$E:$E,$C2861,Movimentacoes!$B:$B,"SAIDA_DESCARTE")</f>
        <v/>
      </c>
      <c r="J2861" s="13">
        <f>G2861-H2861-I2861</f>
        <v/>
      </c>
      <c r="K2861">
        <f>IF(A2861="","",IF(J2861&lt;=IFERROR(VLOOKUP(A2861,Cadastro_Produtos!$A:$E,5,FALSE),0),"ABAIXO DO MINIMO","OK"))</f>
        <v/>
      </c>
    </row>
    <row r="2862">
      <c r="B2862">
        <f>IFERROR(VLOOKUP(A2862,Cadastro_Produtos!A:B,2,FALSE),"")</f>
        <v/>
      </c>
      <c r="D2862" s="12" t="n"/>
      <c r="E2862" s="13">
        <f>IF(D2862="","",D2862-TODAY())</f>
        <v/>
      </c>
      <c r="F2862">
        <f>IF(D2862="","",IF(E2862&lt;0,"VENCIDO",IF(E2862&lt;=30,"VENCE EM &lt;= 30 DIAS",IF(E2862&lt;=60,"ATENCAO (31-60 DIAS)","OK"))))</f>
        <v/>
      </c>
      <c r="G2862" s="13">
        <f>SUMIFS(Movimentacoes!$G:$G,Movimentacoes!$C:$C,$A2862,Movimentacoes!$E:$E,$C2862,Movimentacoes!$B:$B,"ENTRADA")</f>
        <v/>
      </c>
      <c r="H2862" s="13">
        <f>SUMIFS(Movimentacoes!$G:$G,Movimentacoes!$C:$C,$A2862,Movimentacoes!$E:$E,$C2862,Movimentacoes!$B:$B,"SAIDA_USO")</f>
        <v/>
      </c>
      <c r="I2862" s="13">
        <f>SUMIFS(Movimentacoes!$G:$G,Movimentacoes!$C:$C,$A2862,Movimentacoes!$E:$E,$C2862,Movimentacoes!$B:$B,"SAIDA_DESCARTE")</f>
        <v/>
      </c>
      <c r="J2862" s="13">
        <f>G2862-H2862-I2862</f>
        <v/>
      </c>
      <c r="K2862">
        <f>IF(A2862="","",IF(J2862&lt;=IFERROR(VLOOKUP(A2862,Cadastro_Produtos!$A:$E,5,FALSE),0),"ABAIXO DO MINIMO","OK"))</f>
        <v/>
      </c>
    </row>
    <row r="2863">
      <c r="B2863">
        <f>IFERROR(VLOOKUP(A2863,Cadastro_Produtos!A:B,2,FALSE),"")</f>
        <v/>
      </c>
      <c r="D2863" s="12" t="n"/>
      <c r="E2863" s="13">
        <f>IF(D2863="","",D2863-TODAY())</f>
        <v/>
      </c>
      <c r="F2863">
        <f>IF(D2863="","",IF(E2863&lt;0,"VENCIDO",IF(E2863&lt;=30,"VENCE EM &lt;= 30 DIAS",IF(E2863&lt;=60,"ATENCAO (31-60 DIAS)","OK"))))</f>
        <v/>
      </c>
      <c r="G2863" s="13">
        <f>SUMIFS(Movimentacoes!$G:$G,Movimentacoes!$C:$C,$A2863,Movimentacoes!$E:$E,$C2863,Movimentacoes!$B:$B,"ENTRADA")</f>
        <v/>
      </c>
      <c r="H2863" s="13">
        <f>SUMIFS(Movimentacoes!$G:$G,Movimentacoes!$C:$C,$A2863,Movimentacoes!$E:$E,$C2863,Movimentacoes!$B:$B,"SAIDA_USO")</f>
        <v/>
      </c>
      <c r="I2863" s="13">
        <f>SUMIFS(Movimentacoes!$G:$G,Movimentacoes!$C:$C,$A2863,Movimentacoes!$E:$E,$C2863,Movimentacoes!$B:$B,"SAIDA_DESCARTE")</f>
        <v/>
      </c>
      <c r="J2863" s="13">
        <f>G2863-H2863-I2863</f>
        <v/>
      </c>
      <c r="K2863">
        <f>IF(A2863="","",IF(J2863&lt;=IFERROR(VLOOKUP(A2863,Cadastro_Produtos!$A:$E,5,FALSE),0),"ABAIXO DO MINIMO","OK"))</f>
        <v/>
      </c>
    </row>
    <row r="2864">
      <c r="B2864">
        <f>IFERROR(VLOOKUP(A2864,Cadastro_Produtos!A:B,2,FALSE),"")</f>
        <v/>
      </c>
      <c r="D2864" s="12" t="n"/>
      <c r="E2864" s="13">
        <f>IF(D2864="","",D2864-TODAY())</f>
        <v/>
      </c>
      <c r="F2864">
        <f>IF(D2864="","",IF(E2864&lt;0,"VENCIDO",IF(E2864&lt;=30,"VENCE EM &lt;= 30 DIAS",IF(E2864&lt;=60,"ATENCAO (31-60 DIAS)","OK"))))</f>
        <v/>
      </c>
      <c r="G2864" s="13">
        <f>SUMIFS(Movimentacoes!$G:$G,Movimentacoes!$C:$C,$A2864,Movimentacoes!$E:$E,$C2864,Movimentacoes!$B:$B,"ENTRADA")</f>
        <v/>
      </c>
      <c r="H2864" s="13">
        <f>SUMIFS(Movimentacoes!$G:$G,Movimentacoes!$C:$C,$A2864,Movimentacoes!$E:$E,$C2864,Movimentacoes!$B:$B,"SAIDA_USO")</f>
        <v/>
      </c>
      <c r="I2864" s="13">
        <f>SUMIFS(Movimentacoes!$G:$G,Movimentacoes!$C:$C,$A2864,Movimentacoes!$E:$E,$C2864,Movimentacoes!$B:$B,"SAIDA_DESCARTE")</f>
        <v/>
      </c>
      <c r="J2864" s="13">
        <f>G2864-H2864-I2864</f>
        <v/>
      </c>
      <c r="K2864">
        <f>IF(A2864="","",IF(J2864&lt;=IFERROR(VLOOKUP(A2864,Cadastro_Produtos!$A:$E,5,FALSE),0),"ABAIXO DO MINIMO","OK"))</f>
        <v/>
      </c>
    </row>
    <row r="2865">
      <c r="B2865">
        <f>IFERROR(VLOOKUP(A2865,Cadastro_Produtos!A:B,2,FALSE),"")</f>
        <v/>
      </c>
      <c r="D2865" s="12" t="n"/>
      <c r="E2865" s="13">
        <f>IF(D2865="","",D2865-TODAY())</f>
        <v/>
      </c>
      <c r="F2865">
        <f>IF(D2865="","",IF(E2865&lt;0,"VENCIDO",IF(E2865&lt;=30,"VENCE EM &lt;= 30 DIAS",IF(E2865&lt;=60,"ATENCAO (31-60 DIAS)","OK"))))</f>
        <v/>
      </c>
      <c r="G2865" s="13">
        <f>SUMIFS(Movimentacoes!$G:$G,Movimentacoes!$C:$C,$A2865,Movimentacoes!$E:$E,$C2865,Movimentacoes!$B:$B,"ENTRADA")</f>
        <v/>
      </c>
      <c r="H2865" s="13">
        <f>SUMIFS(Movimentacoes!$G:$G,Movimentacoes!$C:$C,$A2865,Movimentacoes!$E:$E,$C2865,Movimentacoes!$B:$B,"SAIDA_USO")</f>
        <v/>
      </c>
      <c r="I2865" s="13">
        <f>SUMIFS(Movimentacoes!$G:$G,Movimentacoes!$C:$C,$A2865,Movimentacoes!$E:$E,$C2865,Movimentacoes!$B:$B,"SAIDA_DESCARTE")</f>
        <v/>
      </c>
      <c r="J2865" s="13">
        <f>G2865-H2865-I2865</f>
        <v/>
      </c>
      <c r="K2865">
        <f>IF(A2865="","",IF(J2865&lt;=IFERROR(VLOOKUP(A2865,Cadastro_Produtos!$A:$E,5,FALSE),0),"ABAIXO DO MINIMO","OK"))</f>
        <v/>
      </c>
    </row>
    <row r="2866">
      <c r="B2866">
        <f>IFERROR(VLOOKUP(A2866,Cadastro_Produtos!A:B,2,FALSE),"")</f>
        <v/>
      </c>
      <c r="D2866" s="12" t="n"/>
      <c r="E2866" s="13">
        <f>IF(D2866="","",D2866-TODAY())</f>
        <v/>
      </c>
      <c r="F2866">
        <f>IF(D2866="","",IF(E2866&lt;0,"VENCIDO",IF(E2866&lt;=30,"VENCE EM &lt;= 30 DIAS",IF(E2866&lt;=60,"ATENCAO (31-60 DIAS)","OK"))))</f>
        <v/>
      </c>
      <c r="G2866" s="13">
        <f>SUMIFS(Movimentacoes!$G:$G,Movimentacoes!$C:$C,$A2866,Movimentacoes!$E:$E,$C2866,Movimentacoes!$B:$B,"ENTRADA")</f>
        <v/>
      </c>
      <c r="H2866" s="13">
        <f>SUMIFS(Movimentacoes!$G:$G,Movimentacoes!$C:$C,$A2866,Movimentacoes!$E:$E,$C2866,Movimentacoes!$B:$B,"SAIDA_USO")</f>
        <v/>
      </c>
      <c r="I2866" s="13">
        <f>SUMIFS(Movimentacoes!$G:$G,Movimentacoes!$C:$C,$A2866,Movimentacoes!$E:$E,$C2866,Movimentacoes!$B:$B,"SAIDA_DESCARTE")</f>
        <v/>
      </c>
      <c r="J2866" s="13">
        <f>G2866-H2866-I2866</f>
        <v/>
      </c>
      <c r="K2866">
        <f>IF(A2866="","",IF(J2866&lt;=IFERROR(VLOOKUP(A2866,Cadastro_Produtos!$A:$E,5,FALSE),0),"ABAIXO DO MINIMO","OK"))</f>
        <v/>
      </c>
    </row>
    <row r="2867">
      <c r="B2867">
        <f>IFERROR(VLOOKUP(A2867,Cadastro_Produtos!A:B,2,FALSE),"")</f>
        <v/>
      </c>
      <c r="D2867" s="12" t="n"/>
      <c r="E2867" s="13">
        <f>IF(D2867="","",D2867-TODAY())</f>
        <v/>
      </c>
      <c r="F2867">
        <f>IF(D2867="","",IF(E2867&lt;0,"VENCIDO",IF(E2867&lt;=30,"VENCE EM &lt;= 30 DIAS",IF(E2867&lt;=60,"ATENCAO (31-60 DIAS)","OK"))))</f>
        <v/>
      </c>
      <c r="G2867" s="13">
        <f>SUMIFS(Movimentacoes!$G:$G,Movimentacoes!$C:$C,$A2867,Movimentacoes!$E:$E,$C2867,Movimentacoes!$B:$B,"ENTRADA")</f>
        <v/>
      </c>
      <c r="H2867" s="13">
        <f>SUMIFS(Movimentacoes!$G:$G,Movimentacoes!$C:$C,$A2867,Movimentacoes!$E:$E,$C2867,Movimentacoes!$B:$B,"SAIDA_USO")</f>
        <v/>
      </c>
      <c r="I2867" s="13">
        <f>SUMIFS(Movimentacoes!$G:$G,Movimentacoes!$C:$C,$A2867,Movimentacoes!$E:$E,$C2867,Movimentacoes!$B:$B,"SAIDA_DESCARTE")</f>
        <v/>
      </c>
      <c r="J2867" s="13">
        <f>G2867-H2867-I2867</f>
        <v/>
      </c>
      <c r="K2867">
        <f>IF(A2867="","",IF(J2867&lt;=IFERROR(VLOOKUP(A2867,Cadastro_Produtos!$A:$E,5,FALSE),0),"ABAIXO DO MINIMO","OK"))</f>
        <v/>
      </c>
    </row>
    <row r="2868">
      <c r="B2868">
        <f>IFERROR(VLOOKUP(A2868,Cadastro_Produtos!A:B,2,FALSE),"")</f>
        <v/>
      </c>
      <c r="D2868" s="12" t="n"/>
      <c r="E2868" s="13">
        <f>IF(D2868="","",D2868-TODAY())</f>
        <v/>
      </c>
      <c r="F2868">
        <f>IF(D2868="","",IF(E2868&lt;0,"VENCIDO",IF(E2868&lt;=30,"VENCE EM &lt;= 30 DIAS",IF(E2868&lt;=60,"ATENCAO (31-60 DIAS)","OK"))))</f>
        <v/>
      </c>
      <c r="G2868" s="13">
        <f>SUMIFS(Movimentacoes!$G:$G,Movimentacoes!$C:$C,$A2868,Movimentacoes!$E:$E,$C2868,Movimentacoes!$B:$B,"ENTRADA")</f>
        <v/>
      </c>
      <c r="H2868" s="13">
        <f>SUMIFS(Movimentacoes!$G:$G,Movimentacoes!$C:$C,$A2868,Movimentacoes!$E:$E,$C2868,Movimentacoes!$B:$B,"SAIDA_USO")</f>
        <v/>
      </c>
      <c r="I2868" s="13">
        <f>SUMIFS(Movimentacoes!$G:$G,Movimentacoes!$C:$C,$A2868,Movimentacoes!$E:$E,$C2868,Movimentacoes!$B:$B,"SAIDA_DESCARTE")</f>
        <v/>
      </c>
      <c r="J2868" s="13">
        <f>G2868-H2868-I2868</f>
        <v/>
      </c>
      <c r="K2868">
        <f>IF(A2868="","",IF(J2868&lt;=IFERROR(VLOOKUP(A2868,Cadastro_Produtos!$A:$E,5,FALSE),0),"ABAIXO DO MINIMO","OK"))</f>
        <v/>
      </c>
    </row>
    <row r="2869">
      <c r="B2869">
        <f>IFERROR(VLOOKUP(A2869,Cadastro_Produtos!A:B,2,FALSE),"")</f>
        <v/>
      </c>
      <c r="D2869" s="12" t="n"/>
      <c r="E2869" s="13">
        <f>IF(D2869="","",D2869-TODAY())</f>
        <v/>
      </c>
      <c r="F2869">
        <f>IF(D2869="","",IF(E2869&lt;0,"VENCIDO",IF(E2869&lt;=30,"VENCE EM &lt;= 30 DIAS",IF(E2869&lt;=60,"ATENCAO (31-60 DIAS)","OK"))))</f>
        <v/>
      </c>
      <c r="G2869" s="13">
        <f>SUMIFS(Movimentacoes!$G:$G,Movimentacoes!$C:$C,$A2869,Movimentacoes!$E:$E,$C2869,Movimentacoes!$B:$B,"ENTRADA")</f>
        <v/>
      </c>
      <c r="H2869" s="13">
        <f>SUMIFS(Movimentacoes!$G:$G,Movimentacoes!$C:$C,$A2869,Movimentacoes!$E:$E,$C2869,Movimentacoes!$B:$B,"SAIDA_USO")</f>
        <v/>
      </c>
      <c r="I2869" s="13">
        <f>SUMIFS(Movimentacoes!$G:$G,Movimentacoes!$C:$C,$A2869,Movimentacoes!$E:$E,$C2869,Movimentacoes!$B:$B,"SAIDA_DESCARTE")</f>
        <v/>
      </c>
      <c r="J2869" s="13">
        <f>G2869-H2869-I2869</f>
        <v/>
      </c>
      <c r="K2869">
        <f>IF(A2869="","",IF(J2869&lt;=IFERROR(VLOOKUP(A2869,Cadastro_Produtos!$A:$E,5,FALSE),0),"ABAIXO DO MINIMO","OK"))</f>
        <v/>
      </c>
    </row>
    <row r="2870">
      <c r="B2870">
        <f>IFERROR(VLOOKUP(A2870,Cadastro_Produtos!A:B,2,FALSE),"")</f>
        <v/>
      </c>
      <c r="D2870" s="12" t="n"/>
      <c r="E2870" s="13">
        <f>IF(D2870="","",D2870-TODAY())</f>
        <v/>
      </c>
      <c r="F2870">
        <f>IF(D2870="","",IF(E2870&lt;0,"VENCIDO",IF(E2870&lt;=30,"VENCE EM &lt;= 30 DIAS",IF(E2870&lt;=60,"ATENCAO (31-60 DIAS)","OK"))))</f>
        <v/>
      </c>
      <c r="G2870" s="13">
        <f>SUMIFS(Movimentacoes!$G:$G,Movimentacoes!$C:$C,$A2870,Movimentacoes!$E:$E,$C2870,Movimentacoes!$B:$B,"ENTRADA")</f>
        <v/>
      </c>
      <c r="H2870" s="13">
        <f>SUMIFS(Movimentacoes!$G:$G,Movimentacoes!$C:$C,$A2870,Movimentacoes!$E:$E,$C2870,Movimentacoes!$B:$B,"SAIDA_USO")</f>
        <v/>
      </c>
      <c r="I2870" s="13">
        <f>SUMIFS(Movimentacoes!$G:$G,Movimentacoes!$C:$C,$A2870,Movimentacoes!$E:$E,$C2870,Movimentacoes!$B:$B,"SAIDA_DESCARTE")</f>
        <v/>
      </c>
      <c r="J2870" s="13">
        <f>G2870-H2870-I2870</f>
        <v/>
      </c>
      <c r="K2870">
        <f>IF(A2870="","",IF(J2870&lt;=IFERROR(VLOOKUP(A2870,Cadastro_Produtos!$A:$E,5,FALSE),0),"ABAIXO DO MINIMO","OK"))</f>
        <v/>
      </c>
    </row>
    <row r="2871">
      <c r="B2871">
        <f>IFERROR(VLOOKUP(A2871,Cadastro_Produtos!A:B,2,FALSE),"")</f>
        <v/>
      </c>
      <c r="D2871" s="12" t="n"/>
      <c r="E2871" s="13">
        <f>IF(D2871="","",D2871-TODAY())</f>
        <v/>
      </c>
      <c r="F2871">
        <f>IF(D2871="","",IF(E2871&lt;0,"VENCIDO",IF(E2871&lt;=30,"VENCE EM &lt;= 30 DIAS",IF(E2871&lt;=60,"ATENCAO (31-60 DIAS)","OK"))))</f>
        <v/>
      </c>
      <c r="G2871" s="13">
        <f>SUMIFS(Movimentacoes!$G:$G,Movimentacoes!$C:$C,$A2871,Movimentacoes!$E:$E,$C2871,Movimentacoes!$B:$B,"ENTRADA")</f>
        <v/>
      </c>
      <c r="H2871" s="13">
        <f>SUMIFS(Movimentacoes!$G:$G,Movimentacoes!$C:$C,$A2871,Movimentacoes!$E:$E,$C2871,Movimentacoes!$B:$B,"SAIDA_USO")</f>
        <v/>
      </c>
      <c r="I2871" s="13">
        <f>SUMIFS(Movimentacoes!$G:$G,Movimentacoes!$C:$C,$A2871,Movimentacoes!$E:$E,$C2871,Movimentacoes!$B:$B,"SAIDA_DESCARTE")</f>
        <v/>
      </c>
      <c r="J2871" s="13">
        <f>G2871-H2871-I2871</f>
        <v/>
      </c>
      <c r="K2871">
        <f>IF(A2871="","",IF(J2871&lt;=IFERROR(VLOOKUP(A2871,Cadastro_Produtos!$A:$E,5,FALSE),0),"ABAIXO DO MINIMO","OK"))</f>
        <v/>
      </c>
    </row>
    <row r="2872">
      <c r="B2872">
        <f>IFERROR(VLOOKUP(A2872,Cadastro_Produtos!A:B,2,FALSE),"")</f>
        <v/>
      </c>
      <c r="D2872" s="12" t="n"/>
      <c r="E2872" s="13">
        <f>IF(D2872="","",D2872-TODAY())</f>
        <v/>
      </c>
      <c r="F2872">
        <f>IF(D2872="","",IF(E2872&lt;0,"VENCIDO",IF(E2872&lt;=30,"VENCE EM &lt;= 30 DIAS",IF(E2872&lt;=60,"ATENCAO (31-60 DIAS)","OK"))))</f>
        <v/>
      </c>
      <c r="G2872" s="13">
        <f>SUMIFS(Movimentacoes!$G:$G,Movimentacoes!$C:$C,$A2872,Movimentacoes!$E:$E,$C2872,Movimentacoes!$B:$B,"ENTRADA")</f>
        <v/>
      </c>
      <c r="H2872" s="13">
        <f>SUMIFS(Movimentacoes!$G:$G,Movimentacoes!$C:$C,$A2872,Movimentacoes!$E:$E,$C2872,Movimentacoes!$B:$B,"SAIDA_USO")</f>
        <v/>
      </c>
      <c r="I2872" s="13">
        <f>SUMIFS(Movimentacoes!$G:$G,Movimentacoes!$C:$C,$A2872,Movimentacoes!$E:$E,$C2872,Movimentacoes!$B:$B,"SAIDA_DESCARTE")</f>
        <v/>
      </c>
      <c r="J2872" s="13">
        <f>G2872-H2872-I2872</f>
        <v/>
      </c>
      <c r="K2872">
        <f>IF(A2872="","",IF(J2872&lt;=IFERROR(VLOOKUP(A2872,Cadastro_Produtos!$A:$E,5,FALSE),0),"ABAIXO DO MINIMO","OK"))</f>
        <v/>
      </c>
    </row>
    <row r="2873">
      <c r="B2873">
        <f>IFERROR(VLOOKUP(A2873,Cadastro_Produtos!A:B,2,FALSE),"")</f>
        <v/>
      </c>
      <c r="D2873" s="12" t="n"/>
      <c r="E2873" s="13">
        <f>IF(D2873="","",D2873-TODAY())</f>
        <v/>
      </c>
      <c r="F2873">
        <f>IF(D2873="","",IF(E2873&lt;0,"VENCIDO",IF(E2873&lt;=30,"VENCE EM &lt;= 30 DIAS",IF(E2873&lt;=60,"ATENCAO (31-60 DIAS)","OK"))))</f>
        <v/>
      </c>
      <c r="G2873" s="13">
        <f>SUMIFS(Movimentacoes!$G:$G,Movimentacoes!$C:$C,$A2873,Movimentacoes!$E:$E,$C2873,Movimentacoes!$B:$B,"ENTRADA")</f>
        <v/>
      </c>
      <c r="H2873" s="13">
        <f>SUMIFS(Movimentacoes!$G:$G,Movimentacoes!$C:$C,$A2873,Movimentacoes!$E:$E,$C2873,Movimentacoes!$B:$B,"SAIDA_USO")</f>
        <v/>
      </c>
      <c r="I2873" s="13">
        <f>SUMIFS(Movimentacoes!$G:$G,Movimentacoes!$C:$C,$A2873,Movimentacoes!$E:$E,$C2873,Movimentacoes!$B:$B,"SAIDA_DESCARTE")</f>
        <v/>
      </c>
      <c r="J2873" s="13">
        <f>G2873-H2873-I2873</f>
        <v/>
      </c>
      <c r="K2873">
        <f>IF(A2873="","",IF(J2873&lt;=IFERROR(VLOOKUP(A2873,Cadastro_Produtos!$A:$E,5,FALSE),0),"ABAIXO DO MINIMO","OK"))</f>
        <v/>
      </c>
    </row>
    <row r="2874">
      <c r="B2874">
        <f>IFERROR(VLOOKUP(A2874,Cadastro_Produtos!A:B,2,FALSE),"")</f>
        <v/>
      </c>
      <c r="D2874" s="12" t="n"/>
      <c r="E2874" s="13">
        <f>IF(D2874="","",D2874-TODAY())</f>
        <v/>
      </c>
      <c r="F2874">
        <f>IF(D2874="","",IF(E2874&lt;0,"VENCIDO",IF(E2874&lt;=30,"VENCE EM &lt;= 30 DIAS",IF(E2874&lt;=60,"ATENCAO (31-60 DIAS)","OK"))))</f>
        <v/>
      </c>
      <c r="G2874" s="13">
        <f>SUMIFS(Movimentacoes!$G:$G,Movimentacoes!$C:$C,$A2874,Movimentacoes!$E:$E,$C2874,Movimentacoes!$B:$B,"ENTRADA")</f>
        <v/>
      </c>
      <c r="H2874" s="13">
        <f>SUMIFS(Movimentacoes!$G:$G,Movimentacoes!$C:$C,$A2874,Movimentacoes!$E:$E,$C2874,Movimentacoes!$B:$B,"SAIDA_USO")</f>
        <v/>
      </c>
      <c r="I2874" s="13">
        <f>SUMIFS(Movimentacoes!$G:$G,Movimentacoes!$C:$C,$A2874,Movimentacoes!$E:$E,$C2874,Movimentacoes!$B:$B,"SAIDA_DESCARTE")</f>
        <v/>
      </c>
      <c r="J2874" s="13">
        <f>G2874-H2874-I2874</f>
        <v/>
      </c>
      <c r="K2874">
        <f>IF(A2874="","",IF(J2874&lt;=IFERROR(VLOOKUP(A2874,Cadastro_Produtos!$A:$E,5,FALSE),0),"ABAIXO DO MINIMO","OK"))</f>
        <v/>
      </c>
    </row>
    <row r="2875">
      <c r="B2875">
        <f>IFERROR(VLOOKUP(A2875,Cadastro_Produtos!A:B,2,FALSE),"")</f>
        <v/>
      </c>
      <c r="D2875" s="12" t="n"/>
      <c r="E2875" s="13">
        <f>IF(D2875="","",D2875-TODAY())</f>
        <v/>
      </c>
      <c r="F2875">
        <f>IF(D2875="","",IF(E2875&lt;0,"VENCIDO",IF(E2875&lt;=30,"VENCE EM &lt;= 30 DIAS",IF(E2875&lt;=60,"ATENCAO (31-60 DIAS)","OK"))))</f>
        <v/>
      </c>
      <c r="G2875" s="13">
        <f>SUMIFS(Movimentacoes!$G:$G,Movimentacoes!$C:$C,$A2875,Movimentacoes!$E:$E,$C2875,Movimentacoes!$B:$B,"ENTRADA")</f>
        <v/>
      </c>
      <c r="H2875" s="13">
        <f>SUMIFS(Movimentacoes!$G:$G,Movimentacoes!$C:$C,$A2875,Movimentacoes!$E:$E,$C2875,Movimentacoes!$B:$B,"SAIDA_USO")</f>
        <v/>
      </c>
      <c r="I2875" s="13">
        <f>SUMIFS(Movimentacoes!$G:$G,Movimentacoes!$C:$C,$A2875,Movimentacoes!$E:$E,$C2875,Movimentacoes!$B:$B,"SAIDA_DESCARTE")</f>
        <v/>
      </c>
      <c r="J2875" s="13">
        <f>G2875-H2875-I2875</f>
        <v/>
      </c>
      <c r="K2875">
        <f>IF(A2875="","",IF(J2875&lt;=IFERROR(VLOOKUP(A2875,Cadastro_Produtos!$A:$E,5,FALSE),0),"ABAIXO DO MINIMO","OK"))</f>
        <v/>
      </c>
    </row>
    <row r="2876">
      <c r="B2876">
        <f>IFERROR(VLOOKUP(A2876,Cadastro_Produtos!A:B,2,FALSE),"")</f>
        <v/>
      </c>
      <c r="D2876" s="12" t="n"/>
      <c r="E2876" s="13">
        <f>IF(D2876="","",D2876-TODAY())</f>
        <v/>
      </c>
      <c r="F2876">
        <f>IF(D2876="","",IF(E2876&lt;0,"VENCIDO",IF(E2876&lt;=30,"VENCE EM &lt;= 30 DIAS",IF(E2876&lt;=60,"ATENCAO (31-60 DIAS)","OK"))))</f>
        <v/>
      </c>
      <c r="G2876" s="13">
        <f>SUMIFS(Movimentacoes!$G:$G,Movimentacoes!$C:$C,$A2876,Movimentacoes!$E:$E,$C2876,Movimentacoes!$B:$B,"ENTRADA")</f>
        <v/>
      </c>
      <c r="H2876" s="13">
        <f>SUMIFS(Movimentacoes!$G:$G,Movimentacoes!$C:$C,$A2876,Movimentacoes!$E:$E,$C2876,Movimentacoes!$B:$B,"SAIDA_USO")</f>
        <v/>
      </c>
      <c r="I2876" s="13">
        <f>SUMIFS(Movimentacoes!$G:$G,Movimentacoes!$C:$C,$A2876,Movimentacoes!$E:$E,$C2876,Movimentacoes!$B:$B,"SAIDA_DESCARTE")</f>
        <v/>
      </c>
      <c r="J2876" s="13">
        <f>G2876-H2876-I2876</f>
        <v/>
      </c>
      <c r="K2876">
        <f>IF(A2876="","",IF(J2876&lt;=IFERROR(VLOOKUP(A2876,Cadastro_Produtos!$A:$E,5,FALSE),0),"ABAIXO DO MINIMO","OK"))</f>
        <v/>
      </c>
    </row>
    <row r="2877">
      <c r="B2877">
        <f>IFERROR(VLOOKUP(A2877,Cadastro_Produtos!A:B,2,FALSE),"")</f>
        <v/>
      </c>
      <c r="D2877" s="12" t="n"/>
      <c r="E2877" s="13">
        <f>IF(D2877="","",D2877-TODAY())</f>
        <v/>
      </c>
      <c r="F2877">
        <f>IF(D2877="","",IF(E2877&lt;0,"VENCIDO",IF(E2877&lt;=30,"VENCE EM &lt;= 30 DIAS",IF(E2877&lt;=60,"ATENCAO (31-60 DIAS)","OK"))))</f>
        <v/>
      </c>
      <c r="G2877" s="13">
        <f>SUMIFS(Movimentacoes!$G:$G,Movimentacoes!$C:$C,$A2877,Movimentacoes!$E:$E,$C2877,Movimentacoes!$B:$B,"ENTRADA")</f>
        <v/>
      </c>
      <c r="H2877" s="13">
        <f>SUMIFS(Movimentacoes!$G:$G,Movimentacoes!$C:$C,$A2877,Movimentacoes!$E:$E,$C2877,Movimentacoes!$B:$B,"SAIDA_USO")</f>
        <v/>
      </c>
      <c r="I2877" s="13">
        <f>SUMIFS(Movimentacoes!$G:$G,Movimentacoes!$C:$C,$A2877,Movimentacoes!$E:$E,$C2877,Movimentacoes!$B:$B,"SAIDA_DESCARTE")</f>
        <v/>
      </c>
      <c r="J2877" s="13">
        <f>G2877-H2877-I2877</f>
        <v/>
      </c>
      <c r="K2877">
        <f>IF(A2877="","",IF(J2877&lt;=IFERROR(VLOOKUP(A2877,Cadastro_Produtos!$A:$E,5,FALSE),0),"ABAIXO DO MINIMO","OK"))</f>
        <v/>
      </c>
    </row>
    <row r="2878">
      <c r="B2878">
        <f>IFERROR(VLOOKUP(A2878,Cadastro_Produtos!A:B,2,FALSE),"")</f>
        <v/>
      </c>
      <c r="D2878" s="12" t="n"/>
      <c r="E2878" s="13">
        <f>IF(D2878="","",D2878-TODAY())</f>
        <v/>
      </c>
      <c r="F2878">
        <f>IF(D2878="","",IF(E2878&lt;0,"VENCIDO",IF(E2878&lt;=30,"VENCE EM &lt;= 30 DIAS",IF(E2878&lt;=60,"ATENCAO (31-60 DIAS)","OK"))))</f>
        <v/>
      </c>
      <c r="G2878" s="13">
        <f>SUMIFS(Movimentacoes!$G:$G,Movimentacoes!$C:$C,$A2878,Movimentacoes!$E:$E,$C2878,Movimentacoes!$B:$B,"ENTRADA")</f>
        <v/>
      </c>
      <c r="H2878" s="13">
        <f>SUMIFS(Movimentacoes!$G:$G,Movimentacoes!$C:$C,$A2878,Movimentacoes!$E:$E,$C2878,Movimentacoes!$B:$B,"SAIDA_USO")</f>
        <v/>
      </c>
      <c r="I2878" s="13">
        <f>SUMIFS(Movimentacoes!$G:$G,Movimentacoes!$C:$C,$A2878,Movimentacoes!$E:$E,$C2878,Movimentacoes!$B:$B,"SAIDA_DESCARTE")</f>
        <v/>
      </c>
      <c r="J2878" s="13">
        <f>G2878-H2878-I2878</f>
        <v/>
      </c>
      <c r="K2878">
        <f>IF(A2878="","",IF(J2878&lt;=IFERROR(VLOOKUP(A2878,Cadastro_Produtos!$A:$E,5,FALSE),0),"ABAIXO DO MINIMO","OK"))</f>
        <v/>
      </c>
    </row>
    <row r="2879">
      <c r="B2879">
        <f>IFERROR(VLOOKUP(A2879,Cadastro_Produtos!A:B,2,FALSE),"")</f>
        <v/>
      </c>
      <c r="D2879" s="12" t="n"/>
      <c r="E2879" s="13">
        <f>IF(D2879="","",D2879-TODAY())</f>
        <v/>
      </c>
      <c r="F2879">
        <f>IF(D2879="","",IF(E2879&lt;0,"VENCIDO",IF(E2879&lt;=30,"VENCE EM &lt;= 30 DIAS",IF(E2879&lt;=60,"ATENCAO (31-60 DIAS)","OK"))))</f>
        <v/>
      </c>
      <c r="G2879" s="13">
        <f>SUMIFS(Movimentacoes!$G:$G,Movimentacoes!$C:$C,$A2879,Movimentacoes!$E:$E,$C2879,Movimentacoes!$B:$B,"ENTRADA")</f>
        <v/>
      </c>
      <c r="H2879" s="13">
        <f>SUMIFS(Movimentacoes!$G:$G,Movimentacoes!$C:$C,$A2879,Movimentacoes!$E:$E,$C2879,Movimentacoes!$B:$B,"SAIDA_USO")</f>
        <v/>
      </c>
      <c r="I2879" s="13">
        <f>SUMIFS(Movimentacoes!$G:$G,Movimentacoes!$C:$C,$A2879,Movimentacoes!$E:$E,$C2879,Movimentacoes!$B:$B,"SAIDA_DESCARTE")</f>
        <v/>
      </c>
      <c r="J2879" s="13">
        <f>G2879-H2879-I2879</f>
        <v/>
      </c>
      <c r="K2879">
        <f>IF(A2879="","",IF(J2879&lt;=IFERROR(VLOOKUP(A2879,Cadastro_Produtos!$A:$E,5,FALSE),0),"ABAIXO DO MINIMO","OK"))</f>
        <v/>
      </c>
    </row>
    <row r="2880">
      <c r="B2880">
        <f>IFERROR(VLOOKUP(A2880,Cadastro_Produtos!A:B,2,FALSE),"")</f>
        <v/>
      </c>
      <c r="D2880" s="12" t="n"/>
      <c r="E2880" s="13">
        <f>IF(D2880="","",D2880-TODAY())</f>
        <v/>
      </c>
      <c r="F2880">
        <f>IF(D2880="","",IF(E2880&lt;0,"VENCIDO",IF(E2880&lt;=30,"VENCE EM &lt;= 30 DIAS",IF(E2880&lt;=60,"ATENCAO (31-60 DIAS)","OK"))))</f>
        <v/>
      </c>
      <c r="G2880" s="13">
        <f>SUMIFS(Movimentacoes!$G:$G,Movimentacoes!$C:$C,$A2880,Movimentacoes!$E:$E,$C2880,Movimentacoes!$B:$B,"ENTRADA")</f>
        <v/>
      </c>
      <c r="H2880" s="13">
        <f>SUMIFS(Movimentacoes!$G:$G,Movimentacoes!$C:$C,$A2880,Movimentacoes!$E:$E,$C2880,Movimentacoes!$B:$B,"SAIDA_USO")</f>
        <v/>
      </c>
      <c r="I2880" s="13">
        <f>SUMIFS(Movimentacoes!$G:$G,Movimentacoes!$C:$C,$A2880,Movimentacoes!$E:$E,$C2880,Movimentacoes!$B:$B,"SAIDA_DESCARTE")</f>
        <v/>
      </c>
      <c r="J2880" s="13">
        <f>G2880-H2880-I2880</f>
        <v/>
      </c>
      <c r="K2880">
        <f>IF(A2880="","",IF(J2880&lt;=IFERROR(VLOOKUP(A2880,Cadastro_Produtos!$A:$E,5,FALSE),0),"ABAIXO DO MINIMO","OK"))</f>
        <v/>
      </c>
    </row>
    <row r="2881">
      <c r="B2881">
        <f>IFERROR(VLOOKUP(A2881,Cadastro_Produtos!A:B,2,FALSE),"")</f>
        <v/>
      </c>
      <c r="D2881" s="12" t="n"/>
      <c r="E2881" s="13">
        <f>IF(D2881="","",D2881-TODAY())</f>
        <v/>
      </c>
      <c r="F2881">
        <f>IF(D2881="","",IF(E2881&lt;0,"VENCIDO",IF(E2881&lt;=30,"VENCE EM &lt;= 30 DIAS",IF(E2881&lt;=60,"ATENCAO (31-60 DIAS)","OK"))))</f>
        <v/>
      </c>
      <c r="G2881" s="13">
        <f>SUMIFS(Movimentacoes!$G:$G,Movimentacoes!$C:$C,$A2881,Movimentacoes!$E:$E,$C2881,Movimentacoes!$B:$B,"ENTRADA")</f>
        <v/>
      </c>
      <c r="H2881" s="13">
        <f>SUMIFS(Movimentacoes!$G:$G,Movimentacoes!$C:$C,$A2881,Movimentacoes!$E:$E,$C2881,Movimentacoes!$B:$B,"SAIDA_USO")</f>
        <v/>
      </c>
      <c r="I2881" s="13">
        <f>SUMIFS(Movimentacoes!$G:$G,Movimentacoes!$C:$C,$A2881,Movimentacoes!$E:$E,$C2881,Movimentacoes!$B:$B,"SAIDA_DESCARTE")</f>
        <v/>
      </c>
      <c r="J2881" s="13">
        <f>G2881-H2881-I2881</f>
        <v/>
      </c>
      <c r="K2881">
        <f>IF(A2881="","",IF(J2881&lt;=IFERROR(VLOOKUP(A2881,Cadastro_Produtos!$A:$E,5,FALSE),0),"ABAIXO DO MINIMO","OK"))</f>
        <v/>
      </c>
    </row>
    <row r="2882">
      <c r="B2882">
        <f>IFERROR(VLOOKUP(A2882,Cadastro_Produtos!A:B,2,FALSE),"")</f>
        <v/>
      </c>
      <c r="D2882" s="12" t="n"/>
      <c r="E2882" s="13">
        <f>IF(D2882="","",D2882-TODAY())</f>
        <v/>
      </c>
      <c r="F2882">
        <f>IF(D2882="","",IF(E2882&lt;0,"VENCIDO",IF(E2882&lt;=30,"VENCE EM &lt;= 30 DIAS",IF(E2882&lt;=60,"ATENCAO (31-60 DIAS)","OK"))))</f>
        <v/>
      </c>
      <c r="G2882" s="13">
        <f>SUMIFS(Movimentacoes!$G:$G,Movimentacoes!$C:$C,$A2882,Movimentacoes!$E:$E,$C2882,Movimentacoes!$B:$B,"ENTRADA")</f>
        <v/>
      </c>
      <c r="H2882" s="13">
        <f>SUMIFS(Movimentacoes!$G:$G,Movimentacoes!$C:$C,$A2882,Movimentacoes!$E:$E,$C2882,Movimentacoes!$B:$B,"SAIDA_USO")</f>
        <v/>
      </c>
      <c r="I2882" s="13">
        <f>SUMIFS(Movimentacoes!$G:$G,Movimentacoes!$C:$C,$A2882,Movimentacoes!$E:$E,$C2882,Movimentacoes!$B:$B,"SAIDA_DESCARTE")</f>
        <v/>
      </c>
      <c r="J2882" s="13">
        <f>G2882-H2882-I2882</f>
        <v/>
      </c>
      <c r="K2882">
        <f>IF(A2882="","",IF(J2882&lt;=IFERROR(VLOOKUP(A2882,Cadastro_Produtos!$A:$E,5,FALSE),0),"ABAIXO DO MINIMO","OK"))</f>
        <v/>
      </c>
    </row>
    <row r="2883">
      <c r="B2883">
        <f>IFERROR(VLOOKUP(A2883,Cadastro_Produtos!A:B,2,FALSE),"")</f>
        <v/>
      </c>
      <c r="D2883" s="12" t="n"/>
      <c r="E2883" s="13">
        <f>IF(D2883="","",D2883-TODAY())</f>
        <v/>
      </c>
      <c r="F2883">
        <f>IF(D2883="","",IF(E2883&lt;0,"VENCIDO",IF(E2883&lt;=30,"VENCE EM &lt;= 30 DIAS",IF(E2883&lt;=60,"ATENCAO (31-60 DIAS)","OK"))))</f>
        <v/>
      </c>
      <c r="G2883" s="13">
        <f>SUMIFS(Movimentacoes!$G:$G,Movimentacoes!$C:$C,$A2883,Movimentacoes!$E:$E,$C2883,Movimentacoes!$B:$B,"ENTRADA")</f>
        <v/>
      </c>
      <c r="H2883" s="13">
        <f>SUMIFS(Movimentacoes!$G:$G,Movimentacoes!$C:$C,$A2883,Movimentacoes!$E:$E,$C2883,Movimentacoes!$B:$B,"SAIDA_USO")</f>
        <v/>
      </c>
      <c r="I2883" s="13">
        <f>SUMIFS(Movimentacoes!$G:$G,Movimentacoes!$C:$C,$A2883,Movimentacoes!$E:$E,$C2883,Movimentacoes!$B:$B,"SAIDA_DESCARTE")</f>
        <v/>
      </c>
      <c r="J2883" s="13">
        <f>G2883-H2883-I2883</f>
        <v/>
      </c>
      <c r="K2883">
        <f>IF(A2883="","",IF(J2883&lt;=IFERROR(VLOOKUP(A2883,Cadastro_Produtos!$A:$E,5,FALSE),0),"ABAIXO DO MINIMO","OK"))</f>
        <v/>
      </c>
    </row>
    <row r="2884">
      <c r="B2884">
        <f>IFERROR(VLOOKUP(A2884,Cadastro_Produtos!A:B,2,FALSE),"")</f>
        <v/>
      </c>
      <c r="D2884" s="12" t="n"/>
      <c r="E2884" s="13">
        <f>IF(D2884="","",D2884-TODAY())</f>
        <v/>
      </c>
      <c r="F2884">
        <f>IF(D2884="","",IF(E2884&lt;0,"VENCIDO",IF(E2884&lt;=30,"VENCE EM &lt;= 30 DIAS",IF(E2884&lt;=60,"ATENCAO (31-60 DIAS)","OK"))))</f>
        <v/>
      </c>
      <c r="G2884" s="13">
        <f>SUMIFS(Movimentacoes!$G:$G,Movimentacoes!$C:$C,$A2884,Movimentacoes!$E:$E,$C2884,Movimentacoes!$B:$B,"ENTRADA")</f>
        <v/>
      </c>
      <c r="H2884" s="13">
        <f>SUMIFS(Movimentacoes!$G:$G,Movimentacoes!$C:$C,$A2884,Movimentacoes!$E:$E,$C2884,Movimentacoes!$B:$B,"SAIDA_USO")</f>
        <v/>
      </c>
      <c r="I2884" s="13">
        <f>SUMIFS(Movimentacoes!$G:$G,Movimentacoes!$C:$C,$A2884,Movimentacoes!$E:$E,$C2884,Movimentacoes!$B:$B,"SAIDA_DESCARTE")</f>
        <v/>
      </c>
      <c r="J2884" s="13">
        <f>G2884-H2884-I2884</f>
        <v/>
      </c>
      <c r="K2884">
        <f>IF(A2884="","",IF(J2884&lt;=IFERROR(VLOOKUP(A2884,Cadastro_Produtos!$A:$E,5,FALSE),0),"ABAIXO DO MINIMO","OK"))</f>
        <v/>
      </c>
    </row>
    <row r="2885">
      <c r="B2885">
        <f>IFERROR(VLOOKUP(A2885,Cadastro_Produtos!A:B,2,FALSE),"")</f>
        <v/>
      </c>
      <c r="D2885" s="12" t="n"/>
      <c r="E2885" s="13">
        <f>IF(D2885="","",D2885-TODAY())</f>
        <v/>
      </c>
      <c r="F2885">
        <f>IF(D2885="","",IF(E2885&lt;0,"VENCIDO",IF(E2885&lt;=30,"VENCE EM &lt;= 30 DIAS",IF(E2885&lt;=60,"ATENCAO (31-60 DIAS)","OK"))))</f>
        <v/>
      </c>
      <c r="G2885" s="13">
        <f>SUMIFS(Movimentacoes!$G:$G,Movimentacoes!$C:$C,$A2885,Movimentacoes!$E:$E,$C2885,Movimentacoes!$B:$B,"ENTRADA")</f>
        <v/>
      </c>
      <c r="H2885" s="13">
        <f>SUMIFS(Movimentacoes!$G:$G,Movimentacoes!$C:$C,$A2885,Movimentacoes!$E:$E,$C2885,Movimentacoes!$B:$B,"SAIDA_USO")</f>
        <v/>
      </c>
      <c r="I2885" s="13">
        <f>SUMIFS(Movimentacoes!$G:$G,Movimentacoes!$C:$C,$A2885,Movimentacoes!$E:$E,$C2885,Movimentacoes!$B:$B,"SAIDA_DESCARTE")</f>
        <v/>
      </c>
      <c r="J2885" s="13">
        <f>G2885-H2885-I2885</f>
        <v/>
      </c>
      <c r="K2885">
        <f>IF(A2885="","",IF(J2885&lt;=IFERROR(VLOOKUP(A2885,Cadastro_Produtos!$A:$E,5,FALSE),0),"ABAIXO DO MINIMO","OK"))</f>
        <v/>
      </c>
    </row>
    <row r="2886">
      <c r="B2886">
        <f>IFERROR(VLOOKUP(A2886,Cadastro_Produtos!A:B,2,FALSE),"")</f>
        <v/>
      </c>
      <c r="D2886" s="12" t="n"/>
      <c r="E2886" s="13">
        <f>IF(D2886="","",D2886-TODAY())</f>
        <v/>
      </c>
      <c r="F2886">
        <f>IF(D2886="","",IF(E2886&lt;0,"VENCIDO",IF(E2886&lt;=30,"VENCE EM &lt;= 30 DIAS",IF(E2886&lt;=60,"ATENCAO (31-60 DIAS)","OK"))))</f>
        <v/>
      </c>
      <c r="G2886" s="13">
        <f>SUMIFS(Movimentacoes!$G:$G,Movimentacoes!$C:$C,$A2886,Movimentacoes!$E:$E,$C2886,Movimentacoes!$B:$B,"ENTRADA")</f>
        <v/>
      </c>
      <c r="H2886" s="13">
        <f>SUMIFS(Movimentacoes!$G:$G,Movimentacoes!$C:$C,$A2886,Movimentacoes!$E:$E,$C2886,Movimentacoes!$B:$B,"SAIDA_USO")</f>
        <v/>
      </c>
      <c r="I2886" s="13">
        <f>SUMIFS(Movimentacoes!$G:$G,Movimentacoes!$C:$C,$A2886,Movimentacoes!$E:$E,$C2886,Movimentacoes!$B:$B,"SAIDA_DESCARTE")</f>
        <v/>
      </c>
      <c r="J2886" s="13">
        <f>G2886-H2886-I2886</f>
        <v/>
      </c>
      <c r="K2886">
        <f>IF(A2886="","",IF(J2886&lt;=IFERROR(VLOOKUP(A2886,Cadastro_Produtos!$A:$E,5,FALSE),0),"ABAIXO DO MINIMO","OK"))</f>
        <v/>
      </c>
    </row>
    <row r="2887">
      <c r="B2887">
        <f>IFERROR(VLOOKUP(A2887,Cadastro_Produtos!A:B,2,FALSE),"")</f>
        <v/>
      </c>
      <c r="D2887" s="12" t="n"/>
      <c r="E2887" s="13">
        <f>IF(D2887="","",D2887-TODAY())</f>
        <v/>
      </c>
      <c r="F2887">
        <f>IF(D2887="","",IF(E2887&lt;0,"VENCIDO",IF(E2887&lt;=30,"VENCE EM &lt;= 30 DIAS",IF(E2887&lt;=60,"ATENCAO (31-60 DIAS)","OK"))))</f>
        <v/>
      </c>
      <c r="G2887" s="13">
        <f>SUMIFS(Movimentacoes!$G:$G,Movimentacoes!$C:$C,$A2887,Movimentacoes!$E:$E,$C2887,Movimentacoes!$B:$B,"ENTRADA")</f>
        <v/>
      </c>
      <c r="H2887" s="13">
        <f>SUMIFS(Movimentacoes!$G:$G,Movimentacoes!$C:$C,$A2887,Movimentacoes!$E:$E,$C2887,Movimentacoes!$B:$B,"SAIDA_USO")</f>
        <v/>
      </c>
      <c r="I2887" s="13">
        <f>SUMIFS(Movimentacoes!$G:$G,Movimentacoes!$C:$C,$A2887,Movimentacoes!$E:$E,$C2887,Movimentacoes!$B:$B,"SAIDA_DESCARTE")</f>
        <v/>
      </c>
      <c r="J2887" s="13">
        <f>G2887-H2887-I2887</f>
        <v/>
      </c>
      <c r="K2887">
        <f>IF(A2887="","",IF(J2887&lt;=IFERROR(VLOOKUP(A2887,Cadastro_Produtos!$A:$E,5,FALSE),0),"ABAIXO DO MINIMO","OK"))</f>
        <v/>
      </c>
    </row>
    <row r="2888">
      <c r="B2888">
        <f>IFERROR(VLOOKUP(A2888,Cadastro_Produtos!A:B,2,FALSE),"")</f>
        <v/>
      </c>
      <c r="D2888" s="12" t="n"/>
      <c r="E2888" s="13">
        <f>IF(D2888="","",D2888-TODAY())</f>
        <v/>
      </c>
      <c r="F2888">
        <f>IF(D2888="","",IF(E2888&lt;0,"VENCIDO",IF(E2888&lt;=30,"VENCE EM &lt;= 30 DIAS",IF(E2888&lt;=60,"ATENCAO (31-60 DIAS)","OK"))))</f>
        <v/>
      </c>
      <c r="G2888" s="13">
        <f>SUMIFS(Movimentacoes!$G:$G,Movimentacoes!$C:$C,$A2888,Movimentacoes!$E:$E,$C2888,Movimentacoes!$B:$B,"ENTRADA")</f>
        <v/>
      </c>
      <c r="H2888" s="13">
        <f>SUMIFS(Movimentacoes!$G:$G,Movimentacoes!$C:$C,$A2888,Movimentacoes!$E:$E,$C2888,Movimentacoes!$B:$B,"SAIDA_USO")</f>
        <v/>
      </c>
      <c r="I2888" s="13">
        <f>SUMIFS(Movimentacoes!$G:$G,Movimentacoes!$C:$C,$A2888,Movimentacoes!$E:$E,$C2888,Movimentacoes!$B:$B,"SAIDA_DESCARTE")</f>
        <v/>
      </c>
      <c r="J2888" s="13">
        <f>G2888-H2888-I2888</f>
        <v/>
      </c>
      <c r="K2888">
        <f>IF(A2888="","",IF(J2888&lt;=IFERROR(VLOOKUP(A2888,Cadastro_Produtos!$A:$E,5,FALSE),0),"ABAIXO DO MINIMO","OK"))</f>
        <v/>
      </c>
    </row>
    <row r="2889">
      <c r="B2889">
        <f>IFERROR(VLOOKUP(A2889,Cadastro_Produtos!A:B,2,FALSE),"")</f>
        <v/>
      </c>
      <c r="D2889" s="12" t="n"/>
      <c r="E2889" s="13">
        <f>IF(D2889="","",D2889-TODAY())</f>
        <v/>
      </c>
      <c r="F2889">
        <f>IF(D2889="","",IF(E2889&lt;0,"VENCIDO",IF(E2889&lt;=30,"VENCE EM &lt;= 30 DIAS",IF(E2889&lt;=60,"ATENCAO (31-60 DIAS)","OK"))))</f>
        <v/>
      </c>
      <c r="G2889" s="13">
        <f>SUMIFS(Movimentacoes!$G:$G,Movimentacoes!$C:$C,$A2889,Movimentacoes!$E:$E,$C2889,Movimentacoes!$B:$B,"ENTRADA")</f>
        <v/>
      </c>
      <c r="H2889" s="13">
        <f>SUMIFS(Movimentacoes!$G:$G,Movimentacoes!$C:$C,$A2889,Movimentacoes!$E:$E,$C2889,Movimentacoes!$B:$B,"SAIDA_USO")</f>
        <v/>
      </c>
      <c r="I2889" s="13">
        <f>SUMIFS(Movimentacoes!$G:$G,Movimentacoes!$C:$C,$A2889,Movimentacoes!$E:$E,$C2889,Movimentacoes!$B:$B,"SAIDA_DESCARTE")</f>
        <v/>
      </c>
      <c r="J2889" s="13">
        <f>G2889-H2889-I2889</f>
        <v/>
      </c>
      <c r="K2889">
        <f>IF(A2889="","",IF(J2889&lt;=IFERROR(VLOOKUP(A2889,Cadastro_Produtos!$A:$E,5,FALSE),0),"ABAIXO DO MINIMO","OK"))</f>
        <v/>
      </c>
    </row>
    <row r="2890">
      <c r="B2890">
        <f>IFERROR(VLOOKUP(A2890,Cadastro_Produtos!A:B,2,FALSE),"")</f>
        <v/>
      </c>
      <c r="D2890" s="12" t="n"/>
      <c r="E2890" s="13">
        <f>IF(D2890="","",D2890-TODAY())</f>
        <v/>
      </c>
      <c r="F2890">
        <f>IF(D2890="","",IF(E2890&lt;0,"VENCIDO",IF(E2890&lt;=30,"VENCE EM &lt;= 30 DIAS",IF(E2890&lt;=60,"ATENCAO (31-60 DIAS)","OK"))))</f>
        <v/>
      </c>
      <c r="G2890" s="13">
        <f>SUMIFS(Movimentacoes!$G:$G,Movimentacoes!$C:$C,$A2890,Movimentacoes!$E:$E,$C2890,Movimentacoes!$B:$B,"ENTRADA")</f>
        <v/>
      </c>
      <c r="H2890" s="13">
        <f>SUMIFS(Movimentacoes!$G:$G,Movimentacoes!$C:$C,$A2890,Movimentacoes!$E:$E,$C2890,Movimentacoes!$B:$B,"SAIDA_USO")</f>
        <v/>
      </c>
      <c r="I2890" s="13">
        <f>SUMIFS(Movimentacoes!$G:$G,Movimentacoes!$C:$C,$A2890,Movimentacoes!$E:$E,$C2890,Movimentacoes!$B:$B,"SAIDA_DESCARTE")</f>
        <v/>
      </c>
      <c r="J2890" s="13">
        <f>G2890-H2890-I2890</f>
        <v/>
      </c>
      <c r="K2890">
        <f>IF(A2890="","",IF(J2890&lt;=IFERROR(VLOOKUP(A2890,Cadastro_Produtos!$A:$E,5,FALSE),0),"ABAIXO DO MINIMO","OK"))</f>
        <v/>
      </c>
    </row>
    <row r="2891">
      <c r="B2891">
        <f>IFERROR(VLOOKUP(A2891,Cadastro_Produtos!A:B,2,FALSE),"")</f>
        <v/>
      </c>
      <c r="D2891" s="12" t="n"/>
      <c r="E2891" s="13">
        <f>IF(D2891="","",D2891-TODAY())</f>
        <v/>
      </c>
      <c r="F2891">
        <f>IF(D2891="","",IF(E2891&lt;0,"VENCIDO",IF(E2891&lt;=30,"VENCE EM &lt;= 30 DIAS",IF(E2891&lt;=60,"ATENCAO (31-60 DIAS)","OK"))))</f>
        <v/>
      </c>
      <c r="G2891" s="13">
        <f>SUMIFS(Movimentacoes!$G:$G,Movimentacoes!$C:$C,$A2891,Movimentacoes!$E:$E,$C2891,Movimentacoes!$B:$B,"ENTRADA")</f>
        <v/>
      </c>
      <c r="H2891" s="13">
        <f>SUMIFS(Movimentacoes!$G:$G,Movimentacoes!$C:$C,$A2891,Movimentacoes!$E:$E,$C2891,Movimentacoes!$B:$B,"SAIDA_USO")</f>
        <v/>
      </c>
      <c r="I2891" s="13">
        <f>SUMIFS(Movimentacoes!$G:$G,Movimentacoes!$C:$C,$A2891,Movimentacoes!$E:$E,$C2891,Movimentacoes!$B:$B,"SAIDA_DESCARTE")</f>
        <v/>
      </c>
      <c r="J2891" s="13">
        <f>G2891-H2891-I2891</f>
        <v/>
      </c>
      <c r="K2891">
        <f>IF(A2891="","",IF(J2891&lt;=IFERROR(VLOOKUP(A2891,Cadastro_Produtos!$A:$E,5,FALSE),0),"ABAIXO DO MINIMO","OK"))</f>
        <v/>
      </c>
    </row>
    <row r="2892">
      <c r="B2892">
        <f>IFERROR(VLOOKUP(A2892,Cadastro_Produtos!A:B,2,FALSE),"")</f>
        <v/>
      </c>
      <c r="D2892" s="12" t="n"/>
      <c r="E2892" s="13">
        <f>IF(D2892="","",D2892-TODAY())</f>
        <v/>
      </c>
      <c r="F2892">
        <f>IF(D2892="","",IF(E2892&lt;0,"VENCIDO",IF(E2892&lt;=30,"VENCE EM &lt;= 30 DIAS",IF(E2892&lt;=60,"ATENCAO (31-60 DIAS)","OK"))))</f>
        <v/>
      </c>
      <c r="G2892" s="13">
        <f>SUMIFS(Movimentacoes!$G:$G,Movimentacoes!$C:$C,$A2892,Movimentacoes!$E:$E,$C2892,Movimentacoes!$B:$B,"ENTRADA")</f>
        <v/>
      </c>
      <c r="H2892" s="13">
        <f>SUMIFS(Movimentacoes!$G:$G,Movimentacoes!$C:$C,$A2892,Movimentacoes!$E:$E,$C2892,Movimentacoes!$B:$B,"SAIDA_USO")</f>
        <v/>
      </c>
      <c r="I2892" s="13">
        <f>SUMIFS(Movimentacoes!$G:$G,Movimentacoes!$C:$C,$A2892,Movimentacoes!$E:$E,$C2892,Movimentacoes!$B:$B,"SAIDA_DESCARTE")</f>
        <v/>
      </c>
      <c r="J2892" s="13">
        <f>G2892-H2892-I2892</f>
        <v/>
      </c>
      <c r="K2892">
        <f>IF(A2892="","",IF(J2892&lt;=IFERROR(VLOOKUP(A2892,Cadastro_Produtos!$A:$E,5,FALSE),0),"ABAIXO DO MINIMO","OK"))</f>
        <v/>
      </c>
    </row>
    <row r="2893">
      <c r="B2893">
        <f>IFERROR(VLOOKUP(A2893,Cadastro_Produtos!A:B,2,FALSE),"")</f>
        <v/>
      </c>
      <c r="D2893" s="12" t="n"/>
      <c r="E2893" s="13">
        <f>IF(D2893="","",D2893-TODAY())</f>
        <v/>
      </c>
      <c r="F2893">
        <f>IF(D2893="","",IF(E2893&lt;0,"VENCIDO",IF(E2893&lt;=30,"VENCE EM &lt;= 30 DIAS",IF(E2893&lt;=60,"ATENCAO (31-60 DIAS)","OK"))))</f>
        <v/>
      </c>
      <c r="G2893" s="13">
        <f>SUMIFS(Movimentacoes!$G:$G,Movimentacoes!$C:$C,$A2893,Movimentacoes!$E:$E,$C2893,Movimentacoes!$B:$B,"ENTRADA")</f>
        <v/>
      </c>
      <c r="H2893" s="13">
        <f>SUMIFS(Movimentacoes!$G:$G,Movimentacoes!$C:$C,$A2893,Movimentacoes!$E:$E,$C2893,Movimentacoes!$B:$B,"SAIDA_USO")</f>
        <v/>
      </c>
      <c r="I2893" s="13">
        <f>SUMIFS(Movimentacoes!$G:$G,Movimentacoes!$C:$C,$A2893,Movimentacoes!$E:$E,$C2893,Movimentacoes!$B:$B,"SAIDA_DESCARTE")</f>
        <v/>
      </c>
      <c r="J2893" s="13">
        <f>G2893-H2893-I2893</f>
        <v/>
      </c>
      <c r="K2893">
        <f>IF(A2893="","",IF(J2893&lt;=IFERROR(VLOOKUP(A2893,Cadastro_Produtos!$A:$E,5,FALSE),0),"ABAIXO DO MINIMO","OK"))</f>
        <v/>
      </c>
    </row>
    <row r="2894">
      <c r="B2894">
        <f>IFERROR(VLOOKUP(A2894,Cadastro_Produtos!A:B,2,FALSE),"")</f>
        <v/>
      </c>
      <c r="D2894" s="12" t="n"/>
      <c r="E2894" s="13">
        <f>IF(D2894="","",D2894-TODAY())</f>
        <v/>
      </c>
      <c r="F2894">
        <f>IF(D2894="","",IF(E2894&lt;0,"VENCIDO",IF(E2894&lt;=30,"VENCE EM &lt;= 30 DIAS",IF(E2894&lt;=60,"ATENCAO (31-60 DIAS)","OK"))))</f>
        <v/>
      </c>
      <c r="G2894" s="13">
        <f>SUMIFS(Movimentacoes!$G:$G,Movimentacoes!$C:$C,$A2894,Movimentacoes!$E:$E,$C2894,Movimentacoes!$B:$B,"ENTRADA")</f>
        <v/>
      </c>
      <c r="H2894" s="13">
        <f>SUMIFS(Movimentacoes!$G:$G,Movimentacoes!$C:$C,$A2894,Movimentacoes!$E:$E,$C2894,Movimentacoes!$B:$B,"SAIDA_USO")</f>
        <v/>
      </c>
      <c r="I2894" s="13">
        <f>SUMIFS(Movimentacoes!$G:$G,Movimentacoes!$C:$C,$A2894,Movimentacoes!$E:$E,$C2894,Movimentacoes!$B:$B,"SAIDA_DESCARTE")</f>
        <v/>
      </c>
      <c r="J2894" s="13">
        <f>G2894-H2894-I2894</f>
        <v/>
      </c>
      <c r="K2894">
        <f>IF(A2894="","",IF(J2894&lt;=IFERROR(VLOOKUP(A2894,Cadastro_Produtos!$A:$E,5,FALSE),0),"ABAIXO DO MINIMO","OK"))</f>
        <v/>
      </c>
    </row>
    <row r="2895">
      <c r="B2895">
        <f>IFERROR(VLOOKUP(A2895,Cadastro_Produtos!A:B,2,FALSE),"")</f>
        <v/>
      </c>
      <c r="D2895" s="12" t="n"/>
      <c r="E2895" s="13">
        <f>IF(D2895="","",D2895-TODAY())</f>
        <v/>
      </c>
      <c r="F2895">
        <f>IF(D2895="","",IF(E2895&lt;0,"VENCIDO",IF(E2895&lt;=30,"VENCE EM &lt;= 30 DIAS",IF(E2895&lt;=60,"ATENCAO (31-60 DIAS)","OK"))))</f>
        <v/>
      </c>
      <c r="G2895" s="13">
        <f>SUMIFS(Movimentacoes!$G:$G,Movimentacoes!$C:$C,$A2895,Movimentacoes!$E:$E,$C2895,Movimentacoes!$B:$B,"ENTRADA")</f>
        <v/>
      </c>
      <c r="H2895" s="13">
        <f>SUMIFS(Movimentacoes!$G:$G,Movimentacoes!$C:$C,$A2895,Movimentacoes!$E:$E,$C2895,Movimentacoes!$B:$B,"SAIDA_USO")</f>
        <v/>
      </c>
      <c r="I2895" s="13">
        <f>SUMIFS(Movimentacoes!$G:$G,Movimentacoes!$C:$C,$A2895,Movimentacoes!$E:$E,$C2895,Movimentacoes!$B:$B,"SAIDA_DESCARTE")</f>
        <v/>
      </c>
      <c r="J2895" s="13">
        <f>G2895-H2895-I2895</f>
        <v/>
      </c>
      <c r="K2895">
        <f>IF(A2895="","",IF(J2895&lt;=IFERROR(VLOOKUP(A2895,Cadastro_Produtos!$A:$E,5,FALSE),0),"ABAIXO DO MINIMO","OK"))</f>
        <v/>
      </c>
    </row>
    <row r="2896">
      <c r="B2896">
        <f>IFERROR(VLOOKUP(A2896,Cadastro_Produtos!A:B,2,FALSE),"")</f>
        <v/>
      </c>
      <c r="D2896" s="12" t="n"/>
      <c r="E2896" s="13">
        <f>IF(D2896="","",D2896-TODAY())</f>
        <v/>
      </c>
      <c r="F2896">
        <f>IF(D2896="","",IF(E2896&lt;0,"VENCIDO",IF(E2896&lt;=30,"VENCE EM &lt;= 30 DIAS",IF(E2896&lt;=60,"ATENCAO (31-60 DIAS)","OK"))))</f>
        <v/>
      </c>
      <c r="G2896" s="13">
        <f>SUMIFS(Movimentacoes!$G:$G,Movimentacoes!$C:$C,$A2896,Movimentacoes!$E:$E,$C2896,Movimentacoes!$B:$B,"ENTRADA")</f>
        <v/>
      </c>
      <c r="H2896" s="13">
        <f>SUMIFS(Movimentacoes!$G:$G,Movimentacoes!$C:$C,$A2896,Movimentacoes!$E:$E,$C2896,Movimentacoes!$B:$B,"SAIDA_USO")</f>
        <v/>
      </c>
      <c r="I2896" s="13">
        <f>SUMIFS(Movimentacoes!$G:$G,Movimentacoes!$C:$C,$A2896,Movimentacoes!$E:$E,$C2896,Movimentacoes!$B:$B,"SAIDA_DESCARTE")</f>
        <v/>
      </c>
      <c r="J2896" s="13">
        <f>G2896-H2896-I2896</f>
        <v/>
      </c>
      <c r="K2896">
        <f>IF(A2896="","",IF(J2896&lt;=IFERROR(VLOOKUP(A2896,Cadastro_Produtos!$A:$E,5,FALSE),0),"ABAIXO DO MINIMO","OK"))</f>
        <v/>
      </c>
    </row>
    <row r="2897">
      <c r="B2897">
        <f>IFERROR(VLOOKUP(A2897,Cadastro_Produtos!A:B,2,FALSE),"")</f>
        <v/>
      </c>
      <c r="D2897" s="12" t="n"/>
      <c r="E2897" s="13">
        <f>IF(D2897="","",D2897-TODAY())</f>
        <v/>
      </c>
      <c r="F2897">
        <f>IF(D2897="","",IF(E2897&lt;0,"VENCIDO",IF(E2897&lt;=30,"VENCE EM &lt;= 30 DIAS",IF(E2897&lt;=60,"ATENCAO (31-60 DIAS)","OK"))))</f>
        <v/>
      </c>
      <c r="G2897" s="13">
        <f>SUMIFS(Movimentacoes!$G:$G,Movimentacoes!$C:$C,$A2897,Movimentacoes!$E:$E,$C2897,Movimentacoes!$B:$B,"ENTRADA")</f>
        <v/>
      </c>
      <c r="H2897" s="13">
        <f>SUMIFS(Movimentacoes!$G:$G,Movimentacoes!$C:$C,$A2897,Movimentacoes!$E:$E,$C2897,Movimentacoes!$B:$B,"SAIDA_USO")</f>
        <v/>
      </c>
      <c r="I2897" s="13">
        <f>SUMIFS(Movimentacoes!$G:$G,Movimentacoes!$C:$C,$A2897,Movimentacoes!$E:$E,$C2897,Movimentacoes!$B:$B,"SAIDA_DESCARTE")</f>
        <v/>
      </c>
      <c r="J2897" s="13">
        <f>G2897-H2897-I2897</f>
        <v/>
      </c>
      <c r="K2897">
        <f>IF(A2897="","",IF(J2897&lt;=IFERROR(VLOOKUP(A2897,Cadastro_Produtos!$A:$E,5,FALSE),0),"ABAIXO DO MINIMO","OK"))</f>
        <v/>
      </c>
    </row>
    <row r="2898">
      <c r="B2898">
        <f>IFERROR(VLOOKUP(A2898,Cadastro_Produtos!A:B,2,FALSE),"")</f>
        <v/>
      </c>
      <c r="D2898" s="12" t="n"/>
      <c r="E2898" s="13">
        <f>IF(D2898="","",D2898-TODAY())</f>
        <v/>
      </c>
      <c r="F2898">
        <f>IF(D2898="","",IF(E2898&lt;0,"VENCIDO",IF(E2898&lt;=30,"VENCE EM &lt;= 30 DIAS",IF(E2898&lt;=60,"ATENCAO (31-60 DIAS)","OK"))))</f>
        <v/>
      </c>
      <c r="G2898" s="13">
        <f>SUMIFS(Movimentacoes!$G:$G,Movimentacoes!$C:$C,$A2898,Movimentacoes!$E:$E,$C2898,Movimentacoes!$B:$B,"ENTRADA")</f>
        <v/>
      </c>
      <c r="H2898" s="13">
        <f>SUMIFS(Movimentacoes!$G:$G,Movimentacoes!$C:$C,$A2898,Movimentacoes!$E:$E,$C2898,Movimentacoes!$B:$B,"SAIDA_USO")</f>
        <v/>
      </c>
      <c r="I2898" s="13">
        <f>SUMIFS(Movimentacoes!$G:$G,Movimentacoes!$C:$C,$A2898,Movimentacoes!$E:$E,$C2898,Movimentacoes!$B:$B,"SAIDA_DESCARTE")</f>
        <v/>
      </c>
      <c r="J2898" s="13">
        <f>G2898-H2898-I2898</f>
        <v/>
      </c>
      <c r="K2898">
        <f>IF(A2898="","",IF(J2898&lt;=IFERROR(VLOOKUP(A2898,Cadastro_Produtos!$A:$E,5,FALSE),0),"ABAIXO DO MINIMO","OK"))</f>
        <v/>
      </c>
    </row>
    <row r="2899">
      <c r="B2899">
        <f>IFERROR(VLOOKUP(A2899,Cadastro_Produtos!A:B,2,FALSE),"")</f>
        <v/>
      </c>
      <c r="D2899" s="12" t="n"/>
      <c r="E2899" s="13">
        <f>IF(D2899="","",D2899-TODAY())</f>
        <v/>
      </c>
      <c r="F2899">
        <f>IF(D2899="","",IF(E2899&lt;0,"VENCIDO",IF(E2899&lt;=30,"VENCE EM &lt;= 30 DIAS",IF(E2899&lt;=60,"ATENCAO (31-60 DIAS)","OK"))))</f>
        <v/>
      </c>
      <c r="G2899" s="13">
        <f>SUMIFS(Movimentacoes!$G:$G,Movimentacoes!$C:$C,$A2899,Movimentacoes!$E:$E,$C2899,Movimentacoes!$B:$B,"ENTRADA")</f>
        <v/>
      </c>
      <c r="H2899" s="13">
        <f>SUMIFS(Movimentacoes!$G:$G,Movimentacoes!$C:$C,$A2899,Movimentacoes!$E:$E,$C2899,Movimentacoes!$B:$B,"SAIDA_USO")</f>
        <v/>
      </c>
      <c r="I2899" s="13">
        <f>SUMIFS(Movimentacoes!$G:$G,Movimentacoes!$C:$C,$A2899,Movimentacoes!$E:$E,$C2899,Movimentacoes!$B:$B,"SAIDA_DESCARTE")</f>
        <v/>
      </c>
      <c r="J2899" s="13">
        <f>G2899-H2899-I2899</f>
        <v/>
      </c>
      <c r="K2899">
        <f>IF(A2899="","",IF(J2899&lt;=IFERROR(VLOOKUP(A2899,Cadastro_Produtos!$A:$E,5,FALSE),0),"ABAIXO DO MINIMO","OK"))</f>
        <v/>
      </c>
    </row>
    <row r="2900">
      <c r="B2900">
        <f>IFERROR(VLOOKUP(A2900,Cadastro_Produtos!A:B,2,FALSE),"")</f>
        <v/>
      </c>
      <c r="D2900" s="12" t="n"/>
      <c r="E2900" s="13">
        <f>IF(D2900="","",D2900-TODAY())</f>
        <v/>
      </c>
      <c r="F2900">
        <f>IF(D2900="","",IF(E2900&lt;0,"VENCIDO",IF(E2900&lt;=30,"VENCE EM &lt;= 30 DIAS",IF(E2900&lt;=60,"ATENCAO (31-60 DIAS)","OK"))))</f>
        <v/>
      </c>
      <c r="G2900" s="13">
        <f>SUMIFS(Movimentacoes!$G:$G,Movimentacoes!$C:$C,$A2900,Movimentacoes!$E:$E,$C2900,Movimentacoes!$B:$B,"ENTRADA")</f>
        <v/>
      </c>
      <c r="H2900" s="13">
        <f>SUMIFS(Movimentacoes!$G:$G,Movimentacoes!$C:$C,$A2900,Movimentacoes!$E:$E,$C2900,Movimentacoes!$B:$B,"SAIDA_USO")</f>
        <v/>
      </c>
      <c r="I2900" s="13">
        <f>SUMIFS(Movimentacoes!$G:$G,Movimentacoes!$C:$C,$A2900,Movimentacoes!$E:$E,$C2900,Movimentacoes!$B:$B,"SAIDA_DESCARTE")</f>
        <v/>
      </c>
      <c r="J2900" s="13">
        <f>G2900-H2900-I2900</f>
        <v/>
      </c>
      <c r="K2900">
        <f>IF(A2900="","",IF(J2900&lt;=IFERROR(VLOOKUP(A2900,Cadastro_Produtos!$A:$E,5,FALSE),0),"ABAIXO DO MINIMO","OK"))</f>
        <v/>
      </c>
    </row>
    <row r="2901">
      <c r="B2901">
        <f>IFERROR(VLOOKUP(A2901,Cadastro_Produtos!A:B,2,FALSE),"")</f>
        <v/>
      </c>
      <c r="D2901" s="12" t="n"/>
      <c r="E2901" s="13">
        <f>IF(D2901="","",D2901-TODAY())</f>
        <v/>
      </c>
      <c r="F2901">
        <f>IF(D2901="","",IF(E2901&lt;0,"VENCIDO",IF(E2901&lt;=30,"VENCE EM &lt;= 30 DIAS",IF(E2901&lt;=60,"ATENCAO (31-60 DIAS)","OK"))))</f>
        <v/>
      </c>
      <c r="G2901" s="13">
        <f>SUMIFS(Movimentacoes!$G:$G,Movimentacoes!$C:$C,$A2901,Movimentacoes!$E:$E,$C2901,Movimentacoes!$B:$B,"ENTRADA")</f>
        <v/>
      </c>
      <c r="H2901" s="13">
        <f>SUMIFS(Movimentacoes!$G:$G,Movimentacoes!$C:$C,$A2901,Movimentacoes!$E:$E,$C2901,Movimentacoes!$B:$B,"SAIDA_USO")</f>
        <v/>
      </c>
      <c r="I2901" s="13">
        <f>SUMIFS(Movimentacoes!$G:$G,Movimentacoes!$C:$C,$A2901,Movimentacoes!$E:$E,$C2901,Movimentacoes!$B:$B,"SAIDA_DESCARTE")</f>
        <v/>
      </c>
      <c r="J2901" s="13">
        <f>G2901-H2901-I2901</f>
        <v/>
      </c>
      <c r="K2901">
        <f>IF(A2901="","",IF(J2901&lt;=IFERROR(VLOOKUP(A2901,Cadastro_Produtos!$A:$E,5,FALSE),0),"ABAIXO DO MINIMO","OK"))</f>
        <v/>
      </c>
    </row>
    <row r="2902">
      <c r="B2902">
        <f>IFERROR(VLOOKUP(A2902,Cadastro_Produtos!A:B,2,FALSE),"")</f>
        <v/>
      </c>
      <c r="D2902" s="12" t="n"/>
      <c r="E2902" s="13">
        <f>IF(D2902="","",D2902-TODAY())</f>
        <v/>
      </c>
      <c r="F2902">
        <f>IF(D2902="","",IF(E2902&lt;0,"VENCIDO",IF(E2902&lt;=30,"VENCE EM &lt;= 30 DIAS",IF(E2902&lt;=60,"ATENCAO (31-60 DIAS)","OK"))))</f>
        <v/>
      </c>
      <c r="G2902" s="13">
        <f>SUMIFS(Movimentacoes!$G:$G,Movimentacoes!$C:$C,$A2902,Movimentacoes!$E:$E,$C2902,Movimentacoes!$B:$B,"ENTRADA")</f>
        <v/>
      </c>
      <c r="H2902" s="13">
        <f>SUMIFS(Movimentacoes!$G:$G,Movimentacoes!$C:$C,$A2902,Movimentacoes!$E:$E,$C2902,Movimentacoes!$B:$B,"SAIDA_USO")</f>
        <v/>
      </c>
      <c r="I2902" s="13">
        <f>SUMIFS(Movimentacoes!$G:$G,Movimentacoes!$C:$C,$A2902,Movimentacoes!$E:$E,$C2902,Movimentacoes!$B:$B,"SAIDA_DESCARTE")</f>
        <v/>
      </c>
      <c r="J2902" s="13">
        <f>G2902-H2902-I2902</f>
        <v/>
      </c>
      <c r="K2902">
        <f>IF(A2902="","",IF(J2902&lt;=IFERROR(VLOOKUP(A2902,Cadastro_Produtos!$A:$E,5,FALSE),0),"ABAIXO DO MINIMO","OK"))</f>
        <v/>
      </c>
    </row>
    <row r="2903">
      <c r="B2903">
        <f>IFERROR(VLOOKUP(A2903,Cadastro_Produtos!A:B,2,FALSE),"")</f>
        <v/>
      </c>
      <c r="D2903" s="12" t="n"/>
      <c r="E2903" s="13">
        <f>IF(D2903="","",D2903-TODAY())</f>
        <v/>
      </c>
      <c r="F2903">
        <f>IF(D2903="","",IF(E2903&lt;0,"VENCIDO",IF(E2903&lt;=30,"VENCE EM &lt;= 30 DIAS",IF(E2903&lt;=60,"ATENCAO (31-60 DIAS)","OK"))))</f>
        <v/>
      </c>
      <c r="G2903" s="13">
        <f>SUMIFS(Movimentacoes!$G:$G,Movimentacoes!$C:$C,$A2903,Movimentacoes!$E:$E,$C2903,Movimentacoes!$B:$B,"ENTRADA")</f>
        <v/>
      </c>
      <c r="H2903" s="13">
        <f>SUMIFS(Movimentacoes!$G:$G,Movimentacoes!$C:$C,$A2903,Movimentacoes!$E:$E,$C2903,Movimentacoes!$B:$B,"SAIDA_USO")</f>
        <v/>
      </c>
      <c r="I2903" s="13">
        <f>SUMIFS(Movimentacoes!$G:$G,Movimentacoes!$C:$C,$A2903,Movimentacoes!$E:$E,$C2903,Movimentacoes!$B:$B,"SAIDA_DESCARTE")</f>
        <v/>
      </c>
      <c r="J2903" s="13">
        <f>G2903-H2903-I2903</f>
        <v/>
      </c>
      <c r="K2903">
        <f>IF(A2903="","",IF(J2903&lt;=IFERROR(VLOOKUP(A2903,Cadastro_Produtos!$A:$E,5,FALSE),0),"ABAIXO DO MINIMO","OK"))</f>
        <v/>
      </c>
    </row>
    <row r="2904">
      <c r="B2904">
        <f>IFERROR(VLOOKUP(A2904,Cadastro_Produtos!A:B,2,FALSE),"")</f>
        <v/>
      </c>
      <c r="D2904" s="12" t="n"/>
      <c r="E2904" s="13">
        <f>IF(D2904="","",D2904-TODAY())</f>
        <v/>
      </c>
      <c r="F2904">
        <f>IF(D2904="","",IF(E2904&lt;0,"VENCIDO",IF(E2904&lt;=30,"VENCE EM &lt;= 30 DIAS",IF(E2904&lt;=60,"ATENCAO (31-60 DIAS)","OK"))))</f>
        <v/>
      </c>
      <c r="G2904" s="13">
        <f>SUMIFS(Movimentacoes!$G:$G,Movimentacoes!$C:$C,$A2904,Movimentacoes!$E:$E,$C2904,Movimentacoes!$B:$B,"ENTRADA")</f>
        <v/>
      </c>
      <c r="H2904" s="13">
        <f>SUMIFS(Movimentacoes!$G:$G,Movimentacoes!$C:$C,$A2904,Movimentacoes!$E:$E,$C2904,Movimentacoes!$B:$B,"SAIDA_USO")</f>
        <v/>
      </c>
      <c r="I2904" s="13">
        <f>SUMIFS(Movimentacoes!$G:$G,Movimentacoes!$C:$C,$A2904,Movimentacoes!$E:$E,$C2904,Movimentacoes!$B:$B,"SAIDA_DESCARTE")</f>
        <v/>
      </c>
      <c r="J2904" s="13">
        <f>G2904-H2904-I2904</f>
        <v/>
      </c>
      <c r="K2904">
        <f>IF(A2904="","",IF(J2904&lt;=IFERROR(VLOOKUP(A2904,Cadastro_Produtos!$A:$E,5,FALSE),0),"ABAIXO DO MINIMO","OK"))</f>
        <v/>
      </c>
    </row>
    <row r="2905">
      <c r="B2905">
        <f>IFERROR(VLOOKUP(A2905,Cadastro_Produtos!A:B,2,FALSE),"")</f>
        <v/>
      </c>
      <c r="D2905" s="12" t="n"/>
      <c r="E2905" s="13">
        <f>IF(D2905="","",D2905-TODAY())</f>
        <v/>
      </c>
      <c r="F2905">
        <f>IF(D2905="","",IF(E2905&lt;0,"VENCIDO",IF(E2905&lt;=30,"VENCE EM &lt;= 30 DIAS",IF(E2905&lt;=60,"ATENCAO (31-60 DIAS)","OK"))))</f>
        <v/>
      </c>
      <c r="G2905" s="13">
        <f>SUMIFS(Movimentacoes!$G:$G,Movimentacoes!$C:$C,$A2905,Movimentacoes!$E:$E,$C2905,Movimentacoes!$B:$B,"ENTRADA")</f>
        <v/>
      </c>
      <c r="H2905" s="13">
        <f>SUMIFS(Movimentacoes!$G:$G,Movimentacoes!$C:$C,$A2905,Movimentacoes!$E:$E,$C2905,Movimentacoes!$B:$B,"SAIDA_USO")</f>
        <v/>
      </c>
      <c r="I2905" s="13">
        <f>SUMIFS(Movimentacoes!$G:$G,Movimentacoes!$C:$C,$A2905,Movimentacoes!$E:$E,$C2905,Movimentacoes!$B:$B,"SAIDA_DESCARTE")</f>
        <v/>
      </c>
      <c r="J2905" s="13">
        <f>G2905-H2905-I2905</f>
        <v/>
      </c>
      <c r="K2905">
        <f>IF(A2905="","",IF(J2905&lt;=IFERROR(VLOOKUP(A2905,Cadastro_Produtos!$A:$E,5,FALSE),0),"ABAIXO DO MINIMO","OK"))</f>
        <v/>
      </c>
    </row>
    <row r="2906">
      <c r="B2906">
        <f>IFERROR(VLOOKUP(A2906,Cadastro_Produtos!A:B,2,FALSE),"")</f>
        <v/>
      </c>
      <c r="D2906" s="12" t="n"/>
      <c r="E2906" s="13">
        <f>IF(D2906="","",D2906-TODAY())</f>
        <v/>
      </c>
      <c r="F2906">
        <f>IF(D2906="","",IF(E2906&lt;0,"VENCIDO",IF(E2906&lt;=30,"VENCE EM &lt;= 30 DIAS",IF(E2906&lt;=60,"ATENCAO (31-60 DIAS)","OK"))))</f>
        <v/>
      </c>
      <c r="G2906" s="13">
        <f>SUMIFS(Movimentacoes!$G:$G,Movimentacoes!$C:$C,$A2906,Movimentacoes!$E:$E,$C2906,Movimentacoes!$B:$B,"ENTRADA")</f>
        <v/>
      </c>
      <c r="H2906" s="13">
        <f>SUMIFS(Movimentacoes!$G:$G,Movimentacoes!$C:$C,$A2906,Movimentacoes!$E:$E,$C2906,Movimentacoes!$B:$B,"SAIDA_USO")</f>
        <v/>
      </c>
      <c r="I2906" s="13">
        <f>SUMIFS(Movimentacoes!$G:$G,Movimentacoes!$C:$C,$A2906,Movimentacoes!$E:$E,$C2906,Movimentacoes!$B:$B,"SAIDA_DESCARTE")</f>
        <v/>
      </c>
      <c r="J2906" s="13">
        <f>G2906-H2906-I2906</f>
        <v/>
      </c>
      <c r="K2906">
        <f>IF(A2906="","",IF(J2906&lt;=IFERROR(VLOOKUP(A2906,Cadastro_Produtos!$A:$E,5,FALSE),0),"ABAIXO DO MINIMO","OK"))</f>
        <v/>
      </c>
    </row>
    <row r="2907">
      <c r="B2907">
        <f>IFERROR(VLOOKUP(A2907,Cadastro_Produtos!A:B,2,FALSE),"")</f>
        <v/>
      </c>
      <c r="D2907" s="12" t="n"/>
      <c r="E2907" s="13">
        <f>IF(D2907="","",D2907-TODAY())</f>
        <v/>
      </c>
      <c r="F2907">
        <f>IF(D2907="","",IF(E2907&lt;0,"VENCIDO",IF(E2907&lt;=30,"VENCE EM &lt;= 30 DIAS",IF(E2907&lt;=60,"ATENCAO (31-60 DIAS)","OK"))))</f>
        <v/>
      </c>
      <c r="G2907" s="13">
        <f>SUMIFS(Movimentacoes!$G:$G,Movimentacoes!$C:$C,$A2907,Movimentacoes!$E:$E,$C2907,Movimentacoes!$B:$B,"ENTRADA")</f>
        <v/>
      </c>
      <c r="H2907" s="13">
        <f>SUMIFS(Movimentacoes!$G:$G,Movimentacoes!$C:$C,$A2907,Movimentacoes!$E:$E,$C2907,Movimentacoes!$B:$B,"SAIDA_USO")</f>
        <v/>
      </c>
      <c r="I2907" s="13">
        <f>SUMIFS(Movimentacoes!$G:$G,Movimentacoes!$C:$C,$A2907,Movimentacoes!$E:$E,$C2907,Movimentacoes!$B:$B,"SAIDA_DESCARTE")</f>
        <v/>
      </c>
      <c r="J2907" s="13">
        <f>G2907-H2907-I2907</f>
        <v/>
      </c>
      <c r="K2907">
        <f>IF(A2907="","",IF(J2907&lt;=IFERROR(VLOOKUP(A2907,Cadastro_Produtos!$A:$E,5,FALSE),0),"ABAIXO DO MINIMO","OK"))</f>
        <v/>
      </c>
    </row>
    <row r="2908">
      <c r="B2908">
        <f>IFERROR(VLOOKUP(A2908,Cadastro_Produtos!A:B,2,FALSE),"")</f>
        <v/>
      </c>
      <c r="D2908" s="12" t="n"/>
      <c r="E2908" s="13">
        <f>IF(D2908="","",D2908-TODAY())</f>
        <v/>
      </c>
      <c r="F2908">
        <f>IF(D2908="","",IF(E2908&lt;0,"VENCIDO",IF(E2908&lt;=30,"VENCE EM &lt;= 30 DIAS",IF(E2908&lt;=60,"ATENCAO (31-60 DIAS)","OK"))))</f>
        <v/>
      </c>
      <c r="G2908" s="13">
        <f>SUMIFS(Movimentacoes!$G:$G,Movimentacoes!$C:$C,$A2908,Movimentacoes!$E:$E,$C2908,Movimentacoes!$B:$B,"ENTRADA")</f>
        <v/>
      </c>
      <c r="H2908" s="13">
        <f>SUMIFS(Movimentacoes!$G:$G,Movimentacoes!$C:$C,$A2908,Movimentacoes!$E:$E,$C2908,Movimentacoes!$B:$B,"SAIDA_USO")</f>
        <v/>
      </c>
      <c r="I2908" s="13">
        <f>SUMIFS(Movimentacoes!$G:$G,Movimentacoes!$C:$C,$A2908,Movimentacoes!$E:$E,$C2908,Movimentacoes!$B:$B,"SAIDA_DESCARTE")</f>
        <v/>
      </c>
      <c r="J2908" s="13">
        <f>G2908-H2908-I2908</f>
        <v/>
      </c>
      <c r="K2908">
        <f>IF(A2908="","",IF(J2908&lt;=IFERROR(VLOOKUP(A2908,Cadastro_Produtos!$A:$E,5,FALSE),0),"ABAIXO DO MINIMO","OK"))</f>
        <v/>
      </c>
    </row>
    <row r="2909">
      <c r="B2909">
        <f>IFERROR(VLOOKUP(A2909,Cadastro_Produtos!A:B,2,FALSE),"")</f>
        <v/>
      </c>
      <c r="D2909" s="12" t="n"/>
      <c r="E2909" s="13">
        <f>IF(D2909="","",D2909-TODAY())</f>
        <v/>
      </c>
      <c r="F2909">
        <f>IF(D2909="","",IF(E2909&lt;0,"VENCIDO",IF(E2909&lt;=30,"VENCE EM &lt;= 30 DIAS",IF(E2909&lt;=60,"ATENCAO (31-60 DIAS)","OK"))))</f>
        <v/>
      </c>
      <c r="G2909" s="13">
        <f>SUMIFS(Movimentacoes!$G:$G,Movimentacoes!$C:$C,$A2909,Movimentacoes!$E:$E,$C2909,Movimentacoes!$B:$B,"ENTRADA")</f>
        <v/>
      </c>
      <c r="H2909" s="13">
        <f>SUMIFS(Movimentacoes!$G:$G,Movimentacoes!$C:$C,$A2909,Movimentacoes!$E:$E,$C2909,Movimentacoes!$B:$B,"SAIDA_USO")</f>
        <v/>
      </c>
      <c r="I2909" s="13">
        <f>SUMIFS(Movimentacoes!$G:$G,Movimentacoes!$C:$C,$A2909,Movimentacoes!$E:$E,$C2909,Movimentacoes!$B:$B,"SAIDA_DESCARTE")</f>
        <v/>
      </c>
      <c r="J2909" s="13">
        <f>G2909-H2909-I2909</f>
        <v/>
      </c>
      <c r="K2909">
        <f>IF(A2909="","",IF(J2909&lt;=IFERROR(VLOOKUP(A2909,Cadastro_Produtos!$A:$E,5,FALSE),0),"ABAIXO DO MINIMO","OK"))</f>
        <v/>
      </c>
    </row>
    <row r="2910">
      <c r="B2910">
        <f>IFERROR(VLOOKUP(A2910,Cadastro_Produtos!A:B,2,FALSE),"")</f>
        <v/>
      </c>
      <c r="D2910" s="12" t="n"/>
      <c r="E2910" s="13">
        <f>IF(D2910="","",D2910-TODAY())</f>
        <v/>
      </c>
      <c r="F2910">
        <f>IF(D2910="","",IF(E2910&lt;0,"VENCIDO",IF(E2910&lt;=30,"VENCE EM &lt;= 30 DIAS",IF(E2910&lt;=60,"ATENCAO (31-60 DIAS)","OK"))))</f>
        <v/>
      </c>
      <c r="G2910" s="13">
        <f>SUMIFS(Movimentacoes!$G:$G,Movimentacoes!$C:$C,$A2910,Movimentacoes!$E:$E,$C2910,Movimentacoes!$B:$B,"ENTRADA")</f>
        <v/>
      </c>
      <c r="H2910" s="13">
        <f>SUMIFS(Movimentacoes!$G:$G,Movimentacoes!$C:$C,$A2910,Movimentacoes!$E:$E,$C2910,Movimentacoes!$B:$B,"SAIDA_USO")</f>
        <v/>
      </c>
      <c r="I2910" s="13">
        <f>SUMIFS(Movimentacoes!$G:$G,Movimentacoes!$C:$C,$A2910,Movimentacoes!$E:$E,$C2910,Movimentacoes!$B:$B,"SAIDA_DESCARTE")</f>
        <v/>
      </c>
      <c r="J2910" s="13">
        <f>G2910-H2910-I2910</f>
        <v/>
      </c>
      <c r="K2910">
        <f>IF(A2910="","",IF(J2910&lt;=IFERROR(VLOOKUP(A2910,Cadastro_Produtos!$A:$E,5,FALSE),0),"ABAIXO DO MINIMO","OK"))</f>
        <v/>
      </c>
    </row>
    <row r="2911">
      <c r="B2911">
        <f>IFERROR(VLOOKUP(A2911,Cadastro_Produtos!A:B,2,FALSE),"")</f>
        <v/>
      </c>
      <c r="D2911" s="12" t="n"/>
      <c r="E2911" s="13">
        <f>IF(D2911="","",D2911-TODAY())</f>
        <v/>
      </c>
      <c r="F2911">
        <f>IF(D2911="","",IF(E2911&lt;0,"VENCIDO",IF(E2911&lt;=30,"VENCE EM &lt;= 30 DIAS",IF(E2911&lt;=60,"ATENCAO (31-60 DIAS)","OK"))))</f>
        <v/>
      </c>
      <c r="G2911" s="13">
        <f>SUMIFS(Movimentacoes!$G:$G,Movimentacoes!$C:$C,$A2911,Movimentacoes!$E:$E,$C2911,Movimentacoes!$B:$B,"ENTRADA")</f>
        <v/>
      </c>
      <c r="H2911" s="13">
        <f>SUMIFS(Movimentacoes!$G:$G,Movimentacoes!$C:$C,$A2911,Movimentacoes!$E:$E,$C2911,Movimentacoes!$B:$B,"SAIDA_USO")</f>
        <v/>
      </c>
      <c r="I2911" s="13">
        <f>SUMIFS(Movimentacoes!$G:$G,Movimentacoes!$C:$C,$A2911,Movimentacoes!$E:$E,$C2911,Movimentacoes!$B:$B,"SAIDA_DESCARTE")</f>
        <v/>
      </c>
      <c r="J2911" s="13">
        <f>G2911-H2911-I2911</f>
        <v/>
      </c>
      <c r="K2911">
        <f>IF(A2911="","",IF(J2911&lt;=IFERROR(VLOOKUP(A2911,Cadastro_Produtos!$A:$E,5,FALSE),0),"ABAIXO DO MINIMO","OK"))</f>
        <v/>
      </c>
    </row>
    <row r="2912">
      <c r="B2912">
        <f>IFERROR(VLOOKUP(A2912,Cadastro_Produtos!A:B,2,FALSE),"")</f>
        <v/>
      </c>
      <c r="D2912" s="12" t="n"/>
      <c r="E2912" s="13">
        <f>IF(D2912="","",D2912-TODAY())</f>
        <v/>
      </c>
      <c r="F2912">
        <f>IF(D2912="","",IF(E2912&lt;0,"VENCIDO",IF(E2912&lt;=30,"VENCE EM &lt;= 30 DIAS",IF(E2912&lt;=60,"ATENCAO (31-60 DIAS)","OK"))))</f>
        <v/>
      </c>
      <c r="G2912" s="13">
        <f>SUMIFS(Movimentacoes!$G:$G,Movimentacoes!$C:$C,$A2912,Movimentacoes!$E:$E,$C2912,Movimentacoes!$B:$B,"ENTRADA")</f>
        <v/>
      </c>
      <c r="H2912" s="13">
        <f>SUMIFS(Movimentacoes!$G:$G,Movimentacoes!$C:$C,$A2912,Movimentacoes!$E:$E,$C2912,Movimentacoes!$B:$B,"SAIDA_USO")</f>
        <v/>
      </c>
      <c r="I2912" s="13">
        <f>SUMIFS(Movimentacoes!$G:$G,Movimentacoes!$C:$C,$A2912,Movimentacoes!$E:$E,$C2912,Movimentacoes!$B:$B,"SAIDA_DESCARTE")</f>
        <v/>
      </c>
      <c r="J2912" s="13">
        <f>G2912-H2912-I2912</f>
        <v/>
      </c>
      <c r="K2912">
        <f>IF(A2912="","",IF(J2912&lt;=IFERROR(VLOOKUP(A2912,Cadastro_Produtos!$A:$E,5,FALSE),0),"ABAIXO DO MINIMO","OK"))</f>
        <v/>
      </c>
    </row>
    <row r="2913">
      <c r="B2913">
        <f>IFERROR(VLOOKUP(A2913,Cadastro_Produtos!A:B,2,FALSE),"")</f>
        <v/>
      </c>
      <c r="D2913" s="12" t="n"/>
      <c r="E2913" s="13">
        <f>IF(D2913="","",D2913-TODAY())</f>
        <v/>
      </c>
      <c r="F2913">
        <f>IF(D2913="","",IF(E2913&lt;0,"VENCIDO",IF(E2913&lt;=30,"VENCE EM &lt;= 30 DIAS",IF(E2913&lt;=60,"ATENCAO (31-60 DIAS)","OK"))))</f>
        <v/>
      </c>
      <c r="G2913" s="13">
        <f>SUMIFS(Movimentacoes!$G:$G,Movimentacoes!$C:$C,$A2913,Movimentacoes!$E:$E,$C2913,Movimentacoes!$B:$B,"ENTRADA")</f>
        <v/>
      </c>
      <c r="H2913" s="13">
        <f>SUMIFS(Movimentacoes!$G:$G,Movimentacoes!$C:$C,$A2913,Movimentacoes!$E:$E,$C2913,Movimentacoes!$B:$B,"SAIDA_USO")</f>
        <v/>
      </c>
      <c r="I2913" s="13">
        <f>SUMIFS(Movimentacoes!$G:$G,Movimentacoes!$C:$C,$A2913,Movimentacoes!$E:$E,$C2913,Movimentacoes!$B:$B,"SAIDA_DESCARTE")</f>
        <v/>
      </c>
      <c r="J2913" s="13">
        <f>G2913-H2913-I2913</f>
        <v/>
      </c>
      <c r="K2913">
        <f>IF(A2913="","",IF(J2913&lt;=IFERROR(VLOOKUP(A2913,Cadastro_Produtos!$A:$E,5,FALSE),0),"ABAIXO DO MINIMO","OK"))</f>
        <v/>
      </c>
    </row>
    <row r="2914">
      <c r="B2914">
        <f>IFERROR(VLOOKUP(A2914,Cadastro_Produtos!A:B,2,FALSE),"")</f>
        <v/>
      </c>
      <c r="D2914" s="12" t="n"/>
      <c r="E2914" s="13">
        <f>IF(D2914="","",D2914-TODAY())</f>
        <v/>
      </c>
      <c r="F2914">
        <f>IF(D2914="","",IF(E2914&lt;0,"VENCIDO",IF(E2914&lt;=30,"VENCE EM &lt;= 30 DIAS",IF(E2914&lt;=60,"ATENCAO (31-60 DIAS)","OK"))))</f>
        <v/>
      </c>
      <c r="G2914" s="13">
        <f>SUMIFS(Movimentacoes!$G:$G,Movimentacoes!$C:$C,$A2914,Movimentacoes!$E:$E,$C2914,Movimentacoes!$B:$B,"ENTRADA")</f>
        <v/>
      </c>
      <c r="H2914" s="13">
        <f>SUMIFS(Movimentacoes!$G:$G,Movimentacoes!$C:$C,$A2914,Movimentacoes!$E:$E,$C2914,Movimentacoes!$B:$B,"SAIDA_USO")</f>
        <v/>
      </c>
      <c r="I2914" s="13">
        <f>SUMIFS(Movimentacoes!$G:$G,Movimentacoes!$C:$C,$A2914,Movimentacoes!$E:$E,$C2914,Movimentacoes!$B:$B,"SAIDA_DESCARTE")</f>
        <v/>
      </c>
      <c r="J2914" s="13">
        <f>G2914-H2914-I2914</f>
        <v/>
      </c>
      <c r="K2914">
        <f>IF(A2914="","",IF(J2914&lt;=IFERROR(VLOOKUP(A2914,Cadastro_Produtos!$A:$E,5,FALSE),0),"ABAIXO DO MINIMO","OK"))</f>
        <v/>
      </c>
    </row>
    <row r="2915">
      <c r="B2915">
        <f>IFERROR(VLOOKUP(A2915,Cadastro_Produtos!A:B,2,FALSE),"")</f>
        <v/>
      </c>
      <c r="D2915" s="12" t="n"/>
      <c r="E2915" s="13">
        <f>IF(D2915="","",D2915-TODAY())</f>
        <v/>
      </c>
      <c r="F2915">
        <f>IF(D2915="","",IF(E2915&lt;0,"VENCIDO",IF(E2915&lt;=30,"VENCE EM &lt;= 30 DIAS",IF(E2915&lt;=60,"ATENCAO (31-60 DIAS)","OK"))))</f>
        <v/>
      </c>
      <c r="G2915" s="13">
        <f>SUMIFS(Movimentacoes!$G:$G,Movimentacoes!$C:$C,$A2915,Movimentacoes!$E:$E,$C2915,Movimentacoes!$B:$B,"ENTRADA")</f>
        <v/>
      </c>
      <c r="H2915" s="13">
        <f>SUMIFS(Movimentacoes!$G:$G,Movimentacoes!$C:$C,$A2915,Movimentacoes!$E:$E,$C2915,Movimentacoes!$B:$B,"SAIDA_USO")</f>
        <v/>
      </c>
      <c r="I2915" s="13">
        <f>SUMIFS(Movimentacoes!$G:$G,Movimentacoes!$C:$C,$A2915,Movimentacoes!$E:$E,$C2915,Movimentacoes!$B:$B,"SAIDA_DESCARTE")</f>
        <v/>
      </c>
      <c r="J2915" s="13">
        <f>G2915-H2915-I2915</f>
        <v/>
      </c>
      <c r="K2915">
        <f>IF(A2915="","",IF(J2915&lt;=IFERROR(VLOOKUP(A2915,Cadastro_Produtos!$A:$E,5,FALSE),0),"ABAIXO DO MINIMO","OK"))</f>
        <v/>
      </c>
    </row>
    <row r="2916">
      <c r="B2916">
        <f>IFERROR(VLOOKUP(A2916,Cadastro_Produtos!A:B,2,FALSE),"")</f>
        <v/>
      </c>
      <c r="D2916" s="12" t="n"/>
      <c r="E2916" s="13">
        <f>IF(D2916="","",D2916-TODAY())</f>
        <v/>
      </c>
      <c r="F2916">
        <f>IF(D2916="","",IF(E2916&lt;0,"VENCIDO",IF(E2916&lt;=30,"VENCE EM &lt;= 30 DIAS",IF(E2916&lt;=60,"ATENCAO (31-60 DIAS)","OK"))))</f>
        <v/>
      </c>
      <c r="G2916" s="13">
        <f>SUMIFS(Movimentacoes!$G:$G,Movimentacoes!$C:$C,$A2916,Movimentacoes!$E:$E,$C2916,Movimentacoes!$B:$B,"ENTRADA")</f>
        <v/>
      </c>
      <c r="H2916" s="13">
        <f>SUMIFS(Movimentacoes!$G:$G,Movimentacoes!$C:$C,$A2916,Movimentacoes!$E:$E,$C2916,Movimentacoes!$B:$B,"SAIDA_USO")</f>
        <v/>
      </c>
      <c r="I2916" s="13">
        <f>SUMIFS(Movimentacoes!$G:$G,Movimentacoes!$C:$C,$A2916,Movimentacoes!$E:$E,$C2916,Movimentacoes!$B:$B,"SAIDA_DESCARTE")</f>
        <v/>
      </c>
      <c r="J2916" s="13">
        <f>G2916-H2916-I2916</f>
        <v/>
      </c>
      <c r="K2916">
        <f>IF(A2916="","",IF(J2916&lt;=IFERROR(VLOOKUP(A2916,Cadastro_Produtos!$A:$E,5,FALSE),0),"ABAIXO DO MINIMO","OK"))</f>
        <v/>
      </c>
    </row>
    <row r="2917">
      <c r="B2917">
        <f>IFERROR(VLOOKUP(A2917,Cadastro_Produtos!A:B,2,FALSE),"")</f>
        <v/>
      </c>
      <c r="D2917" s="12" t="n"/>
      <c r="E2917" s="13">
        <f>IF(D2917="","",D2917-TODAY())</f>
        <v/>
      </c>
      <c r="F2917">
        <f>IF(D2917="","",IF(E2917&lt;0,"VENCIDO",IF(E2917&lt;=30,"VENCE EM &lt;= 30 DIAS",IF(E2917&lt;=60,"ATENCAO (31-60 DIAS)","OK"))))</f>
        <v/>
      </c>
      <c r="G2917" s="13">
        <f>SUMIFS(Movimentacoes!$G:$G,Movimentacoes!$C:$C,$A2917,Movimentacoes!$E:$E,$C2917,Movimentacoes!$B:$B,"ENTRADA")</f>
        <v/>
      </c>
      <c r="H2917" s="13">
        <f>SUMIFS(Movimentacoes!$G:$G,Movimentacoes!$C:$C,$A2917,Movimentacoes!$E:$E,$C2917,Movimentacoes!$B:$B,"SAIDA_USO")</f>
        <v/>
      </c>
      <c r="I2917" s="13">
        <f>SUMIFS(Movimentacoes!$G:$G,Movimentacoes!$C:$C,$A2917,Movimentacoes!$E:$E,$C2917,Movimentacoes!$B:$B,"SAIDA_DESCARTE")</f>
        <v/>
      </c>
      <c r="J2917" s="13">
        <f>G2917-H2917-I2917</f>
        <v/>
      </c>
      <c r="K2917">
        <f>IF(A2917="","",IF(J2917&lt;=IFERROR(VLOOKUP(A2917,Cadastro_Produtos!$A:$E,5,FALSE),0),"ABAIXO DO MINIMO","OK"))</f>
        <v/>
      </c>
    </row>
    <row r="2918">
      <c r="B2918">
        <f>IFERROR(VLOOKUP(A2918,Cadastro_Produtos!A:B,2,FALSE),"")</f>
        <v/>
      </c>
      <c r="D2918" s="12" t="n"/>
      <c r="E2918" s="13">
        <f>IF(D2918="","",D2918-TODAY())</f>
        <v/>
      </c>
      <c r="F2918">
        <f>IF(D2918="","",IF(E2918&lt;0,"VENCIDO",IF(E2918&lt;=30,"VENCE EM &lt;= 30 DIAS",IF(E2918&lt;=60,"ATENCAO (31-60 DIAS)","OK"))))</f>
        <v/>
      </c>
      <c r="G2918" s="13">
        <f>SUMIFS(Movimentacoes!$G:$G,Movimentacoes!$C:$C,$A2918,Movimentacoes!$E:$E,$C2918,Movimentacoes!$B:$B,"ENTRADA")</f>
        <v/>
      </c>
      <c r="H2918" s="13">
        <f>SUMIFS(Movimentacoes!$G:$G,Movimentacoes!$C:$C,$A2918,Movimentacoes!$E:$E,$C2918,Movimentacoes!$B:$B,"SAIDA_USO")</f>
        <v/>
      </c>
      <c r="I2918" s="13">
        <f>SUMIFS(Movimentacoes!$G:$G,Movimentacoes!$C:$C,$A2918,Movimentacoes!$E:$E,$C2918,Movimentacoes!$B:$B,"SAIDA_DESCARTE")</f>
        <v/>
      </c>
      <c r="J2918" s="13">
        <f>G2918-H2918-I2918</f>
        <v/>
      </c>
      <c r="K2918">
        <f>IF(A2918="","",IF(J2918&lt;=IFERROR(VLOOKUP(A2918,Cadastro_Produtos!$A:$E,5,FALSE),0),"ABAIXO DO MINIMO","OK"))</f>
        <v/>
      </c>
    </row>
    <row r="2919">
      <c r="B2919">
        <f>IFERROR(VLOOKUP(A2919,Cadastro_Produtos!A:B,2,FALSE),"")</f>
        <v/>
      </c>
      <c r="D2919" s="12" t="n"/>
      <c r="E2919" s="13">
        <f>IF(D2919="","",D2919-TODAY())</f>
        <v/>
      </c>
      <c r="F2919">
        <f>IF(D2919="","",IF(E2919&lt;0,"VENCIDO",IF(E2919&lt;=30,"VENCE EM &lt;= 30 DIAS",IF(E2919&lt;=60,"ATENCAO (31-60 DIAS)","OK"))))</f>
        <v/>
      </c>
      <c r="G2919" s="13">
        <f>SUMIFS(Movimentacoes!$G:$G,Movimentacoes!$C:$C,$A2919,Movimentacoes!$E:$E,$C2919,Movimentacoes!$B:$B,"ENTRADA")</f>
        <v/>
      </c>
      <c r="H2919" s="13">
        <f>SUMIFS(Movimentacoes!$G:$G,Movimentacoes!$C:$C,$A2919,Movimentacoes!$E:$E,$C2919,Movimentacoes!$B:$B,"SAIDA_USO")</f>
        <v/>
      </c>
      <c r="I2919" s="13">
        <f>SUMIFS(Movimentacoes!$G:$G,Movimentacoes!$C:$C,$A2919,Movimentacoes!$E:$E,$C2919,Movimentacoes!$B:$B,"SAIDA_DESCARTE")</f>
        <v/>
      </c>
      <c r="J2919" s="13">
        <f>G2919-H2919-I2919</f>
        <v/>
      </c>
      <c r="K2919">
        <f>IF(A2919="","",IF(J2919&lt;=IFERROR(VLOOKUP(A2919,Cadastro_Produtos!$A:$E,5,FALSE),0),"ABAIXO DO MINIMO","OK"))</f>
        <v/>
      </c>
    </row>
    <row r="2920">
      <c r="B2920">
        <f>IFERROR(VLOOKUP(A2920,Cadastro_Produtos!A:B,2,FALSE),"")</f>
        <v/>
      </c>
      <c r="D2920" s="12" t="n"/>
      <c r="E2920" s="13">
        <f>IF(D2920="","",D2920-TODAY())</f>
        <v/>
      </c>
      <c r="F2920">
        <f>IF(D2920="","",IF(E2920&lt;0,"VENCIDO",IF(E2920&lt;=30,"VENCE EM &lt;= 30 DIAS",IF(E2920&lt;=60,"ATENCAO (31-60 DIAS)","OK"))))</f>
        <v/>
      </c>
      <c r="G2920" s="13">
        <f>SUMIFS(Movimentacoes!$G:$G,Movimentacoes!$C:$C,$A2920,Movimentacoes!$E:$E,$C2920,Movimentacoes!$B:$B,"ENTRADA")</f>
        <v/>
      </c>
      <c r="H2920" s="13">
        <f>SUMIFS(Movimentacoes!$G:$G,Movimentacoes!$C:$C,$A2920,Movimentacoes!$E:$E,$C2920,Movimentacoes!$B:$B,"SAIDA_USO")</f>
        <v/>
      </c>
      <c r="I2920" s="13">
        <f>SUMIFS(Movimentacoes!$G:$G,Movimentacoes!$C:$C,$A2920,Movimentacoes!$E:$E,$C2920,Movimentacoes!$B:$B,"SAIDA_DESCARTE")</f>
        <v/>
      </c>
      <c r="J2920" s="13">
        <f>G2920-H2920-I2920</f>
        <v/>
      </c>
      <c r="K2920">
        <f>IF(A2920="","",IF(J2920&lt;=IFERROR(VLOOKUP(A2920,Cadastro_Produtos!$A:$E,5,FALSE),0),"ABAIXO DO MINIMO","OK"))</f>
        <v/>
      </c>
    </row>
    <row r="2921">
      <c r="B2921">
        <f>IFERROR(VLOOKUP(A2921,Cadastro_Produtos!A:B,2,FALSE),"")</f>
        <v/>
      </c>
      <c r="D2921" s="12" t="n"/>
      <c r="E2921" s="13">
        <f>IF(D2921="","",D2921-TODAY())</f>
        <v/>
      </c>
      <c r="F2921">
        <f>IF(D2921="","",IF(E2921&lt;0,"VENCIDO",IF(E2921&lt;=30,"VENCE EM &lt;= 30 DIAS",IF(E2921&lt;=60,"ATENCAO (31-60 DIAS)","OK"))))</f>
        <v/>
      </c>
      <c r="G2921" s="13">
        <f>SUMIFS(Movimentacoes!$G:$G,Movimentacoes!$C:$C,$A2921,Movimentacoes!$E:$E,$C2921,Movimentacoes!$B:$B,"ENTRADA")</f>
        <v/>
      </c>
      <c r="H2921" s="13">
        <f>SUMIFS(Movimentacoes!$G:$G,Movimentacoes!$C:$C,$A2921,Movimentacoes!$E:$E,$C2921,Movimentacoes!$B:$B,"SAIDA_USO")</f>
        <v/>
      </c>
      <c r="I2921" s="13">
        <f>SUMIFS(Movimentacoes!$G:$G,Movimentacoes!$C:$C,$A2921,Movimentacoes!$E:$E,$C2921,Movimentacoes!$B:$B,"SAIDA_DESCARTE")</f>
        <v/>
      </c>
      <c r="J2921" s="13">
        <f>G2921-H2921-I2921</f>
        <v/>
      </c>
      <c r="K2921">
        <f>IF(A2921="","",IF(J2921&lt;=IFERROR(VLOOKUP(A2921,Cadastro_Produtos!$A:$E,5,FALSE),0),"ABAIXO DO MINIMO","OK"))</f>
        <v/>
      </c>
    </row>
    <row r="2922">
      <c r="B2922">
        <f>IFERROR(VLOOKUP(A2922,Cadastro_Produtos!A:B,2,FALSE),"")</f>
        <v/>
      </c>
      <c r="D2922" s="12" t="n"/>
      <c r="E2922" s="13">
        <f>IF(D2922="","",D2922-TODAY())</f>
        <v/>
      </c>
      <c r="F2922">
        <f>IF(D2922="","",IF(E2922&lt;0,"VENCIDO",IF(E2922&lt;=30,"VENCE EM &lt;= 30 DIAS",IF(E2922&lt;=60,"ATENCAO (31-60 DIAS)","OK"))))</f>
        <v/>
      </c>
      <c r="G2922" s="13">
        <f>SUMIFS(Movimentacoes!$G:$G,Movimentacoes!$C:$C,$A2922,Movimentacoes!$E:$E,$C2922,Movimentacoes!$B:$B,"ENTRADA")</f>
        <v/>
      </c>
      <c r="H2922" s="13">
        <f>SUMIFS(Movimentacoes!$G:$G,Movimentacoes!$C:$C,$A2922,Movimentacoes!$E:$E,$C2922,Movimentacoes!$B:$B,"SAIDA_USO")</f>
        <v/>
      </c>
      <c r="I2922" s="13">
        <f>SUMIFS(Movimentacoes!$G:$G,Movimentacoes!$C:$C,$A2922,Movimentacoes!$E:$E,$C2922,Movimentacoes!$B:$B,"SAIDA_DESCARTE")</f>
        <v/>
      </c>
      <c r="J2922" s="13">
        <f>G2922-H2922-I2922</f>
        <v/>
      </c>
      <c r="K2922">
        <f>IF(A2922="","",IF(J2922&lt;=IFERROR(VLOOKUP(A2922,Cadastro_Produtos!$A:$E,5,FALSE),0),"ABAIXO DO MINIMO","OK"))</f>
        <v/>
      </c>
    </row>
    <row r="2923">
      <c r="B2923">
        <f>IFERROR(VLOOKUP(A2923,Cadastro_Produtos!A:B,2,FALSE),"")</f>
        <v/>
      </c>
      <c r="D2923" s="12" t="n"/>
      <c r="E2923" s="13">
        <f>IF(D2923="","",D2923-TODAY())</f>
        <v/>
      </c>
      <c r="F2923">
        <f>IF(D2923="","",IF(E2923&lt;0,"VENCIDO",IF(E2923&lt;=30,"VENCE EM &lt;= 30 DIAS",IF(E2923&lt;=60,"ATENCAO (31-60 DIAS)","OK"))))</f>
        <v/>
      </c>
      <c r="G2923" s="13">
        <f>SUMIFS(Movimentacoes!$G:$G,Movimentacoes!$C:$C,$A2923,Movimentacoes!$E:$E,$C2923,Movimentacoes!$B:$B,"ENTRADA")</f>
        <v/>
      </c>
      <c r="H2923" s="13">
        <f>SUMIFS(Movimentacoes!$G:$G,Movimentacoes!$C:$C,$A2923,Movimentacoes!$E:$E,$C2923,Movimentacoes!$B:$B,"SAIDA_USO")</f>
        <v/>
      </c>
      <c r="I2923" s="13">
        <f>SUMIFS(Movimentacoes!$G:$G,Movimentacoes!$C:$C,$A2923,Movimentacoes!$E:$E,$C2923,Movimentacoes!$B:$B,"SAIDA_DESCARTE")</f>
        <v/>
      </c>
      <c r="J2923" s="13">
        <f>G2923-H2923-I2923</f>
        <v/>
      </c>
      <c r="K2923">
        <f>IF(A2923="","",IF(J2923&lt;=IFERROR(VLOOKUP(A2923,Cadastro_Produtos!$A:$E,5,FALSE),0),"ABAIXO DO MINIMO","OK"))</f>
        <v/>
      </c>
    </row>
    <row r="2924">
      <c r="B2924">
        <f>IFERROR(VLOOKUP(A2924,Cadastro_Produtos!A:B,2,FALSE),"")</f>
        <v/>
      </c>
      <c r="D2924" s="12" t="n"/>
      <c r="E2924" s="13">
        <f>IF(D2924="","",D2924-TODAY())</f>
        <v/>
      </c>
      <c r="F2924">
        <f>IF(D2924="","",IF(E2924&lt;0,"VENCIDO",IF(E2924&lt;=30,"VENCE EM &lt;= 30 DIAS",IF(E2924&lt;=60,"ATENCAO (31-60 DIAS)","OK"))))</f>
        <v/>
      </c>
      <c r="G2924" s="13">
        <f>SUMIFS(Movimentacoes!$G:$G,Movimentacoes!$C:$C,$A2924,Movimentacoes!$E:$E,$C2924,Movimentacoes!$B:$B,"ENTRADA")</f>
        <v/>
      </c>
      <c r="H2924" s="13">
        <f>SUMIFS(Movimentacoes!$G:$G,Movimentacoes!$C:$C,$A2924,Movimentacoes!$E:$E,$C2924,Movimentacoes!$B:$B,"SAIDA_USO")</f>
        <v/>
      </c>
      <c r="I2924" s="13">
        <f>SUMIFS(Movimentacoes!$G:$G,Movimentacoes!$C:$C,$A2924,Movimentacoes!$E:$E,$C2924,Movimentacoes!$B:$B,"SAIDA_DESCARTE")</f>
        <v/>
      </c>
      <c r="J2924" s="13">
        <f>G2924-H2924-I2924</f>
        <v/>
      </c>
      <c r="K2924">
        <f>IF(A2924="","",IF(J2924&lt;=IFERROR(VLOOKUP(A2924,Cadastro_Produtos!$A:$E,5,FALSE),0),"ABAIXO DO MINIMO","OK"))</f>
        <v/>
      </c>
    </row>
    <row r="2925">
      <c r="B2925">
        <f>IFERROR(VLOOKUP(A2925,Cadastro_Produtos!A:B,2,FALSE),"")</f>
        <v/>
      </c>
      <c r="D2925" s="12" t="n"/>
      <c r="E2925" s="13">
        <f>IF(D2925="","",D2925-TODAY())</f>
        <v/>
      </c>
      <c r="F2925">
        <f>IF(D2925="","",IF(E2925&lt;0,"VENCIDO",IF(E2925&lt;=30,"VENCE EM &lt;= 30 DIAS",IF(E2925&lt;=60,"ATENCAO (31-60 DIAS)","OK"))))</f>
        <v/>
      </c>
      <c r="G2925" s="13">
        <f>SUMIFS(Movimentacoes!$G:$G,Movimentacoes!$C:$C,$A2925,Movimentacoes!$E:$E,$C2925,Movimentacoes!$B:$B,"ENTRADA")</f>
        <v/>
      </c>
      <c r="H2925" s="13">
        <f>SUMIFS(Movimentacoes!$G:$G,Movimentacoes!$C:$C,$A2925,Movimentacoes!$E:$E,$C2925,Movimentacoes!$B:$B,"SAIDA_USO")</f>
        <v/>
      </c>
      <c r="I2925" s="13">
        <f>SUMIFS(Movimentacoes!$G:$G,Movimentacoes!$C:$C,$A2925,Movimentacoes!$E:$E,$C2925,Movimentacoes!$B:$B,"SAIDA_DESCARTE")</f>
        <v/>
      </c>
      <c r="J2925" s="13">
        <f>G2925-H2925-I2925</f>
        <v/>
      </c>
      <c r="K2925">
        <f>IF(A2925="","",IF(J2925&lt;=IFERROR(VLOOKUP(A2925,Cadastro_Produtos!$A:$E,5,FALSE),0),"ABAIXO DO MINIMO","OK"))</f>
        <v/>
      </c>
    </row>
    <row r="2926">
      <c r="B2926">
        <f>IFERROR(VLOOKUP(A2926,Cadastro_Produtos!A:B,2,FALSE),"")</f>
        <v/>
      </c>
      <c r="D2926" s="12" t="n"/>
      <c r="E2926" s="13">
        <f>IF(D2926="","",D2926-TODAY())</f>
        <v/>
      </c>
      <c r="F2926">
        <f>IF(D2926="","",IF(E2926&lt;0,"VENCIDO",IF(E2926&lt;=30,"VENCE EM &lt;= 30 DIAS",IF(E2926&lt;=60,"ATENCAO (31-60 DIAS)","OK"))))</f>
        <v/>
      </c>
      <c r="G2926" s="13">
        <f>SUMIFS(Movimentacoes!$G:$G,Movimentacoes!$C:$C,$A2926,Movimentacoes!$E:$E,$C2926,Movimentacoes!$B:$B,"ENTRADA")</f>
        <v/>
      </c>
      <c r="H2926" s="13">
        <f>SUMIFS(Movimentacoes!$G:$G,Movimentacoes!$C:$C,$A2926,Movimentacoes!$E:$E,$C2926,Movimentacoes!$B:$B,"SAIDA_USO")</f>
        <v/>
      </c>
      <c r="I2926" s="13">
        <f>SUMIFS(Movimentacoes!$G:$G,Movimentacoes!$C:$C,$A2926,Movimentacoes!$E:$E,$C2926,Movimentacoes!$B:$B,"SAIDA_DESCARTE")</f>
        <v/>
      </c>
      <c r="J2926" s="13">
        <f>G2926-H2926-I2926</f>
        <v/>
      </c>
      <c r="K2926">
        <f>IF(A2926="","",IF(J2926&lt;=IFERROR(VLOOKUP(A2926,Cadastro_Produtos!$A:$E,5,FALSE),0),"ABAIXO DO MINIMO","OK"))</f>
        <v/>
      </c>
    </row>
    <row r="2927">
      <c r="B2927">
        <f>IFERROR(VLOOKUP(A2927,Cadastro_Produtos!A:B,2,FALSE),"")</f>
        <v/>
      </c>
      <c r="D2927" s="12" t="n"/>
      <c r="E2927" s="13">
        <f>IF(D2927="","",D2927-TODAY())</f>
        <v/>
      </c>
      <c r="F2927">
        <f>IF(D2927="","",IF(E2927&lt;0,"VENCIDO",IF(E2927&lt;=30,"VENCE EM &lt;= 30 DIAS",IF(E2927&lt;=60,"ATENCAO (31-60 DIAS)","OK"))))</f>
        <v/>
      </c>
      <c r="G2927" s="13">
        <f>SUMIFS(Movimentacoes!$G:$G,Movimentacoes!$C:$C,$A2927,Movimentacoes!$E:$E,$C2927,Movimentacoes!$B:$B,"ENTRADA")</f>
        <v/>
      </c>
      <c r="H2927" s="13">
        <f>SUMIFS(Movimentacoes!$G:$G,Movimentacoes!$C:$C,$A2927,Movimentacoes!$E:$E,$C2927,Movimentacoes!$B:$B,"SAIDA_USO")</f>
        <v/>
      </c>
      <c r="I2927" s="13">
        <f>SUMIFS(Movimentacoes!$G:$G,Movimentacoes!$C:$C,$A2927,Movimentacoes!$E:$E,$C2927,Movimentacoes!$B:$B,"SAIDA_DESCARTE")</f>
        <v/>
      </c>
      <c r="J2927" s="13">
        <f>G2927-H2927-I2927</f>
        <v/>
      </c>
      <c r="K2927">
        <f>IF(A2927="","",IF(J2927&lt;=IFERROR(VLOOKUP(A2927,Cadastro_Produtos!$A:$E,5,FALSE),0),"ABAIXO DO MINIMO","OK"))</f>
        <v/>
      </c>
    </row>
    <row r="2928">
      <c r="B2928">
        <f>IFERROR(VLOOKUP(A2928,Cadastro_Produtos!A:B,2,FALSE),"")</f>
        <v/>
      </c>
      <c r="D2928" s="12" t="n"/>
      <c r="E2928" s="13">
        <f>IF(D2928="","",D2928-TODAY())</f>
        <v/>
      </c>
      <c r="F2928">
        <f>IF(D2928="","",IF(E2928&lt;0,"VENCIDO",IF(E2928&lt;=30,"VENCE EM &lt;= 30 DIAS",IF(E2928&lt;=60,"ATENCAO (31-60 DIAS)","OK"))))</f>
        <v/>
      </c>
      <c r="G2928" s="13">
        <f>SUMIFS(Movimentacoes!$G:$G,Movimentacoes!$C:$C,$A2928,Movimentacoes!$E:$E,$C2928,Movimentacoes!$B:$B,"ENTRADA")</f>
        <v/>
      </c>
      <c r="H2928" s="13">
        <f>SUMIFS(Movimentacoes!$G:$G,Movimentacoes!$C:$C,$A2928,Movimentacoes!$E:$E,$C2928,Movimentacoes!$B:$B,"SAIDA_USO")</f>
        <v/>
      </c>
      <c r="I2928" s="13">
        <f>SUMIFS(Movimentacoes!$G:$G,Movimentacoes!$C:$C,$A2928,Movimentacoes!$E:$E,$C2928,Movimentacoes!$B:$B,"SAIDA_DESCARTE")</f>
        <v/>
      </c>
      <c r="J2928" s="13">
        <f>G2928-H2928-I2928</f>
        <v/>
      </c>
      <c r="K2928">
        <f>IF(A2928="","",IF(J2928&lt;=IFERROR(VLOOKUP(A2928,Cadastro_Produtos!$A:$E,5,FALSE),0),"ABAIXO DO MINIMO","OK"))</f>
        <v/>
      </c>
    </row>
    <row r="2929">
      <c r="B2929">
        <f>IFERROR(VLOOKUP(A2929,Cadastro_Produtos!A:B,2,FALSE),"")</f>
        <v/>
      </c>
      <c r="D2929" s="12" t="n"/>
      <c r="E2929" s="13">
        <f>IF(D2929="","",D2929-TODAY())</f>
        <v/>
      </c>
      <c r="F2929">
        <f>IF(D2929="","",IF(E2929&lt;0,"VENCIDO",IF(E2929&lt;=30,"VENCE EM &lt;= 30 DIAS",IF(E2929&lt;=60,"ATENCAO (31-60 DIAS)","OK"))))</f>
        <v/>
      </c>
      <c r="G2929" s="13">
        <f>SUMIFS(Movimentacoes!$G:$G,Movimentacoes!$C:$C,$A2929,Movimentacoes!$E:$E,$C2929,Movimentacoes!$B:$B,"ENTRADA")</f>
        <v/>
      </c>
      <c r="H2929" s="13">
        <f>SUMIFS(Movimentacoes!$G:$G,Movimentacoes!$C:$C,$A2929,Movimentacoes!$E:$E,$C2929,Movimentacoes!$B:$B,"SAIDA_USO")</f>
        <v/>
      </c>
      <c r="I2929" s="13">
        <f>SUMIFS(Movimentacoes!$G:$G,Movimentacoes!$C:$C,$A2929,Movimentacoes!$E:$E,$C2929,Movimentacoes!$B:$B,"SAIDA_DESCARTE")</f>
        <v/>
      </c>
      <c r="J2929" s="13">
        <f>G2929-H2929-I2929</f>
        <v/>
      </c>
      <c r="K2929">
        <f>IF(A2929="","",IF(J2929&lt;=IFERROR(VLOOKUP(A2929,Cadastro_Produtos!$A:$E,5,FALSE),0),"ABAIXO DO MINIMO","OK"))</f>
        <v/>
      </c>
    </row>
    <row r="2930">
      <c r="B2930">
        <f>IFERROR(VLOOKUP(A2930,Cadastro_Produtos!A:B,2,FALSE),"")</f>
        <v/>
      </c>
      <c r="D2930" s="12" t="n"/>
      <c r="E2930" s="13">
        <f>IF(D2930="","",D2930-TODAY())</f>
        <v/>
      </c>
      <c r="F2930">
        <f>IF(D2930="","",IF(E2930&lt;0,"VENCIDO",IF(E2930&lt;=30,"VENCE EM &lt;= 30 DIAS",IF(E2930&lt;=60,"ATENCAO (31-60 DIAS)","OK"))))</f>
        <v/>
      </c>
      <c r="G2930" s="13">
        <f>SUMIFS(Movimentacoes!$G:$G,Movimentacoes!$C:$C,$A2930,Movimentacoes!$E:$E,$C2930,Movimentacoes!$B:$B,"ENTRADA")</f>
        <v/>
      </c>
      <c r="H2930" s="13">
        <f>SUMIFS(Movimentacoes!$G:$G,Movimentacoes!$C:$C,$A2930,Movimentacoes!$E:$E,$C2930,Movimentacoes!$B:$B,"SAIDA_USO")</f>
        <v/>
      </c>
      <c r="I2930" s="13">
        <f>SUMIFS(Movimentacoes!$G:$G,Movimentacoes!$C:$C,$A2930,Movimentacoes!$E:$E,$C2930,Movimentacoes!$B:$B,"SAIDA_DESCARTE")</f>
        <v/>
      </c>
      <c r="J2930" s="13">
        <f>G2930-H2930-I2930</f>
        <v/>
      </c>
      <c r="K2930">
        <f>IF(A2930="","",IF(J2930&lt;=IFERROR(VLOOKUP(A2930,Cadastro_Produtos!$A:$E,5,FALSE),0),"ABAIXO DO MINIMO","OK"))</f>
        <v/>
      </c>
    </row>
    <row r="2931">
      <c r="B2931">
        <f>IFERROR(VLOOKUP(A2931,Cadastro_Produtos!A:B,2,FALSE),"")</f>
        <v/>
      </c>
      <c r="D2931" s="12" t="n"/>
      <c r="E2931" s="13">
        <f>IF(D2931="","",D2931-TODAY())</f>
        <v/>
      </c>
      <c r="F2931">
        <f>IF(D2931="","",IF(E2931&lt;0,"VENCIDO",IF(E2931&lt;=30,"VENCE EM &lt;= 30 DIAS",IF(E2931&lt;=60,"ATENCAO (31-60 DIAS)","OK"))))</f>
        <v/>
      </c>
      <c r="G2931" s="13">
        <f>SUMIFS(Movimentacoes!$G:$G,Movimentacoes!$C:$C,$A2931,Movimentacoes!$E:$E,$C2931,Movimentacoes!$B:$B,"ENTRADA")</f>
        <v/>
      </c>
      <c r="H2931" s="13">
        <f>SUMIFS(Movimentacoes!$G:$G,Movimentacoes!$C:$C,$A2931,Movimentacoes!$E:$E,$C2931,Movimentacoes!$B:$B,"SAIDA_USO")</f>
        <v/>
      </c>
      <c r="I2931" s="13">
        <f>SUMIFS(Movimentacoes!$G:$G,Movimentacoes!$C:$C,$A2931,Movimentacoes!$E:$E,$C2931,Movimentacoes!$B:$B,"SAIDA_DESCARTE")</f>
        <v/>
      </c>
      <c r="J2931" s="13">
        <f>G2931-H2931-I2931</f>
        <v/>
      </c>
      <c r="K2931">
        <f>IF(A2931="","",IF(J2931&lt;=IFERROR(VLOOKUP(A2931,Cadastro_Produtos!$A:$E,5,FALSE),0),"ABAIXO DO MINIMO","OK"))</f>
        <v/>
      </c>
    </row>
    <row r="2932">
      <c r="B2932">
        <f>IFERROR(VLOOKUP(A2932,Cadastro_Produtos!A:B,2,FALSE),"")</f>
        <v/>
      </c>
      <c r="D2932" s="12" t="n"/>
      <c r="E2932" s="13">
        <f>IF(D2932="","",D2932-TODAY())</f>
        <v/>
      </c>
      <c r="F2932">
        <f>IF(D2932="","",IF(E2932&lt;0,"VENCIDO",IF(E2932&lt;=30,"VENCE EM &lt;= 30 DIAS",IF(E2932&lt;=60,"ATENCAO (31-60 DIAS)","OK"))))</f>
        <v/>
      </c>
      <c r="G2932" s="13">
        <f>SUMIFS(Movimentacoes!$G:$G,Movimentacoes!$C:$C,$A2932,Movimentacoes!$E:$E,$C2932,Movimentacoes!$B:$B,"ENTRADA")</f>
        <v/>
      </c>
      <c r="H2932" s="13">
        <f>SUMIFS(Movimentacoes!$G:$G,Movimentacoes!$C:$C,$A2932,Movimentacoes!$E:$E,$C2932,Movimentacoes!$B:$B,"SAIDA_USO")</f>
        <v/>
      </c>
      <c r="I2932" s="13">
        <f>SUMIFS(Movimentacoes!$G:$G,Movimentacoes!$C:$C,$A2932,Movimentacoes!$E:$E,$C2932,Movimentacoes!$B:$B,"SAIDA_DESCARTE")</f>
        <v/>
      </c>
      <c r="J2932" s="13">
        <f>G2932-H2932-I2932</f>
        <v/>
      </c>
      <c r="K2932">
        <f>IF(A2932="","",IF(J2932&lt;=IFERROR(VLOOKUP(A2932,Cadastro_Produtos!$A:$E,5,FALSE),0),"ABAIXO DO MINIMO","OK"))</f>
        <v/>
      </c>
    </row>
    <row r="2933">
      <c r="B2933">
        <f>IFERROR(VLOOKUP(A2933,Cadastro_Produtos!A:B,2,FALSE),"")</f>
        <v/>
      </c>
      <c r="D2933" s="12" t="n"/>
      <c r="E2933" s="13">
        <f>IF(D2933="","",D2933-TODAY())</f>
        <v/>
      </c>
      <c r="F2933">
        <f>IF(D2933="","",IF(E2933&lt;0,"VENCIDO",IF(E2933&lt;=30,"VENCE EM &lt;= 30 DIAS",IF(E2933&lt;=60,"ATENCAO (31-60 DIAS)","OK"))))</f>
        <v/>
      </c>
      <c r="G2933" s="13">
        <f>SUMIFS(Movimentacoes!$G:$G,Movimentacoes!$C:$C,$A2933,Movimentacoes!$E:$E,$C2933,Movimentacoes!$B:$B,"ENTRADA")</f>
        <v/>
      </c>
      <c r="H2933" s="13">
        <f>SUMIFS(Movimentacoes!$G:$G,Movimentacoes!$C:$C,$A2933,Movimentacoes!$E:$E,$C2933,Movimentacoes!$B:$B,"SAIDA_USO")</f>
        <v/>
      </c>
      <c r="I2933" s="13">
        <f>SUMIFS(Movimentacoes!$G:$G,Movimentacoes!$C:$C,$A2933,Movimentacoes!$E:$E,$C2933,Movimentacoes!$B:$B,"SAIDA_DESCARTE")</f>
        <v/>
      </c>
      <c r="J2933" s="13">
        <f>G2933-H2933-I2933</f>
        <v/>
      </c>
      <c r="K2933">
        <f>IF(A2933="","",IF(J2933&lt;=IFERROR(VLOOKUP(A2933,Cadastro_Produtos!$A:$E,5,FALSE),0),"ABAIXO DO MINIMO","OK"))</f>
        <v/>
      </c>
    </row>
    <row r="2934">
      <c r="B2934">
        <f>IFERROR(VLOOKUP(A2934,Cadastro_Produtos!A:B,2,FALSE),"")</f>
        <v/>
      </c>
      <c r="D2934" s="12" t="n"/>
      <c r="E2934" s="13">
        <f>IF(D2934="","",D2934-TODAY())</f>
        <v/>
      </c>
      <c r="F2934">
        <f>IF(D2934="","",IF(E2934&lt;0,"VENCIDO",IF(E2934&lt;=30,"VENCE EM &lt;= 30 DIAS",IF(E2934&lt;=60,"ATENCAO (31-60 DIAS)","OK"))))</f>
        <v/>
      </c>
      <c r="G2934" s="13">
        <f>SUMIFS(Movimentacoes!$G:$G,Movimentacoes!$C:$C,$A2934,Movimentacoes!$E:$E,$C2934,Movimentacoes!$B:$B,"ENTRADA")</f>
        <v/>
      </c>
      <c r="H2934" s="13">
        <f>SUMIFS(Movimentacoes!$G:$G,Movimentacoes!$C:$C,$A2934,Movimentacoes!$E:$E,$C2934,Movimentacoes!$B:$B,"SAIDA_USO")</f>
        <v/>
      </c>
      <c r="I2934" s="13">
        <f>SUMIFS(Movimentacoes!$G:$G,Movimentacoes!$C:$C,$A2934,Movimentacoes!$E:$E,$C2934,Movimentacoes!$B:$B,"SAIDA_DESCARTE")</f>
        <v/>
      </c>
      <c r="J2934" s="13">
        <f>G2934-H2934-I2934</f>
        <v/>
      </c>
      <c r="K2934">
        <f>IF(A2934="","",IF(J2934&lt;=IFERROR(VLOOKUP(A2934,Cadastro_Produtos!$A:$E,5,FALSE),0),"ABAIXO DO MINIMO","OK"))</f>
        <v/>
      </c>
    </row>
    <row r="2935">
      <c r="B2935">
        <f>IFERROR(VLOOKUP(A2935,Cadastro_Produtos!A:B,2,FALSE),"")</f>
        <v/>
      </c>
      <c r="D2935" s="12" t="n"/>
      <c r="E2935" s="13">
        <f>IF(D2935="","",D2935-TODAY())</f>
        <v/>
      </c>
      <c r="F2935">
        <f>IF(D2935="","",IF(E2935&lt;0,"VENCIDO",IF(E2935&lt;=30,"VENCE EM &lt;= 30 DIAS",IF(E2935&lt;=60,"ATENCAO (31-60 DIAS)","OK"))))</f>
        <v/>
      </c>
      <c r="G2935" s="13">
        <f>SUMIFS(Movimentacoes!$G:$G,Movimentacoes!$C:$C,$A2935,Movimentacoes!$E:$E,$C2935,Movimentacoes!$B:$B,"ENTRADA")</f>
        <v/>
      </c>
      <c r="H2935" s="13">
        <f>SUMIFS(Movimentacoes!$G:$G,Movimentacoes!$C:$C,$A2935,Movimentacoes!$E:$E,$C2935,Movimentacoes!$B:$B,"SAIDA_USO")</f>
        <v/>
      </c>
      <c r="I2935" s="13">
        <f>SUMIFS(Movimentacoes!$G:$G,Movimentacoes!$C:$C,$A2935,Movimentacoes!$E:$E,$C2935,Movimentacoes!$B:$B,"SAIDA_DESCARTE")</f>
        <v/>
      </c>
      <c r="J2935" s="13">
        <f>G2935-H2935-I2935</f>
        <v/>
      </c>
      <c r="K2935">
        <f>IF(A2935="","",IF(J2935&lt;=IFERROR(VLOOKUP(A2935,Cadastro_Produtos!$A:$E,5,FALSE),0),"ABAIXO DO MINIMO","OK"))</f>
        <v/>
      </c>
    </row>
    <row r="2936">
      <c r="B2936">
        <f>IFERROR(VLOOKUP(A2936,Cadastro_Produtos!A:B,2,FALSE),"")</f>
        <v/>
      </c>
      <c r="D2936" s="12" t="n"/>
      <c r="E2936" s="13">
        <f>IF(D2936="","",D2936-TODAY())</f>
        <v/>
      </c>
      <c r="F2936">
        <f>IF(D2936="","",IF(E2936&lt;0,"VENCIDO",IF(E2936&lt;=30,"VENCE EM &lt;= 30 DIAS",IF(E2936&lt;=60,"ATENCAO (31-60 DIAS)","OK"))))</f>
        <v/>
      </c>
      <c r="G2936" s="13">
        <f>SUMIFS(Movimentacoes!$G:$G,Movimentacoes!$C:$C,$A2936,Movimentacoes!$E:$E,$C2936,Movimentacoes!$B:$B,"ENTRADA")</f>
        <v/>
      </c>
      <c r="H2936" s="13">
        <f>SUMIFS(Movimentacoes!$G:$G,Movimentacoes!$C:$C,$A2936,Movimentacoes!$E:$E,$C2936,Movimentacoes!$B:$B,"SAIDA_USO")</f>
        <v/>
      </c>
      <c r="I2936" s="13">
        <f>SUMIFS(Movimentacoes!$G:$G,Movimentacoes!$C:$C,$A2936,Movimentacoes!$E:$E,$C2936,Movimentacoes!$B:$B,"SAIDA_DESCARTE")</f>
        <v/>
      </c>
      <c r="J2936" s="13">
        <f>G2936-H2936-I2936</f>
        <v/>
      </c>
      <c r="K2936">
        <f>IF(A2936="","",IF(J2936&lt;=IFERROR(VLOOKUP(A2936,Cadastro_Produtos!$A:$E,5,FALSE),0),"ABAIXO DO MINIMO","OK"))</f>
        <v/>
      </c>
    </row>
    <row r="2937">
      <c r="B2937">
        <f>IFERROR(VLOOKUP(A2937,Cadastro_Produtos!A:B,2,FALSE),"")</f>
        <v/>
      </c>
      <c r="D2937" s="12" t="n"/>
      <c r="E2937" s="13">
        <f>IF(D2937="","",D2937-TODAY())</f>
        <v/>
      </c>
      <c r="F2937">
        <f>IF(D2937="","",IF(E2937&lt;0,"VENCIDO",IF(E2937&lt;=30,"VENCE EM &lt;= 30 DIAS",IF(E2937&lt;=60,"ATENCAO (31-60 DIAS)","OK"))))</f>
        <v/>
      </c>
      <c r="G2937" s="13">
        <f>SUMIFS(Movimentacoes!$G:$G,Movimentacoes!$C:$C,$A2937,Movimentacoes!$E:$E,$C2937,Movimentacoes!$B:$B,"ENTRADA")</f>
        <v/>
      </c>
      <c r="H2937" s="13">
        <f>SUMIFS(Movimentacoes!$G:$G,Movimentacoes!$C:$C,$A2937,Movimentacoes!$E:$E,$C2937,Movimentacoes!$B:$B,"SAIDA_USO")</f>
        <v/>
      </c>
      <c r="I2937" s="13">
        <f>SUMIFS(Movimentacoes!$G:$G,Movimentacoes!$C:$C,$A2937,Movimentacoes!$E:$E,$C2937,Movimentacoes!$B:$B,"SAIDA_DESCARTE")</f>
        <v/>
      </c>
      <c r="J2937" s="13">
        <f>G2937-H2937-I2937</f>
        <v/>
      </c>
      <c r="K2937">
        <f>IF(A2937="","",IF(J2937&lt;=IFERROR(VLOOKUP(A2937,Cadastro_Produtos!$A:$E,5,FALSE),0),"ABAIXO DO MINIMO","OK"))</f>
        <v/>
      </c>
    </row>
    <row r="2938">
      <c r="B2938">
        <f>IFERROR(VLOOKUP(A2938,Cadastro_Produtos!A:B,2,FALSE),"")</f>
        <v/>
      </c>
      <c r="D2938" s="12" t="n"/>
      <c r="E2938" s="13">
        <f>IF(D2938="","",D2938-TODAY())</f>
        <v/>
      </c>
      <c r="F2938">
        <f>IF(D2938="","",IF(E2938&lt;0,"VENCIDO",IF(E2938&lt;=30,"VENCE EM &lt;= 30 DIAS",IF(E2938&lt;=60,"ATENCAO (31-60 DIAS)","OK"))))</f>
        <v/>
      </c>
      <c r="G2938" s="13">
        <f>SUMIFS(Movimentacoes!$G:$G,Movimentacoes!$C:$C,$A2938,Movimentacoes!$E:$E,$C2938,Movimentacoes!$B:$B,"ENTRADA")</f>
        <v/>
      </c>
      <c r="H2938" s="13">
        <f>SUMIFS(Movimentacoes!$G:$G,Movimentacoes!$C:$C,$A2938,Movimentacoes!$E:$E,$C2938,Movimentacoes!$B:$B,"SAIDA_USO")</f>
        <v/>
      </c>
      <c r="I2938" s="13">
        <f>SUMIFS(Movimentacoes!$G:$G,Movimentacoes!$C:$C,$A2938,Movimentacoes!$E:$E,$C2938,Movimentacoes!$B:$B,"SAIDA_DESCARTE")</f>
        <v/>
      </c>
      <c r="J2938" s="13">
        <f>G2938-H2938-I2938</f>
        <v/>
      </c>
      <c r="K2938">
        <f>IF(A2938="","",IF(J2938&lt;=IFERROR(VLOOKUP(A2938,Cadastro_Produtos!$A:$E,5,FALSE),0),"ABAIXO DO MINIMO","OK"))</f>
        <v/>
      </c>
    </row>
    <row r="2939">
      <c r="B2939">
        <f>IFERROR(VLOOKUP(A2939,Cadastro_Produtos!A:B,2,FALSE),"")</f>
        <v/>
      </c>
      <c r="D2939" s="12" t="n"/>
      <c r="E2939" s="13">
        <f>IF(D2939="","",D2939-TODAY())</f>
        <v/>
      </c>
      <c r="F2939">
        <f>IF(D2939="","",IF(E2939&lt;0,"VENCIDO",IF(E2939&lt;=30,"VENCE EM &lt;= 30 DIAS",IF(E2939&lt;=60,"ATENCAO (31-60 DIAS)","OK"))))</f>
        <v/>
      </c>
      <c r="G2939" s="13">
        <f>SUMIFS(Movimentacoes!$G:$G,Movimentacoes!$C:$C,$A2939,Movimentacoes!$E:$E,$C2939,Movimentacoes!$B:$B,"ENTRADA")</f>
        <v/>
      </c>
      <c r="H2939" s="13">
        <f>SUMIFS(Movimentacoes!$G:$G,Movimentacoes!$C:$C,$A2939,Movimentacoes!$E:$E,$C2939,Movimentacoes!$B:$B,"SAIDA_USO")</f>
        <v/>
      </c>
      <c r="I2939" s="13">
        <f>SUMIFS(Movimentacoes!$G:$G,Movimentacoes!$C:$C,$A2939,Movimentacoes!$E:$E,$C2939,Movimentacoes!$B:$B,"SAIDA_DESCARTE")</f>
        <v/>
      </c>
      <c r="J2939" s="13">
        <f>G2939-H2939-I2939</f>
        <v/>
      </c>
      <c r="K2939">
        <f>IF(A2939="","",IF(J2939&lt;=IFERROR(VLOOKUP(A2939,Cadastro_Produtos!$A:$E,5,FALSE),0),"ABAIXO DO MINIMO","OK"))</f>
        <v/>
      </c>
    </row>
    <row r="2940">
      <c r="B2940">
        <f>IFERROR(VLOOKUP(A2940,Cadastro_Produtos!A:B,2,FALSE),"")</f>
        <v/>
      </c>
      <c r="D2940" s="12" t="n"/>
      <c r="E2940" s="13">
        <f>IF(D2940="","",D2940-TODAY())</f>
        <v/>
      </c>
      <c r="F2940">
        <f>IF(D2940="","",IF(E2940&lt;0,"VENCIDO",IF(E2940&lt;=30,"VENCE EM &lt;= 30 DIAS",IF(E2940&lt;=60,"ATENCAO (31-60 DIAS)","OK"))))</f>
        <v/>
      </c>
      <c r="G2940" s="13">
        <f>SUMIFS(Movimentacoes!$G:$G,Movimentacoes!$C:$C,$A2940,Movimentacoes!$E:$E,$C2940,Movimentacoes!$B:$B,"ENTRADA")</f>
        <v/>
      </c>
      <c r="H2940" s="13">
        <f>SUMIFS(Movimentacoes!$G:$G,Movimentacoes!$C:$C,$A2940,Movimentacoes!$E:$E,$C2940,Movimentacoes!$B:$B,"SAIDA_USO")</f>
        <v/>
      </c>
      <c r="I2940" s="13">
        <f>SUMIFS(Movimentacoes!$G:$G,Movimentacoes!$C:$C,$A2940,Movimentacoes!$E:$E,$C2940,Movimentacoes!$B:$B,"SAIDA_DESCARTE")</f>
        <v/>
      </c>
      <c r="J2940" s="13">
        <f>G2940-H2940-I2940</f>
        <v/>
      </c>
      <c r="K2940">
        <f>IF(A2940="","",IF(J2940&lt;=IFERROR(VLOOKUP(A2940,Cadastro_Produtos!$A:$E,5,FALSE),0),"ABAIXO DO MINIMO","OK"))</f>
        <v/>
      </c>
    </row>
    <row r="2941">
      <c r="B2941">
        <f>IFERROR(VLOOKUP(A2941,Cadastro_Produtos!A:B,2,FALSE),"")</f>
        <v/>
      </c>
      <c r="D2941" s="12" t="n"/>
      <c r="E2941" s="13">
        <f>IF(D2941="","",D2941-TODAY())</f>
        <v/>
      </c>
      <c r="F2941">
        <f>IF(D2941="","",IF(E2941&lt;0,"VENCIDO",IF(E2941&lt;=30,"VENCE EM &lt;= 30 DIAS",IF(E2941&lt;=60,"ATENCAO (31-60 DIAS)","OK"))))</f>
        <v/>
      </c>
      <c r="G2941" s="13">
        <f>SUMIFS(Movimentacoes!$G:$G,Movimentacoes!$C:$C,$A2941,Movimentacoes!$E:$E,$C2941,Movimentacoes!$B:$B,"ENTRADA")</f>
        <v/>
      </c>
      <c r="H2941" s="13">
        <f>SUMIFS(Movimentacoes!$G:$G,Movimentacoes!$C:$C,$A2941,Movimentacoes!$E:$E,$C2941,Movimentacoes!$B:$B,"SAIDA_USO")</f>
        <v/>
      </c>
      <c r="I2941" s="13">
        <f>SUMIFS(Movimentacoes!$G:$G,Movimentacoes!$C:$C,$A2941,Movimentacoes!$E:$E,$C2941,Movimentacoes!$B:$B,"SAIDA_DESCARTE")</f>
        <v/>
      </c>
      <c r="J2941" s="13">
        <f>G2941-H2941-I2941</f>
        <v/>
      </c>
      <c r="K2941">
        <f>IF(A2941="","",IF(J2941&lt;=IFERROR(VLOOKUP(A2941,Cadastro_Produtos!$A:$E,5,FALSE),0),"ABAIXO DO MINIMO","OK"))</f>
        <v/>
      </c>
    </row>
    <row r="2942">
      <c r="B2942">
        <f>IFERROR(VLOOKUP(A2942,Cadastro_Produtos!A:B,2,FALSE),"")</f>
        <v/>
      </c>
      <c r="D2942" s="12" t="n"/>
      <c r="E2942" s="13">
        <f>IF(D2942="","",D2942-TODAY())</f>
        <v/>
      </c>
      <c r="F2942">
        <f>IF(D2942="","",IF(E2942&lt;0,"VENCIDO",IF(E2942&lt;=30,"VENCE EM &lt;= 30 DIAS",IF(E2942&lt;=60,"ATENCAO (31-60 DIAS)","OK"))))</f>
        <v/>
      </c>
      <c r="G2942" s="13">
        <f>SUMIFS(Movimentacoes!$G:$G,Movimentacoes!$C:$C,$A2942,Movimentacoes!$E:$E,$C2942,Movimentacoes!$B:$B,"ENTRADA")</f>
        <v/>
      </c>
      <c r="H2942" s="13">
        <f>SUMIFS(Movimentacoes!$G:$G,Movimentacoes!$C:$C,$A2942,Movimentacoes!$E:$E,$C2942,Movimentacoes!$B:$B,"SAIDA_USO")</f>
        <v/>
      </c>
      <c r="I2942" s="13">
        <f>SUMIFS(Movimentacoes!$G:$G,Movimentacoes!$C:$C,$A2942,Movimentacoes!$E:$E,$C2942,Movimentacoes!$B:$B,"SAIDA_DESCARTE")</f>
        <v/>
      </c>
      <c r="J2942" s="13">
        <f>G2942-H2942-I2942</f>
        <v/>
      </c>
      <c r="K2942">
        <f>IF(A2942="","",IF(J2942&lt;=IFERROR(VLOOKUP(A2942,Cadastro_Produtos!$A:$E,5,FALSE),0),"ABAIXO DO MINIMO","OK"))</f>
        <v/>
      </c>
    </row>
    <row r="2943">
      <c r="B2943">
        <f>IFERROR(VLOOKUP(A2943,Cadastro_Produtos!A:B,2,FALSE),"")</f>
        <v/>
      </c>
      <c r="D2943" s="12" t="n"/>
      <c r="E2943" s="13">
        <f>IF(D2943="","",D2943-TODAY())</f>
        <v/>
      </c>
      <c r="F2943">
        <f>IF(D2943="","",IF(E2943&lt;0,"VENCIDO",IF(E2943&lt;=30,"VENCE EM &lt;= 30 DIAS",IF(E2943&lt;=60,"ATENCAO (31-60 DIAS)","OK"))))</f>
        <v/>
      </c>
      <c r="G2943" s="13">
        <f>SUMIFS(Movimentacoes!$G:$G,Movimentacoes!$C:$C,$A2943,Movimentacoes!$E:$E,$C2943,Movimentacoes!$B:$B,"ENTRADA")</f>
        <v/>
      </c>
      <c r="H2943" s="13">
        <f>SUMIFS(Movimentacoes!$G:$G,Movimentacoes!$C:$C,$A2943,Movimentacoes!$E:$E,$C2943,Movimentacoes!$B:$B,"SAIDA_USO")</f>
        <v/>
      </c>
      <c r="I2943" s="13">
        <f>SUMIFS(Movimentacoes!$G:$G,Movimentacoes!$C:$C,$A2943,Movimentacoes!$E:$E,$C2943,Movimentacoes!$B:$B,"SAIDA_DESCARTE")</f>
        <v/>
      </c>
      <c r="J2943" s="13">
        <f>G2943-H2943-I2943</f>
        <v/>
      </c>
      <c r="K2943">
        <f>IF(A2943="","",IF(J2943&lt;=IFERROR(VLOOKUP(A2943,Cadastro_Produtos!$A:$E,5,FALSE),0),"ABAIXO DO MINIMO","OK"))</f>
        <v/>
      </c>
    </row>
    <row r="2944">
      <c r="B2944">
        <f>IFERROR(VLOOKUP(A2944,Cadastro_Produtos!A:B,2,FALSE),"")</f>
        <v/>
      </c>
      <c r="D2944" s="12" t="n"/>
      <c r="E2944" s="13">
        <f>IF(D2944="","",D2944-TODAY())</f>
        <v/>
      </c>
      <c r="F2944">
        <f>IF(D2944="","",IF(E2944&lt;0,"VENCIDO",IF(E2944&lt;=30,"VENCE EM &lt;= 30 DIAS",IF(E2944&lt;=60,"ATENCAO (31-60 DIAS)","OK"))))</f>
        <v/>
      </c>
      <c r="G2944" s="13">
        <f>SUMIFS(Movimentacoes!$G:$G,Movimentacoes!$C:$C,$A2944,Movimentacoes!$E:$E,$C2944,Movimentacoes!$B:$B,"ENTRADA")</f>
        <v/>
      </c>
      <c r="H2944" s="13">
        <f>SUMIFS(Movimentacoes!$G:$G,Movimentacoes!$C:$C,$A2944,Movimentacoes!$E:$E,$C2944,Movimentacoes!$B:$B,"SAIDA_USO")</f>
        <v/>
      </c>
      <c r="I2944" s="13">
        <f>SUMIFS(Movimentacoes!$G:$G,Movimentacoes!$C:$C,$A2944,Movimentacoes!$E:$E,$C2944,Movimentacoes!$B:$B,"SAIDA_DESCARTE")</f>
        <v/>
      </c>
      <c r="J2944" s="13">
        <f>G2944-H2944-I2944</f>
        <v/>
      </c>
      <c r="K2944">
        <f>IF(A2944="","",IF(J2944&lt;=IFERROR(VLOOKUP(A2944,Cadastro_Produtos!$A:$E,5,FALSE),0),"ABAIXO DO MINIMO","OK"))</f>
        <v/>
      </c>
    </row>
    <row r="2945">
      <c r="B2945">
        <f>IFERROR(VLOOKUP(A2945,Cadastro_Produtos!A:B,2,FALSE),"")</f>
        <v/>
      </c>
      <c r="D2945" s="12" t="n"/>
      <c r="E2945" s="13">
        <f>IF(D2945="","",D2945-TODAY())</f>
        <v/>
      </c>
      <c r="F2945">
        <f>IF(D2945="","",IF(E2945&lt;0,"VENCIDO",IF(E2945&lt;=30,"VENCE EM &lt;= 30 DIAS",IF(E2945&lt;=60,"ATENCAO (31-60 DIAS)","OK"))))</f>
        <v/>
      </c>
      <c r="G2945" s="13">
        <f>SUMIFS(Movimentacoes!$G:$G,Movimentacoes!$C:$C,$A2945,Movimentacoes!$E:$E,$C2945,Movimentacoes!$B:$B,"ENTRADA")</f>
        <v/>
      </c>
      <c r="H2945" s="13">
        <f>SUMIFS(Movimentacoes!$G:$G,Movimentacoes!$C:$C,$A2945,Movimentacoes!$E:$E,$C2945,Movimentacoes!$B:$B,"SAIDA_USO")</f>
        <v/>
      </c>
      <c r="I2945" s="13">
        <f>SUMIFS(Movimentacoes!$G:$G,Movimentacoes!$C:$C,$A2945,Movimentacoes!$E:$E,$C2945,Movimentacoes!$B:$B,"SAIDA_DESCARTE")</f>
        <v/>
      </c>
      <c r="J2945" s="13">
        <f>G2945-H2945-I2945</f>
        <v/>
      </c>
      <c r="K2945">
        <f>IF(A2945="","",IF(J2945&lt;=IFERROR(VLOOKUP(A2945,Cadastro_Produtos!$A:$E,5,FALSE),0),"ABAIXO DO MINIMO","OK"))</f>
        <v/>
      </c>
    </row>
    <row r="2946">
      <c r="B2946">
        <f>IFERROR(VLOOKUP(A2946,Cadastro_Produtos!A:B,2,FALSE),"")</f>
        <v/>
      </c>
      <c r="D2946" s="12" t="n"/>
      <c r="E2946" s="13">
        <f>IF(D2946="","",D2946-TODAY())</f>
        <v/>
      </c>
      <c r="F2946">
        <f>IF(D2946="","",IF(E2946&lt;0,"VENCIDO",IF(E2946&lt;=30,"VENCE EM &lt;= 30 DIAS",IF(E2946&lt;=60,"ATENCAO (31-60 DIAS)","OK"))))</f>
        <v/>
      </c>
      <c r="G2946" s="13">
        <f>SUMIFS(Movimentacoes!$G:$G,Movimentacoes!$C:$C,$A2946,Movimentacoes!$E:$E,$C2946,Movimentacoes!$B:$B,"ENTRADA")</f>
        <v/>
      </c>
      <c r="H2946" s="13">
        <f>SUMIFS(Movimentacoes!$G:$G,Movimentacoes!$C:$C,$A2946,Movimentacoes!$E:$E,$C2946,Movimentacoes!$B:$B,"SAIDA_USO")</f>
        <v/>
      </c>
      <c r="I2946" s="13">
        <f>SUMIFS(Movimentacoes!$G:$G,Movimentacoes!$C:$C,$A2946,Movimentacoes!$E:$E,$C2946,Movimentacoes!$B:$B,"SAIDA_DESCARTE")</f>
        <v/>
      </c>
      <c r="J2946" s="13">
        <f>G2946-H2946-I2946</f>
        <v/>
      </c>
      <c r="K2946">
        <f>IF(A2946="","",IF(J2946&lt;=IFERROR(VLOOKUP(A2946,Cadastro_Produtos!$A:$E,5,FALSE),0),"ABAIXO DO MINIMO","OK"))</f>
        <v/>
      </c>
    </row>
    <row r="2947">
      <c r="B2947">
        <f>IFERROR(VLOOKUP(A2947,Cadastro_Produtos!A:B,2,FALSE),"")</f>
        <v/>
      </c>
      <c r="D2947" s="12" t="n"/>
      <c r="E2947" s="13">
        <f>IF(D2947="","",D2947-TODAY())</f>
        <v/>
      </c>
      <c r="F2947">
        <f>IF(D2947="","",IF(E2947&lt;0,"VENCIDO",IF(E2947&lt;=30,"VENCE EM &lt;= 30 DIAS",IF(E2947&lt;=60,"ATENCAO (31-60 DIAS)","OK"))))</f>
        <v/>
      </c>
      <c r="G2947" s="13">
        <f>SUMIFS(Movimentacoes!$G:$G,Movimentacoes!$C:$C,$A2947,Movimentacoes!$E:$E,$C2947,Movimentacoes!$B:$B,"ENTRADA")</f>
        <v/>
      </c>
      <c r="H2947" s="13">
        <f>SUMIFS(Movimentacoes!$G:$G,Movimentacoes!$C:$C,$A2947,Movimentacoes!$E:$E,$C2947,Movimentacoes!$B:$B,"SAIDA_USO")</f>
        <v/>
      </c>
      <c r="I2947" s="13">
        <f>SUMIFS(Movimentacoes!$G:$G,Movimentacoes!$C:$C,$A2947,Movimentacoes!$E:$E,$C2947,Movimentacoes!$B:$B,"SAIDA_DESCARTE")</f>
        <v/>
      </c>
      <c r="J2947" s="13">
        <f>G2947-H2947-I2947</f>
        <v/>
      </c>
      <c r="K2947">
        <f>IF(A2947="","",IF(J2947&lt;=IFERROR(VLOOKUP(A2947,Cadastro_Produtos!$A:$E,5,FALSE),0),"ABAIXO DO MINIMO","OK"))</f>
        <v/>
      </c>
    </row>
    <row r="2948">
      <c r="B2948">
        <f>IFERROR(VLOOKUP(A2948,Cadastro_Produtos!A:B,2,FALSE),"")</f>
        <v/>
      </c>
      <c r="D2948" s="12" t="n"/>
      <c r="E2948" s="13">
        <f>IF(D2948="","",D2948-TODAY())</f>
        <v/>
      </c>
      <c r="F2948">
        <f>IF(D2948="","",IF(E2948&lt;0,"VENCIDO",IF(E2948&lt;=30,"VENCE EM &lt;= 30 DIAS",IF(E2948&lt;=60,"ATENCAO (31-60 DIAS)","OK"))))</f>
        <v/>
      </c>
      <c r="G2948" s="13">
        <f>SUMIFS(Movimentacoes!$G:$G,Movimentacoes!$C:$C,$A2948,Movimentacoes!$E:$E,$C2948,Movimentacoes!$B:$B,"ENTRADA")</f>
        <v/>
      </c>
      <c r="H2948" s="13">
        <f>SUMIFS(Movimentacoes!$G:$G,Movimentacoes!$C:$C,$A2948,Movimentacoes!$E:$E,$C2948,Movimentacoes!$B:$B,"SAIDA_USO")</f>
        <v/>
      </c>
      <c r="I2948" s="13">
        <f>SUMIFS(Movimentacoes!$G:$G,Movimentacoes!$C:$C,$A2948,Movimentacoes!$E:$E,$C2948,Movimentacoes!$B:$B,"SAIDA_DESCARTE")</f>
        <v/>
      </c>
      <c r="J2948" s="13">
        <f>G2948-H2948-I2948</f>
        <v/>
      </c>
      <c r="K2948">
        <f>IF(A2948="","",IF(J2948&lt;=IFERROR(VLOOKUP(A2948,Cadastro_Produtos!$A:$E,5,FALSE),0),"ABAIXO DO MINIMO","OK"))</f>
        <v/>
      </c>
    </row>
    <row r="2949">
      <c r="B2949">
        <f>IFERROR(VLOOKUP(A2949,Cadastro_Produtos!A:B,2,FALSE),"")</f>
        <v/>
      </c>
      <c r="D2949" s="12" t="n"/>
      <c r="E2949" s="13">
        <f>IF(D2949="","",D2949-TODAY())</f>
        <v/>
      </c>
      <c r="F2949">
        <f>IF(D2949="","",IF(E2949&lt;0,"VENCIDO",IF(E2949&lt;=30,"VENCE EM &lt;= 30 DIAS",IF(E2949&lt;=60,"ATENCAO (31-60 DIAS)","OK"))))</f>
        <v/>
      </c>
      <c r="G2949" s="13">
        <f>SUMIFS(Movimentacoes!$G:$G,Movimentacoes!$C:$C,$A2949,Movimentacoes!$E:$E,$C2949,Movimentacoes!$B:$B,"ENTRADA")</f>
        <v/>
      </c>
      <c r="H2949" s="13">
        <f>SUMIFS(Movimentacoes!$G:$G,Movimentacoes!$C:$C,$A2949,Movimentacoes!$E:$E,$C2949,Movimentacoes!$B:$B,"SAIDA_USO")</f>
        <v/>
      </c>
      <c r="I2949" s="13">
        <f>SUMIFS(Movimentacoes!$G:$G,Movimentacoes!$C:$C,$A2949,Movimentacoes!$E:$E,$C2949,Movimentacoes!$B:$B,"SAIDA_DESCARTE")</f>
        <v/>
      </c>
      <c r="J2949" s="13">
        <f>G2949-H2949-I2949</f>
        <v/>
      </c>
      <c r="K2949">
        <f>IF(A2949="","",IF(J2949&lt;=IFERROR(VLOOKUP(A2949,Cadastro_Produtos!$A:$E,5,FALSE),0),"ABAIXO DO MINIMO","OK"))</f>
        <v/>
      </c>
    </row>
    <row r="2950">
      <c r="B2950">
        <f>IFERROR(VLOOKUP(A2950,Cadastro_Produtos!A:B,2,FALSE),"")</f>
        <v/>
      </c>
      <c r="D2950" s="12" t="n"/>
      <c r="E2950" s="13">
        <f>IF(D2950="","",D2950-TODAY())</f>
        <v/>
      </c>
      <c r="F2950">
        <f>IF(D2950="","",IF(E2950&lt;0,"VENCIDO",IF(E2950&lt;=30,"VENCE EM &lt;= 30 DIAS",IF(E2950&lt;=60,"ATENCAO (31-60 DIAS)","OK"))))</f>
        <v/>
      </c>
      <c r="G2950" s="13">
        <f>SUMIFS(Movimentacoes!$G:$G,Movimentacoes!$C:$C,$A2950,Movimentacoes!$E:$E,$C2950,Movimentacoes!$B:$B,"ENTRADA")</f>
        <v/>
      </c>
      <c r="H2950" s="13">
        <f>SUMIFS(Movimentacoes!$G:$G,Movimentacoes!$C:$C,$A2950,Movimentacoes!$E:$E,$C2950,Movimentacoes!$B:$B,"SAIDA_USO")</f>
        <v/>
      </c>
      <c r="I2950" s="13">
        <f>SUMIFS(Movimentacoes!$G:$G,Movimentacoes!$C:$C,$A2950,Movimentacoes!$E:$E,$C2950,Movimentacoes!$B:$B,"SAIDA_DESCARTE")</f>
        <v/>
      </c>
      <c r="J2950" s="13">
        <f>G2950-H2950-I2950</f>
        <v/>
      </c>
      <c r="K2950">
        <f>IF(A2950="","",IF(J2950&lt;=IFERROR(VLOOKUP(A2950,Cadastro_Produtos!$A:$E,5,FALSE),0),"ABAIXO DO MINIMO","OK"))</f>
        <v/>
      </c>
    </row>
    <row r="2951">
      <c r="B2951">
        <f>IFERROR(VLOOKUP(A2951,Cadastro_Produtos!A:B,2,FALSE),"")</f>
        <v/>
      </c>
      <c r="D2951" s="12" t="n"/>
      <c r="E2951" s="13">
        <f>IF(D2951="","",D2951-TODAY())</f>
        <v/>
      </c>
      <c r="F2951">
        <f>IF(D2951="","",IF(E2951&lt;0,"VENCIDO",IF(E2951&lt;=30,"VENCE EM &lt;= 30 DIAS",IF(E2951&lt;=60,"ATENCAO (31-60 DIAS)","OK"))))</f>
        <v/>
      </c>
      <c r="G2951" s="13">
        <f>SUMIFS(Movimentacoes!$G:$G,Movimentacoes!$C:$C,$A2951,Movimentacoes!$E:$E,$C2951,Movimentacoes!$B:$B,"ENTRADA")</f>
        <v/>
      </c>
      <c r="H2951" s="13">
        <f>SUMIFS(Movimentacoes!$G:$G,Movimentacoes!$C:$C,$A2951,Movimentacoes!$E:$E,$C2951,Movimentacoes!$B:$B,"SAIDA_USO")</f>
        <v/>
      </c>
      <c r="I2951" s="13">
        <f>SUMIFS(Movimentacoes!$G:$G,Movimentacoes!$C:$C,$A2951,Movimentacoes!$E:$E,$C2951,Movimentacoes!$B:$B,"SAIDA_DESCARTE")</f>
        <v/>
      </c>
      <c r="J2951" s="13">
        <f>G2951-H2951-I2951</f>
        <v/>
      </c>
      <c r="K2951">
        <f>IF(A2951="","",IF(J2951&lt;=IFERROR(VLOOKUP(A2951,Cadastro_Produtos!$A:$E,5,FALSE),0),"ABAIXO DO MINIMO","OK"))</f>
        <v/>
      </c>
    </row>
    <row r="2952">
      <c r="B2952">
        <f>IFERROR(VLOOKUP(A2952,Cadastro_Produtos!A:B,2,FALSE),"")</f>
        <v/>
      </c>
      <c r="D2952" s="12" t="n"/>
      <c r="E2952" s="13">
        <f>IF(D2952="","",D2952-TODAY())</f>
        <v/>
      </c>
      <c r="F2952">
        <f>IF(D2952="","",IF(E2952&lt;0,"VENCIDO",IF(E2952&lt;=30,"VENCE EM &lt;= 30 DIAS",IF(E2952&lt;=60,"ATENCAO (31-60 DIAS)","OK"))))</f>
        <v/>
      </c>
      <c r="G2952" s="13">
        <f>SUMIFS(Movimentacoes!$G:$G,Movimentacoes!$C:$C,$A2952,Movimentacoes!$E:$E,$C2952,Movimentacoes!$B:$B,"ENTRADA")</f>
        <v/>
      </c>
      <c r="H2952" s="13">
        <f>SUMIFS(Movimentacoes!$G:$G,Movimentacoes!$C:$C,$A2952,Movimentacoes!$E:$E,$C2952,Movimentacoes!$B:$B,"SAIDA_USO")</f>
        <v/>
      </c>
      <c r="I2952" s="13">
        <f>SUMIFS(Movimentacoes!$G:$G,Movimentacoes!$C:$C,$A2952,Movimentacoes!$E:$E,$C2952,Movimentacoes!$B:$B,"SAIDA_DESCARTE")</f>
        <v/>
      </c>
      <c r="J2952" s="13">
        <f>G2952-H2952-I2952</f>
        <v/>
      </c>
      <c r="K2952">
        <f>IF(A2952="","",IF(J2952&lt;=IFERROR(VLOOKUP(A2952,Cadastro_Produtos!$A:$E,5,FALSE),0),"ABAIXO DO MINIMO","OK"))</f>
        <v/>
      </c>
    </row>
    <row r="2953">
      <c r="B2953">
        <f>IFERROR(VLOOKUP(A2953,Cadastro_Produtos!A:B,2,FALSE),"")</f>
        <v/>
      </c>
      <c r="D2953" s="12" t="n"/>
      <c r="E2953" s="13">
        <f>IF(D2953="","",D2953-TODAY())</f>
        <v/>
      </c>
      <c r="F2953">
        <f>IF(D2953="","",IF(E2953&lt;0,"VENCIDO",IF(E2953&lt;=30,"VENCE EM &lt;= 30 DIAS",IF(E2953&lt;=60,"ATENCAO (31-60 DIAS)","OK"))))</f>
        <v/>
      </c>
      <c r="G2953" s="13">
        <f>SUMIFS(Movimentacoes!$G:$G,Movimentacoes!$C:$C,$A2953,Movimentacoes!$E:$E,$C2953,Movimentacoes!$B:$B,"ENTRADA")</f>
        <v/>
      </c>
      <c r="H2953" s="13">
        <f>SUMIFS(Movimentacoes!$G:$G,Movimentacoes!$C:$C,$A2953,Movimentacoes!$E:$E,$C2953,Movimentacoes!$B:$B,"SAIDA_USO")</f>
        <v/>
      </c>
      <c r="I2953" s="13">
        <f>SUMIFS(Movimentacoes!$G:$G,Movimentacoes!$C:$C,$A2953,Movimentacoes!$E:$E,$C2953,Movimentacoes!$B:$B,"SAIDA_DESCARTE")</f>
        <v/>
      </c>
      <c r="J2953" s="13">
        <f>G2953-H2953-I2953</f>
        <v/>
      </c>
      <c r="K2953">
        <f>IF(A2953="","",IF(J2953&lt;=IFERROR(VLOOKUP(A2953,Cadastro_Produtos!$A:$E,5,FALSE),0),"ABAIXO DO MINIMO","OK"))</f>
        <v/>
      </c>
    </row>
    <row r="2954">
      <c r="B2954">
        <f>IFERROR(VLOOKUP(A2954,Cadastro_Produtos!A:B,2,FALSE),"")</f>
        <v/>
      </c>
      <c r="D2954" s="12" t="n"/>
      <c r="E2954" s="13">
        <f>IF(D2954="","",D2954-TODAY())</f>
        <v/>
      </c>
      <c r="F2954">
        <f>IF(D2954="","",IF(E2954&lt;0,"VENCIDO",IF(E2954&lt;=30,"VENCE EM &lt;= 30 DIAS",IF(E2954&lt;=60,"ATENCAO (31-60 DIAS)","OK"))))</f>
        <v/>
      </c>
      <c r="G2954" s="13">
        <f>SUMIFS(Movimentacoes!$G:$G,Movimentacoes!$C:$C,$A2954,Movimentacoes!$E:$E,$C2954,Movimentacoes!$B:$B,"ENTRADA")</f>
        <v/>
      </c>
      <c r="H2954" s="13">
        <f>SUMIFS(Movimentacoes!$G:$G,Movimentacoes!$C:$C,$A2954,Movimentacoes!$E:$E,$C2954,Movimentacoes!$B:$B,"SAIDA_USO")</f>
        <v/>
      </c>
      <c r="I2954" s="13">
        <f>SUMIFS(Movimentacoes!$G:$G,Movimentacoes!$C:$C,$A2954,Movimentacoes!$E:$E,$C2954,Movimentacoes!$B:$B,"SAIDA_DESCARTE")</f>
        <v/>
      </c>
      <c r="J2954" s="13">
        <f>G2954-H2954-I2954</f>
        <v/>
      </c>
      <c r="K2954">
        <f>IF(A2954="","",IF(J2954&lt;=IFERROR(VLOOKUP(A2954,Cadastro_Produtos!$A:$E,5,FALSE),0),"ABAIXO DO MINIMO","OK"))</f>
        <v/>
      </c>
    </row>
    <row r="2955">
      <c r="B2955">
        <f>IFERROR(VLOOKUP(A2955,Cadastro_Produtos!A:B,2,FALSE),"")</f>
        <v/>
      </c>
      <c r="D2955" s="12" t="n"/>
      <c r="E2955" s="13">
        <f>IF(D2955="","",D2955-TODAY())</f>
        <v/>
      </c>
      <c r="F2955">
        <f>IF(D2955="","",IF(E2955&lt;0,"VENCIDO",IF(E2955&lt;=30,"VENCE EM &lt;= 30 DIAS",IF(E2955&lt;=60,"ATENCAO (31-60 DIAS)","OK"))))</f>
        <v/>
      </c>
      <c r="G2955" s="13">
        <f>SUMIFS(Movimentacoes!$G:$G,Movimentacoes!$C:$C,$A2955,Movimentacoes!$E:$E,$C2955,Movimentacoes!$B:$B,"ENTRADA")</f>
        <v/>
      </c>
      <c r="H2955" s="13">
        <f>SUMIFS(Movimentacoes!$G:$G,Movimentacoes!$C:$C,$A2955,Movimentacoes!$E:$E,$C2955,Movimentacoes!$B:$B,"SAIDA_USO")</f>
        <v/>
      </c>
      <c r="I2955" s="13">
        <f>SUMIFS(Movimentacoes!$G:$G,Movimentacoes!$C:$C,$A2955,Movimentacoes!$E:$E,$C2955,Movimentacoes!$B:$B,"SAIDA_DESCARTE")</f>
        <v/>
      </c>
      <c r="J2955" s="13">
        <f>G2955-H2955-I2955</f>
        <v/>
      </c>
      <c r="K2955">
        <f>IF(A2955="","",IF(J2955&lt;=IFERROR(VLOOKUP(A2955,Cadastro_Produtos!$A:$E,5,FALSE),0),"ABAIXO DO MINIMO","OK"))</f>
        <v/>
      </c>
    </row>
    <row r="2956">
      <c r="B2956">
        <f>IFERROR(VLOOKUP(A2956,Cadastro_Produtos!A:B,2,FALSE),"")</f>
        <v/>
      </c>
      <c r="D2956" s="12" t="n"/>
      <c r="E2956" s="13">
        <f>IF(D2956="","",D2956-TODAY())</f>
        <v/>
      </c>
      <c r="F2956">
        <f>IF(D2956="","",IF(E2956&lt;0,"VENCIDO",IF(E2956&lt;=30,"VENCE EM &lt;= 30 DIAS",IF(E2956&lt;=60,"ATENCAO (31-60 DIAS)","OK"))))</f>
        <v/>
      </c>
      <c r="G2956" s="13">
        <f>SUMIFS(Movimentacoes!$G:$G,Movimentacoes!$C:$C,$A2956,Movimentacoes!$E:$E,$C2956,Movimentacoes!$B:$B,"ENTRADA")</f>
        <v/>
      </c>
      <c r="H2956" s="13">
        <f>SUMIFS(Movimentacoes!$G:$G,Movimentacoes!$C:$C,$A2956,Movimentacoes!$E:$E,$C2956,Movimentacoes!$B:$B,"SAIDA_USO")</f>
        <v/>
      </c>
      <c r="I2956" s="13">
        <f>SUMIFS(Movimentacoes!$G:$G,Movimentacoes!$C:$C,$A2956,Movimentacoes!$E:$E,$C2956,Movimentacoes!$B:$B,"SAIDA_DESCARTE")</f>
        <v/>
      </c>
      <c r="J2956" s="13">
        <f>G2956-H2956-I2956</f>
        <v/>
      </c>
      <c r="K2956">
        <f>IF(A2956="","",IF(J2956&lt;=IFERROR(VLOOKUP(A2956,Cadastro_Produtos!$A:$E,5,FALSE),0),"ABAIXO DO MINIMO","OK"))</f>
        <v/>
      </c>
    </row>
    <row r="2957">
      <c r="B2957">
        <f>IFERROR(VLOOKUP(A2957,Cadastro_Produtos!A:B,2,FALSE),"")</f>
        <v/>
      </c>
      <c r="D2957" s="12" t="n"/>
      <c r="E2957" s="13">
        <f>IF(D2957="","",D2957-TODAY())</f>
        <v/>
      </c>
      <c r="F2957">
        <f>IF(D2957="","",IF(E2957&lt;0,"VENCIDO",IF(E2957&lt;=30,"VENCE EM &lt;= 30 DIAS",IF(E2957&lt;=60,"ATENCAO (31-60 DIAS)","OK"))))</f>
        <v/>
      </c>
      <c r="G2957" s="13">
        <f>SUMIFS(Movimentacoes!$G:$G,Movimentacoes!$C:$C,$A2957,Movimentacoes!$E:$E,$C2957,Movimentacoes!$B:$B,"ENTRADA")</f>
        <v/>
      </c>
      <c r="H2957" s="13">
        <f>SUMIFS(Movimentacoes!$G:$G,Movimentacoes!$C:$C,$A2957,Movimentacoes!$E:$E,$C2957,Movimentacoes!$B:$B,"SAIDA_USO")</f>
        <v/>
      </c>
      <c r="I2957" s="13">
        <f>SUMIFS(Movimentacoes!$G:$G,Movimentacoes!$C:$C,$A2957,Movimentacoes!$E:$E,$C2957,Movimentacoes!$B:$B,"SAIDA_DESCARTE")</f>
        <v/>
      </c>
      <c r="J2957" s="13">
        <f>G2957-H2957-I2957</f>
        <v/>
      </c>
      <c r="K2957">
        <f>IF(A2957="","",IF(J2957&lt;=IFERROR(VLOOKUP(A2957,Cadastro_Produtos!$A:$E,5,FALSE),0),"ABAIXO DO MINIMO","OK"))</f>
        <v/>
      </c>
    </row>
    <row r="2958">
      <c r="B2958">
        <f>IFERROR(VLOOKUP(A2958,Cadastro_Produtos!A:B,2,FALSE),"")</f>
        <v/>
      </c>
      <c r="D2958" s="12" t="n"/>
      <c r="E2958" s="13">
        <f>IF(D2958="","",D2958-TODAY())</f>
        <v/>
      </c>
      <c r="F2958">
        <f>IF(D2958="","",IF(E2958&lt;0,"VENCIDO",IF(E2958&lt;=30,"VENCE EM &lt;= 30 DIAS",IF(E2958&lt;=60,"ATENCAO (31-60 DIAS)","OK"))))</f>
        <v/>
      </c>
      <c r="G2958" s="13">
        <f>SUMIFS(Movimentacoes!$G:$G,Movimentacoes!$C:$C,$A2958,Movimentacoes!$E:$E,$C2958,Movimentacoes!$B:$B,"ENTRADA")</f>
        <v/>
      </c>
      <c r="H2958" s="13">
        <f>SUMIFS(Movimentacoes!$G:$G,Movimentacoes!$C:$C,$A2958,Movimentacoes!$E:$E,$C2958,Movimentacoes!$B:$B,"SAIDA_USO")</f>
        <v/>
      </c>
      <c r="I2958" s="13">
        <f>SUMIFS(Movimentacoes!$G:$G,Movimentacoes!$C:$C,$A2958,Movimentacoes!$E:$E,$C2958,Movimentacoes!$B:$B,"SAIDA_DESCARTE")</f>
        <v/>
      </c>
      <c r="J2958" s="13">
        <f>G2958-H2958-I2958</f>
        <v/>
      </c>
      <c r="K2958">
        <f>IF(A2958="","",IF(J2958&lt;=IFERROR(VLOOKUP(A2958,Cadastro_Produtos!$A:$E,5,FALSE),0),"ABAIXO DO MINIMO","OK"))</f>
        <v/>
      </c>
    </row>
    <row r="2959">
      <c r="B2959">
        <f>IFERROR(VLOOKUP(A2959,Cadastro_Produtos!A:B,2,FALSE),"")</f>
        <v/>
      </c>
      <c r="D2959" s="12" t="n"/>
      <c r="E2959" s="13">
        <f>IF(D2959="","",D2959-TODAY())</f>
        <v/>
      </c>
      <c r="F2959">
        <f>IF(D2959="","",IF(E2959&lt;0,"VENCIDO",IF(E2959&lt;=30,"VENCE EM &lt;= 30 DIAS",IF(E2959&lt;=60,"ATENCAO (31-60 DIAS)","OK"))))</f>
        <v/>
      </c>
      <c r="G2959" s="13">
        <f>SUMIFS(Movimentacoes!$G:$G,Movimentacoes!$C:$C,$A2959,Movimentacoes!$E:$E,$C2959,Movimentacoes!$B:$B,"ENTRADA")</f>
        <v/>
      </c>
      <c r="H2959" s="13">
        <f>SUMIFS(Movimentacoes!$G:$G,Movimentacoes!$C:$C,$A2959,Movimentacoes!$E:$E,$C2959,Movimentacoes!$B:$B,"SAIDA_USO")</f>
        <v/>
      </c>
      <c r="I2959" s="13">
        <f>SUMIFS(Movimentacoes!$G:$G,Movimentacoes!$C:$C,$A2959,Movimentacoes!$E:$E,$C2959,Movimentacoes!$B:$B,"SAIDA_DESCARTE")</f>
        <v/>
      </c>
      <c r="J2959" s="13">
        <f>G2959-H2959-I2959</f>
        <v/>
      </c>
      <c r="K2959">
        <f>IF(A2959="","",IF(J2959&lt;=IFERROR(VLOOKUP(A2959,Cadastro_Produtos!$A:$E,5,FALSE),0),"ABAIXO DO MINIMO","OK"))</f>
        <v/>
      </c>
    </row>
    <row r="2960">
      <c r="B2960">
        <f>IFERROR(VLOOKUP(A2960,Cadastro_Produtos!A:B,2,FALSE),"")</f>
        <v/>
      </c>
      <c r="D2960" s="12" t="n"/>
      <c r="E2960" s="13">
        <f>IF(D2960="","",D2960-TODAY())</f>
        <v/>
      </c>
      <c r="F2960">
        <f>IF(D2960="","",IF(E2960&lt;0,"VENCIDO",IF(E2960&lt;=30,"VENCE EM &lt;= 30 DIAS",IF(E2960&lt;=60,"ATENCAO (31-60 DIAS)","OK"))))</f>
        <v/>
      </c>
      <c r="G2960" s="13">
        <f>SUMIFS(Movimentacoes!$G:$G,Movimentacoes!$C:$C,$A2960,Movimentacoes!$E:$E,$C2960,Movimentacoes!$B:$B,"ENTRADA")</f>
        <v/>
      </c>
      <c r="H2960" s="13">
        <f>SUMIFS(Movimentacoes!$G:$G,Movimentacoes!$C:$C,$A2960,Movimentacoes!$E:$E,$C2960,Movimentacoes!$B:$B,"SAIDA_USO")</f>
        <v/>
      </c>
      <c r="I2960" s="13">
        <f>SUMIFS(Movimentacoes!$G:$G,Movimentacoes!$C:$C,$A2960,Movimentacoes!$E:$E,$C2960,Movimentacoes!$B:$B,"SAIDA_DESCARTE")</f>
        <v/>
      </c>
      <c r="J2960" s="13">
        <f>G2960-H2960-I2960</f>
        <v/>
      </c>
      <c r="K2960">
        <f>IF(A2960="","",IF(J2960&lt;=IFERROR(VLOOKUP(A2960,Cadastro_Produtos!$A:$E,5,FALSE),0),"ABAIXO DO MINIMO","OK"))</f>
        <v/>
      </c>
    </row>
    <row r="2961">
      <c r="B2961">
        <f>IFERROR(VLOOKUP(A2961,Cadastro_Produtos!A:B,2,FALSE),"")</f>
        <v/>
      </c>
      <c r="D2961" s="12" t="n"/>
      <c r="E2961" s="13">
        <f>IF(D2961="","",D2961-TODAY())</f>
        <v/>
      </c>
      <c r="F2961">
        <f>IF(D2961="","",IF(E2961&lt;0,"VENCIDO",IF(E2961&lt;=30,"VENCE EM &lt;= 30 DIAS",IF(E2961&lt;=60,"ATENCAO (31-60 DIAS)","OK"))))</f>
        <v/>
      </c>
      <c r="G2961" s="13">
        <f>SUMIFS(Movimentacoes!$G:$G,Movimentacoes!$C:$C,$A2961,Movimentacoes!$E:$E,$C2961,Movimentacoes!$B:$B,"ENTRADA")</f>
        <v/>
      </c>
      <c r="H2961" s="13">
        <f>SUMIFS(Movimentacoes!$G:$G,Movimentacoes!$C:$C,$A2961,Movimentacoes!$E:$E,$C2961,Movimentacoes!$B:$B,"SAIDA_USO")</f>
        <v/>
      </c>
      <c r="I2961" s="13">
        <f>SUMIFS(Movimentacoes!$G:$G,Movimentacoes!$C:$C,$A2961,Movimentacoes!$E:$E,$C2961,Movimentacoes!$B:$B,"SAIDA_DESCARTE")</f>
        <v/>
      </c>
      <c r="J2961" s="13">
        <f>G2961-H2961-I2961</f>
        <v/>
      </c>
      <c r="K2961">
        <f>IF(A2961="","",IF(J2961&lt;=IFERROR(VLOOKUP(A2961,Cadastro_Produtos!$A:$E,5,FALSE),0),"ABAIXO DO MINIMO","OK"))</f>
        <v/>
      </c>
    </row>
    <row r="2962">
      <c r="B2962">
        <f>IFERROR(VLOOKUP(A2962,Cadastro_Produtos!A:B,2,FALSE),"")</f>
        <v/>
      </c>
      <c r="D2962" s="12" t="n"/>
      <c r="E2962" s="13">
        <f>IF(D2962="","",D2962-TODAY())</f>
        <v/>
      </c>
      <c r="F2962">
        <f>IF(D2962="","",IF(E2962&lt;0,"VENCIDO",IF(E2962&lt;=30,"VENCE EM &lt;= 30 DIAS",IF(E2962&lt;=60,"ATENCAO (31-60 DIAS)","OK"))))</f>
        <v/>
      </c>
      <c r="G2962" s="13">
        <f>SUMIFS(Movimentacoes!$G:$G,Movimentacoes!$C:$C,$A2962,Movimentacoes!$E:$E,$C2962,Movimentacoes!$B:$B,"ENTRADA")</f>
        <v/>
      </c>
      <c r="H2962" s="13">
        <f>SUMIFS(Movimentacoes!$G:$G,Movimentacoes!$C:$C,$A2962,Movimentacoes!$E:$E,$C2962,Movimentacoes!$B:$B,"SAIDA_USO")</f>
        <v/>
      </c>
      <c r="I2962" s="13">
        <f>SUMIFS(Movimentacoes!$G:$G,Movimentacoes!$C:$C,$A2962,Movimentacoes!$E:$E,$C2962,Movimentacoes!$B:$B,"SAIDA_DESCARTE")</f>
        <v/>
      </c>
      <c r="J2962" s="13">
        <f>G2962-H2962-I2962</f>
        <v/>
      </c>
      <c r="K2962">
        <f>IF(A2962="","",IF(J2962&lt;=IFERROR(VLOOKUP(A2962,Cadastro_Produtos!$A:$E,5,FALSE),0),"ABAIXO DO MINIMO","OK"))</f>
        <v/>
      </c>
    </row>
    <row r="2963">
      <c r="B2963">
        <f>IFERROR(VLOOKUP(A2963,Cadastro_Produtos!A:B,2,FALSE),"")</f>
        <v/>
      </c>
      <c r="D2963" s="12" t="n"/>
      <c r="E2963" s="13">
        <f>IF(D2963="","",D2963-TODAY())</f>
        <v/>
      </c>
      <c r="F2963">
        <f>IF(D2963="","",IF(E2963&lt;0,"VENCIDO",IF(E2963&lt;=30,"VENCE EM &lt;= 30 DIAS",IF(E2963&lt;=60,"ATENCAO (31-60 DIAS)","OK"))))</f>
        <v/>
      </c>
      <c r="G2963" s="13">
        <f>SUMIFS(Movimentacoes!$G:$G,Movimentacoes!$C:$C,$A2963,Movimentacoes!$E:$E,$C2963,Movimentacoes!$B:$B,"ENTRADA")</f>
        <v/>
      </c>
      <c r="H2963" s="13">
        <f>SUMIFS(Movimentacoes!$G:$G,Movimentacoes!$C:$C,$A2963,Movimentacoes!$E:$E,$C2963,Movimentacoes!$B:$B,"SAIDA_USO")</f>
        <v/>
      </c>
      <c r="I2963" s="13">
        <f>SUMIFS(Movimentacoes!$G:$G,Movimentacoes!$C:$C,$A2963,Movimentacoes!$E:$E,$C2963,Movimentacoes!$B:$B,"SAIDA_DESCARTE")</f>
        <v/>
      </c>
      <c r="J2963" s="13">
        <f>G2963-H2963-I2963</f>
        <v/>
      </c>
      <c r="K2963">
        <f>IF(A2963="","",IF(J2963&lt;=IFERROR(VLOOKUP(A2963,Cadastro_Produtos!$A:$E,5,FALSE),0),"ABAIXO DO MINIMO","OK"))</f>
        <v/>
      </c>
    </row>
    <row r="2964">
      <c r="B2964">
        <f>IFERROR(VLOOKUP(A2964,Cadastro_Produtos!A:B,2,FALSE),"")</f>
        <v/>
      </c>
      <c r="D2964" s="12" t="n"/>
      <c r="E2964" s="13">
        <f>IF(D2964="","",D2964-TODAY())</f>
        <v/>
      </c>
      <c r="F2964">
        <f>IF(D2964="","",IF(E2964&lt;0,"VENCIDO",IF(E2964&lt;=30,"VENCE EM &lt;= 30 DIAS",IF(E2964&lt;=60,"ATENCAO (31-60 DIAS)","OK"))))</f>
        <v/>
      </c>
      <c r="G2964" s="13">
        <f>SUMIFS(Movimentacoes!$G:$G,Movimentacoes!$C:$C,$A2964,Movimentacoes!$E:$E,$C2964,Movimentacoes!$B:$B,"ENTRADA")</f>
        <v/>
      </c>
      <c r="H2964" s="13">
        <f>SUMIFS(Movimentacoes!$G:$G,Movimentacoes!$C:$C,$A2964,Movimentacoes!$E:$E,$C2964,Movimentacoes!$B:$B,"SAIDA_USO")</f>
        <v/>
      </c>
      <c r="I2964" s="13">
        <f>SUMIFS(Movimentacoes!$G:$G,Movimentacoes!$C:$C,$A2964,Movimentacoes!$E:$E,$C2964,Movimentacoes!$B:$B,"SAIDA_DESCARTE")</f>
        <v/>
      </c>
      <c r="J2964" s="13">
        <f>G2964-H2964-I2964</f>
        <v/>
      </c>
      <c r="K2964">
        <f>IF(A2964="","",IF(J2964&lt;=IFERROR(VLOOKUP(A2964,Cadastro_Produtos!$A:$E,5,FALSE),0),"ABAIXO DO MINIMO","OK"))</f>
        <v/>
      </c>
    </row>
    <row r="2965">
      <c r="B2965">
        <f>IFERROR(VLOOKUP(A2965,Cadastro_Produtos!A:B,2,FALSE),"")</f>
        <v/>
      </c>
      <c r="D2965" s="12" t="n"/>
      <c r="E2965" s="13">
        <f>IF(D2965="","",D2965-TODAY())</f>
        <v/>
      </c>
      <c r="F2965">
        <f>IF(D2965="","",IF(E2965&lt;0,"VENCIDO",IF(E2965&lt;=30,"VENCE EM &lt;= 30 DIAS",IF(E2965&lt;=60,"ATENCAO (31-60 DIAS)","OK"))))</f>
        <v/>
      </c>
      <c r="G2965" s="13">
        <f>SUMIFS(Movimentacoes!$G:$G,Movimentacoes!$C:$C,$A2965,Movimentacoes!$E:$E,$C2965,Movimentacoes!$B:$B,"ENTRADA")</f>
        <v/>
      </c>
      <c r="H2965" s="13">
        <f>SUMIFS(Movimentacoes!$G:$G,Movimentacoes!$C:$C,$A2965,Movimentacoes!$E:$E,$C2965,Movimentacoes!$B:$B,"SAIDA_USO")</f>
        <v/>
      </c>
      <c r="I2965" s="13">
        <f>SUMIFS(Movimentacoes!$G:$G,Movimentacoes!$C:$C,$A2965,Movimentacoes!$E:$E,$C2965,Movimentacoes!$B:$B,"SAIDA_DESCARTE")</f>
        <v/>
      </c>
      <c r="J2965" s="13">
        <f>G2965-H2965-I2965</f>
        <v/>
      </c>
      <c r="K2965">
        <f>IF(A2965="","",IF(J2965&lt;=IFERROR(VLOOKUP(A2965,Cadastro_Produtos!$A:$E,5,FALSE),0),"ABAIXO DO MINIMO","OK"))</f>
        <v/>
      </c>
    </row>
    <row r="2966">
      <c r="B2966">
        <f>IFERROR(VLOOKUP(A2966,Cadastro_Produtos!A:B,2,FALSE),"")</f>
        <v/>
      </c>
      <c r="D2966" s="12" t="n"/>
      <c r="E2966" s="13">
        <f>IF(D2966="","",D2966-TODAY())</f>
        <v/>
      </c>
      <c r="F2966">
        <f>IF(D2966="","",IF(E2966&lt;0,"VENCIDO",IF(E2966&lt;=30,"VENCE EM &lt;= 30 DIAS",IF(E2966&lt;=60,"ATENCAO (31-60 DIAS)","OK"))))</f>
        <v/>
      </c>
      <c r="G2966" s="13">
        <f>SUMIFS(Movimentacoes!$G:$G,Movimentacoes!$C:$C,$A2966,Movimentacoes!$E:$E,$C2966,Movimentacoes!$B:$B,"ENTRADA")</f>
        <v/>
      </c>
      <c r="H2966" s="13">
        <f>SUMIFS(Movimentacoes!$G:$G,Movimentacoes!$C:$C,$A2966,Movimentacoes!$E:$E,$C2966,Movimentacoes!$B:$B,"SAIDA_USO")</f>
        <v/>
      </c>
      <c r="I2966" s="13">
        <f>SUMIFS(Movimentacoes!$G:$G,Movimentacoes!$C:$C,$A2966,Movimentacoes!$E:$E,$C2966,Movimentacoes!$B:$B,"SAIDA_DESCARTE")</f>
        <v/>
      </c>
      <c r="J2966" s="13">
        <f>G2966-H2966-I2966</f>
        <v/>
      </c>
      <c r="K2966">
        <f>IF(A2966="","",IF(J2966&lt;=IFERROR(VLOOKUP(A2966,Cadastro_Produtos!$A:$E,5,FALSE),0),"ABAIXO DO MINIMO","OK"))</f>
        <v/>
      </c>
    </row>
    <row r="2967">
      <c r="B2967">
        <f>IFERROR(VLOOKUP(A2967,Cadastro_Produtos!A:B,2,FALSE),"")</f>
        <v/>
      </c>
      <c r="D2967" s="12" t="n"/>
      <c r="E2967" s="13">
        <f>IF(D2967="","",D2967-TODAY())</f>
        <v/>
      </c>
      <c r="F2967">
        <f>IF(D2967="","",IF(E2967&lt;0,"VENCIDO",IF(E2967&lt;=30,"VENCE EM &lt;= 30 DIAS",IF(E2967&lt;=60,"ATENCAO (31-60 DIAS)","OK"))))</f>
        <v/>
      </c>
      <c r="G2967" s="13">
        <f>SUMIFS(Movimentacoes!$G:$G,Movimentacoes!$C:$C,$A2967,Movimentacoes!$E:$E,$C2967,Movimentacoes!$B:$B,"ENTRADA")</f>
        <v/>
      </c>
      <c r="H2967" s="13">
        <f>SUMIFS(Movimentacoes!$G:$G,Movimentacoes!$C:$C,$A2967,Movimentacoes!$E:$E,$C2967,Movimentacoes!$B:$B,"SAIDA_USO")</f>
        <v/>
      </c>
      <c r="I2967" s="13">
        <f>SUMIFS(Movimentacoes!$G:$G,Movimentacoes!$C:$C,$A2967,Movimentacoes!$E:$E,$C2967,Movimentacoes!$B:$B,"SAIDA_DESCARTE")</f>
        <v/>
      </c>
      <c r="J2967" s="13">
        <f>G2967-H2967-I2967</f>
        <v/>
      </c>
      <c r="K2967">
        <f>IF(A2967="","",IF(J2967&lt;=IFERROR(VLOOKUP(A2967,Cadastro_Produtos!$A:$E,5,FALSE),0),"ABAIXO DO MINIMO","OK"))</f>
        <v/>
      </c>
    </row>
    <row r="2968">
      <c r="B2968">
        <f>IFERROR(VLOOKUP(A2968,Cadastro_Produtos!A:B,2,FALSE),"")</f>
        <v/>
      </c>
      <c r="D2968" s="12" t="n"/>
      <c r="E2968" s="13">
        <f>IF(D2968="","",D2968-TODAY())</f>
        <v/>
      </c>
      <c r="F2968">
        <f>IF(D2968="","",IF(E2968&lt;0,"VENCIDO",IF(E2968&lt;=30,"VENCE EM &lt;= 30 DIAS",IF(E2968&lt;=60,"ATENCAO (31-60 DIAS)","OK"))))</f>
        <v/>
      </c>
      <c r="G2968" s="13">
        <f>SUMIFS(Movimentacoes!$G:$G,Movimentacoes!$C:$C,$A2968,Movimentacoes!$E:$E,$C2968,Movimentacoes!$B:$B,"ENTRADA")</f>
        <v/>
      </c>
      <c r="H2968" s="13">
        <f>SUMIFS(Movimentacoes!$G:$G,Movimentacoes!$C:$C,$A2968,Movimentacoes!$E:$E,$C2968,Movimentacoes!$B:$B,"SAIDA_USO")</f>
        <v/>
      </c>
      <c r="I2968" s="13">
        <f>SUMIFS(Movimentacoes!$G:$G,Movimentacoes!$C:$C,$A2968,Movimentacoes!$E:$E,$C2968,Movimentacoes!$B:$B,"SAIDA_DESCARTE")</f>
        <v/>
      </c>
      <c r="J2968" s="13">
        <f>G2968-H2968-I2968</f>
        <v/>
      </c>
      <c r="K2968">
        <f>IF(A2968="","",IF(J2968&lt;=IFERROR(VLOOKUP(A2968,Cadastro_Produtos!$A:$E,5,FALSE),0),"ABAIXO DO MINIMO","OK"))</f>
        <v/>
      </c>
    </row>
    <row r="2969">
      <c r="B2969">
        <f>IFERROR(VLOOKUP(A2969,Cadastro_Produtos!A:B,2,FALSE),"")</f>
        <v/>
      </c>
      <c r="D2969" s="12" t="n"/>
      <c r="E2969" s="13">
        <f>IF(D2969="","",D2969-TODAY())</f>
        <v/>
      </c>
      <c r="F2969">
        <f>IF(D2969="","",IF(E2969&lt;0,"VENCIDO",IF(E2969&lt;=30,"VENCE EM &lt;= 30 DIAS",IF(E2969&lt;=60,"ATENCAO (31-60 DIAS)","OK"))))</f>
        <v/>
      </c>
      <c r="G2969" s="13">
        <f>SUMIFS(Movimentacoes!$G:$G,Movimentacoes!$C:$C,$A2969,Movimentacoes!$E:$E,$C2969,Movimentacoes!$B:$B,"ENTRADA")</f>
        <v/>
      </c>
      <c r="H2969" s="13">
        <f>SUMIFS(Movimentacoes!$G:$G,Movimentacoes!$C:$C,$A2969,Movimentacoes!$E:$E,$C2969,Movimentacoes!$B:$B,"SAIDA_USO")</f>
        <v/>
      </c>
      <c r="I2969" s="13">
        <f>SUMIFS(Movimentacoes!$G:$G,Movimentacoes!$C:$C,$A2969,Movimentacoes!$E:$E,$C2969,Movimentacoes!$B:$B,"SAIDA_DESCARTE")</f>
        <v/>
      </c>
      <c r="J2969" s="13">
        <f>G2969-H2969-I2969</f>
        <v/>
      </c>
      <c r="K2969">
        <f>IF(A2969="","",IF(J2969&lt;=IFERROR(VLOOKUP(A2969,Cadastro_Produtos!$A:$E,5,FALSE),0),"ABAIXO DO MINIMO","OK"))</f>
        <v/>
      </c>
    </row>
    <row r="2970">
      <c r="B2970">
        <f>IFERROR(VLOOKUP(A2970,Cadastro_Produtos!A:B,2,FALSE),"")</f>
        <v/>
      </c>
      <c r="D2970" s="12" t="n"/>
      <c r="E2970" s="13">
        <f>IF(D2970="","",D2970-TODAY())</f>
        <v/>
      </c>
      <c r="F2970">
        <f>IF(D2970="","",IF(E2970&lt;0,"VENCIDO",IF(E2970&lt;=30,"VENCE EM &lt;= 30 DIAS",IF(E2970&lt;=60,"ATENCAO (31-60 DIAS)","OK"))))</f>
        <v/>
      </c>
      <c r="G2970" s="13">
        <f>SUMIFS(Movimentacoes!$G:$G,Movimentacoes!$C:$C,$A2970,Movimentacoes!$E:$E,$C2970,Movimentacoes!$B:$B,"ENTRADA")</f>
        <v/>
      </c>
      <c r="H2970" s="13">
        <f>SUMIFS(Movimentacoes!$G:$G,Movimentacoes!$C:$C,$A2970,Movimentacoes!$E:$E,$C2970,Movimentacoes!$B:$B,"SAIDA_USO")</f>
        <v/>
      </c>
      <c r="I2970" s="13">
        <f>SUMIFS(Movimentacoes!$G:$G,Movimentacoes!$C:$C,$A2970,Movimentacoes!$E:$E,$C2970,Movimentacoes!$B:$B,"SAIDA_DESCARTE")</f>
        <v/>
      </c>
      <c r="J2970" s="13">
        <f>G2970-H2970-I2970</f>
        <v/>
      </c>
      <c r="K2970">
        <f>IF(A2970="","",IF(J2970&lt;=IFERROR(VLOOKUP(A2970,Cadastro_Produtos!$A:$E,5,FALSE),0),"ABAIXO DO MINIMO","OK"))</f>
        <v/>
      </c>
    </row>
    <row r="2971">
      <c r="B2971">
        <f>IFERROR(VLOOKUP(A2971,Cadastro_Produtos!A:B,2,FALSE),"")</f>
        <v/>
      </c>
      <c r="D2971" s="12" t="n"/>
      <c r="E2971" s="13">
        <f>IF(D2971="","",D2971-TODAY())</f>
        <v/>
      </c>
      <c r="F2971">
        <f>IF(D2971="","",IF(E2971&lt;0,"VENCIDO",IF(E2971&lt;=30,"VENCE EM &lt;= 30 DIAS",IF(E2971&lt;=60,"ATENCAO (31-60 DIAS)","OK"))))</f>
        <v/>
      </c>
      <c r="G2971" s="13">
        <f>SUMIFS(Movimentacoes!$G:$G,Movimentacoes!$C:$C,$A2971,Movimentacoes!$E:$E,$C2971,Movimentacoes!$B:$B,"ENTRADA")</f>
        <v/>
      </c>
      <c r="H2971" s="13">
        <f>SUMIFS(Movimentacoes!$G:$G,Movimentacoes!$C:$C,$A2971,Movimentacoes!$E:$E,$C2971,Movimentacoes!$B:$B,"SAIDA_USO")</f>
        <v/>
      </c>
      <c r="I2971" s="13">
        <f>SUMIFS(Movimentacoes!$G:$G,Movimentacoes!$C:$C,$A2971,Movimentacoes!$E:$E,$C2971,Movimentacoes!$B:$B,"SAIDA_DESCARTE")</f>
        <v/>
      </c>
      <c r="J2971" s="13">
        <f>G2971-H2971-I2971</f>
        <v/>
      </c>
      <c r="K2971">
        <f>IF(A2971="","",IF(J2971&lt;=IFERROR(VLOOKUP(A2971,Cadastro_Produtos!$A:$E,5,FALSE),0),"ABAIXO DO MINIMO","OK"))</f>
        <v/>
      </c>
    </row>
    <row r="2972">
      <c r="B2972">
        <f>IFERROR(VLOOKUP(A2972,Cadastro_Produtos!A:B,2,FALSE),"")</f>
        <v/>
      </c>
      <c r="D2972" s="12" t="n"/>
      <c r="E2972" s="13">
        <f>IF(D2972="","",D2972-TODAY())</f>
        <v/>
      </c>
      <c r="F2972">
        <f>IF(D2972="","",IF(E2972&lt;0,"VENCIDO",IF(E2972&lt;=30,"VENCE EM &lt;= 30 DIAS",IF(E2972&lt;=60,"ATENCAO (31-60 DIAS)","OK"))))</f>
        <v/>
      </c>
      <c r="G2972" s="13">
        <f>SUMIFS(Movimentacoes!$G:$G,Movimentacoes!$C:$C,$A2972,Movimentacoes!$E:$E,$C2972,Movimentacoes!$B:$B,"ENTRADA")</f>
        <v/>
      </c>
      <c r="H2972" s="13">
        <f>SUMIFS(Movimentacoes!$G:$G,Movimentacoes!$C:$C,$A2972,Movimentacoes!$E:$E,$C2972,Movimentacoes!$B:$B,"SAIDA_USO")</f>
        <v/>
      </c>
      <c r="I2972" s="13">
        <f>SUMIFS(Movimentacoes!$G:$G,Movimentacoes!$C:$C,$A2972,Movimentacoes!$E:$E,$C2972,Movimentacoes!$B:$B,"SAIDA_DESCARTE")</f>
        <v/>
      </c>
      <c r="J2972" s="13">
        <f>G2972-H2972-I2972</f>
        <v/>
      </c>
      <c r="K2972">
        <f>IF(A2972="","",IF(J2972&lt;=IFERROR(VLOOKUP(A2972,Cadastro_Produtos!$A:$E,5,FALSE),0),"ABAIXO DO MINIMO","OK"))</f>
        <v/>
      </c>
    </row>
    <row r="2973">
      <c r="B2973">
        <f>IFERROR(VLOOKUP(A2973,Cadastro_Produtos!A:B,2,FALSE),"")</f>
        <v/>
      </c>
      <c r="D2973" s="12" t="n"/>
      <c r="E2973" s="13">
        <f>IF(D2973="","",D2973-TODAY())</f>
        <v/>
      </c>
      <c r="F2973">
        <f>IF(D2973="","",IF(E2973&lt;0,"VENCIDO",IF(E2973&lt;=30,"VENCE EM &lt;= 30 DIAS",IF(E2973&lt;=60,"ATENCAO (31-60 DIAS)","OK"))))</f>
        <v/>
      </c>
      <c r="G2973" s="13">
        <f>SUMIFS(Movimentacoes!$G:$G,Movimentacoes!$C:$C,$A2973,Movimentacoes!$E:$E,$C2973,Movimentacoes!$B:$B,"ENTRADA")</f>
        <v/>
      </c>
      <c r="H2973" s="13">
        <f>SUMIFS(Movimentacoes!$G:$G,Movimentacoes!$C:$C,$A2973,Movimentacoes!$E:$E,$C2973,Movimentacoes!$B:$B,"SAIDA_USO")</f>
        <v/>
      </c>
      <c r="I2973" s="13">
        <f>SUMIFS(Movimentacoes!$G:$G,Movimentacoes!$C:$C,$A2973,Movimentacoes!$E:$E,$C2973,Movimentacoes!$B:$B,"SAIDA_DESCARTE")</f>
        <v/>
      </c>
      <c r="J2973" s="13">
        <f>G2973-H2973-I2973</f>
        <v/>
      </c>
      <c r="K2973">
        <f>IF(A2973="","",IF(J2973&lt;=IFERROR(VLOOKUP(A2973,Cadastro_Produtos!$A:$E,5,FALSE),0),"ABAIXO DO MINIMO","OK"))</f>
        <v/>
      </c>
    </row>
    <row r="2974">
      <c r="B2974">
        <f>IFERROR(VLOOKUP(A2974,Cadastro_Produtos!A:B,2,FALSE),"")</f>
        <v/>
      </c>
      <c r="D2974" s="12" t="n"/>
      <c r="E2974" s="13">
        <f>IF(D2974="","",D2974-TODAY())</f>
        <v/>
      </c>
      <c r="F2974">
        <f>IF(D2974="","",IF(E2974&lt;0,"VENCIDO",IF(E2974&lt;=30,"VENCE EM &lt;= 30 DIAS",IF(E2974&lt;=60,"ATENCAO (31-60 DIAS)","OK"))))</f>
        <v/>
      </c>
      <c r="G2974" s="13">
        <f>SUMIFS(Movimentacoes!$G:$G,Movimentacoes!$C:$C,$A2974,Movimentacoes!$E:$E,$C2974,Movimentacoes!$B:$B,"ENTRADA")</f>
        <v/>
      </c>
      <c r="H2974" s="13">
        <f>SUMIFS(Movimentacoes!$G:$G,Movimentacoes!$C:$C,$A2974,Movimentacoes!$E:$E,$C2974,Movimentacoes!$B:$B,"SAIDA_USO")</f>
        <v/>
      </c>
      <c r="I2974" s="13">
        <f>SUMIFS(Movimentacoes!$G:$G,Movimentacoes!$C:$C,$A2974,Movimentacoes!$E:$E,$C2974,Movimentacoes!$B:$B,"SAIDA_DESCARTE")</f>
        <v/>
      </c>
      <c r="J2974" s="13">
        <f>G2974-H2974-I2974</f>
        <v/>
      </c>
      <c r="K2974">
        <f>IF(A2974="","",IF(J2974&lt;=IFERROR(VLOOKUP(A2974,Cadastro_Produtos!$A:$E,5,FALSE),0),"ABAIXO DO MINIMO","OK"))</f>
        <v/>
      </c>
    </row>
    <row r="2975">
      <c r="B2975">
        <f>IFERROR(VLOOKUP(A2975,Cadastro_Produtos!A:B,2,FALSE),"")</f>
        <v/>
      </c>
      <c r="D2975" s="12" t="n"/>
      <c r="E2975" s="13">
        <f>IF(D2975="","",D2975-TODAY())</f>
        <v/>
      </c>
      <c r="F2975">
        <f>IF(D2975="","",IF(E2975&lt;0,"VENCIDO",IF(E2975&lt;=30,"VENCE EM &lt;= 30 DIAS",IF(E2975&lt;=60,"ATENCAO (31-60 DIAS)","OK"))))</f>
        <v/>
      </c>
      <c r="G2975" s="13">
        <f>SUMIFS(Movimentacoes!$G:$G,Movimentacoes!$C:$C,$A2975,Movimentacoes!$E:$E,$C2975,Movimentacoes!$B:$B,"ENTRADA")</f>
        <v/>
      </c>
      <c r="H2975" s="13">
        <f>SUMIFS(Movimentacoes!$G:$G,Movimentacoes!$C:$C,$A2975,Movimentacoes!$E:$E,$C2975,Movimentacoes!$B:$B,"SAIDA_USO")</f>
        <v/>
      </c>
      <c r="I2975" s="13">
        <f>SUMIFS(Movimentacoes!$G:$G,Movimentacoes!$C:$C,$A2975,Movimentacoes!$E:$E,$C2975,Movimentacoes!$B:$B,"SAIDA_DESCARTE")</f>
        <v/>
      </c>
      <c r="J2975" s="13">
        <f>G2975-H2975-I2975</f>
        <v/>
      </c>
      <c r="K2975">
        <f>IF(A2975="","",IF(J2975&lt;=IFERROR(VLOOKUP(A2975,Cadastro_Produtos!$A:$E,5,FALSE),0),"ABAIXO DO MINIMO","OK"))</f>
        <v/>
      </c>
    </row>
    <row r="2976">
      <c r="B2976">
        <f>IFERROR(VLOOKUP(A2976,Cadastro_Produtos!A:B,2,FALSE),"")</f>
        <v/>
      </c>
      <c r="D2976" s="12" t="n"/>
      <c r="E2976" s="13">
        <f>IF(D2976="","",D2976-TODAY())</f>
        <v/>
      </c>
      <c r="F2976">
        <f>IF(D2976="","",IF(E2976&lt;0,"VENCIDO",IF(E2976&lt;=30,"VENCE EM &lt;= 30 DIAS",IF(E2976&lt;=60,"ATENCAO (31-60 DIAS)","OK"))))</f>
        <v/>
      </c>
      <c r="G2976" s="13">
        <f>SUMIFS(Movimentacoes!$G:$G,Movimentacoes!$C:$C,$A2976,Movimentacoes!$E:$E,$C2976,Movimentacoes!$B:$B,"ENTRADA")</f>
        <v/>
      </c>
      <c r="H2976" s="13">
        <f>SUMIFS(Movimentacoes!$G:$G,Movimentacoes!$C:$C,$A2976,Movimentacoes!$E:$E,$C2976,Movimentacoes!$B:$B,"SAIDA_USO")</f>
        <v/>
      </c>
      <c r="I2976" s="13">
        <f>SUMIFS(Movimentacoes!$G:$G,Movimentacoes!$C:$C,$A2976,Movimentacoes!$E:$E,$C2976,Movimentacoes!$B:$B,"SAIDA_DESCARTE")</f>
        <v/>
      </c>
      <c r="J2976" s="13">
        <f>G2976-H2976-I2976</f>
        <v/>
      </c>
      <c r="K2976">
        <f>IF(A2976="","",IF(J2976&lt;=IFERROR(VLOOKUP(A2976,Cadastro_Produtos!$A:$E,5,FALSE),0),"ABAIXO DO MINIMO","OK"))</f>
        <v/>
      </c>
    </row>
    <row r="2977">
      <c r="B2977">
        <f>IFERROR(VLOOKUP(A2977,Cadastro_Produtos!A:B,2,FALSE),"")</f>
        <v/>
      </c>
      <c r="D2977" s="12" t="n"/>
      <c r="E2977" s="13">
        <f>IF(D2977="","",D2977-TODAY())</f>
        <v/>
      </c>
      <c r="F2977">
        <f>IF(D2977="","",IF(E2977&lt;0,"VENCIDO",IF(E2977&lt;=30,"VENCE EM &lt;= 30 DIAS",IF(E2977&lt;=60,"ATENCAO (31-60 DIAS)","OK"))))</f>
        <v/>
      </c>
      <c r="G2977" s="13">
        <f>SUMIFS(Movimentacoes!$G:$G,Movimentacoes!$C:$C,$A2977,Movimentacoes!$E:$E,$C2977,Movimentacoes!$B:$B,"ENTRADA")</f>
        <v/>
      </c>
      <c r="H2977" s="13">
        <f>SUMIFS(Movimentacoes!$G:$G,Movimentacoes!$C:$C,$A2977,Movimentacoes!$E:$E,$C2977,Movimentacoes!$B:$B,"SAIDA_USO")</f>
        <v/>
      </c>
      <c r="I2977" s="13">
        <f>SUMIFS(Movimentacoes!$G:$G,Movimentacoes!$C:$C,$A2977,Movimentacoes!$E:$E,$C2977,Movimentacoes!$B:$B,"SAIDA_DESCARTE")</f>
        <v/>
      </c>
      <c r="J2977" s="13">
        <f>G2977-H2977-I2977</f>
        <v/>
      </c>
      <c r="K2977">
        <f>IF(A2977="","",IF(J2977&lt;=IFERROR(VLOOKUP(A2977,Cadastro_Produtos!$A:$E,5,FALSE),0),"ABAIXO DO MINIMO","OK"))</f>
        <v/>
      </c>
    </row>
    <row r="2978">
      <c r="B2978">
        <f>IFERROR(VLOOKUP(A2978,Cadastro_Produtos!A:B,2,FALSE),"")</f>
        <v/>
      </c>
      <c r="D2978" s="12" t="n"/>
      <c r="E2978" s="13">
        <f>IF(D2978="","",D2978-TODAY())</f>
        <v/>
      </c>
      <c r="F2978">
        <f>IF(D2978="","",IF(E2978&lt;0,"VENCIDO",IF(E2978&lt;=30,"VENCE EM &lt;= 30 DIAS",IF(E2978&lt;=60,"ATENCAO (31-60 DIAS)","OK"))))</f>
        <v/>
      </c>
      <c r="G2978" s="13">
        <f>SUMIFS(Movimentacoes!$G:$G,Movimentacoes!$C:$C,$A2978,Movimentacoes!$E:$E,$C2978,Movimentacoes!$B:$B,"ENTRADA")</f>
        <v/>
      </c>
      <c r="H2978" s="13">
        <f>SUMIFS(Movimentacoes!$G:$G,Movimentacoes!$C:$C,$A2978,Movimentacoes!$E:$E,$C2978,Movimentacoes!$B:$B,"SAIDA_USO")</f>
        <v/>
      </c>
      <c r="I2978" s="13">
        <f>SUMIFS(Movimentacoes!$G:$G,Movimentacoes!$C:$C,$A2978,Movimentacoes!$E:$E,$C2978,Movimentacoes!$B:$B,"SAIDA_DESCARTE")</f>
        <v/>
      </c>
      <c r="J2978" s="13">
        <f>G2978-H2978-I2978</f>
        <v/>
      </c>
      <c r="K2978">
        <f>IF(A2978="","",IF(J2978&lt;=IFERROR(VLOOKUP(A2978,Cadastro_Produtos!$A:$E,5,FALSE),0),"ABAIXO DO MINIMO","OK"))</f>
        <v/>
      </c>
    </row>
    <row r="2979">
      <c r="B2979">
        <f>IFERROR(VLOOKUP(A2979,Cadastro_Produtos!A:B,2,FALSE),"")</f>
        <v/>
      </c>
      <c r="D2979" s="12" t="n"/>
      <c r="E2979" s="13">
        <f>IF(D2979="","",D2979-TODAY())</f>
        <v/>
      </c>
      <c r="F2979">
        <f>IF(D2979="","",IF(E2979&lt;0,"VENCIDO",IF(E2979&lt;=30,"VENCE EM &lt;= 30 DIAS",IF(E2979&lt;=60,"ATENCAO (31-60 DIAS)","OK"))))</f>
        <v/>
      </c>
      <c r="G2979" s="13">
        <f>SUMIFS(Movimentacoes!$G:$G,Movimentacoes!$C:$C,$A2979,Movimentacoes!$E:$E,$C2979,Movimentacoes!$B:$B,"ENTRADA")</f>
        <v/>
      </c>
      <c r="H2979" s="13">
        <f>SUMIFS(Movimentacoes!$G:$G,Movimentacoes!$C:$C,$A2979,Movimentacoes!$E:$E,$C2979,Movimentacoes!$B:$B,"SAIDA_USO")</f>
        <v/>
      </c>
      <c r="I2979" s="13">
        <f>SUMIFS(Movimentacoes!$G:$G,Movimentacoes!$C:$C,$A2979,Movimentacoes!$E:$E,$C2979,Movimentacoes!$B:$B,"SAIDA_DESCARTE")</f>
        <v/>
      </c>
      <c r="J2979" s="13">
        <f>G2979-H2979-I2979</f>
        <v/>
      </c>
      <c r="K2979">
        <f>IF(A2979="","",IF(J2979&lt;=IFERROR(VLOOKUP(A2979,Cadastro_Produtos!$A:$E,5,FALSE),0),"ABAIXO DO MINIMO","OK"))</f>
        <v/>
      </c>
    </row>
    <row r="2980">
      <c r="B2980">
        <f>IFERROR(VLOOKUP(A2980,Cadastro_Produtos!A:B,2,FALSE),"")</f>
        <v/>
      </c>
      <c r="D2980" s="12" t="n"/>
      <c r="E2980" s="13">
        <f>IF(D2980="","",D2980-TODAY())</f>
        <v/>
      </c>
      <c r="F2980">
        <f>IF(D2980="","",IF(E2980&lt;0,"VENCIDO",IF(E2980&lt;=30,"VENCE EM &lt;= 30 DIAS",IF(E2980&lt;=60,"ATENCAO (31-60 DIAS)","OK"))))</f>
        <v/>
      </c>
      <c r="G2980" s="13">
        <f>SUMIFS(Movimentacoes!$G:$G,Movimentacoes!$C:$C,$A2980,Movimentacoes!$E:$E,$C2980,Movimentacoes!$B:$B,"ENTRADA")</f>
        <v/>
      </c>
      <c r="H2980" s="13">
        <f>SUMIFS(Movimentacoes!$G:$G,Movimentacoes!$C:$C,$A2980,Movimentacoes!$E:$E,$C2980,Movimentacoes!$B:$B,"SAIDA_USO")</f>
        <v/>
      </c>
      <c r="I2980" s="13">
        <f>SUMIFS(Movimentacoes!$G:$G,Movimentacoes!$C:$C,$A2980,Movimentacoes!$E:$E,$C2980,Movimentacoes!$B:$B,"SAIDA_DESCARTE")</f>
        <v/>
      </c>
      <c r="J2980" s="13">
        <f>G2980-H2980-I2980</f>
        <v/>
      </c>
      <c r="K2980">
        <f>IF(A2980="","",IF(J2980&lt;=IFERROR(VLOOKUP(A2980,Cadastro_Produtos!$A:$E,5,FALSE),0),"ABAIXO DO MINIMO","OK"))</f>
        <v/>
      </c>
    </row>
    <row r="2981">
      <c r="B2981">
        <f>IFERROR(VLOOKUP(A2981,Cadastro_Produtos!A:B,2,FALSE),"")</f>
        <v/>
      </c>
      <c r="D2981" s="12" t="n"/>
      <c r="E2981" s="13">
        <f>IF(D2981="","",D2981-TODAY())</f>
        <v/>
      </c>
      <c r="F2981">
        <f>IF(D2981="","",IF(E2981&lt;0,"VENCIDO",IF(E2981&lt;=30,"VENCE EM &lt;= 30 DIAS",IF(E2981&lt;=60,"ATENCAO (31-60 DIAS)","OK"))))</f>
        <v/>
      </c>
      <c r="G2981" s="13">
        <f>SUMIFS(Movimentacoes!$G:$G,Movimentacoes!$C:$C,$A2981,Movimentacoes!$E:$E,$C2981,Movimentacoes!$B:$B,"ENTRADA")</f>
        <v/>
      </c>
      <c r="H2981" s="13">
        <f>SUMIFS(Movimentacoes!$G:$G,Movimentacoes!$C:$C,$A2981,Movimentacoes!$E:$E,$C2981,Movimentacoes!$B:$B,"SAIDA_USO")</f>
        <v/>
      </c>
      <c r="I2981" s="13">
        <f>SUMIFS(Movimentacoes!$G:$G,Movimentacoes!$C:$C,$A2981,Movimentacoes!$E:$E,$C2981,Movimentacoes!$B:$B,"SAIDA_DESCARTE")</f>
        <v/>
      </c>
      <c r="J2981" s="13">
        <f>G2981-H2981-I2981</f>
        <v/>
      </c>
      <c r="K2981">
        <f>IF(A2981="","",IF(J2981&lt;=IFERROR(VLOOKUP(A2981,Cadastro_Produtos!$A:$E,5,FALSE),0),"ABAIXO DO MINIMO","OK"))</f>
        <v/>
      </c>
    </row>
    <row r="2982">
      <c r="B2982">
        <f>IFERROR(VLOOKUP(A2982,Cadastro_Produtos!A:B,2,FALSE),"")</f>
        <v/>
      </c>
      <c r="D2982" s="12" t="n"/>
      <c r="E2982" s="13">
        <f>IF(D2982="","",D2982-TODAY())</f>
        <v/>
      </c>
      <c r="F2982">
        <f>IF(D2982="","",IF(E2982&lt;0,"VENCIDO",IF(E2982&lt;=30,"VENCE EM &lt;= 30 DIAS",IF(E2982&lt;=60,"ATENCAO (31-60 DIAS)","OK"))))</f>
        <v/>
      </c>
      <c r="G2982" s="13">
        <f>SUMIFS(Movimentacoes!$G:$G,Movimentacoes!$C:$C,$A2982,Movimentacoes!$E:$E,$C2982,Movimentacoes!$B:$B,"ENTRADA")</f>
        <v/>
      </c>
      <c r="H2982" s="13">
        <f>SUMIFS(Movimentacoes!$G:$G,Movimentacoes!$C:$C,$A2982,Movimentacoes!$E:$E,$C2982,Movimentacoes!$B:$B,"SAIDA_USO")</f>
        <v/>
      </c>
      <c r="I2982" s="13">
        <f>SUMIFS(Movimentacoes!$G:$G,Movimentacoes!$C:$C,$A2982,Movimentacoes!$E:$E,$C2982,Movimentacoes!$B:$B,"SAIDA_DESCARTE")</f>
        <v/>
      </c>
      <c r="J2982" s="13">
        <f>G2982-H2982-I2982</f>
        <v/>
      </c>
      <c r="K2982">
        <f>IF(A2982="","",IF(J2982&lt;=IFERROR(VLOOKUP(A2982,Cadastro_Produtos!$A:$E,5,FALSE),0),"ABAIXO DO MINIMO","OK"))</f>
        <v/>
      </c>
    </row>
    <row r="2983">
      <c r="B2983">
        <f>IFERROR(VLOOKUP(A2983,Cadastro_Produtos!A:B,2,FALSE),"")</f>
        <v/>
      </c>
      <c r="D2983" s="12" t="n"/>
      <c r="E2983" s="13">
        <f>IF(D2983="","",D2983-TODAY())</f>
        <v/>
      </c>
      <c r="F2983">
        <f>IF(D2983="","",IF(E2983&lt;0,"VENCIDO",IF(E2983&lt;=30,"VENCE EM &lt;= 30 DIAS",IF(E2983&lt;=60,"ATENCAO (31-60 DIAS)","OK"))))</f>
        <v/>
      </c>
      <c r="G2983" s="13">
        <f>SUMIFS(Movimentacoes!$G:$G,Movimentacoes!$C:$C,$A2983,Movimentacoes!$E:$E,$C2983,Movimentacoes!$B:$B,"ENTRADA")</f>
        <v/>
      </c>
      <c r="H2983" s="13">
        <f>SUMIFS(Movimentacoes!$G:$G,Movimentacoes!$C:$C,$A2983,Movimentacoes!$E:$E,$C2983,Movimentacoes!$B:$B,"SAIDA_USO")</f>
        <v/>
      </c>
      <c r="I2983" s="13">
        <f>SUMIFS(Movimentacoes!$G:$G,Movimentacoes!$C:$C,$A2983,Movimentacoes!$E:$E,$C2983,Movimentacoes!$B:$B,"SAIDA_DESCARTE")</f>
        <v/>
      </c>
      <c r="J2983" s="13">
        <f>G2983-H2983-I2983</f>
        <v/>
      </c>
      <c r="K2983">
        <f>IF(A2983="","",IF(J2983&lt;=IFERROR(VLOOKUP(A2983,Cadastro_Produtos!$A:$E,5,FALSE),0),"ABAIXO DO MINIMO","OK"))</f>
        <v/>
      </c>
    </row>
    <row r="2984">
      <c r="B2984">
        <f>IFERROR(VLOOKUP(A2984,Cadastro_Produtos!A:B,2,FALSE),"")</f>
        <v/>
      </c>
      <c r="D2984" s="12" t="n"/>
      <c r="E2984" s="13">
        <f>IF(D2984="","",D2984-TODAY())</f>
        <v/>
      </c>
      <c r="F2984">
        <f>IF(D2984="","",IF(E2984&lt;0,"VENCIDO",IF(E2984&lt;=30,"VENCE EM &lt;= 30 DIAS",IF(E2984&lt;=60,"ATENCAO (31-60 DIAS)","OK"))))</f>
        <v/>
      </c>
      <c r="G2984" s="13">
        <f>SUMIFS(Movimentacoes!$G:$G,Movimentacoes!$C:$C,$A2984,Movimentacoes!$E:$E,$C2984,Movimentacoes!$B:$B,"ENTRADA")</f>
        <v/>
      </c>
      <c r="H2984" s="13">
        <f>SUMIFS(Movimentacoes!$G:$G,Movimentacoes!$C:$C,$A2984,Movimentacoes!$E:$E,$C2984,Movimentacoes!$B:$B,"SAIDA_USO")</f>
        <v/>
      </c>
      <c r="I2984" s="13">
        <f>SUMIFS(Movimentacoes!$G:$G,Movimentacoes!$C:$C,$A2984,Movimentacoes!$E:$E,$C2984,Movimentacoes!$B:$B,"SAIDA_DESCARTE")</f>
        <v/>
      </c>
      <c r="J2984" s="13">
        <f>G2984-H2984-I2984</f>
        <v/>
      </c>
      <c r="K2984">
        <f>IF(A2984="","",IF(J2984&lt;=IFERROR(VLOOKUP(A2984,Cadastro_Produtos!$A:$E,5,FALSE),0),"ABAIXO DO MINIMO","OK"))</f>
        <v/>
      </c>
    </row>
    <row r="2985">
      <c r="B2985">
        <f>IFERROR(VLOOKUP(A2985,Cadastro_Produtos!A:B,2,FALSE),"")</f>
        <v/>
      </c>
      <c r="D2985" s="12" t="n"/>
      <c r="E2985" s="13">
        <f>IF(D2985="","",D2985-TODAY())</f>
        <v/>
      </c>
      <c r="F2985">
        <f>IF(D2985="","",IF(E2985&lt;0,"VENCIDO",IF(E2985&lt;=30,"VENCE EM &lt;= 30 DIAS",IF(E2985&lt;=60,"ATENCAO (31-60 DIAS)","OK"))))</f>
        <v/>
      </c>
      <c r="G2985" s="13">
        <f>SUMIFS(Movimentacoes!$G:$G,Movimentacoes!$C:$C,$A2985,Movimentacoes!$E:$E,$C2985,Movimentacoes!$B:$B,"ENTRADA")</f>
        <v/>
      </c>
      <c r="H2985" s="13">
        <f>SUMIFS(Movimentacoes!$G:$G,Movimentacoes!$C:$C,$A2985,Movimentacoes!$E:$E,$C2985,Movimentacoes!$B:$B,"SAIDA_USO")</f>
        <v/>
      </c>
      <c r="I2985" s="13">
        <f>SUMIFS(Movimentacoes!$G:$G,Movimentacoes!$C:$C,$A2985,Movimentacoes!$E:$E,$C2985,Movimentacoes!$B:$B,"SAIDA_DESCARTE")</f>
        <v/>
      </c>
      <c r="J2985" s="13">
        <f>G2985-H2985-I2985</f>
        <v/>
      </c>
      <c r="K2985">
        <f>IF(A2985="","",IF(J2985&lt;=IFERROR(VLOOKUP(A2985,Cadastro_Produtos!$A:$E,5,FALSE),0),"ABAIXO DO MINIMO","OK"))</f>
        <v/>
      </c>
    </row>
    <row r="2986">
      <c r="B2986">
        <f>IFERROR(VLOOKUP(A2986,Cadastro_Produtos!A:B,2,FALSE),"")</f>
        <v/>
      </c>
      <c r="D2986" s="12" t="n"/>
      <c r="E2986" s="13">
        <f>IF(D2986="","",D2986-TODAY())</f>
        <v/>
      </c>
      <c r="F2986">
        <f>IF(D2986="","",IF(E2986&lt;0,"VENCIDO",IF(E2986&lt;=30,"VENCE EM &lt;= 30 DIAS",IF(E2986&lt;=60,"ATENCAO (31-60 DIAS)","OK"))))</f>
        <v/>
      </c>
      <c r="G2986" s="13">
        <f>SUMIFS(Movimentacoes!$G:$G,Movimentacoes!$C:$C,$A2986,Movimentacoes!$E:$E,$C2986,Movimentacoes!$B:$B,"ENTRADA")</f>
        <v/>
      </c>
      <c r="H2986" s="13">
        <f>SUMIFS(Movimentacoes!$G:$G,Movimentacoes!$C:$C,$A2986,Movimentacoes!$E:$E,$C2986,Movimentacoes!$B:$B,"SAIDA_USO")</f>
        <v/>
      </c>
      <c r="I2986" s="13">
        <f>SUMIFS(Movimentacoes!$G:$G,Movimentacoes!$C:$C,$A2986,Movimentacoes!$E:$E,$C2986,Movimentacoes!$B:$B,"SAIDA_DESCARTE")</f>
        <v/>
      </c>
      <c r="J2986" s="13">
        <f>G2986-H2986-I2986</f>
        <v/>
      </c>
      <c r="K2986">
        <f>IF(A2986="","",IF(J2986&lt;=IFERROR(VLOOKUP(A2986,Cadastro_Produtos!$A:$E,5,FALSE),0),"ABAIXO DO MINIMO","OK"))</f>
        <v/>
      </c>
    </row>
    <row r="2987">
      <c r="B2987">
        <f>IFERROR(VLOOKUP(A2987,Cadastro_Produtos!A:B,2,FALSE),"")</f>
        <v/>
      </c>
      <c r="D2987" s="12" t="n"/>
      <c r="E2987" s="13">
        <f>IF(D2987="","",D2987-TODAY())</f>
        <v/>
      </c>
      <c r="F2987">
        <f>IF(D2987="","",IF(E2987&lt;0,"VENCIDO",IF(E2987&lt;=30,"VENCE EM &lt;= 30 DIAS",IF(E2987&lt;=60,"ATENCAO (31-60 DIAS)","OK"))))</f>
        <v/>
      </c>
      <c r="G2987" s="13">
        <f>SUMIFS(Movimentacoes!$G:$G,Movimentacoes!$C:$C,$A2987,Movimentacoes!$E:$E,$C2987,Movimentacoes!$B:$B,"ENTRADA")</f>
        <v/>
      </c>
      <c r="H2987" s="13">
        <f>SUMIFS(Movimentacoes!$G:$G,Movimentacoes!$C:$C,$A2987,Movimentacoes!$E:$E,$C2987,Movimentacoes!$B:$B,"SAIDA_USO")</f>
        <v/>
      </c>
      <c r="I2987" s="13">
        <f>SUMIFS(Movimentacoes!$G:$G,Movimentacoes!$C:$C,$A2987,Movimentacoes!$E:$E,$C2987,Movimentacoes!$B:$B,"SAIDA_DESCARTE")</f>
        <v/>
      </c>
      <c r="J2987" s="13">
        <f>G2987-H2987-I2987</f>
        <v/>
      </c>
      <c r="K2987">
        <f>IF(A2987="","",IF(J2987&lt;=IFERROR(VLOOKUP(A2987,Cadastro_Produtos!$A:$E,5,FALSE),0),"ABAIXO DO MINIMO","OK"))</f>
        <v/>
      </c>
    </row>
    <row r="2988">
      <c r="B2988">
        <f>IFERROR(VLOOKUP(A2988,Cadastro_Produtos!A:B,2,FALSE),"")</f>
        <v/>
      </c>
      <c r="D2988" s="12" t="n"/>
      <c r="E2988" s="13">
        <f>IF(D2988="","",D2988-TODAY())</f>
        <v/>
      </c>
      <c r="F2988">
        <f>IF(D2988="","",IF(E2988&lt;0,"VENCIDO",IF(E2988&lt;=30,"VENCE EM &lt;= 30 DIAS",IF(E2988&lt;=60,"ATENCAO (31-60 DIAS)","OK"))))</f>
        <v/>
      </c>
      <c r="G2988" s="13">
        <f>SUMIFS(Movimentacoes!$G:$G,Movimentacoes!$C:$C,$A2988,Movimentacoes!$E:$E,$C2988,Movimentacoes!$B:$B,"ENTRADA")</f>
        <v/>
      </c>
      <c r="H2988" s="13">
        <f>SUMIFS(Movimentacoes!$G:$G,Movimentacoes!$C:$C,$A2988,Movimentacoes!$E:$E,$C2988,Movimentacoes!$B:$B,"SAIDA_USO")</f>
        <v/>
      </c>
      <c r="I2988" s="13">
        <f>SUMIFS(Movimentacoes!$G:$G,Movimentacoes!$C:$C,$A2988,Movimentacoes!$E:$E,$C2988,Movimentacoes!$B:$B,"SAIDA_DESCARTE")</f>
        <v/>
      </c>
      <c r="J2988" s="13">
        <f>G2988-H2988-I2988</f>
        <v/>
      </c>
      <c r="K2988">
        <f>IF(A2988="","",IF(J2988&lt;=IFERROR(VLOOKUP(A2988,Cadastro_Produtos!$A:$E,5,FALSE),0),"ABAIXO DO MINIMO","OK"))</f>
        <v/>
      </c>
    </row>
    <row r="2989">
      <c r="B2989">
        <f>IFERROR(VLOOKUP(A2989,Cadastro_Produtos!A:B,2,FALSE),"")</f>
        <v/>
      </c>
      <c r="D2989" s="12" t="n"/>
      <c r="E2989" s="13">
        <f>IF(D2989="","",D2989-TODAY())</f>
        <v/>
      </c>
      <c r="F2989">
        <f>IF(D2989="","",IF(E2989&lt;0,"VENCIDO",IF(E2989&lt;=30,"VENCE EM &lt;= 30 DIAS",IF(E2989&lt;=60,"ATENCAO (31-60 DIAS)","OK"))))</f>
        <v/>
      </c>
      <c r="G2989" s="13">
        <f>SUMIFS(Movimentacoes!$G:$G,Movimentacoes!$C:$C,$A2989,Movimentacoes!$E:$E,$C2989,Movimentacoes!$B:$B,"ENTRADA")</f>
        <v/>
      </c>
      <c r="H2989" s="13">
        <f>SUMIFS(Movimentacoes!$G:$G,Movimentacoes!$C:$C,$A2989,Movimentacoes!$E:$E,$C2989,Movimentacoes!$B:$B,"SAIDA_USO")</f>
        <v/>
      </c>
      <c r="I2989" s="13">
        <f>SUMIFS(Movimentacoes!$G:$G,Movimentacoes!$C:$C,$A2989,Movimentacoes!$E:$E,$C2989,Movimentacoes!$B:$B,"SAIDA_DESCARTE")</f>
        <v/>
      </c>
      <c r="J2989" s="13">
        <f>G2989-H2989-I2989</f>
        <v/>
      </c>
      <c r="K2989">
        <f>IF(A2989="","",IF(J2989&lt;=IFERROR(VLOOKUP(A2989,Cadastro_Produtos!$A:$E,5,FALSE),0),"ABAIXO DO MINIMO","OK"))</f>
        <v/>
      </c>
    </row>
    <row r="2990">
      <c r="B2990">
        <f>IFERROR(VLOOKUP(A2990,Cadastro_Produtos!A:B,2,FALSE),"")</f>
        <v/>
      </c>
      <c r="D2990" s="12" t="n"/>
      <c r="E2990" s="13">
        <f>IF(D2990="","",D2990-TODAY())</f>
        <v/>
      </c>
      <c r="F2990">
        <f>IF(D2990="","",IF(E2990&lt;0,"VENCIDO",IF(E2990&lt;=30,"VENCE EM &lt;= 30 DIAS",IF(E2990&lt;=60,"ATENCAO (31-60 DIAS)","OK"))))</f>
        <v/>
      </c>
      <c r="G2990" s="13">
        <f>SUMIFS(Movimentacoes!$G:$G,Movimentacoes!$C:$C,$A2990,Movimentacoes!$E:$E,$C2990,Movimentacoes!$B:$B,"ENTRADA")</f>
        <v/>
      </c>
      <c r="H2990" s="13">
        <f>SUMIFS(Movimentacoes!$G:$G,Movimentacoes!$C:$C,$A2990,Movimentacoes!$E:$E,$C2990,Movimentacoes!$B:$B,"SAIDA_USO")</f>
        <v/>
      </c>
      <c r="I2990" s="13">
        <f>SUMIFS(Movimentacoes!$G:$G,Movimentacoes!$C:$C,$A2990,Movimentacoes!$E:$E,$C2990,Movimentacoes!$B:$B,"SAIDA_DESCARTE")</f>
        <v/>
      </c>
      <c r="J2990" s="13">
        <f>G2990-H2990-I2990</f>
        <v/>
      </c>
      <c r="K2990">
        <f>IF(A2990="","",IF(J2990&lt;=IFERROR(VLOOKUP(A2990,Cadastro_Produtos!$A:$E,5,FALSE),0),"ABAIXO DO MINIMO","OK"))</f>
        <v/>
      </c>
    </row>
    <row r="2991">
      <c r="B2991">
        <f>IFERROR(VLOOKUP(A2991,Cadastro_Produtos!A:B,2,FALSE),"")</f>
        <v/>
      </c>
      <c r="D2991" s="12" t="n"/>
      <c r="E2991" s="13">
        <f>IF(D2991="","",D2991-TODAY())</f>
        <v/>
      </c>
      <c r="F2991">
        <f>IF(D2991="","",IF(E2991&lt;0,"VENCIDO",IF(E2991&lt;=30,"VENCE EM &lt;= 30 DIAS",IF(E2991&lt;=60,"ATENCAO (31-60 DIAS)","OK"))))</f>
        <v/>
      </c>
      <c r="G2991" s="13">
        <f>SUMIFS(Movimentacoes!$G:$G,Movimentacoes!$C:$C,$A2991,Movimentacoes!$E:$E,$C2991,Movimentacoes!$B:$B,"ENTRADA")</f>
        <v/>
      </c>
      <c r="H2991" s="13">
        <f>SUMIFS(Movimentacoes!$G:$G,Movimentacoes!$C:$C,$A2991,Movimentacoes!$E:$E,$C2991,Movimentacoes!$B:$B,"SAIDA_USO")</f>
        <v/>
      </c>
      <c r="I2991" s="13">
        <f>SUMIFS(Movimentacoes!$G:$G,Movimentacoes!$C:$C,$A2991,Movimentacoes!$E:$E,$C2991,Movimentacoes!$B:$B,"SAIDA_DESCARTE")</f>
        <v/>
      </c>
      <c r="J2991" s="13">
        <f>G2991-H2991-I2991</f>
        <v/>
      </c>
      <c r="K2991">
        <f>IF(A2991="","",IF(J2991&lt;=IFERROR(VLOOKUP(A2991,Cadastro_Produtos!$A:$E,5,FALSE),0),"ABAIXO DO MINIMO","OK"))</f>
        <v/>
      </c>
    </row>
    <row r="2992">
      <c r="B2992">
        <f>IFERROR(VLOOKUP(A2992,Cadastro_Produtos!A:B,2,FALSE),"")</f>
        <v/>
      </c>
      <c r="D2992" s="12" t="n"/>
      <c r="E2992" s="13">
        <f>IF(D2992="","",D2992-TODAY())</f>
        <v/>
      </c>
      <c r="F2992">
        <f>IF(D2992="","",IF(E2992&lt;0,"VENCIDO",IF(E2992&lt;=30,"VENCE EM &lt;= 30 DIAS",IF(E2992&lt;=60,"ATENCAO (31-60 DIAS)","OK"))))</f>
        <v/>
      </c>
      <c r="G2992" s="13">
        <f>SUMIFS(Movimentacoes!$G:$G,Movimentacoes!$C:$C,$A2992,Movimentacoes!$E:$E,$C2992,Movimentacoes!$B:$B,"ENTRADA")</f>
        <v/>
      </c>
      <c r="H2992" s="13">
        <f>SUMIFS(Movimentacoes!$G:$G,Movimentacoes!$C:$C,$A2992,Movimentacoes!$E:$E,$C2992,Movimentacoes!$B:$B,"SAIDA_USO")</f>
        <v/>
      </c>
      <c r="I2992" s="13">
        <f>SUMIFS(Movimentacoes!$G:$G,Movimentacoes!$C:$C,$A2992,Movimentacoes!$E:$E,$C2992,Movimentacoes!$B:$B,"SAIDA_DESCARTE")</f>
        <v/>
      </c>
      <c r="J2992" s="13">
        <f>G2992-H2992-I2992</f>
        <v/>
      </c>
      <c r="K2992">
        <f>IF(A2992="","",IF(J2992&lt;=IFERROR(VLOOKUP(A2992,Cadastro_Produtos!$A:$E,5,FALSE),0),"ABAIXO DO MINIMO","OK"))</f>
        <v/>
      </c>
    </row>
    <row r="2993">
      <c r="B2993">
        <f>IFERROR(VLOOKUP(A2993,Cadastro_Produtos!A:B,2,FALSE),"")</f>
        <v/>
      </c>
      <c r="D2993" s="12" t="n"/>
      <c r="E2993" s="13">
        <f>IF(D2993="","",D2993-TODAY())</f>
        <v/>
      </c>
      <c r="F2993">
        <f>IF(D2993="","",IF(E2993&lt;0,"VENCIDO",IF(E2993&lt;=30,"VENCE EM &lt;= 30 DIAS",IF(E2993&lt;=60,"ATENCAO (31-60 DIAS)","OK"))))</f>
        <v/>
      </c>
      <c r="G2993" s="13">
        <f>SUMIFS(Movimentacoes!$G:$G,Movimentacoes!$C:$C,$A2993,Movimentacoes!$E:$E,$C2993,Movimentacoes!$B:$B,"ENTRADA")</f>
        <v/>
      </c>
      <c r="H2993" s="13">
        <f>SUMIFS(Movimentacoes!$G:$G,Movimentacoes!$C:$C,$A2993,Movimentacoes!$E:$E,$C2993,Movimentacoes!$B:$B,"SAIDA_USO")</f>
        <v/>
      </c>
      <c r="I2993" s="13">
        <f>SUMIFS(Movimentacoes!$G:$G,Movimentacoes!$C:$C,$A2993,Movimentacoes!$E:$E,$C2993,Movimentacoes!$B:$B,"SAIDA_DESCARTE")</f>
        <v/>
      </c>
      <c r="J2993" s="13">
        <f>G2993-H2993-I2993</f>
        <v/>
      </c>
      <c r="K2993">
        <f>IF(A2993="","",IF(J2993&lt;=IFERROR(VLOOKUP(A2993,Cadastro_Produtos!$A:$E,5,FALSE),0),"ABAIXO DO MINIMO","OK"))</f>
        <v/>
      </c>
    </row>
    <row r="2994">
      <c r="B2994">
        <f>IFERROR(VLOOKUP(A2994,Cadastro_Produtos!A:B,2,FALSE),"")</f>
        <v/>
      </c>
      <c r="D2994" s="12" t="n"/>
      <c r="E2994" s="13">
        <f>IF(D2994="","",D2994-TODAY())</f>
        <v/>
      </c>
      <c r="F2994">
        <f>IF(D2994="","",IF(E2994&lt;0,"VENCIDO",IF(E2994&lt;=30,"VENCE EM &lt;= 30 DIAS",IF(E2994&lt;=60,"ATENCAO (31-60 DIAS)","OK"))))</f>
        <v/>
      </c>
      <c r="G2994" s="13">
        <f>SUMIFS(Movimentacoes!$G:$G,Movimentacoes!$C:$C,$A2994,Movimentacoes!$E:$E,$C2994,Movimentacoes!$B:$B,"ENTRADA")</f>
        <v/>
      </c>
      <c r="H2994" s="13">
        <f>SUMIFS(Movimentacoes!$G:$G,Movimentacoes!$C:$C,$A2994,Movimentacoes!$E:$E,$C2994,Movimentacoes!$B:$B,"SAIDA_USO")</f>
        <v/>
      </c>
      <c r="I2994" s="13">
        <f>SUMIFS(Movimentacoes!$G:$G,Movimentacoes!$C:$C,$A2994,Movimentacoes!$E:$E,$C2994,Movimentacoes!$B:$B,"SAIDA_DESCARTE")</f>
        <v/>
      </c>
      <c r="J2994" s="13">
        <f>G2994-H2994-I2994</f>
        <v/>
      </c>
      <c r="K2994">
        <f>IF(A2994="","",IF(J2994&lt;=IFERROR(VLOOKUP(A2994,Cadastro_Produtos!$A:$E,5,FALSE),0),"ABAIXO DO MINIMO","OK"))</f>
        <v/>
      </c>
    </row>
    <row r="2995">
      <c r="B2995">
        <f>IFERROR(VLOOKUP(A2995,Cadastro_Produtos!A:B,2,FALSE),"")</f>
        <v/>
      </c>
      <c r="D2995" s="12" t="n"/>
      <c r="E2995" s="13">
        <f>IF(D2995="","",D2995-TODAY())</f>
        <v/>
      </c>
      <c r="F2995">
        <f>IF(D2995="","",IF(E2995&lt;0,"VENCIDO",IF(E2995&lt;=30,"VENCE EM &lt;= 30 DIAS",IF(E2995&lt;=60,"ATENCAO (31-60 DIAS)","OK"))))</f>
        <v/>
      </c>
      <c r="G2995" s="13">
        <f>SUMIFS(Movimentacoes!$G:$G,Movimentacoes!$C:$C,$A2995,Movimentacoes!$E:$E,$C2995,Movimentacoes!$B:$B,"ENTRADA")</f>
        <v/>
      </c>
      <c r="H2995" s="13">
        <f>SUMIFS(Movimentacoes!$G:$G,Movimentacoes!$C:$C,$A2995,Movimentacoes!$E:$E,$C2995,Movimentacoes!$B:$B,"SAIDA_USO")</f>
        <v/>
      </c>
      <c r="I2995" s="13">
        <f>SUMIFS(Movimentacoes!$G:$G,Movimentacoes!$C:$C,$A2995,Movimentacoes!$E:$E,$C2995,Movimentacoes!$B:$B,"SAIDA_DESCARTE")</f>
        <v/>
      </c>
      <c r="J2995" s="13">
        <f>G2995-H2995-I2995</f>
        <v/>
      </c>
      <c r="K2995">
        <f>IF(A2995="","",IF(J2995&lt;=IFERROR(VLOOKUP(A2995,Cadastro_Produtos!$A:$E,5,FALSE),0),"ABAIXO DO MINIMO","OK"))</f>
        <v/>
      </c>
    </row>
    <row r="2996">
      <c r="B2996">
        <f>IFERROR(VLOOKUP(A2996,Cadastro_Produtos!A:B,2,FALSE),"")</f>
        <v/>
      </c>
      <c r="D2996" s="12" t="n"/>
      <c r="E2996" s="13">
        <f>IF(D2996="","",D2996-TODAY())</f>
        <v/>
      </c>
      <c r="F2996">
        <f>IF(D2996="","",IF(E2996&lt;0,"VENCIDO",IF(E2996&lt;=30,"VENCE EM &lt;= 30 DIAS",IF(E2996&lt;=60,"ATENCAO (31-60 DIAS)","OK"))))</f>
        <v/>
      </c>
      <c r="G2996" s="13">
        <f>SUMIFS(Movimentacoes!$G:$G,Movimentacoes!$C:$C,$A2996,Movimentacoes!$E:$E,$C2996,Movimentacoes!$B:$B,"ENTRADA")</f>
        <v/>
      </c>
      <c r="H2996" s="13">
        <f>SUMIFS(Movimentacoes!$G:$G,Movimentacoes!$C:$C,$A2996,Movimentacoes!$E:$E,$C2996,Movimentacoes!$B:$B,"SAIDA_USO")</f>
        <v/>
      </c>
      <c r="I2996" s="13">
        <f>SUMIFS(Movimentacoes!$G:$G,Movimentacoes!$C:$C,$A2996,Movimentacoes!$E:$E,$C2996,Movimentacoes!$B:$B,"SAIDA_DESCARTE")</f>
        <v/>
      </c>
      <c r="J2996" s="13">
        <f>G2996-H2996-I2996</f>
        <v/>
      </c>
      <c r="K2996">
        <f>IF(A2996="","",IF(J2996&lt;=IFERROR(VLOOKUP(A2996,Cadastro_Produtos!$A:$E,5,FALSE),0),"ABAIXO DO MINIMO","OK"))</f>
        <v/>
      </c>
    </row>
    <row r="2997">
      <c r="B2997">
        <f>IFERROR(VLOOKUP(A2997,Cadastro_Produtos!A:B,2,FALSE),"")</f>
        <v/>
      </c>
      <c r="D2997" s="12" t="n"/>
      <c r="E2997" s="13">
        <f>IF(D2997="","",D2997-TODAY())</f>
        <v/>
      </c>
      <c r="F2997">
        <f>IF(D2997="","",IF(E2997&lt;0,"VENCIDO",IF(E2997&lt;=30,"VENCE EM &lt;= 30 DIAS",IF(E2997&lt;=60,"ATENCAO (31-60 DIAS)","OK"))))</f>
        <v/>
      </c>
      <c r="G2997" s="13">
        <f>SUMIFS(Movimentacoes!$G:$G,Movimentacoes!$C:$C,$A2997,Movimentacoes!$E:$E,$C2997,Movimentacoes!$B:$B,"ENTRADA")</f>
        <v/>
      </c>
      <c r="H2997" s="13">
        <f>SUMIFS(Movimentacoes!$G:$G,Movimentacoes!$C:$C,$A2997,Movimentacoes!$E:$E,$C2997,Movimentacoes!$B:$B,"SAIDA_USO")</f>
        <v/>
      </c>
      <c r="I2997" s="13">
        <f>SUMIFS(Movimentacoes!$G:$G,Movimentacoes!$C:$C,$A2997,Movimentacoes!$E:$E,$C2997,Movimentacoes!$B:$B,"SAIDA_DESCARTE")</f>
        <v/>
      </c>
      <c r="J2997" s="13">
        <f>G2997-H2997-I2997</f>
        <v/>
      </c>
      <c r="K2997">
        <f>IF(A2997="","",IF(J2997&lt;=IFERROR(VLOOKUP(A2997,Cadastro_Produtos!$A:$E,5,FALSE),0),"ABAIXO DO MINIMO","OK"))</f>
        <v/>
      </c>
    </row>
    <row r="2998">
      <c r="B2998">
        <f>IFERROR(VLOOKUP(A2998,Cadastro_Produtos!A:B,2,FALSE),"")</f>
        <v/>
      </c>
      <c r="D2998" s="12" t="n"/>
      <c r="E2998" s="13">
        <f>IF(D2998="","",D2998-TODAY())</f>
        <v/>
      </c>
      <c r="F2998">
        <f>IF(D2998="","",IF(E2998&lt;0,"VENCIDO",IF(E2998&lt;=30,"VENCE EM &lt;= 30 DIAS",IF(E2998&lt;=60,"ATENCAO (31-60 DIAS)","OK"))))</f>
        <v/>
      </c>
      <c r="G2998" s="13">
        <f>SUMIFS(Movimentacoes!$G:$G,Movimentacoes!$C:$C,$A2998,Movimentacoes!$E:$E,$C2998,Movimentacoes!$B:$B,"ENTRADA")</f>
        <v/>
      </c>
      <c r="H2998" s="13">
        <f>SUMIFS(Movimentacoes!$G:$G,Movimentacoes!$C:$C,$A2998,Movimentacoes!$E:$E,$C2998,Movimentacoes!$B:$B,"SAIDA_USO")</f>
        <v/>
      </c>
      <c r="I2998" s="13">
        <f>SUMIFS(Movimentacoes!$G:$G,Movimentacoes!$C:$C,$A2998,Movimentacoes!$E:$E,$C2998,Movimentacoes!$B:$B,"SAIDA_DESCARTE")</f>
        <v/>
      </c>
      <c r="J2998" s="13">
        <f>G2998-H2998-I2998</f>
        <v/>
      </c>
      <c r="K2998">
        <f>IF(A2998="","",IF(J2998&lt;=IFERROR(VLOOKUP(A2998,Cadastro_Produtos!$A:$E,5,FALSE),0),"ABAIXO DO MINIMO","OK"))</f>
        <v/>
      </c>
    </row>
    <row r="2999">
      <c r="B2999">
        <f>IFERROR(VLOOKUP(A2999,Cadastro_Produtos!A:B,2,FALSE),"")</f>
        <v/>
      </c>
      <c r="D2999" s="12" t="n"/>
      <c r="E2999" s="13">
        <f>IF(D2999="","",D2999-TODAY())</f>
        <v/>
      </c>
      <c r="F2999">
        <f>IF(D2999="","",IF(E2999&lt;0,"VENCIDO",IF(E2999&lt;=30,"VENCE EM &lt;= 30 DIAS",IF(E2999&lt;=60,"ATENCAO (31-60 DIAS)","OK"))))</f>
        <v/>
      </c>
      <c r="G2999" s="13">
        <f>SUMIFS(Movimentacoes!$G:$G,Movimentacoes!$C:$C,$A2999,Movimentacoes!$E:$E,$C2999,Movimentacoes!$B:$B,"ENTRADA")</f>
        <v/>
      </c>
      <c r="H2999" s="13">
        <f>SUMIFS(Movimentacoes!$G:$G,Movimentacoes!$C:$C,$A2999,Movimentacoes!$E:$E,$C2999,Movimentacoes!$B:$B,"SAIDA_USO")</f>
        <v/>
      </c>
      <c r="I2999" s="13">
        <f>SUMIFS(Movimentacoes!$G:$G,Movimentacoes!$C:$C,$A2999,Movimentacoes!$E:$E,$C2999,Movimentacoes!$B:$B,"SAIDA_DESCARTE")</f>
        <v/>
      </c>
      <c r="J2999" s="13">
        <f>G2999-H2999-I2999</f>
        <v/>
      </c>
      <c r="K2999">
        <f>IF(A2999="","",IF(J2999&lt;=IFERROR(VLOOKUP(A2999,Cadastro_Produtos!$A:$E,5,FALSE),0),"ABAIXO DO MINIMO","OK"))</f>
        <v/>
      </c>
    </row>
    <row r="3000">
      <c r="B3000">
        <f>IFERROR(VLOOKUP(A3000,Cadastro_Produtos!A:B,2,FALSE),"")</f>
        <v/>
      </c>
      <c r="D3000" s="12" t="n"/>
      <c r="E3000" s="13">
        <f>IF(D3000="","",D3000-TODAY())</f>
        <v/>
      </c>
      <c r="F3000">
        <f>IF(D3000="","",IF(E3000&lt;0,"VENCIDO",IF(E3000&lt;=30,"VENCE EM &lt;= 30 DIAS",IF(E3000&lt;=60,"ATENCAO (31-60 DIAS)","OK"))))</f>
        <v/>
      </c>
      <c r="G3000" s="13">
        <f>SUMIFS(Movimentacoes!$G:$G,Movimentacoes!$C:$C,$A3000,Movimentacoes!$E:$E,$C3000,Movimentacoes!$B:$B,"ENTRADA")</f>
        <v/>
      </c>
      <c r="H3000" s="13">
        <f>SUMIFS(Movimentacoes!$G:$G,Movimentacoes!$C:$C,$A3000,Movimentacoes!$E:$E,$C3000,Movimentacoes!$B:$B,"SAIDA_USO")</f>
        <v/>
      </c>
      <c r="I3000" s="13">
        <f>SUMIFS(Movimentacoes!$G:$G,Movimentacoes!$C:$C,$A3000,Movimentacoes!$E:$E,$C3000,Movimentacoes!$B:$B,"SAIDA_DESCARTE")</f>
        <v/>
      </c>
      <c r="J3000" s="13">
        <f>G3000-H3000-I3000</f>
        <v/>
      </c>
      <c r="K3000">
        <f>IF(A3000="","",IF(J3000&lt;=IFERROR(VLOOKUP(A3000,Cadastro_Produtos!$A:$E,5,FALSE),0),"ABAIXO DO MINIMO","OK"))</f>
        <v/>
      </c>
    </row>
    <row r="3001">
      <c r="B3001">
        <f>IFERROR(VLOOKUP(A3001,Cadastro_Produtos!A:B,2,FALSE),"")</f>
        <v/>
      </c>
      <c r="D3001" s="12" t="n"/>
      <c r="E3001" s="13">
        <f>IF(D3001="","",D3001-TODAY())</f>
        <v/>
      </c>
      <c r="F3001">
        <f>IF(D3001="","",IF(E3001&lt;0,"VENCIDO",IF(E3001&lt;=30,"VENCE EM &lt;= 30 DIAS",IF(E3001&lt;=60,"ATENCAO (31-60 DIAS)","OK"))))</f>
        <v/>
      </c>
      <c r="G3001" s="13">
        <f>SUMIFS(Movimentacoes!$G:$G,Movimentacoes!$C:$C,$A3001,Movimentacoes!$E:$E,$C3001,Movimentacoes!$B:$B,"ENTRADA")</f>
        <v/>
      </c>
      <c r="H3001" s="13">
        <f>SUMIFS(Movimentacoes!$G:$G,Movimentacoes!$C:$C,$A3001,Movimentacoes!$E:$E,$C3001,Movimentacoes!$B:$B,"SAIDA_USO")</f>
        <v/>
      </c>
      <c r="I3001" s="13">
        <f>SUMIFS(Movimentacoes!$G:$G,Movimentacoes!$C:$C,$A3001,Movimentacoes!$E:$E,$C3001,Movimentacoes!$B:$B,"SAIDA_DESCARTE")</f>
        <v/>
      </c>
      <c r="J3001" s="13">
        <f>G3001-H3001-I3001</f>
        <v/>
      </c>
      <c r="K3001">
        <f>IF(A3001="","",IF(J3001&lt;=IFERROR(VLOOKUP(A3001,Cadastro_Produtos!$A:$E,5,FALSE),0),"ABAIXO DO MINIMO","OK"))</f>
        <v/>
      </c>
    </row>
    <row r="3002">
      <c r="B3002">
        <f>IFERROR(VLOOKUP(A3002,Cadastro_Produtos!A:B,2,FALSE),"")</f>
        <v/>
      </c>
      <c r="D3002" s="12" t="n"/>
      <c r="E3002" s="13">
        <f>IF(D3002="","",D3002-TODAY())</f>
        <v/>
      </c>
      <c r="F3002">
        <f>IF(D3002="","",IF(E3002&lt;0,"VENCIDO",IF(E3002&lt;=30,"VENCE EM &lt;= 30 DIAS",IF(E3002&lt;=60,"ATENCAO (31-60 DIAS)","OK"))))</f>
        <v/>
      </c>
      <c r="G3002" s="13">
        <f>SUMIFS(Movimentacoes!$G:$G,Movimentacoes!$C:$C,$A3002,Movimentacoes!$E:$E,$C3002,Movimentacoes!$B:$B,"ENTRADA")</f>
        <v/>
      </c>
      <c r="H3002" s="13">
        <f>SUMIFS(Movimentacoes!$G:$G,Movimentacoes!$C:$C,$A3002,Movimentacoes!$E:$E,$C3002,Movimentacoes!$B:$B,"SAIDA_USO")</f>
        <v/>
      </c>
      <c r="I3002" s="13">
        <f>SUMIFS(Movimentacoes!$G:$G,Movimentacoes!$C:$C,$A3002,Movimentacoes!$E:$E,$C3002,Movimentacoes!$B:$B,"SAIDA_DESCARTE")</f>
        <v/>
      </c>
      <c r="J3002" s="13">
        <f>G3002-H3002-I3002</f>
        <v/>
      </c>
      <c r="K3002">
        <f>IF(A3002="","",IF(J3002&lt;=IFERROR(VLOOKUP(A3002,Cadastro_Produtos!$A:$E,5,FALSE),0),"ABAIXO DO MINIMO","OK"))</f>
        <v/>
      </c>
    </row>
    <row r="3003">
      <c r="B3003">
        <f>IFERROR(VLOOKUP(A3003,Cadastro_Produtos!A:B,2,FALSE),"")</f>
        <v/>
      </c>
      <c r="D3003" s="12" t="n"/>
      <c r="E3003" s="13">
        <f>IF(D3003="","",D3003-TODAY())</f>
        <v/>
      </c>
      <c r="F3003">
        <f>IF(D3003="","",IF(E3003&lt;0,"VENCIDO",IF(E3003&lt;=30,"VENCE EM &lt;= 30 DIAS",IF(E3003&lt;=60,"ATENCAO (31-60 DIAS)","OK"))))</f>
        <v/>
      </c>
      <c r="G3003" s="13">
        <f>SUMIFS(Movimentacoes!$G:$G,Movimentacoes!$C:$C,$A3003,Movimentacoes!$E:$E,$C3003,Movimentacoes!$B:$B,"ENTRADA")</f>
        <v/>
      </c>
      <c r="H3003" s="13">
        <f>SUMIFS(Movimentacoes!$G:$G,Movimentacoes!$C:$C,$A3003,Movimentacoes!$E:$E,$C3003,Movimentacoes!$B:$B,"SAIDA_USO")</f>
        <v/>
      </c>
      <c r="I3003" s="13">
        <f>SUMIFS(Movimentacoes!$G:$G,Movimentacoes!$C:$C,$A3003,Movimentacoes!$E:$E,$C3003,Movimentacoes!$B:$B,"SAIDA_DESCARTE")</f>
        <v/>
      </c>
      <c r="J3003" s="13">
        <f>G3003-H3003-I3003</f>
        <v/>
      </c>
      <c r="K3003">
        <f>IF(A3003="","",IF(J3003&lt;=IFERROR(VLOOKUP(A3003,Cadastro_Produtos!$A:$E,5,FALSE),0),"ABAIXO DO MINIMO","OK"))</f>
        <v/>
      </c>
    </row>
    <row r="3004">
      <c r="B3004">
        <f>IFERROR(VLOOKUP(A3004,Cadastro_Produtos!A:B,2,FALSE),"")</f>
        <v/>
      </c>
      <c r="D3004" s="12" t="n"/>
      <c r="E3004" s="13">
        <f>IF(D3004="","",D3004-TODAY())</f>
        <v/>
      </c>
      <c r="F3004">
        <f>IF(D3004="","",IF(E3004&lt;0,"VENCIDO",IF(E3004&lt;=30,"VENCE EM &lt;= 30 DIAS",IF(E3004&lt;=60,"ATENCAO (31-60 DIAS)","OK"))))</f>
        <v/>
      </c>
      <c r="G3004" s="13">
        <f>SUMIFS(Movimentacoes!$G:$G,Movimentacoes!$C:$C,$A3004,Movimentacoes!$E:$E,$C3004,Movimentacoes!$B:$B,"ENTRADA")</f>
        <v/>
      </c>
      <c r="H3004" s="13">
        <f>SUMIFS(Movimentacoes!$G:$G,Movimentacoes!$C:$C,$A3004,Movimentacoes!$E:$E,$C3004,Movimentacoes!$B:$B,"SAIDA_USO")</f>
        <v/>
      </c>
      <c r="I3004" s="13">
        <f>SUMIFS(Movimentacoes!$G:$G,Movimentacoes!$C:$C,$A3004,Movimentacoes!$E:$E,$C3004,Movimentacoes!$B:$B,"SAIDA_DESCARTE")</f>
        <v/>
      </c>
      <c r="J3004" s="13">
        <f>G3004-H3004-I3004</f>
        <v/>
      </c>
      <c r="K3004">
        <f>IF(A3004="","",IF(J3004&lt;=IFERROR(VLOOKUP(A3004,Cadastro_Produtos!$A:$E,5,FALSE),0),"ABAIXO DO MINIMO","OK"))</f>
        <v/>
      </c>
    </row>
    <row r="3005">
      <c r="B3005">
        <f>IFERROR(VLOOKUP(A3005,Cadastro_Produtos!A:B,2,FALSE),"")</f>
        <v/>
      </c>
      <c r="D3005" s="12" t="n"/>
      <c r="E3005" s="13">
        <f>IF(D3005="","",D3005-TODAY())</f>
        <v/>
      </c>
      <c r="F3005">
        <f>IF(D3005="","",IF(E3005&lt;0,"VENCIDO",IF(E3005&lt;=30,"VENCE EM &lt;= 30 DIAS",IF(E3005&lt;=60,"ATENCAO (31-60 DIAS)","OK"))))</f>
        <v/>
      </c>
      <c r="G3005" s="13">
        <f>SUMIFS(Movimentacoes!$G:$G,Movimentacoes!$C:$C,$A3005,Movimentacoes!$E:$E,$C3005,Movimentacoes!$B:$B,"ENTRADA")</f>
        <v/>
      </c>
      <c r="H3005" s="13">
        <f>SUMIFS(Movimentacoes!$G:$G,Movimentacoes!$C:$C,$A3005,Movimentacoes!$E:$E,$C3005,Movimentacoes!$B:$B,"SAIDA_USO")</f>
        <v/>
      </c>
      <c r="I3005" s="13">
        <f>SUMIFS(Movimentacoes!$G:$G,Movimentacoes!$C:$C,$A3005,Movimentacoes!$E:$E,$C3005,Movimentacoes!$B:$B,"SAIDA_DESCARTE")</f>
        <v/>
      </c>
      <c r="J3005" s="13">
        <f>G3005-H3005-I3005</f>
        <v/>
      </c>
      <c r="K3005">
        <f>IF(A3005="","",IF(J3005&lt;=IFERROR(VLOOKUP(A3005,Cadastro_Produtos!$A:$E,5,FALSE),0),"ABAIXO DO MINIMO","OK"))</f>
        <v/>
      </c>
    </row>
    <row r="3006">
      <c r="B3006">
        <f>IFERROR(VLOOKUP(A3006,Cadastro_Produtos!A:B,2,FALSE),"")</f>
        <v/>
      </c>
      <c r="D3006" s="12" t="n"/>
      <c r="E3006" s="13">
        <f>IF(D3006="","",D3006-TODAY())</f>
        <v/>
      </c>
      <c r="F3006">
        <f>IF(D3006="","",IF(E3006&lt;0,"VENCIDO",IF(E3006&lt;=30,"VENCE EM &lt;= 30 DIAS",IF(E3006&lt;=60,"ATENCAO (31-60 DIAS)","OK"))))</f>
        <v/>
      </c>
      <c r="G3006" s="13">
        <f>SUMIFS(Movimentacoes!$G:$G,Movimentacoes!$C:$C,$A3006,Movimentacoes!$E:$E,$C3006,Movimentacoes!$B:$B,"ENTRADA")</f>
        <v/>
      </c>
      <c r="H3006" s="13">
        <f>SUMIFS(Movimentacoes!$G:$G,Movimentacoes!$C:$C,$A3006,Movimentacoes!$E:$E,$C3006,Movimentacoes!$B:$B,"SAIDA_USO")</f>
        <v/>
      </c>
      <c r="I3006" s="13">
        <f>SUMIFS(Movimentacoes!$G:$G,Movimentacoes!$C:$C,$A3006,Movimentacoes!$E:$E,$C3006,Movimentacoes!$B:$B,"SAIDA_DESCARTE")</f>
        <v/>
      </c>
      <c r="J3006" s="13">
        <f>G3006-H3006-I3006</f>
        <v/>
      </c>
      <c r="K3006">
        <f>IF(A3006="","",IF(J3006&lt;=IFERROR(VLOOKUP(A3006,Cadastro_Produtos!$A:$E,5,FALSE),0),"ABAIXO DO MINIMO","OK"))</f>
        <v/>
      </c>
    </row>
    <row r="3007">
      <c r="B3007">
        <f>IFERROR(VLOOKUP(A3007,Cadastro_Produtos!A:B,2,FALSE),"")</f>
        <v/>
      </c>
      <c r="D3007" s="12" t="n"/>
      <c r="E3007" s="13">
        <f>IF(D3007="","",D3007-TODAY())</f>
        <v/>
      </c>
      <c r="F3007">
        <f>IF(D3007="","",IF(E3007&lt;0,"VENCIDO",IF(E3007&lt;=30,"VENCE EM &lt;= 30 DIAS",IF(E3007&lt;=60,"ATENCAO (31-60 DIAS)","OK"))))</f>
        <v/>
      </c>
      <c r="G3007" s="13">
        <f>SUMIFS(Movimentacoes!$G:$G,Movimentacoes!$C:$C,$A3007,Movimentacoes!$E:$E,$C3007,Movimentacoes!$B:$B,"ENTRADA")</f>
        <v/>
      </c>
      <c r="H3007" s="13">
        <f>SUMIFS(Movimentacoes!$G:$G,Movimentacoes!$C:$C,$A3007,Movimentacoes!$E:$E,$C3007,Movimentacoes!$B:$B,"SAIDA_USO")</f>
        <v/>
      </c>
      <c r="I3007" s="13">
        <f>SUMIFS(Movimentacoes!$G:$G,Movimentacoes!$C:$C,$A3007,Movimentacoes!$E:$E,$C3007,Movimentacoes!$B:$B,"SAIDA_DESCARTE")</f>
        <v/>
      </c>
      <c r="J3007" s="13">
        <f>G3007-H3007-I3007</f>
        <v/>
      </c>
      <c r="K3007">
        <f>IF(A3007="","",IF(J3007&lt;=IFERROR(VLOOKUP(A3007,Cadastro_Produtos!$A:$E,5,FALSE),0),"ABAIXO DO MINIMO","OK"))</f>
        <v/>
      </c>
    </row>
    <row r="3008">
      <c r="B3008">
        <f>IFERROR(VLOOKUP(A3008,Cadastro_Produtos!A:B,2,FALSE),"")</f>
        <v/>
      </c>
      <c r="D3008" s="12" t="n"/>
      <c r="E3008" s="13">
        <f>IF(D3008="","",D3008-TODAY())</f>
        <v/>
      </c>
      <c r="F3008">
        <f>IF(D3008="","",IF(E3008&lt;0,"VENCIDO",IF(E3008&lt;=30,"VENCE EM &lt;= 30 DIAS",IF(E3008&lt;=60,"ATENCAO (31-60 DIAS)","OK"))))</f>
        <v/>
      </c>
      <c r="G3008" s="13">
        <f>SUMIFS(Movimentacoes!$G:$G,Movimentacoes!$C:$C,$A3008,Movimentacoes!$E:$E,$C3008,Movimentacoes!$B:$B,"ENTRADA")</f>
        <v/>
      </c>
      <c r="H3008" s="13">
        <f>SUMIFS(Movimentacoes!$G:$G,Movimentacoes!$C:$C,$A3008,Movimentacoes!$E:$E,$C3008,Movimentacoes!$B:$B,"SAIDA_USO")</f>
        <v/>
      </c>
      <c r="I3008" s="13">
        <f>SUMIFS(Movimentacoes!$G:$G,Movimentacoes!$C:$C,$A3008,Movimentacoes!$E:$E,$C3008,Movimentacoes!$B:$B,"SAIDA_DESCARTE")</f>
        <v/>
      </c>
      <c r="J3008" s="13">
        <f>G3008-H3008-I3008</f>
        <v/>
      </c>
      <c r="K3008">
        <f>IF(A3008="","",IF(J3008&lt;=IFERROR(VLOOKUP(A3008,Cadastro_Produtos!$A:$E,5,FALSE),0),"ABAIXO DO MINIMO","OK"))</f>
        <v/>
      </c>
    </row>
    <row r="3009">
      <c r="B3009">
        <f>IFERROR(VLOOKUP(A3009,Cadastro_Produtos!A:B,2,FALSE),"")</f>
        <v/>
      </c>
      <c r="D3009" s="12" t="n"/>
      <c r="E3009" s="13">
        <f>IF(D3009="","",D3009-TODAY())</f>
        <v/>
      </c>
      <c r="F3009">
        <f>IF(D3009="","",IF(E3009&lt;0,"VENCIDO",IF(E3009&lt;=30,"VENCE EM &lt;= 30 DIAS",IF(E3009&lt;=60,"ATENCAO (31-60 DIAS)","OK"))))</f>
        <v/>
      </c>
      <c r="G3009" s="13">
        <f>SUMIFS(Movimentacoes!$G:$G,Movimentacoes!$C:$C,$A3009,Movimentacoes!$E:$E,$C3009,Movimentacoes!$B:$B,"ENTRADA")</f>
        <v/>
      </c>
      <c r="H3009" s="13">
        <f>SUMIFS(Movimentacoes!$G:$G,Movimentacoes!$C:$C,$A3009,Movimentacoes!$E:$E,$C3009,Movimentacoes!$B:$B,"SAIDA_USO")</f>
        <v/>
      </c>
      <c r="I3009" s="13">
        <f>SUMIFS(Movimentacoes!$G:$G,Movimentacoes!$C:$C,$A3009,Movimentacoes!$E:$E,$C3009,Movimentacoes!$B:$B,"SAIDA_DESCARTE")</f>
        <v/>
      </c>
      <c r="J3009" s="13">
        <f>G3009-H3009-I3009</f>
        <v/>
      </c>
      <c r="K3009">
        <f>IF(A3009="","",IF(J3009&lt;=IFERROR(VLOOKUP(A3009,Cadastro_Produtos!$A:$E,5,FALSE),0),"ABAIXO DO MINIMO","OK"))</f>
        <v/>
      </c>
    </row>
    <row r="3010">
      <c r="B3010">
        <f>IFERROR(VLOOKUP(A3010,Cadastro_Produtos!A:B,2,FALSE),"")</f>
        <v/>
      </c>
      <c r="D3010" s="12" t="n"/>
      <c r="E3010" s="13">
        <f>IF(D3010="","",D3010-TODAY())</f>
        <v/>
      </c>
      <c r="F3010">
        <f>IF(D3010="","",IF(E3010&lt;0,"VENCIDO",IF(E3010&lt;=30,"VENCE EM &lt;= 30 DIAS",IF(E3010&lt;=60,"ATENCAO (31-60 DIAS)","OK"))))</f>
        <v/>
      </c>
      <c r="G3010" s="13">
        <f>SUMIFS(Movimentacoes!$G:$G,Movimentacoes!$C:$C,$A3010,Movimentacoes!$E:$E,$C3010,Movimentacoes!$B:$B,"ENTRADA")</f>
        <v/>
      </c>
      <c r="H3010" s="13">
        <f>SUMIFS(Movimentacoes!$G:$G,Movimentacoes!$C:$C,$A3010,Movimentacoes!$E:$E,$C3010,Movimentacoes!$B:$B,"SAIDA_USO")</f>
        <v/>
      </c>
      <c r="I3010" s="13">
        <f>SUMIFS(Movimentacoes!$G:$G,Movimentacoes!$C:$C,$A3010,Movimentacoes!$E:$E,$C3010,Movimentacoes!$B:$B,"SAIDA_DESCARTE")</f>
        <v/>
      </c>
      <c r="J3010" s="13">
        <f>G3010-H3010-I3010</f>
        <v/>
      </c>
      <c r="K3010">
        <f>IF(A3010="","",IF(J3010&lt;=IFERROR(VLOOKUP(A3010,Cadastro_Produtos!$A:$E,5,FALSE),0),"ABAIXO DO MINIMO","OK"))</f>
        <v/>
      </c>
    </row>
    <row r="3011">
      <c r="B3011">
        <f>IFERROR(VLOOKUP(A3011,Cadastro_Produtos!A:B,2,FALSE),"")</f>
        <v/>
      </c>
      <c r="D3011" s="12" t="n"/>
      <c r="E3011" s="13">
        <f>IF(D3011="","",D3011-TODAY())</f>
        <v/>
      </c>
      <c r="F3011">
        <f>IF(D3011="","",IF(E3011&lt;0,"VENCIDO",IF(E3011&lt;=30,"VENCE EM &lt;= 30 DIAS",IF(E3011&lt;=60,"ATENCAO (31-60 DIAS)","OK"))))</f>
        <v/>
      </c>
      <c r="G3011" s="13">
        <f>SUMIFS(Movimentacoes!$G:$G,Movimentacoes!$C:$C,$A3011,Movimentacoes!$E:$E,$C3011,Movimentacoes!$B:$B,"ENTRADA")</f>
        <v/>
      </c>
      <c r="H3011" s="13">
        <f>SUMIFS(Movimentacoes!$G:$G,Movimentacoes!$C:$C,$A3011,Movimentacoes!$E:$E,$C3011,Movimentacoes!$B:$B,"SAIDA_USO")</f>
        <v/>
      </c>
      <c r="I3011" s="13">
        <f>SUMIFS(Movimentacoes!$G:$G,Movimentacoes!$C:$C,$A3011,Movimentacoes!$E:$E,$C3011,Movimentacoes!$B:$B,"SAIDA_DESCARTE")</f>
        <v/>
      </c>
      <c r="J3011" s="13">
        <f>G3011-H3011-I3011</f>
        <v/>
      </c>
      <c r="K3011">
        <f>IF(A3011="","",IF(J3011&lt;=IFERROR(VLOOKUP(A3011,Cadastro_Produtos!$A:$E,5,FALSE),0),"ABAIXO DO MINIMO","OK"))</f>
        <v/>
      </c>
    </row>
    <row r="3012">
      <c r="B3012">
        <f>IFERROR(VLOOKUP(A3012,Cadastro_Produtos!A:B,2,FALSE),"")</f>
        <v/>
      </c>
      <c r="D3012" s="12" t="n"/>
      <c r="E3012" s="13">
        <f>IF(D3012="","",D3012-TODAY())</f>
        <v/>
      </c>
      <c r="F3012">
        <f>IF(D3012="","",IF(E3012&lt;0,"VENCIDO",IF(E3012&lt;=30,"VENCE EM &lt;= 30 DIAS",IF(E3012&lt;=60,"ATENCAO (31-60 DIAS)","OK"))))</f>
        <v/>
      </c>
      <c r="G3012" s="13">
        <f>SUMIFS(Movimentacoes!$G:$G,Movimentacoes!$C:$C,$A3012,Movimentacoes!$E:$E,$C3012,Movimentacoes!$B:$B,"ENTRADA")</f>
        <v/>
      </c>
      <c r="H3012" s="13">
        <f>SUMIFS(Movimentacoes!$G:$G,Movimentacoes!$C:$C,$A3012,Movimentacoes!$E:$E,$C3012,Movimentacoes!$B:$B,"SAIDA_USO")</f>
        <v/>
      </c>
      <c r="I3012" s="13">
        <f>SUMIFS(Movimentacoes!$G:$G,Movimentacoes!$C:$C,$A3012,Movimentacoes!$E:$E,$C3012,Movimentacoes!$B:$B,"SAIDA_DESCARTE")</f>
        <v/>
      </c>
      <c r="J3012" s="13">
        <f>G3012-H3012-I3012</f>
        <v/>
      </c>
      <c r="K3012">
        <f>IF(A3012="","",IF(J3012&lt;=IFERROR(VLOOKUP(A3012,Cadastro_Produtos!$A:$E,5,FALSE),0),"ABAIXO DO MINIMO","OK"))</f>
        <v/>
      </c>
    </row>
    <row r="3013">
      <c r="B3013">
        <f>IFERROR(VLOOKUP(A3013,Cadastro_Produtos!A:B,2,FALSE),"")</f>
        <v/>
      </c>
      <c r="D3013" s="12" t="n"/>
      <c r="E3013" s="13">
        <f>IF(D3013="","",D3013-TODAY())</f>
        <v/>
      </c>
      <c r="F3013">
        <f>IF(D3013="","",IF(E3013&lt;0,"VENCIDO",IF(E3013&lt;=30,"VENCE EM &lt;= 30 DIAS",IF(E3013&lt;=60,"ATENCAO (31-60 DIAS)","OK"))))</f>
        <v/>
      </c>
      <c r="G3013" s="13">
        <f>SUMIFS(Movimentacoes!$G:$G,Movimentacoes!$C:$C,$A3013,Movimentacoes!$E:$E,$C3013,Movimentacoes!$B:$B,"ENTRADA")</f>
        <v/>
      </c>
      <c r="H3013" s="13">
        <f>SUMIFS(Movimentacoes!$G:$G,Movimentacoes!$C:$C,$A3013,Movimentacoes!$E:$E,$C3013,Movimentacoes!$B:$B,"SAIDA_USO")</f>
        <v/>
      </c>
      <c r="I3013" s="13">
        <f>SUMIFS(Movimentacoes!$G:$G,Movimentacoes!$C:$C,$A3013,Movimentacoes!$E:$E,$C3013,Movimentacoes!$B:$B,"SAIDA_DESCARTE")</f>
        <v/>
      </c>
      <c r="J3013" s="13">
        <f>G3013-H3013-I3013</f>
        <v/>
      </c>
      <c r="K3013">
        <f>IF(A3013="","",IF(J3013&lt;=IFERROR(VLOOKUP(A3013,Cadastro_Produtos!$A:$E,5,FALSE),0),"ABAIXO DO MINIMO","OK"))</f>
        <v/>
      </c>
    </row>
    <row r="3014">
      <c r="B3014">
        <f>IFERROR(VLOOKUP(A3014,Cadastro_Produtos!A:B,2,FALSE),"")</f>
        <v/>
      </c>
      <c r="D3014" s="12" t="n"/>
      <c r="E3014" s="13">
        <f>IF(D3014="","",D3014-TODAY())</f>
        <v/>
      </c>
      <c r="F3014">
        <f>IF(D3014="","",IF(E3014&lt;0,"VENCIDO",IF(E3014&lt;=30,"VENCE EM &lt;= 30 DIAS",IF(E3014&lt;=60,"ATENCAO (31-60 DIAS)","OK"))))</f>
        <v/>
      </c>
      <c r="G3014" s="13">
        <f>SUMIFS(Movimentacoes!$G:$G,Movimentacoes!$C:$C,$A3014,Movimentacoes!$E:$E,$C3014,Movimentacoes!$B:$B,"ENTRADA")</f>
        <v/>
      </c>
      <c r="H3014" s="13">
        <f>SUMIFS(Movimentacoes!$G:$G,Movimentacoes!$C:$C,$A3014,Movimentacoes!$E:$E,$C3014,Movimentacoes!$B:$B,"SAIDA_USO")</f>
        <v/>
      </c>
      <c r="I3014" s="13">
        <f>SUMIFS(Movimentacoes!$G:$G,Movimentacoes!$C:$C,$A3014,Movimentacoes!$E:$E,$C3014,Movimentacoes!$B:$B,"SAIDA_DESCARTE")</f>
        <v/>
      </c>
      <c r="J3014" s="13">
        <f>G3014-H3014-I3014</f>
        <v/>
      </c>
      <c r="K3014">
        <f>IF(A3014="","",IF(J3014&lt;=IFERROR(VLOOKUP(A3014,Cadastro_Produtos!$A:$E,5,FALSE),0),"ABAIXO DO MINIMO","OK"))</f>
        <v/>
      </c>
    </row>
    <row r="3015">
      <c r="B3015">
        <f>IFERROR(VLOOKUP(A3015,Cadastro_Produtos!A:B,2,FALSE),"")</f>
        <v/>
      </c>
      <c r="D3015" s="12" t="n"/>
      <c r="E3015" s="13">
        <f>IF(D3015="","",D3015-TODAY())</f>
        <v/>
      </c>
      <c r="F3015">
        <f>IF(D3015="","",IF(E3015&lt;0,"VENCIDO",IF(E3015&lt;=30,"VENCE EM &lt;= 30 DIAS",IF(E3015&lt;=60,"ATENCAO (31-60 DIAS)","OK"))))</f>
        <v/>
      </c>
      <c r="G3015" s="13">
        <f>SUMIFS(Movimentacoes!$G:$G,Movimentacoes!$C:$C,$A3015,Movimentacoes!$E:$E,$C3015,Movimentacoes!$B:$B,"ENTRADA")</f>
        <v/>
      </c>
      <c r="H3015" s="13">
        <f>SUMIFS(Movimentacoes!$G:$G,Movimentacoes!$C:$C,$A3015,Movimentacoes!$E:$E,$C3015,Movimentacoes!$B:$B,"SAIDA_USO")</f>
        <v/>
      </c>
      <c r="I3015" s="13">
        <f>SUMIFS(Movimentacoes!$G:$G,Movimentacoes!$C:$C,$A3015,Movimentacoes!$E:$E,$C3015,Movimentacoes!$B:$B,"SAIDA_DESCARTE")</f>
        <v/>
      </c>
      <c r="J3015" s="13">
        <f>G3015-H3015-I3015</f>
        <v/>
      </c>
      <c r="K3015">
        <f>IF(A3015="","",IF(J3015&lt;=IFERROR(VLOOKUP(A3015,Cadastro_Produtos!$A:$E,5,FALSE),0),"ABAIXO DO MINIMO","OK"))</f>
        <v/>
      </c>
    </row>
    <row r="3016">
      <c r="B3016">
        <f>IFERROR(VLOOKUP(A3016,Cadastro_Produtos!A:B,2,FALSE),"")</f>
        <v/>
      </c>
      <c r="D3016" s="12" t="n"/>
      <c r="E3016" s="13">
        <f>IF(D3016="","",D3016-TODAY())</f>
        <v/>
      </c>
      <c r="F3016">
        <f>IF(D3016="","",IF(E3016&lt;0,"VENCIDO",IF(E3016&lt;=30,"VENCE EM &lt;= 30 DIAS",IF(E3016&lt;=60,"ATENCAO (31-60 DIAS)","OK"))))</f>
        <v/>
      </c>
      <c r="G3016" s="13">
        <f>SUMIFS(Movimentacoes!$G:$G,Movimentacoes!$C:$C,$A3016,Movimentacoes!$E:$E,$C3016,Movimentacoes!$B:$B,"ENTRADA")</f>
        <v/>
      </c>
      <c r="H3016" s="13">
        <f>SUMIFS(Movimentacoes!$G:$G,Movimentacoes!$C:$C,$A3016,Movimentacoes!$E:$E,$C3016,Movimentacoes!$B:$B,"SAIDA_USO")</f>
        <v/>
      </c>
      <c r="I3016" s="13">
        <f>SUMIFS(Movimentacoes!$G:$G,Movimentacoes!$C:$C,$A3016,Movimentacoes!$E:$E,$C3016,Movimentacoes!$B:$B,"SAIDA_DESCARTE")</f>
        <v/>
      </c>
      <c r="J3016" s="13">
        <f>G3016-H3016-I3016</f>
        <v/>
      </c>
      <c r="K3016">
        <f>IF(A3016="","",IF(J3016&lt;=IFERROR(VLOOKUP(A3016,Cadastro_Produtos!$A:$E,5,FALSE),0),"ABAIXO DO MINIMO","OK"))</f>
        <v/>
      </c>
    </row>
    <row r="3017">
      <c r="B3017">
        <f>IFERROR(VLOOKUP(A3017,Cadastro_Produtos!A:B,2,FALSE),"")</f>
        <v/>
      </c>
      <c r="D3017" s="12" t="n"/>
      <c r="E3017" s="13">
        <f>IF(D3017="","",D3017-TODAY())</f>
        <v/>
      </c>
      <c r="F3017">
        <f>IF(D3017="","",IF(E3017&lt;0,"VENCIDO",IF(E3017&lt;=30,"VENCE EM &lt;= 30 DIAS",IF(E3017&lt;=60,"ATENCAO (31-60 DIAS)","OK"))))</f>
        <v/>
      </c>
      <c r="G3017" s="13">
        <f>SUMIFS(Movimentacoes!$G:$G,Movimentacoes!$C:$C,$A3017,Movimentacoes!$E:$E,$C3017,Movimentacoes!$B:$B,"ENTRADA")</f>
        <v/>
      </c>
      <c r="H3017" s="13">
        <f>SUMIFS(Movimentacoes!$G:$G,Movimentacoes!$C:$C,$A3017,Movimentacoes!$E:$E,$C3017,Movimentacoes!$B:$B,"SAIDA_USO")</f>
        <v/>
      </c>
      <c r="I3017" s="13">
        <f>SUMIFS(Movimentacoes!$G:$G,Movimentacoes!$C:$C,$A3017,Movimentacoes!$E:$E,$C3017,Movimentacoes!$B:$B,"SAIDA_DESCARTE")</f>
        <v/>
      </c>
      <c r="J3017" s="13">
        <f>G3017-H3017-I3017</f>
        <v/>
      </c>
      <c r="K3017">
        <f>IF(A3017="","",IF(J3017&lt;=IFERROR(VLOOKUP(A3017,Cadastro_Produtos!$A:$E,5,FALSE),0),"ABAIXO DO MINIMO","OK"))</f>
        <v/>
      </c>
    </row>
    <row r="3018">
      <c r="B3018">
        <f>IFERROR(VLOOKUP(A3018,Cadastro_Produtos!A:B,2,FALSE),"")</f>
        <v/>
      </c>
      <c r="D3018" s="12" t="n"/>
      <c r="E3018" s="13">
        <f>IF(D3018="","",D3018-TODAY())</f>
        <v/>
      </c>
      <c r="F3018">
        <f>IF(D3018="","",IF(E3018&lt;0,"VENCIDO",IF(E3018&lt;=30,"VENCE EM &lt;= 30 DIAS",IF(E3018&lt;=60,"ATENCAO (31-60 DIAS)","OK"))))</f>
        <v/>
      </c>
      <c r="G3018" s="13">
        <f>SUMIFS(Movimentacoes!$G:$G,Movimentacoes!$C:$C,$A3018,Movimentacoes!$E:$E,$C3018,Movimentacoes!$B:$B,"ENTRADA")</f>
        <v/>
      </c>
      <c r="H3018" s="13">
        <f>SUMIFS(Movimentacoes!$G:$G,Movimentacoes!$C:$C,$A3018,Movimentacoes!$E:$E,$C3018,Movimentacoes!$B:$B,"SAIDA_USO")</f>
        <v/>
      </c>
      <c r="I3018" s="13">
        <f>SUMIFS(Movimentacoes!$G:$G,Movimentacoes!$C:$C,$A3018,Movimentacoes!$E:$E,$C3018,Movimentacoes!$B:$B,"SAIDA_DESCARTE")</f>
        <v/>
      </c>
      <c r="J3018" s="13">
        <f>G3018-H3018-I3018</f>
        <v/>
      </c>
      <c r="K3018">
        <f>IF(A3018="","",IF(J3018&lt;=IFERROR(VLOOKUP(A3018,Cadastro_Produtos!$A:$E,5,FALSE),0),"ABAIXO DO MINIMO","OK"))</f>
        <v/>
      </c>
    </row>
    <row r="3019">
      <c r="B3019">
        <f>IFERROR(VLOOKUP(A3019,Cadastro_Produtos!A:B,2,FALSE),"")</f>
        <v/>
      </c>
      <c r="D3019" s="12" t="n"/>
      <c r="E3019" s="13">
        <f>IF(D3019="","",D3019-TODAY())</f>
        <v/>
      </c>
      <c r="F3019">
        <f>IF(D3019="","",IF(E3019&lt;0,"VENCIDO",IF(E3019&lt;=30,"VENCE EM &lt;= 30 DIAS",IF(E3019&lt;=60,"ATENCAO (31-60 DIAS)","OK"))))</f>
        <v/>
      </c>
      <c r="G3019" s="13">
        <f>SUMIFS(Movimentacoes!$G:$G,Movimentacoes!$C:$C,$A3019,Movimentacoes!$E:$E,$C3019,Movimentacoes!$B:$B,"ENTRADA")</f>
        <v/>
      </c>
      <c r="H3019" s="13">
        <f>SUMIFS(Movimentacoes!$G:$G,Movimentacoes!$C:$C,$A3019,Movimentacoes!$E:$E,$C3019,Movimentacoes!$B:$B,"SAIDA_USO")</f>
        <v/>
      </c>
      <c r="I3019" s="13">
        <f>SUMIFS(Movimentacoes!$G:$G,Movimentacoes!$C:$C,$A3019,Movimentacoes!$E:$E,$C3019,Movimentacoes!$B:$B,"SAIDA_DESCARTE")</f>
        <v/>
      </c>
      <c r="J3019" s="13">
        <f>G3019-H3019-I3019</f>
        <v/>
      </c>
      <c r="K3019">
        <f>IF(A3019="","",IF(J3019&lt;=IFERROR(VLOOKUP(A3019,Cadastro_Produtos!$A:$E,5,FALSE),0),"ABAIXO DO MINIMO","OK"))</f>
        <v/>
      </c>
    </row>
    <row r="3020">
      <c r="B3020">
        <f>IFERROR(VLOOKUP(A3020,Cadastro_Produtos!A:B,2,FALSE),"")</f>
        <v/>
      </c>
      <c r="D3020" s="12" t="n"/>
      <c r="E3020" s="13">
        <f>IF(D3020="","",D3020-TODAY())</f>
        <v/>
      </c>
      <c r="F3020">
        <f>IF(D3020="","",IF(E3020&lt;0,"VENCIDO",IF(E3020&lt;=30,"VENCE EM &lt;= 30 DIAS",IF(E3020&lt;=60,"ATENCAO (31-60 DIAS)","OK"))))</f>
        <v/>
      </c>
      <c r="G3020" s="13">
        <f>SUMIFS(Movimentacoes!$G:$G,Movimentacoes!$C:$C,$A3020,Movimentacoes!$E:$E,$C3020,Movimentacoes!$B:$B,"ENTRADA")</f>
        <v/>
      </c>
      <c r="H3020" s="13">
        <f>SUMIFS(Movimentacoes!$G:$G,Movimentacoes!$C:$C,$A3020,Movimentacoes!$E:$E,$C3020,Movimentacoes!$B:$B,"SAIDA_USO")</f>
        <v/>
      </c>
      <c r="I3020" s="13">
        <f>SUMIFS(Movimentacoes!$G:$G,Movimentacoes!$C:$C,$A3020,Movimentacoes!$E:$E,$C3020,Movimentacoes!$B:$B,"SAIDA_DESCARTE")</f>
        <v/>
      </c>
      <c r="J3020" s="13">
        <f>G3020-H3020-I3020</f>
        <v/>
      </c>
      <c r="K3020">
        <f>IF(A3020="","",IF(J3020&lt;=IFERROR(VLOOKUP(A3020,Cadastro_Produtos!$A:$E,5,FALSE),0),"ABAIXO DO MINIMO","OK"))</f>
        <v/>
      </c>
    </row>
    <row r="3021">
      <c r="B3021">
        <f>IFERROR(VLOOKUP(A3021,Cadastro_Produtos!A:B,2,FALSE),"")</f>
        <v/>
      </c>
      <c r="D3021" s="12" t="n"/>
      <c r="E3021" s="13">
        <f>IF(D3021="","",D3021-TODAY())</f>
        <v/>
      </c>
      <c r="F3021">
        <f>IF(D3021="","",IF(E3021&lt;0,"VENCIDO",IF(E3021&lt;=30,"VENCE EM &lt;= 30 DIAS",IF(E3021&lt;=60,"ATENCAO (31-60 DIAS)","OK"))))</f>
        <v/>
      </c>
      <c r="G3021" s="13">
        <f>SUMIFS(Movimentacoes!$G:$G,Movimentacoes!$C:$C,$A3021,Movimentacoes!$E:$E,$C3021,Movimentacoes!$B:$B,"ENTRADA")</f>
        <v/>
      </c>
      <c r="H3021" s="13">
        <f>SUMIFS(Movimentacoes!$G:$G,Movimentacoes!$C:$C,$A3021,Movimentacoes!$E:$E,$C3021,Movimentacoes!$B:$B,"SAIDA_USO")</f>
        <v/>
      </c>
      <c r="I3021" s="13">
        <f>SUMIFS(Movimentacoes!$G:$G,Movimentacoes!$C:$C,$A3021,Movimentacoes!$E:$E,$C3021,Movimentacoes!$B:$B,"SAIDA_DESCARTE")</f>
        <v/>
      </c>
      <c r="J3021" s="13">
        <f>G3021-H3021-I3021</f>
        <v/>
      </c>
      <c r="K3021">
        <f>IF(A3021="","",IF(J3021&lt;=IFERROR(VLOOKUP(A3021,Cadastro_Produtos!$A:$E,5,FALSE),0),"ABAIXO DO MINIMO","OK"))</f>
        <v/>
      </c>
    </row>
    <row r="3022">
      <c r="B3022">
        <f>IFERROR(VLOOKUP(A3022,Cadastro_Produtos!A:B,2,FALSE),"")</f>
        <v/>
      </c>
      <c r="D3022" s="12" t="n"/>
      <c r="E3022" s="13">
        <f>IF(D3022="","",D3022-TODAY())</f>
        <v/>
      </c>
      <c r="F3022">
        <f>IF(D3022="","",IF(E3022&lt;0,"VENCIDO",IF(E3022&lt;=30,"VENCE EM &lt;= 30 DIAS",IF(E3022&lt;=60,"ATENCAO (31-60 DIAS)","OK"))))</f>
        <v/>
      </c>
      <c r="G3022" s="13">
        <f>SUMIFS(Movimentacoes!$G:$G,Movimentacoes!$C:$C,$A3022,Movimentacoes!$E:$E,$C3022,Movimentacoes!$B:$B,"ENTRADA")</f>
        <v/>
      </c>
      <c r="H3022" s="13">
        <f>SUMIFS(Movimentacoes!$G:$G,Movimentacoes!$C:$C,$A3022,Movimentacoes!$E:$E,$C3022,Movimentacoes!$B:$B,"SAIDA_USO")</f>
        <v/>
      </c>
      <c r="I3022" s="13">
        <f>SUMIFS(Movimentacoes!$G:$G,Movimentacoes!$C:$C,$A3022,Movimentacoes!$E:$E,$C3022,Movimentacoes!$B:$B,"SAIDA_DESCARTE")</f>
        <v/>
      </c>
      <c r="J3022" s="13">
        <f>G3022-H3022-I3022</f>
        <v/>
      </c>
      <c r="K3022">
        <f>IF(A3022="","",IF(J3022&lt;=IFERROR(VLOOKUP(A3022,Cadastro_Produtos!$A:$E,5,FALSE),0),"ABAIXO DO MINIMO","OK"))</f>
        <v/>
      </c>
    </row>
    <row r="3023">
      <c r="B3023">
        <f>IFERROR(VLOOKUP(A3023,Cadastro_Produtos!A:B,2,FALSE),"")</f>
        <v/>
      </c>
      <c r="D3023" s="12" t="n"/>
      <c r="E3023" s="13">
        <f>IF(D3023="","",D3023-TODAY())</f>
        <v/>
      </c>
      <c r="F3023">
        <f>IF(D3023="","",IF(E3023&lt;0,"VENCIDO",IF(E3023&lt;=30,"VENCE EM &lt;= 30 DIAS",IF(E3023&lt;=60,"ATENCAO (31-60 DIAS)","OK"))))</f>
        <v/>
      </c>
      <c r="G3023" s="13">
        <f>SUMIFS(Movimentacoes!$G:$G,Movimentacoes!$C:$C,$A3023,Movimentacoes!$E:$E,$C3023,Movimentacoes!$B:$B,"ENTRADA")</f>
        <v/>
      </c>
      <c r="H3023" s="13">
        <f>SUMIFS(Movimentacoes!$G:$G,Movimentacoes!$C:$C,$A3023,Movimentacoes!$E:$E,$C3023,Movimentacoes!$B:$B,"SAIDA_USO")</f>
        <v/>
      </c>
      <c r="I3023" s="13">
        <f>SUMIFS(Movimentacoes!$G:$G,Movimentacoes!$C:$C,$A3023,Movimentacoes!$E:$E,$C3023,Movimentacoes!$B:$B,"SAIDA_DESCARTE")</f>
        <v/>
      </c>
      <c r="J3023" s="13">
        <f>G3023-H3023-I3023</f>
        <v/>
      </c>
      <c r="K3023">
        <f>IF(A3023="","",IF(J3023&lt;=IFERROR(VLOOKUP(A3023,Cadastro_Produtos!$A:$E,5,FALSE),0),"ABAIXO DO MINIMO","OK"))</f>
        <v/>
      </c>
    </row>
    <row r="3024">
      <c r="B3024">
        <f>IFERROR(VLOOKUP(A3024,Cadastro_Produtos!A:B,2,FALSE),"")</f>
        <v/>
      </c>
      <c r="D3024" s="12" t="n"/>
      <c r="E3024" s="13">
        <f>IF(D3024="","",D3024-TODAY())</f>
        <v/>
      </c>
      <c r="F3024">
        <f>IF(D3024="","",IF(E3024&lt;0,"VENCIDO",IF(E3024&lt;=30,"VENCE EM &lt;= 30 DIAS",IF(E3024&lt;=60,"ATENCAO (31-60 DIAS)","OK"))))</f>
        <v/>
      </c>
      <c r="G3024" s="13">
        <f>SUMIFS(Movimentacoes!$G:$G,Movimentacoes!$C:$C,$A3024,Movimentacoes!$E:$E,$C3024,Movimentacoes!$B:$B,"ENTRADA")</f>
        <v/>
      </c>
      <c r="H3024" s="13">
        <f>SUMIFS(Movimentacoes!$G:$G,Movimentacoes!$C:$C,$A3024,Movimentacoes!$E:$E,$C3024,Movimentacoes!$B:$B,"SAIDA_USO")</f>
        <v/>
      </c>
      <c r="I3024" s="13">
        <f>SUMIFS(Movimentacoes!$G:$G,Movimentacoes!$C:$C,$A3024,Movimentacoes!$E:$E,$C3024,Movimentacoes!$B:$B,"SAIDA_DESCARTE")</f>
        <v/>
      </c>
      <c r="J3024" s="13">
        <f>G3024-H3024-I3024</f>
        <v/>
      </c>
      <c r="K3024">
        <f>IF(A3024="","",IF(J3024&lt;=IFERROR(VLOOKUP(A3024,Cadastro_Produtos!$A:$E,5,FALSE),0),"ABAIXO DO MINIMO","OK"))</f>
        <v/>
      </c>
    </row>
    <row r="3025">
      <c r="B3025">
        <f>IFERROR(VLOOKUP(A3025,Cadastro_Produtos!A:B,2,FALSE),"")</f>
        <v/>
      </c>
      <c r="D3025" s="12" t="n"/>
      <c r="E3025" s="13">
        <f>IF(D3025="","",D3025-TODAY())</f>
        <v/>
      </c>
      <c r="F3025">
        <f>IF(D3025="","",IF(E3025&lt;0,"VENCIDO",IF(E3025&lt;=30,"VENCE EM &lt;= 30 DIAS",IF(E3025&lt;=60,"ATENCAO (31-60 DIAS)","OK"))))</f>
        <v/>
      </c>
      <c r="G3025" s="13">
        <f>SUMIFS(Movimentacoes!$G:$G,Movimentacoes!$C:$C,$A3025,Movimentacoes!$E:$E,$C3025,Movimentacoes!$B:$B,"ENTRADA")</f>
        <v/>
      </c>
      <c r="H3025" s="13">
        <f>SUMIFS(Movimentacoes!$G:$G,Movimentacoes!$C:$C,$A3025,Movimentacoes!$E:$E,$C3025,Movimentacoes!$B:$B,"SAIDA_USO")</f>
        <v/>
      </c>
      <c r="I3025" s="13">
        <f>SUMIFS(Movimentacoes!$G:$G,Movimentacoes!$C:$C,$A3025,Movimentacoes!$E:$E,$C3025,Movimentacoes!$B:$B,"SAIDA_DESCARTE")</f>
        <v/>
      </c>
      <c r="J3025" s="13">
        <f>G3025-H3025-I3025</f>
        <v/>
      </c>
      <c r="K3025">
        <f>IF(A3025="","",IF(J3025&lt;=IFERROR(VLOOKUP(A3025,Cadastro_Produtos!$A:$E,5,FALSE),0),"ABAIXO DO MINIMO","OK"))</f>
        <v/>
      </c>
    </row>
    <row r="3026">
      <c r="B3026">
        <f>IFERROR(VLOOKUP(A3026,Cadastro_Produtos!A:B,2,FALSE),"")</f>
        <v/>
      </c>
      <c r="D3026" s="12" t="n"/>
      <c r="E3026" s="13">
        <f>IF(D3026="","",D3026-TODAY())</f>
        <v/>
      </c>
      <c r="F3026">
        <f>IF(D3026="","",IF(E3026&lt;0,"VENCIDO",IF(E3026&lt;=30,"VENCE EM &lt;= 30 DIAS",IF(E3026&lt;=60,"ATENCAO (31-60 DIAS)","OK"))))</f>
        <v/>
      </c>
      <c r="G3026" s="13">
        <f>SUMIFS(Movimentacoes!$G:$G,Movimentacoes!$C:$C,$A3026,Movimentacoes!$E:$E,$C3026,Movimentacoes!$B:$B,"ENTRADA")</f>
        <v/>
      </c>
      <c r="H3026" s="13">
        <f>SUMIFS(Movimentacoes!$G:$G,Movimentacoes!$C:$C,$A3026,Movimentacoes!$E:$E,$C3026,Movimentacoes!$B:$B,"SAIDA_USO")</f>
        <v/>
      </c>
      <c r="I3026" s="13">
        <f>SUMIFS(Movimentacoes!$G:$G,Movimentacoes!$C:$C,$A3026,Movimentacoes!$E:$E,$C3026,Movimentacoes!$B:$B,"SAIDA_DESCARTE")</f>
        <v/>
      </c>
      <c r="J3026" s="13">
        <f>G3026-H3026-I3026</f>
        <v/>
      </c>
      <c r="K3026">
        <f>IF(A3026="","",IF(J3026&lt;=IFERROR(VLOOKUP(A3026,Cadastro_Produtos!$A:$E,5,FALSE),0),"ABAIXO DO MINIMO","OK"))</f>
        <v/>
      </c>
    </row>
    <row r="3027">
      <c r="B3027">
        <f>IFERROR(VLOOKUP(A3027,Cadastro_Produtos!A:B,2,FALSE),"")</f>
        <v/>
      </c>
      <c r="D3027" s="12" t="n"/>
      <c r="E3027" s="13">
        <f>IF(D3027="","",D3027-TODAY())</f>
        <v/>
      </c>
      <c r="F3027">
        <f>IF(D3027="","",IF(E3027&lt;0,"VENCIDO",IF(E3027&lt;=30,"VENCE EM &lt;= 30 DIAS",IF(E3027&lt;=60,"ATENCAO (31-60 DIAS)","OK"))))</f>
        <v/>
      </c>
      <c r="G3027" s="13">
        <f>SUMIFS(Movimentacoes!$G:$G,Movimentacoes!$C:$C,$A3027,Movimentacoes!$E:$E,$C3027,Movimentacoes!$B:$B,"ENTRADA")</f>
        <v/>
      </c>
      <c r="H3027" s="13">
        <f>SUMIFS(Movimentacoes!$G:$G,Movimentacoes!$C:$C,$A3027,Movimentacoes!$E:$E,$C3027,Movimentacoes!$B:$B,"SAIDA_USO")</f>
        <v/>
      </c>
      <c r="I3027" s="13">
        <f>SUMIFS(Movimentacoes!$G:$G,Movimentacoes!$C:$C,$A3027,Movimentacoes!$E:$E,$C3027,Movimentacoes!$B:$B,"SAIDA_DESCARTE")</f>
        <v/>
      </c>
      <c r="J3027" s="13">
        <f>G3027-H3027-I3027</f>
        <v/>
      </c>
      <c r="K3027">
        <f>IF(A3027="","",IF(J3027&lt;=IFERROR(VLOOKUP(A3027,Cadastro_Produtos!$A:$E,5,FALSE),0),"ABAIXO DO MINIMO","OK"))</f>
        <v/>
      </c>
    </row>
    <row r="3028">
      <c r="B3028">
        <f>IFERROR(VLOOKUP(A3028,Cadastro_Produtos!A:B,2,FALSE),"")</f>
        <v/>
      </c>
      <c r="D3028" s="12" t="n"/>
      <c r="E3028" s="13">
        <f>IF(D3028="","",D3028-TODAY())</f>
        <v/>
      </c>
      <c r="F3028">
        <f>IF(D3028="","",IF(E3028&lt;0,"VENCIDO",IF(E3028&lt;=30,"VENCE EM &lt;= 30 DIAS",IF(E3028&lt;=60,"ATENCAO (31-60 DIAS)","OK"))))</f>
        <v/>
      </c>
      <c r="G3028" s="13">
        <f>SUMIFS(Movimentacoes!$G:$G,Movimentacoes!$C:$C,$A3028,Movimentacoes!$E:$E,$C3028,Movimentacoes!$B:$B,"ENTRADA")</f>
        <v/>
      </c>
      <c r="H3028" s="13">
        <f>SUMIFS(Movimentacoes!$G:$G,Movimentacoes!$C:$C,$A3028,Movimentacoes!$E:$E,$C3028,Movimentacoes!$B:$B,"SAIDA_USO")</f>
        <v/>
      </c>
      <c r="I3028" s="13">
        <f>SUMIFS(Movimentacoes!$G:$G,Movimentacoes!$C:$C,$A3028,Movimentacoes!$E:$E,$C3028,Movimentacoes!$B:$B,"SAIDA_DESCARTE")</f>
        <v/>
      </c>
      <c r="J3028" s="13">
        <f>G3028-H3028-I3028</f>
        <v/>
      </c>
      <c r="K3028">
        <f>IF(A3028="","",IF(J3028&lt;=IFERROR(VLOOKUP(A3028,Cadastro_Produtos!$A:$E,5,FALSE),0),"ABAIXO DO MINIMO","OK"))</f>
        <v/>
      </c>
    </row>
    <row r="3029">
      <c r="B3029">
        <f>IFERROR(VLOOKUP(A3029,Cadastro_Produtos!A:B,2,FALSE),"")</f>
        <v/>
      </c>
      <c r="D3029" s="12" t="n"/>
      <c r="E3029" s="13">
        <f>IF(D3029="","",D3029-TODAY())</f>
        <v/>
      </c>
      <c r="F3029">
        <f>IF(D3029="","",IF(E3029&lt;0,"VENCIDO",IF(E3029&lt;=30,"VENCE EM &lt;= 30 DIAS",IF(E3029&lt;=60,"ATENCAO (31-60 DIAS)","OK"))))</f>
        <v/>
      </c>
      <c r="G3029" s="13">
        <f>SUMIFS(Movimentacoes!$G:$G,Movimentacoes!$C:$C,$A3029,Movimentacoes!$E:$E,$C3029,Movimentacoes!$B:$B,"ENTRADA")</f>
        <v/>
      </c>
      <c r="H3029" s="13">
        <f>SUMIFS(Movimentacoes!$G:$G,Movimentacoes!$C:$C,$A3029,Movimentacoes!$E:$E,$C3029,Movimentacoes!$B:$B,"SAIDA_USO")</f>
        <v/>
      </c>
      <c r="I3029" s="13">
        <f>SUMIFS(Movimentacoes!$G:$G,Movimentacoes!$C:$C,$A3029,Movimentacoes!$E:$E,$C3029,Movimentacoes!$B:$B,"SAIDA_DESCARTE")</f>
        <v/>
      </c>
      <c r="J3029" s="13">
        <f>G3029-H3029-I3029</f>
        <v/>
      </c>
      <c r="K3029">
        <f>IF(A3029="","",IF(J3029&lt;=IFERROR(VLOOKUP(A3029,Cadastro_Produtos!$A:$E,5,FALSE),0),"ABAIXO DO MINIMO","OK"))</f>
        <v/>
      </c>
    </row>
    <row r="3030">
      <c r="B3030">
        <f>IFERROR(VLOOKUP(A3030,Cadastro_Produtos!A:B,2,FALSE),"")</f>
        <v/>
      </c>
      <c r="D3030" s="12" t="n"/>
      <c r="E3030" s="13">
        <f>IF(D3030="","",D3030-TODAY())</f>
        <v/>
      </c>
      <c r="F3030">
        <f>IF(D3030="","",IF(E3030&lt;0,"VENCIDO",IF(E3030&lt;=30,"VENCE EM &lt;= 30 DIAS",IF(E3030&lt;=60,"ATENCAO (31-60 DIAS)","OK"))))</f>
        <v/>
      </c>
      <c r="G3030" s="13">
        <f>SUMIFS(Movimentacoes!$G:$G,Movimentacoes!$C:$C,$A3030,Movimentacoes!$E:$E,$C3030,Movimentacoes!$B:$B,"ENTRADA")</f>
        <v/>
      </c>
      <c r="H3030" s="13">
        <f>SUMIFS(Movimentacoes!$G:$G,Movimentacoes!$C:$C,$A3030,Movimentacoes!$E:$E,$C3030,Movimentacoes!$B:$B,"SAIDA_USO")</f>
        <v/>
      </c>
      <c r="I3030" s="13">
        <f>SUMIFS(Movimentacoes!$G:$G,Movimentacoes!$C:$C,$A3030,Movimentacoes!$E:$E,$C3030,Movimentacoes!$B:$B,"SAIDA_DESCARTE")</f>
        <v/>
      </c>
      <c r="J3030" s="13">
        <f>G3030-H3030-I3030</f>
        <v/>
      </c>
      <c r="K3030">
        <f>IF(A3030="","",IF(J3030&lt;=IFERROR(VLOOKUP(A3030,Cadastro_Produtos!$A:$E,5,FALSE),0),"ABAIXO DO MINIMO","OK"))</f>
        <v/>
      </c>
    </row>
    <row r="3031">
      <c r="B3031">
        <f>IFERROR(VLOOKUP(A3031,Cadastro_Produtos!A:B,2,FALSE),"")</f>
        <v/>
      </c>
      <c r="D3031" s="12" t="n"/>
      <c r="E3031" s="13">
        <f>IF(D3031="","",D3031-TODAY())</f>
        <v/>
      </c>
      <c r="F3031">
        <f>IF(D3031="","",IF(E3031&lt;0,"VENCIDO",IF(E3031&lt;=30,"VENCE EM &lt;= 30 DIAS",IF(E3031&lt;=60,"ATENCAO (31-60 DIAS)","OK"))))</f>
        <v/>
      </c>
      <c r="G3031" s="13">
        <f>SUMIFS(Movimentacoes!$G:$G,Movimentacoes!$C:$C,$A3031,Movimentacoes!$E:$E,$C3031,Movimentacoes!$B:$B,"ENTRADA")</f>
        <v/>
      </c>
      <c r="H3031" s="13">
        <f>SUMIFS(Movimentacoes!$G:$G,Movimentacoes!$C:$C,$A3031,Movimentacoes!$E:$E,$C3031,Movimentacoes!$B:$B,"SAIDA_USO")</f>
        <v/>
      </c>
      <c r="I3031" s="13">
        <f>SUMIFS(Movimentacoes!$G:$G,Movimentacoes!$C:$C,$A3031,Movimentacoes!$E:$E,$C3031,Movimentacoes!$B:$B,"SAIDA_DESCARTE")</f>
        <v/>
      </c>
      <c r="J3031" s="13">
        <f>G3031-H3031-I3031</f>
        <v/>
      </c>
      <c r="K3031">
        <f>IF(A3031="","",IF(J3031&lt;=IFERROR(VLOOKUP(A3031,Cadastro_Produtos!$A:$E,5,FALSE),0),"ABAIXO DO MINIMO","OK"))</f>
        <v/>
      </c>
    </row>
    <row r="3032">
      <c r="B3032">
        <f>IFERROR(VLOOKUP(A3032,Cadastro_Produtos!A:B,2,FALSE),"")</f>
        <v/>
      </c>
      <c r="D3032" s="12" t="n"/>
      <c r="E3032" s="13">
        <f>IF(D3032="","",D3032-TODAY())</f>
        <v/>
      </c>
      <c r="F3032">
        <f>IF(D3032="","",IF(E3032&lt;0,"VENCIDO",IF(E3032&lt;=30,"VENCE EM &lt;= 30 DIAS",IF(E3032&lt;=60,"ATENCAO (31-60 DIAS)","OK"))))</f>
        <v/>
      </c>
      <c r="G3032" s="13">
        <f>SUMIFS(Movimentacoes!$G:$G,Movimentacoes!$C:$C,$A3032,Movimentacoes!$E:$E,$C3032,Movimentacoes!$B:$B,"ENTRADA")</f>
        <v/>
      </c>
      <c r="H3032" s="13">
        <f>SUMIFS(Movimentacoes!$G:$G,Movimentacoes!$C:$C,$A3032,Movimentacoes!$E:$E,$C3032,Movimentacoes!$B:$B,"SAIDA_USO")</f>
        <v/>
      </c>
      <c r="I3032" s="13">
        <f>SUMIFS(Movimentacoes!$G:$G,Movimentacoes!$C:$C,$A3032,Movimentacoes!$E:$E,$C3032,Movimentacoes!$B:$B,"SAIDA_DESCARTE")</f>
        <v/>
      </c>
      <c r="J3032" s="13">
        <f>G3032-H3032-I3032</f>
        <v/>
      </c>
      <c r="K3032">
        <f>IF(A3032="","",IF(J3032&lt;=IFERROR(VLOOKUP(A3032,Cadastro_Produtos!$A:$E,5,FALSE),0),"ABAIXO DO MINIMO","OK"))</f>
        <v/>
      </c>
    </row>
    <row r="3033">
      <c r="B3033">
        <f>IFERROR(VLOOKUP(A3033,Cadastro_Produtos!A:B,2,FALSE),"")</f>
        <v/>
      </c>
      <c r="D3033" s="12" t="n"/>
      <c r="E3033" s="13">
        <f>IF(D3033="","",D3033-TODAY())</f>
        <v/>
      </c>
      <c r="F3033">
        <f>IF(D3033="","",IF(E3033&lt;0,"VENCIDO",IF(E3033&lt;=30,"VENCE EM &lt;= 30 DIAS",IF(E3033&lt;=60,"ATENCAO (31-60 DIAS)","OK"))))</f>
        <v/>
      </c>
      <c r="G3033" s="13">
        <f>SUMIFS(Movimentacoes!$G:$G,Movimentacoes!$C:$C,$A3033,Movimentacoes!$E:$E,$C3033,Movimentacoes!$B:$B,"ENTRADA")</f>
        <v/>
      </c>
      <c r="H3033" s="13">
        <f>SUMIFS(Movimentacoes!$G:$G,Movimentacoes!$C:$C,$A3033,Movimentacoes!$E:$E,$C3033,Movimentacoes!$B:$B,"SAIDA_USO")</f>
        <v/>
      </c>
      <c r="I3033" s="13">
        <f>SUMIFS(Movimentacoes!$G:$G,Movimentacoes!$C:$C,$A3033,Movimentacoes!$E:$E,$C3033,Movimentacoes!$B:$B,"SAIDA_DESCARTE")</f>
        <v/>
      </c>
      <c r="J3033" s="13">
        <f>G3033-H3033-I3033</f>
        <v/>
      </c>
      <c r="K3033">
        <f>IF(A3033="","",IF(J3033&lt;=IFERROR(VLOOKUP(A3033,Cadastro_Produtos!$A:$E,5,FALSE),0),"ABAIXO DO MINIMO","OK"))</f>
        <v/>
      </c>
    </row>
    <row r="3034">
      <c r="B3034">
        <f>IFERROR(VLOOKUP(A3034,Cadastro_Produtos!A:B,2,FALSE),"")</f>
        <v/>
      </c>
      <c r="D3034" s="12" t="n"/>
      <c r="E3034" s="13">
        <f>IF(D3034="","",D3034-TODAY())</f>
        <v/>
      </c>
      <c r="F3034">
        <f>IF(D3034="","",IF(E3034&lt;0,"VENCIDO",IF(E3034&lt;=30,"VENCE EM &lt;= 30 DIAS",IF(E3034&lt;=60,"ATENCAO (31-60 DIAS)","OK"))))</f>
        <v/>
      </c>
      <c r="G3034" s="13">
        <f>SUMIFS(Movimentacoes!$G:$G,Movimentacoes!$C:$C,$A3034,Movimentacoes!$E:$E,$C3034,Movimentacoes!$B:$B,"ENTRADA")</f>
        <v/>
      </c>
      <c r="H3034" s="13">
        <f>SUMIFS(Movimentacoes!$G:$G,Movimentacoes!$C:$C,$A3034,Movimentacoes!$E:$E,$C3034,Movimentacoes!$B:$B,"SAIDA_USO")</f>
        <v/>
      </c>
      <c r="I3034" s="13">
        <f>SUMIFS(Movimentacoes!$G:$G,Movimentacoes!$C:$C,$A3034,Movimentacoes!$E:$E,$C3034,Movimentacoes!$B:$B,"SAIDA_DESCARTE")</f>
        <v/>
      </c>
      <c r="J3034" s="13">
        <f>G3034-H3034-I3034</f>
        <v/>
      </c>
      <c r="K3034">
        <f>IF(A3034="","",IF(J3034&lt;=IFERROR(VLOOKUP(A3034,Cadastro_Produtos!$A:$E,5,FALSE),0),"ABAIXO DO MINIMO","OK"))</f>
        <v/>
      </c>
    </row>
    <row r="3035">
      <c r="B3035">
        <f>IFERROR(VLOOKUP(A3035,Cadastro_Produtos!A:B,2,FALSE),"")</f>
        <v/>
      </c>
      <c r="D3035" s="12" t="n"/>
      <c r="E3035" s="13">
        <f>IF(D3035="","",D3035-TODAY())</f>
        <v/>
      </c>
      <c r="F3035">
        <f>IF(D3035="","",IF(E3035&lt;0,"VENCIDO",IF(E3035&lt;=30,"VENCE EM &lt;= 30 DIAS",IF(E3035&lt;=60,"ATENCAO (31-60 DIAS)","OK"))))</f>
        <v/>
      </c>
      <c r="G3035" s="13">
        <f>SUMIFS(Movimentacoes!$G:$G,Movimentacoes!$C:$C,$A3035,Movimentacoes!$E:$E,$C3035,Movimentacoes!$B:$B,"ENTRADA")</f>
        <v/>
      </c>
      <c r="H3035" s="13">
        <f>SUMIFS(Movimentacoes!$G:$G,Movimentacoes!$C:$C,$A3035,Movimentacoes!$E:$E,$C3035,Movimentacoes!$B:$B,"SAIDA_USO")</f>
        <v/>
      </c>
      <c r="I3035" s="13">
        <f>SUMIFS(Movimentacoes!$G:$G,Movimentacoes!$C:$C,$A3035,Movimentacoes!$E:$E,$C3035,Movimentacoes!$B:$B,"SAIDA_DESCARTE")</f>
        <v/>
      </c>
      <c r="J3035" s="13">
        <f>G3035-H3035-I3035</f>
        <v/>
      </c>
      <c r="K3035">
        <f>IF(A3035="","",IF(J3035&lt;=IFERROR(VLOOKUP(A3035,Cadastro_Produtos!$A:$E,5,FALSE),0),"ABAIXO DO MINIMO","OK"))</f>
        <v/>
      </c>
    </row>
    <row r="3036">
      <c r="B3036">
        <f>IFERROR(VLOOKUP(A3036,Cadastro_Produtos!A:B,2,FALSE),"")</f>
        <v/>
      </c>
      <c r="D3036" s="12" t="n"/>
      <c r="E3036" s="13">
        <f>IF(D3036="","",D3036-TODAY())</f>
        <v/>
      </c>
      <c r="F3036">
        <f>IF(D3036="","",IF(E3036&lt;0,"VENCIDO",IF(E3036&lt;=30,"VENCE EM &lt;= 30 DIAS",IF(E3036&lt;=60,"ATENCAO (31-60 DIAS)","OK"))))</f>
        <v/>
      </c>
      <c r="G3036" s="13">
        <f>SUMIFS(Movimentacoes!$G:$G,Movimentacoes!$C:$C,$A3036,Movimentacoes!$E:$E,$C3036,Movimentacoes!$B:$B,"ENTRADA")</f>
        <v/>
      </c>
      <c r="H3036" s="13">
        <f>SUMIFS(Movimentacoes!$G:$G,Movimentacoes!$C:$C,$A3036,Movimentacoes!$E:$E,$C3036,Movimentacoes!$B:$B,"SAIDA_USO")</f>
        <v/>
      </c>
      <c r="I3036" s="13">
        <f>SUMIFS(Movimentacoes!$G:$G,Movimentacoes!$C:$C,$A3036,Movimentacoes!$E:$E,$C3036,Movimentacoes!$B:$B,"SAIDA_DESCARTE")</f>
        <v/>
      </c>
      <c r="J3036" s="13">
        <f>G3036-H3036-I3036</f>
        <v/>
      </c>
      <c r="K3036">
        <f>IF(A3036="","",IF(J3036&lt;=IFERROR(VLOOKUP(A3036,Cadastro_Produtos!$A:$E,5,FALSE),0),"ABAIXO DO MINIMO","OK"))</f>
        <v/>
      </c>
    </row>
    <row r="3037">
      <c r="B3037">
        <f>IFERROR(VLOOKUP(A3037,Cadastro_Produtos!A:B,2,FALSE),"")</f>
        <v/>
      </c>
      <c r="D3037" s="12" t="n"/>
      <c r="E3037" s="13">
        <f>IF(D3037="","",D3037-TODAY())</f>
        <v/>
      </c>
      <c r="F3037">
        <f>IF(D3037="","",IF(E3037&lt;0,"VENCIDO",IF(E3037&lt;=30,"VENCE EM &lt;= 30 DIAS",IF(E3037&lt;=60,"ATENCAO (31-60 DIAS)","OK"))))</f>
        <v/>
      </c>
      <c r="G3037" s="13">
        <f>SUMIFS(Movimentacoes!$G:$G,Movimentacoes!$C:$C,$A3037,Movimentacoes!$E:$E,$C3037,Movimentacoes!$B:$B,"ENTRADA")</f>
        <v/>
      </c>
      <c r="H3037" s="13">
        <f>SUMIFS(Movimentacoes!$G:$G,Movimentacoes!$C:$C,$A3037,Movimentacoes!$E:$E,$C3037,Movimentacoes!$B:$B,"SAIDA_USO")</f>
        <v/>
      </c>
      <c r="I3037" s="13">
        <f>SUMIFS(Movimentacoes!$G:$G,Movimentacoes!$C:$C,$A3037,Movimentacoes!$E:$E,$C3037,Movimentacoes!$B:$B,"SAIDA_DESCARTE")</f>
        <v/>
      </c>
      <c r="J3037" s="13">
        <f>G3037-H3037-I3037</f>
        <v/>
      </c>
      <c r="K3037">
        <f>IF(A3037="","",IF(J3037&lt;=IFERROR(VLOOKUP(A3037,Cadastro_Produtos!$A:$E,5,FALSE),0),"ABAIXO DO MINIMO","OK"))</f>
        <v/>
      </c>
    </row>
    <row r="3038">
      <c r="B3038">
        <f>IFERROR(VLOOKUP(A3038,Cadastro_Produtos!A:B,2,FALSE),"")</f>
        <v/>
      </c>
      <c r="D3038" s="12" t="n"/>
      <c r="E3038" s="13">
        <f>IF(D3038="","",D3038-TODAY())</f>
        <v/>
      </c>
      <c r="F3038">
        <f>IF(D3038="","",IF(E3038&lt;0,"VENCIDO",IF(E3038&lt;=30,"VENCE EM &lt;= 30 DIAS",IF(E3038&lt;=60,"ATENCAO (31-60 DIAS)","OK"))))</f>
        <v/>
      </c>
      <c r="G3038" s="13">
        <f>SUMIFS(Movimentacoes!$G:$G,Movimentacoes!$C:$C,$A3038,Movimentacoes!$E:$E,$C3038,Movimentacoes!$B:$B,"ENTRADA")</f>
        <v/>
      </c>
      <c r="H3038" s="13">
        <f>SUMIFS(Movimentacoes!$G:$G,Movimentacoes!$C:$C,$A3038,Movimentacoes!$E:$E,$C3038,Movimentacoes!$B:$B,"SAIDA_USO")</f>
        <v/>
      </c>
      <c r="I3038" s="13">
        <f>SUMIFS(Movimentacoes!$G:$G,Movimentacoes!$C:$C,$A3038,Movimentacoes!$E:$E,$C3038,Movimentacoes!$B:$B,"SAIDA_DESCARTE")</f>
        <v/>
      </c>
      <c r="J3038" s="13">
        <f>G3038-H3038-I3038</f>
        <v/>
      </c>
      <c r="K3038">
        <f>IF(A3038="","",IF(J3038&lt;=IFERROR(VLOOKUP(A3038,Cadastro_Produtos!$A:$E,5,FALSE),0),"ABAIXO DO MINIMO","OK"))</f>
        <v/>
      </c>
    </row>
    <row r="3039">
      <c r="B3039">
        <f>IFERROR(VLOOKUP(A3039,Cadastro_Produtos!A:B,2,FALSE),"")</f>
        <v/>
      </c>
      <c r="D3039" s="12" t="n"/>
      <c r="E3039" s="13">
        <f>IF(D3039="","",D3039-TODAY())</f>
        <v/>
      </c>
      <c r="F3039">
        <f>IF(D3039="","",IF(E3039&lt;0,"VENCIDO",IF(E3039&lt;=30,"VENCE EM &lt;= 30 DIAS",IF(E3039&lt;=60,"ATENCAO (31-60 DIAS)","OK"))))</f>
        <v/>
      </c>
      <c r="G3039" s="13">
        <f>SUMIFS(Movimentacoes!$G:$G,Movimentacoes!$C:$C,$A3039,Movimentacoes!$E:$E,$C3039,Movimentacoes!$B:$B,"ENTRADA")</f>
        <v/>
      </c>
      <c r="H3039" s="13">
        <f>SUMIFS(Movimentacoes!$G:$G,Movimentacoes!$C:$C,$A3039,Movimentacoes!$E:$E,$C3039,Movimentacoes!$B:$B,"SAIDA_USO")</f>
        <v/>
      </c>
      <c r="I3039" s="13">
        <f>SUMIFS(Movimentacoes!$G:$G,Movimentacoes!$C:$C,$A3039,Movimentacoes!$E:$E,$C3039,Movimentacoes!$B:$B,"SAIDA_DESCARTE")</f>
        <v/>
      </c>
      <c r="J3039" s="13">
        <f>G3039-H3039-I3039</f>
        <v/>
      </c>
      <c r="K3039">
        <f>IF(A3039="","",IF(J3039&lt;=IFERROR(VLOOKUP(A3039,Cadastro_Produtos!$A:$E,5,FALSE),0),"ABAIXO DO MINIMO","OK"))</f>
        <v/>
      </c>
    </row>
    <row r="3040">
      <c r="B3040">
        <f>IFERROR(VLOOKUP(A3040,Cadastro_Produtos!A:B,2,FALSE),"")</f>
        <v/>
      </c>
      <c r="D3040" s="12" t="n"/>
      <c r="E3040" s="13">
        <f>IF(D3040="","",D3040-TODAY())</f>
        <v/>
      </c>
      <c r="F3040">
        <f>IF(D3040="","",IF(E3040&lt;0,"VENCIDO",IF(E3040&lt;=30,"VENCE EM &lt;= 30 DIAS",IF(E3040&lt;=60,"ATENCAO (31-60 DIAS)","OK"))))</f>
        <v/>
      </c>
      <c r="G3040" s="13">
        <f>SUMIFS(Movimentacoes!$G:$G,Movimentacoes!$C:$C,$A3040,Movimentacoes!$E:$E,$C3040,Movimentacoes!$B:$B,"ENTRADA")</f>
        <v/>
      </c>
      <c r="H3040" s="13">
        <f>SUMIFS(Movimentacoes!$G:$G,Movimentacoes!$C:$C,$A3040,Movimentacoes!$E:$E,$C3040,Movimentacoes!$B:$B,"SAIDA_USO")</f>
        <v/>
      </c>
      <c r="I3040" s="13">
        <f>SUMIFS(Movimentacoes!$G:$G,Movimentacoes!$C:$C,$A3040,Movimentacoes!$E:$E,$C3040,Movimentacoes!$B:$B,"SAIDA_DESCARTE")</f>
        <v/>
      </c>
      <c r="J3040" s="13">
        <f>G3040-H3040-I3040</f>
        <v/>
      </c>
      <c r="K3040">
        <f>IF(A3040="","",IF(J3040&lt;=IFERROR(VLOOKUP(A3040,Cadastro_Produtos!$A:$E,5,FALSE),0),"ABAIXO DO MINIMO","OK"))</f>
        <v/>
      </c>
    </row>
    <row r="3041">
      <c r="B3041">
        <f>IFERROR(VLOOKUP(A3041,Cadastro_Produtos!A:B,2,FALSE),"")</f>
        <v/>
      </c>
      <c r="D3041" s="12" t="n"/>
      <c r="E3041" s="13">
        <f>IF(D3041="","",D3041-TODAY())</f>
        <v/>
      </c>
      <c r="F3041">
        <f>IF(D3041="","",IF(E3041&lt;0,"VENCIDO",IF(E3041&lt;=30,"VENCE EM &lt;= 30 DIAS",IF(E3041&lt;=60,"ATENCAO (31-60 DIAS)","OK"))))</f>
        <v/>
      </c>
      <c r="G3041" s="13">
        <f>SUMIFS(Movimentacoes!$G:$G,Movimentacoes!$C:$C,$A3041,Movimentacoes!$E:$E,$C3041,Movimentacoes!$B:$B,"ENTRADA")</f>
        <v/>
      </c>
      <c r="H3041" s="13">
        <f>SUMIFS(Movimentacoes!$G:$G,Movimentacoes!$C:$C,$A3041,Movimentacoes!$E:$E,$C3041,Movimentacoes!$B:$B,"SAIDA_USO")</f>
        <v/>
      </c>
      <c r="I3041" s="13">
        <f>SUMIFS(Movimentacoes!$G:$G,Movimentacoes!$C:$C,$A3041,Movimentacoes!$E:$E,$C3041,Movimentacoes!$B:$B,"SAIDA_DESCARTE")</f>
        <v/>
      </c>
      <c r="J3041" s="13">
        <f>G3041-H3041-I3041</f>
        <v/>
      </c>
      <c r="K3041">
        <f>IF(A3041="","",IF(J3041&lt;=IFERROR(VLOOKUP(A3041,Cadastro_Produtos!$A:$E,5,FALSE),0),"ABAIXO DO MINIMO","OK"))</f>
        <v/>
      </c>
    </row>
    <row r="3042">
      <c r="B3042">
        <f>IFERROR(VLOOKUP(A3042,Cadastro_Produtos!A:B,2,FALSE),"")</f>
        <v/>
      </c>
      <c r="D3042" s="12" t="n"/>
      <c r="E3042" s="13">
        <f>IF(D3042="","",D3042-TODAY())</f>
        <v/>
      </c>
      <c r="F3042">
        <f>IF(D3042="","",IF(E3042&lt;0,"VENCIDO",IF(E3042&lt;=30,"VENCE EM &lt;= 30 DIAS",IF(E3042&lt;=60,"ATENCAO (31-60 DIAS)","OK"))))</f>
        <v/>
      </c>
      <c r="G3042" s="13">
        <f>SUMIFS(Movimentacoes!$G:$G,Movimentacoes!$C:$C,$A3042,Movimentacoes!$E:$E,$C3042,Movimentacoes!$B:$B,"ENTRADA")</f>
        <v/>
      </c>
      <c r="H3042" s="13">
        <f>SUMIFS(Movimentacoes!$G:$G,Movimentacoes!$C:$C,$A3042,Movimentacoes!$E:$E,$C3042,Movimentacoes!$B:$B,"SAIDA_USO")</f>
        <v/>
      </c>
      <c r="I3042" s="13">
        <f>SUMIFS(Movimentacoes!$G:$G,Movimentacoes!$C:$C,$A3042,Movimentacoes!$E:$E,$C3042,Movimentacoes!$B:$B,"SAIDA_DESCARTE")</f>
        <v/>
      </c>
      <c r="J3042" s="13">
        <f>G3042-H3042-I3042</f>
        <v/>
      </c>
      <c r="K3042">
        <f>IF(A3042="","",IF(J3042&lt;=IFERROR(VLOOKUP(A3042,Cadastro_Produtos!$A:$E,5,FALSE),0),"ABAIXO DO MINIMO","OK"))</f>
        <v/>
      </c>
    </row>
    <row r="3043">
      <c r="B3043">
        <f>IFERROR(VLOOKUP(A3043,Cadastro_Produtos!A:B,2,FALSE),"")</f>
        <v/>
      </c>
      <c r="D3043" s="12" t="n"/>
      <c r="E3043" s="13">
        <f>IF(D3043="","",D3043-TODAY())</f>
        <v/>
      </c>
      <c r="F3043">
        <f>IF(D3043="","",IF(E3043&lt;0,"VENCIDO",IF(E3043&lt;=30,"VENCE EM &lt;= 30 DIAS",IF(E3043&lt;=60,"ATENCAO (31-60 DIAS)","OK"))))</f>
        <v/>
      </c>
      <c r="G3043" s="13">
        <f>SUMIFS(Movimentacoes!$G:$G,Movimentacoes!$C:$C,$A3043,Movimentacoes!$E:$E,$C3043,Movimentacoes!$B:$B,"ENTRADA")</f>
        <v/>
      </c>
      <c r="H3043" s="13">
        <f>SUMIFS(Movimentacoes!$G:$G,Movimentacoes!$C:$C,$A3043,Movimentacoes!$E:$E,$C3043,Movimentacoes!$B:$B,"SAIDA_USO")</f>
        <v/>
      </c>
      <c r="I3043" s="13">
        <f>SUMIFS(Movimentacoes!$G:$G,Movimentacoes!$C:$C,$A3043,Movimentacoes!$E:$E,$C3043,Movimentacoes!$B:$B,"SAIDA_DESCARTE")</f>
        <v/>
      </c>
      <c r="J3043" s="13">
        <f>G3043-H3043-I3043</f>
        <v/>
      </c>
      <c r="K3043">
        <f>IF(A3043="","",IF(J3043&lt;=IFERROR(VLOOKUP(A3043,Cadastro_Produtos!$A:$E,5,FALSE),0),"ABAIXO DO MINIMO","OK"))</f>
        <v/>
      </c>
    </row>
    <row r="3044">
      <c r="B3044">
        <f>IFERROR(VLOOKUP(A3044,Cadastro_Produtos!A:B,2,FALSE),"")</f>
        <v/>
      </c>
      <c r="D3044" s="12" t="n"/>
      <c r="E3044" s="13">
        <f>IF(D3044="","",D3044-TODAY())</f>
        <v/>
      </c>
      <c r="F3044">
        <f>IF(D3044="","",IF(E3044&lt;0,"VENCIDO",IF(E3044&lt;=30,"VENCE EM &lt;= 30 DIAS",IF(E3044&lt;=60,"ATENCAO (31-60 DIAS)","OK"))))</f>
        <v/>
      </c>
      <c r="G3044" s="13">
        <f>SUMIFS(Movimentacoes!$G:$G,Movimentacoes!$C:$C,$A3044,Movimentacoes!$E:$E,$C3044,Movimentacoes!$B:$B,"ENTRADA")</f>
        <v/>
      </c>
      <c r="H3044" s="13">
        <f>SUMIFS(Movimentacoes!$G:$G,Movimentacoes!$C:$C,$A3044,Movimentacoes!$E:$E,$C3044,Movimentacoes!$B:$B,"SAIDA_USO")</f>
        <v/>
      </c>
      <c r="I3044" s="13">
        <f>SUMIFS(Movimentacoes!$G:$G,Movimentacoes!$C:$C,$A3044,Movimentacoes!$E:$E,$C3044,Movimentacoes!$B:$B,"SAIDA_DESCARTE")</f>
        <v/>
      </c>
      <c r="J3044" s="13">
        <f>G3044-H3044-I3044</f>
        <v/>
      </c>
      <c r="K3044">
        <f>IF(A3044="","",IF(J3044&lt;=IFERROR(VLOOKUP(A3044,Cadastro_Produtos!$A:$E,5,FALSE),0),"ABAIXO DO MINIMO","OK"))</f>
        <v/>
      </c>
    </row>
    <row r="3045">
      <c r="B3045">
        <f>IFERROR(VLOOKUP(A3045,Cadastro_Produtos!A:B,2,FALSE),"")</f>
        <v/>
      </c>
      <c r="D3045" s="12" t="n"/>
      <c r="E3045" s="13">
        <f>IF(D3045="","",D3045-TODAY())</f>
        <v/>
      </c>
      <c r="F3045">
        <f>IF(D3045="","",IF(E3045&lt;0,"VENCIDO",IF(E3045&lt;=30,"VENCE EM &lt;= 30 DIAS",IF(E3045&lt;=60,"ATENCAO (31-60 DIAS)","OK"))))</f>
        <v/>
      </c>
      <c r="G3045" s="13">
        <f>SUMIFS(Movimentacoes!$G:$G,Movimentacoes!$C:$C,$A3045,Movimentacoes!$E:$E,$C3045,Movimentacoes!$B:$B,"ENTRADA")</f>
        <v/>
      </c>
      <c r="H3045" s="13">
        <f>SUMIFS(Movimentacoes!$G:$G,Movimentacoes!$C:$C,$A3045,Movimentacoes!$E:$E,$C3045,Movimentacoes!$B:$B,"SAIDA_USO")</f>
        <v/>
      </c>
      <c r="I3045" s="13">
        <f>SUMIFS(Movimentacoes!$G:$G,Movimentacoes!$C:$C,$A3045,Movimentacoes!$E:$E,$C3045,Movimentacoes!$B:$B,"SAIDA_DESCARTE")</f>
        <v/>
      </c>
      <c r="J3045" s="13">
        <f>G3045-H3045-I3045</f>
        <v/>
      </c>
      <c r="K3045">
        <f>IF(A3045="","",IF(J3045&lt;=IFERROR(VLOOKUP(A3045,Cadastro_Produtos!$A:$E,5,FALSE),0),"ABAIXO DO MINIMO","OK"))</f>
        <v/>
      </c>
    </row>
    <row r="3046">
      <c r="B3046">
        <f>IFERROR(VLOOKUP(A3046,Cadastro_Produtos!A:B,2,FALSE),"")</f>
        <v/>
      </c>
      <c r="D3046" s="12" t="n"/>
      <c r="E3046" s="13">
        <f>IF(D3046="","",D3046-TODAY())</f>
        <v/>
      </c>
      <c r="F3046">
        <f>IF(D3046="","",IF(E3046&lt;0,"VENCIDO",IF(E3046&lt;=30,"VENCE EM &lt;= 30 DIAS",IF(E3046&lt;=60,"ATENCAO (31-60 DIAS)","OK"))))</f>
        <v/>
      </c>
      <c r="G3046" s="13">
        <f>SUMIFS(Movimentacoes!$G:$G,Movimentacoes!$C:$C,$A3046,Movimentacoes!$E:$E,$C3046,Movimentacoes!$B:$B,"ENTRADA")</f>
        <v/>
      </c>
      <c r="H3046" s="13">
        <f>SUMIFS(Movimentacoes!$G:$G,Movimentacoes!$C:$C,$A3046,Movimentacoes!$E:$E,$C3046,Movimentacoes!$B:$B,"SAIDA_USO")</f>
        <v/>
      </c>
      <c r="I3046" s="13">
        <f>SUMIFS(Movimentacoes!$G:$G,Movimentacoes!$C:$C,$A3046,Movimentacoes!$E:$E,$C3046,Movimentacoes!$B:$B,"SAIDA_DESCARTE")</f>
        <v/>
      </c>
      <c r="J3046" s="13">
        <f>G3046-H3046-I3046</f>
        <v/>
      </c>
      <c r="K3046">
        <f>IF(A3046="","",IF(J3046&lt;=IFERROR(VLOOKUP(A3046,Cadastro_Produtos!$A:$E,5,FALSE),0),"ABAIXO DO MINIMO","OK"))</f>
        <v/>
      </c>
    </row>
    <row r="3047">
      <c r="B3047">
        <f>IFERROR(VLOOKUP(A3047,Cadastro_Produtos!A:B,2,FALSE),"")</f>
        <v/>
      </c>
      <c r="D3047" s="12" t="n"/>
      <c r="E3047" s="13">
        <f>IF(D3047="","",D3047-TODAY())</f>
        <v/>
      </c>
      <c r="F3047">
        <f>IF(D3047="","",IF(E3047&lt;0,"VENCIDO",IF(E3047&lt;=30,"VENCE EM &lt;= 30 DIAS",IF(E3047&lt;=60,"ATENCAO (31-60 DIAS)","OK"))))</f>
        <v/>
      </c>
      <c r="G3047" s="13">
        <f>SUMIFS(Movimentacoes!$G:$G,Movimentacoes!$C:$C,$A3047,Movimentacoes!$E:$E,$C3047,Movimentacoes!$B:$B,"ENTRADA")</f>
        <v/>
      </c>
      <c r="H3047" s="13">
        <f>SUMIFS(Movimentacoes!$G:$G,Movimentacoes!$C:$C,$A3047,Movimentacoes!$E:$E,$C3047,Movimentacoes!$B:$B,"SAIDA_USO")</f>
        <v/>
      </c>
      <c r="I3047" s="13">
        <f>SUMIFS(Movimentacoes!$G:$G,Movimentacoes!$C:$C,$A3047,Movimentacoes!$E:$E,$C3047,Movimentacoes!$B:$B,"SAIDA_DESCARTE")</f>
        <v/>
      </c>
      <c r="J3047" s="13">
        <f>G3047-H3047-I3047</f>
        <v/>
      </c>
      <c r="K3047">
        <f>IF(A3047="","",IF(J3047&lt;=IFERROR(VLOOKUP(A3047,Cadastro_Produtos!$A:$E,5,FALSE),0),"ABAIXO DO MINIMO","OK"))</f>
        <v/>
      </c>
    </row>
    <row r="3048">
      <c r="B3048">
        <f>IFERROR(VLOOKUP(A3048,Cadastro_Produtos!A:B,2,FALSE),"")</f>
        <v/>
      </c>
      <c r="D3048" s="12" t="n"/>
      <c r="E3048" s="13">
        <f>IF(D3048="","",D3048-TODAY())</f>
        <v/>
      </c>
      <c r="F3048">
        <f>IF(D3048="","",IF(E3048&lt;0,"VENCIDO",IF(E3048&lt;=30,"VENCE EM &lt;= 30 DIAS",IF(E3048&lt;=60,"ATENCAO (31-60 DIAS)","OK"))))</f>
        <v/>
      </c>
      <c r="G3048" s="13">
        <f>SUMIFS(Movimentacoes!$G:$G,Movimentacoes!$C:$C,$A3048,Movimentacoes!$E:$E,$C3048,Movimentacoes!$B:$B,"ENTRADA")</f>
        <v/>
      </c>
      <c r="H3048" s="13">
        <f>SUMIFS(Movimentacoes!$G:$G,Movimentacoes!$C:$C,$A3048,Movimentacoes!$E:$E,$C3048,Movimentacoes!$B:$B,"SAIDA_USO")</f>
        <v/>
      </c>
      <c r="I3048" s="13">
        <f>SUMIFS(Movimentacoes!$G:$G,Movimentacoes!$C:$C,$A3048,Movimentacoes!$E:$E,$C3048,Movimentacoes!$B:$B,"SAIDA_DESCARTE")</f>
        <v/>
      </c>
      <c r="J3048" s="13">
        <f>G3048-H3048-I3048</f>
        <v/>
      </c>
      <c r="K3048">
        <f>IF(A3048="","",IF(J3048&lt;=IFERROR(VLOOKUP(A3048,Cadastro_Produtos!$A:$E,5,FALSE),0),"ABAIXO DO MINIMO","OK"))</f>
        <v/>
      </c>
    </row>
    <row r="3049">
      <c r="B3049">
        <f>IFERROR(VLOOKUP(A3049,Cadastro_Produtos!A:B,2,FALSE),"")</f>
        <v/>
      </c>
      <c r="D3049" s="12" t="n"/>
      <c r="E3049" s="13">
        <f>IF(D3049="","",D3049-TODAY())</f>
        <v/>
      </c>
      <c r="F3049">
        <f>IF(D3049="","",IF(E3049&lt;0,"VENCIDO",IF(E3049&lt;=30,"VENCE EM &lt;= 30 DIAS",IF(E3049&lt;=60,"ATENCAO (31-60 DIAS)","OK"))))</f>
        <v/>
      </c>
      <c r="G3049" s="13">
        <f>SUMIFS(Movimentacoes!$G:$G,Movimentacoes!$C:$C,$A3049,Movimentacoes!$E:$E,$C3049,Movimentacoes!$B:$B,"ENTRADA")</f>
        <v/>
      </c>
      <c r="H3049" s="13">
        <f>SUMIFS(Movimentacoes!$G:$G,Movimentacoes!$C:$C,$A3049,Movimentacoes!$E:$E,$C3049,Movimentacoes!$B:$B,"SAIDA_USO")</f>
        <v/>
      </c>
      <c r="I3049" s="13">
        <f>SUMIFS(Movimentacoes!$G:$G,Movimentacoes!$C:$C,$A3049,Movimentacoes!$E:$E,$C3049,Movimentacoes!$B:$B,"SAIDA_DESCARTE")</f>
        <v/>
      </c>
      <c r="J3049" s="13">
        <f>G3049-H3049-I3049</f>
        <v/>
      </c>
      <c r="K3049">
        <f>IF(A3049="","",IF(J3049&lt;=IFERROR(VLOOKUP(A3049,Cadastro_Produtos!$A:$E,5,FALSE),0),"ABAIXO DO MINIMO","OK"))</f>
        <v/>
      </c>
    </row>
    <row r="3050">
      <c r="B3050">
        <f>IFERROR(VLOOKUP(A3050,Cadastro_Produtos!A:B,2,FALSE),"")</f>
        <v/>
      </c>
      <c r="D3050" s="12" t="n"/>
      <c r="E3050" s="13">
        <f>IF(D3050="","",D3050-TODAY())</f>
        <v/>
      </c>
      <c r="F3050">
        <f>IF(D3050="","",IF(E3050&lt;0,"VENCIDO",IF(E3050&lt;=30,"VENCE EM &lt;= 30 DIAS",IF(E3050&lt;=60,"ATENCAO (31-60 DIAS)","OK"))))</f>
        <v/>
      </c>
      <c r="G3050" s="13">
        <f>SUMIFS(Movimentacoes!$G:$G,Movimentacoes!$C:$C,$A3050,Movimentacoes!$E:$E,$C3050,Movimentacoes!$B:$B,"ENTRADA")</f>
        <v/>
      </c>
      <c r="H3050" s="13">
        <f>SUMIFS(Movimentacoes!$G:$G,Movimentacoes!$C:$C,$A3050,Movimentacoes!$E:$E,$C3050,Movimentacoes!$B:$B,"SAIDA_USO")</f>
        <v/>
      </c>
      <c r="I3050" s="13">
        <f>SUMIFS(Movimentacoes!$G:$G,Movimentacoes!$C:$C,$A3050,Movimentacoes!$E:$E,$C3050,Movimentacoes!$B:$B,"SAIDA_DESCARTE")</f>
        <v/>
      </c>
      <c r="J3050" s="13">
        <f>G3050-H3050-I3050</f>
        <v/>
      </c>
      <c r="K3050">
        <f>IF(A3050="","",IF(J3050&lt;=IFERROR(VLOOKUP(A3050,Cadastro_Produtos!$A:$E,5,FALSE),0),"ABAIXO DO MINIMO","OK"))</f>
        <v/>
      </c>
    </row>
    <row r="3051">
      <c r="B3051">
        <f>IFERROR(VLOOKUP(A3051,Cadastro_Produtos!A:B,2,FALSE),"")</f>
        <v/>
      </c>
      <c r="D3051" s="12" t="n"/>
      <c r="E3051" s="13">
        <f>IF(D3051="","",D3051-TODAY())</f>
        <v/>
      </c>
      <c r="F3051">
        <f>IF(D3051="","",IF(E3051&lt;0,"VENCIDO",IF(E3051&lt;=30,"VENCE EM &lt;= 30 DIAS",IF(E3051&lt;=60,"ATENCAO (31-60 DIAS)","OK"))))</f>
        <v/>
      </c>
      <c r="G3051" s="13">
        <f>SUMIFS(Movimentacoes!$G:$G,Movimentacoes!$C:$C,$A3051,Movimentacoes!$E:$E,$C3051,Movimentacoes!$B:$B,"ENTRADA")</f>
        <v/>
      </c>
      <c r="H3051" s="13">
        <f>SUMIFS(Movimentacoes!$G:$G,Movimentacoes!$C:$C,$A3051,Movimentacoes!$E:$E,$C3051,Movimentacoes!$B:$B,"SAIDA_USO")</f>
        <v/>
      </c>
      <c r="I3051" s="13">
        <f>SUMIFS(Movimentacoes!$G:$G,Movimentacoes!$C:$C,$A3051,Movimentacoes!$E:$E,$C3051,Movimentacoes!$B:$B,"SAIDA_DESCARTE")</f>
        <v/>
      </c>
      <c r="J3051" s="13">
        <f>G3051-H3051-I3051</f>
        <v/>
      </c>
      <c r="K3051">
        <f>IF(A3051="","",IF(J3051&lt;=IFERROR(VLOOKUP(A3051,Cadastro_Produtos!$A:$E,5,FALSE),0),"ABAIXO DO MINIMO","OK"))</f>
        <v/>
      </c>
    </row>
    <row r="3052">
      <c r="B3052">
        <f>IFERROR(VLOOKUP(A3052,Cadastro_Produtos!A:B,2,FALSE),"")</f>
        <v/>
      </c>
      <c r="D3052" s="12" t="n"/>
      <c r="E3052" s="13">
        <f>IF(D3052="","",D3052-TODAY())</f>
        <v/>
      </c>
      <c r="F3052">
        <f>IF(D3052="","",IF(E3052&lt;0,"VENCIDO",IF(E3052&lt;=30,"VENCE EM &lt;= 30 DIAS",IF(E3052&lt;=60,"ATENCAO (31-60 DIAS)","OK"))))</f>
        <v/>
      </c>
      <c r="G3052" s="13">
        <f>SUMIFS(Movimentacoes!$G:$G,Movimentacoes!$C:$C,$A3052,Movimentacoes!$E:$E,$C3052,Movimentacoes!$B:$B,"ENTRADA")</f>
        <v/>
      </c>
      <c r="H3052" s="13">
        <f>SUMIFS(Movimentacoes!$G:$G,Movimentacoes!$C:$C,$A3052,Movimentacoes!$E:$E,$C3052,Movimentacoes!$B:$B,"SAIDA_USO")</f>
        <v/>
      </c>
      <c r="I3052" s="13">
        <f>SUMIFS(Movimentacoes!$G:$G,Movimentacoes!$C:$C,$A3052,Movimentacoes!$E:$E,$C3052,Movimentacoes!$B:$B,"SAIDA_DESCARTE")</f>
        <v/>
      </c>
      <c r="J3052" s="13">
        <f>G3052-H3052-I3052</f>
        <v/>
      </c>
      <c r="K3052">
        <f>IF(A3052="","",IF(J3052&lt;=IFERROR(VLOOKUP(A3052,Cadastro_Produtos!$A:$E,5,FALSE),0),"ABAIXO DO MINIMO","OK"))</f>
        <v/>
      </c>
    </row>
    <row r="3053">
      <c r="B3053">
        <f>IFERROR(VLOOKUP(A3053,Cadastro_Produtos!A:B,2,FALSE),"")</f>
        <v/>
      </c>
      <c r="D3053" s="12" t="n"/>
      <c r="E3053" s="13">
        <f>IF(D3053="","",D3053-TODAY())</f>
        <v/>
      </c>
      <c r="F3053">
        <f>IF(D3053="","",IF(E3053&lt;0,"VENCIDO",IF(E3053&lt;=30,"VENCE EM &lt;= 30 DIAS",IF(E3053&lt;=60,"ATENCAO (31-60 DIAS)","OK"))))</f>
        <v/>
      </c>
      <c r="G3053" s="13">
        <f>SUMIFS(Movimentacoes!$G:$G,Movimentacoes!$C:$C,$A3053,Movimentacoes!$E:$E,$C3053,Movimentacoes!$B:$B,"ENTRADA")</f>
        <v/>
      </c>
      <c r="H3053" s="13">
        <f>SUMIFS(Movimentacoes!$G:$G,Movimentacoes!$C:$C,$A3053,Movimentacoes!$E:$E,$C3053,Movimentacoes!$B:$B,"SAIDA_USO")</f>
        <v/>
      </c>
      <c r="I3053" s="13">
        <f>SUMIFS(Movimentacoes!$G:$G,Movimentacoes!$C:$C,$A3053,Movimentacoes!$E:$E,$C3053,Movimentacoes!$B:$B,"SAIDA_DESCARTE")</f>
        <v/>
      </c>
      <c r="J3053" s="13">
        <f>G3053-H3053-I3053</f>
        <v/>
      </c>
      <c r="K3053">
        <f>IF(A3053="","",IF(J3053&lt;=IFERROR(VLOOKUP(A3053,Cadastro_Produtos!$A:$E,5,FALSE),0),"ABAIXO DO MINIMO","OK"))</f>
        <v/>
      </c>
    </row>
    <row r="3054">
      <c r="B3054">
        <f>IFERROR(VLOOKUP(A3054,Cadastro_Produtos!A:B,2,FALSE),"")</f>
        <v/>
      </c>
      <c r="D3054" s="12" t="n"/>
      <c r="E3054" s="13">
        <f>IF(D3054="","",D3054-TODAY())</f>
        <v/>
      </c>
      <c r="F3054">
        <f>IF(D3054="","",IF(E3054&lt;0,"VENCIDO",IF(E3054&lt;=30,"VENCE EM &lt;= 30 DIAS",IF(E3054&lt;=60,"ATENCAO (31-60 DIAS)","OK"))))</f>
        <v/>
      </c>
      <c r="G3054" s="13">
        <f>SUMIFS(Movimentacoes!$G:$G,Movimentacoes!$C:$C,$A3054,Movimentacoes!$E:$E,$C3054,Movimentacoes!$B:$B,"ENTRADA")</f>
        <v/>
      </c>
      <c r="H3054" s="13">
        <f>SUMIFS(Movimentacoes!$G:$G,Movimentacoes!$C:$C,$A3054,Movimentacoes!$E:$E,$C3054,Movimentacoes!$B:$B,"SAIDA_USO")</f>
        <v/>
      </c>
      <c r="I3054" s="13">
        <f>SUMIFS(Movimentacoes!$G:$G,Movimentacoes!$C:$C,$A3054,Movimentacoes!$E:$E,$C3054,Movimentacoes!$B:$B,"SAIDA_DESCARTE")</f>
        <v/>
      </c>
      <c r="J3054" s="13">
        <f>G3054-H3054-I3054</f>
        <v/>
      </c>
      <c r="K3054">
        <f>IF(A3054="","",IF(J3054&lt;=IFERROR(VLOOKUP(A3054,Cadastro_Produtos!$A:$E,5,FALSE),0),"ABAIXO DO MINIMO","OK"))</f>
        <v/>
      </c>
    </row>
    <row r="3055">
      <c r="B3055">
        <f>IFERROR(VLOOKUP(A3055,Cadastro_Produtos!A:B,2,FALSE),"")</f>
        <v/>
      </c>
      <c r="D3055" s="12" t="n"/>
      <c r="E3055" s="13">
        <f>IF(D3055="","",D3055-TODAY())</f>
        <v/>
      </c>
      <c r="F3055">
        <f>IF(D3055="","",IF(E3055&lt;0,"VENCIDO",IF(E3055&lt;=30,"VENCE EM &lt;= 30 DIAS",IF(E3055&lt;=60,"ATENCAO (31-60 DIAS)","OK"))))</f>
        <v/>
      </c>
      <c r="G3055" s="13">
        <f>SUMIFS(Movimentacoes!$G:$G,Movimentacoes!$C:$C,$A3055,Movimentacoes!$E:$E,$C3055,Movimentacoes!$B:$B,"ENTRADA")</f>
        <v/>
      </c>
      <c r="H3055" s="13">
        <f>SUMIFS(Movimentacoes!$G:$G,Movimentacoes!$C:$C,$A3055,Movimentacoes!$E:$E,$C3055,Movimentacoes!$B:$B,"SAIDA_USO")</f>
        <v/>
      </c>
      <c r="I3055" s="13">
        <f>SUMIFS(Movimentacoes!$G:$G,Movimentacoes!$C:$C,$A3055,Movimentacoes!$E:$E,$C3055,Movimentacoes!$B:$B,"SAIDA_DESCARTE")</f>
        <v/>
      </c>
      <c r="J3055" s="13">
        <f>G3055-H3055-I3055</f>
        <v/>
      </c>
      <c r="K3055">
        <f>IF(A3055="","",IF(J3055&lt;=IFERROR(VLOOKUP(A3055,Cadastro_Produtos!$A:$E,5,FALSE),0),"ABAIXO DO MINIMO","OK"))</f>
        <v/>
      </c>
    </row>
    <row r="3056">
      <c r="B3056">
        <f>IFERROR(VLOOKUP(A3056,Cadastro_Produtos!A:B,2,FALSE),"")</f>
        <v/>
      </c>
      <c r="D3056" s="12" t="n"/>
      <c r="E3056" s="13">
        <f>IF(D3056="","",D3056-TODAY())</f>
        <v/>
      </c>
      <c r="F3056">
        <f>IF(D3056="","",IF(E3056&lt;0,"VENCIDO",IF(E3056&lt;=30,"VENCE EM &lt;= 30 DIAS",IF(E3056&lt;=60,"ATENCAO (31-60 DIAS)","OK"))))</f>
        <v/>
      </c>
      <c r="G3056" s="13">
        <f>SUMIFS(Movimentacoes!$G:$G,Movimentacoes!$C:$C,$A3056,Movimentacoes!$E:$E,$C3056,Movimentacoes!$B:$B,"ENTRADA")</f>
        <v/>
      </c>
      <c r="H3056" s="13">
        <f>SUMIFS(Movimentacoes!$G:$G,Movimentacoes!$C:$C,$A3056,Movimentacoes!$E:$E,$C3056,Movimentacoes!$B:$B,"SAIDA_USO")</f>
        <v/>
      </c>
      <c r="I3056" s="13">
        <f>SUMIFS(Movimentacoes!$G:$G,Movimentacoes!$C:$C,$A3056,Movimentacoes!$E:$E,$C3056,Movimentacoes!$B:$B,"SAIDA_DESCARTE")</f>
        <v/>
      </c>
      <c r="J3056" s="13">
        <f>G3056-H3056-I3056</f>
        <v/>
      </c>
      <c r="K3056">
        <f>IF(A3056="","",IF(J3056&lt;=IFERROR(VLOOKUP(A3056,Cadastro_Produtos!$A:$E,5,FALSE),0),"ABAIXO DO MINIMO","OK"))</f>
        <v/>
      </c>
    </row>
    <row r="3057">
      <c r="B3057">
        <f>IFERROR(VLOOKUP(A3057,Cadastro_Produtos!A:B,2,FALSE),"")</f>
        <v/>
      </c>
      <c r="D3057" s="12" t="n"/>
      <c r="E3057" s="13">
        <f>IF(D3057="","",D3057-TODAY())</f>
        <v/>
      </c>
      <c r="F3057">
        <f>IF(D3057="","",IF(E3057&lt;0,"VENCIDO",IF(E3057&lt;=30,"VENCE EM &lt;= 30 DIAS",IF(E3057&lt;=60,"ATENCAO (31-60 DIAS)","OK"))))</f>
        <v/>
      </c>
      <c r="G3057" s="13">
        <f>SUMIFS(Movimentacoes!$G:$G,Movimentacoes!$C:$C,$A3057,Movimentacoes!$E:$E,$C3057,Movimentacoes!$B:$B,"ENTRADA")</f>
        <v/>
      </c>
      <c r="H3057" s="13">
        <f>SUMIFS(Movimentacoes!$G:$G,Movimentacoes!$C:$C,$A3057,Movimentacoes!$E:$E,$C3057,Movimentacoes!$B:$B,"SAIDA_USO")</f>
        <v/>
      </c>
      <c r="I3057" s="13">
        <f>SUMIFS(Movimentacoes!$G:$G,Movimentacoes!$C:$C,$A3057,Movimentacoes!$E:$E,$C3057,Movimentacoes!$B:$B,"SAIDA_DESCARTE")</f>
        <v/>
      </c>
      <c r="J3057" s="13">
        <f>G3057-H3057-I3057</f>
        <v/>
      </c>
      <c r="K3057">
        <f>IF(A3057="","",IF(J3057&lt;=IFERROR(VLOOKUP(A3057,Cadastro_Produtos!$A:$E,5,FALSE),0),"ABAIXO DO MINIMO","OK"))</f>
        <v/>
      </c>
    </row>
    <row r="3058">
      <c r="B3058">
        <f>IFERROR(VLOOKUP(A3058,Cadastro_Produtos!A:B,2,FALSE),"")</f>
        <v/>
      </c>
      <c r="D3058" s="12" t="n"/>
      <c r="E3058" s="13">
        <f>IF(D3058="","",D3058-TODAY())</f>
        <v/>
      </c>
      <c r="F3058">
        <f>IF(D3058="","",IF(E3058&lt;0,"VENCIDO",IF(E3058&lt;=30,"VENCE EM &lt;= 30 DIAS",IF(E3058&lt;=60,"ATENCAO (31-60 DIAS)","OK"))))</f>
        <v/>
      </c>
      <c r="G3058" s="13">
        <f>SUMIFS(Movimentacoes!$G:$G,Movimentacoes!$C:$C,$A3058,Movimentacoes!$E:$E,$C3058,Movimentacoes!$B:$B,"ENTRADA")</f>
        <v/>
      </c>
      <c r="H3058" s="13">
        <f>SUMIFS(Movimentacoes!$G:$G,Movimentacoes!$C:$C,$A3058,Movimentacoes!$E:$E,$C3058,Movimentacoes!$B:$B,"SAIDA_USO")</f>
        <v/>
      </c>
      <c r="I3058" s="13">
        <f>SUMIFS(Movimentacoes!$G:$G,Movimentacoes!$C:$C,$A3058,Movimentacoes!$E:$E,$C3058,Movimentacoes!$B:$B,"SAIDA_DESCARTE")</f>
        <v/>
      </c>
      <c r="J3058" s="13">
        <f>G3058-H3058-I3058</f>
        <v/>
      </c>
      <c r="K3058">
        <f>IF(A3058="","",IF(J3058&lt;=IFERROR(VLOOKUP(A3058,Cadastro_Produtos!$A:$E,5,FALSE),0),"ABAIXO DO MINIMO","OK"))</f>
        <v/>
      </c>
    </row>
    <row r="3059">
      <c r="B3059">
        <f>IFERROR(VLOOKUP(A3059,Cadastro_Produtos!A:B,2,FALSE),"")</f>
        <v/>
      </c>
      <c r="D3059" s="12" t="n"/>
      <c r="E3059" s="13">
        <f>IF(D3059="","",D3059-TODAY())</f>
        <v/>
      </c>
      <c r="F3059">
        <f>IF(D3059="","",IF(E3059&lt;0,"VENCIDO",IF(E3059&lt;=30,"VENCE EM &lt;= 30 DIAS",IF(E3059&lt;=60,"ATENCAO (31-60 DIAS)","OK"))))</f>
        <v/>
      </c>
      <c r="G3059" s="13">
        <f>SUMIFS(Movimentacoes!$G:$G,Movimentacoes!$C:$C,$A3059,Movimentacoes!$E:$E,$C3059,Movimentacoes!$B:$B,"ENTRADA")</f>
        <v/>
      </c>
      <c r="H3059" s="13">
        <f>SUMIFS(Movimentacoes!$G:$G,Movimentacoes!$C:$C,$A3059,Movimentacoes!$E:$E,$C3059,Movimentacoes!$B:$B,"SAIDA_USO")</f>
        <v/>
      </c>
      <c r="I3059" s="13">
        <f>SUMIFS(Movimentacoes!$G:$G,Movimentacoes!$C:$C,$A3059,Movimentacoes!$E:$E,$C3059,Movimentacoes!$B:$B,"SAIDA_DESCARTE")</f>
        <v/>
      </c>
      <c r="J3059" s="13">
        <f>G3059-H3059-I3059</f>
        <v/>
      </c>
      <c r="K3059">
        <f>IF(A3059="","",IF(J3059&lt;=IFERROR(VLOOKUP(A3059,Cadastro_Produtos!$A:$E,5,FALSE),0),"ABAIXO DO MINIMO","OK"))</f>
        <v/>
      </c>
    </row>
    <row r="3060">
      <c r="B3060">
        <f>IFERROR(VLOOKUP(A3060,Cadastro_Produtos!A:B,2,FALSE),"")</f>
        <v/>
      </c>
      <c r="D3060" s="12" t="n"/>
      <c r="E3060" s="13">
        <f>IF(D3060="","",D3060-TODAY())</f>
        <v/>
      </c>
      <c r="F3060">
        <f>IF(D3060="","",IF(E3060&lt;0,"VENCIDO",IF(E3060&lt;=30,"VENCE EM &lt;= 30 DIAS",IF(E3060&lt;=60,"ATENCAO (31-60 DIAS)","OK"))))</f>
        <v/>
      </c>
      <c r="G3060" s="13">
        <f>SUMIFS(Movimentacoes!$G:$G,Movimentacoes!$C:$C,$A3060,Movimentacoes!$E:$E,$C3060,Movimentacoes!$B:$B,"ENTRADA")</f>
        <v/>
      </c>
      <c r="H3060" s="13">
        <f>SUMIFS(Movimentacoes!$G:$G,Movimentacoes!$C:$C,$A3060,Movimentacoes!$E:$E,$C3060,Movimentacoes!$B:$B,"SAIDA_USO")</f>
        <v/>
      </c>
      <c r="I3060" s="13">
        <f>SUMIFS(Movimentacoes!$G:$G,Movimentacoes!$C:$C,$A3060,Movimentacoes!$E:$E,$C3060,Movimentacoes!$B:$B,"SAIDA_DESCARTE")</f>
        <v/>
      </c>
      <c r="J3060" s="13">
        <f>G3060-H3060-I3060</f>
        <v/>
      </c>
      <c r="K3060">
        <f>IF(A3060="","",IF(J3060&lt;=IFERROR(VLOOKUP(A3060,Cadastro_Produtos!$A:$E,5,FALSE),0),"ABAIXO DO MINIMO","OK"))</f>
        <v/>
      </c>
    </row>
    <row r="3061">
      <c r="B3061">
        <f>IFERROR(VLOOKUP(A3061,Cadastro_Produtos!A:B,2,FALSE),"")</f>
        <v/>
      </c>
      <c r="D3061" s="12" t="n"/>
      <c r="E3061" s="13">
        <f>IF(D3061="","",D3061-TODAY())</f>
        <v/>
      </c>
      <c r="F3061">
        <f>IF(D3061="","",IF(E3061&lt;0,"VENCIDO",IF(E3061&lt;=30,"VENCE EM &lt;= 30 DIAS",IF(E3061&lt;=60,"ATENCAO (31-60 DIAS)","OK"))))</f>
        <v/>
      </c>
      <c r="G3061" s="13">
        <f>SUMIFS(Movimentacoes!$G:$G,Movimentacoes!$C:$C,$A3061,Movimentacoes!$E:$E,$C3061,Movimentacoes!$B:$B,"ENTRADA")</f>
        <v/>
      </c>
      <c r="H3061" s="13">
        <f>SUMIFS(Movimentacoes!$G:$G,Movimentacoes!$C:$C,$A3061,Movimentacoes!$E:$E,$C3061,Movimentacoes!$B:$B,"SAIDA_USO")</f>
        <v/>
      </c>
      <c r="I3061" s="13">
        <f>SUMIFS(Movimentacoes!$G:$G,Movimentacoes!$C:$C,$A3061,Movimentacoes!$E:$E,$C3061,Movimentacoes!$B:$B,"SAIDA_DESCARTE")</f>
        <v/>
      </c>
      <c r="J3061" s="13">
        <f>G3061-H3061-I3061</f>
        <v/>
      </c>
      <c r="K3061">
        <f>IF(A3061="","",IF(J3061&lt;=IFERROR(VLOOKUP(A3061,Cadastro_Produtos!$A:$E,5,FALSE),0),"ABAIXO DO MINIMO","OK"))</f>
        <v/>
      </c>
    </row>
    <row r="3062">
      <c r="B3062">
        <f>IFERROR(VLOOKUP(A3062,Cadastro_Produtos!A:B,2,FALSE),"")</f>
        <v/>
      </c>
      <c r="D3062" s="12" t="n"/>
      <c r="E3062" s="13">
        <f>IF(D3062="","",D3062-TODAY())</f>
        <v/>
      </c>
      <c r="F3062">
        <f>IF(D3062="","",IF(E3062&lt;0,"VENCIDO",IF(E3062&lt;=30,"VENCE EM &lt;= 30 DIAS",IF(E3062&lt;=60,"ATENCAO (31-60 DIAS)","OK"))))</f>
        <v/>
      </c>
      <c r="G3062" s="13">
        <f>SUMIFS(Movimentacoes!$G:$G,Movimentacoes!$C:$C,$A3062,Movimentacoes!$E:$E,$C3062,Movimentacoes!$B:$B,"ENTRADA")</f>
        <v/>
      </c>
      <c r="H3062" s="13">
        <f>SUMIFS(Movimentacoes!$G:$G,Movimentacoes!$C:$C,$A3062,Movimentacoes!$E:$E,$C3062,Movimentacoes!$B:$B,"SAIDA_USO")</f>
        <v/>
      </c>
      <c r="I3062" s="13">
        <f>SUMIFS(Movimentacoes!$G:$G,Movimentacoes!$C:$C,$A3062,Movimentacoes!$E:$E,$C3062,Movimentacoes!$B:$B,"SAIDA_DESCARTE")</f>
        <v/>
      </c>
      <c r="J3062" s="13">
        <f>G3062-H3062-I3062</f>
        <v/>
      </c>
      <c r="K3062">
        <f>IF(A3062="","",IF(J3062&lt;=IFERROR(VLOOKUP(A3062,Cadastro_Produtos!$A:$E,5,FALSE),0),"ABAIXO DO MINIMO","OK"))</f>
        <v/>
      </c>
    </row>
    <row r="3063">
      <c r="B3063">
        <f>IFERROR(VLOOKUP(A3063,Cadastro_Produtos!A:B,2,FALSE),"")</f>
        <v/>
      </c>
      <c r="D3063" s="12" t="n"/>
      <c r="E3063" s="13">
        <f>IF(D3063="","",D3063-TODAY())</f>
        <v/>
      </c>
      <c r="F3063">
        <f>IF(D3063="","",IF(E3063&lt;0,"VENCIDO",IF(E3063&lt;=30,"VENCE EM &lt;= 30 DIAS",IF(E3063&lt;=60,"ATENCAO (31-60 DIAS)","OK"))))</f>
        <v/>
      </c>
      <c r="G3063" s="13">
        <f>SUMIFS(Movimentacoes!$G:$G,Movimentacoes!$C:$C,$A3063,Movimentacoes!$E:$E,$C3063,Movimentacoes!$B:$B,"ENTRADA")</f>
        <v/>
      </c>
      <c r="H3063" s="13">
        <f>SUMIFS(Movimentacoes!$G:$G,Movimentacoes!$C:$C,$A3063,Movimentacoes!$E:$E,$C3063,Movimentacoes!$B:$B,"SAIDA_USO")</f>
        <v/>
      </c>
      <c r="I3063" s="13">
        <f>SUMIFS(Movimentacoes!$G:$G,Movimentacoes!$C:$C,$A3063,Movimentacoes!$E:$E,$C3063,Movimentacoes!$B:$B,"SAIDA_DESCARTE")</f>
        <v/>
      </c>
      <c r="J3063" s="13">
        <f>G3063-H3063-I3063</f>
        <v/>
      </c>
      <c r="K3063">
        <f>IF(A3063="","",IF(J3063&lt;=IFERROR(VLOOKUP(A3063,Cadastro_Produtos!$A:$E,5,FALSE),0),"ABAIXO DO MINIMO","OK"))</f>
        <v/>
      </c>
    </row>
    <row r="3064">
      <c r="B3064">
        <f>IFERROR(VLOOKUP(A3064,Cadastro_Produtos!A:B,2,FALSE),"")</f>
        <v/>
      </c>
      <c r="D3064" s="12" t="n"/>
      <c r="E3064" s="13">
        <f>IF(D3064="","",D3064-TODAY())</f>
        <v/>
      </c>
      <c r="F3064">
        <f>IF(D3064="","",IF(E3064&lt;0,"VENCIDO",IF(E3064&lt;=30,"VENCE EM &lt;= 30 DIAS",IF(E3064&lt;=60,"ATENCAO (31-60 DIAS)","OK"))))</f>
        <v/>
      </c>
      <c r="G3064" s="13">
        <f>SUMIFS(Movimentacoes!$G:$G,Movimentacoes!$C:$C,$A3064,Movimentacoes!$E:$E,$C3064,Movimentacoes!$B:$B,"ENTRADA")</f>
        <v/>
      </c>
      <c r="H3064" s="13">
        <f>SUMIFS(Movimentacoes!$G:$G,Movimentacoes!$C:$C,$A3064,Movimentacoes!$E:$E,$C3064,Movimentacoes!$B:$B,"SAIDA_USO")</f>
        <v/>
      </c>
      <c r="I3064" s="13">
        <f>SUMIFS(Movimentacoes!$G:$G,Movimentacoes!$C:$C,$A3064,Movimentacoes!$E:$E,$C3064,Movimentacoes!$B:$B,"SAIDA_DESCARTE")</f>
        <v/>
      </c>
      <c r="J3064" s="13">
        <f>G3064-H3064-I3064</f>
        <v/>
      </c>
      <c r="K3064">
        <f>IF(A3064="","",IF(J3064&lt;=IFERROR(VLOOKUP(A3064,Cadastro_Produtos!$A:$E,5,FALSE),0),"ABAIXO DO MINIMO","OK"))</f>
        <v/>
      </c>
    </row>
    <row r="3065">
      <c r="B3065">
        <f>IFERROR(VLOOKUP(A3065,Cadastro_Produtos!A:B,2,FALSE),"")</f>
        <v/>
      </c>
      <c r="D3065" s="12" t="n"/>
      <c r="E3065" s="13">
        <f>IF(D3065="","",D3065-TODAY())</f>
        <v/>
      </c>
      <c r="F3065">
        <f>IF(D3065="","",IF(E3065&lt;0,"VENCIDO",IF(E3065&lt;=30,"VENCE EM &lt;= 30 DIAS",IF(E3065&lt;=60,"ATENCAO (31-60 DIAS)","OK"))))</f>
        <v/>
      </c>
      <c r="G3065" s="13">
        <f>SUMIFS(Movimentacoes!$G:$G,Movimentacoes!$C:$C,$A3065,Movimentacoes!$E:$E,$C3065,Movimentacoes!$B:$B,"ENTRADA")</f>
        <v/>
      </c>
      <c r="H3065" s="13">
        <f>SUMIFS(Movimentacoes!$G:$G,Movimentacoes!$C:$C,$A3065,Movimentacoes!$E:$E,$C3065,Movimentacoes!$B:$B,"SAIDA_USO")</f>
        <v/>
      </c>
      <c r="I3065" s="13">
        <f>SUMIFS(Movimentacoes!$G:$G,Movimentacoes!$C:$C,$A3065,Movimentacoes!$E:$E,$C3065,Movimentacoes!$B:$B,"SAIDA_DESCARTE")</f>
        <v/>
      </c>
      <c r="J3065" s="13">
        <f>G3065-H3065-I3065</f>
        <v/>
      </c>
      <c r="K3065">
        <f>IF(A3065="","",IF(J3065&lt;=IFERROR(VLOOKUP(A3065,Cadastro_Produtos!$A:$E,5,FALSE),0),"ABAIXO DO MINIMO","OK"))</f>
        <v/>
      </c>
    </row>
    <row r="3066">
      <c r="B3066">
        <f>IFERROR(VLOOKUP(A3066,Cadastro_Produtos!A:B,2,FALSE),"")</f>
        <v/>
      </c>
      <c r="D3066" s="12" t="n"/>
      <c r="E3066" s="13">
        <f>IF(D3066="","",D3066-TODAY())</f>
        <v/>
      </c>
      <c r="F3066">
        <f>IF(D3066="","",IF(E3066&lt;0,"VENCIDO",IF(E3066&lt;=30,"VENCE EM &lt;= 30 DIAS",IF(E3066&lt;=60,"ATENCAO (31-60 DIAS)","OK"))))</f>
        <v/>
      </c>
      <c r="G3066" s="13">
        <f>SUMIFS(Movimentacoes!$G:$G,Movimentacoes!$C:$C,$A3066,Movimentacoes!$E:$E,$C3066,Movimentacoes!$B:$B,"ENTRADA")</f>
        <v/>
      </c>
      <c r="H3066" s="13">
        <f>SUMIFS(Movimentacoes!$G:$G,Movimentacoes!$C:$C,$A3066,Movimentacoes!$E:$E,$C3066,Movimentacoes!$B:$B,"SAIDA_USO")</f>
        <v/>
      </c>
      <c r="I3066" s="13">
        <f>SUMIFS(Movimentacoes!$G:$G,Movimentacoes!$C:$C,$A3066,Movimentacoes!$E:$E,$C3066,Movimentacoes!$B:$B,"SAIDA_DESCARTE")</f>
        <v/>
      </c>
      <c r="J3066" s="13">
        <f>G3066-H3066-I3066</f>
        <v/>
      </c>
      <c r="K3066">
        <f>IF(A3066="","",IF(J3066&lt;=IFERROR(VLOOKUP(A3066,Cadastro_Produtos!$A:$E,5,FALSE),0),"ABAIXO DO MINIMO","OK"))</f>
        <v/>
      </c>
    </row>
    <row r="3067">
      <c r="B3067">
        <f>IFERROR(VLOOKUP(A3067,Cadastro_Produtos!A:B,2,FALSE),"")</f>
        <v/>
      </c>
      <c r="D3067" s="12" t="n"/>
      <c r="E3067" s="13">
        <f>IF(D3067="","",D3067-TODAY())</f>
        <v/>
      </c>
      <c r="F3067">
        <f>IF(D3067="","",IF(E3067&lt;0,"VENCIDO",IF(E3067&lt;=30,"VENCE EM &lt;= 30 DIAS",IF(E3067&lt;=60,"ATENCAO (31-60 DIAS)","OK"))))</f>
        <v/>
      </c>
      <c r="G3067" s="13">
        <f>SUMIFS(Movimentacoes!$G:$G,Movimentacoes!$C:$C,$A3067,Movimentacoes!$E:$E,$C3067,Movimentacoes!$B:$B,"ENTRADA")</f>
        <v/>
      </c>
      <c r="H3067" s="13">
        <f>SUMIFS(Movimentacoes!$G:$G,Movimentacoes!$C:$C,$A3067,Movimentacoes!$E:$E,$C3067,Movimentacoes!$B:$B,"SAIDA_USO")</f>
        <v/>
      </c>
      <c r="I3067" s="13">
        <f>SUMIFS(Movimentacoes!$G:$G,Movimentacoes!$C:$C,$A3067,Movimentacoes!$E:$E,$C3067,Movimentacoes!$B:$B,"SAIDA_DESCARTE")</f>
        <v/>
      </c>
      <c r="J3067" s="13">
        <f>G3067-H3067-I3067</f>
        <v/>
      </c>
      <c r="K3067">
        <f>IF(A3067="","",IF(J3067&lt;=IFERROR(VLOOKUP(A3067,Cadastro_Produtos!$A:$E,5,FALSE),0),"ABAIXO DO MINIMO","OK"))</f>
        <v/>
      </c>
    </row>
    <row r="3068">
      <c r="B3068">
        <f>IFERROR(VLOOKUP(A3068,Cadastro_Produtos!A:B,2,FALSE),"")</f>
        <v/>
      </c>
      <c r="D3068" s="12" t="n"/>
      <c r="E3068" s="13">
        <f>IF(D3068="","",D3068-TODAY())</f>
        <v/>
      </c>
      <c r="F3068">
        <f>IF(D3068="","",IF(E3068&lt;0,"VENCIDO",IF(E3068&lt;=30,"VENCE EM &lt;= 30 DIAS",IF(E3068&lt;=60,"ATENCAO (31-60 DIAS)","OK"))))</f>
        <v/>
      </c>
      <c r="G3068" s="13">
        <f>SUMIFS(Movimentacoes!$G:$G,Movimentacoes!$C:$C,$A3068,Movimentacoes!$E:$E,$C3068,Movimentacoes!$B:$B,"ENTRADA")</f>
        <v/>
      </c>
      <c r="H3068" s="13">
        <f>SUMIFS(Movimentacoes!$G:$G,Movimentacoes!$C:$C,$A3068,Movimentacoes!$E:$E,$C3068,Movimentacoes!$B:$B,"SAIDA_USO")</f>
        <v/>
      </c>
      <c r="I3068" s="13">
        <f>SUMIFS(Movimentacoes!$G:$G,Movimentacoes!$C:$C,$A3068,Movimentacoes!$E:$E,$C3068,Movimentacoes!$B:$B,"SAIDA_DESCARTE")</f>
        <v/>
      </c>
      <c r="J3068" s="13">
        <f>G3068-H3068-I3068</f>
        <v/>
      </c>
      <c r="K3068">
        <f>IF(A3068="","",IF(J3068&lt;=IFERROR(VLOOKUP(A3068,Cadastro_Produtos!$A:$E,5,FALSE),0),"ABAIXO DO MINIMO","OK"))</f>
        <v/>
      </c>
    </row>
    <row r="3069">
      <c r="B3069">
        <f>IFERROR(VLOOKUP(A3069,Cadastro_Produtos!A:B,2,FALSE),"")</f>
        <v/>
      </c>
      <c r="D3069" s="12" t="n"/>
      <c r="E3069" s="13">
        <f>IF(D3069="","",D3069-TODAY())</f>
        <v/>
      </c>
      <c r="F3069">
        <f>IF(D3069="","",IF(E3069&lt;0,"VENCIDO",IF(E3069&lt;=30,"VENCE EM &lt;= 30 DIAS",IF(E3069&lt;=60,"ATENCAO (31-60 DIAS)","OK"))))</f>
        <v/>
      </c>
      <c r="G3069" s="13">
        <f>SUMIFS(Movimentacoes!$G:$G,Movimentacoes!$C:$C,$A3069,Movimentacoes!$E:$E,$C3069,Movimentacoes!$B:$B,"ENTRADA")</f>
        <v/>
      </c>
      <c r="H3069" s="13">
        <f>SUMIFS(Movimentacoes!$G:$G,Movimentacoes!$C:$C,$A3069,Movimentacoes!$E:$E,$C3069,Movimentacoes!$B:$B,"SAIDA_USO")</f>
        <v/>
      </c>
      <c r="I3069" s="13">
        <f>SUMIFS(Movimentacoes!$G:$G,Movimentacoes!$C:$C,$A3069,Movimentacoes!$E:$E,$C3069,Movimentacoes!$B:$B,"SAIDA_DESCARTE")</f>
        <v/>
      </c>
      <c r="J3069" s="13">
        <f>G3069-H3069-I3069</f>
        <v/>
      </c>
      <c r="K3069">
        <f>IF(A3069="","",IF(J3069&lt;=IFERROR(VLOOKUP(A3069,Cadastro_Produtos!$A:$E,5,FALSE),0),"ABAIXO DO MINIMO","OK"))</f>
        <v/>
      </c>
    </row>
    <row r="3070">
      <c r="B3070">
        <f>IFERROR(VLOOKUP(A3070,Cadastro_Produtos!A:B,2,FALSE),"")</f>
        <v/>
      </c>
      <c r="D3070" s="12" t="n"/>
      <c r="E3070" s="13">
        <f>IF(D3070="","",D3070-TODAY())</f>
        <v/>
      </c>
      <c r="F3070">
        <f>IF(D3070="","",IF(E3070&lt;0,"VENCIDO",IF(E3070&lt;=30,"VENCE EM &lt;= 30 DIAS",IF(E3070&lt;=60,"ATENCAO (31-60 DIAS)","OK"))))</f>
        <v/>
      </c>
      <c r="G3070" s="13">
        <f>SUMIFS(Movimentacoes!$G:$G,Movimentacoes!$C:$C,$A3070,Movimentacoes!$E:$E,$C3070,Movimentacoes!$B:$B,"ENTRADA")</f>
        <v/>
      </c>
      <c r="H3070" s="13">
        <f>SUMIFS(Movimentacoes!$G:$G,Movimentacoes!$C:$C,$A3070,Movimentacoes!$E:$E,$C3070,Movimentacoes!$B:$B,"SAIDA_USO")</f>
        <v/>
      </c>
      <c r="I3070" s="13">
        <f>SUMIFS(Movimentacoes!$G:$G,Movimentacoes!$C:$C,$A3070,Movimentacoes!$E:$E,$C3070,Movimentacoes!$B:$B,"SAIDA_DESCARTE")</f>
        <v/>
      </c>
      <c r="J3070" s="13">
        <f>G3070-H3070-I3070</f>
        <v/>
      </c>
      <c r="K3070">
        <f>IF(A3070="","",IF(J3070&lt;=IFERROR(VLOOKUP(A3070,Cadastro_Produtos!$A:$E,5,FALSE),0),"ABAIXO DO MINIMO","OK"))</f>
        <v/>
      </c>
    </row>
    <row r="3071">
      <c r="B3071">
        <f>IFERROR(VLOOKUP(A3071,Cadastro_Produtos!A:B,2,FALSE),"")</f>
        <v/>
      </c>
      <c r="D3071" s="12" t="n"/>
      <c r="E3071" s="13">
        <f>IF(D3071="","",D3071-TODAY())</f>
        <v/>
      </c>
      <c r="F3071">
        <f>IF(D3071="","",IF(E3071&lt;0,"VENCIDO",IF(E3071&lt;=30,"VENCE EM &lt;= 30 DIAS",IF(E3071&lt;=60,"ATENCAO (31-60 DIAS)","OK"))))</f>
        <v/>
      </c>
      <c r="G3071" s="13">
        <f>SUMIFS(Movimentacoes!$G:$G,Movimentacoes!$C:$C,$A3071,Movimentacoes!$E:$E,$C3071,Movimentacoes!$B:$B,"ENTRADA")</f>
        <v/>
      </c>
      <c r="H3071" s="13">
        <f>SUMIFS(Movimentacoes!$G:$G,Movimentacoes!$C:$C,$A3071,Movimentacoes!$E:$E,$C3071,Movimentacoes!$B:$B,"SAIDA_USO")</f>
        <v/>
      </c>
      <c r="I3071" s="13">
        <f>SUMIFS(Movimentacoes!$G:$G,Movimentacoes!$C:$C,$A3071,Movimentacoes!$E:$E,$C3071,Movimentacoes!$B:$B,"SAIDA_DESCARTE")</f>
        <v/>
      </c>
      <c r="J3071" s="13">
        <f>G3071-H3071-I3071</f>
        <v/>
      </c>
      <c r="K3071">
        <f>IF(A3071="","",IF(J3071&lt;=IFERROR(VLOOKUP(A3071,Cadastro_Produtos!$A:$E,5,FALSE),0),"ABAIXO DO MINIMO","OK"))</f>
        <v/>
      </c>
    </row>
    <row r="3072">
      <c r="B3072">
        <f>IFERROR(VLOOKUP(A3072,Cadastro_Produtos!A:B,2,FALSE),"")</f>
        <v/>
      </c>
      <c r="D3072" s="12" t="n"/>
      <c r="E3072" s="13">
        <f>IF(D3072="","",D3072-TODAY())</f>
        <v/>
      </c>
      <c r="F3072">
        <f>IF(D3072="","",IF(E3072&lt;0,"VENCIDO",IF(E3072&lt;=30,"VENCE EM &lt;= 30 DIAS",IF(E3072&lt;=60,"ATENCAO (31-60 DIAS)","OK"))))</f>
        <v/>
      </c>
      <c r="G3072" s="13">
        <f>SUMIFS(Movimentacoes!$G:$G,Movimentacoes!$C:$C,$A3072,Movimentacoes!$E:$E,$C3072,Movimentacoes!$B:$B,"ENTRADA")</f>
        <v/>
      </c>
      <c r="H3072" s="13">
        <f>SUMIFS(Movimentacoes!$G:$G,Movimentacoes!$C:$C,$A3072,Movimentacoes!$E:$E,$C3072,Movimentacoes!$B:$B,"SAIDA_USO")</f>
        <v/>
      </c>
      <c r="I3072" s="13">
        <f>SUMIFS(Movimentacoes!$G:$G,Movimentacoes!$C:$C,$A3072,Movimentacoes!$E:$E,$C3072,Movimentacoes!$B:$B,"SAIDA_DESCARTE")</f>
        <v/>
      </c>
      <c r="J3072" s="13">
        <f>G3072-H3072-I3072</f>
        <v/>
      </c>
      <c r="K3072">
        <f>IF(A3072="","",IF(J3072&lt;=IFERROR(VLOOKUP(A3072,Cadastro_Produtos!$A:$E,5,FALSE),0),"ABAIXO DO MINIMO","OK"))</f>
        <v/>
      </c>
    </row>
    <row r="3073">
      <c r="B3073">
        <f>IFERROR(VLOOKUP(A3073,Cadastro_Produtos!A:B,2,FALSE),"")</f>
        <v/>
      </c>
      <c r="D3073" s="12" t="n"/>
      <c r="E3073" s="13">
        <f>IF(D3073="","",D3073-TODAY())</f>
        <v/>
      </c>
      <c r="F3073">
        <f>IF(D3073="","",IF(E3073&lt;0,"VENCIDO",IF(E3073&lt;=30,"VENCE EM &lt;= 30 DIAS",IF(E3073&lt;=60,"ATENCAO (31-60 DIAS)","OK"))))</f>
        <v/>
      </c>
      <c r="G3073" s="13">
        <f>SUMIFS(Movimentacoes!$G:$G,Movimentacoes!$C:$C,$A3073,Movimentacoes!$E:$E,$C3073,Movimentacoes!$B:$B,"ENTRADA")</f>
        <v/>
      </c>
      <c r="H3073" s="13">
        <f>SUMIFS(Movimentacoes!$G:$G,Movimentacoes!$C:$C,$A3073,Movimentacoes!$E:$E,$C3073,Movimentacoes!$B:$B,"SAIDA_USO")</f>
        <v/>
      </c>
      <c r="I3073" s="13">
        <f>SUMIFS(Movimentacoes!$G:$G,Movimentacoes!$C:$C,$A3073,Movimentacoes!$E:$E,$C3073,Movimentacoes!$B:$B,"SAIDA_DESCARTE")</f>
        <v/>
      </c>
      <c r="J3073" s="13">
        <f>G3073-H3073-I3073</f>
        <v/>
      </c>
      <c r="K3073">
        <f>IF(A3073="","",IF(J3073&lt;=IFERROR(VLOOKUP(A3073,Cadastro_Produtos!$A:$E,5,FALSE),0),"ABAIXO DO MINIMO","OK"))</f>
        <v/>
      </c>
    </row>
    <row r="3074">
      <c r="B3074">
        <f>IFERROR(VLOOKUP(A3074,Cadastro_Produtos!A:B,2,FALSE),"")</f>
        <v/>
      </c>
      <c r="D3074" s="12" t="n"/>
      <c r="E3074" s="13">
        <f>IF(D3074="","",D3074-TODAY())</f>
        <v/>
      </c>
      <c r="F3074">
        <f>IF(D3074="","",IF(E3074&lt;0,"VENCIDO",IF(E3074&lt;=30,"VENCE EM &lt;= 30 DIAS",IF(E3074&lt;=60,"ATENCAO (31-60 DIAS)","OK"))))</f>
        <v/>
      </c>
      <c r="G3074" s="13">
        <f>SUMIFS(Movimentacoes!$G:$G,Movimentacoes!$C:$C,$A3074,Movimentacoes!$E:$E,$C3074,Movimentacoes!$B:$B,"ENTRADA")</f>
        <v/>
      </c>
      <c r="H3074" s="13">
        <f>SUMIFS(Movimentacoes!$G:$G,Movimentacoes!$C:$C,$A3074,Movimentacoes!$E:$E,$C3074,Movimentacoes!$B:$B,"SAIDA_USO")</f>
        <v/>
      </c>
      <c r="I3074" s="13">
        <f>SUMIFS(Movimentacoes!$G:$G,Movimentacoes!$C:$C,$A3074,Movimentacoes!$E:$E,$C3074,Movimentacoes!$B:$B,"SAIDA_DESCARTE")</f>
        <v/>
      </c>
      <c r="J3074" s="13">
        <f>G3074-H3074-I3074</f>
        <v/>
      </c>
      <c r="K3074">
        <f>IF(A3074="","",IF(J3074&lt;=IFERROR(VLOOKUP(A3074,Cadastro_Produtos!$A:$E,5,FALSE),0),"ABAIXO DO MINIMO","OK"))</f>
        <v/>
      </c>
    </row>
    <row r="3075">
      <c r="B3075">
        <f>IFERROR(VLOOKUP(A3075,Cadastro_Produtos!A:B,2,FALSE),"")</f>
        <v/>
      </c>
      <c r="D3075" s="12" t="n"/>
      <c r="E3075" s="13">
        <f>IF(D3075="","",D3075-TODAY())</f>
        <v/>
      </c>
      <c r="F3075">
        <f>IF(D3075="","",IF(E3075&lt;0,"VENCIDO",IF(E3075&lt;=30,"VENCE EM &lt;= 30 DIAS",IF(E3075&lt;=60,"ATENCAO (31-60 DIAS)","OK"))))</f>
        <v/>
      </c>
      <c r="G3075" s="13">
        <f>SUMIFS(Movimentacoes!$G:$G,Movimentacoes!$C:$C,$A3075,Movimentacoes!$E:$E,$C3075,Movimentacoes!$B:$B,"ENTRADA")</f>
        <v/>
      </c>
      <c r="H3075" s="13">
        <f>SUMIFS(Movimentacoes!$G:$G,Movimentacoes!$C:$C,$A3075,Movimentacoes!$E:$E,$C3075,Movimentacoes!$B:$B,"SAIDA_USO")</f>
        <v/>
      </c>
      <c r="I3075" s="13">
        <f>SUMIFS(Movimentacoes!$G:$G,Movimentacoes!$C:$C,$A3075,Movimentacoes!$E:$E,$C3075,Movimentacoes!$B:$B,"SAIDA_DESCARTE")</f>
        <v/>
      </c>
      <c r="J3075" s="13">
        <f>G3075-H3075-I3075</f>
        <v/>
      </c>
      <c r="K3075">
        <f>IF(A3075="","",IF(J3075&lt;=IFERROR(VLOOKUP(A3075,Cadastro_Produtos!$A:$E,5,FALSE),0),"ABAIXO DO MINIMO","OK"))</f>
        <v/>
      </c>
    </row>
    <row r="3076">
      <c r="B3076">
        <f>IFERROR(VLOOKUP(A3076,Cadastro_Produtos!A:B,2,FALSE),"")</f>
        <v/>
      </c>
      <c r="D3076" s="12" t="n"/>
      <c r="E3076" s="13">
        <f>IF(D3076="","",D3076-TODAY())</f>
        <v/>
      </c>
      <c r="F3076">
        <f>IF(D3076="","",IF(E3076&lt;0,"VENCIDO",IF(E3076&lt;=30,"VENCE EM &lt;= 30 DIAS",IF(E3076&lt;=60,"ATENCAO (31-60 DIAS)","OK"))))</f>
        <v/>
      </c>
      <c r="G3076" s="13">
        <f>SUMIFS(Movimentacoes!$G:$G,Movimentacoes!$C:$C,$A3076,Movimentacoes!$E:$E,$C3076,Movimentacoes!$B:$B,"ENTRADA")</f>
        <v/>
      </c>
      <c r="H3076" s="13">
        <f>SUMIFS(Movimentacoes!$G:$G,Movimentacoes!$C:$C,$A3076,Movimentacoes!$E:$E,$C3076,Movimentacoes!$B:$B,"SAIDA_USO")</f>
        <v/>
      </c>
      <c r="I3076" s="13">
        <f>SUMIFS(Movimentacoes!$G:$G,Movimentacoes!$C:$C,$A3076,Movimentacoes!$E:$E,$C3076,Movimentacoes!$B:$B,"SAIDA_DESCARTE")</f>
        <v/>
      </c>
      <c r="J3076" s="13">
        <f>G3076-H3076-I3076</f>
        <v/>
      </c>
      <c r="K3076">
        <f>IF(A3076="","",IF(J3076&lt;=IFERROR(VLOOKUP(A3076,Cadastro_Produtos!$A:$E,5,FALSE),0),"ABAIXO DO MINIMO","OK"))</f>
        <v/>
      </c>
    </row>
    <row r="3077">
      <c r="B3077">
        <f>IFERROR(VLOOKUP(A3077,Cadastro_Produtos!A:B,2,FALSE),"")</f>
        <v/>
      </c>
      <c r="D3077" s="12" t="n"/>
      <c r="E3077" s="13">
        <f>IF(D3077="","",D3077-TODAY())</f>
        <v/>
      </c>
      <c r="F3077">
        <f>IF(D3077="","",IF(E3077&lt;0,"VENCIDO",IF(E3077&lt;=30,"VENCE EM &lt;= 30 DIAS",IF(E3077&lt;=60,"ATENCAO (31-60 DIAS)","OK"))))</f>
        <v/>
      </c>
      <c r="G3077" s="13">
        <f>SUMIFS(Movimentacoes!$G:$G,Movimentacoes!$C:$C,$A3077,Movimentacoes!$E:$E,$C3077,Movimentacoes!$B:$B,"ENTRADA")</f>
        <v/>
      </c>
      <c r="H3077" s="13">
        <f>SUMIFS(Movimentacoes!$G:$G,Movimentacoes!$C:$C,$A3077,Movimentacoes!$E:$E,$C3077,Movimentacoes!$B:$B,"SAIDA_USO")</f>
        <v/>
      </c>
      <c r="I3077" s="13">
        <f>SUMIFS(Movimentacoes!$G:$G,Movimentacoes!$C:$C,$A3077,Movimentacoes!$E:$E,$C3077,Movimentacoes!$B:$B,"SAIDA_DESCARTE")</f>
        <v/>
      </c>
      <c r="J3077" s="13">
        <f>G3077-H3077-I3077</f>
        <v/>
      </c>
      <c r="K3077">
        <f>IF(A3077="","",IF(J3077&lt;=IFERROR(VLOOKUP(A3077,Cadastro_Produtos!$A:$E,5,FALSE),0),"ABAIXO DO MINIMO","OK"))</f>
        <v/>
      </c>
    </row>
    <row r="3078">
      <c r="B3078">
        <f>IFERROR(VLOOKUP(A3078,Cadastro_Produtos!A:B,2,FALSE),"")</f>
        <v/>
      </c>
      <c r="D3078" s="12" t="n"/>
      <c r="E3078" s="13">
        <f>IF(D3078="","",D3078-TODAY())</f>
        <v/>
      </c>
      <c r="F3078">
        <f>IF(D3078="","",IF(E3078&lt;0,"VENCIDO",IF(E3078&lt;=30,"VENCE EM &lt;= 30 DIAS",IF(E3078&lt;=60,"ATENCAO (31-60 DIAS)","OK"))))</f>
        <v/>
      </c>
      <c r="G3078" s="13">
        <f>SUMIFS(Movimentacoes!$G:$G,Movimentacoes!$C:$C,$A3078,Movimentacoes!$E:$E,$C3078,Movimentacoes!$B:$B,"ENTRADA")</f>
        <v/>
      </c>
      <c r="H3078" s="13">
        <f>SUMIFS(Movimentacoes!$G:$G,Movimentacoes!$C:$C,$A3078,Movimentacoes!$E:$E,$C3078,Movimentacoes!$B:$B,"SAIDA_USO")</f>
        <v/>
      </c>
      <c r="I3078" s="13">
        <f>SUMIFS(Movimentacoes!$G:$G,Movimentacoes!$C:$C,$A3078,Movimentacoes!$E:$E,$C3078,Movimentacoes!$B:$B,"SAIDA_DESCARTE")</f>
        <v/>
      </c>
      <c r="J3078" s="13">
        <f>G3078-H3078-I3078</f>
        <v/>
      </c>
      <c r="K3078">
        <f>IF(A3078="","",IF(J3078&lt;=IFERROR(VLOOKUP(A3078,Cadastro_Produtos!$A:$E,5,FALSE),0),"ABAIXO DO MINIMO","OK"))</f>
        <v/>
      </c>
    </row>
    <row r="3079">
      <c r="B3079">
        <f>IFERROR(VLOOKUP(A3079,Cadastro_Produtos!A:B,2,FALSE),"")</f>
        <v/>
      </c>
      <c r="D3079" s="12" t="n"/>
      <c r="E3079" s="13">
        <f>IF(D3079="","",D3079-TODAY())</f>
        <v/>
      </c>
      <c r="F3079">
        <f>IF(D3079="","",IF(E3079&lt;0,"VENCIDO",IF(E3079&lt;=30,"VENCE EM &lt;= 30 DIAS",IF(E3079&lt;=60,"ATENCAO (31-60 DIAS)","OK"))))</f>
        <v/>
      </c>
      <c r="G3079" s="13">
        <f>SUMIFS(Movimentacoes!$G:$G,Movimentacoes!$C:$C,$A3079,Movimentacoes!$E:$E,$C3079,Movimentacoes!$B:$B,"ENTRADA")</f>
        <v/>
      </c>
      <c r="H3079" s="13">
        <f>SUMIFS(Movimentacoes!$G:$G,Movimentacoes!$C:$C,$A3079,Movimentacoes!$E:$E,$C3079,Movimentacoes!$B:$B,"SAIDA_USO")</f>
        <v/>
      </c>
      <c r="I3079" s="13">
        <f>SUMIFS(Movimentacoes!$G:$G,Movimentacoes!$C:$C,$A3079,Movimentacoes!$E:$E,$C3079,Movimentacoes!$B:$B,"SAIDA_DESCARTE")</f>
        <v/>
      </c>
      <c r="J3079" s="13">
        <f>G3079-H3079-I3079</f>
        <v/>
      </c>
      <c r="K3079">
        <f>IF(A3079="","",IF(J3079&lt;=IFERROR(VLOOKUP(A3079,Cadastro_Produtos!$A:$E,5,FALSE),0),"ABAIXO DO MINIMO","OK"))</f>
        <v/>
      </c>
    </row>
    <row r="3080">
      <c r="B3080">
        <f>IFERROR(VLOOKUP(A3080,Cadastro_Produtos!A:B,2,FALSE),"")</f>
        <v/>
      </c>
      <c r="D3080" s="12" t="n"/>
      <c r="E3080" s="13">
        <f>IF(D3080="","",D3080-TODAY())</f>
        <v/>
      </c>
      <c r="F3080">
        <f>IF(D3080="","",IF(E3080&lt;0,"VENCIDO",IF(E3080&lt;=30,"VENCE EM &lt;= 30 DIAS",IF(E3080&lt;=60,"ATENCAO (31-60 DIAS)","OK"))))</f>
        <v/>
      </c>
      <c r="G3080" s="13">
        <f>SUMIFS(Movimentacoes!$G:$G,Movimentacoes!$C:$C,$A3080,Movimentacoes!$E:$E,$C3080,Movimentacoes!$B:$B,"ENTRADA")</f>
        <v/>
      </c>
      <c r="H3080" s="13">
        <f>SUMIFS(Movimentacoes!$G:$G,Movimentacoes!$C:$C,$A3080,Movimentacoes!$E:$E,$C3080,Movimentacoes!$B:$B,"SAIDA_USO")</f>
        <v/>
      </c>
      <c r="I3080" s="13">
        <f>SUMIFS(Movimentacoes!$G:$G,Movimentacoes!$C:$C,$A3080,Movimentacoes!$E:$E,$C3080,Movimentacoes!$B:$B,"SAIDA_DESCARTE")</f>
        <v/>
      </c>
      <c r="J3080" s="13">
        <f>G3080-H3080-I3080</f>
        <v/>
      </c>
      <c r="K3080">
        <f>IF(A3080="","",IF(J3080&lt;=IFERROR(VLOOKUP(A3080,Cadastro_Produtos!$A:$E,5,FALSE),0),"ABAIXO DO MINIMO","OK"))</f>
        <v/>
      </c>
    </row>
    <row r="3081">
      <c r="B3081">
        <f>IFERROR(VLOOKUP(A3081,Cadastro_Produtos!A:B,2,FALSE),"")</f>
        <v/>
      </c>
      <c r="D3081" s="12" t="n"/>
      <c r="E3081" s="13">
        <f>IF(D3081="","",D3081-TODAY())</f>
        <v/>
      </c>
      <c r="F3081">
        <f>IF(D3081="","",IF(E3081&lt;0,"VENCIDO",IF(E3081&lt;=30,"VENCE EM &lt;= 30 DIAS",IF(E3081&lt;=60,"ATENCAO (31-60 DIAS)","OK"))))</f>
        <v/>
      </c>
      <c r="G3081" s="13">
        <f>SUMIFS(Movimentacoes!$G:$G,Movimentacoes!$C:$C,$A3081,Movimentacoes!$E:$E,$C3081,Movimentacoes!$B:$B,"ENTRADA")</f>
        <v/>
      </c>
      <c r="H3081" s="13">
        <f>SUMIFS(Movimentacoes!$G:$G,Movimentacoes!$C:$C,$A3081,Movimentacoes!$E:$E,$C3081,Movimentacoes!$B:$B,"SAIDA_USO")</f>
        <v/>
      </c>
      <c r="I3081" s="13">
        <f>SUMIFS(Movimentacoes!$G:$G,Movimentacoes!$C:$C,$A3081,Movimentacoes!$E:$E,$C3081,Movimentacoes!$B:$B,"SAIDA_DESCARTE")</f>
        <v/>
      </c>
      <c r="J3081" s="13">
        <f>G3081-H3081-I3081</f>
        <v/>
      </c>
      <c r="K3081">
        <f>IF(A3081="","",IF(J3081&lt;=IFERROR(VLOOKUP(A3081,Cadastro_Produtos!$A:$E,5,FALSE),0),"ABAIXO DO MINIMO","OK"))</f>
        <v/>
      </c>
    </row>
    <row r="3082">
      <c r="B3082">
        <f>IFERROR(VLOOKUP(A3082,Cadastro_Produtos!A:B,2,FALSE),"")</f>
        <v/>
      </c>
      <c r="D3082" s="12" t="n"/>
      <c r="E3082" s="13">
        <f>IF(D3082="","",D3082-TODAY())</f>
        <v/>
      </c>
      <c r="F3082">
        <f>IF(D3082="","",IF(E3082&lt;0,"VENCIDO",IF(E3082&lt;=30,"VENCE EM &lt;= 30 DIAS",IF(E3082&lt;=60,"ATENCAO (31-60 DIAS)","OK"))))</f>
        <v/>
      </c>
      <c r="G3082" s="13">
        <f>SUMIFS(Movimentacoes!$G:$G,Movimentacoes!$C:$C,$A3082,Movimentacoes!$E:$E,$C3082,Movimentacoes!$B:$B,"ENTRADA")</f>
        <v/>
      </c>
      <c r="H3082" s="13">
        <f>SUMIFS(Movimentacoes!$G:$G,Movimentacoes!$C:$C,$A3082,Movimentacoes!$E:$E,$C3082,Movimentacoes!$B:$B,"SAIDA_USO")</f>
        <v/>
      </c>
      <c r="I3082" s="13">
        <f>SUMIFS(Movimentacoes!$G:$G,Movimentacoes!$C:$C,$A3082,Movimentacoes!$E:$E,$C3082,Movimentacoes!$B:$B,"SAIDA_DESCARTE")</f>
        <v/>
      </c>
      <c r="J3082" s="13">
        <f>G3082-H3082-I3082</f>
        <v/>
      </c>
      <c r="K3082">
        <f>IF(A3082="","",IF(J3082&lt;=IFERROR(VLOOKUP(A3082,Cadastro_Produtos!$A:$E,5,FALSE),0),"ABAIXO DO MINIMO","OK"))</f>
        <v/>
      </c>
    </row>
    <row r="3083">
      <c r="B3083">
        <f>IFERROR(VLOOKUP(A3083,Cadastro_Produtos!A:B,2,FALSE),"")</f>
        <v/>
      </c>
      <c r="D3083" s="12" t="n"/>
      <c r="E3083" s="13">
        <f>IF(D3083="","",D3083-TODAY())</f>
        <v/>
      </c>
      <c r="F3083">
        <f>IF(D3083="","",IF(E3083&lt;0,"VENCIDO",IF(E3083&lt;=30,"VENCE EM &lt;= 30 DIAS",IF(E3083&lt;=60,"ATENCAO (31-60 DIAS)","OK"))))</f>
        <v/>
      </c>
      <c r="G3083" s="13">
        <f>SUMIFS(Movimentacoes!$G:$G,Movimentacoes!$C:$C,$A3083,Movimentacoes!$E:$E,$C3083,Movimentacoes!$B:$B,"ENTRADA")</f>
        <v/>
      </c>
      <c r="H3083" s="13">
        <f>SUMIFS(Movimentacoes!$G:$G,Movimentacoes!$C:$C,$A3083,Movimentacoes!$E:$E,$C3083,Movimentacoes!$B:$B,"SAIDA_USO")</f>
        <v/>
      </c>
      <c r="I3083" s="13">
        <f>SUMIFS(Movimentacoes!$G:$G,Movimentacoes!$C:$C,$A3083,Movimentacoes!$E:$E,$C3083,Movimentacoes!$B:$B,"SAIDA_DESCARTE")</f>
        <v/>
      </c>
      <c r="J3083" s="13">
        <f>G3083-H3083-I3083</f>
        <v/>
      </c>
      <c r="K3083">
        <f>IF(A3083="","",IF(J3083&lt;=IFERROR(VLOOKUP(A3083,Cadastro_Produtos!$A:$E,5,FALSE),0),"ABAIXO DO MINIMO","OK"))</f>
        <v/>
      </c>
    </row>
    <row r="3084">
      <c r="B3084">
        <f>IFERROR(VLOOKUP(A3084,Cadastro_Produtos!A:B,2,FALSE),"")</f>
        <v/>
      </c>
      <c r="D3084" s="12" t="n"/>
      <c r="E3084" s="13">
        <f>IF(D3084="","",D3084-TODAY())</f>
        <v/>
      </c>
      <c r="F3084">
        <f>IF(D3084="","",IF(E3084&lt;0,"VENCIDO",IF(E3084&lt;=30,"VENCE EM &lt;= 30 DIAS",IF(E3084&lt;=60,"ATENCAO (31-60 DIAS)","OK"))))</f>
        <v/>
      </c>
      <c r="G3084" s="13">
        <f>SUMIFS(Movimentacoes!$G:$G,Movimentacoes!$C:$C,$A3084,Movimentacoes!$E:$E,$C3084,Movimentacoes!$B:$B,"ENTRADA")</f>
        <v/>
      </c>
      <c r="H3084" s="13">
        <f>SUMIFS(Movimentacoes!$G:$G,Movimentacoes!$C:$C,$A3084,Movimentacoes!$E:$E,$C3084,Movimentacoes!$B:$B,"SAIDA_USO")</f>
        <v/>
      </c>
      <c r="I3084" s="13">
        <f>SUMIFS(Movimentacoes!$G:$G,Movimentacoes!$C:$C,$A3084,Movimentacoes!$E:$E,$C3084,Movimentacoes!$B:$B,"SAIDA_DESCARTE")</f>
        <v/>
      </c>
      <c r="J3084" s="13">
        <f>G3084-H3084-I3084</f>
        <v/>
      </c>
      <c r="K3084">
        <f>IF(A3084="","",IF(J3084&lt;=IFERROR(VLOOKUP(A3084,Cadastro_Produtos!$A:$E,5,FALSE),0),"ABAIXO DO MINIMO","OK"))</f>
        <v/>
      </c>
    </row>
    <row r="3085">
      <c r="B3085">
        <f>IFERROR(VLOOKUP(A3085,Cadastro_Produtos!A:B,2,FALSE),"")</f>
        <v/>
      </c>
      <c r="D3085" s="12" t="n"/>
      <c r="E3085" s="13">
        <f>IF(D3085="","",D3085-TODAY())</f>
        <v/>
      </c>
      <c r="F3085">
        <f>IF(D3085="","",IF(E3085&lt;0,"VENCIDO",IF(E3085&lt;=30,"VENCE EM &lt;= 30 DIAS",IF(E3085&lt;=60,"ATENCAO (31-60 DIAS)","OK"))))</f>
        <v/>
      </c>
      <c r="G3085" s="13">
        <f>SUMIFS(Movimentacoes!$G:$G,Movimentacoes!$C:$C,$A3085,Movimentacoes!$E:$E,$C3085,Movimentacoes!$B:$B,"ENTRADA")</f>
        <v/>
      </c>
      <c r="H3085" s="13">
        <f>SUMIFS(Movimentacoes!$G:$G,Movimentacoes!$C:$C,$A3085,Movimentacoes!$E:$E,$C3085,Movimentacoes!$B:$B,"SAIDA_USO")</f>
        <v/>
      </c>
      <c r="I3085" s="13">
        <f>SUMIFS(Movimentacoes!$G:$G,Movimentacoes!$C:$C,$A3085,Movimentacoes!$E:$E,$C3085,Movimentacoes!$B:$B,"SAIDA_DESCARTE")</f>
        <v/>
      </c>
      <c r="J3085" s="13">
        <f>G3085-H3085-I3085</f>
        <v/>
      </c>
      <c r="K3085">
        <f>IF(A3085="","",IF(J3085&lt;=IFERROR(VLOOKUP(A3085,Cadastro_Produtos!$A:$E,5,FALSE),0),"ABAIXO DO MINIMO","OK"))</f>
        <v/>
      </c>
    </row>
    <row r="3086">
      <c r="B3086">
        <f>IFERROR(VLOOKUP(A3086,Cadastro_Produtos!A:B,2,FALSE),"")</f>
        <v/>
      </c>
      <c r="D3086" s="12" t="n"/>
      <c r="E3086" s="13">
        <f>IF(D3086="","",D3086-TODAY())</f>
        <v/>
      </c>
      <c r="F3086">
        <f>IF(D3086="","",IF(E3086&lt;0,"VENCIDO",IF(E3086&lt;=30,"VENCE EM &lt;= 30 DIAS",IF(E3086&lt;=60,"ATENCAO (31-60 DIAS)","OK"))))</f>
        <v/>
      </c>
      <c r="G3086" s="13">
        <f>SUMIFS(Movimentacoes!$G:$G,Movimentacoes!$C:$C,$A3086,Movimentacoes!$E:$E,$C3086,Movimentacoes!$B:$B,"ENTRADA")</f>
        <v/>
      </c>
      <c r="H3086" s="13">
        <f>SUMIFS(Movimentacoes!$G:$G,Movimentacoes!$C:$C,$A3086,Movimentacoes!$E:$E,$C3086,Movimentacoes!$B:$B,"SAIDA_USO")</f>
        <v/>
      </c>
      <c r="I3086" s="13">
        <f>SUMIFS(Movimentacoes!$G:$G,Movimentacoes!$C:$C,$A3086,Movimentacoes!$E:$E,$C3086,Movimentacoes!$B:$B,"SAIDA_DESCARTE")</f>
        <v/>
      </c>
      <c r="J3086" s="13">
        <f>G3086-H3086-I3086</f>
        <v/>
      </c>
      <c r="K3086">
        <f>IF(A3086="","",IF(J3086&lt;=IFERROR(VLOOKUP(A3086,Cadastro_Produtos!$A:$E,5,FALSE),0),"ABAIXO DO MINIMO","OK"))</f>
        <v/>
      </c>
    </row>
    <row r="3087">
      <c r="B3087">
        <f>IFERROR(VLOOKUP(A3087,Cadastro_Produtos!A:B,2,FALSE),"")</f>
        <v/>
      </c>
      <c r="D3087" s="12" t="n"/>
      <c r="E3087" s="13">
        <f>IF(D3087="","",D3087-TODAY())</f>
        <v/>
      </c>
      <c r="F3087">
        <f>IF(D3087="","",IF(E3087&lt;0,"VENCIDO",IF(E3087&lt;=30,"VENCE EM &lt;= 30 DIAS",IF(E3087&lt;=60,"ATENCAO (31-60 DIAS)","OK"))))</f>
        <v/>
      </c>
      <c r="G3087" s="13">
        <f>SUMIFS(Movimentacoes!$G:$G,Movimentacoes!$C:$C,$A3087,Movimentacoes!$E:$E,$C3087,Movimentacoes!$B:$B,"ENTRADA")</f>
        <v/>
      </c>
      <c r="H3087" s="13">
        <f>SUMIFS(Movimentacoes!$G:$G,Movimentacoes!$C:$C,$A3087,Movimentacoes!$E:$E,$C3087,Movimentacoes!$B:$B,"SAIDA_USO")</f>
        <v/>
      </c>
      <c r="I3087" s="13">
        <f>SUMIFS(Movimentacoes!$G:$G,Movimentacoes!$C:$C,$A3087,Movimentacoes!$E:$E,$C3087,Movimentacoes!$B:$B,"SAIDA_DESCARTE")</f>
        <v/>
      </c>
      <c r="J3087" s="13">
        <f>G3087-H3087-I3087</f>
        <v/>
      </c>
      <c r="K3087">
        <f>IF(A3087="","",IF(J3087&lt;=IFERROR(VLOOKUP(A3087,Cadastro_Produtos!$A:$E,5,FALSE),0),"ABAIXO DO MINIMO","OK"))</f>
        <v/>
      </c>
    </row>
    <row r="3088">
      <c r="B3088">
        <f>IFERROR(VLOOKUP(A3088,Cadastro_Produtos!A:B,2,FALSE),"")</f>
        <v/>
      </c>
      <c r="D3088" s="12" t="n"/>
      <c r="E3088" s="13">
        <f>IF(D3088="","",D3088-TODAY())</f>
        <v/>
      </c>
      <c r="F3088">
        <f>IF(D3088="","",IF(E3088&lt;0,"VENCIDO",IF(E3088&lt;=30,"VENCE EM &lt;= 30 DIAS",IF(E3088&lt;=60,"ATENCAO (31-60 DIAS)","OK"))))</f>
        <v/>
      </c>
      <c r="G3088" s="13">
        <f>SUMIFS(Movimentacoes!$G:$G,Movimentacoes!$C:$C,$A3088,Movimentacoes!$E:$E,$C3088,Movimentacoes!$B:$B,"ENTRADA")</f>
        <v/>
      </c>
      <c r="H3088" s="13">
        <f>SUMIFS(Movimentacoes!$G:$G,Movimentacoes!$C:$C,$A3088,Movimentacoes!$E:$E,$C3088,Movimentacoes!$B:$B,"SAIDA_USO")</f>
        <v/>
      </c>
      <c r="I3088" s="13">
        <f>SUMIFS(Movimentacoes!$G:$G,Movimentacoes!$C:$C,$A3088,Movimentacoes!$E:$E,$C3088,Movimentacoes!$B:$B,"SAIDA_DESCARTE")</f>
        <v/>
      </c>
      <c r="J3088" s="13">
        <f>G3088-H3088-I3088</f>
        <v/>
      </c>
      <c r="K3088">
        <f>IF(A3088="","",IF(J3088&lt;=IFERROR(VLOOKUP(A3088,Cadastro_Produtos!$A:$E,5,FALSE),0),"ABAIXO DO MINIMO","OK"))</f>
        <v/>
      </c>
    </row>
    <row r="3089">
      <c r="B3089">
        <f>IFERROR(VLOOKUP(A3089,Cadastro_Produtos!A:B,2,FALSE),"")</f>
        <v/>
      </c>
      <c r="D3089" s="12" t="n"/>
      <c r="E3089" s="13">
        <f>IF(D3089="","",D3089-TODAY())</f>
        <v/>
      </c>
      <c r="F3089">
        <f>IF(D3089="","",IF(E3089&lt;0,"VENCIDO",IF(E3089&lt;=30,"VENCE EM &lt;= 30 DIAS",IF(E3089&lt;=60,"ATENCAO (31-60 DIAS)","OK"))))</f>
        <v/>
      </c>
      <c r="G3089" s="13">
        <f>SUMIFS(Movimentacoes!$G:$G,Movimentacoes!$C:$C,$A3089,Movimentacoes!$E:$E,$C3089,Movimentacoes!$B:$B,"ENTRADA")</f>
        <v/>
      </c>
      <c r="H3089" s="13">
        <f>SUMIFS(Movimentacoes!$G:$G,Movimentacoes!$C:$C,$A3089,Movimentacoes!$E:$E,$C3089,Movimentacoes!$B:$B,"SAIDA_USO")</f>
        <v/>
      </c>
      <c r="I3089" s="13">
        <f>SUMIFS(Movimentacoes!$G:$G,Movimentacoes!$C:$C,$A3089,Movimentacoes!$E:$E,$C3089,Movimentacoes!$B:$B,"SAIDA_DESCARTE")</f>
        <v/>
      </c>
      <c r="J3089" s="13">
        <f>G3089-H3089-I3089</f>
        <v/>
      </c>
      <c r="K3089">
        <f>IF(A3089="","",IF(J3089&lt;=IFERROR(VLOOKUP(A3089,Cadastro_Produtos!$A:$E,5,FALSE),0),"ABAIXO DO MINIMO","OK"))</f>
        <v/>
      </c>
    </row>
    <row r="3090">
      <c r="B3090">
        <f>IFERROR(VLOOKUP(A3090,Cadastro_Produtos!A:B,2,FALSE),"")</f>
        <v/>
      </c>
      <c r="D3090" s="12" t="n"/>
      <c r="E3090" s="13">
        <f>IF(D3090="","",D3090-TODAY())</f>
        <v/>
      </c>
      <c r="F3090">
        <f>IF(D3090="","",IF(E3090&lt;0,"VENCIDO",IF(E3090&lt;=30,"VENCE EM &lt;= 30 DIAS",IF(E3090&lt;=60,"ATENCAO (31-60 DIAS)","OK"))))</f>
        <v/>
      </c>
      <c r="G3090" s="13">
        <f>SUMIFS(Movimentacoes!$G:$G,Movimentacoes!$C:$C,$A3090,Movimentacoes!$E:$E,$C3090,Movimentacoes!$B:$B,"ENTRADA")</f>
        <v/>
      </c>
      <c r="H3090" s="13">
        <f>SUMIFS(Movimentacoes!$G:$G,Movimentacoes!$C:$C,$A3090,Movimentacoes!$E:$E,$C3090,Movimentacoes!$B:$B,"SAIDA_USO")</f>
        <v/>
      </c>
      <c r="I3090" s="13">
        <f>SUMIFS(Movimentacoes!$G:$G,Movimentacoes!$C:$C,$A3090,Movimentacoes!$E:$E,$C3090,Movimentacoes!$B:$B,"SAIDA_DESCARTE")</f>
        <v/>
      </c>
      <c r="J3090" s="13">
        <f>G3090-H3090-I3090</f>
        <v/>
      </c>
      <c r="K3090">
        <f>IF(A3090="","",IF(J3090&lt;=IFERROR(VLOOKUP(A3090,Cadastro_Produtos!$A:$E,5,FALSE),0),"ABAIXO DO MINIMO","OK"))</f>
        <v/>
      </c>
    </row>
    <row r="3091">
      <c r="B3091">
        <f>IFERROR(VLOOKUP(A3091,Cadastro_Produtos!A:B,2,FALSE),"")</f>
        <v/>
      </c>
      <c r="D3091" s="12" t="n"/>
      <c r="E3091" s="13">
        <f>IF(D3091="","",D3091-TODAY())</f>
        <v/>
      </c>
      <c r="F3091">
        <f>IF(D3091="","",IF(E3091&lt;0,"VENCIDO",IF(E3091&lt;=30,"VENCE EM &lt;= 30 DIAS",IF(E3091&lt;=60,"ATENCAO (31-60 DIAS)","OK"))))</f>
        <v/>
      </c>
      <c r="G3091" s="13">
        <f>SUMIFS(Movimentacoes!$G:$G,Movimentacoes!$C:$C,$A3091,Movimentacoes!$E:$E,$C3091,Movimentacoes!$B:$B,"ENTRADA")</f>
        <v/>
      </c>
      <c r="H3091" s="13">
        <f>SUMIFS(Movimentacoes!$G:$G,Movimentacoes!$C:$C,$A3091,Movimentacoes!$E:$E,$C3091,Movimentacoes!$B:$B,"SAIDA_USO")</f>
        <v/>
      </c>
      <c r="I3091" s="13">
        <f>SUMIFS(Movimentacoes!$G:$G,Movimentacoes!$C:$C,$A3091,Movimentacoes!$E:$E,$C3091,Movimentacoes!$B:$B,"SAIDA_DESCARTE")</f>
        <v/>
      </c>
      <c r="J3091" s="13">
        <f>G3091-H3091-I3091</f>
        <v/>
      </c>
      <c r="K3091">
        <f>IF(A3091="","",IF(J3091&lt;=IFERROR(VLOOKUP(A3091,Cadastro_Produtos!$A:$E,5,FALSE),0),"ABAIXO DO MINIMO","OK"))</f>
        <v/>
      </c>
    </row>
    <row r="3092">
      <c r="B3092">
        <f>IFERROR(VLOOKUP(A3092,Cadastro_Produtos!A:B,2,FALSE),"")</f>
        <v/>
      </c>
      <c r="D3092" s="12" t="n"/>
      <c r="E3092" s="13">
        <f>IF(D3092="","",D3092-TODAY())</f>
        <v/>
      </c>
      <c r="F3092">
        <f>IF(D3092="","",IF(E3092&lt;0,"VENCIDO",IF(E3092&lt;=30,"VENCE EM &lt;= 30 DIAS",IF(E3092&lt;=60,"ATENCAO (31-60 DIAS)","OK"))))</f>
        <v/>
      </c>
      <c r="G3092" s="13">
        <f>SUMIFS(Movimentacoes!$G:$G,Movimentacoes!$C:$C,$A3092,Movimentacoes!$E:$E,$C3092,Movimentacoes!$B:$B,"ENTRADA")</f>
        <v/>
      </c>
      <c r="H3092" s="13">
        <f>SUMIFS(Movimentacoes!$G:$G,Movimentacoes!$C:$C,$A3092,Movimentacoes!$E:$E,$C3092,Movimentacoes!$B:$B,"SAIDA_USO")</f>
        <v/>
      </c>
      <c r="I3092" s="13">
        <f>SUMIFS(Movimentacoes!$G:$G,Movimentacoes!$C:$C,$A3092,Movimentacoes!$E:$E,$C3092,Movimentacoes!$B:$B,"SAIDA_DESCARTE")</f>
        <v/>
      </c>
      <c r="J3092" s="13">
        <f>G3092-H3092-I3092</f>
        <v/>
      </c>
      <c r="K3092">
        <f>IF(A3092="","",IF(J3092&lt;=IFERROR(VLOOKUP(A3092,Cadastro_Produtos!$A:$E,5,FALSE),0),"ABAIXO DO MINIMO","OK"))</f>
        <v/>
      </c>
    </row>
    <row r="3093">
      <c r="B3093">
        <f>IFERROR(VLOOKUP(A3093,Cadastro_Produtos!A:B,2,FALSE),"")</f>
        <v/>
      </c>
      <c r="D3093" s="12" t="n"/>
      <c r="E3093" s="13">
        <f>IF(D3093="","",D3093-TODAY())</f>
        <v/>
      </c>
      <c r="F3093">
        <f>IF(D3093="","",IF(E3093&lt;0,"VENCIDO",IF(E3093&lt;=30,"VENCE EM &lt;= 30 DIAS",IF(E3093&lt;=60,"ATENCAO (31-60 DIAS)","OK"))))</f>
        <v/>
      </c>
      <c r="G3093" s="13">
        <f>SUMIFS(Movimentacoes!$G:$G,Movimentacoes!$C:$C,$A3093,Movimentacoes!$E:$E,$C3093,Movimentacoes!$B:$B,"ENTRADA")</f>
        <v/>
      </c>
      <c r="H3093" s="13">
        <f>SUMIFS(Movimentacoes!$G:$G,Movimentacoes!$C:$C,$A3093,Movimentacoes!$E:$E,$C3093,Movimentacoes!$B:$B,"SAIDA_USO")</f>
        <v/>
      </c>
      <c r="I3093" s="13">
        <f>SUMIFS(Movimentacoes!$G:$G,Movimentacoes!$C:$C,$A3093,Movimentacoes!$E:$E,$C3093,Movimentacoes!$B:$B,"SAIDA_DESCARTE")</f>
        <v/>
      </c>
      <c r="J3093" s="13">
        <f>G3093-H3093-I3093</f>
        <v/>
      </c>
      <c r="K3093">
        <f>IF(A3093="","",IF(J3093&lt;=IFERROR(VLOOKUP(A3093,Cadastro_Produtos!$A:$E,5,FALSE),0),"ABAIXO DO MINIMO","OK"))</f>
        <v/>
      </c>
    </row>
    <row r="3094">
      <c r="B3094">
        <f>IFERROR(VLOOKUP(A3094,Cadastro_Produtos!A:B,2,FALSE),"")</f>
        <v/>
      </c>
      <c r="D3094" s="12" t="n"/>
      <c r="E3094" s="13">
        <f>IF(D3094="","",D3094-TODAY())</f>
        <v/>
      </c>
      <c r="F3094">
        <f>IF(D3094="","",IF(E3094&lt;0,"VENCIDO",IF(E3094&lt;=30,"VENCE EM &lt;= 30 DIAS",IF(E3094&lt;=60,"ATENCAO (31-60 DIAS)","OK"))))</f>
        <v/>
      </c>
      <c r="G3094" s="13">
        <f>SUMIFS(Movimentacoes!$G:$G,Movimentacoes!$C:$C,$A3094,Movimentacoes!$E:$E,$C3094,Movimentacoes!$B:$B,"ENTRADA")</f>
        <v/>
      </c>
      <c r="H3094" s="13">
        <f>SUMIFS(Movimentacoes!$G:$G,Movimentacoes!$C:$C,$A3094,Movimentacoes!$E:$E,$C3094,Movimentacoes!$B:$B,"SAIDA_USO")</f>
        <v/>
      </c>
      <c r="I3094" s="13">
        <f>SUMIFS(Movimentacoes!$G:$G,Movimentacoes!$C:$C,$A3094,Movimentacoes!$E:$E,$C3094,Movimentacoes!$B:$B,"SAIDA_DESCARTE")</f>
        <v/>
      </c>
      <c r="J3094" s="13">
        <f>G3094-H3094-I3094</f>
        <v/>
      </c>
      <c r="K3094">
        <f>IF(A3094="","",IF(J3094&lt;=IFERROR(VLOOKUP(A3094,Cadastro_Produtos!$A:$E,5,FALSE),0),"ABAIXO DO MINIMO","OK"))</f>
        <v/>
      </c>
    </row>
    <row r="3095">
      <c r="B3095">
        <f>IFERROR(VLOOKUP(A3095,Cadastro_Produtos!A:B,2,FALSE),"")</f>
        <v/>
      </c>
      <c r="D3095" s="12" t="n"/>
      <c r="E3095" s="13">
        <f>IF(D3095="","",D3095-TODAY())</f>
        <v/>
      </c>
      <c r="F3095">
        <f>IF(D3095="","",IF(E3095&lt;0,"VENCIDO",IF(E3095&lt;=30,"VENCE EM &lt;= 30 DIAS",IF(E3095&lt;=60,"ATENCAO (31-60 DIAS)","OK"))))</f>
        <v/>
      </c>
      <c r="G3095" s="13">
        <f>SUMIFS(Movimentacoes!$G:$G,Movimentacoes!$C:$C,$A3095,Movimentacoes!$E:$E,$C3095,Movimentacoes!$B:$B,"ENTRADA")</f>
        <v/>
      </c>
      <c r="H3095" s="13">
        <f>SUMIFS(Movimentacoes!$G:$G,Movimentacoes!$C:$C,$A3095,Movimentacoes!$E:$E,$C3095,Movimentacoes!$B:$B,"SAIDA_USO")</f>
        <v/>
      </c>
      <c r="I3095" s="13">
        <f>SUMIFS(Movimentacoes!$G:$G,Movimentacoes!$C:$C,$A3095,Movimentacoes!$E:$E,$C3095,Movimentacoes!$B:$B,"SAIDA_DESCARTE")</f>
        <v/>
      </c>
      <c r="J3095" s="13">
        <f>G3095-H3095-I3095</f>
        <v/>
      </c>
      <c r="K3095">
        <f>IF(A3095="","",IF(J3095&lt;=IFERROR(VLOOKUP(A3095,Cadastro_Produtos!$A:$E,5,FALSE),0),"ABAIXO DO MINIMO","OK"))</f>
        <v/>
      </c>
    </row>
    <row r="3096">
      <c r="B3096">
        <f>IFERROR(VLOOKUP(A3096,Cadastro_Produtos!A:B,2,FALSE),"")</f>
        <v/>
      </c>
      <c r="D3096" s="12" t="n"/>
      <c r="E3096" s="13">
        <f>IF(D3096="","",D3096-TODAY())</f>
        <v/>
      </c>
      <c r="F3096">
        <f>IF(D3096="","",IF(E3096&lt;0,"VENCIDO",IF(E3096&lt;=30,"VENCE EM &lt;= 30 DIAS",IF(E3096&lt;=60,"ATENCAO (31-60 DIAS)","OK"))))</f>
        <v/>
      </c>
      <c r="G3096" s="13">
        <f>SUMIFS(Movimentacoes!$G:$G,Movimentacoes!$C:$C,$A3096,Movimentacoes!$E:$E,$C3096,Movimentacoes!$B:$B,"ENTRADA")</f>
        <v/>
      </c>
      <c r="H3096" s="13">
        <f>SUMIFS(Movimentacoes!$G:$G,Movimentacoes!$C:$C,$A3096,Movimentacoes!$E:$E,$C3096,Movimentacoes!$B:$B,"SAIDA_USO")</f>
        <v/>
      </c>
      <c r="I3096" s="13">
        <f>SUMIFS(Movimentacoes!$G:$G,Movimentacoes!$C:$C,$A3096,Movimentacoes!$E:$E,$C3096,Movimentacoes!$B:$B,"SAIDA_DESCARTE")</f>
        <v/>
      </c>
      <c r="J3096" s="13">
        <f>G3096-H3096-I3096</f>
        <v/>
      </c>
      <c r="K3096">
        <f>IF(A3096="","",IF(J3096&lt;=IFERROR(VLOOKUP(A3096,Cadastro_Produtos!$A:$E,5,FALSE),0),"ABAIXO DO MINIMO","OK"))</f>
        <v/>
      </c>
    </row>
    <row r="3097">
      <c r="B3097">
        <f>IFERROR(VLOOKUP(A3097,Cadastro_Produtos!A:B,2,FALSE),"")</f>
        <v/>
      </c>
      <c r="D3097" s="12" t="n"/>
      <c r="E3097" s="13">
        <f>IF(D3097="","",D3097-TODAY())</f>
        <v/>
      </c>
      <c r="F3097">
        <f>IF(D3097="","",IF(E3097&lt;0,"VENCIDO",IF(E3097&lt;=30,"VENCE EM &lt;= 30 DIAS",IF(E3097&lt;=60,"ATENCAO (31-60 DIAS)","OK"))))</f>
        <v/>
      </c>
      <c r="G3097" s="13">
        <f>SUMIFS(Movimentacoes!$G:$G,Movimentacoes!$C:$C,$A3097,Movimentacoes!$E:$E,$C3097,Movimentacoes!$B:$B,"ENTRADA")</f>
        <v/>
      </c>
      <c r="H3097" s="13">
        <f>SUMIFS(Movimentacoes!$G:$G,Movimentacoes!$C:$C,$A3097,Movimentacoes!$E:$E,$C3097,Movimentacoes!$B:$B,"SAIDA_USO")</f>
        <v/>
      </c>
      <c r="I3097" s="13">
        <f>SUMIFS(Movimentacoes!$G:$G,Movimentacoes!$C:$C,$A3097,Movimentacoes!$E:$E,$C3097,Movimentacoes!$B:$B,"SAIDA_DESCARTE")</f>
        <v/>
      </c>
      <c r="J3097" s="13">
        <f>G3097-H3097-I3097</f>
        <v/>
      </c>
      <c r="K3097">
        <f>IF(A3097="","",IF(J3097&lt;=IFERROR(VLOOKUP(A3097,Cadastro_Produtos!$A:$E,5,FALSE),0),"ABAIXO DO MINIMO","OK"))</f>
        <v/>
      </c>
    </row>
    <row r="3098">
      <c r="B3098">
        <f>IFERROR(VLOOKUP(A3098,Cadastro_Produtos!A:B,2,FALSE),"")</f>
        <v/>
      </c>
      <c r="D3098" s="12" t="n"/>
      <c r="E3098" s="13">
        <f>IF(D3098="","",D3098-TODAY())</f>
        <v/>
      </c>
      <c r="F3098">
        <f>IF(D3098="","",IF(E3098&lt;0,"VENCIDO",IF(E3098&lt;=30,"VENCE EM &lt;= 30 DIAS",IF(E3098&lt;=60,"ATENCAO (31-60 DIAS)","OK"))))</f>
        <v/>
      </c>
      <c r="G3098" s="13">
        <f>SUMIFS(Movimentacoes!$G:$G,Movimentacoes!$C:$C,$A3098,Movimentacoes!$E:$E,$C3098,Movimentacoes!$B:$B,"ENTRADA")</f>
        <v/>
      </c>
      <c r="H3098" s="13">
        <f>SUMIFS(Movimentacoes!$G:$G,Movimentacoes!$C:$C,$A3098,Movimentacoes!$E:$E,$C3098,Movimentacoes!$B:$B,"SAIDA_USO")</f>
        <v/>
      </c>
      <c r="I3098" s="13">
        <f>SUMIFS(Movimentacoes!$G:$G,Movimentacoes!$C:$C,$A3098,Movimentacoes!$E:$E,$C3098,Movimentacoes!$B:$B,"SAIDA_DESCARTE")</f>
        <v/>
      </c>
      <c r="J3098" s="13">
        <f>G3098-H3098-I3098</f>
        <v/>
      </c>
      <c r="K3098">
        <f>IF(A3098="","",IF(J3098&lt;=IFERROR(VLOOKUP(A3098,Cadastro_Produtos!$A:$E,5,FALSE),0),"ABAIXO DO MINIMO","OK"))</f>
        <v/>
      </c>
    </row>
    <row r="3099">
      <c r="B3099">
        <f>IFERROR(VLOOKUP(A3099,Cadastro_Produtos!A:B,2,FALSE),"")</f>
        <v/>
      </c>
      <c r="D3099" s="12" t="n"/>
      <c r="E3099" s="13">
        <f>IF(D3099="","",D3099-TODAY())</f>
        <v/>
      </c>
      <c r="F3099">
        <f>IF(D3099="","",IF(E3099&lt;0,"VENCIDO",IF(E3099&lt;=30,"VENCE EM &lt;= 30 DIAS",IF(E3099&lt;=60,"ATENCAO (31-60 DIAS)","OK"))))</f>
        <v/>
      </c>
      <c r="G3099" s="13">
        <f>SUMIFS(Movimentacoes!$G:$G,Movimentacoes!$C:$C,$A3099,Movimentacoes!$E:$E,$C3099,Movimentacoes!$B:$B,"ENTRADA")</f>
        <v/>
      </c>
      <c r="H3099" s="13">
        <f>SUMIFS(Movimentacoes!$G:$G,Movimentacoes!$C:$C,$A3099,Movimentacoes!$E:$E,$C3099,Movimentacoes!$B:$B,"SAIDA_USO")</f>
        <v/>
      </c>
      <c r="I3099" s="13">
        <f>SUMIFS(Movimentacoes!$G:$G,Movimentacoes!$C:$C,$A3099,Movimentacoes!$E:$E,$C3099,Movimentacoes!$B:$B,"SAIDA_DESCARTE")</f>
        <v/>
      </c>
      <c r="J3099" s="13">
        <f>G3099-H3099-I3099</f>
        <v/>
      </c>
      <c r="K3099">
        <f>IF(A3099="","",IF(J3099&lt;=IFERROR(VLOOKUP(A3099,Cadastro_Produtos!$A:$E,5,FALSE),0),"ABAIXO DO MINIMO","OK"))</f>
        <v/>
      </c>
    </row>
    <row r="3100">
      <c r="B3100">
        <f>IFERROR(VLOOKUP(A3100,Cadastro_Produtos!A:B,2,FALSE),"")</f>
        <v/>
      </c>
      <c r="D3100" s="12" t="n"/>
      <c r="E3100" s="13">
        <f>IF(D3100="","",D3100-TODAY())</f>
        <v/>
      </c>
      <c r="F3100">
        <f>IF(D3100="","",IF(E3100&lt;0,"VENCIDO",IF(E3100&lt;=30,"VENCE EM &lt;= 30 DIAS",IF(E3100&lt;=60,"ATENCAO (31-60 DIAS)","OK"))))</f>
        <v/>
      </c>
      <c r="G3100" s="13">
        <f>SUMIFS(Movimentacoes!$G:$G,Movimentacoes!$C:$C,$A3100,Movimentacoes!$E:$E,$C3100,Movimentacoes!$B:$B,"ENTRADA")</f>
        <v/>
      </c>
      <c r="H3100" s="13">
        <f>SUMIFS(Movimentacoes!$G:$G,Movimentacoes!$C:$C,$A3100,Movimentacoes!$E:$E,$C3100,Movimentacoes!$B:$B,"SAIDA_USO")</f>
        <v/>
      </c>
      <c r="I3100" s="13">
        <f>SUMIFS(Movimentacoes!$G:$G,Movimentacoes!$C:$C,$A3100,Movimentacoes!$E:$E,$C3100,Movimentacoes!$B:$B,"SAIDA_DESCARTE")</f>
        <v/>
      </c>
      <c r="J3100" s="13">
        <f>G3100-H3100-I3100</f>
        <v/>
      </c>
      <c r="K3100">
        <f>IF(A3100="","",IF(J3100&lt;=IFERROR(VLOOKUP(A3100,Cadastro_Produtos!$A:$E,5,FALSE),0),"ABAIXO DO MINIMO","OK"))</f>
        <v/>
      </c>
    </row>
    <row r="3101">
      <c r="B3101">
        <f>IFERROR(VLOOKUP(A3101,Cadastro_Produtos!A:B,2,FALSE),"")</f>
        <v/>
      </c>
      <c r="D3101" s="12" t="n"/>
      <c r="E3101" s="13">
        <f>IF(D3101="","",D3101-TODAY())</f>
        <v/>
      </c>
      <c r="F3101">
        <f>IF(D3101="","",IF(E3101&lt;0,"VENCIDO",IF(E3101&lt;=30,"VENCE EM &lt;= 30 DIAS",IF(E3101&lt;=60,"ATENCAO (31-60 DIAS)","OK"))))</f>
        <v/>
      </c>
      <c r="G3101" s="13">
        <f>SUMIFS(Movimentacoes!$G:$G,Movimentacoes!$C:$C,$A3101,Movimentacoes!$E:$E,$C3101,Movimentacoes!$B:$B,"ENTRADA")</f>
        <v/>
      </c>
      <c r="H3101" s="13">
        <f>SUMIFS(Movimentacoes!$G:$G,Movimentacoes!$C:$C,$A3101,Movimentacoes!$E:$E,$C3101,Movimentacoes!$B:$B,"SAIDA_USO")</f>
        <v/>
      </c>
      <c r="I3101" s="13">
        <f>SUMIFS(Movimentacoes!$G:$G,Movimentacoes!$C:$C,$A3101,Movimentacoes!$E:$E,$C3101,Movimentacoes!$B:$B,"SAIDA_DESCARTE")</f>
        <v/>
      </c>
      <c r="J3101" s="13">
        <f>G3101-H3101-I3101</f>
        <v/>
      </c>
      <c r="K3101">
        <f>IF(A3101="","",IF(J3101&lt;=IFERROR(VLOOKUP(A3101,Cadastro_Produtos!$A:$E,5,FALSE),0),"ABAIXO DO MINIMO","OK"))</f>
        <v/>
      </c>
    </row>
    <row r="3102">
      <c r="B3102">
        <f>IFERROR(VLOOKUP(A3102,Cadastro_Produtos!A:B,2,FALSE),"")</f>
        <v/>
      </c>
      <c r="D3102" s="12" t="n"/>
      <c r="E3102" s="13">
        <f>IF(D3102="","",D3102-TODAY())</f>
        <v/>
      </c>
      <c r="F3102">
        <f>IF(D3102="","",IF(E3102&lt;0,"VENCIDO",IF(E3102&lt;=30,"VENCE EM &lt;= 30 DIAS",IF(E3102&lt;=60,"ATENCAO (31-60 DIAS)","OK"))))</f>
        <v/>
      </c>
      <c r="G3102" s="13">
        <f>SUMIFS(Movimentacoes!$G:$G,Movimentacoes!$C:$C,$A3102,Movimentacoes!$E:$E,$C3102,Movimentacoes!$B:$B,"ENTRADA")</f>
        <v/>
      </c>
      <c r="H3102" s="13">
        <f>SUMIFS(Movimentacoes!$G:$G,Movimentacoes!$C:$C,$A3102,Movimentacoes!$E:$E,$C3102,Movimentacoes!$B:$B,"SAIDA_USO")</f>
        <v/>
      </c>
      <c r="I3102" s="13">
        <f>SUMIFS(Movimentacoes!$G:$G,Movimentacoes!$C:$C,$A3102,Movimentacoes!$E:$E,$C3102,Movimentacoes!$B:$B,"SAIDA_DESCARTE")</f>
        <v/>
      </c>
      <c r="J3102" s="13">
        <f>G3102-H3102-I3102</f>
        <v/>
      </c>
      <c r="K3102">
        <f>IF(A3102="","",IF(J3102&lt;=IFERROR(VLOOKUP(A3102,Cadastro_Produtos!$A:$E,5,FALSE),0),"ABAIXO DO MINIMO","OK"))</f>
        <v/>
      </c>
    </row>
    <row r="3103">
      <c r="B3103">
        <f>IFERROR(VLOOKUP(A3103,Cadastro_Produtos!A:B,2,FALSE),"")</f>
        <v/>
      </c>
      <c r="D3103" s="12" t="n"/>
      <c r="E3103" s="13">
        <f>IF(D3103="","",D3103-TODAY())</f>
        <v/>
      </c>
      <c r="F3103">
        <f>IF(D3103="","",IF(E3103&lt;0,"VENCIDO",IF(E3103&lt;=30,"VENCE EM &lt;= 30 DIAS",IF(E3103&lt;=60,"ATENCAO (31-60 DIAS)","OK"))))</f>
        <v/>
      </c>
      <c r="G3103" s="13">
        <f>SUMIFS(Movimentacoes!$G:$G,Movimentacoes!$C:$C,$A3103,Movimentacoes!$E:$E,$C3103,Movimentacoes!$B:$B,"ENTRADA")</f>
        <v/>
      </c>
      <c r="H3103" s="13">
        <f>SUMIFS(Movimentacoes!$G:$G,Movimentacoes!$C:$C,$A3103,Movimentacoes!$E:$E,$C3103,Movimentacoes!$B:$B,"SAIDA_USO")</f>
        <v/>
      </c>
      <c r="I3103" s="13">
        <f>SUMIFS(Movimentacoes!$G:$G,Movimentacoes!$C:$C,$A3103,Movimentacoes!$E:$E,$C3103,Movimentacoes!$B:$B,"SAIDA_DESCARTE")</f>
        <v/>
      </c>
      <c r="J3103" s="13">
        <f>G3103-H3103-I3103</f>
        <v/>
      </c>
      <c r="K3103">
        <f>IF(A3103="","",IF(J3103&lt;=IFERROR(VLOOKUP(A3103,Cadastro_Produtos!$A:$E,5,FALSE),0),"ABAIXO DO MINIMO","OK"))</f>
        <v/>
      </c>
    </row>
    <row r="3104">
      <c r="B3104">
        <f>IFERROR(VLOOKUP(A3104,Cadastro_Produtos!A:B,2,FALSE),"")</f>
        <v/>
      </c>
      <c r="D3104" s="12" t="n"/>
      <c r="E3104" s="13">
        <f>IF(D3104="","",D3104-TODAY())</f>
        <v/>
      </c>
      <c r="F3104">
        <f>IF(D3104="","",IF(E3104&lt;0,"VENCIDO",IF(E3104&lt;=30,"VENCE EM &lt;= 30 DIAS",IF(E3104&lt;=60,"ATENCAO (31-60 DIAS)","OK"))))</f>
        <v/>
      </c>
      <c r="G3104" s="13">
        <f>SUMIFS(Movimentacoes!$G:$G,Movimentacoes!$C:$C,$A3104,Movimentacoes!$E:$E,$C3104,Movimentacoes!$B:$B,"ENTRADA")</f>
        <v/>
      </c>
      <c r="H3104" s="13">
        <f>SUMIFS(Movimentacoes!$G:$G,Movimentacoes!$C:$C,$A3104,Movimentacoes!$E:$E,$C3104,Movimentacoes!$B:$B,"SAIDA_USO")</f>
        <v/>
      </c>
      <c r="I3104" s="13">
        <f>SUMIFS(Movimentacoes!$G:$G,Movimentacoes!$C:$C,$A3104,Movimentacoes!$E:$E,$C3104,Movimentacoes!$B:$B,"SAIDA_DESCARTE")</f>
        <v/>
      </c>
      <c r="J3104" s="13">
        <f>G3104-H3104-I3104</f>
        <v/>
      </c>
      <c r="K3104">
        <f>IF(A3104="","",IF(J3104&lt;=IFERROR(VLOOKUP(A3104,Cadastro_Produtos!$A:$E,5,FALSE),0),"ABAIXO DO MINIMO","OK"))</f>
        <v/>
      </c>
    </row>
    <row r="3105">
      <c r="B3105">
        <f>IFERROR(VLOOKUP(A3105,Cadastro_Produtos!A:B,2,FALSE),"")</f>
        <v/>
      </c>
      <c r="D3105" s="12" t="n"/>
      <c r="E3105" s="13">
        <f>IF(D3105="","",D3105-TODAY())</f>
        <v/>
      </c>
      <c r="F3105">
        <f>IF(D3105="","",IF(E3105&lt;0,"VENCIDO",IF(E3105&lt;=30,"VENCE EM &lt;= 30 DIAS",IF(E3105&lt;=60,"ATENCAO (31-60 DIAS)","OK"))))</f>
        <v/>
      </c>
      <c r="G3105" s="13">
        <f>SUMIFS(Movimentacoes!$G:$G,Movimentacoes!$C:$C,$A3105,Movimentacoes!$E:$E,$C3105,Movimentacoes!$B:$B,"ENTRADA")</f>
        <v/>
      </c>
      <c r="H3105" s="13">
        <f>SUMIFS(Movimentacoes!$G:$G,Movimentacoes!$C:$C,$A3105,Movimentacoes!$E:$E,$C3105,Movimentacoes!$B:$B,"SAIDA_USO")</f>
        <v/>
      </c>
      <c r="I3105" s="13">
        <f>SUMIFS(Movimentacoes!$G:$G,Movimentacoes!$C:$C,$A3105,Movimentacoes!$E:$E,$C3105,Movimentacoes!$B:$B,"SAIDA_DESCARTE")</f>
        <v/>
      </c>
      <c r="J3105" s="13">
        <f>G3105-H3105-I3105</f>
        <v/>
      </c>
      <c r="K3105">
        <f>IF(A3105="","",IF(J3105&lt;=IFERROR(VLOOKUP(A3105,Cadastro_Produtos!$A:$E,5,FALSE),0),"ABAIXO DO MINIMO","OK"))</f>
        <v/>
      </c>
    </row>
    <row r="3106">
      <c r="B3106">
        <f>IFERROR(VLOOKUP(A3106,Cadastro_Produtos!A:B,2,FALSE),"")</f>
        <v/>
      </c>
      <c r="D3106" s="12" t="n"/>
      <c r="E3106" s="13">
        <f>IF(D3106="","",D3106-TODAY())</f>
        <v/>
      </c>
      <c r="F3106">
        <f>IF(D3106="","",IF(E3106&lt;0,"VENCIDO",IF(E3106&lt;=30,"VENCE EM &lt;= 30 DIAS",IF(E3106&lt;=60,"ATENCAO (31-60 DIAS)","OK"))))</f>
        <v/>
      </c>
      <c r="G3106" s="13">
        <f>SUMIFS(Movimentacoes!$G:$G,Movimentacoes!$C:$C,$A3106,Movimentacoes!$E:$E,$C3106,Movimentacoes!$B:$B,"ENTRADA")</f>
        <v/>
      </c>
      <c r="H3106" s="13">
        <f>SUMIFS(Movimentacoes!$G:$G,Movimentacoes!$C:$C,$A3106,Movimentacoes!$E:$E,$C3106,Movimentacoes!$B:$B,"SAIDA_USO")</f>
        <v/>
      </c>
      <c r="I3106" s="13">
        <f>SUMIFS(Movimentacoes!$G:$G,Movimentacoes!$C:$C,$A3106,Movimentacoes!$E:$E,$C3106,Movimentacoes!$B:$B,"SAIDA_DESCARTE")</f>
        <v/>
      </c>
      <c r="J3106" s="13">
        <f>G3106-H3106-I3106</f>
        <v/>
      </c>
      <c r="K3106">
        <f>IF(A3106="","",IF(J3106&lt;=IFERROR(VLOOKUP(A3106,Cadastro_Produtos!$A:$E,5,FALSE),0),"ABAIXO DO MINIMO","OK"))</f>
        <v/>
      </c>
    </row>
    <row r="3107">
      <c r="B3107">
        <f>IFERROR(VLOOKUP(A3107,Cadastro_Produtos!A:B,2,FALSE),"")</f>
        <v/>
      </c>
      <c r="D3107" s="12" t="n"/>
      <c r="E3107" s="13">
        <f>IF(D3107="","",D3107-TODAY())</f>
        <v/>
      </c>
      <c r="F3107">
        <f>IF(D3107="","",IF(E3107&lt;0,"VENCIDO",IF(E3107&lt;=30,"VENCE EM &lt;= 30 DIAS",IF(E3107&lt;=60,"ATENCAO (31-60 DIAS)","OK"))))</f>
        <v/>
      </c>
      <c r="G3107" s="13">
        <f>SUMIFS(Movimentacoes!$G:$G,Movimentacoes!$C:$C,$A3107,Movimentacoes!$E:$E,$C3107,Movimentacoes!$B:$B,"ENTRADA")</f>
        <v/>
      </c>
      <c r="H3107" s="13">
        <f>SUMIFS(Movimentacoes!$G:$G,Movimentacoes!$C:$C,$A3107,Movimentacoes!$E:$E,$C3107,Movimentacoes!$B:$B,"SAIDA_USO")</f>
        <v/>
      </c>
      <c r="I3107" s="13">
        <f>SUMIFS(Movimentacoes!$G:$G,Movimentacoes!$C:$C,$A3107,Movimentacoes!$E:$E,$C3107,Movimentacoes!$B:$B,"SAIDA_DESCARTE")</f>
        <v/>
      </c>
      <c r="J3107" s="13">
        <f>G3107-H3107-I3107</f>
        <v/>
      </c>
      <c r="K3107">
        <f>IF(A3107="","",IF(J3107&lt;=IFERROR(VLOOKUP(A3107,Cadastro_Produtos!$A:$E,5,FALSE),0),"ABAIXO DO MINIMO","OK"))</f>
        <v/>
      </c>
    </row>
    <row r="3108">
      <c r="B3108">
        <f>IFERROR(VLOOKUP(A3108,Cadastro_Produtos!A:B,2,FALSE),"")</f>
        <v/>
      </c>
      <c r="D3108" s="12" t="n"/>
      <c r="E3108" s="13">
        <f>IF(D3108="","",D3108-TODAY())</f>
        <v/>
      </c>
      <c r="F3108">
        <f>IF(D3108="","",IF(E3108&lt;0,"VENCIDO",IF(E3108&lt;=30,"VENCE EM &lt;= 30 DIAS",IF(E3108&lt;=60,"ATENCAO (31-60 DIAS)","OK"))))</f>
        <v/>
      </c>
      <c r="G3108" s="13">
        <f>SUMIFS(Movimentacoes!$G:$G,Movimentacoes!$C:$C,$A3108,Movimentacoes!$E:$E,$C3108,Movimentacoes!$B:$B,"ENTRADA")</f>
        <v/>
      </c>
      <c r="H3108" s="13">
        <f>SUMIFS(Movimentacoes!$G:$G,Movimentacoes!$C:$C,$A3108,Movimentacoes!$E:$E,$C3108,Movimentacoes!$B:$B,"SAIDA_USO")</f>
        <v/>
      </c>
      <c r="I3108" s="13">
        <f>SUMIFS(Movimentacoes!$G:$G,Movimentacoes!$C:$C,$A3108,Movimentacoes!$E:$E,$C3108,Movimentacoes!$B:$B,"SAIDA_DESCARTE")</f>
        <v/>
      </c>
      <c r="J3108" s="13">
        <f>G3108-H3108-I3108</f>
        <v/>
      </c>
      <c r="K3108">
        <f>IF(A3108="","",IF(J3108&lt;=IFERROR(VLOOKUP(A3108,Cadastro_Produtos!$A:$E,5,FALSE),0),"ABAIXO DO MINIMO","OK"))</f>
        <v/>
      </c>
    </row>
    <row r="3109">
      <c r="B3109">
        <f>IFERROR(VLOOKUP(A3109,Cadastro_Produtos!A:B,2,FALSE),"")</f>
        <v/>
      </c>
      <c r="D3109" s="12" t="n"/>
      <c r="E3109" s="13">
        <f>IF(D3109="","",D3109-TODAY())</f>
        <v/>
      </c>
      <c r="F3109">
        <f>IF(D3109="","",IF(E3109&lt;0,"VENCIDO",IF(E3109&lt;=30,"VENCE EM &lt;= 30 DIAS",IF(E3109&lt;=60,"ATENCAO (31-60 DIAS)","OK"))))</f>
        <v/>
      </c>
      <c r="G3109" s="13">
        <f>SUMIFS(Movimentacoes!$G:$G,Movimentacoes!$C:$C,$A3109,Movimentacoes!$E:$E,$C3109,Movimentacoes!$B:$B,"ENTRADA")</f>
        <v/>
      </c>
      <c r="H3109" s="13">
        <f>SUMIFS(Movimentacoes!$G:$G,Movimentacoes!$C:$C,$A3109,Movimentacoes!$E:$E,$C3109,Movimentacoes!$B:$B,"SAIDA_USO")</f>
        <v/>
      </c>
      <c r="I3109" s="13">
        <f>SUMIFS(Movimentacoes!$G:$G,Movimentacoes!$C:$C,$A3109,Movimentacoes!$E:$E,$C3109,Movimentacoes!$B:$B,"SAIDA_DESCARTE")</f>
        <v/>
      </c>
      <c r="J3109" s="13">
        <f>G3109-H3109-I3109</f>
        <v/>
      </c>
      <c r="K3109">
        <f>IF(A3109="","",IF(J3109&lt;=IFERROR(VLOOKUP(A3109,Cadastro_Produtos!$A:$E,5,FALSE),0),"ABAIXO DO MINIMO","OK"))</f>
        <v/>
      </c>
    </row>
    <row r="3110">
      <c r="B3110">
        <f>IFERROR(VLOOKUP(A3110,Cadastro_Produtos!A:B,2,FALSE),"")</f>
        <v/>
      </c>
      <c r="D3110" s="12" t="n"/>
      <c r="E3110" s="13">
        <f>IF(D3110="","",D3110-TODAY())</f>
        <v/>
      </c>
      <c r="F3110">
        <f>IF(D3110="","",IF(E3110&lt;0,"VENCIDO",IF(E3110&lt;=30,"VENCE EM &lt;= 30 DIAS",IF(E3110&lt;=60,"ATENCAO (31-60 DIAS)","OK"))))</f>
        <v/>
      </c>
      <c r="G3110" s="13">
        <f>SUMIFS(Movimentacoes!$G:$G,Movimentacoes!$C:$C,$A3110,Movimentacoes!$E:$E,$C3110,Movimentacoes!$B:$B,"ENTRADA")</f>
        <v/>
      </c>
      <c r="H3110" s="13">
        <f>SUMIFS(Movimentacoes!$G:$G,Movimentacoes!$C:$C,$A3110,Movimentacoes!$E:$E,$C3110,Movimentacoes!$B:$B,"SAIDA_USO")</f>
        <v/>
      </c>
      <c r="I3110" s="13">
        <f>SUMIFS(Movimentacoes!$G:$G,Movimentacoes!$C:$C,$A3110,Movimentacoes!$E:$E,$C3110,Movimentacoes!$B:$B,"SAIDA_DESCARTE")</f>
        <v/>
      </c>
      <c r="J3110" s="13">
        <f>G3110-H3110-I3110</f>
        <v/>
      </c>
      <c r="K3110">
        <f>IF(A3110="","",IF(J3110&lt;=IFERROR(VLOOKUP(A3110,Cadastro_Produtos!$A:$E,5,FALSE),0),"ABAIXO DO MINIMO","OK"))</f>
        <v/>
      </c>
    </row>
    <row r="3111">
      <c r="B3111">
        <f>IFERROR(VLOOKUP(A3111,Cadastro_Produtos!A:B,2,FALSE),"")</f>
        <v/>
      </c>
      <c r="D3111" s="12" t="n"/>
      <c r="E3111" s="13">
        <f>IF(D3111="","",D3111-TODAY())</f>
        <v/>
      </c>
      <c r="F3111">
        <f>IF(D3111="","",IF(E3111&lt;0,"VENCIDO",IF(E3111&lt;=30,"VENCE EM &lt;= 30 DIAS",IF(E3111&lt;=60,"ATENCAO (31-60 DIAS)","OK"))))</f>
        <v/>
      </c>
      <c r="G3111" s="13">
        <f>SUMIFS(Movimentacoes!$G:$G,Movimentacoes!$C:$C,$A3111,Movimentacoes!$E:$E,$C3111,Movimentacoes!$B:$B,"ENTRADA")</f>
        <v/>
      </c>
      <c r="H3111" s="13">
        <f>SUMIFS(Movimentacoes!$G:$G,Movimentacoes!$C:$C,$A3111,Movimentacoes!$E:$E,$C3111,Movimentacoes!$B:$B,"SAIDA_USO")</f>
        <v/>
      </c>
      <c r="I3111" s="13">
        <f>SUMIFS(Movimentacoes!$G:$G,Movimentacoes!$C:$C,$A3111,Movimentacoes!$E:$E,$C3111,Movimentacoes!$B:$B,"SAIDA_DESCARTE")</f>
        <v/>
      </c>
      <c r="J3111" s="13">
        <f>G3111-H3111-I3111</f>
        <v/>
      </c>
      <c r="K3111">
        <f>IF(A3111="","",IF(J3111&lt;=IFERROR(VLOOKUP(A3111,Cadastro_Produtos!$A:$E,5,FALSE),0),"ABAIXO DO MINIMO","OK"))</f>
        <v/>
      </c>
    </row>
    <row r="3112">
      <c r="B3112">
        <f>IFERROR(VLOOKUP(A3112,Cadastro_Produtos!A:B,2,FALSE),"")</f>
        <v/>
      </c>
      <c r="D3112" s="12" t="n"/>
      <c r="E3112" s="13">
        <f>IF(D3112="","",D3112-TODAY())</f>
        <v/>
      </c>
      <c r="F3112">
        <f>IF(D3112="","",IF(E3112&lt;0,"VENCIDO",IF(E3112&lt;=30,"VENCE EM &lt;= 30 DIAS",IF(E3112&lt;=60,"ATENCAO (31-60 DIAS)","OK"))))</f>
        <v/>
      </c>
      <c r="G3112" s="13">
        <f>SUMIFS(Movimentacoes!$G:$G,Movimentacoes!$C:$C,$A3112,Movimentacoes!$E:$E,$C3112,Movimentacoes!$B:$B,"ENTRADA")</f>
        <v/>
      </c>
      <c r="H3112" s="13">
        <f>SUMIFS(Movimentacoes!$G:$G,Movimentacoes!$C:$C,$A3112,Movimentacoes!$E:$E,$C3112,Movimentacoes!$B:$B,"SAIDA_USO")</f>
        <v/>
      </c>
      <c r="I3112" s="13">
        <f>SUMIFS(Movimentacoes!$G:$G,Movimentacoes!$C:$C,$A3112,Movimentacoes!$E:$E,$C3112,Movimentacoes!$B:$B,"SAIDA_DESCARTE")</f>
        <v/>
      </c>
      <c r="J3112" s="13">
        <f>G3112-H3112-I3112</f>
        <v/>
      </c>
      <c r="K3112">
        <f>IF(A3112="","",IF(J3112&lt;=IFERROR(VLOOKUP(A3112,Cadastro_Produtos!$A:$E,5,FALSE),0),"ABAIXO DO MINIMO","OK"))</f>
        <v/>
      </c>
    </row>
    <row r="3113">
      <c r="B3113">
        <f>IFERROR(VLOOKUP(A3113,Cadastro_Produtos!A:B,2,FALSE),"")</f>
        <v/>
      </c>
      <c r="D3113" s="12" t="n"/>
      <c r="E3113" s="13">
        <f>IF(D3113="","",D3113-TODAY())</f>
        <v/>
      </c>
      <c r="F3113">
        <f>IF(D3113="","",IF(E3113&lt;0,"VENCIDO",IF(E3113&lt;=30,"VENCE EM &lt;= 30 DIAS",IF(E3113&lt;=60,"ATENCAO (31-60 DIAS)","OK"))))</f>
        <v/>
      </c>
      <c r="G3113" s="13">
        <f>SUMIFS(Movimentacoes!$G:$G,Movimentacoes!$C:$C,$A3113,Movimentacoes!$E:$E,$C3113,Movimentacoes!$B:$B,"ENTRADA")</f>
        <v/>
      </c>
      <c r="H3113" s="13">
        <f>SUMIFS(Movimentacoes!$G:$G,Movimentacoes!$C:$C,$A3113,Movimentacoes!$E:$E,$C3113,Movimentacoes!$B:$B,"SAIDA_USO")</f>
        <v/>
      </c>
      <c r="I3113" s="13">
        <f>SUMIFS(Movimentacoes!$G:$G,Movimentacoes!$C:$C,$A3113,Movimentacoes!$E:$E,$C3113,Movimentacoes!$B:$B,"SAIDA_DESCARTE")</f>
        <v/>
      </c>
      <c r="J3113" s="13">
        <f>G3113-H3113-I3113</f>
        <v/>
      </c>
      <c r="K3113">
        <f>IF(A3113="","",IF(J3113&lt;=IFERROR(VLOOKUP(A3113,Cadastro_Produtos!$A:$E,5,FALSE),0),"ABAIXO DO MINIMO","OK"))</f>
        <v/>
      </c>
    </row>
    <row r="3114">
      <c r="B3114">
        <f>IFERROR(VLOOKUP(A3114,Cadastro_Produtos!A:B,2,FALSE),"")</f>
        <v/>
      </c>
      <c r="D3114" s="12" t="n"/>
      <c r="E3114" s="13">
        <f>IF(D3114="","",D3114-TODAY())</f>
        <v/>
      </c>
      <c r="F3114">
        <f>IF(D3114="","",IF(E3114&lt;0,"VENCIDO",IF(E3114&lt;=30,"VENCE EM &lt;= 30 DIAS",IF(E3114&lt;=60,"ATENCAO (31-60 DIAS)","OK"))))</f>
        <v/>
      </c>
      <c r="G3114" s="13">
        <f>SUMIFS(Movimentacoes!$G:$G,Movimentacoes!$C:$C,$A3114,Movimentacoes!$E:$E,$C3114,Movimentacoes!$B:$B,"ENTRADA")</f>
        <v/>
      </c>
      <c r="H3114" s="13">
        <f>SUMIFS(Movimentacoes!$G:$G,Movimentacoes!$C:$C,$A3114,Movimentacoes!$E:$E,$C3114,Movimentacoes!$B:$B,"SAIDA_USO")</f>
        <v/>
      </c>
      <c r="I3114" s="13">
        <f>SUMIFS(Movimentacoes!$G:$G,Movimentacoes!$C:$C,$A3114,Movimentacoes!$E:$E,$C3114,Movimentacoes!$B:$B,"SAIDA_DESCARTE")</f>
        <v/>
      </c>
      <c r="J3114" s="13">
        <f>G3114-H3114-I3114</f>
        <v/>
      </c>
      <c r="K3114">
        <f>IF(A3114="","",IF(J3114&lt;=IFERROR(VLOOKUP(A3114,Cadastro_Produtos!$A:$E,5,FALSE),0),"ABAIXO DO MINIMO","OK"))</f>
        <v/>
      </c>
    </row>
    <row r="3115">
      <c r="B3115">
        <f>IFERROR(VLOOKUP(A3115,Cadastro_Produtos!A:B,2,FALSE),"")</f>
        <v/>
      </c>
      <c r="D3115" s="12" t="n"/>
      <c r="E3115" s="13">
        <f>IF(D3115="","",D3115-TODAY())</f>
        <v/>
      </c>
      <c r="F3115">
        <f>IF(D3115="","",IF(E3115&lt;0,"VENCIDO",IF(E3115&lt;=30,"VENCE EM &lt;= 30 DIAS",IF(E3115&lt;=60,"ATENCAO (31-60 DIAS)","OK"))))</f>
        <v/>
      </c>
      <c r="G3115" s="13">
        <f>SUMIFS(Movimentacoes!$G:$G,Movimentacoes!$C:$C,$A3115,Movimentacoes!$E:$E,$C3115,Movimentacoes!$B:$B,"ENTRADA")</f>
        <v/>
      </c>
      <c r="H3115" s="13">
        <f>SUMIFS(Movimentacoes!$G:$G,Movimentacoes!$C:$C,$A3115,Movimentacoes!$E:$E,$C3115,Movimentacoes!$B:$B,"SAIDA_USO")</f>
        <v/>
      </c>
      <c r="I3115" s="13">
        <f>SUMIFS(Movimentacoes!$G:$G,Movimentacoes!$C:$C,$A3115,Movimentacoes!$E:$E,$C3115,Movimentacoes!$B:$B,"SAIDA_DESCARTE")</f>
        <v/>
      </c>
      <c r="J3115" s="13">
        <f>G3115-H3115-I3115</f>
        <v/>
      </c>
      <c r="K3115">
        <f>IF(A3115="","",IF(J3115&lt;=IFERROR(VLOOKUP(A3115,Cadastro_Produtos!$A:$E,5,FALSE),0),"ABAIXO DO MINIMO","OK"))</f>
        <v/>
      </c>
    </row>
    <row r="3116">
      <c r="B3116">
        <f>IFERROR(VLOOKUP(A3116,Cadastro_Produtos!A:B,2,FALSE),"")</f>
        <v/>
      </c>
      <c r="D3116" s="12" t="n"/>
      <c r="E3116" s="13">
        <f>IF(D3116="","",D3116-TODAY())</f>
        <v/>
      </c>
      <c r="F3116">
        <f>IF(D3116="","",IF(E3116&lt;0,"VENCIDO",IF(E3116&lt;=30,"VENCE EM &lt;= 30 DIAS",IF(E3116&lt;=60,"ATENCAO (31-60 DIAS)","OK"))))</f>
        <v/>
      </c>
      <c r="G3116" s="13">
        <f>SUMIFS(Movimentacoes!$G:$G,Movimentacoes!$C:$C,$A3116,Movimentacoes!$E:$E,$C3116,Movimentacoes!$B:$B,"ENTRADA")</f>
        <v/>
      </c>
      <c r="H3116" s="13">
        <f>SUMIFS(Movimentacoes!$G:$G,Movimentacoes!$C:$C,$A3116,Movimentacoes!$E:$E,$C3116,Movimentacoes!$B:$B,"SAIDA_USO")</f>
        <v/>
      </c>
      <c r="I3116" s="13">
        <f>SUMIFS(Movimentacoes!$G:$G,Movimentacoes!$C:$C,$A3116,Movimentacoes!$E:$E,$C3116,Movimentacoes!$B:$B,"SAIDA_DESCARTE")</f>
        <v/>
      </c>
      <c r="J3116" s="13">
        <f>G3116-H3116-I3116</f>
        <v/>
      </c>
      <c r="K3116">
        <f>IF(A3116="","",IF(J3116&lt;=IFERROR(VLOOKUP(A3116,Cadastro_Produtos!$A:$E,5,FALSE),0),"ABAIXO DO MINIMO","OK"))</f>
        <v/>
      </c>
    </row>
    <row r="3117">
      <c r="B3117">
        <f>IFERROR(VLOOKUP(A3117,Cadastro_Produtos!A:B,2,FALSE),"")</f>
        <v/>
      </c>
      <c r="D3117" s="12" t="n"/>
      <c r="E3117" s="13">
        <f>IF(D3117="","",D3117-TODAY())</f>
        <v/>
      </c>
      <c r="F3117">
        <f>IF(D3117="","",IF(E3117&lt;0,"VENCIDO",IF(E3117&lt;=30,"VENCE EM &lt;= 30 DIAS",IF(E3117&lt;=60,"ATENCAO (31-60 DIAS)","OK"))))</f>
        <v/>
      </c>
      <c r="G3117" s="13">
        <f>SUMIFS(Movimentacoes!$G:$G,Movimentacoes!$C:$C,$A3117,Movimentacoes!$E:$E,$C3117,Movimentacoes!$B:$B,"ENTRADA")</f>
        <v/>
      </c>
      <c r="H3117" s="13">
        <f>SUMIFS(Movimentacoes!$G:$G,Movimentacoes!$C:$C,$A3117,Movimentacoes!$E:$E,$C3117,Movimentacoes!$B:$B,"SAIDA_USO")</f>
        <v/>
      </c>
      <c r="I3117" s="13">
        <f>SUMIFS(Movimentacoes!$G:$G,Movimentacoes!$C:$C,$A3117,Movimentacoes!$E:$E,$C3117,Movimentacoes!$B:$B,"SAIDA_DESCARTE")</f>
        <v/>
      </c>
      <c r="J3117" s="13">
        <f>G3117-H3117-I3117</f>
        <v/>
      </c>
      <c r="K3117">
        <f>IF(A3117="","",IF(J3117&lt;=IFERROR(VLOOKUP(A3117,Cadastro_Produtos!$A:$E,5,FALSE),0),"ABAIXO DO MINIMO","OK"))</f>
        <v/>
      </c>
    </row>
    <row r="3118">
      <c r="B3118">
        <f>IFERROR(VLOOKUP(A3118,Cadastro_Produtos!A:B,2,FALSE),"")</f>
        <v/>
      </c>
      <c r="D3118" s="12" t="n"/>
      <c r="E3118" s="13">
        <f>IF(D3118="","",D3118-TODAY())</f>
        <v/>
      </c>
      <c r="F3118">
        <f>IF(D3118="","",IF(E3118&lt;0,"VENCIDO",IF(E3118&lt;=30,"VENCE EM &lt;= 30 DIAS",IF(E3118&lt;=60,"ATENCAO (31-60 DIAS)","OK"))))</f>
        <v/>
      </c>
      <c r="G3118" s="13">
        <f>SUMIFS(Movimentacoes!$G:$G,Movimentacoes!$C:$C,$A3118,Movimentacoes!$E:$E,$C3118,Movimentacoes!$B:$B,"ENTRADA")</f>
        <v/>
      </c>
      <c r="H3118" s="13">
        <f>SUMIFS(Movimentacoes!$G:$G,Movimentacoes!$C:$C,$A3118,Movimentacoes!$E:$E,$C3118,Movimentacoes!$B:$B,"SAIDA_USO")</f>
        <v/>
      </c>
      <c r="I3118" s="13">
        <f>SUMIFS(Movimentacoes!$G:$G,Movimentacoes!$C:$C,$A3118,Movimentacoes!$E:$E,$C3118,Movimentacoes!$B:$B,"SAIDA_DESCARTE")</f>
        <v/>
      </c>
      <c r="J3118" s="13">
        <f>G3118-H3118-I3118</f>
        <v/>
      </c>
      <c r="K3118">
        <f>IF(A3118="","",IF(J3118&lt;=IFERROR(VLOOKUP(A3118,Cadastro_Produtos!$A:$E,5,FALSE),0),"ABAIXO DO MINIMO","OK"))</f>
        <v/>
      </c>
    </row>
    <row r="3119">
      <c r="B3119">
        <f>IFERROR(VLOOKUP(A3119,Cadastro_Produtos!A:B,2,FALSE),"")</f>
        <v/>
      </c>
      <c r="D3119" s="12" t="n"/>
      <c r="E3119" s="13">
        <f>IF(D3119="","",D3119-TODAY())</f>
        <v/>
      </c>
      <c r="F3119">
        <f>IF(D3119="","",IF(E3119&lt;0,"VENCIDO",IF(E3119&lt;=30,"VENCE EM &lt;= 30 DIAS",IF(E3119&lt;=60,"ATENCAO (31-60 DIAS)","OK"))))</f>
        <v/>
      </c>
      <c r="G3119" s="13">
        <f>SUMIFS(Movimentacoes!$G:$G,Movimentacoes!$C:$C,$A3119,Movimentacoes!$E:$E,$C3119,Movimentacoes!$B:$B,"ENTRADA")</f>
        <v/>
      </c>
      <c r="H3119" s="13">
        <f>SUMIFS(Movimentacoes!$G:$G,Movimentacoes!$C:$C,$A3119,Movimentacoes!$E:$E,$C3119,Movimentacoes!$B:$B,"SAIDA_USO")</f>
        <v/>
      </c>
      <c r="I3119" s="13">
        <f>SUMIFS(Movimentacoes!$G:$G,Movimentacoes!$C:$C,$A3119,Movimentacoes!$E:$E,$C3119,Movimentacoes!$B:$B,"SAIDA_DESCARTE")</f>
        <v/>
      </c>
      <c r="J3119" s="13">
        <f>G3119-H3119-I3119</f>
        <v/>
      </c>
      <c r="K3119">
        <f>IF(A3119="","",IF(J3119&lt;=IFERROR(VLOOKUP(A3119,Cadastro_Produtos!$A:$E,5,FALSE),0),"ABAIXO DO MINIMO","OK"))</f>
        <v/>
      </c>
    </row>
    <row r="3120">
      <c r="B3120">
        <f>IFERROR(VLOOKUP(A3120,Cadastro_Produtos!A:B,2,FALSE),"")</f>
        <v/>
      </c>
      <c r="D3120" s="12" t="n"/>
      <c r="E3120" s="13">
        <f>IF(D3120="","",D3120-TODAY())</f>
        <v/>
      </c>
      <c r="F3120">
        <f>IF(D3120="","",IF(E3120&lt;0,"VENCIDO",IF(E3120&lt;=30,"VENCE EM &lt;= 30 DIAS",IF(E3120&lt;=60,"ATENCAO (31-60 DIAS)","OK"))))</f>
        <v/>
      </c>
      <c r="G3120" s="13">
        <f>SUMIFS(Movimentacoes!$G:$G,Movimentacoes!$C:$C,$A3120,Movimentacoes!$E:$E,$C3120,Movimentacoes!$B:$B,"ENTRADA")</f>
        <v/>
      </c>
      <c r="H3120" s="13">
        <f>SUMIFS(Movimentacoes!$G:$G,Movimentacoes!$C:$C,$A3120,Movimentacoes!$E:$E,$C3120,Movimentacoes!$B:$B,"SAIDA_USO")</f>
        <v/>
      </c>
      <c r="I3120" s="13">
        <f>SUMIFS(Movimentacoes!$G:$G,Movimentacoes!$C:$C,$A3120,Movimentacoes!$E:$E,$C3120,Movimentacoes!$B:$B,"SAIDA_DESCARTE")</f>
        <v/>
      </c>
      <c r="J3120" s="13">
        <f>G3120-H3120-I3120</f>
        <v/>
      </c>
      <c r="K3120">
        <f>IF(A3120="","",IF(J3120&lt;=IFERROR(VLOOKUP(A3120,Cadastro_Produtos!$A:$E,5,FALSE),0),"ABAIXO DO MINIMO","OK"))</f>
        <v/>
      </c>
    </row>
    <row r="3121">
      <c r="B3121">
        <f>IFERROR(VLOOKUP(A3121,Cadastro_Produtos!A:B,2,FALSE),"")</f>
        <v/>
      </c>
      <c r="D3121" s="12" t="n"/>
      <c r="E3121" s="13">
        <f>IF(D3121="","",D3121-TODAY())</f>
        <v/>
      </c>
      <c r="F3121">
        <f>IF(D3121="","",IF(E3121&lt;0,"VENCIDO",IF(E3121&lt;=30,"VENCE EM &lt;= 30 DIAS",IF(E3121&lt;=60,"ATENCAO (31-60 DIAS)","OK"))))</f>
        <v/>
      </c>
      <c r="G3121" s="13">
        <f>SUMIFS(Movimentacoes!$G:$G,Movimentacoes!$C:$C,$A3121,Movimentacoes!$E:$E,$C3121,Movimentacoes!$B:$B,"ENTRADA")</f>
        <v/>
      </c>
      <c r="H3121" s="13">
        <f>SUMIFS(Movimentacoes!$G:$G,Movimentacoes!$C:$C,$A3121,Movimentacoes!$E:$E,$C3121,Movimentacoes!$B:$B,"SAIDA_USO")</f>
        <v/>
      </c>
      <c r="I3121" s="13">
        <f>SUMIFS(Movimentacoes!$G:$G,Movimentacoes!$C:$C,$A3121,Movimentacoes!$E:$E,$C3121,Movimentacoes!$B:$B,"SAIDA_DESCARTE")</f>
        <v/>
      </c>
      <c r="J3121" s="13">
        <f>G3121-H3121-I3121</f>
        <v/>
      </c>
      <c r="K3121">
        <f>IF(A3121="","",IF(J3121&lt;=IFERROR(VLOOKUP(A3121,Cadastro_Produtos!$A:$E,5,FALSE),0),"ABAIXO DO MINIMO","OK"))</f>
        <v/>
      </c>
    </row>
    <row r="3122">
      <c r="B3122">
        <f>IFERROR(VLOOKUP(A3122,Cadastro_Produtos!A:B,2,FALSE),"")</f>
        <v/>
      </c>
      <c r="D3122" s="12" t="n"/>
      <c r="E3122" s="13">
        <f>IF(D3122="","",D3122-TODAY())</f>
        <v/>
      </c>
      <c r="F3122">
        <f>IF(D3122="","",IF(E3122&lt;0,"VENCIDO",IF(E3122&lt;=30,"VENCE EM &lt;= 30 DIAS",IF(E3122&lt;=60,"ATENCAO (31-60 DIAS)","OK"))))</f>
        <v/>
      </c>
      <c r="G3122" s="13">
        <f>SUMIFS(Movimentacoes!$G:$G,Movimentacoes!$C:$C,$A3122,Movimentacoes!$E:$E,$C3122,Movimentacoes!$B:$B,"ENTRADA")</f>
        <v/>
      </c>
      <c r="H3122" s="13">
        <f>SUMIFS(Movimentacoes!$G:$G,Movimentacoes!$C:$C,$A3122,Movimentacoes!$E:$E,$C3122,Movimentacoes!$B:$B,"SAIDA_USO")</f>
        <v/>
      </c>
      <c r="I3122" s="13">
        <f>SUMIFS(Movimentacoes!$G:$G,Movimentacoes!$C:$C,$A3122,Movimentacoes!$E:$E,$C3122,Movimentacoes!$B:$B,"SAIDA_DESCARTE")</f>
        <v/>
      </c>
      <c r="J3122" s="13">
        <f>G3122-H3122-I3122</f>
        <v/>
      </c>
      <c r="K3122">
        <f>IF(A3122="","",IF(J3122&lt;=IFERROR(VLOOKUP(A3122,Cadastro_Produtos!$A:$E,5,FALSE),0),"ABAIXO DO MINIMO","OK"))</f>
        <v/>
      </c>
    </row>
    <row r="3123">
      <c r="B3123">
        <f>IFERROR(VLOOKUP(A3123,Cadastro_Produtos!A:B,2,FALSE),"")</f>
        <v/>
      </c>
      <c r="D3123" s="12" t="n"/>
      <c r="E3123" s="13">
        <f>IF(D3123="","",D3123-TODAY())</f>
        <v/>
      </c>
      <c r="F3123">
        <f>IF(D3123="","",IF(E3123&lt;0,"VENCIDO",IF(E3123&lt;=30,"VENCE EM &lt;= 30 DIAS",IF(E3123&lt;=60,"ATENCAO (31-60 DIAS)","OK"))))</f>
        <v/>
      </c>
      <c r="G3123" s="13">
        <f>SUMIFS(Movimentacoes!$G:$G,Movimentacoes!$C:$C,$A3123,Movimentacoes!$E:$E,$C3123,Movimentacoes!$B:$B,"ENTRADA")</f>
        <v/>
      </c>
      <c r="H3123" s="13">
        <f>SUMIFS(Movimentacoes!$G:$G,Movimentacoes!$C:$C,$A3123,Movimentacoes!$E:$E,$C3123,Movimentacoes!$B:$B,"SAIDA_USO")</f>
        <v/>
      </c>
      <c r="I3123" s="13">
        <f>SUMIFS(Movimentacoes!$G:$G,Movimentacoes!$C:$C,$A3123,Movimentacoes!$E:$E,$C3123,Movimentacoes!$B:$B,"SAIDA_DESCARTE")</f>
        <v/>
      </c>
      <c r="J3123" s="13">
        <f>G3123-H3123-I3123</f>
        <v/>
      </c>
      <c r="K3123">
        <f>IF(A3123="","",IF(J3123&lt;=IFERROR(VLOOKUP(A3123,Cadastro_Produtos!$A:$E,5,FALSE),0),"ABAIXO DO MINIMO","OK"))</f>
        <v/>
      </c>
    </row>
    <row r="3124">
      <c r="B3124">
        <f>IFERROR(VLOOKUP(A3124,Cadastro_Produtos!A:B,2,FALSE),"")</f>
        <v/>
      </c>
      <c r="D3124" s="12" t="n"/>
      <c r="E3124" s="13">
        <f>IF(D3124="","",D3124-TODAY())</f>
        <v/>
      </c>
      <c r="F3124">
        <f>IF(D3124="","",IF(E3124&lt;0,"VENCIDO",IF(E3124&lt;=30,"VENCE EM &lt;= 30 DIAS",IF(E3124&lt;=60,"ATENCAO (31-60 DIAS)","OK"))))</f>
        <v/>
      </c>
      <c r="G3124" s="13">
        <f>SUMIFS(Movimentacoes!$G:$G,Movimentacoes!$C:$C,$A3124,Movimentacoes!$E:$E,$C3124,Movimentacoes!$B:$B,"ENTRADA")</f>
        <v/>
      </c>
      <c r="H3124" s="13">
        <f>SUMIFS(Movimentacoes!$G:$G,Movimentacoes!$C:$C,$A3124,Movimentacoes!$E:$E,$C3124,Movimentacoes!$B:$B,"SAIDA_USO")</f>
        <v/>
      </c>
      <c r="I3124" s="13">
        <f>SUMIFS(Movimentacoes!$G:$G,Movimentacoes!$C:$C,$A3124,Movimentacoes!$E:$E,$C3124,Movimentacoes!$B:$B,"SAIDA_DESCARTE")</f>
        <v/>
      </c>
      <c r="J3124" s="13">
        <f>G3124-H3124-I3124</f>
        <v/>
      </c>
      <c r="K3124">
        <f>IF(A3124="","",IF(J3124&lt;=IFERROR(VLOOKUP(A3124,Cadastro_Produtos!$A:$E,5,FALSE),0),"ABAIXO DO MINIMO","OK"))</f>
        <v/>
      </c>
    </row>
    <row r="3125">
      <c r="B3125">
        <f>IFERROR(VLOOKUP(A3125,Cadastro_Produtos!A:B,2,FALSE),"")</f>
        <v/>
      </c>
      <c r="D3125" s="12" t="n"/>
      <c r="E3125" s="13">
        <f>IF(D3125="","",D3125-TODAY())</f>
        <v/>
      </c>
      <c r="F3125">
        <f>IF(D3125="","",IF(E3125&lt;0,"VENCIDO",IF(E3125&lt;=30,"VENCE EM &lt;= 30 DIAS",IF(E3125&lt;=60,"ATENCAO (31-60 DIAS)","OK"))))</f>
        <v/>
      </c>
      <c r="G3125" s="13">
        <f>SUMIFS(Movimentacoes!$G:$G,Movimentacoes!$C:$C,$A3125,Movimentacoes!$E:$E,$C3125,Movimentacoes!$B:$B,"ENTRADA")</f>
        <v/>
      </c>
      <c r="H3125" s="13">
        <f>SUMIFS(Movimentacoes!$G:$G,Movimentacoes!$C:$C,$A3125,Movimentacoes!$E:$E,$C3125,Movimentacoes!$B:$B,"SAIDA_USO")</f>
        <v/>
      </c>
      <c r="I3125" s="13">
        <f>SUMIFS(Movimentacoes!$G:$G,Movimentacoes!$C:$C,$A3125,Movimentacoes!$E:$E,$C3125,Movimentacoes!$B:$B,"SAIDA_DESCARTE")</f>
        <v/>
      </c>
      <c r="J3125" s="13">
        <f>G3125-H3125-I3125</f>
        <v/>
      </c>
      <c r="K3125">
        <f>IF(A3125="","",IF(J3125&lt;=IFERROR(VLOOKUP(A3125,Cadastro_Produtos!$A:$E,5,FALSE),0),"ABAIXO DO MINIMO","OK"))</f>
        <v/>
      </c>
    </row>
    <row r="3126">
      <c r="B3126">
        <f>IFERROR(VLOOKUP(A3126,Cadastro_Produtos!A:B,2,FALSE),"")</f>
        <v/>
      </c>
      <c r="D3126" s="12" t="n"/>
      <c r="E3126" s="13">
        <f>IF(D3126="","",D3126-TODAY())</f>
        <v/>
      </c>
      <c r="F3126">
        <f>IF(D3126="","",IF(E3126&lt;0,"VENCIDO",IF(E3126&lt;=30,"VENCE EM &lt;= 30 DIAS",IF(E3126&lt;=60,"ATENCAO (31-60 DIAS)","OK"))))</f>
        <v/>
      </c>
      <c r="G3126" s="13">
        <f>SUMIFS(Movimentacoes!$G:$G,Movimentacoes!$C:$C,$A3126,Movimentacoes!$E:$E,$C3126,Movimentacoes!$B:$B,"ENTRADA")</f>
        <v/>
      </c>
      <c r="H3126" s="13">
        <f>SUMIFS(Movimentacoes!$G:$G,Movimentacoes!$C:$C,$A3126,Movimentacoes!$E:$E,$C3126,Movimentacoes!$B:$B,"SAIDA_USO")</f>
        <v/>
      </c>
      <c r="I3126" s="13">
        <f>SUMIFS(Movimentacoes!$G:$G,Movimentacoes!$C:$C,$A3126,Movimentacoes!$E:$E,$C3126,Movimentacoes!$B:$B,"SAIDA_DESCARTE")</f>
        <v/>
      </c>
      <c r="J3126" s="13">
        <f>G3126-H3126-I3126</f>
        <v/>
      </c>
      <c r="K3126">
        <f>IF(A3126="","",IF(J3126&lt;=IFERROR(VLOOKUP(A3126,Cadastro_Produtos!$A:$E,5,FALSE),0),"ABAIXO DO MINIMO","OK"))</f>
        <v/>
      </c>
    </row>
    <row r="3127">
      <c r="B3127">
        <f>IFERROR(VLOOKUP(A3127,Cadastro_Produtos!A:B,2,FALSE),"")</f>
        <v/>
      </c>
      <c r="D3127" s="12" t="n"/>
      <c r="E3127" s="13">
        <f>IF(D3127="","",D3127-TODAY())</f>
        <v/>
      </c>
      <c r="F3127">
        <f>IF(D3127="","",IF(E3127&lt;0,"VENCIDO",IF(E3127&lt;=30,"VENCE EM &lt;= 30 DIAS",IF(E3127&lt;=60,"ATENCAO (31-60 DIAS)","OK"))))</f>
        <v/>
      </c>
      <c r="G3127" s="13">
        <f>SUMIFS(Movimentacoes!$G:$G,Movimentacoes!$C:$C,$A3127,Movimentacoes!$E:$E,$C3127,Movimentacoes!$B:$B,"ENTRADA")</f>
        <v/>
      </c>
      <c r="H3127" s="13">
        <f>SUMIFS(Movimentacoes!$G:$G,Movimentacoes!$C:$C,$A3127,Movimentacoes!$E:$E,$C3127,Movimentacoes!$B:$B,"SAIDA_USO")</f>
        <v/>
      </c>
      <c r="I3127" s="13">
        <f>SUMIFS(Movimentacoes!$G:$G,Movimentacoes!$C:$C,$A3127,Movimentacoes!$E:$E,$C3127,Movimentacoes!$B:$B,"SAIDA_DESCARTE")</f>
        <v/>
      </c>
      <c r="J3127" s="13">
        <f>G3127-H3127-I3127</f>
        <v/>
      </c>
      <c r="K3127">
        <f>IF(A3127="","",IF(J3127&lt;=IFERROR(VLOOKUP(A3127,Cadastro_Produtos!$A:$E,5,FALSE),0),"ABAIXO DO MINIMO","OK"))</f>
        <v/>
      </c>
    </row>
    <row r="3128">
      <c r="B3128">
        <f>IFERROR(VLOOKUP(A3128,Cadastro_Produtos!A:B,2,FALSE),"")</f>
        <v/>
      </c>
      <c r="D3128" s="12" t="n"/>
      <c r="E3128" s="13">
        <f>IF(D3128="","",D3128-TODAY())</f>
        <v/>
      </c>
      <c r="F3128">
        <f>IF(D3128="","",IF(E3128&lt;0,"VENCIDO",IF(E3128&lt;=30,"VENCE EM &lt;= 30 DIAS",IF(E3128&lt;=60,"ATENCAO (31-60 DIAS)","OK"))))</f>
        <v/>
      </c>
      <c r="G3128" s="13">
        <f>SUMIFS(Movimentacoes!$G:$G,Movimentacoes!$C:$C,$A3128,Movimentacoes!$E:$E,$C3128,Movimentacoes!$B:$B,"ENTRADA")</f>
        <v/>
      </c>
      <c r="H3128" s="13">
        <f>SUMIFS(Movimentacoes!$G:$G,Movimentacoes!$C:$C,$A3128,Movimentacoes!$E:$E,$C3128,Movimentacoes!$B:$B,"SAIDA_USO")</f>
        <v/>
      </c>
      <c r="I3128" s="13">
        <f>SUMIFS(Movimentacoes!$G:$G,Movimentacoes!$C:$C,$A3128,Movimentacoes!$E:$E,$C3128,Movimentacoes!$B:$B,"SAIDA_DESCARTE")</f>
        <v/>
      </c>
      <c r="J3128" s="13">
        <f>G3128-H3128-I3128</f>
        <v/>
      </c>
      <c r="K3128">
        <f>IF(A3128="","",IF(J3128&lt;=IFERROR(VLOOKUP(A3128,Cadastro_Produtos!$A:$E,5,FALSE),0),"ABAIXO DO MINIMO","OK"))</f>
        <v/>
      </c>
    </row>
    <row r="3129">
      <c r="B3129">
        <f>IFERROR(VLOOKUP(A3129,Cadastro_Produtos!A:B,2,FALSE),"")</f>
        <v/>
      </c>
      <c r="D3129" s="12" t="n"/>
      <c r="E3129" s="13">
        <f>IF(D3129="","",D3129-TODAY())</f>
        <v/>
      </c>
      <c r="F3129">
        <f>IF(D3129="","",IF(E3129&lt;0,"VENCIDO",IF(E3129&lt;=30,"VENCE EM &lt;= 30 DIAS",IF(E3129&lt;=60,"ATENCAO (31-60 DIAS)","OK"))))</f>
        <v/>
      </c>
      <c r="G3129" s="13">
        <f>SUMIFS(Movimentacoes!$G:$G,Movimentacoes!$C:$C,$A3129,Movimentacoes!$E:$E,$C3129,Movimentacoes!$B:$B,"ENTRADA")</f>
        <v/>
      </c>
      <c r="H3129" s="13">
        <f>SUMIFS(Movimentacoes!$G:$G,Movimentacoes!$C:$C,$A3129,Movimentacoes!$E:$E,$C3129,Movimentacoes!$B:$B,"SAIDA_USO")</f>
        <v/>
      </c>
      <c r="I3129" s="13">
        <f>SUMIFS(Movimentacoes!$G:$G,Movimentacoes!$C:$C,$A3129,Movimentacoes!$E:$E,$C3129,Movimentacoes!$B:$B,"SAIDA_DESCARTE")</f>
        <v/>
      </c>
      <c r="J3129" s="13">
        <f>G3129-H3129-I3129</f>
        <v/>
      </c>
      <c r="K3129">
        <f>IF(A3129="","",IF(J3129&lt;=IFERROR(VLOOKUP(A3129,Cadastro_Produtos!$A:$E,5,FALSE),0),"ABAIXO DO MINIMO","OK"))</f>
        <v/>
      </c>
    </row>
    <row r="3130">
      <c r="B3130">
        <f>IFERROR(VLOOKUP(A3130,Cadastro_Produtos!A:B,2,FALSE),"")</f>
        <v/>
      </c>
      <c r="D3130" s="12" t="n"/>
      <c r="E3130" s="13">
        <f>IF(D3130="","",D3130-TODAY())</f>
        <v/>
      </c>
      <c r="F3130">
        <f>IF(D3130="","",IF(E3130&lt;0,"VENCIDO",IF(E3130&lt;=30,"VENCE EM &lt;= 30 DIAS",IF(E3130&lt;=60,"ATENCAO (31-60 DIAS)","OK"))))</f>
        <v/>
      </c>
      <c r="G3130" s="13">
        <f>SUMIFS(Movimentacoes!$G:$G,Movimentacoes!$C:$C,$A3130,Movimentacoes!$E:$E,$C3130,Movimentacoes!$B:$B,"ENTRADA")</f>
        <v/>
      </c>
      <c r="H3130" s="13">
        <f>SUMIFS(Movimentacoes!$G:$G,Movimentacoes!$C:$C,$A3130,Movimentacoes!$E:$E,$C3130,Movimentacoes!$B:$B,"SAIDA_USO")</f>
        <v/>
      </c>
      <c r="I3130" s="13">
        <f>SUMIFS(Movimentacoes!$G:$G,Movimentacoes!$C:$C,$A3130,Movimentacoes!$E:$E,$C3130,Movimentacoes!$B:$B,"SAIDA_DESCARTE")</f>
        <v/>
      </c>
      <c r="J3130" s="13">
        <f>G3130-H3130-I3130</f>
        <v/>
      </c>
      <c r="K3130">
        <f>IF(A3130="","",IF(J3130&lt;=IFERROR(VLOOKUP(A3130,Cadastro_Produtos!$A:$E,5,FALSE),0),"ABAIXO DO MINIMO","OK"))</f>
        <v/>
      </c>
    </row>
    <row r="3131">
      <c r="B3131">
        <f>IFERROR(VLOOKUP(A3131,Cadastro_Produtos!A:B,2,FALSE),"")</f>
        <v/>
      </c>
      <c r="D3131" s="12" t="n"/>
      <c r="E3131" s="13">
        <f>IF(D3131="","",D3131-TODAY())</f>
        <v/>
      </c>
      <c r="F3131">
        <f>IF(D3131="","",IF(E3131&lt;0,"VENCIDO",IF(E3131&lt;=30,"VENCE EM &lt;= 30 DIAS",IF(E3131&lt;=60,"ATENCAO (31-60 DIAS)","OK"))))</f>
        <v/>
      </c>
      <c r="G3131" s="13">
        <f>SUMIFS(Movimentacoes!$G:$G,Movimentacoes!$C:$C,$A3131,Movimentacoes!$E:$E,$C3131,Movimentacoes!$B:$B,"ENTRADA")</f>
        <v/>
      </c>
      <c r="H3131" s="13">
        <f>SUMIFS(Movimentacoes!$G:$G,Movimentacoes!$C:$C,$A3131,Movimentacoes!$E:$E,$C3131,Movimentacoes!$B:$B,"SAIDA_USO")</f>
        <v/>
      </c>
      <c r="I3131" s="13">
        <f>SUMIFS(Movimentacoes!$G:$G,Movimentacoes!$C:$C,$A3131,Movimentacoes!$E:$E,$C3131,Movimentacoes!$B:$B,"SAIDA_DESCARTE")</f>
        <v/>
      </c>
      <c r="J3131" s="13">
        <f>G3131-H3131-I3131</f>
        <v/>
      </c>
      <c r="K3131">
        <f>IF(A3131="","",IF(J3131&lt;=IFERROR(VLOOKUP(A3131,Cadastro_Produtos!$A:$E,5,FALSE),0),"ABAIXO DO MINIMO","OK"))</f>
        <v/>
      </c>
    </row>
    <row r="3132">
      <c r="B3132">
        <f>IFERROR(VLOOKUP(A3132,Cadastro_Produtos!A:B,2,FALSE),"")</f>
        <v/>
      </c>
      <c r="D3132" s="12" t="n"/>
      <c r="E3132" s="13">
        <f>IF(D3132="","",D3132-TODAY())</f>
        <v/>
      </c>
      <c r="F3132">
        <f>IF(D3132="","",IF(E3132&lt;0,"VENCIDO",IF(E3132&lt;=30,"VENCE EM &lt;= 30 DIAS",IF(E3132&lt;=60,"ATENCAO (31-60 DIAS)","OK"))))</f>
        <v/>
      </c>
      <c r="G3132" s="13">
        <f>SUMIFS(Movimentacoes!$G:$G,Movimentacoes!$C:$C,$A3132,Movimentacoes!$E:$E,$C3132,Movimentacoes!$B:$B,"ENTRADA")</f>
        <v/>
      </c>
      <c r="H3132" s="13">
        <f>SUMIFS(Movimentacoes!$G:$G,Movimentacoes!$C:$C,$A3132,Movimentacoes!$E:$E,$C3132,Movimentacoes!$B:$B,"SAIDA_USO")</f>
        <v/>
      </c>
      <c r="I3132" s="13">
        <f>SUMIFS(Movimentacoes!$G:$G,Movimentacoes!$C:$C,$A3132,Movimentacoes!$E:$E,$C3132,Movimentacoes!$B:$B,"SAIDA_DESCARTE")</f>
        <v/>
      </c>
      <c r="J3132" s="13">
        <f>G3132-H3132-I3132</f>
        <v/>
      </c>
      <c r="K3132">
        <f>IF(A3132="","",IF(J3132&lt;=IFERROR(VLOOKUP(A3132,Cadastro_Produtos!$A:$E,5,FALSE),0),"ABAIXO DO MINIMO","OK"))</f>
        <v/>
      </c>
    </row>
    <row r="3133">
      <c r="B3133">
        <f>IFERROR(VLOOKUP(A3133,Cadastro_Produtos!A:B,2,FALSE),"")</f>
        <v/>
      </c>
      <c r="D3133" s="12" t="n"/>
      <c r="E3133" s="13">
        <f>IF(D3133="","",D3133-TODAY())</f>
        <v/>
      </c>
      <c r="F3133">
        <f>IF(D3133="","",IF(E3133&lt;0,"VENCIDO",IF(E3133&lt;=30,"VENCE EM &lt;= 30 DIAS",IF(E3133&lt;=60,"ATENCAO (31-60 DIAS)","OK"))))</f>
        <v/>
      </c>
      <c r="G3133" s="13">
        <f>SUMIFS(Movimentacoes!$G:$G,Movimentacoes!$C:$C,$A3133,Movimentacoes!$E:$E,$C3133,Movimentacoes!$B:$B,"ENTRADA")</f>
        <v/>
      </c>
      <c r="H3133" s="13">
        <f>SUMIFS(Movimentacoes!$G:$G,Movimentacoes!$C:$C,$A3133,Movimentacoes!$E:$E,$C3133,Movimentacoes!$B:$B,"SAIDA_USO")</f>
        <v/>
      </c>
      <c r="I3133" s="13">
        <f>SUMIFS(Movimentacoes!$G:$G,Movimentacoes!$C:$C,$A3133,Movimentacoes!$E:$E,$C3133,Movimentacoes!$B:$B,"SAIDA_DESCARTE")</f>
        <v/>
      </c>
      <c r="J3133" s="13">
        <f>G3133-H3133-I3133</f>
        <v/>
      </c>
      <c r="K3133">
        <f>IF(A3133="","",IF(J3133&lt;=IFERROR(VLOOKUP(A3133,Cadastro_Produtos!$A:$E,5,FALSE),0),"ABAIXO DO MINIMO","OK"))</f>
        <v/>
      </c>
    </row>
    <row r="3134">
      <c r="B3134">
        <f>IFERROR(VLOOKUP(A3134,Cadastro_Produtos!A:B,2,FALSE),"")</f>
        <v/>
      </c>
      <c r="D3134" s="12" t="n"/>
      <c r="E3134" s="13">
        <f>IF(D3134="","",D3134-TODAY())</f>
        <v/>
      </c>
      <c r="F3134">
        <f>IF(D3134="","",IF(E3134&lt;0,"VENCIDO",IF(E3134&lt;=30,"VENCE EM &lt;= 30 DIAS",IF(E3134&lt;=60,"ATENCAO (31-60 DIAS)","OK"))))</f>
        <v/>
      </c>
      <c r="G3134" s="13">
        <f>SUMIFS(Movimentacoes!$G:$G,Movimentacoes!$C:$C,$A3134,Movimentacoes!$E:$E,$C3134,Movimentacoes!$B:$B,"ENTRADA")</f>
        <v/>
      </c>
      <c r="H3134" s="13">
        <f>SUMIFS(Movimentacoes!$G:$G,Movimentacoes!$C:$C,$A3134,Movimentacoes!$E:$E,$C3134,Movimentacoes!$B:$B,"SAIDA_USO")</f>
        <v/>
      </c>
      <c r="I3134" s="13">
        <f>SUMIFS(Movimentacoes!$G:$G,Movimentacoes!$C:$C,$A3134,Movimentacoes!$E:$E,$C3134,Movimentacoes!$B:$B,"SAIDA_DESCARTE")</f>
        <v/>
      </c>
      <c r="J3134" s="13">
        <f>G3134-H3134-I3134</f>
        <v/>
      </c>
      <c r="K3134">
        <f>IF(A3134="","",IF(J3134&lt;=IFERROR(VLOOKUP(A3134,Cadastro_Produtos!$A:$E,5,FALSE),0),"ABAIXO DO MINIMO","OK"))</f>
        <v/>
      </c>
    </row>
    <row r="3135">
      <c r="B3135">
        <f>IFERROR(VLOOKUP(A3135,Cadastro_Produtos!A:B,2,FALSE),"")</f>
        <v/>
      </c>
      <c r="D3135" s="12" t="n"/>
      <c r="E3135" s="13">
        <f>IF(D3135="","",D3135-TODAY())</f>
        <v/>
      </c>
      <c r="F3135">
        <f>IF(D3135="","",IF(E3135&lt;0,"VENCIDO",IF(E3135&lt;=30,"VENCE EM &lt;= 30 DIAS",IF(E3135&lt;=60,"ATENCAO (31-60 DIAS)","OK"))))</f>
        <v/>
      </c>
      <c r="G3135" s="13">
        <f>SUMIFS(Movimentacoes!$G:$G,Movimentacoes!$C:$C,$A3135,Movimentacoes!$E:$E,$C3135,Movimentacoes!$B:$B,"ENTRADA")</f>
        <v/>
      </c>
      <c r="H3135" s="13">
        <f>SUMIFS(Movimentacoes!$G:$G,Movimentacoes!$C:$C,$A3135,Movimentacoes!$E:$E,$C3135,Movimentacoes!$B:$B,"SAIDA_USO")</f>
        <v/>
      </c>
      <c r="I3135" s="13">
        <f>SUMIFS(Movimentacoes!$G:$G,Movimentacoes!$C:$C,$A3135,Movimentacoes!$E:$E,$C3135,Movimentacoes!$B:$B,"SAIDA_DESCARTE")</f>
        <v/>
      </c>
      <c r="J3135" s="13">
        <f>G3135-H3135-I3135</f>
        <v/>
      </c>
      <c r="K3135">
        <f>IF(A3135="","",IF(J3135&lt;=IFERROR(VLOOKUP(A3135,Cadastro_Produtos!$A:$E,5,FALSE),0),"ABAIXO DO MINIMO","OK"))</f>
        <v/>
      </c>
    </row>
    <row r="3136">
      <c r="B3136">
        <f>IFERROR(VLOOKUP(A3136,Cadastro_Produtos!A:B,2,FALSE),"")</f>
        <v/>
      </c>
      <c r="D3136" s="12" t="n"/>
      <c r="E3136" s="13">
        <f>IF(D3136="","",D3136-TODAY())</f>
        <v/>
      </c>
      <c r="F3136">
        <f>IF(D3136="","",IF(E3136&lt;0,"VENCIDO",IF(E3136&lt;=30,"VENCE EM &lt;= 30 DIAS",IF(E3136&lt;=60,"ATENCAO (31-60 DIAS)","OK"))))</f>
        <v/>
      </c>
      <c r="G3136" s="13">
        <f>SUMIFS(Movimentacoes!$G:$G,Movimentacoes!$C:$C,$A3136,Movimentacoes!$E:$E,$C3136,Movimentacoes!$B:$B,"ENTRADA")</f>
        <v/>
      </c>
      <c r="H3136" s="13">
        <f>SUMIFS(Movimentacoes!$G:$G,Movimentacoes!$C:$C,$A3136,Movimentacoes!$E:$E,$C3136,Movimentacoes!$B:$B,"SAIDA_USO")</f>
        <v/>
      </c>
      <c r="I3136" s="13">
        <f>SUMIFS(Movimentacoes!$G:$G,Movimentacoes!$C:$C,$A3136,Movimentacoes!$E:$E,$C3136,Movimentacoes!$B:$B,"SAIDA_DESCARTE")</f>
        <v/>
      </c>
      <c r="J3136" s="13">
        <f>G3136-H3136-I3136</f>
        <v/>
      </c>
      <c r="K3136">
        <f>IF(A3136="","",IF(J3136&lt;=IFERROR(VLOOKUP(A3136,Cadastro_Produtos!$A:$E,5,FALSE),0),"ABAIXO DO MINIMO","OK"))</f>
        <v/>
      </c>
    </row>
    <row r="3137">
      <c r="B3137">
        <f>IFERROR(VLOOKUP(A3137,Cadastro_Produtos!A:B,2,FALSE),"")</f>
        <v/>
      </c>
      <c r="D3137" s="12" t="n"/>
      <c r="E3137" s="13">
        <f>IF(D3137="","",D3137-TODAY())</f>
        <v/>
      </c>
      <c r="F3137">
        <f>IF(D3137="","",IF(E3137&lt;0,"VENCIDO",IF(E3137&lt;=30,"VENCE EM &lt;= 30 DIAS",IF(E3137&lt;=60,"ATENCAO (31-60 DIAS)","OK"))))</f>
        <v/>
      </c>
      <c r="G3137" s="13">
        <f>SUMIFS(Movimentacoes!$G:$G,Movimentacoes!$C:$C,$A3137,Movimentacoes!$E:$E,$C3137,Movimentacoes!$B:$B,"ENTRADA")</f>
        <v/>
      </c>
      <c r="H3137" s="13">
        <f>SUMIFS(Movimentacoes!$G:$G,Movimentacoes!$C:$C,$A3137,Movimentacoes!$E:$E,$C3137,Movimentacoes!$B:$B,"SAIDA_USO")</f>
        <v/>
      </c>
      <c r="I3137" s="13">
        <f>SUMIFS(Movimentacoes!$G:$G,Movimentacoes!$C:$C,$A3137,Movimentacoes!$E:$E,$C3137,Movimentacoes!$B:$B,"SAIDA_DESCARTE")</f>
        <v/>
      </c>
      <c r="J3137" s="13">
        <f>G3137-H3137-I3137</f>
        <v/>
      </c>
      <c r="K3137">
        <f>IF(A3137="","",IF(J3137&lt;=IFERROR(VLOOKUP(A3137,Cadastro_Produtos!$A:$E,5,FALSE),0),"ABAIXO DO MINIMO","OK"))</f>
        <v/>
      </c>
    </row>
    <row r="3138">
      <c r="B3138">
        <f>IFERROR(VLOOKUP(A3138,Cadastro_Produtos!A:B,2,FALSE),"")</f>
        <v/>
      </c>
      <c r="D3138" s="12" t="n"/>
      <c r="E3138" s="13">
        <f>IF(D3138="","",D3138-TODAY())</f>
        <v/>
      </c>
      <c r="F3138">
        <f>IF(D3138="","",IF(E3138&lt;0,"VENCIDO",IF(E3138&lt;=30,"VENCE EM &lt;= 30 DIAS",IF(E3138&lt;=60,"ATENCAO (31-60 DIAS)","OK"))))</f>
        <v/>
      </c>
      <c r="G3138" s="13">
        <f>SUMIFS(Movimentacoes!$G:$G,Movimentacoes!$C:$C,$A3138,Movimentacoes!$E:$E,$C3138,Movimentacoes!$B:$B,"ENTRADA")</f>
        <v/>
      </c>
      <c r="H3138" s="13">
        <f>SUMIFS(Movimentacoes!$G:$G,Movimentacoes!$C:$C,$A3138,Movimentacoes!$E:$E,$C3138,Movimentacoes!$B:$B,"SAIDA_USO")</f>
        <v/>
      </c>
      <c r="I3138" s="13">
        <f>SUMIFS(Movimentacoes!$G:$G,Movimentacoes!$C:$C,$A3138,Movimentacoes!$E:$E,$C3138,Movimentacoes!$B:$B,"SAIDA_DESCARTE")</f>
        <v/>
      </c>
      <c r="J3138" s="13">
        <f>G3138-H3138-I3138</f>
        <v/>
      </c>
      <c r="K3138">
        <f>IF(A3138="","",IF(J3138&lt;=IFERROR(VLOOKUP(A3138,Cadastro_Produtos!$A:$E,5,FALSE),0),"ABAIXO DO MINIMO","OK"))</f>
        <v/>
      </c>
    </row>
    <row r="3139">
      <c r="B3139">
        <f>IFERROR(VLOOKUP(A3139,Cadastro_Produtos!A:B,2,FALSE),"")</f>
        <v/>
      </c>
      <c r="D3139" s="12" t="n"/>
      <c r="E3139" s="13">
        <f>IF(D3139="","",D3139-TODAY())</f>
        <v/>
      </c>
      <c r="F3139">
        <f>IF(D3139="","",IF(E3139&lt;0,"VENCIDO",IF(E3139&lt;=30,"VENCE EM &lt;= 30 DIAS",IF(E3139&lt;=60,"ATENCAO (31-60 DIAS)","OK"))))</f>
        <v/>
      </c>
      <c r="G3139" s="13">
        <f>SUMIFS(Movimentacoes!$G:$G,Movimentacoes!$C:$C,$A3139,Movimentacoes!$E:$E,$C3139,Movimentacoes!$B:$B,"ENTRADA")</f>
        <v/>
      </c>
      <c r="H3139" s="13">
        <f>SUMIFS(Movimentacoes!$G:$G,Movimentacoes!$C:$C,$A3139,Movimentacoes!$E:$E,$C3139,Movimentacoes!$B:$B,"SAIDA_USO")</f>
        <v/>
      </c>
      <c r="I3139" s="13">
        <f>SUMIFS(Movimentacoes!$G:$G,Movimentacoes!$C:$C,$A3139,Movimentacoes!$E:$E,$C3139,Movimentacoes!$B:$B,"SAIDA_DESCARTE")</f>
        <v/>
      </c>
      <c r="J3139" s="13">
        <f>G3139-H3139-I3139</f>
        <v/>
      </c>
      <c r="K3139">
        <f>IF(A3139="","",IF(J3139&lt;=IFERROR(VLOOKUP(A3139,Cadastro_Produtos!$A:$E,5,FALSE),0),"ABAIXO DO MINIMO","OK"))</f>
        <v/>
      </c>
    </row>
    <row r="3140">
      <c r="B3140">
        <f>IFERROR(VLOOKUP(A3140,Cadastro_Produtos!A:B,2,FALSE),"")</f>
        <v/>
      </c>
      <c r="D3140" s="12" t="n"/>
      <c r="E3140" s="13">
        <f>IF(D3140="","",D3140-TODAY())</f>
        <v/>
      </c>
      <c r="F3140">
        <f>IF(D3140="","",IF(E3140&lt;0,"VENCIDO",IF(E3140&lt;=30,"VENCE EM &lt;= 30 DIAS",IF(E3140&lt;=60,"ATENCAO (31-60 DIAS)","OK"))))</f>
        <v/>
      </c>
      <c r="G3140" s="13">
        <f>SUMIFS(Movimentacoes!$G:$G,Movimentacoes!$C:$C,$A3140,Movimentacoes!$E:$E,$C3140,Movimentacoes!$B:$B,"ENTRADA")</f>
        <v/>
      </c>
      <c r="H3140" s="13">
        <f>SUMIFS(Movimentacoes!$G:$G,Movimentacoes!$C:$C,$A3140,Movimentacoes!$E:$E,$C3140,Movimentacoes!$B:$B,"SAIDA_USO")</f>
        <v/>
      </c>
      <c r="I3140" s="13">
        <f>SUMIFS(Movimentacoes!$G:$G,Movimentacoes!$C:$C,$A3140,Movimentacoes!$E:$E,$C3140,Movimentacoes!$B:$B,"SAIDA_DESCARTE")</f>
        <v/>
      </c>
      <c r="J3140" s="13">
        <f>G3140-H3140-I3140</f>
        <v/>
      </c>
      <c r="K3140">
        <f>IF(A3140="","",IF(J3140&lt;=IFERROR(VLOOKUP(A3140,Cadastro_Produtos!$A:$E,5,FALSE),0),"ABAIXO DO MINIMO","OK"))</f>
        <v/>
      </c>
    </row>
    <row r="3141">
      <c r="B3141">
        <f>IFERROR(VLOOKUP(A3141,Cadastro_Produtos!A:B,2,FALSE),"")</f>
        <v/>
      </c>
      <c r="D3141" s="12" t="n"/>
      <c r="E3141" s="13">
        <f>IF(D3141="","",D3141-TODAY())</f>
        <v/>
      </c>
      <c r="F3141">
        <f>IF(D3141="","",IF(E3141&lt;0,"VENCIDO",IF(E3141&lt;=30,"VENCE EM &lt;= 30 DIAS",IF(E3141&lt;=60,"ATENCAO (31-60 DIAS)","OK"))))</f>
        <v/>
      </c>
      <c r="G3141" s="13">
        <f>SUMIFS(Movimentacoes!$G:$G,Movimentacoes!$C:$C,$A3141,Movimentacoes!$E:$E,$C3141,Movimentacoes!$B:$B,"ENTRADA")</f>
        <v/>
      </c>
      <c r="H3141" s="13">
        <f>SUMIFS(Movimentacoes!$G:$G,Movimentacoes!$C:$C,$A3141,Movimentacoes!$E:$E,$C3141,Movimentacoes!$B:$B,"SAIDA_USO")</f>
        <v/>
      </c>
      <c r="I3141" s="13">
        <f>SUMIFS(Movimentacoes!$G:$G,Movimentacoes!$C:$C,$A3141,Movimentacoes!$E:$E,$C3141,Movimentacoes!$B:$B,"SAIDA_DESCARTE")</f>
        <v/>
      </c>
      <c r="J3141" s="13">
        <f>G3141-H3141-I3141</f>
        <v/>
      </c>
      <c r="K3141">
        <f>IF(A3141="","",IF(J3141&lt;=IFERROR(VLOOKUP(A3141,Cadastro_Produtos!$A:$E,5,FALSE),0),"ABAIXO DO MINIMO","OK"))</f>
        <v/>
      </c>
    </row>
    <row r="3142">
      <c r="B3142">
        <f>IFERROR(VLOOKUP(A3142,Cadastro_Produtos!A:B,2,FALSE),"")</f>
        <v/>
      </c>
      <c r="D3142" s="12" t="n"/>
      <c r="E3142" s="13">
        <f>IF(D3142="","",D3142-TODAY())</f>
        <v/>
      </c>
      <c r="F3142">
        <f>IF(D3142="","",IF(E3142&lt;0,"VENCIDO",IF(E3142&lt;=30,"VENCE EM &lt;= 30 DIAS",IF(E3142&lt;=60,"ATENCAO (31-60 DIAS)","OK"))))</f>
        <v/>
      </c>
      <c r="G3142" s="13">
        <f>SUMIFS(Movimentacoes!$G:$G,Movimentacoes!$C:$C,$A3142,Movimentacoes!$E:$E,$C3142,Movimentacoes!$B:$B,"ENTRADA")</f>
        <v/>
      </c>
      <c r="H3142" s="13">
        <f>SUMIFS(Movimentacoes!$G:$G,Movimentacoes!$C:$C,$A3142,Movimentacoes!$E:$E,$C3142,Movimentacoes!$B:$B,"SAIDA_USO")</f>
        <v/>
      </c>
      <c r="I3142" s="13">
        <f>SUMIFS(Movimentacoes!$G:$G,Movimentacoes!$C:$C,$A3142,Movimentacoes!$E:$E,$C3142,Movimentacoes!$B:$B,"SAIDA_DESCARTE")</f>
        <v/>
      </c>
      <c r="J3142" s="13">
        <f>G3142-H3142-I3142</f>
        <v/>
      </c>
      <c r="K3142">
        <f>IF(A3142="","",IF(J3142&lt;=IFERROR(VLOOKUP(A3142,Cadastro_Produtos!$A:$E,5,FALSE),0),"ABAIXO DO MINIMO","OK"))</f>
        <v/>
      </c>
    </row>
    <row r="3143">
      <c r="B3143">
        <f>IFERROR(VLOOKUP(A3143,Cadastro_Produtos!A:B,2,FALSE),"")</f>
        <v/>
      </c>
      <c r="D3143" s="12" t="n"/>
      <c r="E3143" s="13">
        <f>IF(D3143="","",D3143-TODAY())</f>
        <v/>
      </c>
      <c r="F3143">
        <f>IF(D3143="","",IF(E3143&lt;0,"VENCIDO",IF(E3143&lt;=30,"VENCE EM &lt;= 30 DIAS",IF(E3143&lt;=60,"ATENCAO (31-60 DIAS)","OK"))))</f>
        <v/>
      </c>
      <c r="G3143" s="13">
        <f>SUMIFS(Movimentacoes!$G:$G,Movimentacoes!$C:$C,$A3143,Movimentacoes!$E:$E,$C3143,Movimentacoes!$B:$B,"ENTRADA")</f>
        <v/>
      </c>
      <c r="H3143" s="13">
        <f>SUMIFS(Movimentacoes!$G:$G,Movimentacoes!$C:$C,$A3143,Movimentacoes!$E:$E,$C3143,Movimentacoes!$B:$B,"SAIDA_USO")</f>
        <v/>
      </c>
      <c r="I3143" s="13">
        <f>SUMIFS(Movimentacoes!$G:$G,Movimentacoes!$C:$C,$A3143,Movimentacoes!$E:$E,$C3143,Movimentacoes!$B:$B,"SAIDA_DESCARTE")</f>
        <v/>
      </c>
      <c r="J3143" s="13">
        <f>G3143-H3143-I3143</f>
        <v/>
      </c>
      <c r="K3143">
        <f>IF(A3143="","",IF(J3143&lt;=IFERROR(VLOOKUP(A3143,Cadastro_Produtos!$A:$E,5,FALSE),0),"ABAIXO DO MINIMO","OK"))</f>
        <v/>
      </c>
    </row>
    <row r="3144">
      <c r="B3144">
        <f>IFERROR(VLOOKUP(A3144,Cadastro_Produtos!A:B,2,FALSE),"")</f>
        <v/>
      </c>
      <c r="D3144" s="12" t="n"/>
      <c r="E3144" s="13">
        <f>IF(D3144="","",D3144-TODAY())</f>
        <v/>
      </c>
      <c r="F3144">
        <f>IF(D3144="","",IF(E3144&lt;0,"VENCIDO",IF(E3144&lt;=30,"VENCE EM &lt;= 30 DIAS",IF(E3144&lt;=60,"ATENCAO (31-60 DIAS)","OK"))))</f>
        <v/>
      </c>
      <c r="G3144" s="13">
        <f>SUMIFS(Movimentacoes!$G:$G,Movimentacoes!$C:$C,$A3144,Movimentacoes!$E:$E,$C3144,Movimentacoes!$B:$B,"ENTRADA")</f>
        <v/>
      </c>
      <c r="H3144" s="13">
        <f>SUMIFS(Movimentacoes!$G:$G,Movimentacoes!$C:$C,$A3144,Movimentacoes!$E:$E,$C3144,Movimentacoes!$B:$B,"SAIDA_USO")</f>
        <v/>
      </c>
      <c r="I3144" s="13">
        <f>SUMIFS(Movimentacoes!$G:$G,Movimentacoes!$C:$C,$A3144,Movimentacoes!$E:$E,$C3144,Movimentacoes!$B:$B,"SAIDA_DESCARTE")</f>
        <v/>
      </c>
      <c r="J3144" s="13">
        <f>G3144-H3144-I3144</f>
        <v/>
      </c>
      <c r="K3144">
        <f>IF(A3144="","",IF(J3144&lt;=IFERROR(VLOOKUP(A3144,Cadastro_Produtos!$A:$E,5,FALSE),0),"ABAIXO DO MINIMO","OK"))</f>
        <v/>
      </c>
    </row>
    <row r="3145">
      <c r="B3145">
        <f>IFERROR(VLOOKUP(A3145,Cadastro_Produtos!A:B,2,FALSE),"")</f>
        <v/>
      </c>
      <c r="D3145" s="12" t="n"/>
      <c r="E3145" s="13">
        <f>IF(D3145="","",D3145-TODAY())</f>
        <v/>
      </c>
      <c r="F3145">
        <f>IF(D3145="","",IF(E3145&lt;0,"VENCIDO",IF(E3145&lt;=30,"VENCE EM &lt;= 30 DIAS",IF(E3145&lt;=60,"ATENCAO (31-60 DIAS)","OK"))))</f>
        <v/>
      </c>
      <c r="G3145" s="13">
        <f>SUMIFS(Movimentacoes!$G:$G,Movimentacoes!$C:$C,$A3145,Movimentacoes!$E:$E,$C3145,Movimentacoes!$B:$B,"ENTRADA")</f>
        <v/>
      </c>
      <c r="H3145" s="13">
        <f>SUMIFS(Movimentacoes!$G:$G,Movimentacoes!$C:$C,$A3145,Movimentacoes!$E:$E,$C3145,Movimentacoes!$B:$B,"SAIDA_USO")</f>
        <v/>
      </c>
      <c r="I3145" s="13">
        <f>SUMIFS(Movimentacoes!$G:$G,Movimentacoes!$C:$C,$A3145,Movimentacoes!$E:$E,$C3145,Movimentacoes!$B:$B,"SAIDA_DESCARTE")</f>
        <v/>
      </c>
      <c r="J3145" s="13">
        <f>G3145-H3145-I3145</f>
        <v/>
      </c>
      <c r="K3145">
        <f>IF(A3145="","",IF(J3145&lt;=IFERROR(VLOOKUP(A3145,Cadastro_Produtos!$A:$E,5,FALSE),0),"ABAIXO DO MINIMO","OK"))</f>
        <v/>
      </c>
    </row>
    <row r="3146">
      <c r="B3146">
        <f>IFERROR(VLOOKUP(A3146,Cadastro_Produtos!A:B,2,FALSE),"")</f>
        <v/>
      </c>
      <c r="D3146" s="12" t="n"/>
      <c r="E3146" s="13">
        <f>IF(D3146="","",D3146-TODAY())</f>
        <v/>
      </c>
      <c r="F3146">
        <f>IF(D3146="","",IF(E3146&lt;0,"VENCIDO",IF(E3146&lt;=30,"VENCE EM &lt;= 30 DIAS",IF(E3146&lt;=60,"ATENCAO (31-60 DIAS)","OK"))))</f>
        <v/>
      </c>
      <c r="G3146" s="13">
        <f>SUMIFS(Movimentacoes!$G:$G,Movimentacoes!$C:$C,$A3146,Movimentacoes!$E:$E,$C3146,Movimentacoes!$B:$B,"ENTRADA")</f>
        <v/>
      </c>
      <c r="H3146" s="13">
        <f>SUMIFS(Movimentacoes!$G:$G,Movimentacoes!$C:$C,$A3146,Movimentacoes!$E:$E,$C3146,Movimentacoes!$B:$B,"SAIDA_USO")</f>
        <v/>
      </c>
      <c r="I3146" s="13">
        <f>SUMIFS(Movimentacoes!$G:$G,Movimentacoes!$C:$C,$A3146,Movimentacoes!$E:$E,$C3146,Movimentacoes!$B:$B,"SAIDA_DESCARTE")</f>
        <v/>
      </c>
      <c r="J3146" s="13">
        <f>G3146-H3146-I3146</f>
        <v/>
      </c>
      <c r="K3146">
        <f>IF(A3146="","",IF(J3146&lt;=IFERROR(VLOOKUP(A3146,Cadastro_Produtos!$A:$E,5,FALSE),0),"ABAIXO DO MINIMO","OK"))</f>
        <v/>
      </c>
    </row>
    <row r="3147">
      <c r="B3147">
        <f>IFERROR(VLOOKUP(A3147,Cadastro_Produtos!A:B,2,FALSE),"")</f>
        <v/>
      </c>
      <c r="D3147" s="12" t="n"/>
      <c r="E3147" s="13">
        <f>IF(D3147="","",D3147-TODAY())</f>
        <v/>
      </c>
      <c r="F3147">
        <f>IF(D3147="","",IF(E3147&lt;0,"VENCIDO",IF(E3147&lt;=30,"VENCE EM &lt;= 30 DIAS",IF(E3147&lt;=60,"ATENCAO (31-60 DIAS)","OK"))))</f>
        <v/>
      </c>
      <c r="G3147" s="13">
        <f>SUMIFS(Movimentacoes!$G:$G,Movimentacoes!$C:$C,$A3147,Movimentacoes!$E:$E,$C3147,Movimentacoes!$B:$B,"ENTRADA")</f>
        <v/>
      </c>
      <c r="H3147" s="13">
        <f>SUMIFS(Movimentacoes!$G:$G,Movimentacoes!$C:$C,$A3147,Movimentacoes!$E:$E,$C3147,Movimentacoes!$B:$B,"SAIDA_USO")</f>
        <v/>
      </c>
      <c r="I3147" s="13">
        <f>SUMIFS(Movimentacoes!$G:$G,Movimentacoes!$C:$C,$A3147,Movimentacoes!$E:$E,$C3147,Movimentacoes!$B:$B,"SAIDA_DESCARTE")</f>
        <v/>
      </c>
      <c r="J3147" s="13">
        <f>G3147-H3147-I3147</f>
        <v/>
      </c>
      <c r="K3147">
        <f>IF(A3147="","",IF(J3147&lt;=IFERROR(VLOOKUP(A3147,Cadastro_Produtos!$A:$E,5,FALSE),0),"ABAIXO DO MINIMO","OK"))</f>
        <v/>
      </c>
    </row>
    <row r="3148">
      <c r="B3148">
        <f>IFERROR(VLOOKUP(A3148,Cadastro_Produtos!A:B,2,FALSE),"")</f>
        <v/>
      </c>
      <c r="D3148" s="12" t="n"/>
      <c r="E3148" s="13">
        <f>IF(D3148="","",D3148-TODAY())</f>
        <v/>
      </c>
      <c r="F3148">
        <f>IF(D3148="","",IF(E3148&lt;0,"VENCIDO",IF(E3148&lt;=30,"VENCE EM &lt;= 30 DIAS",IF(E3148&lt;=60,"ATENCAO (31-60 DIAS)","OK"))))</f>
        <v/>
      </c>
      <c r="G3148" s="13">
        <f>SUMIFS(Movimentacoes!$G:$G,Movimentacoes!$C:$C,$A3148,Movimentacoes!$E:$E,$C3148,Movimentacoes!$B:$B,"ENTRADA")</f>
        <v/>
      </c>
      <c r="H3148" s="13">
        <f>SUMIFS(Movimentacoes!$G:$G,Movimentacoes!$C:$C,$A3148,Movimentacoes!$E:$E,$C3148,Movimentacoes!$B:$B,"SAIDA_USO")</f>
        <v/>
      </c>
      <c r="I3148" s="13">
        <f>SUMIFS(Movimentacoes!$G:$G,Movimentacoes!$C:$C,$A3148,Movimentacoes!$E:$E,$C3148,Movimentacoes!$B:$B,"SAIDA_DESCARTE")</f>
        <v/>
      </c>
      <c r="J3148" s="13">
        <f>G3148-H3148-I3148</f>
        <v/>
      </c>
      <c r="K3148">
        <f>IF(A3148="","",IF(J3148&lt;=IFERROR(VLOOKUP(A3148,Cadastro_Produtos!$A:$E,5,FALSE),0),"ABAIXO DO MINIMO","OK"))</f>
        <v/>
      </c>
    </row>
    <row r="3149">
      <c r="B3149">
        <f>IFERROR(VLOOKUP(A3149,Cadastro_Produtos!A:B,2,FALSE),"")</f>
        <v/>
      </c>
      <c r="D3149" s="12" t="n"/>
      <c r="E3149" s="13">
        <f>IF(D3149="","",D3149-TODAY())</f>
        <v/>
      </c>
      <c r="F3149">
        <f>IF(D3149="","",IF(E3149&lt;0,"VENCIDO",IF(E3149&lt;=30,"VENCE EM &lt;= 30 DIAS",IF(E3149&lt;=60,"ATENCAO (31-60 DIAS)","OK"))))</f>
        <v/>
      </c>
      <c r="G3149" s="13">
        <f>SUMIFS(Movimentacoes!$G:$G,Movimentacoes!$C:$C,$A3149,Movimentacoes!$E:$E,$C3149,Movimentacoes!$B:$B,"ENTRADA")</f>
        <v/>
      </c>
      <c r="H3149" s="13">
        <f>SUMIFS(Movimentacoes!$G:$G,Movimentacoes!$C:$C,$A3149,Movimentacoes!$E:$E,$C3149,Movimentacoes!$B:$B,"SAIDA_USO")</f>
        <v/>
      </c>
      <c r="I3149" s="13">
        <f>SUMIFS(Movimentacoes!$G:$G,Movimentacoes!$C:$C,$A3149,Movimentacoes!$E:$E,$C3149,Movimentacoes!$B:$B,"SAIDA_DESCARTE")</f>
        <v/>
      </c>
      <c r="J3149" s="13">
        <f>G3149-H3149-I3149</f>
        <v/>
      </c>
      <c r="K3149">
        <f>IF(A3149="","",IF(J3149&lt;=IFERROR(VLOOKUP(A3149,Cadastro_Produtos!$A:$E,5,FALSE),0),"ABAIXO DO MINIMO","OK"))</f>
        <v/>
      </c>
    </row>
    <row r="3150">
      <c r="B3150">
        <f>IFERROR(VLOOKUP(A3150,Cadastro_Produtos!A:B,2,FALSE),"")</f>
        <v/>
      </c>
      <c r="D3150" s="12" t="n"/>
      <c r="E3150" s="13">
        <f>IF(D3150="","",D3150-TODAY())</f>
        <v/>
      </c>
      <c r="F3150">
        <f>IF(D3150="","",IF(E3150&lt;0,"VENCIDO",IF(E3150&lt;=30,"VENCE EM &lt;= 30 DIAS",IF(E3150&lt;=60,"ATENCAO (31-60 DIAS)","OK"))))</f>
        <v/>
      </c>
      <c r="G3150" s="13">
        <f>SUMIFS(Movimentacoes!$G:$G,Movimentacoes!$C:$C,$A3150,Movimentacoes!$E:$E,$C3150,Movimentacoes!$B:$B,"ENTRADA")</f>
        <v/>
      </c>
      <c r="H3150" s="13">
        <f>SUMIFS(Movimentacoes!$G:$G,Movimentacoes!$C:$C,$A3150,Movimentacoes!$E:$E,$C3150,Movimentacoes!$B:$B,"SAIDA_USO")</f>
        <v/>
      </c>
      <c r="I3150" s="13">
        <f>SUMIFS(Movimentacoes!$G:$G,Movimentacoes!$C:$C,$A3150,Movimentacoes!$E:$E,$C3150,Movimentacoes!$B:$B,"SAIDA_DESCARTE")</f>
        <v/>
      </c>
      <c r="J3150" s="13">
        <f>G3150-H3150-I3150</f>
        <v/>
      </c>
      <c r="K3150">
        <f>IF(A3150="","",IF(J3150&lt;=IFERROR(VLOOKUP(A3150,Cadastro_Produtos!$A:$E,5,FALSE),0),"ABAIXO DO MINIMO","OK"))</f>
        <v/>
      </c>
    </row>
    <row r="3151">
      <c r="B3151">
        <f>IFERROR(VLOOKUP(A3151,Cadastro_Produtos!A:B,2,FALSE),"")</f>
        <v/>
      </c>
      <c r="D3151" s="12" t="n"/>
      <c r="E3151" s="13">
        <f>IF(D3151="","",D3151-TODAY())</f>
        <v/>
      </c>
      <c r="F3151">
        <f>IF(D3151="","",IF(E3151&lt;0,"VENCIDO",IF(E3151&lt;=30,"VENCE EM &lt;= 30 DIAS",IF(E3151&lt;=60,"ATENCAO (31-60 DIAS)","OK"))))</f>
        <v/>
      </c>
      <c r="G3151" s="13">
        <f>SUMIFS(Movimentacoes!$G:$G,Movimentacoes!$C:$C,$A3151,Movimentacoes!$E:$E,$C3151,Movimentacoes!$B:$B,"ENTRADA")</f>
        <v/>
      </c>
      <c r="H3151" s="13">
        <f>SUMIFS(Movimentacoes!$G:$G,Movimentacoes!$C:$C,$A3151,Movimentacoes!$E:$E,$C3151,Movimentacoes!$B:$B,"SAIDA_USO")</f>
        <v/>
      </c>
      <c r="I3151" s="13">
        <f>SUMIFS(Movimentacoes!$G:$G,Movimentacoes!$C:$C,$A3151,Movimentacoes!$E:$E,$C3151,Movimentacoes!$B:$B,"SAIDA_DESCARTE")</f>
        <v/>
      </c>
      <c r="J3151" s="13">
        <f>G3151-H3151-I3151</f>
        <v/>
      </c>
      <c r="K3151">
        <f>IF(A3151="","",IF(J3151&lt;=IFERROR(VLOOKUP(A3151,Cadastro_Produtos!$A:$E,5,FALSE),0),"ABAIXO DO MINIMO","OK"))</f>
        <v/>
      </c>
    </row>
    <row r="3152">
      <c r="B3152">
        <f>IFERROR(VLOOKUP(A3152,Cadastro_Produtos!A:B,2,FALSE),"")</f>
        <v/>
      </c>
      <c r="D3152" s="12" t="n"/>
      <c r="E3152" s="13">
        <f>IF(D3152="","",D3152-TODAY())</f>
        <v/>
      </c>
      <c r="F3152">
        <f>IF(D3152="","",IF(E3152&lt;0,"VENCIDO",IF(E3152&lt;=30,"VENCE EM &lt;= 30 DIAS",IF(E3152&lt;=60,"ATENCAO (31-60 DIAS)","OK"))))</f>
        <v/>
      </c>
      <c r="G3152" s="13">
        <f>SUMIFS(Movimentacoes!$G:$G,Movimentacoes!$C:$C,$A3152,Movimentacoes!$E:$E,$C3152,Movimentacoes!$B:$B,"ENTRADA")</f>
        <v/>
      </c>
      <c r="H3152" s="13">
        <f>SUMIFS(Movimentacoes!$G:$G,Movimentacoes!$C:$C,$A3152,Movimentacoes!$E:$E,$C3152,Movimentacoes!$B:$B,"SAIDA_USO")</f>
        <v/>
      </c>
      <c r="I3152" s="13">
        <f>SUMIFS(Movimentacoes!$G:$G,Movimentacoes!$C:$C,$A3152,Movimentacoes!$E:$E,$C3152,Movimentacoes!$B:$B,"SAIDA_DESCARTE")</f>
        <v/>
      </c>
      <c r="J3152" s="13">
        <f>G3152-H3152-I3152</f>
        <v/>
      </c>
      <c r="K3152">
        <f>IF(A3152="","",IF(J3152&lt;=IFERROR(VLOOKUP(A3152,Cadastro_Produtos!$A:$E,5,FALSE),0),"ABAIXO DO MINIMO","OK"))</f>
        <v/>
      </c>
    </row>
    <row r="3153">
      <c r="B3153">
        <f>IFERROR(VLOOKUP(A3153,Cadastro_Produtos!A:B,2,FALSE),"")</f>
        <v/>
      </c>
      <c r="D3153" s="12" t="n"/>
      <c r="E3153" s="13">
        <f>IF(D3153="","",D3153-TODAY())</f>
        <v/>
      </c>
      <c r="F3153">
        <f>IF(D3153="","",IF(E3153&lt;0,"VENCIDO",IF(E3153&lt;=30,"VENCE EM &lt;= 30 DIAS",IF(E3153&lt;=60,"ATENCAO (31-60 DIAS)","OK"))))</f>
        <v/>
      </c>
      <c r="G3153" s="13">
        <f>SUMIFS(Movimentacoes!$G:$G,Movimentacoes!$C:$C,$A3153,Movimentacoes!$E:$E,$C3153,Movimentacoes!$B:$B,"ENTRADA")</f>
        <v/>
      </c>
      <c r="H3153" s="13">
        <f>SUMIFS(Movimentacoes!$G:$G,Movimentacoes!$C:$C,$A3153,Movimentacoes!$E:$E,$C3153,Movimentacoes!$B:$B,"SAIDA_USO")</f>
        <v/>
      </c>
      <c r="I3153" s="13">
        <f>SUMIFS(Movimentacoes!$G:$G,Movimentacoes!$C:$C,$A3153,Movimentacoes!$E:$E,$C3153,Movimentacoes!$B:$B,"SAIDA_DESCARTE")</f>
        <v/>
      </c>
      <c r="J3153" s="13">
        <f>G3153-H3153-I3153</f>
        <v/>
      </c>
      <c r="K3153">
        <f>IF(A3153="","",IF(J3153&lt;=IFERROR(VLOOKUP(A3153,Cadastro_Produtos!$A:$E,5,FALSE),0),"ABAIXO DO MINIMO","OK"))</f>
        <v/>
      </c>
    </row>
    <row r="3154">
      <c r="B3154">
        <f>IFERROR(VLOOKUP(A3154,Cadastro_Produtos!A:B,2,FALSE),"")</f>
        <v/>
      </c>
      <c r="D3154" s="12" t="n"/>
      <c r="E3154" s="13">
        <f>IF(D3154="","",D3154-TODAY())</f>
        <v/>
      </c>
      <c r="F3154">
        <f>IF(D3154="","",IF(E3154&lt;0,"VENCIDO",IF(E3154&lt;=30,"VENCE EM &lt;= 30 DIAS",IF(E3154&lt;=60,"ATENCAO (31-60 DIAS)","OK"))))</f>
        <v/>
      </c>
      <c r="G3154" s="13">
        <f>SUMIFS(Movimentacoes!$G:$G,Movimentacoes!$C:$C,$A3154,Movimentacoes!$E:$E,$C3154,Movimentacoes!$B:$B,"ENTRADA")</f>
        <v/>
      </c>
      <c r="H3154" s="13">
        <f>SUMIFS(Movimentacoes!$G:$G,Movimentacoes!$C:$C,$A3154,Movimentacoes!$E:$E,$C3154,Movimentacoes!$B:$B,"SAIDA_USO")</f>
        <v/>
      </c>
      <c r="I3154" s="13">
        <f>SUMIFS(Movimentacoes!$G:$G,Movimentacoes!$C:$C,$A3154,Movimentacoes!$E:$E,$C3154,Movimentacoes!$B:$B,"SAIDA_DESCARTE")</f>
        <v/>
      </c>
      <c r="J3154" s="13">
        <f>G3154-H3154-I3154</f>
        <v/>
      </c>
      <c r="K3154">
        <f>IF(A3154="","",IF(J3154&lt;=IFERROR(VLOOKUP(A3154,Cadastro_Produtos!$A:$E,5,FALSE),0),"ABAIXO DO MINIMO","OK"))</f>
        <v/>
      </c>
    </row>
    <row r="3155">
      <c r="B3155">
        <f>IFERROR(VLOOKUP(A3155,Cadastro_Produtos!A:B,2,FALSE),"")</f>
        <v/>
      </c>
      <c r="D3155" s="12" t="n"/>
      <c r="E3155" s="13">
        <f>IF(D3155="","",D3155-TODAY())</f>
        <v/>
      </c>
      <c r="F3155">
        <f>IF(D3155="","",IF(E3155&lt;0,"VENCIDO",IF(E3155&lt;=30,"VENCE EM &lt;= 30 DIAS",IF(E3155&lt;=60,"ATENCAO (31-60 DIAS)","OK"))))</f>
        <v/>
      </c>
      <c r="G3155" s="13">
        <f>SUMIFS(Movimentacoes!$G:$G,Movimentacoes!$C:$C,$A3155,Movimentacoes!$E:$E,$C3155,Movimentacoes!$B:$B,"ENTRADA")</f>
        <v/>
      </c>
      <c r="H3155" s="13">
        <f>SUMIFS(Movimentacoes!$G:$G,Movimentacoes!$C:$C,$A3155,Movimentacoes!$E:$E,$C3155,Movimentacoes!$B:$B,"SAIDA_USO")</f>
        <v/>
      </c>
      <c r="I3155" s="13">
        <f>SUMIFS(Movimentacoes!$G:$G,Movimentacoes!$C:$C,$A3155,Movimentacoes!$E:$E,$C3155,Movimentacoes!$B:$B,"SAIDA_DESCARTE")</f>
        <v/>
      </c>
      <c r="J3155" s="13">
        <f>G3155-H3155-I3155</f>
        <v/>
      </c>
      <c r="K3155">
        <f>IF(A3155="","",IF(J3155&lt;=IFERROR(VLOOKUP(A3155,Cadastro_Produtos!$A:$E,5,FALSE),0),"ABAIXO DO MINIMO","OK"))</f>
        <v/>
      </c>
    </row>
    <row r="3156">
      <c r="B3156">
        <f>IFERROR(VLOOKUP(A3156,Cadastro_Produtos!A:B,2,FALSE),"")</f>
        <v/>
      </c>
      <c r="D3156" s="12" t="n"/>
      <c r="E3156" s="13">
        <f>IF(D3156="","",D3156-TODAY())</f>
        <v/>
      </c>
      <c r="F3156">
        <f>IF(D3156="","",IF(E3156&lt;0,"VENCIDO",IF(E3156&lt;=30,"VENCE EM &lt;= 30 DIAS",IF(E3156&lt;=60,"ATENCAO (31-60 DIAS)","OK"))))</f>
        <v/>
      </c>
      <c r="G3156" s="13">
        <f>SUMIFS(Movimentacoes!$G:$G,Movimentacoes!$C:$C,$A3156,Movimentacoes!$E:$E,$C3156,Movimentacoes!$B:$B,"ENTRADA")</f>
        <v/>
      </c>
      <c r="H3156" s="13">
        <f>SUMIFS(Movimentacoes!$G:$G,Movimentacoes!$C:$C,$A3156,Movimentacoes!$E:$E,$C3156,Movimentacoes!$B:$B,"SAIDA_USO")</f>
        <v/>
      </c>
      <c r="I3156" s="13">
        <f>SUMIFS(Movimentacoes!$G:$G,Movimentacoes!$C:$C,$A3156,Movimentacoes!$E:$E,$C3156,Movimentacoes!$B:$B,"SAIDA_DESCARTE")</f>
        <v/>
      </c>
      <c r="J3156" s="13">
        <f>G3156-H3156-I3156</f>
        <v/>
      </c>
      <c r="K3156">
        <f>IF(A3156="","",IF(J3156&lt;=IFERROR(VLOOKUP(A3156,Cadastro_Produtos!$A:$E,5,FALSE),0),"ABAIXO DO MINIMO","OK"))</f>
        <v/>
      </c>
    </row>
    <row r="3157">
      <c r="B3157">
        <f>IFERROR(VLOOKUP(A3157,Cadastro_Produtos!A:B,2,FALSE),"")</f>
        <v/>
      </c>
      <c r="D3157" s="12" t="n"/>
      <c r="E3157" s="13">
        <f>IF(D3157="","",D3157-TODAY())</f>
        <v/>
      </c>
      <c r="F3157">
        <f>IF(D3157="","",IF(E3157&lt;0,"VENCIDO",IF(E3157&lt;=30,"VENCE EM &lt;= 30 DIAS",IF(E3157&lt;=60,"ATENCAO (31-60 DIAS)","OK"))))</f>
        <v/>
      </c>
      <c r="G3157" s="13">
        <f>SUMIFS(Movimentacoes!$G:$G,Movimentacoes!$C:$C,$A3157,Movimentacoes!$E:$E,$C3157,Movimentacoes!$B:$B,"ENTRADA")</f>
        <v/>
      </c>
      <c r="H3157" s="13">
        <f>SUMIFS(Movimentacoes!$G:$G,Movimentacoes!$C:$C,$A3157,Movimentacoes!$E:$E,$C3157,Movimentacoes!$B:$B,"SAIDA_USO")</f>
        <v/>
      </c>
      <c r="I3157" s="13">
        <f>SUMIFS(Movimentacoes!$G:$G,Movimentacoes!$C:$C,$A3157,Movimentacoes!$E:$E,$C3157,Movimentacoes!$B:$B,"SAIDA_DESCARTE")</f>
        <v/>
      </c>
      <c r="J3157" s="13">
        <f>G3157-H3157-I3157</f>
        <v/>
      </c>
      <c r="K3157">
        <f>IF(A3157="","",IF(J3157&lt;=IFERROR(VLOOKUP(A3157,Cadastro_Produtos!$A:$E,5,FALSE),0),"ABAIXO DO MINIMO","OK"))</f>
        <v/>
      </c>
    </row>
    <row r="3158">
      <c r="B3158">
        <f>IFERROR(VLOOKUP(A3158,Cadastro_Produtos!A:B,2,FALSE),"")</f>
        <v/>
      </c>
      <c r="D3158" s="12" t="n"/>
      <c r="E3158" s="13">
        <f>IF(D3158="","",D3158-TODAY())</f>
        <v/>
      </c>
      <c r="F3158">
        <f>IF(D3158="","",IF(E3158&lt;0,"VENCIDO",IF(E3158&lt;=30,"VENCE EM &lt;= 30 DIAS",IF(E3158&lt;=60,"ATENCAO (31-60 DIAS)","OK"))))</f>
        <v/>
      </c>
      <c r="G3158" s="13">
        <f>SUMIFS(Movimentacoes!$G:$G,Movimentacoes!$C:$C,$A3158,Movimentacoes!$E:$E,$C3158,Movimentacoes!$B:$B,"ENTRADA")</f>
        <v/>
      </c>
      <c r="H3158" s="13">
        <f>SUMIFS(Movimentacoes!$G:$G,Movimentacoes!$C:$C,$A3158,Movimentacoes!$E:$E,$C3158,Movimentacoes!$B:$B,"SAIDA_USO")</f>
        <v/>
      </c>
      <c r="I3158" s="13">
        <f>SUMIFS(Movimentacoes!$G:$G,Movimentacoes!$C:$C,$A3158,Movimentacoes!$E:$E,$C3158,Movimentacoes!$B:$B,"SAIDA_DESCARTE")</f>
        <v/>
      </c>
      <c r="J3158" s="13">
        <f>G3158-H3158-I3158</f>
        <v/>
      </c>
      <c r="K3158">
        <f>IF(A3158="","",IF(J3158&lt;=IFERROR(VLOOKUP(A3158,Cadastro_Produtos!$A:$E,5,FALSE),0),"ABAIXO DO MINIMO","OK"))</f>
        <v/>
      </c>
    </row>
    <row r="3159">
      <c r="B3159">
        <f>IFERROR(VLOOKUP(A3159,Cadastro_Produtos!A:B,2,FALSE),"")</f>
        <v/>
      </c>
      <c r="D3159" s="12" t="n"/>
      <c r="E3159" s="13">
        <f>IF(D3159="","",D3159-TODAY())</f>
        <v/>
      </c>
      <c r="F3159">
        <f>IF(D3159="","",IF(E3159&lt;0,"VENCIDO",IF(E3159&lt;=30,"VENCE EM &lt;= 30 DIAS",IF(E3159&lt;=60,"ATENCAO (31-60 DIAS)","OK"))))</f>
        <v/>
      </c>
      <c r="G3159" s="13">
        <f>SUMIFS(Movimentacoes!$G:$G,Movimentacoes!$C:$C,$A3159,Movimentacoes!$E:$E,$C3159,Movimentacoes!$B:$B,"ENTRADA")</f>
        <v/>
      </c>
      <c r="H3159" s="13">
        <f>SUMIFS(Movimentacoes!$G:$G,Movimentacoes!$C:$C,$A3159,Movimentacoes!$E:$E,$C3159,Movimentacoes!$B:$B,"SAIDA_USO")</f>
        <v/>
      </c>
      <c r="I3159" s="13">
        <f>SUMIFS(Movimentacoes!$G:$G,Movimentacoes!$C:$C,$A3159,Movimentacoes!$E:$E,$C3159,Movimentacoes!$B:$B,"SAIDA_DESCARTE")</f>
        <v/>
      </c>
      <c r="J3159" s="13">
        <f>G3159-H3159-I3159</f>
        <v/>
      </c>
      <c r="K3159">
        <f>IF(A3159="","",IF(J3159&lt;=IFERROR(VLOOKUP(A3159,Cadastro_Produtos!$A:$E,5,FALSE),0),"ABAIXO DO MINIMO","OK"))</f>
        <v/>
      </c>
    </row>
    <row r="3160">
      <c r="B3160">
        <f>IFERROR(VLOOKUP(A3160,Cadastro_Produtos!A:B,2,FALSE),"")</f>
        <v/>
      </c>
      <c r="D3160" s="12" t="n"/>
      <c r="E3160" s="13">
        <f>IF(D3160="","",D3160-TODAY())</f>
        <v/>
      </c>
      <c r="F3160">
        <f>IF(D3160="","",IF(E3160&lt;0,"VENCIDO",IF(E3160&lt;=30,"VENCE EM &lt;= 30 DIAS",IF(E3160&lt;=60,"ATENCAO (31-60 DIAS)","OK"))))</f>
        <v/>
      </c>
      <c r="G3160" s="13">
        <f>SUMIFS(Movimentacoes!$G:$G,Movimentacoes!$C:$C,$A3160,Movimentacoes!$E:$E,$C3160,Movimentacoes!$B:$B,"ENTRADA")</f>
        <v/>
      </c>
      <c r="H3160" s="13">
        <f>SUMIFS(Movimentacoes!$G:$G,Movimentacoes!$C:$C,$A3160,Movimentacoes!$E:$E,$C3160,Movimentacoes!$B:$B,"SAIDA_USO")</f>
        <v/>
      </c>
      <c r="I3160" s="13">
        <f>SUMIFS(Movimentacoes!$G:$G,Movimentacoes!$C:$C,$A3160,Movimentacoes!$E:$E,$C3160,Movimentacoes!$B:$B,"SAIDA_DESCARTE")</f>
        <v/>
      </c>
      <c r="J3160" s="13">
        <f>G3160-H3160-I3160</f>
        <v/>
      </c>
      <c r="K3160">
        <f>IF(A3160="","",IF(J3160&lt;=IFERROR(VLOOKUP(A3160,Cadastro_Produtos!$A:$E,5,FALSE),0),"ABAIXO DO MINIMO","OK"))</f>
        <v/>
      </c>
    </row>
    <row r="3161">
      <c r="B3161">
        <f>IFERROR(VLOOKUP(A3161,Cadastro_Produtos!A:B,2,FALSE),"")</f>
        <v/>
      </c>
      <c r="D3161" s="12" t="n"/>
      <c r="E3161" s="13">
        <f>IF(D3161="","",D3161-TODAY())</f>
        <v/>
      </c>
      <c r="F3161">
        <f>IF(D3161="","",IF(E3161&lt;0,"VENCIDO",IF(E3161&lt;=30,"VENCE EM &lt;= 30 DIAS",IF(E3161&lt;=60,"ATENCAO (31-60 DIAS)","OK"))))</f>
        <v/>
      </c>
      <c r="G3161" s="13">
        <f>SUMIFS(Movimentacoes!$G:$G,Movimentacoes!$C:$C,$A3161,Movimentacoes!$E:$E,$C3161,Movimentacoes!$B:$B,"ENTRADA")</f>
        <v/>
      </c>
      <c r="H3161" s="13">
        <f>SUMIFS(Movimentacoes!$G:$G,Movimentacoes!$C:$C,$A3161,Movimentacoes!$E:$E,$C3161,Movimentacoes!$B:$B,"SAIDA_USO")</f>
        <v/>
      </c>
      <c r="I3161" s="13">
        <f>SUMIFS(Movimentacoes!$G:$G,Movimentacoes!$C:$C,$A3161,Movimentacoes!$E:$E,$C3161,Movimentacoes!$B:$B,"SAIDA_DESCARTE")</f>
        <v/>
      </c>
      <c r="J3161" s="13">
        <f>G3161-H3161-I3161</f>
        <v/>
      </c>
      <c r="K3161">
        <f>IF(A3161="","",IF(J3161&lt;=IFERROR(VLOOKUP(A3161,Cadastro_Produtos!$A:$E,5,FALSE),0),"ABAIXO DO MINIMO","OK"))</f>
        <v/>
      </c>
    </row>
    <row r="3162">
      <c r="B3162">
        <f>IFERROR(VLOOKUP(A3162,Cadastro_Produtos!A:B,2,FALSE),"")</f>
        <v/>
      </c>
      <c r="D3162" s="12" t="n"/>
      <c r="E3162" s="13">
        <f>IF(D3162="","",D3162-TODAY())</f>
        <v/>
      </c>
      <c r="F3162">
        <f>IF(D3162="","",IF(E3162&lt;0,"VENCIDO",IF(E3162&lt;=30,"VENCE EM &lt;= 30 DIAS",IF(E3162&lt;=60,"ATENCAO (31-60 DIAS)","OK"))))</f>
        <v/>
      </c>
      <c r="G3162" s="13">
        <f>SUMIFS(Movimentacoes!$G:$G,Movimentacoes!$C:$C,$A3162,Movimentacoes!$E:$E,$C3162,Movimentacoes!$B:$B,"ENTRADA")</f>
        <v/>
      </c>
      <c r="H3162" s="13">
        <f>SUMIFS(Movimentacoes!$G:$G,Movimentacoes!$C:$C,$A3162,Movimentacoes!$E:$E,$C3162,Movimentacoes!$B:$B,"SAIDA_USO")</f>
        <v/>
      </c>
      <c r="I3162" s="13">
        <f>SUMIFS(Movimentacoes!$G:$G,Movimentacoes!$C:$C,$A3162,Movimentacoes!$E:$E,$C3162,Movimentacoes!$B:$B,"SAIDA_DESCARTE")</f>
        <v/>
      </c>
      <c r="J3162" s="13">
        <f>G3162-H3162-I3162</f>
        <v/>
      </c>
      <c r="K3162">
        <f>IF(A3162="","",IF(J3162&lt;=IFERROR(VLOOKUP(A3162,Cadastro_Produtos!$A:$E,5,FALSE),0),"ABAIXO DO MINIMO","OK"))</f>
        <v/>
      </c>
    </row>
    <row r="3163">
      <c r="B3163">
        <f>IFERROR(VLOOKUP(A3163,Cadastro_Produtos!A:B,2,FALSE),"")</f>
        <v/>
      </c>
      <c r="D3163" s="12" t="n"/>
      <c r="E3163" s="13">
        <f>IF(D3163="","",D3163-TODAY())</f>
        <v/>
      </c>
      <c r="F3163">
        <f>IF(D3163="","",IF(E3163&lt;0,"VENCIDO",IF(E3163&lt;=30,"VENCE EM &lt;= 30 DIAS",IF(E3163&lt;=60,"ATENCAO (31-60 DIAS)","OK"))))</f>
        <v/>
      </c>
      <c r="G3163" s="13">
        <f>SUMIFS(Movimentacoes!$G:$G,Movimentacoes!$C:$C,$A3163,Movimentacoes!$E:$E,$C3163,Movimentacoes!$B:$B,"ENTRADA")</f>
        <v/>
      </c>
      <c r="H3163" s="13">
        <f>SUMIFS(Movimentacoes!$G:$G,Movimentacoes!$C:$C,$A3163,Movimentacoes!$E:$E,$C3163,Movimentacoes!$B:$B,"SAIDA_USO")</f>
        <v/>
      </c>
      <c r="I3163" s="13">
        <f>SUMIFS(Movimentacoes!$G:$G,Movimentacoes!$C:$C,$A3163,Movimentacoes!$E:$E,$C3163,Movimentacoes!$B:$B,"SAIDA_DESCARTE")</f>
        <v/>
      </c>
      <c r="J3163" s="13">
        <f>G3163-H3163-I3163</f>
        <v/>
      </c>
      <c r="K3163">
        <f>IF(A3163="","",IF(J3163&lt;=IFERROR(VLOOKUP(A3163,Cadastro_Produtos!$A:$E,5,FALSE),0),"ABAIXO DO MINIMO","OK"))</f>
        <v/>
      </c>
    </row>
    <row r="3164">
      <c r="B3164">
        <f>IFERROR(VLOOKUP(A3164,Cadastro_Produtos!A:B,2,FALSE),"")</f>
        <v/>
      </c>
      <c r="D3164" s="12" t="n"/>
      <c r="E3164" s="13">
        <f>IF(D3164="","",D3164-TODAY())</f>
        <v/>
      </c>
      <c r="F3164">
        <f>IF(D3164="","",IF(E3164&lt;0,"VENCIDO",IF(E3164&lt;=30,"VENCE EM &lt;= 30 DIAS",IF(E3164&lt;=60,"ATENCAO (31-60 DIAS)","OK"))))</f>
        <v/>
      </c>
      <c r="G3164" s="13">
        <f>SUMIFS(Movimentacoes!$G:$G,Movimentacoes!$C:$C,$A3164,Movimentacoes!$E:$E,$C3164,Movimentacoes!$B:$B,"ENTRADA")</f>
        <v/>
      </c>
      <c r="H3164" s="13">
        <f>SUMIFS(Movimentacoes!$G:$G,Movimentacoes!$C:$C,$A3164,Movimentacoes!$E:$E,$C3164,Movimentacoes!$B:$B,"SAIDA_USO")</f>
        <v/>
      </c>
      <c r="I3164" s="13">
        <f>SUMIFS(Movimentacoes!$G:$G,Movimentacoes!$C:$C,$A3164,Movimentacoes!$E:$E,$C3164,Movimentacoes!$B:$B,"SAIDA_DESCARTE")</f>
        <v/>
      </c>
      <c r="J3164" s="13">
        <f>G3164-H3164-I3164</f>
        <v/>
      </c>
      <c r="K3164">
        <f>IF(A3164="","",IF(J3164&lt;=IFERROR(VLOOKUP(A3164,Cadastro_Produtos!$A:$E,5,FALSE),0),"ABAIXO DO MINIMO","OK"))</f>
        <v/>
      </c>
    </row>
    <row r="3165">
      <c r="B3165">
        <f>IFERROR(VLOOKUP(A3165,Cadastro_Produtos!A:B,2,FALSE),"")</f>
        <v/>
      </c>
      <c r="D3165" s="12" t="n"/>
      <c r="E3165" s="13">
        <f>IF(D3165="","",D3165-TODAY())</f>
        <v/>
      </c>
      <c r="F3165">
        <f>IF(D3165="","",IF(E3165&lt;0,"VENCIDO",IF(E3165&lt;=30,"VENCE EM &lt;= 30 DIAS",IF(E3165&lt;=60,"ATENCAO (31-60 DIAS)","OK"))))</f>
        <v/>
      </c>
      <c r="G3165" s="13">
        <f>SUMIFS(Movimentacoes!$G:$G,Movimentacoes!$C:$C,$A3165,Movimentacoes!$E:$E,$C3165,Movimentacoes!$B:$B,"ENTRADA")</f>
        <v/>
      </c>
      <c r="H3165" s="13">
        <f>SUMIFS(Movimentacoes!$G:$G,Movimentacoes!$C:$C,$A3165,Movimentacoes!$E:$E,$C3165,Movimentacoes!$B:$B,"SAIDA_USO")</f>
        <v/>
      </c>
      <c r="I3165" s="13">
        <f>SUMIFS(Movimentacoes!$G:$G,Movimentacoes!$C:$C,$A3165,Movimentacoes!$E:$E,$C3165,Movimentacoes!$B:$B,"SAIDA_DESCARTE")</f>
        <v/>
      </c>
      <c r="J3165" s="13">
        <f>G3165-H3165-I3165</f>
        <v/>
      </c>
      <c r="K3165">
        <f>IF(A3165="","",IF(J3165&lt;=IFERROR(VLOOKUP(A3165,Cadastro_Produtos!$A:$E,5,FALSE),0),"ABAIXO DO MINIMO","OK"))</f>
        <v/>
      </c>
    </row>
    <row r="3166">
      <c r="B3166">
        <f>IFERROR(VLOOKUP(A3166,Cadastro_Produtos!A:B,2,FALSE),"")</f>
        <v/>
      </c>
      <c r="D3166" s="12" t="n"/>
      <c r="E3166" s="13">
        <f>IF(D3166="","",D3166-TODAY())</f>
        <v/>
      </c>
      <c r="F3166">
        <f>IF(D3166="","",IF(E3166&lt;0,"VENCIDO",IF(E3166&lt;=30,"VENCE EM &lt;= 30 DIAS",IF(E3166&lt;=60,"ATENCAO (31-60 DIAS)","OK"))))</f>
        <v/>
      </c>
      <c r="G3166" s="13">
        <f>SUMIFS(Movimentacoes!$G:$G,Movimentacoes!$C:$C,$A3166,Movimentacoes!$E:$E,$C3166,Movimentacoes!$B:$B,"ENTRADA")</f>
        <v/>
      </c>
      <c r="H3166" s="13">
        <f>SUMIFS(Movimentacoes!$G:$G,Movimentacoes!$C:$C,$A3166,Movimentacoes!$E:$E,$C3166,Movimentacoes!$B:$B,"SAIDA_USO")</f>
        <v/>
      </c>
      <c r="I3166" s="13">
        <f>SUMIFS(Movimentacoes!$G:$G,Movimentacoes!$C:$C,$A3166,Movimentacoes!$E:$E,$C3166,Movimentacoes!$B:$B,"SAIDA_DESCARTE")</f>
        <v/>
      </c>
      <c r="J3166" s="13">
        <f>G3166-H3166-I3166</f>
        <v/>
      </c>
      <c r="K3166">
        <f>IF(A3166="","",IF(J3166&lt;=IFERROR(VLOOKUP(A3166,Cadastro_Produtos!$A:$E,5,FALSE),0),"ABAIXO DO MINIMO","OK"))</f>
        <v/>
      </c>
    </row>
    <row r="3167">
      <c r="B3167">
        <f>IFERROR(VLOOKUP(A3167,Cadastro_Produtos!A:B,2,FALSE),"")</f>
        <v/>
      </c>
      <c r="D3167" s="12" t="n"/>
      <c r="E3167" s="13">
        <f>IF(D3167="","",D3167-TODAY())</f>
        <v/>
      </c>
      <c r="F3167">
        <f>IF(D3167="","",IF(E3167&lt;0,"VENCIDO",IF(E3167&lt;=30,"VENCE EM &lt;= 30 DIAS",IF(E3167&lt;=60,"ATENCAO (31-60 DIAS)","OK"))))</f>
        <v/>
      </c>
      <c r="G3167" s="13">
        <f>SUMIFS(Movimentacoes!$G:$G,Movimentacoes!$C:$C,$A3167,Movimentacoes!$E:$E,$C3167,Movimentacoes!$B:$B,"ENTRADA")</f>
        <v/>
      </c>
      <c r="H3167" s="13">
        <f>SUMIFS(Movimentacoes!$G:$G,Movimentacoes!$C:$C,$A3167,Movimentacoes!$E:$E,$C3167,Movimentacoes!$B:$B,"SAIDA_USO")</f>
        <v/>
      </c>
      <c r="I3167" s="13">
        <f>SUMIFS(Movimentacoes!$G:$G,Movimentacoes!$C:$C,$A3167,Movimentacoes!$E:$E,$C3167,Movimentacoes!$B:$B,"SAIDA_DESCARTE")</f>
        <v/>
      </c>
      <c r="J3167" s="13">
        <f>G3167-H3167-I3167</f>
        <v/>
      </c>
      <c r="K3167">
        <f>IF(A3167="","",IF(J3167&lt;=IFERROR(VLOOKUP(A3167,Cadastro_Produtos!$A:$E,5,FALSE),0),"ABAIXO DO MINIMO","OK"))</f>
        <v/>
      </c>
    </row>
    <row r="3168">
      <c r="B3168">
        <f>IFERROR(VLOOKUP(A3168,Cadastro_Produtos!A:B,2,FALSE),"")</f>
        <v/>
      </c>
      <c r="D3168" s="12" t="n"/>
      <c r="E3168" s="13">
        <f>IF(D3168="","",D3168-TODAY())</f>
        <v/>
      </c>
      <c r="F3168">
        <f>IF(D3168="","",IF(E3168&lt;0,"VENCIDO",IF(E3168&lt;=30,"VENCE EM &lt;= 30 DIAS",IF(E3168&lt;=60,"ATENCAO (31-60 DIAS)","OK"))))</f>
        <v/>
      </c>
      <c r="G3168" s="13">
        <f>SUMIFS(Movimentacoes!$G:$G,Movimentacoes!$C:$C,$A3168,Movimentacoes!$E:$E,$C3168,Movimentacoes!$B:$B,"ENTRADA")</f>
        <v/>
      </c>
      <c r="H3168" s="13">
        <f>SUMIFS(Movimentacoes!$G:$G,Movimentacoes!$C:$C,$A3168,Movimentacoes!$E:$E,$C3168,Movimentacoes!$B:$B,"SAIDA_USO")</f>
        <v/>
      </c>
      <c r="I3168" s="13">
        <f>SUMIFS(Movimentacoes!$G:$G,Movimentacoes!$C:$C,$A3168,Movimentacoes!$E:$E,$C3168,Movimentacoes!$B:$B,"SAIDA_DESCARTE")</f>
        <v/>
      </c>
      <c r="J3168" s="13">
        <f>G3168-H3168-I3168</f>
        <v/>
      </c>
      <c r="K3168">
        <f>IF(A3168="","",IF(J3168&lt;=IFERROR(VLOOKUP(A3168,Cadastro_Produtos!$A:$E,5,FALSE),0),"ABAIXO DO MINIMO","OK"))</f>
        <v/>
      </c>
    </row>
    <row r="3169">
      <c r="B3169">
        <f>IFERROR(VLOOKUP(A3169,Cadastro_Produtos!A:B,2,FALSE),"")</f>
        <v/>
      </c>
      <c r="D3169" s="12" t="n"/>
      <c r="E3169" s="13">
        <f>IF(D3169="","",D3169-TODAY())</f>
        <v/>
      </c>
      <c r="F3169">
        <f>IF(D3169="","",IF(E3169&lt;0,"VENCIDO",IF(E3169&lt;=30,"VENCE EM &lt;= 30 DIAS",IF(E3169&lt;=60,"ATENCAO (31-60 DIAS)","OK"))))</f>
        <v/>
      </c>
      <c r="G3169" s="13">
        <f>SUMIFS(Movimentacoes!$G:$G,Movimentacoes!$C:$C,$A3169,Movimentacoes!$E:$E,$C3169,Movimentacoes!$B:$B,"ENTRADA")</f>
        <v/>
      </c>
      <c r="H3169" s="13">
        <f>SUMIFS(Movimentacoes!$G:$G,Movimentacoes!$C:$C,$A3169,Movimentacoes!$E:$E,$C3169,Movimentacoes!$B:$B,"SAIDA_USO")</f>
        <v/>
      </c>
      <c r="I3169" s="13">
        <f>SUMIFS(Movimentacoes!$G:$G,Movimentacoes!$C:$C,$A3169,Movimentacoes!$E:$E,$C3169,Movimentacoes!$B:$B,"SAIDA_DESCARTE")</f>
        <v/>
      </c>
      <c r="J3169" s="13">
        <f>G3169-H3169-I3169</f>
        <v/>
      </c>
      <c r="K3169">
        <f>IF(A3169="","",IF(J3169&lt;=IFERROR(VLOOKUP(A3169,Cadastro_Produtos!$A:$E,5,FALSE),0),"ABAIXO DO MINIMO","OK"))</f>
        <v/>
      </c>
    </row>
    <row r="3170">
      <c r="B3170">
        <f>IFERROR(VLOOKUP(A3170,Cadastro_Produtos!A:B,2,FALSE),"")</f>
        <v/>
      </c>
      <c r="D3170" s="12" t="n"/>
      <c r="E3170" s="13">
        <f>IF(D3170="","",D3170-TODAY())</f>
        <v/>
      </c>
      <c r="F3170">
        <f>IF(D3170="","",IF(E3170&lt;0,"VENCIDO",IF(E3170&lt;=30,"VENCE EM &lt;= 30 DIAS",IF(E3170&lt;=60,"ATENCAO (31-60 DIAS)","OK"))))</f>
        <v/>
      </c>
      <c r="G3170" s="13">
        <f>SUMIFS(Movimentacoes!$G:$G,Movimentacoes!$C:$C,$A3170,Movimentacoes!$E:$E,$C3170,Movimentacoes!$B:$B,"ENTRADA")</f>
        <v/>
      </c>
      <c r="H3170" s="13">
        <f>SUMIFS(Movimentacoes!$G:$G,Movimentacoes!$C:$C,$A3170,Movimentacoes!$E:$E,$C3170,Movimentacoes!$B:$B,"SAIDA_USO")</f>
        <v/>
      </c>
      <c r="I3170" s="13">
        <f>SUMIFS(Movimentacoes!$G:$G,Movimentacoes!$C:$C,$A3170,Movimentacoes!$E:$E,$C3170,Movimentacoes!$B:$B,"SAIDA_DESCARTE")</f>
        <v/>
      </c>
      <c r="J3170" s="13">
        <f>G3170-H3170-I3170</f>
        <v/>
      </c>
      <c r="K3170">
        <f>IF(A3170="","",IF(J3170&lt;=IFERROR(VLOOKUP(A3170,Cadastro_Produtos!$A:$E,5,FALSE),0),"ABAIXO DO MINIMO","OK"))</f>
        <v/>
      </c>
    </row>
    <row r="3171">
      <c r="B3171">
        <f>IFERROR(VLOOKUP(A3171,Cadastro_Produtos!A:B,2,FALSE),"")</f>
        <v/>
      </c>
      <c r="D3171" s="12" t="n"/>
      <c r="E3171" s="13">
        <f>IF(D3171="","",D3171-TODAY())</f>
        <v/>
      </c>
      <c r="F3171">
        <f>IF(D3171="","",IF(E3171&lt;0,"VENCIDO",IF(E3171&lt;=30,"VENCE EM &lt;= 30 DIAS",IF(E3171&lt;=60,"ATENCAO (31-60 DIAS)","OK"))))</f>
        <v/>
      </c>
      <c r="G3171" s="13">
        <f>SUMIFS(Movimentacoes!$G:$G,Movimentacoes!$C:$C,$A3171,Movimentacoes!$E:$E,$C3171,Movimentacoes!$B:$B,"ENTRADA")</f>
        <v/>
      </c>
      <c r="H3171" s="13">
        <f>SUMIFS(Movimentacoes!$G:$G,Movimentacoes!$C:$C,$A3171,Movimentacoes!$E:$E,$C3171,Movimentacoes!$B:$B,"SAIDA_USO")</f>
        <v/>
      </c>
      <c r="I3171" s="13">
        <f>SUMIFS(Movimentacoes!$G:$G,Movimentacoes!$C:$C,$A3171,Movimentacoes!$E:$E,$C3171,Movimentacoes!$B:$B,"SAIDA_DESCARTE")</f>
        <v/>
      </c>
      <c r="J3171" s="13">
        <f>G3171-H3171-I3171</f>
        <v/>
      </c>
      <c r="K3171">
        <f>IF(A3171="","",IF(J3171&lt;=IFERROR(VLOOKUP(A3171,Cadastro_Produtos!$A:$E,5,FALSE),0),"ABAIXO DO MINIMO","OK"))</f>
        <v/>
      </c>
    </row>
    <row r="3172">
      <c r="B3172">
        <f>IFERROR(VLOOKUP(A3172,Cadastro_Produtos!A:B,2,FALSE),"")</f>
        <v/>
      </c>
      <c r="D3172" s="12" t="n"/>
      <c r="E3172" s="13">
        <f>IF(D3172="","",D3172-TODAY())</f>
        <v/>
      </c>
      <c r="F3172">
        <f>IF(D3172="","",IF(E3172&lt;0,"VENCIDO",IF(E3172&lt;=30,"VENCE EM &lt;= 30 DIAS",IF(E3172&lt;=60,"ATENCAO (31-60 DIAS)","OK"))))</f>
        <v/>
      </c>
      <c r="G3172" s="13">
        <f>SUMIFS(Movimentacoes!$G:$G,Movimentacoes!$C:$C,$A3172,Movimentacoes!$E:$E,$C3172,Movimentacoes!$B:$B,"ENTRADA")</f>
        <v/>
      </c>
      <c r="H3172" s="13">
        <f>SUMIFS(Movimentacoes!$G:$G,Movimentacoes!$C:$C,$A3172,Movimentacoes!$E:$E,$C3172,Movimentacoes!$B:$B,"SAIDA_USO")</f>
        <v/>
      </c>
      <c r="I3172" s="13">
        <f>SUMIFS(Movimentacoes!$G:$G,Movimentacoes!$C:$C,$A3172,Movimentacoes!$E:$E,$C3172,Movimentacoes!$B:$B,"SAIDA_DESCARTE")</f>
        <v/>
      </c>
      <c r="J3172" s="13">
        <f>G3172-H3172-I3172</f>
        <v/>
      </c>
      <c r="K3172">
        <f>IF(A3172="","",IF(J3172&lt;=IFERROR(VLOOKUP(A3172,Cadastro_Produtos!$A:$E,5,FALSE),0),"ABAIXO DO MINIMO","OK"))</f>
        <v/>
      </c>
    </row>
    <row r="3173">
      <c r="B3173">
        <f>IFERROR(VLOOKUP(A3173,Cadastro_Produtos!A:B,2,FALSE),"")</f>
        <v/>
      </c>
      <c r="D3173" s="12" t="n"/>
      <c r="E3173" s="13">
        <f>IF(D3173="","",D3173-TODAY())</f>
        <v/>
      </c>
      <c r="F3173">
        <f>IF(D3173="","",IF(E3173&lt;0,"VENCIDO",IF(E3173&lt;=30,"VENCE EM &lt;= 30 DIAS",IF(E3173&lt;=60,"ATENCAO (31-60 DIAS)","OK"))))</f>
        <v/>
      </c>
      <c r="G3173" s="13">
        <f>SUMIFS(Movimentacoes!$G:$G,Movimentacoes!$C:$C,$A3173,Movimentacoes!$E:$E,$C3173,Movimentacoes!$B:$B,"ENTRADA")</f>
        <v/>
      </c>
      <c r="H3173" s="13">
        <f>SUMIFS(Movimentacoes!$G:$G,Movimentacoes!$C:$C,$A3173,Movimentacoes!$E:$E,$C3173,Movimentacoes!$B:$B,"SAIDA_USO")</f>
        <v/>
      </c>
      <c r="I3173" s="13">
        <f>SUMIFS(Movimentacoes!$G:$G,Movimentacoes!$C:$C,$A3173,Movimentacoes!$E:$E,$C3173,Movimentacoes!$B:$B,"SAIDA_DESCARTE")</f>
        <v/>
      </c>
      <c r="J3173" s="13">
        <f>G3173-H3173-I3173</f>
        <v/>
      </c>
      <c r="K3173">
        <f>IF(A3173="","",IF(J3173&lt;=IFERROR(VLOOKUP(A3173,Cadastro_Produtos!$A:$E,5,FALSE),0),"ABAIXO DO MINIMO","OK"))</f>
        <v/>
      </c>
    </row>
    <row r="3174">
      <c r="B3174">
        <f>IFERROR(VLOOKUP(A3174,Cadastro_Produtos!A:B,2,FALSE),"")</f>
        <v/>
      </c>
      <c r="D3174" s="12" t="n"/>
      <c r="E3174" s="13">
        <f>IF(D3174="","",D3174-TODAY())</f>
        <v/>
      </c>
      <c r="F3174">
        <f>IF(D3174="","",IF(E3174&lt;0,"VENCIDO",IF(E3174&lt;=30,"VENCE EM &lt;= 30 DIAS",IF(E3174&lt;=60,"ATENCAO (31-60 DIAS)","OK"))))</f>
        <v/>
      </c>
      <c r="G3174" s="13">
        <f>SUMIFS(Movimentacoes!$G:$G,Movimentacoes!$C:$C,$A3174,Movimentacoes!$E:$E,$C3174,Movimentacoes!$B:$B,"ENTRADA")</f>
        <v/>
      </c>
      <c r="H3174" s="13">
        <f>SUMIFS(Movimentacoes!$G:$G,Movimentacoes!$C:$C,$A3174,Movimentacoes!$E:$E,$C3174,Movimentacoes!$B:$B,"SAIDA_USO")</f>
        <v/>
      </c>
      <c r="I3174" s="13">
        <f>SUMIFS(Movimentacoes!$G:$G,Movimentacoes!$C:$C,$A3174,Movimentacoes!$E:$E,$C3174,Movimentacoes!$B:$B,"SAIDA_DESCARTE")</f>
        <v/>
      </c>
      <c r="J3174" s="13">
        <f>G3174-H3174-I3174</f>
        <v/>
      </c>
      <c r="K3174">
        <f>IF(A3174="","",IF(J3174&lt;=IFERROR(VLOOKUP(A3174,Cadastro_Produtos!$A:$E,5,FALSE),0),"ABAIXO DO MINIMO","OK"))</f>
        <v/>
      </c>
    </row>
    <row r="3175">
      <c r="B3175">
        <f>IFERROR(VLOOKUP(A3175,Cadastro_Produtos!A:B,2,FALSE),"")</f>
        <v/>
      </c>
      <c r="D3175" s="12" t="n"/>
      <c r="E3175" s="13">
        <f>IF(D3175="","",D3175-TODAY())</f>
        <v/>
      </c>
      <c r="F3175">
        <f>IF(D3175="","",IF(E3175&lt;0,"VENCIDO",IF(E3175&lt;=30,"VENCE EM &lt;= 30 DIAS",IF(E3175&lt;=60,"ATENCAO (31-60 DIAS)","OK"))))</f>
        <v/>
      </c>
      <c r="G3175" s="13">
        <f>SUMIFS(Movimentacoes!$G:$G,Movimentacoes!$C:$C,$A3175,Movimentacoes!$E:$E,$C3175,Movimentacoes!$B:$B,"ENTRADA")</f>
        <v/>
      </c>
      <c r="H3175" s="13">
        <f>SUMIFS(Movimentacoes!$G:$G,Movimentacoes!$C:$C,$A3175,Movimentacoes!$E:$E,$C3175,Movimentacoes!$B:$B,"SAIDA_USO")</f>
        <v/>
      </c>
      <c r="I3175" s="13">
        <f>SUMIFS(Movimentacoes!$G:$G,Movimentacoes!$C:$C,$A3175,Movimentacoes!$E:$E,$C3175,Movimentacoes!$B:$B,"SAIDA_DESCARTE")</f>
        <v/>
      </c>
      <c r="J3175" s="13">
        <f>G3175-H3175-I3175</f>
        <v/>
      </c>
      <c r="K3175">
        <f>IF(A3175="","",IF(J3175&lt;=IFERROR(VLOOKUP(A3175,Cadastro_Produtos!$A:$E,5,FALSE),0),"ABAIXO DO MINIMO","OK"))</f>
        <v/>
      </c>
    </row>
    <row r="3176">
      <c r="B3176">
        <f>IFERROR(VLOOKUP(A3176,Cadastro_Produtos!A:B,2,FALSE),"")</f>
        <v/>
      </c>
      <c r="D3176" s="12" t="n"/>
      <c r="E3176" s="13">
        <f>IF(D3176="","",D3176-TODAY())</f>
        <v/>
      </c>
      <c r="F3176">
        <f>IF(D3176="","",IF(E3176&lt;0,"VENCIDO",IF(E3176&lt;=30,"VENCE EM &lt;= 30 DIAS",IF(E3176&lt;=60,"ATENCAO (31-60 DIAS)","OK"))))</f>
        <v/>
      </c>
      <c r="G3176" s="13">
        <f>SUMIFS(Movimentacoes!$G:$G,Movimentacoes!$C:$C,$A3176,Movimentacoes!$E:$E,$C3176,Movimentacoes!$B:$B,"ENTRADA")</f>
        <v/>
      </c>
      <c r="H3176" s="13">
        <f>SUMIFS(Movimentacoes!$G:$G,Movimentacoes!$C:$C,$A3176,Movimentacoes!$E:$E,$C3176,Movimentacoes!$B:$B,"SAIDA_USO")</f>
        <v/>
      </c>
      <c r="I3176" s="13">
        <f>SUMIFS(Movimentacoes!$G:$G,Movimentacoes!$C:$C,$A3176,Movimentacoes!$E:$E,$C3176,Movimentacoes!$B:$B,"SAIDA_DESCARTE")</f>
        <v/>
      </c>
      <c r="J3176" s="13">
        <f>G3176-H3176-I3176</f>
        <v/>
      </c>
      <c r="K3176">
        <f>IF(A3176="","",IF(J3176&lt;=IFERROR(VLOOKUP(A3176,Cadastro_Produtos!$A:$E,5,FALSE),0),"ABAIXO DO MINIMO","OK"))</f>
        <v/>
      </c>
    </row>
    <row r="3177">
      <c r="B3177">
        <f>IFERROR(VLOOKUP(A3177,Cadastro_Produtos!A:B,2,FALSE),"")</f>
        <v/>
      </c>
      <c r="D3177" s="12" t="n"/>
      <c r="E3177" s="13">
        <f>IF(D3177="","",D3177-TODAY())</f>
        <v/>
      </c>
      <c r="F3177">
        <f>IF(D3177="","",IF(E3177&lt;0,"VENCIDO",IF(E3177&lt;=30,"VENCE EM &lt;= 30 DIAS",IF(E3177&lt;=60,"ATENCAO (31-60 DIAS)","OK"))))</f>
        <v/>
      </c>
      <c r="G3177" s="13">
        <f>SUMIFS(Movimentacoes!$G:$G,Movimentacoes!$C:$C,$A3177,Movimentacoes!$E:$E,$C3177,Movimentacoes!$B:$B,"ENTRADA")</f>
        <v/>
      </c>
      <c r="H3177" s="13">
        <f>SUMIFS(Movimentacoes!$G:$G,Movimentacoes!$C:$C,$A3177,Movimentacoes!$E:$E,$C3177,Movimentacoes!$B:$B,"SAIDA_USO")</f>
        <v/>
      </c>
      <c r="I3177" s="13">
        <f>SUMIFS(Movimentacoes!$G:$G,Movimentacoes!$C:$C,$A3177,Movimentacoes!$E:$E,$C3177,Movimentacoes!$B:$B,"SAIDA_DESCARTE")</f>
        <v/>
      </c>
      <c r="J3177" s="13">
        <f>G3177-H3177-I3177</f>
        <v/>
      </c>
      <c r="K3177">
        <f>IF(A3177="","",IF(J3177&lt;=IFERROR(VLOOKUP(A3177,Cadastro_Produtos!$A:$E,5,FALSE),0),"ABAIXO DO MINIMO","OK"))</f>
        <v/>
      </c>
    </row>
    <row r="3178">
      <c r="B3178">
        <f>IFERROR(VLOOKUP(A3178,Cadastro_Produtos!A:B,2,FALSE),"")</f>
        <v/>
      </c>
      <c r="D3178" s="12" t="n"/>
      <c r="E3178" s="13">
        <f>IF(D3178="","",D3178-TODAY())</f>
        <v/>
      </c>
      <c r="F3178">
        <f>IF(D3178="","",IF(E3178&lt;0,"VENCIDO",IF(E3178&lt;=30,"VENCE EM &lt;= 30 DIAS",IF(E3178&lt;=60,"ATENCAO (31-60 DIAS)","OK"))))</f>
        <v/>
      </c>
      <c r="G3178" s="13">
        <f>SUMIFS(Movimentacoes!$G:$G,Movimentacoes!$C:$C,$A3178,Movimentacoes!$E:$E,$C3178,Movimentacoes!$B:$B,"ENTRADA")</f>
        <v/>
      </c>
      <c r="H3178" s="13">
        <f>SUMIFS(Movimentacoes!$G:$G,Movimentacoes!$C:$C,$A3178,Movimentacoes!$E:$E,$C3178,Movimentacoes!$B:$B,"SAIDA_USO")</f>
        <v/>
      </c>
      <c r="I3178" s="13">
        <f>SUMIFS(Movimentacoes!$G:$G,Movimentacoes!$C:$C,$A3178,Movimentacoes!$E:$E,$C3178,Movimentacoes!$B:$B,"SAIDA_DESCARTE")</f>
        <v/>
      </c>
      <c r="J3178" s="13">
        <f>G3178-H3178-I3178</f>
        <v/>
      </c>
      <c r="K3178">
        <f>IF(A3178="","",IF(J3178&lt;=IFERROR(VLOOKUP(A3178,Cadastro_Produtos!$A:$E,5,FALSE),0),"ABAIXO DO MINIMO","OK"))</f>
        <v/>
      </c>
    </row>
    <row r="3179">
      <c r="B3179">
        <f>IFERROR(VLOOKUP(A3179,Cadastro_Produtos!A:B,2,FALSE),"")</f>
        <v/>
      </c>
      <c r="D3179" s="12" t="n"/>
      <c r="E3179" s="13">
        <f>IF(D3179="","",D3179-TODAY())</f>
        <v/>
      </c>
      <c r="F3179">
        <f>IF(D3179="","",IF(E3179&lt;0,"VENCIDO",IF(E3179&lt;=30,"VENCE EM &lt;= 30 DIAS",IF(E3179&lt;=60,"ATENCAO (31-60 DIAS)","OK"))))</f>
        <v/>
      </c>
      <c r="G3179" s="13">
        <f>SUMIFS(Movimentacoes!$G:$G,Movimentacoes!$C:$C,$A3179,Movimentacoes!$E:$E,$C3179,Movimentacoes!$B:$B,"ENTRADA")</f>
        <v/>
      </c>
      <c r="H3179" s="13">
        <f>SUMIFS(Movimentacoes!$G:$G,Movimentacoes!$C:$C,$A3179,Movimentacoes!$E:$E,$C3179,Movimentacoes!$B:$B,"SAIDA_USO")</f>
        <v/>
      </c>
      <c r="I3179" s="13">
        <f>SUMIFS(Movimentacoes!$G:$G,Movimentacoes!$C:$C,$A3179,Movimentacoes!$E:$E,$C3179,Movimentacoes!$B:$B,"SAIDA_DESCARTE")</f>
        <v/>
      </c>
      <c r="J3179" s="13">
        <f>G3179-H3179-I3179</f>
        <v/>
      </c>
      <c r="K3179">
        <f>IF(A3179="","",IF(J3179&lt;=IFERROR(VLOOKUP(A3179,Cadastro_Produtos!$A:$E,5,FALSE),0),"ABAIXO DO MINIMO","OK"))</f>
        <v/>
      </c>
    </row>
    <row r="3180">
      <c r="B3180">
        <f>IFERROR(VLOOKUP(A3180,Cadastro_Produtos!A:B,2,FALSE),"")</f>
        <v/>
      </c>
      <c r="D3180" s="12" t="n"/>
      <c r="E3180" s="13">
        <f>IF(D3180="","",D3180-TODAY())</f>
        <v/>
      </c>
      <c r="F3180">
        <f>IF(D3180="","",IF(E3180&lt;0,"VENCIDO",IF(E3180&lt;=30,"VENCE EM &lt;= 30 DIAS",IF(E3180&lt;=60,"ATENCAO (31-60 DIAS)","OK"))))</f>
        <v/>
      </c>
      <c r="G3180" s="13">
        <f>SUMIFS(Movimentacoes!$G:$G,Movimentacoes!$C:$C,$A3180,Movimentacoes!$E:$E,$C3180,Movimentacoes!$B:$B,"ENTRADA")</f>
        <v/>
      </c>
      <c r="H3180" s="13">
        <f>SUMIFS(Movimentacoes!$G:$G,Movimentacoes!$C:$C,$A3180,Movimentacoes!$E:$E,$C3180,Movimentacoes!$B:$B,"SAIDA_USO")</f>
        <v/>
      </c>
      <c r="I3180" s="13">
        <f>SUMIFS(Movimentacoes!$G:$G,Movimentacoes!$C:$C,$A3180,Movimentacoes!$E:$E,$C3180,Movimentacoes!$B:$B,"SAIDA_DESCARTE")</f>
        <v/>
      </c>
      <c r="J3180" s="13">
        <f>G3180-H3180-I3180</f>
        <v/>
      </c>
      <c r="K3180">
        <f>IF(A3180="","",IF(J3180&lt;=IFERROR(VLOOKUP(A3180,Cadastro_Produtos!$A:$E,5,FALSE),0),"ABAIXO DO MINIMO","OK"))</f>
        <v/>
      </c>
    </row>
    <row r="3181">
      <c r="B3181">
        <f>IFERROR(VLOOKUP(A3181,Cadastro_Produtos!A:B,2,FALSE),"")</f>
        <v/>
      </c>
      <c r="D3181" s="12" t="n"/>
      <c r="E3181" s="13">
        <f>IF(D3181="","",D3181-TODAY())</f>
        <v/>
      </c>
      <c r="F3181">
        <f>IF(D3181="","",IF(E3181&lt;0,"VENCIDO",IF(E3181&lt;=30,"VENCE EM &lt;= 30 DIAS",IF(E3181&lt;=60,"ATENCAO (31-60 DIAS)","OK"))))</f>
        <v/>
      </c>
      <c r="G3181" s="13">
        <f>SUMIFS(Movimentacoes!$G:$G,Movimentacoes!$C:$C,$A3181,Movimentacoes!$E:$E,$C3181,Movimentacoes!$B:$B,"ENTRADA")</f>
        <v/>
      </c>
      <c r="H3181" s="13">
        <f>SUMIFS(Movimentacoes!$G:$G,Movimentacoes!$C:$C,$A3181,Movimentacoes!$E:$E,$C3181,Movimentacoes!$B:$B,"SAIDA_USO")</f>
        <v/>
      </c>
      <c r="I3181" s="13">
        <f>SUMIFS(Movimentacoes!$G:$G,Movimentacoes!$C:$C,$A3181,Movimentacoes!$E:$E,$C3181,Movimentacoes!$B:$B,"SAIDA_DESCARTE")</f>
        <v/>
      </c>
      <c r="J3181" s="13">
        <f>G3181-H3181-I3181</f>
        <v/>
      </c>
      <c r="K3181">
        <f>IF(A3181="","",IF(J3181&lt;=IFERROR(VLOOKUP(A3181,Cadastro_Produtos!$A:$E,5,FALSE),0),"ABAIXO DO MINIMO","OK"))</f>
        <v/>
      </c>
    </row>
    <row r="3182">
      <c r="B3182">
        <f>IFERROR(VLOOKUP(A3182,Cadastro_Produtos!A:B,2,FALSE),"")</f>
        <v/>
      </c>
      <c r="D3182" s="12" t="n"/>
      <c r="E3182" s="13">
        <f>IF(D3182="","",D3182-TODAY())</f>
        <v/>
      </c>
      <c r="F3182">
        <f>IF(D3182="","",IF(E3182&lt;0,"VENCIDO",IF(E3182&lt;=30,"VENCE EM &lt;= 30 DIAS",IF(E3182&lt;=60,"ATENCAO (31-60 DIAS)","OK"))))</f>
        <v/>
      </c>
      <c r="G3182" s="13">
        <f>SUMIFS(Movimentacoes!$G:$G,Movimentacoes!$C:$C,$A3182,Movimentacoes!$E:$E,$C3182,Movimentacoes!$B:$B,"ENTRADA")</f>
        <v/>
      </c>
      <c r="H3182" s="13">
        <f>SUMIFS(Movimentacoes!$G:$G,Movimentacoes!$C:$C,$A3182,Movimentacoes!$E:$E,$C3182,Movimentacoes!$B:$B,"SAIDA_USO")</f>
        <v/>
      </c>
      <c r="I3182" s="13">
        <f>SUMIFS(Movimentacoes!$G:$G,Movimentacoes!$C:$C,$A3182,Movimentacoes!$E:$E,$C3182,Movimentacoes!$B:$B,"SAIDA_DESCARTE")</f>
        <v/>
      </c>
      <c r="J3182" s="13">
        <f>G3182-H3182-I3182</f>
        <v/>
      </c>
      <c r="K3182">
        <f>IF(A3182="","",IF(J3182&lt;=IFERROR(VLOOKUP(A3182,Cadastro_Produtos!$A:$E,5,FALSE),0),"ABAIXO DO MINIMO","OK"))</f>
        <v/>
      </c>
    </row>
    <row r="3183">
      <c r="B3183">
        <f>IFERROR(VLOOKUP(A3183,Cadastro_Produtos!A:B,2,FALSE),"")</f>
        <v/>
      </c>
      <c r="D3183" s="12" t="n"/>
      <c r="E3183" s="13">
        <f>IF(D3183="","",D3183-TODAY())</f>
        <v/>
      </c>
      <c r="F3183">
        <f>IF(D3183="","",IF(E3183&lt;0,"VENCIDO",IF(E3183&lt;=30,"VENCE EM &lt;= 30 DIAS",IF(E3183&lt;=60,"ATENCAO (31-60 DIAS)","OK"))))</f>
        <v/>
      </c>
      <c r="G3183" s="13">
        <f>SUMIFS(Movimentacoes!$G:$G,Movimentacoes!$C:$C,$A3183,Movimentacoes!$E:$E,$C3183,Movimentacoes!$B:$B,"ENTRADA")</f>
        <v/>
      </c>
      <c r="H3183" s="13">
        <f>SUMIFS(Movimentacoes!$G:$G,Movimentacoes!$C:$C,$A3183,Movimentacoes!$E:$E,$C3183,Movimentacoes!$B:$B,"SAIDA_USO")</f>
        <v/>
      </c>
      <c r="I3183" s="13">
        <f>SUMIFS(Movimentacoes!$G:$G,Movimentacoes!$C:$C,$A3183,Movimentacoes!$E:$E,$C3183,Movimentacoes!$B:$B,"SAIDA_DESCARTE")</f>
        <v/>
      </c>
      <c r="J3183" s="13">
        <f>G3183-H3183-I3183</f>
        <v/>
      </c>
      <c r="K3183">
        <f>IF(A3183="","",IF(J3183&lt;=IFERROR(VLOOKUP(A3183,Cadastro_Produtos!$A:$E,5,FALSE),0),"ABAIXO DO MINIMO","OK"))</f>
        <v/>
      </c>
    </row>
    <row r="3184">
      <c r="B3184">
        <f>IFERROR(VLOOKUP(A3184,Cadastro_Produtos!A:B,2,FALSE),"")</f>
        <v/>
      </c>
      <c r="D3184" s="12" t="n"/>
      <c r="E3184" s="13">
        <f>IF(D3184="","",D3184-TODAY())</f>
        <v/>
      </c>
      <c r="F3184">
        <f>IF(D3184="","",IF(E3184&lt;0,"VENCIDO",IF(E3184&lt;=30,"VENCE EM &lt;= 30 DIAS",IF(E3184&lt;=60,"ATENCAO (31-60 DIAS)","OK"))))</f>
        <v/>
      </c>
      <c r="G3184" s="13">
        <f>SUMIFS(Movimentacoes!$G:$G,Movimentacoes!$C:$C,$A3184,Movimentacoes!$E:$E,$C3184,Movimentacoes!$B:$B,"ENTRADA")</f>
        <v/>
      </c>
      <c r="H3184" s="13">
        <f>SUMIFS(Movimentacoes!$G:$G,Movimentacoes!$C:$C,$A3184,Movimentacoes!$E:$E,$C3184,Movimentacoes!$B:$B,"SAIDA_USO")</f>
        <v/>
      </c>
      <c r="I3184" s="13">
        <f>SUMIFS(Movimentacoes!$G:$G,Movimentacoes!$C:$C,$A3184,Movimentacoes!$E:$E,$C3184,Movimentacoes!$B:$B,"SAIDA_DESCARTE")</f>
        <v/>
      </c>
      <c r="J3184" s="13">
        <f>G3184-H3184-I3184</f>
        <v/>
      </c>
      <c r="K3184">
        <f>IF(A3184="","",IF(J3184&lt;=IFERROR(VLOOKUP(A3184,Cadastro_Produtos!$A:$E,5,FALSE),0),"ABAIXO DO MINIMO","OK"))</f>
        <v/>
      </c>
    </row>
    <row r="3185">
      <c r="B3185">
        <f>IFERROR(VLOOKUP(A3185,Cadastro_Produtos!A:B,2,FALSE),"")</f>
        <v/>
      </c>
      <c r="D3185" s="12" t="n"/>
      <c r="E3185" s="13">
        <f>IF(D3185="","",D3185-TODAY())</f>
        <v/>
      </c>
      <c r="F3185">
        <f>IF(D3185="","",IF(E3185&lt;0,"VENCIDO",IF(E3185&lt;=30,"VENCE EM &lt;= 30 DIAS",IF(E3185&lt;=60,"ATENCAO (31-60 DIAS)","OK"))))</f>
        <v/>
      </c>
      <c r="G3185" s="13">
        <f>SUMIFS(Movimentacoes!$G:$G,Movimentacoes!$C:$C,$A3185,Movimentacoes!$E:$E,$C3185,Movimentacoes!$B:$B,"ENTRADA")</f>
        <v/>
      </c>
      <c r="H3185" s="13">
        <f>SUMIFS(Movimentacoes!$G:$G,Movimentacoes!$C:$C,$A3185,Movimentacoes!$E:$E,$C3185,Movimentacoes!$B:$B,"SAIDA_USO")</f>
        <v/>
      </c>
      <c r="I3185" s="13">
        <f>SUMIFS(Movimentacoes!$G:$G,Movimentacoes!$C:$C,$A3185,Movimentacoes!$E:$E,$C3185,Movimentacoes!$B:$B,"SAIDA_DESCARTE")</f>
        <v/>
      </c>
      <c r="J3185" s="13">
        <f>G3185-H3185-I3185</f>
        <v/>
      </c>
      <c r="K3185">
        <f>IF(A3185="","",IF(J3185&lt;=IFERROR(VLOOKUP(A3185,Cadastro_Produtos!$A:$E,5,FALSE),0),"ABAIXO DO MINIMO","OK"))</f>
        <v/>
      </c>
    </row>
    <row r="3186">
      <c r="B3186">
        <f>IFERROR(VLOOKUP(A3186,Cadastro_Produtos!A:B,2,FALSE),"")</f>
        <v/>
      </c>
      <c r="D3186" s="12" t="n"/>
      <c r="E3186" s="13">
        <f>IF(D3186="","",D3186-TODAY())</f>
        <v/>
      </c>
      <c r="F3186">
        <f>IF(D3186="","",IF(E3186&lt;0,"VENCIDO",IF(E3186&lt;=30,"VENCE EM &lt;= 30 DIAS",IF(E3186&lt;=60,"ATENCAO (31-60 DIAS)","OK"))))</f>
        <v/>
      </c>
      <c r="G3186" s="13">
        <f>SUMIFS(Movimentacoes!$G:$G,Movimentacoes!$C:$C,$A3186,Movimentacoes!$E:$E,$C3186,Movimentacoes!$B:$B,"ENTRADA")</f>
        <v/>
      </c>
      <c r="H3186" s="13">
        <f>SUMIFS(Movimentacoes!$G:$G,Movimentacoes!$C:$C,$A3186,Movimentacoes!$E:$E,$C3186,Movimentacoes!$B:$B,"SAIDA_USO")</f>
        <v/>
      </c>
      <c r="I3186" s="13">
        <f>SUMIFS(Movimentacoes!$G:$G,Movimentacoes!$C:$C,$A3186,Movimentacoes!$E:$E,$C3186,Movimentacoes!$B:$B,"SAIDA_DESCARTE")</f>
        <v/>
      </c>
      <c r="J3186" s="13">
        <f>G3186-H3186-I3186</f>
        <v/>
      </c>
      <c r="K3186">
        <f>IF(A3186="","",IF(J3186&lt;=IFERROR(VLOOKUP(A3186,Cadastro_Produtos!$A:$E,5,FALSE),0),"ABAIXO DO MINIMO","OK"))</f>
        <v/>
      </c>
    </row>
    <row r="3187">
      <c r="B3187">
        <f>IFERROR(VLOOKUP(A3187,Cadastro_Produtos!A:B,2,FALSE),"")</f>
        <v/>
      </c>
      <c r="D3187" s="12" t="n"/>
      <c r="E3187" s="13">
        <f>IF(D3187="","",D3187-TODAY())</f>
        <v/>
      </c>
      <c r="F3187">
        <f>IF(D3187="","",IF(E3187&lt;0,"VENCIDO",IF(E3187&lt;=30,"VENCE EM &lt;= 30 DIAS",IF(E3187&lt;=60,"ATENCAO (31-60 DIAS)","OK"))))</f>
        <v/>
      </c>
      <c r="G3187" s="13">
        <f>SUMIFS(Movimentacoes!$G:$G,Movimentacoes!$C:$C,$A3187,Movimentacoes!$E:$E,$C3187,Movimentacoes!$B:$B,"ENTRADA")</f>
        <v/>
      </c>
      <c r="H3187" s="13">
        <f>SUMIFS(Movimentacoes!$G:$G,Movimentacoes!$C:$C,$A3187,Movimentacoes!$E:$E,$C3187,Movimentacoes!$B:$B,"SAIDA_USO")</f>
        <v/>
      </c>
      <c r="I3187" s="13">
        <f>SUMIFS(Movimentacoes!$G:$G,Movimentacoes!$C:$C,$A3187,Movimentacoes!$E:$E,$C3187,Movimentacoes!$B:$B,"SAIDA_DESCARTE")</f>
        <v/>
      </c>
      <c r="J3187" s="13">
        <f>G3187-H3187-I3187</f>
        <v/>
      </c>
      <c r="K3187">
        <f>IF(A3187="","",IF(J3187&lt;=IFERROR(VLOOKUP(A3187,Cadastro_Produtos!$A:$E,5,FALSE),0),"ABAIXO DO MINIMO","OK"))</f>
        <v/>
      </c>
    </row>
    <row r="3188">
      <c r="B3188">
        <f>IFERROR(VLOOKUP(A3188,Cadastro_Produtos!A:B,2,FALSE),"")</f>
        <v/>
      </c>
      <c r="D3188" s="12" t="n"/>
      <c r="E3188" s="13">
        <f>IF(D3188="","",D3188-TODAY())</f>
        <v/>
      </c>
      <c r="F3188">
        <f>IF(D3188="","",IF(E3188&lt;0,"VENCIDO",IF(E3188&lt;=30,"VENCE EM &lt;= 30 DIAS",IF(E3188&lt;=60,"ATENCAO (31-60 DIAS)","OK"))))</f>
        <v/>
      </c>
      <c r="G3188" s="13">
        <f>SUMIFS(Movimentacoes!$G:$G,Movimentacoes!$C:$C,$A3188,Movimentacoes!$E:$E,$C3188,Movimentacoes!$B:$B,"ENTRADA")</f>
        <v/>
      </c>
      <c r="H3188" s="13">
        <f>SUMIFS(Movimentacoes!$G:$G,Movimentacoes!$C:$C,$A3188,Movimentacoes!$E:$E,$C3188,Movimentacoes!$B:$B,"SAIDA_USO")</f>
        <v/>
      </c>
      <c r="I3188" s="13">
        <f>SUMIFS(Movimentacoes!$G:$G,Movimentacoes!$C:$C,$A3188,Movimentacoes!$E:$E,$C3188,Movimentacoes!$B:$B,"SAIDA_DESCARTE")</f>
        <v/>
      </c>
      <c r="J3188" s="13">
        <f>G3188-H3188-I3188</f>
        <v/>
      </c>
      <c r="K3188">
        <f>IF(A3188="","",IF(J3188&lt;=IFERROR(VLOOKUP(A3188,Cadastro_Produtos!$A:$E,5,FALSE),0),"ABAIXO DO MINIMO","OK"))</f>
        <v/>
      </c>
    </row>
    <row r="3189">
      <c r="B3189">
        <f>IFERROR(VLOOKUP(A3189,Cadastro_Produtos!A:B,2,FALSE),"")</f>
        <v/>
      </c>
      <c r="D3189" s="12" t="n"/>
      <c r="E3189" s="13">
        <f>IF(D3189="","",D3189-TODAY())</f>
        <v/>
      </c>
      <c r="F3189">
        <f>IF(D3189="","",IF(E3189&lt;0,"VENCIDO",IF(E3189&lt;=30,"VENCE EM &lt;= 30 DIAS",IF(E3189&lt;=60,"ATENCAO (31-60 DIAS)","OK"))))</f>
        <v/>
      </c>
      <c r="G3189" s="13">
        <f>SUMIFS(Movimentacoes!$G:$G,Movimentacoes!$C:$C,$A3189,Movimentacoes!$E:$E,$C3189,Movimentacoes!$B:$B,"ENTRADA")</f>
        <v/>
      </c>
      <c r="H3189" s="13">
        <f>SUMIFS(Movimentacoes!$G:$G,Movimentacoes!$C:$C,$A3189,Movimentacoes!$E:$E,$C3189,Movimentacoes!$B:$B,"SAIDA_USO")</f>
        <v/>
      </c>
      <c r="I3189" s="13">
        <f>SUMIFS(Movimentacoes!$G:$G,Movimentacoes!$C:$C,$A3189,Movimentacoes!$E:$E,$C3189,Movimentacoes!$B:$B,"SAIDA_DESCARTE")</f>
        <v/>
      </c>
      <c r="J3189" s="13">
        <f>G3189-H3189-I3189</f>
        <v/>
      </c>
      <c r="K3189">
        <f>IF(A3189="","",IF(J3189&lt;=IFERROR(VLOOKUP(A3189,Cadastro_Produtos!$A:$E,5,FALSE),0),"ABAIXO DO MINIMO","OK"))</f>
        <v/>
      </c>
    </row>
    <row r="3190">
      <c r="B3190">
        <f>IFERROR(VLOOKUP(A3190,Cadastro_Produtos!A:B,2,FALSE),"")</f>
        <v/>
      </c>
      <c r="D3190" s="12" t="n"/>
      <c r="E3190" s="13">
        <f>IF(D3190="","",D3190-TODAY())</f>
        <v/>
      </c>
      <c r="F3190">
        <f>IF(D3190="","",IF(E3190&lt;0,"VENCIDO",IF(E3190&lt;=30,"VENCE EM &lt;= 30 DIAS",IF(E3190&lt;=60,"ATENCAO (31-60 DIAS)","OK"))))</f>
        <v/>
      </c>
      <c r="G3190" s="13">
        <f>SUMIFS(Movimentacoes!$G:$G,Movimentacoes!$C:$C,$A3190,Movimentacoes!$E:$E,$C3190,Movimentacoes!$B:$B,"ENTRADA")</f>
        <v/>
      </c>
      <c r="H3190" s="13">
        <f>SUMIFS(Movimentacoes!$G:$G,Movimentacoes!$C:$C,$A3190,Movimentacoes!$E:$E,$C3190,Movimentacoes!$B:$B,"SAIDA_USO")</f>
        <v/>
      </c>
      <c r="I3190" s="13">
        <f>SUMIFS(Movimentacoes!$G:$G,Movimentacoes!$C:$C,$A3190,Movimentacoes!$E:$E,$C3190,Movimentacoes!$B:$B,"SAIDA_DESCARTE")</f>
        <v/>
      </c>
      <c r="J3190" s="13">
        <f>G3190-H3190-I3190</f>
        <v/>
      </c>
      <c r="K3190">
        <f>IF(A3190="","",IF(J3190&lt;=IFERROR(VLOOKUP(A3190,Cadastro_Produtos!$A:$E,5,FALSE),0),"ABAIXO DO MINIMO","OK"))</f>
        <v/>
      </c>
    </row>
    <row r="3191">
      <c r="B3191">
        <f>IFERROR(VLOOKUP(A3191,Cadastro_Produtos!A:B,2,FALSE),"")</f>
        <v/>
      </c>
      <c r="D3191" s="12" t="n"/>
      <c r="E3191" s="13">
        <f>IF(D3191="","",D3191-TODAY())</f>
        <v/>
      </c>
      <c r="F3191">
        <f>IF(D3191="","",IF(E3191&lt;0,"VENCIDO",IF(E3191&lt;=30,"VENCE EM &lt;= 30 DIAS",IF(E3191&lt;=60,"ATENCAO (31-60 DIAS)","OK"))))</f>
        <v/>
      </c>
      <c r="G3191" s="13">
        <f>SUMIFS(Movimentacoes!$G:$G,Movimentacoes!$C:$C,$A3191,Movimentacoes!$E:$E,$C3191,Movimentacoes!$B:$B,"ENTRADA")</f>
        <v/>
      </c>
      <c r="H3191" s="13">
        <f>SUMIFS(Movimentacoes!$G:$G,Movimentacoes!$C:$C,$A3191,Movimentacoes!$E:$E,$C3191,Movimentacoes!$B:$B,"SAIDA_USO")</f>
        <v/>
      </c>
      <c r="I3191" s="13">
        <f>SUMIFS(Movimentacoes!$G:$G,Movimentacoes!$C:$C,$A3191,Movimentacoes!$E:$E,$C3191,Movimentacoes!$B:$B,"SAIDA_DESCARTE")</f>
        <v/>
      </c>
      <c r="J3191" s="13">
        <f>G3191-H3191-I3191</f>
        <v/>
      </c>
      <c r="K3191">
        <f>IF(A3191="","",IF(J3191&lt;=IFERROR(VLOOKUP(A3191,Cadastro_Produtos!$A:$E,5,FALSE),0),"ABAIXO DO MINIMO","OK"))</f>
        <v/>
      </c>
    </row>
    <row r="3192">
      <c r="B3192">
        <f>IFERROR(VLOOKUP(A3192,Cadastro_Produtos!A:B,2,FALSE),"")</f>
        <v/>
      </c>
      <c r="D3192" s="12" t="n"/>
      <c r="E3192" s="13">
        <f>IF(D3192="","",D3192-TODAY())</f>
        <v/>
      </c>
      <c r="F3192">
        <f>IF(D3192="","",IF(E3192&lt;0,"VENCIDO",IF(E3192&lt;=30,"VENCE EM &lt;= 30 DIAS",IF(E3192&lt;=60,"ATENCAO (31-60 DIAS)","OK"))))</f>
        <v/>
      </c>
      <c r="G3192" s="13">
        <f>SUMIFS(Movimentacoes!$G:$G,Movimentacoes!$C:$C,$A3192,Movimentacoes!$E:$E,$C3192,Movimentacoes!$B:$B,"ENTRADA")</f>
        <v/>
      </c>
      <c r="H3192" s="13">
        <f>SUMIFS(Movimentacoes!$G:$G,Movimentacoes!$C:$C,$A3192,Movimentacoes!$E:$E,$C3192,Movimentacoes!$B:$B,"SAIDA_USO")</f>
        <v/>
      </c>
      <c r="I3192" s="13">
        <f>SUMIFS(Movimentacoes!$G:$G,Movimentacoes!$C:$C,$A3192,Movimentacoes!$E:$E,$C3192,Movimentacoes!$B:$B,"SAIDA_DESCARTE")</f>
        <v/>
      </c>
      <c r="J3192" s="13">
        <f>G3192-H3192-I3192</f>
        <v/>
      </c>
      <c r="K3192">
        <f>IF(A3192="","",IF(J3192&lt;=IFERROR(VLOOKUP(A3192,Cadastro_Produtos!$A:$E,5,FALSE),0),"ABAIXO DO MINIMO","OK"))</f>
        <v/>
      </c>
    </row>
    <row r="3193">
      <c r="B3193">
        <f>IFERROR(VLOOKUP(A3193,Cadastro_Produtos!A:B,2,FALSE),"")</f>
        <v/>
      </c>
      <c r="D3193" s="12" t="n"/>
      <c r="E3193" s="13">
        <f>IF(D3193="","",D3193-TODAY())</f>
        <v/>
      </c>
      <c r="F3193">
        <f>IF(D3193="","",IF(E3193&lt;0,"VENCIDO",IF(E3193&lt;=30,"VENCE EM &lt;= 30 DIAS",IF(E3193&lt;=60,"ATENCAO (31-60 DIAS)","OK"))))</f>
        <v/>
      </c>
      <c r="G3193" s="13">
        <f>SUMIFS(Movimentacoes!$G:$G,Movimentacoes!$C:$C,$A3193,Movimentacoes!$E:$E,$C3193,Movimentacoes!$B:$B,"ENTRADA")</f>
        <v/>
      </c>
      <c r="H3193" s="13">
        <f>SUMIFS(Movimentacoes!$G:$G,Movimentacoes!$C:$C,$A3193,Movimentacoes!$E:$E,$C3193,Movimentacoes!$B:$B,"SAIDA_USO")</f>
        <v/>
      </c>
      <c r="I3193" s="13">
        <f>SUMIFS(Movimentacoes!$G:$G,Movimentacoes!$C:$C,$A3193,Movimentacoes!$E:$E,$C3193,Movimentacoes!$B:$B,"SAIDA_DESCARTE")</f>
        <v/>
      </c>
      <c r="J3193" s="13">
        <f>G3193-H3193-I3193</f>
        <v/>
      </c>
      <c r="K3193">
        <f>IF(A3193="","",IF(J3193&lt;=IFERROR(VLOOKUP(A3193,Cadastro_Produtos!$A:$E,5,FALSE),0),"ABAIXO DO MINIMO","OK"))</f>
        <v/>
      </c>
    </row>
    <row r="3194">
      <c r="B3194">
        <f>IFERROR(VLOOKUP(A3194,Cadastro_Produtos!A:B,2,FALSE),"")</f>
        <v/>
      </c>
      <c r="D3194" s="12" t="n"/>
      <c r="E3194" s="13">
        <f>IF(D3194="","",D3194-TODAY())</f>
        <v/>
      </c>
      <c r="F3194">
        <f>IF(D3194="","",IF(E3194&lt;0,"VENCIDO",IF(E3194&lt;=30,"VENCE EM &lt;= 30 DIAS",IF(E3194&lt;=60,"ATENCAO (31-60 DIAS)","OK"))))</f>
        <v/>
      </c>
      <c r="G3194" s="13">
        <f>SUMIFS(Movimentacoes!$G:$G,Movimentacoes!$C:$C,$A3194,Movimentacoes!$E:$E,$C3194,Movimentacoes!$B:$B,"ENTRADA")</f>
        <v/>
      </c>
      <c r="H3194" s="13">
        <f>SUMIFS(Movimentacoes!$G:$G,Movimentacoes!$C:$C,$A3194,Movimentacoes!$E:$E,$C3194,Movimentacoes!$B:$B,"SAIDA_USO")</f>
        <v/>
      </c>
      <c r="I3194" s="13">
        <f>SUMIFS(Movimentacoes!$G:$G,Movimentacoes!$C:$C,$A3194,Movimentacoes!$E:$E,$C3194,Movimentacoes!$B:$B,"SAIDA_DESCARTE")</f>
        <v/>
      </c>
      <c r="J3194" s="13">
        <f>G3194-H3194-I3194</f>
        <v/>
      </c>
      <c r="K3194">
        <f>IF(A3194="","",IF(J3194&lt;=IFERROR(VLOOKUP(A3194,Cadastro_Produtos!$A:$E,5,FALSE),0),"ABAIXO DO MINIMO","OK"))</f>
        <v/>
      </c>
    </row>
    <row r="3195">
      <c r="B3195">
        <f>IFERROR(VLOOKUP(A3195,Cadastro_Produtos!A:B,2,FALSE),"")</f>
        <v/>
      </c>
      <c r="D3195" s="12" t="n"/>
      <c r="E3195" s="13">
        <f>IF(D3195="","",D3195-TODAY())</f>
        <v/>
      </c>
      <c r="F3195">
        <f>IF(D3195="","",IF(E3195&lt;0,"VENCIDO",IF(E3195&lt;=30,"VENCE EM &lt;= 30 DIAS",IF(E3195&lt;=60,"ATENCAO (31-60 DIAS)","OK"))))</f>
        <v/>
      </c>
      <c r="G3195" s="13">
        <f>SUMIFS(Movimentacoes!$G:$G,Movimentacoes!$C:$C,$A3195,Movimentacoes!$E:$E,$C3195,Movimentacoes!$B:$B,"ENTRADA")</f>
        <v/>
      </c>
      <c r="H3195" s="13">
        <f>SUMIFS(Movimentacoes!$G:$G,Movimentacoes!$C:$C,$A3195,Movimentacoes!$E:$E,$C3195,Movimentacoes!$B:$B,"SAIDA_USO")</f>
        <v/>
      </c>
      <c r="I3195" s="13">
        <f>SUMIFS(Movimentacoes!$G:$G,Movimentacoes!$C:$C,$A3195,Movimentacoes!$E:$E,$C3195,Movimentacoes!$B:$B,"SAIDA_DESCARTE")</f>
        <v/>
      </c>
      <c r="J3195" s="13">
        <f>G3195-H3195-I3195</f>
        <v/>
      </c>
      <c r="K3195">
        <f>IF(A3195="","",IF(J3195&lt;=IFERROR(VLOOKUP(A3195,Cadastro_Produtos!$A:$E,5,FALSE),0),"ABAIXO DO MINIMO","OK"))</f>
        <v/>
      </c>
    </row>
    <row r="3196">
      <c r="B3196">
        <f>IFERROR(VLOOKUP(A3196,Cadastro_Produtos!A:B,2,FALSE),"")</f>
        <v/>
      </c>
      <c r="D3196" s="12" t="n"/>
      <c r="E3196" s="13">
        <f>IF(D3196="","",D3196-TODAY())</f>
        <v/>
      </c>
      <c r="F3196">
        <f>IF(D3196="","",IF(E3196&lt;0,"VENCIDO",IF(E3196&lt;=30,"VENCE EM &lt;= 30 DIAS",IF(E3196&lt;=60,"ATENCAO (31-60 DIAS)","OK"))))</f>
        <v/>
      </c>
      <c r="G3196" s="13">
        <f>SUMIFS(Movimentacoes!$G:$G,Movimentacoes!$C:$C,$A3196,Movimentacoes!$E:$E,$C3196,Movimentacoes!$B:$B,"ENTRADA")</f>
        <v/>
      </c>
      <c r="H3196" s="13">
        <f>SUMIFS(Movimentacoes!$G:$G,Movimentacoes!$C:$C,$A3196,Movimentacoes!$E:$E,$C3196,Movimentacoes!$B:$B,"SAIDA_USO")</f>
        <v/>
      </c>
      <c r="I3196" s="13">
        <f>SUMIFS(Movimentacoes!$G:$G,Movimentacoes!$C:$C,$A3196,Movimentacoes!$E:$E,$C3196,Movimentacoes!$B:$B,"SAIDA_DESCARTE")</f>
        <v/>
      </c>
      <c r="J3196" s="13">
        <f>G3196-H3196-I3196</f>
        <v/>
      </c>
      <c r="K3196">
        <f>IF(A3196="","",IF(J3196&lt;=IFERROR(VLOOKUP(A3196,Cadastro_Produtos!$A:$E,5,FALSE),0),"ABAIXO DO MINIMO","OK"))</f>
        <v/>
      </c>
    </row>
    <row r="3197">
      <c r="B3197">
        <f>IFERROR(VLOOKUP(A3197,Cadastro_Produtos!A:B,2,FALSE),"")</f>
        <v/>
      </c>
      <c r="D3197" s="12" t="n"/>
      <c r="E3197" s="13">
        <f>IF(D3197="","",D3197-TODAY())</f>
        <v/>
      </c>
      <c r="F3197">
        <f>IF(D3197="","",IF(E3197&lt;0,"VENCIDO",IF(E3197&lt;=30,"VENCE EM &lt;= 30 DIAS",IF(E3197&lt;=60,"ATENCAO (31-60 DIAS)","OK"))))</f>
        <v/>
      </c>
      <c r="G3197" s="13">
        <f>SUMIFS(Movimentacoes!$G:$G,Movimentacoes!$C:$C,$A3197,Movimentacoes!$E:$E,$C3197,Movimentacoes!$B:$B,"ENTRADA")</f>
        <v/>
      </c>
      <c r="H3197" s="13">
        <f>SUMIFS(Movimentacoes!$G:$G,Movimentacoes!$C:$C,$A3197,Movimentacoes!$E:$E,$C3197,Movimentacoes!$B:$B,"SAIDA_USO")</f>
        <v/>
      </c>
      <c r="I3197" s="13">
        <f>SUMIFS(Movimentacoes!$G:$G,Movimentacoes!$C:$C,$A3197,Movimentacoes!$E:$E,$C3197,Movimentacoes!$B:$B,"SAIDA_DESCARTE")</f>
        <v/>
      </c>
      <c r="J3197" s="13">
        <f>G3197-H3197-I3197</f>
        <v/>
      </c>
      <c r="K3197">
        <f>IF(A3197="","",IF(J3197&lt;=IFERROR(VLOOKUP(A3197,Cadastro_Produtos!$A:$E,5,FALSE),0),"ABAIXO DO MINIMO","OK"))</f>
        <v/>
      </c>
    </row>
    <row r="3198">
      <c r="B3198">
        <f>IFERROR(VLOOKUP(A3198,Cadastro_Produtos!A:B,2,FALSE),"")</f>
        <v/>
      </c>
      <c r="D3198" s="12" t="n"/>
      <c r="E3198" s="13">
        <f>IF(D3198="","",D3198-TODAY())</f>
        <v/>
      </c>
      <c r="F3198">
        <f>IF(D3198="","",IF(E3198&lt;0,"VENCIDO",IF(E3198&lt;=30,"VENCE EM &lt;= 30 DIAS",IF(E3198&lt;=60,"ATENCAO (31-60 DIAS)","OK"))))</f>
        <v/>
      </c>
      <c r="G3198" s="13">
        <f>SUMIFS(Movimentacoes!$G:$G,Movimentacoes!$C:$C,$A3198,Movimentacoes!$E:$E,$C3198,Movimentacoes!$B:$B,"ENTRADA")</f>
        <v/>
      </c>
      <c r="H3198" s="13">
        <f>SUMIFS(Movimentacoes!$G:$G,Movimentacoes!$C:$C,$A3198,Movimentacoes!$E:$E,$C3198,Movimentacoes!$B:$B,"SAIDA_USO")</f>
        <v/>
      </c>
      <c r="I3198" s="13">
        <f>SUMIFS(Movimentacoes!$G:$G,Movimentacoes!$C:$C,$A3198,Movimentacoes!$E:$E,$C3198,Movimentacoes!$B:$B,"SAIDA_DESCARTE")</f>
        <v/>
      </c>
      <c r="J3198" s="13">
        <f>G3198-H3198-I3198</f>
        <v/>
      </c>
      <c r="K3198">
        <f>IF(A3198="","",IF(J3198&lt;=IFERROR(VLOOKUP(A3198,Cadastro_Produtos!$A:$E,5,FALSE),0),"ABAIXO DO MINIMO","OK"))</f>
        <v/>
      </c>
    </row>
    <row r="3199">
      <c r="B3199">
        <f>IFERROR(VLOOKUP(A3199,Cadastro_Produtos!A:B,2,FALSE),"")</f>
        <v/>
      </c>
      <c r="D3199" s="12" t="n"/>
      <c r="E3199" s="13">
        <f>IF(D3199="","",D3199-TODAY())</f>
        <v/>
      </c>
      <c r="F3199">
        <f>IF(D3199="","",IF(E3199&lt;0,"VENCIDO",IF(E3199&lt;=30,"VENCE EM &lt;= 30 DIAS",IF(E3199&lt;=60,"ATENCAO (31-60 DIAS)","OK"))))</f>
        <v/>
      </c>
      <c r="G3199" s="13">
        <f>SUMIFS(Movimentacoes!$G:$G,Movimentacoes!$C:$C,$A3199,Movimentacoes!$E:$E,$C3199,Movimentacoes!$B:$B,"ENTRADA")</f>
        <v/>
      </c>
      <c r="H3199" s="13">
        <f>SUMIFS(Movimentacoes!$G:$G,Movimentacoes!$C:$C,$A3199,Movimentacoes!$E:$E,$C3199,Movimentacoes!$B:$B,"SAIDA_USO")</f>
        <v/>
      </c>
      <c r="I3199" s="13">
        <f>SUMIFS(Movimentacoes!$G:$G,Movimentacoes!$C:$C,$A3199,Movimentacoes!$E:$E,$C3199,Movimentacoes!$B:$B,"SAIDA_DESCARTE")</f>
        <v/>
      </c>
      <c r="J3199" s="13">
        <f>G3199-H3199-I3199</f>
        <v/>
      </c>
      <c r="K3199">
        <f>IF(A3199="","",IF(J3199&lt;=IFERROR(VLOOKUP(A3199,Cadastro_Produtos!$A:$E,5,FALSE),0),"ABAIXO DO MINIMO","OK"))</f>
        <v/>
      </c>
    </row>
    <row r="3200">
      <c r="B3200">
        <f>IFERROR(VLOOKUP(A3200,Cadastro_Produtos!A:B,2,FALSE),"")</f>
        <v/>
      </c>
      <c r="D3200" s="12" t="n"/>
      <c r="E3200" s="13">
        <f>IF(D3200="","",D3200-TODAY())</f>
        <v/>
      </c>
      <c r="F3200">
        <f>IF(D3200="","",IF(E3200&lt;0,"VENCIDO",IF(E3200&lt;=30,"VENCE EM &lt;= 30 DIAS",IF(E3200&lt;=60,"ATENCAO (31-60 DIAS)","OK"))))</f>
        <v/>
      </c>
      <c r="G3200" s="13">
        <f>SUMIFS(Movimentacoes!$G:$G,Movimentacoes!$C:$C,$A3200,Movimentacoes!$E:$E,$C3200,Movimentacoes!$B:$B,"ENTRADA")</f>
        <v/>
      </c>
      <c r="H3200" s="13">
        <f>SUMIFS(Movimentacoes!$G:$G,Movimentacoes!$C:$C,$A3200,Movimentacoes!$E:$E,$C3200,Movimentacoes!$B:$B,"SAIDA_USO")</f>
        <v/>
      </c>
      <c r="I3200" s="13">
        <f>SUMIFS(Movimentacoes!$G:$G,Movimentacoes!$C:$C,$A3200,Movimentacoes!$E:$E,$C3200,Movimentacoes!$B:$B,"SAIDA_DESCARTE")</f>
        <v/>
      </c>
      <c r="J3200" s="13">
        <f>G3200-H3200-I3200</f>
        <v/>
      </c>
      <c r="K3200">
        <f>IF(A3200="","",IF(J3200&lt;=IFERROR(VLOOKUP(A3200,Cadastro_Produtos!$A:$E,5,FALSE),0),"ABAIXO DO MINIMO","OK"))</f>
        <v/>
      </c>
    </row>
    <row r="3201">
      <c r="B3201">
        <f>IFERROR(VLOOKUP(A3201,Cadastro_Produtos!A:B,2,FALSE),"")</f>
        <v/>
      </c>
      <c r="D3201" s="12" t="n"/>
      <c r="E3201" s="13">
        <f>IF(D3201="","",D3201-TODAY())</f>
        <v/>
      </c>
      <c r="F3201">
        <f>IF(D3201="","",IF(E3201&lt;0,"VENCIDO",IF(E3201&lt;=30,"VENCE EM &lt;= 30 DIAS",IF(E3201&lt;=60,"ATENCAO (31-60 DIAS)","OK"))))</f>
        <v/>
      </c>
      <c r="G3201" s="13">
        <f>SUMIFS(Movimentacoes!$G:$G,Movimentacoes!$C:$C,$A3201,Movimentacoes!$E:$E,$C3201,Movimentacoes!$B:$B,"ENTRADA")</f>
        <v/>
      </c>
      <c r="H3201" s="13">
        <f>SUMIFS(Movimentacoes!$G:$G,Movimentacoes!$C:$C,$A3201,Movimentacoes!$E:$E,$C3201,Movimentacoes!$B:$B,"SAIDA_USO")</f>
        <v/>
      </c>
      <c r="I3201" s="13">
        <f>SUMIFS(Movimentacoes!$G:$G,Movimentacoes!$C:$C,$A3201,Movimentacoes!$E:$E,$C3201,Movimentacoes!$B:$B,"SAIDA_DESCARTE")</f>
        <v/>
      </c>
      <c r="J3201" s="13">
        <f>G3201-H3201-I3201</f>
        <v/>
      </c>
      <c r="K3201">
        <f>IF(A3201="","",IF(J3201&lt;=IFERROR(VLOOKUP(A3201,Cadastro_Produtos!$A:$E,5,FALSE),0),"ABAIXO DO MINIMO","OK"))</f>
        <v/>
      </c>
    </row>
    <row r="3202">
      <c r="B3202">
        <f>IFERROR(VLOOKUP(A3202,Cadastro_Produtos!A:B,2,FALSE),"")</f>
        <v/>
      </c>
      <c r="D3202" s="12" t="n"/>
      <c r="E3202" s="13">
        <f>IF(D3202="","",D3202-TODAY())</f>
        <v/>
      </c>
      <c r="F3202">
        <f>IF(D3202="","",IF(E3202&lt;0,"VENCIDO",IF(E3202&lt;=30,"VENCE EM &lt;= 30 DIAS",IF(E3202&lt;=60,"ATENCAO (31-60 DIAS)","OK"))))</f>
        <v/>
      </c>
      <c r="G3202" s="13">
        <f>SUMIFS(Movimentacoes!$G:$G,Movimentacoes!$C:$C,$A3202,Movimentacoes!$E:$E,$C3202,Movimentacoes!$B:$B,"ENTRADA")</f>
        <v/>
      </c>
      <c r="H3202" s="13">
        <f>SUMIFS(Movimentacoes!$G:$G,Movimentacoes!$C:$C,$A3202,Movimentacoes!$E:$E,$C3202,Movimentacoes!$B:$B,"SAIDA_USO")</f>
        <v/>
      </c>
      <c r="I3202" s="13">
        <f>SUMIFS(Movimentacoes!$G:$G,Movimentacoes!$C:$C,$A3202,Movimentacoes!$E:$E,$C3202,Movimentacoes!$B:$B,"SAIDA_DESCARTE")</f>
        <v/>
      </c>
      <c r="J3202" s="13">
        <f>G3202-H3202-I3202</f>
        <v/>
      </c>
      <c r="K3202">
        <f>IF(A3202="","",IF(J3202&lt;=IFERROR(VLOOKUP(A3202,Cadastro_Produtos!$A:$E,5,FALSE),0),"ABAIXO DO MINIMO","OK"))</f>
        <v/>
      </c>
    </row>
    <row r="3203">
      <c r="B3203">
        <f>IFERROR(VLOOKUP(A3203,Cadastro_Produtos!A:B,2,FALSE),"")</f>
        <v/>
      </c>
      <c r="D3203" s="12" t="n"/>
      <c r="E3203" s="13">
        <f>IF(D3203="","",D3203-TODAY())</f>
        <v/>
      </c>
      <c r="F3203">
        <f>IF(D3203="","",IF(E3203&lt;0,"VENCIDO",IF(E3203&lt;=30,"VENCE EM &lt;= 30 DIAS",IF(E3203&lt;=60,"ATENCAO (31-60 DIAS)","OK"))))</f>
        <v/>
      </c>
      <c r="G3203" s="13">
        <f>SUMIFS(Movimentacoes!$G:$G,Movimentacoes!$C:$C,$A3203,Movimentacoes!$E:$E,$C3203,Movimentacoes!$B:$B,"ENTRADA")</f>
        <v/>
      </c>
      <c r="H3203" s="13">
        <f>SUMIFS(Movimentacoes!$G:$G,Movimentacoes!$C:$C,$A3203,Movimentacoes!$E:$E,$C3203,Movimentacoes!$B:$B,"SAIDA_USO")</f>
        <v/>
      </c>
      <c r="I3203" s="13">
        <f>SUMIFS(Movimentacoes!$G:$G,Movimentacoes!$C:$C,$A3203,Movimentacoes!$E:$E,$C3203,Movimentacoes!$B:$B,"SAIDA_DESCARTE")</f>
        <v/>
      </c>
      <c r="J3203" s="13">
        <f>G3203-H3203-I3203</f>
        <v/>
      </c>
      <c r="K3203">
        <f>IF(A3203="","",IF(J3203&lt;=IFERROR(VLOOKUP(A3203,Cadastro_Produtos!$A:$E,5,FALSE),0),"ABAIXO DO MINIMO","OK"))</f>
        <v/>
      </c>
    </row>
    <row r="3204">
      <c r="B3204">
        <f>IFERROR(VLOOKUP(A3204,Cadastro_Produtos!A:B,2,FALSE),"")</f>
        <v/>
      </c>
      <c r="D3204" s="12" t="n"/>
      <c r="E3204" s="13">
        <f>IF(D3204="","",D3204-TODAY())</f>
        <v/>
      </c>
      <c r="F3204">
        <f>IF(D3204="","",IF(E3204&lt;0,"VENCIDO",IF(E3204&lt;=30,"VENCE EM &lt;= 30 DIAS",IF(E3204&lt;=60,"ATENCAO (31-60 DIAS)","OK"))))</f>
        <v/>
      </c>
      <c r="G3204" s="13">
        <f>SUMIFS(Movimentacoes!$G:$G,Movimentacoes!$C:$C,$A3204,Movimentacoes!$E:$E,$C3204,Movimentacoes!$B:$B,"ENTRADA")</f>
        <v/>
      </c>
      <c r="H3204" s="13">
        <f>SUMIFS(Movimentacoes!$G:$G,Movimentacoes!$C:$C,$A3204,Movimentacoes!$E:$E,$C3204,Movimentacoes!$B:$B,"SAIDA_USO")</f>
        <v/>
      </c>
      <c r="I3204" s="13">
        <f>SUMIFS(Movimentacoes!$G:$G,Movimentacoes!$C:$C,$A3204,Movimentacoes!$E:$E,$C3204,Movimentacoes!$B:$B,"SAIDA_DESCARTE")</f>
        <v/>
      </c>
      <c r="J3204" s="13">
        <f>G3204-H3204-I3204</f>
        <v/>
      </c>
      <c r="K3204">
        <f>IF(A3204="","",IF(J3204&lt;=IFERROR(VLOOKUP(A3204,Cadastro_Produtos!$A:$E,5,FALSE),0),"ABAIXO DO MINIMO","OK"))</f>
        <v/>
      </c>
    </row>
    <row r="3205">
      <c r="B3205">
        <f>IFERROR(VLOOKUP(A3205,Cadastro_Produtos!A:B,2,FALSE),"")</f>
        <v/>
      </c>
      <c r="D3205" s="12" t="n"/>
      <c r="E3205" s="13">
        <f>IF(D3205="","",D3205-TODAY())</f>
        <v/>
      </c>
      <c r="F3205">
        <f>IF(D3205="","",IF(E3205&lt;0,"VENCIDO",IF(E3205&lt;=30,"VENCE EM &lt;= 30 DIAS",IF(E3205&lt;=60,"ATENCAO (31-60 DIAS)","OK"))))</f>
        <v/>
      </c>
      <c r="G3205" s="13">
        <f>SUMIFS(Movimentacoes!$G:$G,Movimentacoes!$C:$C,$A3205,Movimentacoes!$E:$E,$C3205,Movimentacoes!$B:$B,"ENTRADA")</f>
        <v/>
      </c>
      <c r="H3205" s="13">
        <f>SUMIFS(Movimentacoes!$G:$G,Movimentacoes!$C:$C,$A3205,Movimentacoes!$E:$E,$C3205,Movimentacoes!$B:$B,"SAIDA_USO")</f>
        <v/>
      </c>
      <c r="I3205" s="13">
        <f>SUMIFS(Movimentacoes!$G:$G,Movimentacoes!$C:$C,$A3205,Movimentacoes!$E:$E,$C3205,Movimentacoes!$B:$B,"SAIDA_DESCARTE")</f>
        <v/>
      </c>
      <c r="J3205" s="13">
        <f>G3205-H3205-I3205</f>
        <v/>
      </c>
      <c r="K3205">
        <f>IF(A3205="","",IF(J3205&lt;=IFERROR(VLOOKUP(A3205,Cadastro_Produtos!$A:$E,5,FALSE),0),"ABAIXO DO MINIMO","OK"))</f>
        <v/>
      </c>
    </row>
    <row r="3206">
      <c r="B3206">
        <f>IFERROR(VLOOKUP(A3206,Cadastro_Produtos!A:B,2,FALSE),"")</f>
        <v/>
      </c>
      <c r="D3206" s="12" t="n"/>
      <c r="E3206" s="13">
        <f>IF(D3206="","",D3206-TODAY())</f>
        <v/>
      </c>
      <c r="F3206">
        <f>IF(D3206="","",IF(E3206&lt;0,"VENCIDO",IF(E3206&lt;=30,"VENCE EM &lt;= 30 DIAS",IF(E3206&lt;=60,"ATENCAO (31-60 DIAS)","OK"))))</f>
        <v/>
      </c>
      <c r="G3206" s="13">
        <f>SUMIFS(Movimentacoes!$G:$G,Movimentacoes!$C:$C,$A3206,Movimentacoes!$E:$E,$C3206,Movimentacoes!$B:$B,"ENTRADA")</f>
        <v/>
      </c>
      <c r="H3206" s="13">
        <f>SUMIFS(Movimentacoes!$G:$G,Movimentacoes!$C:$C,$A3206,Movimentacoes!$E:$E,$C3206,Movimentacoes!$B:$B,"SAIDA_USO")</f>
        <v/>
      </c>
      <c r="I3206" s="13">
        <f>SUMIFS(Movimentacoes!$G:$G,Movimentacoes!$C:$C,$A3206,Movimentacoes!$E:$E,$C3206,Movimentacoes!$B:$B,"SAIDA_DESCARTE")</f>
        <v/>
      </c>
      <c r="J3206" s="13">
        <f>G3206-H3206-I3206</f>
        <v/>
      </c>
      <c r="K3206">
        <f>IF(A3206="","",IF(J3206&lt;=IFERROR(VLOOKUP(A3206,Cadastro_Produtos!$A:$E,5,FALSE),0),"ABAIXO DO MINIMO","OK"))</f>
        <v/>
      </c>
    </row>
    <row r="3207">
      <c r="B3207">
        <f>IFERROR(VLOOKUP(A3207,Cadastro_Produtos!A:B,2,FALSE),"")</f>
        <v/>
      </c>
      <c r="D3207" s="12" t="n"/>
      <c r="E3207" s="13">
        <f>IF(D3207="","",D3207-TODAY())</f>
        <v/>
      </c>
      <c r="F3207">
        <f>IF(D3207="","",IF(E3207&lt;0,"VENCIDO",IF(E3207&lt;=30,"VENCE EM &lt;= 30 DIAS",IF(E3207&lt;=60,"ATENCAO (31-60 DIAS)","OK"))))</f>
        <v/>
      </c>
      <c r="G3207" s="13">
        <f>SUMIFS(Movimentacoes!$G:$G,Movimentacoes!$C:$C,$A3207,Movimentacoes!$E:$E,$C3207,Movimentacoes!$B:$B,"ENTRADA")</f>
        <v/>
      </c>
      <c r="H3207" s="13">
        <f>SUMIFS(Movimentacoes!$G:$G,Movimentacoes!$C:$C,$A3207,Movimentacoes!$E:$E,$C3207,Movimentacoes!$B:$B,"SAIDA_USO")</f>
        <v/>
      </c>
      <c r="I3207" s="13">
        <f>SUMIFS(Movimentacoes!$G:$G,Movimentacoes!$C:$C,$A3207,Movimentacoes!$E:$E,$C3207,Movimentacoes!$B:$B,"SAIDA_DESCARTE")</f>
        <v/>
      </c>
      <c r="J3207" s="13">
        <f>G3207-H3207-I3207</f>
        <v/>
      </c>
      <c r="K3207">
        <f>IF(A3207="","",IF(J3207&lt;=IFERROR(VLOOKUP(A3207,Cadastro_Produtos!$A:$E,5,FALSE),0),"ABAIXO DO MINIMO","OK"))</f>
        <v/>
      </c>
    </row>
    <row r="3208">
      <c r="B3208">
        <f>IFERROR(VLOOKUP(A3208,Cadastro_Produtos!A:B,2,FALSE),"")</f>
        <v/>
      </c>
      <c r="D3208" s="12" t="n"/>
      <c r="E3208" s="13">
        <f>IF(D3208="","",D3208-TODAY())</f>
        <v/>
      </c>
      <c r="F3208">
        <f>IF(D3208="","",IF(E3208&lt;0,"VENCIDO",IF(E3208&lt;=30,"VENCE EM &lt;= 30 DIAS",IF(E3208&lt;=60,"ATENCAO (31-60 DIAS)","OK"))))</f>
        <v/>
      </c>
      <c r="G3208" s="13">
        <f>SUMIFS(Movimentacoes!$G:$G,Movimentacoes!$C:$C,$A3208,Movimentacoes!$E:$E,$C3208,Movimentacoes!$B:$B,"ENTRADA")</f>
        <v/>
      </c>
      <c r="H3208" s="13">
        <f>SUMIFS(Movimentacoes!$G:$G,Movimentacoes!$C:$C,$A3208,Movimentacoes!$E:$E,$C3208,Movimentacoes!$B:$B,"SAIDA_USO")</f>
        <v/>
      </c>
      <c r="I3208" s="13">
        <f>SUMIFS(Movimentacoes!$G:$G,Movimentacoes!$C:$C,$A3208,Movimentacoes!$E:$E,$C3208,Movimentacoes!$B:$B,"SAIDA_DESCARTE")</f>
        <v/>
      </c>
      <c r="J3208" s="13">
        <f>G3208-H3208-I3208</f>
        <v/>
      </c>
      <c r="K3208">
        <f>IF(A3208="","",IF(J3208&lt;=IFERROR(VLOOKUP(A3208,Cadastro_Produtos!$A:$E,5,FALSE),0),"ABAIXO DO MINIMO","OK"))</f>
        <v/>
      </c>
    </row>
    <row r="3209">
      <c r="B3209">
        <f>IFERROR(VLOOKUP(A3209,Cadastro_Produtos!A:B,2,FALSE),"")</f>
        <v/>
      </c>
      <c r="D3209" s="12" t="n"/>
      <c r="E3209" s="13">
        <f>IF(D3209="","",D3209-TODAY())</f>
        <v/>
      </c>
      <c r="F3209">
        <f>IF(D3209="","",IF(E3209&lt;0,"VENCIDO",IF(E3209&lt;=30,"VENCE EM &lt;= 30 DIAS",IF(E3209&lt;=60,"ATENCAO (31-60 DIAS)","OK"))))</f>
        <v/>
      </c>
      <c r="G3209" s="13">
        <f>SUMIFS(Movimentacoes!$G:$G,Movimentacoes!$C:$C,$A3209,Movimentacoes!$E:$E,$C3209,Movimentacoes!$B:$B,"ENTRADA")</f>
        <v/>
      </c>
      <c r="H3209" s="13">
        <f>SUMIFS(Movimentacoes!$G:$G,Movimentacoes!$C:$C,$A3209,Movimentacoes!$E:$E,$C3209,Movimentacoes!$B:$B,"SAIDA_USO")</f>
        <v/>
      </c>
      <c r="I3209" s="13">
        <f>SUMIFS(Movimentacoes!$G:$G,Movimentacoes!$C:$C,$A3209,Movimentacoes!$E:$E,$C3209,Movimentacoes!$B:$B,"SAIDA_DESCARTE")</f>
        <v/>
      </c>
      <c r="J3209" s="13">
        <f>G3209-H3209-I3209</f>
        <v/>
      </c>
      <c r="K3209">
        <f>IF(A3209="","",IF(J3209&lt;=IFERROR(VLOOKUP(A3209,Cadastro_Produtos!$A:$E,5,FALSE),0),"ABAIXO DO MINIMO","OK"))</f>
        <v/>
      </c>
    </row>
    <row r="3210">
      <c r="B3210">
        <f>IFERROR(VLOOKUP(A3210,Cadastro_Produtos!A:B,2,FALSE),"")</f>
        <v/>
      </c>
      <c r="D3210" s="12" t="n"/>
      <c r="E3210" s="13">
        <f>IF(D3210="","",D3210-TODAY())</f>
        <v/>
      </c>
      <c r="F3210">
        <f>IF(D3210="","",IF(E3210&lt;0,"VENCIDO",IF(E3210&lt;=30,"VENCE EM &lt;= 30 DIAS",IF(E3210&lt;=60,"ATENCAO (31-60 DIAS)","OK"))))</f>
        <v/>
      </c>
      <c r="G3210" s="13">
        <f>SUMIFS(Movimentacoes!$G:$G,Movimentacoes!$C:$C,$A3210,Movimentacoes!$E:$E,$C3210,Movimentacoes!$B:$B,"ENTRADA")</f>
        <v/>
      </c>
      <c r="H3210" s="13">
        <f>SUMIFS(Movimentacoes!$G:$G,Movimentacoes!$C:$C,$A3210,Movimentacoes!$E:$E,$C3210,Movimentacoes!$B:$B,"SAIDA_USO")</f>
        <v/>
      </c>
      <c r="I3210" s="13">
        <f>SUMIFS(Movimentacoes!$G:$G,Movimentacoes!$C:$C,$A3210,Movimentacoes!$E:$E,$C3210,Movimentacoes!$B:$B,"SAIDA_DESCARTE")</f>
        <v/>
      </c>
      <c r="J3210" s="13">
        <f>G3210-H3210-I3210</f>
        <v/>
      </c>
      <c r="K3210">
        <f>IF(A3210="","",IF(J3210&lt;=IFERROR(VLOOKUP(A3210,Cadastro_Produtos!$A:$E,5,FALSE),0),"ABAIXO DO MINIMO","OK"))</f>
        <v/>
      </c>
    </row>
    <row r="3211">
      <c r="B3211">
        <f>IFERROR(VLOOKUP(A3211,Cadastro_Produtos!A:B,2,FALSE),"")</f>
        <v/>
      </c>
      <c r="D3211" s="12" t="n"/>
      <c r="E3211" s="13">
        <f>IF(D3211="","",D3211-TODAY())</f>
        <v/>
      </c>
      <c r="F3211">
        <f>IF(D3211="","",IF(E3211&lt;0,"VENCIDO",IF(E3211&lt;=30,"VENCE EM &lt;= 30 DIAS",IF(E3211&lt;=60,"ATENCAO (31-60 DIAS)","OK"))))</f>
        <v/>
      </c>
      <c r="G3211" s="13">
        <f>SUMIFS(Movimentacoes!$G:$G,Movimentacoes!$C:$C,$A3211,Movimentacoes!$E:$E,$C3211,Movimentacoes!$B:$B,"ENTRADA")</f>
        <v/>
      </c>
      <c r="H3211" s="13">
        <f>SUMIFS(Movimentacoes!$G:$G,Movimentacoes!$C:$C,$A3211,Movimentacoes!$E:$E,$C3211,Movimentacoes!$B:$B,"SAIDA_USO")</f>
        <v/>
      </c>
      <c r="I3211" s="13">
        <f>SUMIFS(Movimentacoes!$G:$G,Movimentacoes!$C:$C,$A3211,Movimentacoes!$E:$E,$C3211,Movimentacoes!$B:$B,"SAIDA_DESCARTE")</f>
        <v/>
      </c>
      <c r="J3211" s="13">
        <f>G3211-H3211-I3211</f>
        <v/>
      </c>
      <c r="K3211">
        <f>IF(A3211="","",IF(J3211&lt;=IFERROR(VLOOKUP(A3211,Cadastro_Produtos!$A:$E,5,FALSE),0),"ABAIXO DO MINIMO","OK"))</f>
        <v/>
      </c>
    </row>
    <row r="3212">
      <c r="B3212">
        <f>IFERROR(VLOOKUP(A3212,Cadastro_Produtos!A:B,2,FALSE),"")</f>
        <v/>
      </c>
      <c r="D3212" s="12" t="n"/>
      <c r="E3212" s="13">
        <f>IF(D3212="","",D3212-TODAY())</f>
        <v/>
      </c>
      <c r="F3212">
        <f>IF(D3212="","",IF(E3212&lt;0,"VENCIDO",IF(E3212&lt;=30,"VENCE EM &lt;= 30 DIAS",IF(E3212&lt;=60,"ATENCAO (31-60 DIAS)","OK"))))</f>
        <v/>
      </c>
      <c r="G3212" s="13">
        <f>SUMIFS(Movimentacoes!$G:$G,Movimentacoes!$C:$C,$A3212,Movimentacoes!$E:$E,$C3212,Movimentacoes!$B:$B,"ENTRADA")</f>
        <v/>
      </c>
      <c r="H3212" s="13">
        <f>SUMIFS(Movimentacoes!$G:$G,Movimentacoes!$C:$C,$A3212,Movimentacoes!$E:$E,$C3212,Movimentacoes!$B:$B,"SAIDA_USO")</f>
        <v/>
      </c>
      <c r="I3212" s="13">
        <f>SUMIFS(Movimentacoes!$G:$G,Movimentacoes!$C:$C,$A3212,Movimentacoes!$E:$E,$C3212,Movimentacoes!$B:$B,"SAIDA_DESCARTE")</f>
        <v/>
      </c>
      <c r="J3212" s="13">
        <f>G3212-H3212-I3212</f>
        <v/>
      </c>
      <c r="K3212">
        <f>IF(A3212="","",IF(J3212&lt;=IFERROR(VLOOKUP(A3212,Cadastro_Produtos!$A:$E,5,FALSE),0),"ABAIXO DO MINIMO","OK"))</f>
        <v/>
      </c>
    </row>
    <row r="3213">
      <c r="B3213">
        <f>IFERROR(VLOOKUP(A3213,Cadastro_Produtos!A:B,2,FALSE),"")</f>
        <v/>
      </c>
      <c r="D3213" s="12" t="n"/>
      <c r="E3213" s="13">
        <f>IF(D3213="","",D3213-TODAY())</f>
        <v/>
      </c>
      <c r="F3213">
        <f>IF(D3213="","",IF(E3213&lt;0,"VENCIDO",IF(E3213&lt;=30,"VENCE EM &lt;= 30 DIAS",IF(E3213&lt;=60,"ATENCAO (31-60 DIAS)","OK"))))</f>
        <v/>
      </c>
      <c r="G3213" s="13">
        <f>SUMIFS(Movimentacoes!$G:$G,Movimentacoes!$C:$C,$A3213,Movimentacoes!$E:$E,$C3213,Movimentacoes!$B:$B,"ENTRADA")</f>
        <v/>
      </c>
      <c r="H3213" s="13">
        <f>SUMIFS(Movimentacoes!$G:$G,Movimentacoes!$C:$C,$A3213,Movimentacoes!$E:$E,$C3213,Movimentacoes!$B:$B,"SAIDA_USO")</f>
        <v/>
      </c>
      <c r="I3213" s="13">
        <f>SUMIFS(Movimentacoes!$G:$G,Movimentacoes!$C:$C,$A3213,Movimentacoes!$E:$E,$C3213,Movimentacoes!$B:$B,"SAIDA_DESCARTE")</f>
        <v/>
      </c>
      <c r="J3213" s="13">
        <f>G3213-H3213-I3213</f>
        <v/>
      </c>
      <c r="K3213">
        <f>IF(A3213="","",IF(J3213&lt;=IFERROR(VLOOKUP(A3213,Cadastro_Produtos!$A:$E,5,FALSE),0),"ABAIXO DO MINIMO","OK"))</f>
        <v/>
      </c>
    </row>
    <row r="3214">
      <c r="B3214">
        <f>IFERROR(VLOOKUP(A3214,Cadastro_Produtos!A:B,2,FALSE),"")</f>
        <v/>
      </c>
      <c r="D3214" s="12" t="n"/>
      <c r="E3214" s="13">
        <f>IF(D3214="","",D3214-TODAY())</f>
        <v/>
      </c>
      <c r="F3214">
        <f>IF(D3214="","",IF(E3214&lt;0,"VENCIDO",IF(E3214&lt;=30,"VENCE EM &lt;= 30 DIAS",IF(E3214&lt;=60,"ATENCAO (31-60 DIAS)","OK"))))</f>
        <v/>
      </c>
      <c r="G3214" s="13">
        <f>SUMIFS(Movimentacoes!$G:$G,Movimentacoes!$C:$C,$A3214,Movimentacoes!$E:$E,$C3214,Movimentacoes!$B:$B,"ENTRADA")</f>
        <v/>
      </c>
      <c r="H3214" s="13">
        <f>SUMIFS(Movimentacoes!$G:$G,Movimentacoes!$C:$C,$A3214,Movimentacoes!$E:$E,$C3214,Movimentacoes!$B:$B,"SAIDA_USO")</f>
        <v/>
      </c>
      <c r="I3214" s="13">
        <f>SUMIFS(Movimentacoes!$G:$G,Movimentacoes!$C:$C,$A3214,Movimentacoes!$E:$E,$C3214,Movimentacoes!$B:$B,"SAIDA_DESCARTE")</f>
        <v/>
      </c>
      <c r="J3214" s="13">
        <f>G3214-H3214-I3214</f>
        <v/>
      </c>
      <c r="K3214">
        <f>IF(A3214="","",IF(J3214&lt;=IFERROR(VLOOKUP(A3214,Cadastro_Produtos!$A:$E,5,FALSE),0),"ABAIXO DO MINIMO","OK"))</f>
        <v/>
      </c>
    </row>
    <row r="3215">
      <c r="B3215">
        <f>IFERROR(VLOOKUP(A3215,Cadastro_Produtos!A:B,2,FALSE),"")</f>
        <v/>
      </c>
      <c r="D3215" s="12" t="n"/>
      <c r="E3215" s="13">
        <f>IF(D3215="","",D3215-TODAY())</f>
        <v/>
      </c>
      <c r="F3215">
        <f>IF(D3215="","",IF(E3215&lt;0,"VENCIDO",IF(E3215&lt;=30,"VENCE EM &lt;= 30 DIAS",IF(E3215&lt;=60,"ATENCAO (31-60 DIAS)","OK"))))</f>
        <v/>
      </c>
      <c r="G3215" s="13">
        <f>SUMIFS(Movimentacoes!$G:$G,Movimentacoes!$C:$C,$A3215,Movimentacoes!$E:$E,$C3215,Movimentacoes!$B:$B,"ENTRADA")</f>
        <v/>
      </c>
      <c r="H3215" s="13">
        <f>SUMIFS(Movimentacoes!$G:$G,Movimentacoes!$C:$C,$A3215,Movimentacoes!$E:$E,$C3215,Movimentacoes!$B:$B,"SAIDA_USO")</f>
        <v/>
      </c>
      <c r="I3215" s="13">
        <f>SUMIFS(Movimentacoes!$G:$G,Movimentacoes!$C:$C,$A3215,Movimentacoes!$E:$E,$C3215,Movimentacoes!$B:$B,"SAIDA_DESCARTE")</f>
        <v/>
      </c>
      <c r="J3215" s="13">
        <f>G3215-H3215-I3215</f>
        <v/>
      </c>
      <c r="K3215">
        <f>IF(A3215="","",IF(J3215&lt;=IFERROR(VLOOKUP(A3215,Cadastro_Produtos!$A:$E,5,FALSE),0),"ABAIXO DO MINIMO","OK"))</f>
        <v/>
      </c>
    </row>
    <row r="3216">
      <c r="B3216">
        <f>IFERROR(VLOOKUP(A3216,Cadastro_Produtos!A:B,2,FALSE),"")</f>
        <v/>
      </c>
      <c r="D3216" s="12" t="n"/>
      <c r="E3216" s="13">
        <f>IF(D3216="","",D3216-TODAY())</f>
        <v/>
      </c>
      <c r="F3216">
        <f>IF(D3216="","",IF(E3216&lt;0,"VENCIDO",IF(E3216&lt;=30,"VENCE EM &lt;= 30 DIAS",IF(E3216&lt;=60,"ATENCAO (31-60 DIAS)","OK"))))</f>
        <v/>
      </c>
      <c r="G3216" s="13">
        <f>SUMIFS(Movimentacoes!$G:$G,Movimentacoes!$C:$C,$A3216,Movimentacoes!$E:$E,$C3216,Movimentacoes!$B:$B,"ENTRADA")</f>
        <v/>
      </c>
      <c r="H3216" s="13">
        <f>SUMIFS(Movimentacoes!$G:$G,Movimentacoes!$C:$C,$A3216,Movimentacoes!$E:$E,$C3216,Movimentacoes!$B:$B,"SAIDA_USO")</f>
        <v/>
      </c>
      <c r="I3216" s="13">
        <f>SUMIFS(Movimentacoes!$G:$G,Movimentacoes!$C:$C,$A3216,Movimentacoes!$E:$E,$C3216,Movimentacoes!$B:$B,"SAIDA_DESCARTE")</f>
        <v/>
      </c>
      <c r="J3216" s="13">
        <f>G3216-H3216-I3216</f>
        <v/>
      </c>
      <c r="K3216">
        <f>IF(A3216="","",IF(J3216&lt;=IFERROR(VLOOKUP(A3216,Cadastro_Produtos!$A:$E,5,FALSE),0),"ABAIXO DO MINIMO","OK"))</f>
        <v/>
      </c>
    </row>
    <row r="3217">
      <c r="B3217">
        <f>IFERROR(VLOOKUP(A3217,Cadastro_Produtos!A:B,2,FALSE),"")</f>
        <v/>
      </c>
      <c r="D3217" s="12" t="n"/>
      <c r="E3217" s="13">
        <f>IF(D3217="","",D3217-TODAY())</f>
        <v/>
      </c>
      <c r="F3217">
        <f>IF(D3217="","",IF(E3217&lt;0,"VENCIDO",IF(E3217&lt;=30,"VENCE EM &lt;= 30 DIAS",IF(E3217&lt;=60,"ATENCAO (31-60 DIAS)","OK"))))</f>
        <v/>
      </c>
      <c r="G3217" s="13">
        <f>SUMIFS(Movimentacoes!$G:$G,Movimentacoes!$C:$C,$A3217,Movimentacoes!$E:$E,$C3217,Movimentacoes!$B:$B,"ENTRADA")</f>
        <v/>
      </c>
      <c r="H3217" s="13">
        <f>SUMIFS(Movimentacoes!$G:$G,Movimentacoes!$C:$C,$A3217,Movimentacoes!$E:$E,$C3217,Movimentacoes!$B:$B,"SAIDA_USO")</f>
        <v/>
      </c>
      <c r="I3217" s="13">
        <f>SUMIFS(Movimentacoes!$G:$G,Movimentacoes!$C:$C,$A3217,Movimentacoes!$E:$E,$C3217,Movimentacoes!$B:$B,"SAIDA_DESCARTE")</f>
        <v/>
      </c>
      <c r="J3217" s="13">
        <f>G3217-H3217-I3217</f>
        <v/>
      </c>
      <c r="K3217">
        <f>IF(A3217="","",IF(J3217&lt;=IFERROR(VLOOKUP(A3217,Cadastro_Produtos!$A:$E,5,FALSE),0),"ABAIXO DO MINIMO","OK"))</f>
        <v/>
      </c>
    </row>
    <row r="3218">
      <c r="B3218">
        <f>IFERROR(VLOOKUP(A3218,Cadastro_Produtos!A:B,2,FALSE),"")</f>
        <v/>
      </c>
      <c r="D3218" s="12" t="n"/>
      <c r="E3218" s="13">
        <f>IF(D3218="","",D3218-TODAY())</f>
        <v/>
      </c>
      <c r="F3218">
        <f>IF(D3218="","",IF(E3218&lt;0,"VENCIDO",IF(E3218&lt;=30,"VENCE EM &lt;= 30 DIAS",IF(E3218&lt;=60,"ATENCAO (31-60 DIAS)","OK"))))</f>
        <v/>
      </c>
      <c r="G3218" s="13">
        <f>SUMIFS(Movimentacoes!$G:$G,Movimentacoes!$C:$C,$A3218,Movimentacoes!$E:$E,$C3218,Movimentacoes!$B:$B,"ENTRADA")</f>
        <v/>
      </c>
      <c r="H3218" s="13">
        <f>SUMIFS(Movimentacoes!$G:$G,Movimentacoes!$C:$C,$A3218,Movimentacoes!$E:$E,$C3218,Movimentacoes!$B:$B,"SAIDA_USO")</f>
        <v/>
      </c>
      <c r="I3218" s="13">
        <f>SUMIFS(Movimentacoes!$G:$G,Movimentacoes!$C:$C,$A3218,Movimentacoes!$E:$E,$C3218,Movimentacoes!$B:$B,"SAIDA_DESCARTE")</f>
        <v/>
      </c>
      <c r="J3218" s="13">
        <f>G3218-H3218-I3218</f>
        <v/>
      </c>
      <c r="K3218">
        <f>IF(A3218="","",IF(J3218&lt;=IFERROR(VLOOKUP(A3218,Cadastro_Produtos!$A:$E,5,FALSE),0),"ABAIXO DO MINIMO","OK"))</f>
        <v/>
      </c>
    </row>
    <row r="3219">
      <c r="B3219">
        <f>IFERROR(VLOOKUP(A3219,Cadastro_Produtos!A:B,2,FALSE),"")</f>
        <v/>
      </c>
      <c r="D3219" s="12" t="n"/>
      <c r="E3219" s="13">
        <f>IF(D3219="","",D3219-TODAY())</f>
        <v/>
      </c>
      <c r="F3219">
        <f>IF(D3219="","",IF(E3219&lt;0,"VENCIDO",IF(E3219&lt;=30,"VENCE EM &lt;= 30 DIAS",IF(E3219&lt;=60,"ATENCAO (31-60 DIAS)","OK"))))</f>
        <v/>
      </c>
      <c r="G3219" s="13">
        <f>SUMIFS(Movimentacoes!$G:$G,Movimentacoes!$C:$C,$A3219,Movimentacoes!$E:$E,$C3219,Movimentacoes!$B:$B,"ENTRADA")</f>
        <v/>
      </c>
      <c r="H3219" s="13">
        <f>SUMIFS(Movimentacoes!$G:$G,Movimentacoes!$C:$C,$A3219,Movimentacoes!$E:$E,$C3219,Movimentacoes!$B:$B,"SAIDA_USO")</f>
        <v/>
      </c>
      <c r="I3219" s="13">
        <f>SUMIFS(Movimentacoes!$G:$G,Movimentacoes!$C:$C,$A3219,Movimentacoes!$E:$E,$C3219,Movimentacoes!$B:$B,"SAIDA_DESCARTE")</f>
        <v/>
      </c>
      <c r="J3219" s="13">
        <f>G3219-H3219-I3219</f>
        <v/>
      </c>
      <c r="K3219">
        <f>IF(A3219="","",IF(J3219&lt;=IFERROR(VLOOKUP(A3219,Cadastro_Produtos!$A:$E,5,FALSE),0),"ABAIXO DO MINIMO","OK"))</f>
        <v/>
      </c>
    </row>
    <row r="3220">
      <c r="B3220">
        <f>IFERROR(VLOOKUP(A3220,Cadastro_Produtos!A:B,2,FALSE),"")</f>
        <v/>
      </c>
      <c r="D3220" s="12" t="n"/>
      <c r="E3220" s="13">
        <f>IF(D3220="","",D3220-TODAY())</f>
        <v/>
      </c>
      <c r="F3220">
        <f>IF(D3220="","",IF(E3220&lt;0,"VENCIDO",IF(E3220&lt;=30,"VENCE EM &lt;= 30 DIAS",IF(E3220&lt;=60,"ATENCAO (31-60 DIAS)","OK"))))</f>
        <v/>
      </c>
      <c r="G3220" s="13">
        <f>SUMIFS(Movimentacoes!$G:$G,Movimentacoes!$C:$C,$A3220,Movimentacoes!$E:$E,$C3220,Movimentacoes!$B:$B,"ENTRADA")</f>
        <v/>
      </c>
      <c r="H3220" s="13">
        <f>SUMIFS(Movimentacoes!$G:$G,Movimentacoes!$C:$C,$A3220,Movimentacoes!$E:$E,$C3220,Movimentacoes!$B:$B,"SAIDA_USO")</f>
        <v/>
      </c>
      <c r="I3220" s="13">
        <f>SUMIFS(Movimentacoes!$G:$G,Movimentacoes!$C:$C,$A3220,Movimentacoes!$E:$E,$C3220,Movimentacoes!$B:$B,"SAIDA_DESCARTE")</f>
        <v/>
      </c>
      <c r="J3220" s="13">
        <f>G3220-H3220-I3220</f>
        <v/>
      </c>
      <c r="K3220">
        <f>IF(A3220="","",IF(J3220&lt;=IFERROR(VLOOKUP(A3220,Cadastro_Produtos!$A:$E,5,FALSE),0),"ABAIXO DO MINIMO","OK"))</f>
        <v/>
      </c>
    </row>
    <row r="3221">
      <c r="B3221">
        <f>IFERROR(VLOOKUP(A3221,Cadastro_Produtos!A:B,2,FALSE),"")</f>
        <v/>
      </c>
      <c r="D3221" s="12" t="n"/>
      <c r="E3221" s="13">
        <f>IF(D3221="","",D3221-TODAY())</f>
        <v/>
      </c>
      <c r="F3221">
        <f>IF(D3221="","",IF(E3221&lt;0,"VENCIDO",IF(E3221&lt;=30,"VENCE EM &lt;= 30 DIAS",IF(E3221&lt;=60,"ATENCAO (31-60 DIAS)","OK"))))</f>
        <v/>
      </c>
      <c r="G3221" s="13">
        <f>SUMIFS(Movimentacoes!$G:$G,Movimentacoes!$C:$C,$A3221,Movimentacoes!$E:$E,$C3221,Movimentacoes!$B:$B,"ENTRADA")</f>
        <v/>
      </c>
      <c r="H3221" s="13">
        <f>SUMIFS(Movimentacoes!$G:$G,Movimentacoes!$C:$C,$A3221,Movimentacoes!$E:$E,$C3221,Movimentacoes!$B:$B,"SAIDA_USO")</f>
        <v/>
      </c>
      <c r="I3221" s="13">
        <f>SUMIFS(Movimentacoes!$G:$G,Movimentacoes!$C:$C,$A3221,Movimentacoes!$E:$E,$C3221,Movimentacoes!$B:$B,"SAIDA_DESCARTE")</f>
        <v/>
      </c>
      <c r="J3221" s="13">
        <f>G3221-H3221-I3221</f>
        <v/>
      </c>
      <c r="K3221">
        <f>IF(A3221="","",IF(J3221&lt;=IFERROR(VLOOKUP(A3221,Cadastro_Produtos!$A:$E,5,FALSE),0),"ABAIXO DO MINIMO","OK"))</f>
        <v/>
      </c>
    </row>
    <row r="3222">
      <c r="B3222">
        <f>IFERROR(VLOOKUP(A3222,Cadastro_Produtos!A:B,2,FALSE),"")</f>
        <v/>
      </c>
      <c r="D3222" s="12" t="n"/>
      <c r="E3222" s="13">
        <f>IF(D3222="","",D3222-TODAY())</f>
        <v/>
      </c>
      <c r="F3222">
        <f>IF(D3222="","",IF(E3222&lt;0,"VENCIDO",IF(E3222&lt;=30,"VENCE EM &lt;= 30 DIAS",IF(E3222&lt;=60,"ATENCAO (31-60 DIAS)","OK"))))</f>
        <v/>
      </c>
      <c r="G3222" s="13">
        <f>SUMIFS(Movimentacoes!$G:$G,Movimentacoes!$C:$C,$A3222,Movimentacoes!$E:$E,$C3222,Movimentacoes!$B:$B,"ENTRADA")</f>
        <v/>
      </c>
      <c r="H3222" s="13">
        <f>SUMIFS(Movimentacoes!$G:$G,Movimentacoes!$C:$C,$A3222,Movimentacoes!$E:$E,$C3222,Movimentacoes!$B:$B,"SAIDA_USO")</f>
        <v/>
      </c>
      <c r="I3222" s="13">
        <f>SUMIFS(Movimentacoes!$G:$G,Movimentacoes!$C:$C,$A3222,Movimentacoes!$E:$E,$C3222,Movimentacoes!$B:$B,"SAIDA_DESCARTE")</f>
        <v/>
      </c>
      <c r="J3222" s="13">
        <f>G3222-H3222-I3222</f>
        <v/>
      </c>
      <c r="K3222">
        <f>IF(A3222="","",IF(J3222&lt;=IFERROR(VLOOKUP(A3222,Cadastro_Produtos!$A:$E,5,FALSE),0),"ABAIXO DO MINIMO","OK"))</f>
        <v/>
      </c>
    </row>
    <row r="3223">
      <c r="B3223">
        <f>IFERROR(VLOOKUP(A3223,Cadastro_Produtos!A:B,2,FALSE),"")</f>
        <v/>
      </c>
      <c r="D3223" s="12" t="n"/>
      <c r="E3223" s="13">
        <f>IF(D3223="","",D3223-TODAY())</f>
        <v/>
      </c>
      <c r="F3223">
        <f>IF(D3223="","",IF(E3223&lt;0,"VENCIDO",IF(E3223&lt;=30,"VENCE EM &lt;= 30 DIAS",IF(E3223&lt;=60,"ATENCAO (31-60 DIAS)","OK"))))</f>
        <v/>
      </c>
      <c r="G3223" s="13">
        <f>SUMIFS(Movimentacoes!$G:$G,Movimentacoes!$C:$C,$A3223,Movimentacoes!$E:$E,$C3223,Movimentacoes!$B:$B,"ENTRADA")</f>
        <v/>
      </c>
      <c r="H3223" s="13">
        <f>SUMIFS(Movimentacoes!$G:$G,Movimentacoes!$C:$C,$A3223,Movimentacoes!$E:$E,$C3223,Movimentacoes!$B:$B,"SAIDA_USO")</f>
        <v/>
      </c>
      <c r="I3223" s="13">
        <f>SUMIFS(Movimentacoes!$G:$G,Movimentacoes!$C:$C,$A3223,Movimentacoes!$E:$E,$C3223,Movimentacoes!$B:$B,"SAIDA_DESCARTE")</f>
        <v/>
      </c>
      <c r="J3223" s="13">
        <f>G3223-H3223-I3223</f>
        <v/>
      </c>
      <c r="K3223">
        <f>IF(A3223="","",IF(J3223&lt;=IFERROR(VLOOKUP(A3223,Cadastro_Produtos!$A:$E,5,FALSE),0),"ABAIXO DO MINIMO","OK"))</f>
        <v/>
      </c>
    </row>
    <row r="3224">
      <c r="B3224">
        <f>IFERROR(VLOOKUP(A3224,Cadastro_Produtos!A:B,2,FALSE),"")</f>
        <v/>
      </c>
      <c r="D3224" s="12" t="n"/>
      <c r="E3224" s="13">
        <f>IF(D3224="","",D3224-TODAY())</f>
        <v/>
      </c>
      <c r="F3224">
        <f>IF(D3224="","",IF(E3224&lt;0,"VENCIDO",IF(E3224&lt;=30,"VENCE EM &lt;= 30 DIAS",IF(E3224&lt;=60,"ATENCAO (31-60 DIAS)","OK"))))</f>
        <v/>
      </c>
      <c r="G3224" s="13">
        <f>SUMIFS(Movimentacoes!$G:$G,Movimentacoes!$C:$C,$A3224,Movimentacoes!$E:$E,$C3224,Movimentacoes!$B:$B,"ENTRADA")</f>
        <v/>
      </c>
      <c r="H3224" s="13">
        <f>SUMIFS(Movimentacoes!$G:$G,Movimentacoes!$C:$C,$A3224,Movimentacoes!$E:$E,$C3224,Movimentacoes!$B:$B,"SAIDA_USO")</f>
        <v/>
      </c>
      <c r="I3224" s="13">
        <f>SUMIFS(Movimentacoes!$G:$G,Movimentacoes!$C:$C,$A3224,Movimentacoes!$E:$E,$C3224,Movimentacoes!$B:$B,"SAIDA_DESCARTE")</f>
        <v/>
      </c>
      <c r="J3224" s="13">
        <f>G3224-H3224-I3224</f>
        <v/>
      </c>
      <c r="K3224">
        <f>IF(A3224="","",IF(J3224&lt;=IFERROR(VLOOKUP(A3224,Cadastro_Produtos!$A:$E,5,FALSE),0),"ABAIXO DO MINIMO","OK"))</f>
        <v/>
      </c>
    </row>
    <row r="3225">
      <c r="B3225">
        <f>IFERROR(VLOOKUP(A3225,Cadastro_Produtos!A:B,2,FALSE),"")</f>
        <v/>
      </c>
      <c r="D3225" s="12" t="n"/>
      <c r="E3225" s="13">
        <f>IF(D3225="","",D3225-TODAY())</f>
        <v/>
      </c>
      <c r="F3225">
        <f>IF(D3225="","",IF(E3225&lt;0,"VENCIDO",IF(E3225&lt;=30,"VENCE EM &lt;= 30 DIAS",IF(E3225&lt;=60,"ATENCAO (31-60 DIAS)","OK"))))</f>
        <v/>
      </c>
      <c r="G3225" s="13">
        <f>SUMIFS(Movimentacoes!$G:$G,Movimentacoes!$C:$C,$A3225,Movimentacoes!$E:$E,$C3225,Movimentacoes!$B:$B,"ENTRADA")</f>
        <v/>
      </c>
      <c r="H3225" s="13">
        <f>SUMIFS(Movimentacoes!$G:$G,Movimentacoes!$C:$C,$A3225,Movimentacoes!$E:$E,$C3225,Movimentacoes!$B:$B,"SAIDA_USO")</f>
        <v/>
      </c>
      <c r="I3225" s="13">
        <f>SUMIFS(Movimentacoes!$G:$G,Movimentacoes!$C:$C,$A3225,Movimentacoes!$E:$E,$C3225,Movimentacoes!$B:$B,"SAIDA_DESCARTE")</f>
        <v/>
      </c>
      <c r="J3225" s="13">
        <f>G3225-H3225-I3225</f>
        <v/>
      </c>
      <c r="K3225">
        <f>IF(A3225="","",IF(J3225&lt;=IFERROR(VLOOKUP(A3225,Cadastro_Produtos!$A:$E,5,FALSE),0),"ABAIXO DO MINIMO","OK"))</f>
        <v/>
      </c>
    </row>
    <row r="3226">
      <c r="B3226">
        <f>IFERROR(VLOOKUP(A3226,Cadastro_Produtos!A:B,2,FALSE),"")</f>
        <v/>
      </c>
      <c r="D3226" s="12" t="n"/>
      <c r="E3226" s="13">
        <f>IF(D3226="","",D3226-TODAY())</f>
        <v/>
      </c>
      <c r="F3226">
        <f>IF(D3226="","",IF(E3226&lt;0,"VENCIDO",IF(E3226&lt;=30,"VENCE EM &lt;= 30 DIAS",IF(E3226&lt;=60,"ATENCAO (31-60 DIAS)","OK"))))</f>
        <v/>
      </c>
      <c r="G3226" s="13">
        <f>SUMIFS(Movimentacoes!$G:$G,Movimentacoes!$C:$C,$A3226,Movimentacoes!$E:$E,$C3226,Movimentacoes!$B:$B,"ENTRADA")</f>
        <v/>
      </c>
      <c r="H3226" s="13">
        <f>SUMIFS(Movimentacoes!$G:$G,Movimentacoes!$C:$C,$A3226,Movimentacoes!$E:$E,$C3226,Movimentacoes!$B:$B,"SAIDA_USO")</f>
        <v/>
      </c>
      <c r="I3226" s="13">
        <f>SUMIFS(Movimentacoes!$G:$G,Movimentacoes!$C:$C,$A3226,Movimentacoes!$E:$E,$C3226,Movimentacoes!$B:$B,"SAIDA_DESCARTE")</f>
        <v/>
      </c>
      <c r="J3226" s="13">
        <f>G3226-H3226-I3226</f>
        <v/>
      </c>
      <c r="K3226">
        <f>IF(A3226="","",IF(J3226&lt;=IFERROR(VLOOKUP(A3226,Cadastro_Produtos!$A:$E,5,FALSE),0),"ABAIXO DO MINIMO","OK"))</f>
        <v/>
      </c>
    </row>
    <row r="3227">
      <c r="B3227">
        <f>IFERROR(VLOOKUP(A3227,Cadastro_Produtos!A:B,2,FALSE),"")</f>
        <v/>
      </c>
      <c r="D3227" s="12" t="n"/>
      <c r="E3227" s="13">
        <f>IF(D3227="","",D3227-TODAY())</f>
        <v/>
      </c>
      <c r="F3227">
        <f>IF(D3227="","",IF(E3227&lt;0,"VENCIDO",IF(E3227&lt;=30,"VENCE EM &lt;= 30 DIAS",IF(E3227&lt;=60,"ATENCAO (31-60 DIAS)","OK"))))</f>
        <v/>
      </c>
      <c r="G3227" s="13">
        <f>SUMIFS(Movimentacoes!$G:$G,Movimentacoes!$C:$C,$A3227,Movimentacoes!$E:$E,$C3227,Movimentacoes!$B:$B,"ENTRADA")</f>
        <v/>
      </c>
      <c r="H3227" s="13">
        <f>SUMIFS(Movimentacoes!$G:$G,Movimentacoes!$C:$C,$A3227,Movimentacoes!$E:$E,$C3227,Movimentacoes!$B:$B,"SAIDA_USO")</f>
        <v/>
      </c>
      <c r="I3227" s="13">
        <f>SUMIFS(Movimentacoes!$G:$G,Movimentacoes!$C:$C,$A3227,Movimentacoes!$E:$E,$C3227,Movimentacoes!$B:$B,"SAIDA_DESCARTE")</f>
        <v/>
      </c>
      <c r="J3227" s="13">
        <f>G3227-H3227-I3227</f>
        <v/>
      </c>
      <c r="K3227">
        <f>IF(A3227="","",IF(J3227&lt;=IFERROR(VLOOKUP(A3227,Cadastro_Produtos!$A:$E,5,FALSE),0),"ABAIXO DO MINIMO","OK"))</f>
        <v/>
      </c>
    </row>
    <row r="3228">
      <c r="B3228">
        <f>IFERROR(VLOOKUP(A3228,Cadastro_Produtos!A:B,2,FALSE),"")</f>
        <v/>
      </c>
      <c r="D3228" s="12" t="n"/>
      <c r="E3228" s="13">
        <f>IF(D3228="","",D3228-TODAY())</f>
        <v/>
      </c>
      <c r="F3228">
        <f>IF(D3228="","",IF(E3228&lt;0,"VENCIDO",IF(E3228&lt;=30,"VENCE EM &lt;= 30 DIAS",IF(E3228&lt;=60,"ATENCAO (31-60 DIAS)","OK"))))</f>
        <v/>
      </c>
      <c r="G3228" s="13">
        <f>SUMIFS(Movimentacoes!$G:$G,Movimentacoes!$C:$C,$A3228,Movimentacoes!$E:$E,$C3228,Movimentacoes!$B:$B,"ENTRADA")</f>
        <v/>
      </c>
      <c r="H3228" s="13">
        <f>SUMIFS(Movimentacoes!$G:$G,Movimentacoes!$C:$C,$A3228,Movimentacoes!$E:$E,$C3228,Movimentacoes!$B:$B,"SAIDA_USO")</f>
        <v/>
      </c>
      <c r="I3228" s="13">
        <f>SUMIFS(Movimentacoes!$G:$G,Movimentacoes!$C:$C,$A3228,Movimentacoes!$E:$E,$C3228,Movimentacoes!$B:$B,"SAIDA_DESCARTE")</f>
        <v/>
      </c>
      <c r="J3228" s="13">
        <f>G3228-H3228-I3228</f>
        <v/>
      </c>
      <c r="K3228">
        <f>IF(A3228="","",IF(J3228&lt;=IFERROR(VLOOKUP(A3228,Cadastro_Produtos!$A:$E,5,FALSE),0),"ABAIXO DO MINIMO","OK"))</f>
        <v/>
      </c>
    </row>
    <row r="3229">
      <c r="B3229">
        <f>IFERROR(VLOOKUP(A3229,Cadastro_Produtos!A:B,2,FALSE),"")</f>
        <v/>
      </c>
      <c r="D3229" s="12" t="n"/>
      <c r="E3229" s="13">
        <f>IF(D3229="","",D3229-TODAY())</f>
        <v/>
      </c>
      <c r="F3229">
        <f>IF(D3229="","",IF(E3229&lt;0,"VENCIDO",IF(E3229&lt;=30,"VENCE EM &lt;= 30 DIAS",IF(E3229&lt;=60,"ATENCAO (31-60 DIAS)","OK"))))</f>
        <v/>
      </c>
      <c r="G3229" s="13">
        <f>SUMIFS(Movimentacoes!$G:$G,Movimentacoes!$C:$C,$A3229,Movimentacoes!$E:$E,$C3229,Movimentacoes!$B:$B,"ENTRADA")</f>
        <v/>
      </c>
      <c r="H3229" s="13">
        <f>SUMIFS(Movimentacoes!$G:$G,Movimentacoes!$C:$C,$A3229,Movimentacoes!$E:$E,$C3229,Movimentacoes!$B:$B,"SAIDA_USO")</f>
        <v/>
      </c>
      <c r="I3229" s="13">
        <f>SUMIFS(Movimentacoes!$G:$G,Movimentacoes!$C:$C,$A3229,Movimentacoes!$E:$E,$C3229,Movimentacoes!$B:$B,"SAIDA_DESCARTE")</f>
        <v/>
      </c>
      <c r="J3229" s="13">
        <f>G3229-H3229-I3229</f>
        <v/>
      </c>
      <c r="K3229">
        <f>IF(A3229="","",IF(J3229&lt;=IFERROR(VLOOKUP(A3229,Cadastro_Produtos!$A:$E,5,FALSE),0),"ABAIXO DO MINIMO","OK"))</f>
        <v/>
      </c>
    </row>
    <row r="3230">
      <c r="B3230">
        <f>IFERROR(VLOOKUP(A3230,Cadastro_Produtos!A:B,2,FALSE),"")</f>
        <v/>
      </c>
      <c r="D3230" s="12" t="n"/>
      <c r="E3230" s="13">
        <f>IF(D3230="","",D3230-TODAY())</f>
        <v/>
      </c>
      <c r="F3230">
        <f>IF(D3230="","",IF(E3230&lt;0,"VENCIDO",IF(E3230&lt;=30,"VENCE EM &lt;= 30 DIAS",IF(E3230&lt;=60,"ATENCAO (31-60 DIAS)","OK"))))</f>
        <v/>
      </c>
      <c r="G3230" s="13">
        <f>SUMIFS(Movimentacoes!$G:$G,Movimentacoes!$C:$C,$A3230,Movimentacoes!$E:$E,$C3230,Movimentacoes!$B:$B,"ENTRADA")</f>
        <v/>
      </c>
      <c r="H3230" s="13">
        <f>SUMIFS(Movimentacoes!$G:$G,Movimentacoes!$C:$C,$A3230,Movimentacoes!$E:$E,$C3230,Movimentacoes!$B:$B,"SAIDA_USO")</f>
        <v/>
      </c>
      <c r="I3230" s="13">
        <f>SUMIFS(Movimentacoes!$G:$G,Movimentacoes!$C:$C,$A3230,Movimentacoes!$E:$E,$C3230,Movimentacoes!$B:$B,"SAIDA_DESCARTE")</f>
        <v/>
      </c>
      <c r="J3230" s="13">
        <f>G3230-H3230-I3230</f>
        <v/>
      </c>
      <c r="K3230">
        <f>IF(A3230="","",IF(J3230&lt;=IFERROR(VLOOKUP(A3230,Cadastro_Produtos!$A:$E,5,FALSE),0),"ABAIXO DO MINIMO","OK"))</f>
        <v/>
      </c>
    </row>
    <row r="3231">
      <c r="B3231">
        <f>IFERROR(VLOOKUP(A3231,Cadastro_Produtos!A:B,2,FALSE),"")</f>
        <v/>
      </c>
      <c r="D3231" s="12" t="n"/>
      <c r="E3231" s="13">
        <f>IF(D3231="","",D3231-TODAY())</f>
        <v/>
      </c>
      <c r="F3231">
        <f>IF(D3231="","",IF(E3231&lt;0,"VENCIDO",IF(E3231&lt;=30,"VENCE EM &lt;= 30 DIAS",IF(E3231&lt;=60,"ATENCAO (31-60 DIAS)","OK"))))</f>
        <v/>
      </c>
      <c r="G3231" s="13">
        <f>SUMIFS(Movimentacoes!$G:$G,Movimentacoes!$C:$C,$A3231,Movimentacoes!$E:$E,$C3231,Movimentacoes!$B:$B,"ENTRADA")</f>
        <v/>
      </c>
      <c r="H3231" s="13">
        <f>SUMIFS(Movimentacoes!$G:$G,Movimentacoes!$C:$C,$A3231,Movimentacoes!$E:$E,$C3231,Movimentacoes!$B:$B,"SAIDA_USO")</f>
        <v/>
      </c>
      <c r="I3231" s="13">
        <f>SUMIFS(Movimentacoes!$G:$G,Movimentacoes!$C:$C,$A3231,Movimentacoes!$E:$E,$C3231,Movimentacoes!$B:$B,"SAIDA_DESCARTE")</f>
        <v/>
      </c>
      <c r="J3231" s="13">
        <f>G3231-H3231-I3231</f>
        <v/>
      </c>
      <c r="K3231">
        <f>IF(A3231="","",IF(J3231&lt;=IFERROR(VLOOKUP(A3231,Cadastro_Produtos!$A:$E,5,FALSE),0),"ABAIXO DO MINIMO","OK"))</f>
        <v/>
      </c>
    </row>
    <row r="3232">
      <c r="B3232">
        <f>IFERROR(VLOOKUP(A3232,Cadastro_Produtos!A:B,2,FALSE),"")</f>
        <v/>
      </c>
      <c r="D3232" s="12" t="n"/>
      <c r="E3232" s="13">
        <f>IF(D3232="","",D3232-TODAY())</f>
        <v/>
      </c>
      <c r="F3232">
        <f>IF(D3232="","",IF(E3232&lt;0,"VENCIDO",IF(E3232&lt;=30,"VENCE EM &lt;= 30 DIAS",IF(E3232&lt;=60,"ATENCAO (31-60 DIAS)","OK"))))</f>
        <v/>
      </c>
      <c r="G3232" s="13">
        <f>SUMIFS(Movimentacoes!$G:$G,Movimentacoes!$C:$C,$A3232,Movimentacoes!$E:$E,$C3232,Movimentacoes!$B:$B,"ENTRADA")</f>
        <v/>
      </c>
      <c r="H3232" s="13">
        <f>SUMIFS(Movimentacoes!$G:$G,Movimentacoes!$C:$C,$A3232,Movimentacoes!$E:$E,$C3232,Movimentacoes!$B:$B,"SAIDA_USO")</f>
        <v/>
      </c>
      <c r="I3232" s="13">
        <f>SUMIFS(Movimentacoes!$G:$G,Movimentacoes!$C:$C,$A3232,Movimentacoes!$E:$E,$C3232,Movimentacoes!$B:$B,"SAIDA_DESCARTE")</f>
        <v/>
      </c>
      <c r="J3232" s="13">
        <f>G3232-H3232-I3232</f>
        <v/>
      </c>
      <c r="K3232">
        <f>IF(A3232="","",IF(J3232&lt;=IFERROR(VLOOKUP(A3232,Cadastro_Produtos!$A:$E,5,FALSE),0),"ABAIXO DO MINIMO","OK"))</f>
        <v/>
      </c>
    </row>
    <row r="3233">
      <c r="B3233">
        <f>IFERROR(VLOOKUP(A3233,Cadastro_Produtos!A:B,2,FALSE),"")</f>
        <v/>
      </c>
      <c r="D3233" s="12" t="n"/>
      <c r="E3233" s="13">
        <f>IF(D3233="","",D3233-TODAY())</f>
        <v/>
      </c>
      <c r="F3233">
        <f>IF(D3233="","",IF(E3233&lt;0,"VENCIDO",IF(E3233&lt;=30,"VENCE EM &lt;= 30 DIAS",IF(E3233&lt;=60,"ATENCAO (31-60 DIAS)","OK"))))</f>
        <v/>
      </c>
      <c r="G3233" s="13">
        <f>SUMIFS(Movimentacoes!$G:$G,Movimentacoes!$C:$C,$A3233,Movimentacoes!$E:$E,$C3233,Movimentacoes!$B:$B,"ENTRADA")</f>
        <v/>
      </c>
      <c r="H3233" s="13">
        <f>SUMIFS(Movimentacoes!$G:$G,Movimentacoes!$C:$C,$A3233,Movimentacoes!$E:$E,$C3233,Movimentacoes!$B:$B,"SAIDA_USO")</f>
        <v/>
      </c>
      <c r="I3233" s="13">
        <f>SUMIFS(Movimentacoes!$G:$G,Movimentacoes!$C:$C,$A3233,Movimentacoes!$E:$E,$C3233,Movimentacoes!$B:$B,"SAIDA_DESCARTE")</f>
        <v/>
      </c>
      <c r="J3233" s="13">
        <f>G3233-H3233-I3233</f>
        <v/>
      </c>
      <c r="K3233">
        <f>IF(A3233="","",IF(J3233&lt;=IFERROR(VLOOKUP(A3233,Cadastro_Produtos!$A:$E,5,FALSE),0),"ABAIXO DO MINIMO","OK"))</f>
        <v/>
      </c>
    </row>
    <row r="3234">
      <c r="B3234">
        <f>IFERROR(VLOOKUP(A3234,Cadastro_Produtos!A:B,2,FALSE),"")</f>
        <v/>
      </c>
      <c r="D3234" s="12" t="n"/>
      <c r="E3234" s="13">
        <f>IF(D3234="","",D3234-TODAY())</f>
        <v/>
      </c>
      <c r="F3234">
        <f>IF(D3234="","",IF(E3234&lt;0,"VENCIDO",IF(E3234&lt;=30,"VENCE EM &lt;= 30 DIAS",IF(E3234&lt;=60,"ATENCAO (31-60 DIAS)","OK"))))</f>
        <v/>
      </c>
      <c r="G3234" s="13">
        <f>SUMIFS(Movimentacoes!$G:$G,Movimentacoes!$C:$C,$A3234,Movimentacoes!$E:$E,$C3234,Movimentacoes!$B:$B,"ENTRADA")</f>
        <v/>
      </c>
      <c r="H3234" s="13">
        <f>SUMIFS(Movimentacoes!$G:$G,Movimentacoes!$C:$C,$A3234,Movimentacoes!$E:$E,$C3234,Movimentacoes!$B:$B,"SAIDA_USO")</f>
        <v/>
      </c>
      <c r="I3234" s="13">
        <f>SUMIFS(Movimentacoes!$G:$G,Movimentacoes!$C:$C,$A3234,Movimentacoes!$E:$E,$C3234,Movimentacoes!$B:$B,"SAIDA_DESCARTE")</f>
        <v/>
      </c>
      <c r="J3234" s="13">
        <f>G3234-H3234-I3234</f>
        <v/>
      </c>
      <c r="K3234">
        <f>IF(A3234="","",IF(J3234&lt;=IFERROR(VLOOKUP(A3234,Cadastro_Produtos!$A:$E,5,FALSE),0),"ABAIXO DO MINIMO","OK"))</f>
        <v/>
      </c>
    </row>
    <row r="3235">
      <c r="B3235">
        <f>IFERROR(VLOOKUP(A3235,Cadastro_Produtos!A:B,2,FALSE),"")</f>
        <v/>
      </c>
      <c r="D3235" s="12" t="n"/>
      <c r="E3235" s="13">
        <f>IF(D3235="","",D3235-TODAY())</f>
        <v/>
      </c>
      <c r="F3235">
        <f>IF(D3235="","",IF(E3235&lt;0,"VENCIDO",IF(E3235&lt;=30,"VENCE EM &lt;= 30 DIAS",IF(E3235&lt;=60,"ATENCAO (31-60 DIAS)","OK"))))</f>
        <v/>
      </c>
      <c r="G3235" s="13">
        <f>SUMIFS(Movimentacoes!$G:$G,Movimentacoes!$C:$C,$A3235,Movimentacoes!$E:$E,$C3235,Movimentacoes!$B:$B,"ENTRADA")</f>
        <v/>
      </c>
      <c r="H3235" s="13">
        <f>SUMIFS(Movimentacoes!$G:$G,Movimentacoes!$C:$C,$A3235,Movimentacoes!$E:$E,$C3235,Movimentacoes!$B:$B,"SAIDA_USO")</f>
        <v/>
      </c>
      <c r="I3235" s="13">
        <f>SUMIFS(Movimentacoes!$G:$G,Movimentacoes!$C:$C,$A3235,Movimentacoes!$E:$E,$C3235,Movimentacoes!$B:$B,"SAIDA_DESCARTE")</f>
        <v/>
      </c>
      <c r="J3235" s="13">
        <f>G3235-H3235-I3235</f>
        <v/>
      </c>
      <c r="K3235">
        <f>IF(A3235="","",IF(J3235&lt;=IFERROR(VLOOKUP(A3235,Cadastro_Produtos!$A:$E,5,FALSE),0),"ABAIXO DO MINIMO","OK"))</f>
        <v/>
      </c>
    </row>
    <row r="3236">
      <c r="B3236">
        <f>IFERROR(VLOOKUP(A3236,Cadastro_Produtos!A:B,2,FALSE),"")</f>
        <v/>
      </c>
      <c r="D3236" s="12" t="n"/>
      <c r="E3236" s="13">
        <f>IF(D3236="","",D3236-TODAY())</f>
        <v/>
      </c>
      <c r="F3236">
        <f>IF(D3236="","",IF(E3236&lt;0,"VENCIDO",IF(E3236&lt;=30,"VENCE EM &lt;= 30 DIAS",IF(E3236&lt;=60,"ATENCAO (31-60 DIAS)","OK"))))</f>
        <v/>
      </c>
      <c r="G3236" s="13">
        <f>SUMIFS(Movimentacoes!$G:$G,Movimentacoes!$C:$C,$A3236,Movimentacoes!$E:$E,$C3236,Movimentacoes!$B:$B,"ENTRADA")</f>
        <v/>
      </c>
      <c r="H3236" s="13">
        <f>SUMIFS(Movimentacoes!$G:$G,Movimentacoes!$C:$C,$A3236,Movimentacoes!$E:$E,$C3236,Movimentacoes!$B:$B,"SAIDA_USO")</f>
        <v/>
      </c>
      <c r="I3236" s="13">
        <f>SUMIFS(Movimentacoes!$G:$G,Movimentacoes!$C:$C,$A3236,Movimentacoes!$E:$E,$C3236,Movimentacoes!$B:$B,"SAIDA_DESCARTE")</f>
        <v/>
      </c>
      <c r="J3236" s="13">
        <f>G3236-H3236-I3236</f>
        <v/>
      </c>
      <c r="K3236">
        <f>IF(A3236="","",IF(J3236&lt;=IFERROR(VLOOKUP(A3236,Cadastro_Produtos!$A:$E,5,FALSE),0),"ABAIXO DO MINIMO","OK"))</f>
        <v/>
      </c>
    </row>
    <row r="3237">
      <c r="B3237">
        <f>IFERROR(VLOOKUP(A3237,Cadastro_Produtos!A:B,2,FALSE),"")</f>
        <v/>
      </c>
      <c r="D3237" s="12" t="n"/>
      <c r="E3237" s="13">
        <f>IF(D3237="","",D3237-TODAY())</f>
        <v/>
      </c>
      <c r="F3237">
        <f>IF(D3237="","",IF(E3237&lt;0,"VENCIDO",IF(E3237&lt;=30,"VENCE EM &lt;= 30 DIAS",IF(E3237&lt;=60,"ATENCAO (31-60 DIAS)","OK"))))</f>
        <v/>
      </c>
      <c r="G3237" s="13">
        <f>SUMIFS(Movimentacoes!$G:$G,Movimentacoes!$C:$C,$A3237,Movimentacoes!$E:$E,$C3237,Movimentacoes!$B:$B,"ENTRADA")</f>
        <v/>
      </c>
      <c r="H3237" s="13">
        <f>SUMIFS(Movimentacoes!$G:$G,Movimentacoes!$C:$C,$A3237,Movimentacoes!$E:$E,$C3237,Movimentacoes!$B:$B,"SAIDA_USO")</f>
        <v/>
      </c>
      <c r="I3237" s="13">
        <f>SUMIFS(Movimentacoes!$G:$G,Movimentacoes!$C:$C,$A3237,Movimentacoes!$E:$E,$C3237,Movimentacoes!$B:$B,"SAIDA_DESCARTE")</f>
        <v/>
      </c>
      <c r="J3237" s="13">
        <f>G3237-H3237-I3237</f>
        <v/>
      </c>
      <c r="K3237">
        <f>IF(A3237="","",IF(J3237&lt;=IFERROR(VLOOKUP(A3237,Cadastro_Produtos!$A:$E,5,FALSE),0),"ABAIXO DO MINIMO","OK"))</f>
        <v/>
      </c>
    </row>
    <row r="3238">
      <c r="B3238">
        <f>IFERROR(VLOOKUP(A3238,Cadastro_Produtos!A:B,2,FALSE),"")</f>
        <v/>
      </c>
      <c r="D3238" s="12" t="n"/>
      <c r="E3238" s="13">
        <f>IF(D3238="","",D3238-TODAY())</f>
        <v/>
      </c>
      <c r="F3238">
        <f>IF(D3238="","",IF(E3238&lt;0,"VENCIDO",IF(E3238&lt;=30,"VENCE EM &lt;= 30 DIAS",IF(E3238&lt;=60,"ATENCAO (31-60 DIAS)","OK"))))</f>
        <v/>
      </c>
      <c r="G3238" s="13">
        <f>SUMIFS(Movimentacoes!$G:$G,Movimentacoes!$C:$C,$A3238,Movimentacoes!$E:$E,$C3238,Movimentacoes!$B:$B,"ENTRADA")</f>
        <v/>
      </c>
      <c r="H3238" s="13">
        <f>SUMIFS(Movimentacoes!$G:$G,Movimentacoes!$C:$C,$A3238,Movimentacoes!$E:$E,$C3238,Movimentacoes!$B:$B,"SAIDA_USO")</f>
        <v/>
      </c>
      <c r="I3238" s="13">
        <f>SUMIFS(Movimentacoes!$G:$G,Movimentacoes!$C:$C,$A3238,Movimentacoes!$E:$E,$C3238,Movimentacoes!$B:$B,"SAIDA_DESCARTE")</f>
        <v/>
      </c>
      <c r="J3238" s="13">
        <f>G3238-H3238-I3238</f>
        <v/>
      </c>
      <c r="K3238">
        <f>IF(A3238="","",IF(J3238&lt;=IFERROR(VLOOKUP(A3238,Cadastro_Produtos!$A:$E,5,FALSE),0),"ABAIXO DO MINIMO","OK"))</f>
        <v/>
      </c>
    </row>
    <row r="3239">
      <c r="B3239">
        <f>IFERROR(VLOOKUP(A3239,Cadastro_Produtos!A:B,2,FALSE),"")</f>
        <v/>
      </c>
      <c r="D3239" s="12" t="n"/>
      <c r="E3239" s="13">
        <f>IF(D3239="","",D3239-TODAY())</f>
        <v/>
      </c>
      <c r="F3239">
        <f>IF(D3239="","",IF(E3239&lt;0,"VENCIDO",IF(E3239&lt;=30,"VENCE EM &lt;= 30 DIAS",IF(E3239&lt;=60,"ATENCAO (31-60 DIAS)","OK"))))</f>
        <v/>
      </c>
      <c r="G3239" s="13">
        <f>SUMIFS(Movimentacoes!$G:$G,Movimentacoes!$C:$C,$A3239,Movimentacoes!$E:$E,$C3239,Movimentacoes!$B:$B,"ENTRADA")</f>
        <v/>
      </c>
      <c r="H3239" s="13">
        <f>SUMIFS(Movimentacoes!$G:$G,Movimentacoes!$C:$C,$A3239,Movimentacoes!$E:$E,$C3239,Movimentacoes!$B:$B,"SAIDA_USO")</f>
        <v/>
      </c>
      <c r="I3239" s="13">
        <f>SUMIFS(Movimentacoes!$G:$G,Movimentacoes!$C:$C,$A3239,Movimentacoes!$E:$E,$C3239,Movimentacoes!$B:$B,"SAIDA_DESCARTE")</f>
        <v/>
      </c>
      <c r="J3239" s="13">
        <f>G3239-H3239-I3239</f>
        <v/>
      </c>
      <c r="K3239">
        <f>IF(A3239="","",IF(J3239&lt;=IFERROR(VLOOKUP(A3239,Cadastro_Produtos!$A:$E,5,FALSE),0),"ABAIXO DO MINIMO","OK"))</f>
        <v/>
      </c>
    </row>
    <row r="3240">
      <c r="B3240">
        <f>IFERROR(VLOOKUP(A3240,Cadastro_Produtos!A:B,2,FALSE),"")</f>
        <v/>
      </c>
      <c r="D3240" s="12" t="n"/>
      <c r="E3240" s="13">
        <f>IF(D3240="","",D3240-TODAY())</f>
        <v/>
      </c>
      <c r="F3240">
        <f>IF(D3240="","",IF(E3240&lt;0,"VENCIDO",IF(E3240&lt;=30,"VENCE EM &lt;= 30 DIAS",IF(E3240&lt;=60,"ATENCAO (31-60 DIAS)","OK"))))</f>
        <v/>
      </c>
      <c r="G3240" s="13">
        <f>SUMIFS(Movimentacoes!$G:$G,Movimentacoes!$C:$C,$A3240,Movimentacoes!$E:$E,$C3240,Movimentacoes!$B:$B,"ENTRADA")</f>
        <v/>
      </c>
      <c r="H3240" s="13">
        <f>SUMIFS(Movimentacoes!$G:$G,Movimentacoes!$C:$C,$A3240,Movimentacoes!$E:$E,$C3240,Movimentacoes!$B:$B,"SAIDA_USO")</f>
        <v/>
      </c>
      <c r="I3240" s="13">
        <f>SUMIFS(Movimentacoes!$G:$G,Movimentacoes!$C:$C,$A3240,Movimentacoes!$E:$E,$C3240,Movimentacoes!$B:$B,"SAIDA_DESCARTE")</f>
        <v/>
      </c>
      <c r="J3240" s="13">
        <f>G3240-H3240-I3240</f>
        <v/>
      </c>
      <c r="K3240">
        <f>IF(A3240="","",IF(J3240&lt;=IFERROR(VLOOKUP(A3240,Cadastro_Produtos!$A:$E,5,FALSE),0),"ABAIXO DO MINIMO","OK"))</f>
        <v/>
      </c>
    </row>
    <row r="3241">
      <c r="B3241">
        <f>IFERROR(VLOOKUP(A3241,Cadastro_Produtos!A:B,2,FALSE),"")</f>
        <v/>
      </c>
      <c r="D3241" s="12" t="n"/>
      <c r="E3241" s="13">
        <f>IF(D3241="","",D3241-TODAY())</f>
        <v/>
      </c>
      <c r="F3241">
        <f>IF(D3241="","",IF(E3241&lt;0,"VENCIDO",IF(E3241&lt;=30,"VENCE EM &lt;= 30 DIAS",IF(E3241&lt;=60,"ATENCAO (31-60 DIAS)","OK"))))</f>
        <v/>
      </c>
      <c r="G3241" s="13">
        <f>SUMIFS(Movimentacoes!$G:$G,Movimentacoes!$C:$C,$A3241,Movimentacoes!$E:$E,$C3241,Movimentacoes!$B:$B,"ENTRADA")</f>
        <v/>
      </c>
      <c r="H3241" s="13">
        <f>SUMIFS(Movimentacoes!$G:$G,Movimentacoes!$C:$C,$A3241,Movimentacoes!$E:$E,$C3241,Movimentacoes!$B:$B,"SAIDA_USO")</f>
        <v/>
      </c>
      <c r="I3241" s="13">
        <f>SUMIFS(Movimentacoes!$G:$G,Movimentacoes!$C:$C,$A3241,Movimentacoes!$E:$E,$C3241,Movimentacoes!$B:$B,"SAIDA_DESCARTE")</f>
        <v/>
      </c>
      <c r="J3241" s="13">
        <f>G3241-H3241-I3241</f>
        <v/>
      </c>
      <c r="K3241">
        <f>IF(A3241="","",IF(J3241&lt;=IFERROR(VLOOKUP(A3241,Cadastro_Produtos!$A:$E,5,FALSE),0),"ABAIXO DO MINIMO","OK"))</f>
        <v/>
      </c>
    </row>
    <row r="3242">
      <c r="B3242">
        <f>IFERROR(VLOOKUP(A3242,Cadastro_Produtos!A:B,2,FALSE),"")</f>
        <v/>
      </c>
      <c r="D3242" s="12" t="n"/>
      <c r="E3242" s="13">
        <f>IF(D3242="","",D3242-TODAY())</f>
        <v/>
      </c>
      <c r="F3242">
        <f>IF(D3242="","",IF(E3242&lt;0,"VENCIDO",IF(E3242&lt;=30,"VENCE EM &lt;= 30 DIAS",IF(E3242&lt;=60,"ATENCAO (31-60 DIAS)","OK"))))</f>
        <v/>
      </c>
      <c r="G3242" s="13">
        <f>SUMIFS(Movimentacoes!$G:$G,Movimentacoes!$C:$C,$A3242,Movimentacoes!$E:$E,$C3242,Movimentacoes!$B:$B,"ENTRADA")</f>
        <v/>
      </c>
      <c r="H3242" s="13">
        <f>SUMIFS(Movimentacoes!$G:$G,Movimentacoes!$C:$C,$A3242,Movimentacoes!$E:$E,$C3242,Movimentacoes!$B:$B,"SAIDA_USO")</f>
        <v/>
      </c>
      <c r="I3242" s="13">
        <f>SUMIFS(Movimentacoes!$G:$G,Movimentacoes!$C:$C,$A3242,Movimentacoes!$E:$E,$C3242,Movimentacoes!$B:$B,"SAIDA_DESCARTE")</f>
        <v/>
      </c>
      <c r="J3242" s="13">
        <f>G3242-H3242-I3242</f>
        <v/>
      </c>
      <c r="K3242">
        <f>IF(A3242="","",IF(J3242&lt;=IFERROR(VLOOKUP(A3242,Cadastro_Produtos!$A:$E,5,FALSE),0),"ABAIXO DO MINIMO","OK"))</f>
        <v/>
      </c>
    </row>
    <row r="3243">
      <c r="B3243">
        <f>IFERROR(VLOOKUP(A3243,Cadastro_Produtos!A:B,2,FALSE),"")</f>
        <v/>
      </c>
      <c r="D3243" s="12" t="n"/>
      <c r="E3243" s="13">
        <f>IF(D3243="","",D3243-TODAY())</f>
        <v/>
      </c>
      <c r="F3243">
        <f>IF(D3243="","",IF(E3243&lt;0,"VENCIDO",IF(E3243&lt;=30,"VENCE EM &lt;= 30 DIAS",IF(E3243&lt;=60,"ATENCAO (31-60 DIAS)","OK"))))</f>
        <v/>
      </c>
      <c r="G3243" s="13">
        <f>SUMIFS(Movimentacoes!$G:$G,Movimentacoes!$C:$C,$A3243,Movimentacoes!$E:$E,$C3243,Movimentacoes!$B:$B,"ENTRADA")</f>
        <v/>
      </c>
      <c r="H3243" s="13">
        <f>SUMIFS(Movimentacoes!$G:$G,Movimentacoes!$C:$C,$A3243,Movimentacoes!$E:$E,$C3243,Movimentacoes!$B:$B,"SAIDA_USO")</f>
        <v/>
      </c>
      <c r="I3243" s="13">
        <f>SUMIFS(Movimentacoes!$G:$G,Movimentacoes!$C:$C,$A3243,Movimentacoes!$E:$E,$C3243,Movimentacoes!$B:$B,"SAIDA_DESCARTE")</f>
        <v/>
      </c>
      <c r="J3243" s="13">
        <f>G3243-H3243-I3243</f>
        <v/>
      </c>
      <c r="K3243">
        <f>IF(A3243="","",IF(J3243&lt;=IFERROR(VLOOKUP(A3243,Cadastro_Produtos!$A:$E,5,FALSE),0),"ABAIXO DO MINIMO","OK"))</f>
        <v/>
      </c>
    </row>
    <row r="3244">
      <c r="B3244">
        <f>IFERROR(VLOOKUP(A3244,Cadastro_Produtos!A:B,2,FALSE),"")</f>
        <v/>
      </c>
      <c r="D3244" s="12" t="n"/>
      <c r="E3244" s="13">
        <f>IF(D3244="","",D3244-TODAY())</f>
        <v/>
      </c>
      <c r="F3244">
        <f>IF(D3244="","",IF(E3244&lt;0,"VENCIDO",IF(E3244&lt;=30,"VENCE EM &lt;= 30 DIAS",IF(E3244&lt;=60,"ATENCAO (31-60 DIAS)","OK"))))</f>
        <v/>
      </c>
      <c r="G3244" s="13">
        <f>SUMIFS(Movimentacoes!$G:$G,Movimentacoes!$C:$C,$A3244,Movimentacoes!$E:$E,$C3244,Movimentacoes!$B:$B,"ENTRADA")</f>
        <v/>
      </c>
      <c r="H3244" s="13">
        <f>SUMIFS(Movimentacoes!$G:$G,Movimentacoes!$C:$C,$A3244,Movimentacoes!$E:$E,$C3244,Movimentacoes!$B:$B,"SAIDA_USO")</f>
        <v/>
      </c>
      <c r="I3244" s="13">
        <f>SUMIFS(Movimentacoes!$G:$G,Movimentacoes!$C:$C,$A3244,Movimentacoes!$E:$E,$C3244,Movimentacoes!$B:$B,"SAIDA_DESCARTE")</f>
        <v/>
      </c>
      <c r="J3244" s="13">
        <f>G3244-H3244-I3244</f>
        <v/>
      </c>
      <c r="K3244">
        <f>IF(A3244="","",IF(J3244&lt;=IFERROR(VLOOKUP(A3244,Cadastro_Produtos!$A:$E,5,FALSE),0),"ABAIXO DO MINIMO","OK"))</f>
        <v/>
      </c>
    </row>
    <row r="3245">
      <c r="B3245">
        <f>IFERROR(VLOOKUP(A3245,Cadastro_Produtos!A:B,2,FALSE),"")</f>
        <v/>
      </c>
      <c r="D3245" s="12" t="n"/>
      <c r="E3245" s="13">
        <f>IF(D3245="","",D3245-TODAY())</f>
        <v/>
      </c>
      <c r="F3245">
        <f>IF(D3245="","",IF(E3245&lt;0,"VENCIDO",IF(E3245&lt;=30,"VENCE EM &lt;= 30 DIAS",IF(E3245&lt;=60,"ATENCAO (31-60 DIAS)","OK"))))</f>
        <v/>
      </c>
      <c r="G3245" s="13">
        <f>SUMIFS(Movimentacoes!$G:$G,Movimentacoes!$C:$C,$A3245,Movimentacoes!$E:$E,$C3245,Movimentacoes!$B:$B,"ENTRADA")</f>
        <v/>
      </c>
      <c r="H3245" s="13">
        <f>SUMIFS(Movimentacoes!$G:$G,Movimentacoes!$C:$C,$A3245,Movimentacoes!$E:$E,$C3245,Movimentacoes!$B:$B,"SAIDA_USO")</f>
        <v/>
      </c>
      <c r="I3245" s="13">
        <f>SUMIFS(Movimentacoes!$G:$G,Movimentacoes!$C:$C,$A3245,Movimentacoes!$E:$E,$C3245,Movimentacoes!$B:$B,"SAIDA_DESCARTE")</f>
        <v/>
      </c>
      <c r="J3245" s="13">
        <f>G3245-H3245-I3245</f>
        <v/>
      </c>
      <c r="K3245">
        <f>IF(A3245="","",IF(J3245&lt;=IFERROR(VLOOKUP(A3245,Cadastro_Produtos!$A:$E,5,FALSE),0),"ABAIXO DO MINIMO","OK"))</f>
        <v/>
      </c>
    </row>
    <row r="3246">
      <c r="B3246">
        <f>IFERROR(VLOOKUP(A3246,Cadastro_Produtos!A:B,2,FALSE),"")</f>
        <v/>
      </c>
      <c r="D3246" s="12" t="n"/>
      <c r="E3246" s="13">
        <f>IF(D3246="","",D3246-TODAY())</f>
        <v/>
      </c>
      <c r="F3246">
        <f>IF(D3246="","",IF(E3246&lt;0,"VENCIDO",IF(E3246&lt;=30,"VENCE EM &lt;= 30 DIAS",IF(E3246&lt;=60,"ATENCAO (31-60 DIAS)","OK"))))</f>
        <v/>
      </c>
      <c r="G3246" s="13">
        <f>SUMIFS(Movimentacoes!$G:$G,Movimentacoes!$C:$C,$A3246,Movimentacoes!$E:$E,$C3246,Movimentacoes!$B:$B,"ENTRADA")</f>
        <v/>
      </c>
      <c r="H3246" s="13">
        <f>SUMIFS(Movimentacoes!$G:$G,Movimentacoes!$C:$C,$A3246,Movimentacoes!$E:$E,$C3246,Movimentacoes!$B:$B,"SAIDA_USO")</f>
        <v/>
      </c>
      <c r="I3246" s="13">
        <f>SUMIFS(Movimentacoes!$G:$G,Movimentacoes!$C:$C,$A3246,Movimentacoes!$E:$E,$C3246,Movimentacoes!$B:$B,"SAIDA_DESCARTE")</f>
        <v/>
      </c>
      <c r="J3246" s="13">
        <f>G3246-H3246-I3246</f>
        <v/>
      </c>
      <c r="K3246">
        <f>IF(A3246="","",IF(J3246&lt;=IFERROR(VLOOKUP(A3246,Cadastro_Produtos!$A:$E,5,FALSE),0),"ABAIXO DO MINIMO","OK"))</f>
        <v/>
      </c>
    </row>
    <row r="3247">
      <c r="B3247">
        <f>IFERROR(VLOOKUP(A3247,Cadastro_Produtos!A:B,2,FALSE),"")</f>
        <v/>
      </c>
      <c r="D3247" s="12" t="n"/>
      <c r="E3247" s="13">
        <f>IF(D3247="","",D3247-TODAY())</f>
        <v/>
      </c>
      <c r="F3247">
        <f>IF(D3247="","",IF(E3247&lt;0,"VENCIDO",IF(E3247&lt;=30,"VENCE EM &lt;= 30 DIAS",IF(E3247&lt;=60,"ATENCAO (31-60 DIAS)","OK"))))</f>
        <v/>
      </c>
      <c r="G3247" s="13">
        <f>SUMIFS(Movimentacoes!$G:$G,Movimentacoes!$C:$C,$A3247,Movimentacoes!$E:$E,$C3247,Movimentacoes!$B:$B,"ENTRADA")</f>
        <v/>
      </c>
      <c r="H3247" s="13">
        <f>SUMIFS(Movimentacoes!$G:$G,Movimentacoes!$C:$C,$A3247,Movimentacoes!$E:$E,$C3247,Movimentacoes!$B:$B,"SAIDA_USO")</f>
        <v/>
      </c>
      <c r="I3247" s="13">
        <f>SUMIFS(Movimentacoes!$G:$G,Movimentacoes!$C:$C,$A3247,Movimentacoes!$E:$E,$C3247,Movimentacoes!$B:$B,"SAIDA_DESCARTE")</f>
        <v/>
      </c>
      <c r="J3247" s="13">
        <f>G3247-H3247-I3247</f>
        <v/>
      </c>
      <c r="K3247">
        <f>IF(A3247="","",IF(J3247&lt;=IFERROR(VLOOKUP(A3247,Cadastro_Produtos!$A:$E,5,FALSE),0),"ABAIXO DO MINIMO","OK"))</f>
        <v/>
      </c>
    </row>
    <row r="3248">
      <c r="B3248">
        <f>IFERROR(VLOOKUP(A3248,Cadastro_Produtos!A:B,2,FALSE),"")</f>
        <v/>
      </c>
      <c r="D3248" s="12" t="n"/>
      <c r="E3248" s="13">
        <f>IF(D3248="","",D3248-TODAY())</f>
        <v/>
      </c>
      <c r="F3248">
        <f>IF(D3248="","",IF(E3248&lt;0,"VENCIDO",IF(E3248&lt;=30,"VENCE EM &lt;= 30 DIAS",IF(E3248&lt;=60,"ATENCAO (31-60 DIAS)","OK"))))</f>
        <v/>
      </c>
      <c r="G3248" s="13">
        <f>SUMIFS(Movimentacoes!$G:$G,Movimentacoes!$C:$C,$A3248,Movimentacoes!$E:$E,$C3248,Movimentacoes!$B:$B,"ENTRADA")</f>
        <v/>
      </c>
      <c r="H3248" s="13">
        <f>SUMIFS(Movimentacoes!$G:$G,Movimentacoes!$C:$C,$A3248,Movimentacoes!$E:$E,$C3248,Movimentacoes!$B:$B,"SAIDA_USO")</f>
        <v/>
      </c>
      <c r="I3248" s="13">
        <f>SUMIFS(Movimentacoes!$G:$G,Movimentacoes!$C:$C,$A3248,Movimentacoes!$E:$E,$C3248,Movimentacoes!$B:$B,"SAIDA_DESCARTE")</f>
        <v/>
      </c>
      <c r="J3248" s="13">
        <f>G3248-H3248-I3248</f>
        <v/>
      </c>
      <c r="K3248">
        <f>IF(A3248="","",IF(J3248&lt;=IFERROR(VLOOKUP(A3248,Cadastro_Produtos!$A:$E,5,FALSE),0),"ABAIXO DO MINIMO","OK"))</f>
        <v/>
      </c>
    </row>
    <row r="3249">
      <c r="B3249">
        <f>IFERROR(VLOOKUP(A3249,Cadastro_Produtos!A:B,2,FALSE),"")</f>
        <v/>
      </c>
      <c r="D3249" s="12" t="n"/>
      <c r="E3249" s="13">
        <f>IF(D3249="","",D3249-TODAY())</f>
        <v/>
      </c>
      <c r="F3249">
        <f>IF(D3249="","",IF(E3249&lt;0,"VENCIDO",IF(E3249&lt;=30,"VENCE EM &lt;= 30 DIAS",IF(E3249&lt;=60,"ATENCAO (31-60 DIAS)","OK"))))</f>
        <v/>
      </c>
      <c r="G3249" s="13">
        <f>SUMIFS(Movimentacoes!$G:$G,Movimentacoes!$C:$C,$A3249,Movimentacoes!$E:$E,$C3249,Movimentacoes!$B:$B,"ENTRADA")</f>
        <v/>
      </c>
      <c r="H3249" s="13">
        <f>SUMIFS(Movimentacoes!$G:$G,Movimentacoes!$C:$C,$A3249,Movimentacoes!$E:$E,$C3249,Movimentacoes!$B:$B,"SAIDA_USO")</f>
        <v/>
      </c>
      <c r="I3249" s="13">
        <f>SUMIFS(Movimentacoes!$G:$G,Movimentacoes!$C:$C,$A3249,Movimentacoes!$E:$E,$C3249,Movimentacoes!$B:$B,"SAIDA_DESCARTE")</f>
        <v/>
      </c>
      <c r="J3249" s="13">
        <f>G3249-H3249-I3249</f>
        <v/>
      </c>
      <c r="K3249">
        <f>IF(A3249="","",IF(J3249&lt;=IFERROR(VLOOKUP(A3249,Cadastro_Produtos!$A:$E,5,FALSE),0),"ABAIXO DO MINIMO","OK"))</f>
        <v/>
      </c>
    </row>
    <row r="3250">
      <c r="B3250">
        <f>IFERROR(VLOOKUP(A3250,Cadastro_Produtos!A:B,2,FALSE),"")</f>
        <v/>
      </c>
      <c r="D3250" s="12" t="n"/>
      <c r="E3250" s="13">
        <f>IF(D3250="","",D3250-TODAY())</f>
        <v/>
      </c>
      <c r="F3250">
        <f>IF(D3250="","",IF(E3250&lt;0,"VENCIDO",IF(E3250&lt;=30,"VENCE EM &lt;= 30 DIAS",IF(E3250&lt;=60,"ATENCAO (31-60 DIAS)","OK"))))</f>
        <v/>
      </c>
      <c r="G3250" s="13">
        <f>SUMIFS(Movimentacoes!$G:$G,Movimentacoes!$C:$C,$A3250,Movimentacoes!$E:$E,$C3250,Movimentacoes!$B:$B,"ENTRADA")</f>
        <v/>
      </c>
      <c r="H3250" s="13">
        <f>SUMIFS(Movimentacoes!$G:$G,Movimentacoes!$C:$C,$A3250,Movimentacoes!$E:$E,$C3250,Movimentacoes!$B:$B,"SAIDA_USO")</f>
        <v/>
      </c>
      <c r="I3250" s="13">
        <f>SUMIFS(Movimentacoes!$G:$G,Movimentacoes!$C:$C,$A3250,Movimentacoes!$E:$E,$C3250,Movimentacoes!$B:$B,"SAIDA_DESCARTE")</f>
        <v/>
      </c>
      <c r="J3250" s="13">
        <f>G3250-H3250-I3250</f>
        <v/>
      </c>
      <c r="K3250">
        <f>IF(A3250="","",IF(J3250&lt;=IFERROR(VLOOKUP(A3250,Cadastro_Produtos!$A:$E,5,FALSE),0),"ABAIXO DO MINIMO","OK"))</f>
        <v/>
      </c>
    </row>
    <row r="3251">
      <c r="B3251">
        <f>IFERROR(VLOOKUP(A3251,Cadastro_Produtos!A:B,2,FALSE),"")</f>
        <v/>
      </c>
      <c r="D3251" s="12" t="n"/>
      <c r="E3251" s="13">
        <f>IF(D3251="","",D3251-TODAY())</f>
        <v/>
      </c>
      <c r="F3251">
        <f>IF(D3251="","",IF(E3251&lt;0,"VENCIDO",IF(E3251&lt;=30,"VENCE EM &lt;= 30 DIAS",IF(E3251&lt;=60,"ATENCAO (31-60 DIAS)","OK"))))</f>
        <v/>
      </c>
      <c r="G3251" s="13">
        <f>SUMIFS(Movimentacoes!$G:$G,Movimentacoes!$C:$C,$A3251,Movimentacoes!$E:$E,$C3251,Movimentacoes!$B:$B,"ENTRADA")</f>
        <v/>
      </c>
      <c r="H3251" s="13">
        <f>SUMIFS(Movimentacoes!$G:$G,Movimentacoes!$C:$C,$A3251,Movimentacoes!$E:$E,$C3251,Movimentacoes!$B:$B,"SAIDA_USO")</f>
        <v/>
      </c>
      <c r="I3251" s="13">
        <f>SUMIFS(Movimentacoes!$G:$G,Movimentacoes!$C:$C,$A3251,Movimentacoes!$E:$E,$C3251,Movimentacoes!$B:$B,"SAIDA_DESCARTE")</f>
        <v/>
      </c>
      <c r="J3251" s="13">
        <f>G3251-H3251-I3251</f>
        <v/>
      </c>
      <c r="K3251">
        <f>IF(A3251="","",IF(J3251&lt;=IFERROR(VLOOKUP(A3251,Cadastro_Produtos!$A:$E,5,FALSE),0),"ABAIXO DO MINIMO","OK"))</f>
        <v/>
      </c>
    </row>
    <row r="3252">
      <c r="B3252">
        <f>IFERROR(VLOOKUP(A3252,Cadastro_Produtos!A:B,2,FALSE),"")</f>
        <v/>
      </c>
      <c r="D3252" s="12" t="n"/>
      <c r="E3252" s="13">
        <f>IF(D3252="","",D3252-TODAY())</f>
        <v/>
      </c>
      <c r="F3252">
        <f>IF(D3252="","",IF(E3252&lt;0,"VENCIDO",IF(E3252&lt;=30,"VENCE EM &lt;= 30 DIAS",IF(E3252&lt;=60,"ATENCAO (31-60 DIAS)","OK"))))</f>
        <v/>
      </c>
      <c r="G3252" s="13">
        <f>SUMIFS(Movimentacoes!$G:$G,Movimentacoes!$C:$C,$A3252,Movimentacoes!$E:$E,$C3252,Movimentacoes!$B:$B,"ENTRADA")</f>
        <v/>
      </c>
      <c r="H3252" s="13">
        <f>SUMIFS(Movimentacoes!$G:$G,Movimentacoes!$C:$C,$A3252,Movimentacoes!$E:$E,$C3252,Movimentacoes!$B:$B,"SAIDA_USO")</f>
        <v/>
      </c>
      <c r="I3252" s="13">
        <f>SUMIFS(Movimentacoes!$G:$G,Movimentacoes!$C:$C,$A3252,Movimentacoes!$E:$E,$C3252,Movimentacoes!$B:$B,"SAIDA_DESCARTE")</f>
        <v/>
      </c>
      <c r="J3252" s="13">
        <f>G3252-H3252-I3252</f>
        <v/>
      </c>
      <c r="K3252">
        <f>IF(A3252="","",IF(J3252&lt;=IFERROR(VLOOKUP(A3252,Cadastro_Produtos!$A:$E,5,FALSE),0),"ABAIXO DO MINIMO","OK"))</f>
        <v/>
      </c>
    </row>
    <row r="3253">
      <c r="B3253">
        <f>IFERROR(VLOOKUP(A3253,Cadastro_Produtos!A:B,2,FALSE),"")</f>
        <v/>
      </c>
      <c r="D3253" s="12" t="n"/>
      <c r="E3253" s="13">
        <f>IF(D3253="","",D3253-TODAY())</f>
        <v/>
      </c>
      <c r="F3253">
        <f>IF(D3253="","",IF(E3253&lt;0,"VENCIDO",IF(E3253&lt;=30,"VENCE EM &lt;= 30 DIAS",IF(E3253&lt;=60,"ATENCAO (31-60 DIAS)","OK"))))</f>
        <v/>
      </c>
      <c r="G3253" s="13">
        <f>SUMIFS(Movimentacoes!$G:$G,Movimentacoes!$C:$C,$A3253,Movimentacoes!$E:$E,$C3253,Movimentacoes!$B:$B,"ENTRADA")</f>
        <v/>
      </c>
      <c r="H3253" s="13">
        <f>SUMIFS(Movimentacoes!$G:$G,Movimentacoes!$C:$C,$A3253,Movimentacoes!$E:$E,$C3253,Movimentacoes!$B:$B,"SAIDA_USO")</f>
        <v/>
      </c>
      <c r="I3253" s="13">
        <f>SUMIFS(Movimentacoes!$G:$G,Movimentacoes!$C:$C,$A3253,Movimentacoes!$E:$E,$C3253,Movimentacoes!$B:$B,"SAIDA_DESCARTE")</f>
        <v/>
      </c>
      <c r="J3253" s="13">
        <f>G3253-H3253-I3253</f>
        <v/>
      </c>
      <c r="K3253">
        <f>IF(A3253="","",IF(J3253&lt;=IFERROR(VLOOKUP(A3253,Cadastro_Produtos!$A:$E,5,FALSE),0),"ABAIXO DO MINIMO","OK"))</f>
        <v/>
      </c>
    </row>
    <row r="3254">
      <c r="B3254">
        <f>IFERROR(VLOOKUP(A3254,Cadastro_Produtos!A:B,2,FALSE),"")</f>
        <v/>
      </c>
      <c r="D3254" s="12" t="n"/>
      <c r="E3254" s="13">
        <f>IF(D3254="","",D3254-TODAY())</f>
        <v/>
      </c>
      <c r="F3254">
        <f>IF(D3254="","",IF(E3254&lt;0,"VENCIDO",IF(E3254&lt;=30,"VENCE EM &lt;= 30 DIAS",IF(E3254&lt;=60,"ATENCAO (31-60 DIAS)","OK"))))</f>
        <v/>
      </c>
      <c r="G3254" s="13">
        <f>SUMIFS(Movimentacoes!$G:$G,Movimentacoes!$C:$C,$A3254,Movimentacoes!$E:$E,$C3254,Movimentacoes!$B:$B,"ENTRADA")</f>
        <v/>
      </c>
      <c r="H3254" s="13">
        <f>SUMIFS(Movimentacoes!$G:$G,Movimentacoes!$C:$C,$A3254,Movimentacoes!$E:$E,$C3254,Movimentacoes!$B:$B,"SAIDA_USO")</f>
        <v/>
      </c>
      <c r="I3254" s="13">
        <f>SUMIFS(Movimentacoes!$G:$G,Movimentacoes!$C:$C,$A3254,Movimentacoes!$E:$E,$C3254,Movimentacoes!$B:$B,"SAIDA_DESCARTE")</f>
        <v/>
      </c>
      <c r="J3254" s="13">
        <f>G3254-H3254-I3254</f>
        <v/>
      </c>
      <c r="K3254">
        <f>IF(A3254="","",IF(J3254&lt;=IFERROR(VLOOKUP(A3254,Cadastro_Produtos!$A:$E,5,FALSE),0),"ABAIXO DO MINIMO","OK"))</f>
        <v/>
      </c>
    </row>
    <row r="3255">
      <c r="B3255">
        <f>IFERROR(VLOOKUP(A3255,Cadastro_Produtos!A:B,2,FALSE),"")</f>
        <v/>
      </c>
      <c r="D3255" s="12" t="n"/>
      <c r="E3255" s="13">
        <f>IF(D3255="","",D3255-TODAY())</f>
        <v/>
      </c>
      <c r="F3255">
        <f>IF(D3255="","",IF(E3255&lt;0,"VENCIDO",IF(E3255&lt;=30,"VENCE EM &lt;= 30 DIAS",IF(E3255&lt;=60,"ATENCAO (31-60 DIAS)","OK"))))</f>
        <v/>
      </c>
      <c r="G3255" s="13">
        <f>SUMIFS(Movimentacoes!$G:$G,Movimentacoes!$C:$C,$A3255,Movimentacoes!$E:$E,$C3255,Movimentacoes!$B:$B,"ENTRADA")</f>
        <v/>
      </c>
      <c r="H3255" s="13">
        <f>SUMIFS(Movimentacoes!$G:$G,Movimentacoes!$C:$C,$A3255,Movimentacoes!$E:$E,$C3255,Movimentacoes!$B:$B,"SAIDA_USO")</f>
        <v/>
      </c>
      <c r="I3255" s="13">
        <f>SUMIFS(Movimentacoes!$G:$G,Movimentacoes!$C:$C,$A3255,Movimentacoes!$E:$E,$C3255,Movimentacoes!$B:$B,"SAIDA_DESCARTE")</f>
        <v/>
      </c>
      <c r="J3255" s="13">
        <f>G3255-H3255-I3255</f>
        <v/>
      </c>
      <c r="K3255">
        <f>IF(A3255="","",IF(J3255&lt;=IFERROR(VLOOKUP(A3255,Cadastro_Produtos!$A:$E,5,FALSE),0),"ABAIXO DO MINIMO","OK"))</f>
        <v/>
      </c>
    </row>
    <row r="3256">
      <c r="B3256">
        <f>IFERROR(VLOOKUP(A3256,Cadastro_Produtos!A:B,2,FALSE),"")</f>
        <v/>
      </c>
      <c r="D3256" s="12" t="n"/>
      <c r="E3256" s="13">
        <f>IF(D3256="","",D3256-TODAY())</f>
        <v/>
      </c>
      <c r="F3256">
        <f>IF(D3256="","",IF(E3256&lt;0,"VENCIDO",IF(E3256&lt;=30,"VENCE EM &lt;= 30 DIAS",IF(E3256&lt;=60,"ATENCAO (31-60 DIAS)","OK"))))</f>
        <v/>
      </c>
      <c r="G3256" s="13">
        <f>SUMIFS(Movimentacoes!$G:$G,Movimentacoes!$C:$C,$A3256,Movimentacoes!$E:$E,$C3256,Movimentacoes!$B:$B,"ENTRADA")</f>
        <v/>
      </c>
      <c r="H3256" s="13">
        <f>SUMIFS(Movimentacoes!$G:$G,Movimentacoes!$C:$C,$A3256,Movimentacoes!$E:$E,$C3256,Movimentacoes!$B:$B,"SAIDA_USO")</f>
        <v/>
      </c>
      <c r="I3256" s="13">
        <f>SUMIFS(Movimentacoes!$G:$G,Movimentacoes!$C:$C,$A3256,Movimentacoes!$E:$E,$C3256,Movimentacoes!$B:$B,"SAIDA_DESCARTE")</f>
        <v/>
      </c>
      <c r="J3256" s="13">
        <f>G3256-H3256-I3256</f>
        <v/>
      </c>
      <c r="K3256">
        <f>IF(A3256="","",IF(J3256&lt;=IFERROR(VLOOKUP(A3256,Cadastro_Produtos!$A:$E,5,FALSE),0),"ABAIXO DO MINIMO","OK"))</f>
        <v/>
      </c>
    </row>
    <row r="3257">
      <c r="B3257">
        <f>IFERROR(VLOOKUP(A3257,Cadastro_Produtos!A:B,2,FALSE),"")</f>
        <v/>
      </c>
      <c r="D3257" s="12" t="n"/>
      <c r="E3257" s="13">
        <f>IF(D3257="","",D3257-TODAY())</f>
        <v/>
      </c>
      <c r="F3257">
        <f>IF(D3257="","",IF(E3257&lt;0,"VENCIDO",IF(E3257&lt;=30,"VENCE EM &lt;= 30 DIAS",IF(E3257&lt;=60,"ATENCAO (31-60 DIAS)","OK"))))</f>
        <v/>
      </c>
      <c r="G3257" s="13">
        <f>SUMIFS(Movimentacoes!$G:$G,Movimentacoes!$C:$C,$A3257,Movimentacoes!$E:$E,$C3257,Movimentacoes!$B:$B,"ENTRADA")</f>
        <v/>
      </c>
      <c r="H3257" s="13">
        <f>SUMIFS(Movimentacoes!$G:$G,Movimentacoes!$C:$C,$A3257,Movimentacoes!$E:$E,$C3257,Movimentacoes!$B:$B,"SAIDA_USO")</f>
        <v/>
      </c>
      <c r="I3257" s="13">
        <f>SUMIFS(Movimentacoes!$G:$G,Movimentacoes!$C:$C,$A3257,Movimentacoes!$E:$E,$C3257,Movimentacoes!$B:$B,"SAIDA_DESCARTE")</f>
        <v/>
      </c>
      <c r="J3257" s="13">
        <f>G3257-H3257-I3257</f>
        <v/>
      </c>
      <c r="K3257">
        <f>IF(A3257="","",IF(J3257&lt;=IFERROR(VLOOKUP(A3257,Cadastro_Produtos!$A:$E,5,FALSE),0),"ABAIXO DO MINIMO","OK"))</f>
        <v/>
      </c>
    </row>
    <row r="3258">
      <c r="B3258">
        <f>IFERROR(VLOOKUP(A3258,Cadastro_Produtos!A:B,2,FALSE),"")</f>
        <v/>
      </c>
      <c r="D3258" s="12" t="n"/>
      <c r="E3258" s="13">
        <f>IF(D3258="","",D3258-TODAY())</f>
        <v/>
      </c>
      <c r="F3258">
        <f>IF(D3258="","",IF(E3258&lt;0,"VENCIDO",IF(E3258&lt;=30,"VENCE EM &lt;= 30 DIAS",IF(E3258&lt;=60,"ATENCAO (31-60 DIAS)","OK"))))</f>
        <v/>
      </c>
      <c r="G3258" s="13">
        <f>SUMIFS(Movimentacoes!$G:$G,Movimentacoes!$C:$C,$A3258,Movimentacoes!$E:$E,$C3258,Movimentacoes!$B:$B,"ENTRADA")</f>
        <v/>
      </c>
      <c r="H3258" s="13">
        <f>SUMIFS(Movimentacoes!$G:$G,Movimentacoes!$C:$C,$A3258,Movimentacoes!$E:$E,$C3258,Movimentacoes!$B:$B,"SAIDA_USO")</f>
        <v/>
      </c>
      <c r="I3258" s="13">
        <f>SUMIFS(Movimentacoes!$G:$G,Movimentacoes!$C:$C,$A3258,Movimentacoes!$E:$E,$C3258,Movimentacoes!$B:$B,"SAIDA_DESCARTE")</f>
        <v/>
      </c>
      <c r="J3258" s="13">
        <f>G3258-H3258-I3258</f>
        <v/>
      </c>
      <c r="K3258">
        <f>IF(A3258="","",IF(J3258&lt;=IFERROR(VLOOKUP(A3258,Cadastro_Produtos!$A:$E,5,FALSE),0),"ABAIXO DO MINIMO","OK"))</f>
        <v/>
      </c>
    </row>
    <row r="3259">
      <c r="B3259">
        <f>IFERROR(VLOOKUP(A3259,Cadastro_Produtos!A:B,2,FALSE),"")</f>
        <v/>
      </c>
      <c r="D3259" s="12" t="n"/>
      <c r="E3259" s="13">
        <f>IF(D3259="","",D3259-TODAY())</f>
        <v/>
      </c>
      <c r="F3259">
        <f>IF(D3259="","",IF(E3259&lt;0,"VENCIDO",IF(E3259&lt;=30,"VENCE EM &lt;= 30 DIAS",IF(E3259&lt;=60,"ATENCAO (31-60 DIAS)","OK"))))</f>
        <v/>
      </c>
      <c r="G3259" s="13">
        <f>SUMIFS(Movimentacoes!$G:$G,Movimentacoes!$C:$C,$A3259,Movimentacoes!$E:$E,$C3259,Movimentacoes!$B:$B,"ENTRADA")</f>
        <v/>
      </c>
      <c r="H3259" s="13">
        <f>SUMIFS(Movimentacoes!$G:$G,Movimentacoes!$C:$C,$A3259,Movimentacoes!$E:$E,$C3259,Movimentacoes!$B:$B,"SAIDA_USO")</f>
        <v/>
      </c>
      <c r="I3259" s="13">
        <f>SUMIFS(Movimentacoes!$G:$G,Movimentacoes!$C:$C,$A3259,Movimentacoes!$E:$E,$C3259,Movimentacoes!$B:$B,"SAIDA_DESCARTE")</f>
        <v/>
      </c>
      <c r="J3259" s="13">
        <f>G3259-H3259-I3259</f>
        <v/>
      </c>
      <c r="K3259">
        <f>IF(A3259="","",IF(J3259&lt;=IFERROR(VLOOKUP(A3259,Cadastro_Produtos!$A:$E,5,FALSE),0),"ABAIXO DO MINIMO","OK"))</f>
        <v/>
      </c>
    </row>
    <row r="3260">
      <c r="B3260">
        <f>IFERROR(VLOOKUP(A3260,Cadastro_Produtos!A:B,2,FALSE),"")</f>
        <v/>
      </c>
      <c r="D3260" s="12" t="n"/>
      <c r="E3260" s="13">
        <f>IF(D3260="","",D3260-TODAY())</f>
        <v/>
      </c>
      <c r="F3260">
        <f>IF(D3260="","",IF(E3260&lt;0,"VENCIDO",IF(E3260&lt;=30,"VENCE EM &lt;= 30 DIAS",IF(E3260&lt;=60,"ATENCAO (31-60 DIAS)","OK"))))</f>
        <v/>
      </c>
      <c r="G3260" s="13">
        <f>SUMIFS(Movimentacoes!$G:$G,Movimentacoes!$C:$C,$A3260,Movimentacoes!$E:$E,$C3260,Movimentacoes!$B:$B,"ENTRADA")</f>
        <v/>
      </c>
      <c r="H3260" s="13">
        <f>SUMIFS(Movimentacoes!$G:$G,Movimentacoes!$C:$C,$A3260,Movimentacoes!$E:$E,$C3260,Movimentacoes!$B:$B,"SAIDA_USO")</f>
        <v/>
      </c>
      <c r="I3260" s="13">
        <f>SUMIFS(Movimentacoes!$G:$G,Movimentacoes!$C:$C,$A3260,Movimentacoes!$E:$E,$C3260,Movimentacoes!$B:$B,"SAIDA_DESCARTE")</f>
        <v/>
      </c>
      <c r="J3260" s="13">
        <f>G3260-H3260-I3260</f>
        <v/>
      </c>
      <c r="K3260">
        <f>IF(A3260="","",IF(J3260&lt;=IFERROR(VLOOKUP(A3260,Cadastro_Produtos!$A:$E,5,FALSE),0),"ABAIXO DO MINIMO","OK"))</f>
        <v/>
      </c>
    </row>
    <row r="3261">
      <c r="B3261">
        <f>IFERROR(VLOOKUP(A3261,Cadastro_Produtos!A:B,2,FALSE),"")</f>
        <v/>
      </c>
      <c r="D3261" s="12" t="n"/>
      <c r="E3261" s="13">
        <f>IF(D3261="","",D3261-TODAY())</f>
        <v/>
      </c>
      <c r="F3261">
        <f>IF(D3261="","",IF(E3261&lt;0,"VENCIDO",IF(E3261&lt;=30,"VENCE EM &lt;= 30 DIAS",IF(E3261&lt;=60,"ATENCAO (31-60 DIAS)","OK"))))</f>
        <v/>
      </c>
      <c r="G3261" s="13">
        <f>SUMIFS(Movimentacoes!$G:$G,Movimentacoes!$C:$C,$A3261,Movimentacoes!$E:$E,$C3261,Movimentacoes!$B:$B,"ENTRADA")</f>
        <v/>
      </c>
      <c r="H3261" s="13">
        <f>SUMIFS(Movimentacoes!$G:$G,Movimentacoes!$C:$C,$A3261,Movimentacoes!$E:$E,$C3261,Movimentacoes!$B:$B,"SAIDA_USO")</f>
        <v/>
      </c>
      <c r="I3261" s="13">
        <f>SUMIFS(Movimentacoes!$G:$G,Movimentacoes!$C:$C,$A3261,Movimentacoes!$E:$E,$C3261,Movimentacoes!$B:$B,"SAIDA_DESCARTE")</f>
        <v/>
      </c>
      <c r="J3261" s="13">
        <f>G3261-H3261-I3261</f>
        <v/>
      </c>
      <c r="K3261">
        <f>IF(A3261="","",IF(J3261&lt;=IFERROR(VLOOKUP(A3261,Cadastro_Produtos!$A:$E,5,FALSE),0),"ABAIXO DO MINIMO","OK"))</f>
        <v/>
      </c>
    </row>
    <row r="3262">
      <c r="B3262">
        <f>IFERROR(VLOOKUP(A3262,Cadastro_Produtos!A:B,2,FALSE),"")</f>
        <v/>
      </c>
      <c r="D3262" s="12" t="n"/>
      <c r="E3262" s="13">
        <f>IF(D3262="","",D3262-TODAY())</f>
        <v/>
      </c>
      <c r="F3262">
        <f>IF(D3262="","",IF(E3262&lt;0,"VENCIDO",IF(E3262&lt;=30,"VENCE EM &lt;= 30 DIAS",IF(E3262&lt;=60,"ATENCAO (31-60 DIAS)","OK"))))</f>
        <v/>
      </c>
      <c r="G3262" s="13">
        <f>SUMIFS(Movimentacoes!$G:$G,Movimentacoes!$C:$C,$A3262,Movimentacoes!$E:$E,$C3262,Movimentacoes!$B:$B,"ENTRADA")</f>
        <v/>
      </c>
      <c r="H3262" s="13">
        <f>SUMIFS(Movimentacoes!$G:$G,Movimentacoes!$C:$C,$A3262,Movimentacoes!$E:$E,$C3262,Movimentacoes!$B:$B,"SAIDA_USO")</f>
        <v/>
      </c>
      <c r="I3262" s="13">
        <f>SUMIFS(Movimentacoes!$G:$G,Movimentacoes!$C:$C,$A3262,Movimentacoes!$E:$E,$C3262,Movimentacoes!$B:$B,"SAIDA_DESCARTE")</f>
        <v/>
      </c>
      <c r="J3262" s="13">
        <f>G3262-H3262-I3262</f>
        <v/>
      </c>
      <c r="K3262">
        <f>IF(A3262="","",IF(J3262&lt;=IFERROR(VLOOKUP(A3262,Cadastro_Produtos!$A:$E,5,FALSE),0),"ABAIXO DO MINIMO","OK"))</f>
        <v/>
      </c>
    </row>
    <row r="3263">
      <c r="B3263">
        <f>IFERROR(VLOOKUP(A3263,Cadastro_Produtos!A:B,2,FALSE),"")</f>
        <v/>
      </c>
      <c r="D3263" s="12" t="n"/>
      <c r="E3263" s="13">
        <f>IF(D3263="","",D3263-TODAY())</f>
        <v/>
      </c>
      <c r="F3263">
        <f>IF(D3263="","",IF(E3263&lt;0,"VENCIDO",IF(E3263&lt;=30,"VENCE EM &lt;= 30 DIAS",IF(E3263&lt;=60,"ATENCAO (31-60 DIAS)","OK"))))</f>
        <v/>
      </c>
      <c r="G3263" s="13">
        <f>SUMIFS(Movimentacoes!$G:$G,Movimentacoes!$C:$C,$A3263,Movimentacoes!$E:$E,$C3263,Movimentacoes!$B:$B,"ENTRADA")</f>
        <v/>
      </c>
      <c r="H3263" s="13">
        <f>SUMIFS(Movimentacoes!$G:$G,Movimentacoes!$C:$C,$A3263,Movimentacoes!$E:$E,$C3263,Movimentacoes!$B:$B,"SAIDA_USO")</f>
        <v/>
      </c>
      <c r="I3263" s="13">
        <f>SUMIFS(Movimentacoes!$G:$G,Movimentacoes!$C:$C,$A3263,Movimentacoes!$E:$E,$C3263,Movimentacoes!$B:$B,"SAIDA_DESCARTE")</f>
        <v/>
      </c>
      <c r="J3263" s="13">
        <f>G3263-H3263-I3263</f>
        <v/>
      </c>
      <c r="K3263">
        <f>IF(A3263="","",IF(J3263&lt;=IFERROR(VLOOKUP(A3263,Cadastro_Produtos!$A:$E,5,FALSE),0),"ABAIXO DO MINIMO","OK"))</f>
        <v/>
      </c>
    </row>
    <row r="3264">
      <c r="B3264">
        <f>IFERROR(VLOOKUP(A3264,Cadastro_Produtos!A:B,2,FALSE),"")</f>
        <v/>
      </c>
      <c r="D3264" s="12" t="n"/>
      <c r="E3264" s="13">
        <f>IF(D3264="","",D3264-TODAY())</f>
        <v/>
      </c>
      <c r="F3264">
        <f>IF(D3264="","",IF(E3264&lt;0,"VENCIDO",IF(E3264&lt;=30,"VENCE EM &lt;= 30 DIAS",IF(E3264&lt;=60,"ATENCAO (31-60 DIAS)","OK"))))</f>
        <v/>
      </c>
      <c r="G3264" s="13">
        <f>SUMIFS(Movimentacoes!$G:$G,Movimentacoes!$C:$C,$A3264,Movimentacoes!$E:$E,$C3264,Movimentacoes!$B:$B,"ENTRADA")</f>
        <v/>
      </c>
      <c r="H3264" s="13">
        <f>SUMIFS(Movimentacoes!$G:$G,Movimentacoes!$C:$C,$A3264,Movimentacoes!$E:$E,$C3264,Movimentacoes!$B:$B,"SAIDA_USO")</f>
        <v/>
      </c>
      <c r="I3264" s="13">
        <f>SUMIFS(Movimentacoes!$G:$G,Movimentacoes!$C:$C,$A3264,Movimentacoes!$E:$E,$C3264,Movimentacoes!$B:$B,"SAIDA_DESCARTE")</f>
        <v/>
      </c>
      <c r="J3264" s="13">
        <f>G3264-H3264-I3264</f>
        <v/>
      </c>
      <c r="K3264">
        <f>IF(A3264="","",IF(J3264&lt;=IFERROR(VLOOKUP(A3264,Cadastro_Produtos!$A:$E,5,FALSE),0),"ABAIXO DO MINIMO","OK"))</f>
        <v/>
      </c>
    </row>
    <row r="3265">
      <c r="B3265">
        <f>IFERROR(VLOOKUP(A3265,Cadastro_Produtos!A:B,2,FALSE),"")</f>
        <v/>
      </c>
      <c r="D3265" s="12" t="n"/>
      <c r="E3265" s="13">
        <f>IF(D3265="","",D3265-TODAY())</f>
        <v/>
      </c>
      <c r="F3265">
        <f>IF(D3265="","",IF(E3265&lt;0,"VENCIDO",IF(E3265&lt;=30,"VENCE EM &lt;= 30 DIAS",IF(E3265&lt;=60,"ATENCAO (31-60 DIAS)","OK"))))</f>
        <v/>
      </c>
      <c r="G3265" s="13">
        <f>SUMIFS(Movimentacoes!$G:$G,Movimentacoes!$C:$C,$A3265,Movimentacoes!$E:$E,$C3265,Movimentacoes!$B:$B,"ENTRADA")</f>
        <v/>
      </c>
      <c r="H3265" s="13">
        <f>SUMIFS(Movimentacoes!$G:$G,Movimentacoes!$C:$C,$A3265,Movimentacoes!$E:$E,$C3265,Movimentacoes!$B:$B,"SAIDA_USO")</f>
        <v/>
      </c>
      <c r="I3265" s="13">
        <f>SUMIFS(Movimentacoes!$G:$G,Movimentacoes!$C:$C,$A3265,Movimentacoes!$E:$E,$C3265,Movimentacoes!$B:$B,"SAIDA_DESCARTE")</f>
        <v/>
      </c>
      <c r="J3265" s="13">
        <f>G3265-H3265-I3265</f>
        <v/>
      </c>
      <c r="K3265">
        <f>IF(A3265="","",IF(J3265&lt;=IFERROR(VLOOKUP(A3265,Cadastro_Produtos!$A:$E,5,FALSE),0),"ABAIXO DO MINIMO","OK"))</f>
        <v/>
      </c>
    </row>
    <row r="3266">
      <c r="B3266">
        <f>IFERROR(VLOOKUP(A3266,Cadastro_Produtos!A:B,2,FALSE),"")</f>
        <v/>
      </c>
      <c r="D3266" s="12" t="n"/>
      <c r="E3266" s="13">
        <f>IF(D3266="","",D3266-TODAY())</f>
        <v/>
      </c>
      <c r="F3266">
        <f>IF(D3266="","",IF(E3266&lt;0,"VENCIDO",IF(E3266&lt;=30,"VENCE EM &lt;= 30 DIAS",IF(E3266&lt;=60,"ATENCAO (31-60 DIAS)","OK"))))</f>
        <v/>
      </c>
      <c r="G3266" s="13">
        <f>SUMIFS(Movimentacoes!$G:$G,Movimentacoes!$C:$C,$A3266,Movimentacoes!$E:$E,$C3266,Movimentacoes!$B:$B,"ENTRADA")</f>
        <v/>
      </c>
      <c r="H3266" s="13">
        <f>SUMIFS(Movimentacoes!$G:$G,Movimentacoes!$C:$C,$A3266,Movimentacoes!$E:$E,$C3266,Movimentacoes!$B:$B,"SAIDA_USO")</f>
        <v/>
      </c>
      <c r="I3266" s="13">
        <f>SUMIFS(Movimentacoes!$G:$G,Movimentacoes!$C:$C,$A3266,Movimentacoes!$E:$E,$C3266,Movimentacoes!$B:$B,"SAIDA_DESCARTE")</f>
        <v/>
      </c>
      <c r="J3266" s="13">
        <f>G3266-H3266-I3266</f>
        <v/>
      </c>
      <c r="K3266">
        <f>IF(A3266="","",IF(J3266&lt;=IFERROR(VLOOKUP(A3266,Cadastro_Produtos!$A:$E,5,FALSE),0),"ABAIXO DO MINIMO","OK"))</f>
        <v/>
      </c>
    </row>
    <row r="3267">
      <c r="B3267">
        <f>IFERROR(VLOOKUP(A3267,Cadastro_Produtos!A:B,2,FALSE),"")</f>
        <v/>
      </c>
      <c r="D3267" s="12" t="n"/>
      <c r="E3267" s="13">
        <f>IF(D3267="","",D3267-TODAY())</f>
        <v/>
      </c>
      <c r="F3267">
        <f>IF(D3267="","",IF(E3267&lt;0,"VENCIDO",IF(E3267&lt;=30,"VENCE EM &lt;= 30 DIAS",IF(E3267&lt;=60,"ATENCAO (31-60 DIAS)","OK"))))</f>
        <v/>
      </c>
      <c r="G3267" s="13">
        <f>SUMIFS(Movimentacoes!$G:$G,Movimentacoes!$C:$C,$A3267,Movimentacoes!$E:$E,$C3267,Movimentacoes!$B:$B,"ENTRADA")</f>
        <v/>
      </c>
      <c r="H3267" s="13">
        <f>SUMIFS(Movimentacoes!$G:$G,Movimentacoes!$C:$C,$A3267,Movimentacoes!$E:$E,$C3267,Movimentacoes!$B:$B,"SAIDA_USO")</f>
        <v/>
      </c>
      <c r="I3267" s="13">
        <f>SUMIFS(Movimentacoes!$G:$G,Movimentacoes!$C:$C,$A3267,Movimentacoes!$E:$E,$C3267,Movimentacoes!$B:$B,"SAIDA_DESCARTE")</f>
        <v/>
      </c>
      <c r="J3267" s="13">
        <f>G3267-H3267-I3267</f>
        <v/>
      </c>
      <c r="K3267">
        <f>IF(A3267="","",IF(J3267&lt;=IFERROR(VLOOKUP(A3267,Cadastro_Produtos!$A:$E,5,FALSE),0),"ABAIXO DO MINIMO","OK"))</f>
        <v/>
      </c>
    </row>
    <row r="3268">
      <c r="B3268">
        <f>IFERROR(VLOOKUP(A3268,Cadastro_Produtos!A:B,2,FALSE),"")</f>
        <v/>
      </c>
      <c r="D3268" s="12" t="n"/>
      <c r="E3268" s="13">
        <f>IF(D3268="","",D3268-TODAY())</f>
        <v/>
      </c>
      <c r="F3268">
        <f>IF(D3268="","",IF(E3268&lt;0,"VENCIDO",IF(E3268&lt;=30,"VENCE EM &lt;= 30 DIAS",IF(E3268&lt;=60,"ATENCAO (31-60 DIAS)","OK"))))</f>
        <v/>
      </c>
      <c r="G3268" s="13">
        <f>SUMIFS(Movimentacoes!$G:$G,Movimentacoes!$C:$C,$A3268,Movimentacoes!$E:$E,$C3268,Movimentacoes!$B:$B,"ENTRADA")</f>
        <v/>
      </c>
      <c r="H3268" s="13">
        <f>SUMIFS(Movimentacoes!$G:$G,Movimentacoes!$C:$C,$A3268,Movimentacoes!$E:$E,$C3268,Movimentacoes!$B:$B,"SAIDA_USO")</f>
        <v/>
      </c>
      <c r="I3268" s="13">
        <f>SUMIFS(Movimentacoes!$G:$G,Movimentacoes!$C:$C,$A3268,Movimentacoes!$E:$E,$C3268,Movimentacoes!$B:$B,"SAIDA_DESCARTE")</f>
        <v/>
      </c>
      <c r="J3268" s="13">
        <f>G3268-H3268-I3268</f>
        <v/>
      </c>
      <c r="K3268">
        <f>IF(A3268="","",IF(J3268&lt;=IFERROR(VLOOKUP(A3268,Cadastro_Produtos!$A:$E,5,FALSE),0),"ABAIXO DO MINIMO","OK"))</f>
        <v/>
      </c>
    </row>
    <row r="3269">
      <c r="B3269">
        <f>IFERROR(VLOOKUP(A3269,Cadastro_Produtos!A:B,2,FALSE),"")</f>
        <v/>
      </c>
      <c r="D3269" s="12" t="n"/>
      <c r="E3269" s="13">
        <f>IF(D3269="","",D3269-TODAY())</f>
        <v/>
      </c>
      <c r="F3269">
        <f>IF(D3269="","",IF(E3269&lt;0,"VENCIDO",IF(E3269&lt;=30,"VENCE EM &lt;= 30 DIAS",IF(E3269&lt;=60,"ATENCAO (31-60 DIAS)","OK"))))</f>
        <v/>
      </c>
      <c r="G3269" s="13">
        <f>SUMIFS(Movimentacoes!$G:$G,Movimentacoes!$C:$C,$A3269,Movimentacoes!$E:$E,$C3269,Movimentacoes!$B:$B,"ENTRADA")</f>
        <v/>
      </c>
      <c r="H3269" s="13">
        <f>SUMIFS(Movimentacoes!$G:$G,Movimentacoes!$C:$C,$A3269,Movimentacoes!$E:$E,$C3269,Movimentacoes!$B:$B,"SAIDA_USO")</f>
        <v/>
      </c>
      <c r="I3269" s="13">
        <f>SUMIFS(Movimentacoes!$G:$G,Movimentacoes!$C:$C,$A3269,Movimentacoes!$E:$E,$C3269,Movimentacoes!$B:$B,"SAIDA_DESCARTE")</f>
        <v/>
      </c>
      <c r="J3269" s="13">
        <f>G3269-H3269-I3269</f>
        <v/>
      </c>
      <c r="K3269">
        <f>IF(A3269="","",IF(J3269&lt;=IFERROR(VLOOKUP(A3269,Cadastro_Produtos!$A:$E,5,FALSE),0),"ABAIXO DO MINIMO","OK"))</f>
        <v/>
      </c>
    </row>
    <row r="3270">
      <c r="B3270">
        <f>IFERROR(VLOOKUP(A3270,Cadastro_Produtos!A:B,2,FALSE),"")</f>
        <v/>
      </c>
      <c r="D3270" s="12" t="n"/>
      <c r="E3270" s="13">
        <f>IF(D3270="","",D3270-TODAY())</f>
        <v/>
      </c>
      <c r="F3270">
        <f>IF(D3270="","",IF(E3270&lt;0,"VENCIDO",IF(E3270&lt;=30,"VENCE EM &lt;= 30 DIAS",IF(E3270&lt;=60,"ATENCAO (31-60 DIAS)","OK"))))</f>
        <v/>
      </c>
      <c r="G3270" s="13">
        <f>SUMIFS(Movimentacoes!$G:$G,Movimentacoes!$C:$C,$A3270,Movimentacoes!$E:$E,$C3270,Movimentacoes!$B:$B,"ENTRADA")</f>
        <v/>
      </c>
      <c r="H3270" s="13">
        <f>SUMIFS(Movimentacoes!$G:$G,Movimentacoes!$C:$C,$A3270,Movimentacoes!$E:$E,$C3270,Movimentacoes!$B:$B,"SAIDA_USO")</f>
        <v/>
      </c>
      <c r="I3270" s="13">
        <f>SUMIFS(Movimentacoes!$G:$G,Movimentacoes!$C:$C,$A3270,Movimentacoes!$E:$E,$C3270,Movimentacoes!$B:$B,"SAIDA_DESCARTE")</f>
        <v/>
      </c>
      <c r="J3270" s="13">
        <f>G3270-H3270-I3270</f>
        <v/>
      </c>
      <c r="K3270">
        <f>IF(A3270="","",IF(J3270&lt;=IFERROR(VLOOKUP(A3270,Cadastro_Produtos!$A:$E,5,FALSE),0),"ABAIXO DO MINIMO","OK"))</f>
        <v/>
      </c>
    </row>
    <row r="3271">
      <c r="B3271">
        <f>IFERROR(VLOOKUP(A3271,Cadastro_Produtos!A:B,2,FALSE),"")</f>
        <v/>
      </c>
      <c r="D3271" s="12" t="n"/>
      <c r="E3271" s="13">
        <f>IF(D3271="","",D3271-TODAY())</f>
        <v/>
      </c>
      <c r="F3271">
        <f>IF(D3271="","",IF(E3271&lt;0,"VENCIDO",IF(E3271&lt;=30,"VENCE EM &lt;= 30 DIAS",IF(E3271&lt;=60,"ATENCAO (31-60 DIAS)","OK"))))</f>
        <v/>
      </c>
      <c r="G3271" s="13">
        <f>SUMIFS(Movimentacoes!$G:$G,Movimentacoes!$C:$C,$A3271,Movimentacoes!$E:$E,$C3271,Movimentacoes!$B:$B,"ENTRADA")</f>
        <v/>
      </c>
      <c r="H3271" s="13">
        <f>SUMIFS(Movimentacoes!$G:$G,Movimentacoes!$C:$C,$A3271,Movimentacoes!$E:$E,$C3271,Movimentacoes!$B:$B,"SAIDA_USO")</f>
        <v/>
      </c>
      <c r="I3271" s="13">
        <f>SUMIFS(Movimentacoes!$G:$G,Movimentacoes!$C:$C,$A3271,Movimentacoes!$E:$E,$C3271,Movimentacoes!$B:$B,"SAIDA_DESCARTE")</f>
        <v/>
      </c>
      <c r="J3271" s="13">
        <f>G3271-H3271-I3271</f>
        <v/>
      </c>
      <c r="K3271">
        <f>IF(A3271="","",IF(J3271&lt;=IFERROR(VLOOKUP(A3271,Cadastro_Produtos!$A:$E,5,FALSE),0),"ABAIXO DO MINIMO","OK"))</f>
        <v/>
      </c>
    </row>
    <row r="3272">
      <c r="B3272">
        <f>IFERROR(VLOOKUP(A3272,Cadastro_Produtos!A:B,2,FALSE),"")</f>
        <v/>
      </c>
      <c r="D3272" s="12" t="n"/>
      <c r="E3272" s="13">
        <f>IF(D3272="","",D3272-TODAY())</f>
        <v/>
      </c>
      <c r="F3272">
        <f>IF(D3272="","",IF(E3272&lt;0,"VENCIDO",IF(E3272&lt;=30,"VENCE EM &lt;= 30 DIAS",IF(E3272&lt;=60,"ATENCAO (31-60 DIAS)","OK"))))</f>
        <v/>
      </c>
      <c r="G3272" s="13">
        <f>SUMIFS(Movimentacoes!$G:$G,Movimentacoes!$C:$C,$A3272,Movimentacoes!$E:$E,$C3272,Movimentacoes!$B:$B,"ENTRADA")</f>
        <v/>
      </c>
      <c r="H3272" s="13">
        <f>SUMIFS(Movimentacoes!$G:$G,Movimentacoes!$C:$C,$A3272,Movimentacoes!$E:$E,$C3272,Movimentacoes!$B:$B,"SAIDA_USO")</f>
        <v/>
      </c>
      <c r="I3272" s="13">
        <f>SUMIFS(Movimentacoes!$G:$G,Movimentacoes!$C:$C,$A3272,Movimentacoes!$E:$E,$C3272,Movimentacoes!$B:$B,"SAIDA_DESCARTE")</f>
        <v/>
      </c>
      <c r="J3272" s="13">
        <f>G3272-H3272-I3272</f>
        <v/>
      </c>
      <c r="K3272">
        <f>IF(A3272="","",IF(J3272&lt;=IFERROR(VLOOKUP(A3272,Cadastro_Produtos!$A:$E,5,FALSE),0),"ABAIXO DO MINIMO","OK"))</f>
        <v/>
      </c>
    </row>
    <row r="3273">
      <c r="B3273">
        <f>IFERROR(VLOOKUP(A3273,Cadastro_Produtos!A:B,2,FALSE),"")</f>
        <v/>
      </c>
      <c r="D3273" s="12" t="n"/>
      <c r="E3273" s="13">
        <f>IF(D3273="","",D3273-TODAY())</f>
        <v/>
      </c>
      <c r="F3273">
        <f>IF(D3273="","",IF(E3273&lt;0,"VENCIDO",IF(E3273&lt;=30,"VENCE EM &lt;= 30 DIAS",IF(E3273&lt;=60,"ATENCAO (31-60 DIAS)","OK"))))</f>
        <v/>
      </c>
      <c r="G3273" s="13">
        <f>SUMIFS(Movimentacoes!$G:$G,Movimentacoes!$C:$C,$A3273,Movimentacoes!$E:$E,$C3273,Movimentacoes!$B:$B,"ENTRADA")</f>
        <v/>
      </c>
      <c r="H3273" s="13">
        <f>SUMIFS(Movimentacoes!$G:$G,Movimentacoes!$C:$C,$A3273,Movimentacoes!$E:$E,$C3273,Movimentacoes!$B:$B,"SAIDA_USO")</f>
        <v/>
      </c>
      <c r="I3273" s="13">
        <f>SUMIFS(Movimentacoes!$G:$G,Movimentacoes!$C:$C,$A3273,Movimentacoes!$E:$E,$C3273,Movimentacoes!$B:$B,"SAIDA_DESCARTE")</f>
        <v/>
      </c>
      <c r="J3273" s="13">
        <f>G3273-H3273-I3273</f>
        <v/>
      </c>
      <c r="K3273">
        <f>IF(A3273="","",IF(J3273&lt;=IFERROR(VLOOKUP(A3273,Cadastro_Produtos!$A:$E,5,FALSE),0),"ABAIXO DO MINIMO","OK"))</f>
        <v/>
      </c>
    </row>
    <row r="3274">
      <c r="B3274">
        <f>IFERROR(VLOOKUP(A3274,Cadastro_Produtos!A:B,2,FALSE),"")</f>
        <v/>
      </c>
      <c r="D3274" s="12" t="n"/>
      <c r="E3274" s="13">
        <f>IF(D3274="","",D3274-TODAY())</f>
        <v/>
      </c>
      <c r="F3274">
        <f>IF(D3274="","",IF(E3274&lt;0,"VENCIDO",IF(E3274&lt;=30,"VENCE EM &lt;= 30 DIAS",IF(E3274&lt;=60,"ATENCAO (31-60 DIAS)","OK"))))</f>
        <v/>
      </c>
      <c r="G3274" s="13">
        <f>SUMIFS(Movimentacoes!$G:$G,Movimentacoes!$C:$C,$A3274,Movimentacoes!$E:$E,$C3274,Movimentacoes!$B:$B,"ENTRADA")</f>
        <v/>
      </c>
      <c r="H3274" s="13">
        <f>SUMIFS(Movimentacoes!$G:$G,Movimentacoes!$C:$C,$A3274,Movimentacoes!$E:$E,$C3274,Movimentacoes!$B:$B,"SAIDA_USO")</f>
        <v/>
      </c>
      <c r="I3274" s="13">
        <f>SUMIFS(Movimentacoes!$G:$G,Movimentacoes!$C:$C,$A3274,Movimentacoes!$E:$E,$C3274,Movimentacoes!$B:$B,"SAIDA_DESCARTE")</f>
        <v/>
      </c>
      <c r="J3274" s="13">
        <f>G3274-H3274-I3274</f>
        <v/>
      </c>
      <c r="K3274">
        <f>IF(A3274="","",IF(J3274&lt;=IFERROR(VLOOKUP(A3274,Cadastro_Produtos!$A:$E,5,FALSE),0),"ABAIXO DO MINIMO","OK"))</f>
        <v/>
      </c>
    </row>
    <row r="3275">
      <c r="B3275">
        <f>IFERROR(VLOOKUP(A3275,Cadastro_Produtos!A:B,2,FALSE),"")</f>
        <v/>
      </c>
      <c r="D3275" s="12" t="n"/>
      <c r="E3275" s="13">
        <f>IF(D3275="","",D3275-TODAY())</f>
        <v/>
      </c>
      <c r="F3275">
        <f>IF(D3275="","",IF(E3275&lt;0,"VENCIDO",IF(E3275&lt;=30,"VENCE EM &lt;= 30 DIAS",IF(E3275&lt;=60,"ATENCAO (31-60 DIAS)","OK"))))</f>
        <v/>
      </c>
      <c r="G3275" s="13">
        <f>SUMIFS(Movimentacoes!$G:$G,Movimentacoes!$C:$C,$A3275,Movimentacoes!$E:$E,$C3275,Movimentacoes!$B:$B,"ENTRADA")</f>
        <v/>
      </c>
      <c r="H3275" s="13">
        <f>SUMIFS(Movimentacoes!$G:$G,Movimentacoes!$C:$C,$A3275,Movimentacoes!$E:$E,$C3275,Movimentacoes!$B:$B,"SAIDA_USO")</f>
        <v/>
      </c>
      <c r="I3275" s="13">
        <f>SUMIFS(Movimentacoes!$G:$G,Movimentacoes!$C:$C,$A3275,Movimentacoes!$E:$E,$C3275,Movimentacoes!$B:$B,"SAIDA_DESCARTE")</f>
        <v/>
      </c>
      <c r="J3275" s="13">
        <f>G3275-H3275-I3275</f>
        <v/>
      </c>
      <c r="K3275">
        <f>IF(A3275="","",IF(J3275&lt;=IFERROR(VLOOKUP(A3275,Cadastro_Produtos!$A:$E,5,FALSE),0),"ABAIXO DO MINIMO","OK"))</f>
        <v/>
      </c>
    </row>
    <row r="3276">
      <c r="B3276">
        <f>IFERROR(VLOOKUP(A3276,Cadastro_Produtos!A:B,2,FALSE),"")</f>
        <v/>
      </c>
      <c r="D3276" s="12" t="n"/>
      <c r="E3276" s="13">
        <f>IF(D3276="","",D3276-TODAY())</f>
        <v/>
      </c>
      <c r="F3276">
        <f>IF(D3276="","",IF(E3276&lt;0,"VENCIDO",IF(E3276&lt;=30,"VENCE EM &lt;= 30 DIAS",IF(E3276&lt;=60,"ATENCAO (31-60 DIAS)","OK"))))</f>
        <v/>
      </c>
      <c r="G3276" s="13">
        <f>SUMIFS(Movimentacoes!$G:$G,Movimentacoes!$C:$C,$A3276,Movimentacoes!$E:$E,$C3276,Movimentacoes!$B:$B,"ENTRADA")</f>
        <v/>
      </c>
      <c r="H3276" s="13">
        <f>SUMIFS(Movimentacoes!$G:$G,Movimentacoes!$C:$C,$A3276,Movimentacoes!$E:$E,$C3276,Movimentacoes!$B:$B,"SAIDA_USO")</f>
        <v/>
      </c>
      <c r="I3276" s="13">
        <f>SUMIFS(Movimentacoes!$G:$G,Movimentacoes!$C:$C,$A3276,Movimentacoes!$E:$E,$C3276,Movimentacoes!$B:$B,"SAIDA_DESCARTE")</f>
        <v/>
      </c>
      <c r="J3276" s="13">
        <f>G3276-H3276-I3276</f>
        <v/>
      </c>
      <c r="K3276">
        <f>IF(A3276="","",IF(J3276&lt;=IFERROR(VLOOKUP(A3276,Cadastro_Produtos!$A:$E,5,FALSE),0),"ABAIXO DO MINIMO","OK"))</f>
        <v/>
      </c>
    </row>
    <row r="3277">
      <c r="B3277">
        <f>IFERROR(VLOOKUP(A3277,Cadastro_Produtos!A:B,2,FALSE),"")</f>
        <v/>
      </c>
      <c r="D3277" s="12" t="n"/>
      <c r="E3277" s="13">
        <f>IF(D3277="","",D3277-TODAY())</f>
        <v/>
      </c>
      <c r="F3277">
        <f>IF(D3277="","",IF(E3277&lt;0,"VENCIDO",IF(E3277&lt;=30,"VENCE EM &lt;= 30 DIAS",IF(E3277&lt;=60,"ATENCAO (31-60 DIAS)","OK"))))</f>
        <v/>
      </c>
      <c r="G3277" s="13">
        <f>SUMIFS(Movimentacoes!$G:$G,Movimentacoes!$C:$C,$A3277,Movimentacoes!$E:$E,$C3277,Movimentacoes!$B:$B,"ENTRADA")</f>
        <v/>
      </c>
      <c r="H3277" s="13">
        <f>SUMIFS(Movimentacoes!$G:$G,Movimentacoes!$C:$C,$A3277,Movimentacoes!$E:$E,$C3277,Movimentacoes!$B:$B,"SAIDA_USO")</f>
        <v/>
      </c>
      <c r="I3277" s="13">
        <f>SUMIFS(Movimentacoes!$G:$G,Movimentacoes!$C:$C,$A3277,Movimentacoes!$E:$E,$C3277,Movimentacoes!$B:$B,"SAIDA_DESCARTE")</f>
        <v/>
      </c>
      <c r="J3277" s="13">
        <f>G3277-H3277-I3277</f>
        <v/>
      </c>
      <c r="K3277">
        <f>IF(A3277="","",IF(J3277&lt;=IFERROR(VLOOKUP(A3277,Cadastro_Produtos!$A:$E,5,FALSE),0),"ABAIXO DO MINIMO","OK"))</f>
        <v/>
      </c>
    </row>
    <row r="3278">
      <c r="B3278">
        <f>IFERROR(VLOOKUP(A3278,Cadastro_Produtos!A:B,2,FALSE),"")</f>
        <v/>
      </c>
      <c r="D3278" s="12" t="n"/>
      <c r="E3278" s="13">
        <f>IF(D3278="","",D3278-TODAY())</f>
        <v/>
      </c>
      <c r="F3278">
        <f>IF(D3278="","",IF(E3278&lt;0,"VENCIDO",IF(E3278&lt;=30,"VENCE EM &lt;= 30 DIAS",IF(E3278&lt;=60,"ATENCAO (31-60 DIAS)","OK"))))</f>
        <v/>
      </c>
      <c r="G3278" s="13">
        <f>SUMIFS(Movimentacoes!$G:$G,Movimentacoes!$C:$C,$A3278,Movimentacoes!$E:$E,$C3278,Movimentacoes!$B:$B,"ENTRADA")</f>
        <v/>
      </c>
      <c r="H3278" s="13">
        <f>SUMIFS(Movimentacoes!$G:$G,Movimentacoes!$C:$C,$A3278,Movimentacoes!$E:$E,$C3278,Movimentacoes!$B:$B,"SAIDA_USO")</f>
        <v/>
      </c>
      <c r="I3278" s="13">
        <f>SUMIFS(Movimentacoes!$G:$G,Movimentacoes!$C:$C,$A3278,Movimentacoes!$E:$E,$C3278,Movimentacoes!$B:$B,"SAIDA_DESCARTE")</f>
        <v/>
      </c>
      <c r="J3278" s="13">
        <f>G3278-H3278-I3278</f>
        <v/>
      </c>
      <c r="K3278">
        <f>IF(A3278="","",IF(J3278&lt;=IFERROR(VLOOKUP(A3278,Cadastro_Produtos!$A:$E,5,FALSE),0),"ABAIXO DO MINIMO","OK"))</f>
        <v/>
      </c>
    </row>
    <row r="3279">
      <c r="B3279">
        <f>IFERROR(VLOOKUP(A3279,Cadastro_Produtos!A:B,2,FALSE),"")</f>
        <v/>
      </c>
      <c r="D3279" s="12" t="n"/>
      <c r="E3279" s="13">
        <f>IF(D3279="","",D3279-TODAY())</f>
        <v/>
      </c>
      <c r="F3279">
        <f>IF(D3279="","",IF(E3279&lt;0,"VENCIDO",IF(E3279&lt;=30,"VENCE EM &lt;= 30 DIAS",IF(E3279&lt;=60,"ATENCAO (31-60 DIAS)","OK"))))</f>
        <v/>
      </c>
      <c r="G3279" s="13">
        <f>SUMIFS(Movimentacoes!$G:$G,Movimentacoes!$C:$C,$A3279,Movimentacoes!$E:$E,$C3279,Movimentacoes!$B:$B,"ENTRADA")</f>
        <v/>
      </c>
      <c r="H3279" s="13">
        <f>SUMIFS(Movimentacoes!$G:$G,Movimentacoes!$C:$C,$A3279,Movimentacoes!$E:$E,$C3279,Movimentacoes!$B:$B,"SAIDA_USO")</f>
        <v/>
      </c>
      <c r="I3279" s="13">
        <f>SUMIFS(Movimentacoes!$G:$G,Movimentacoes!$C:$C,$A3279,Movimentacoes!$E:$E,$C3279,Movimentacoes!$B:$B,"SAIDA_DESCARTE")</f>
        <v/>
      </c>
      <c r="J3279" s="13">
        <f>G3279-H3279-I3279</f>
        <v/>
      </c>
      <c r="K3279">
        <f>IF(A3279="","",IF(J3279&lt;=IFERROR(VLOOKUP(A3279,Cadastro_Produtos!$A:$E,5,FALSE),0),"ABAIXO DO MINIMO","OK"))</f>
        <v/>
      </c>
    </row>
    <row r="3280">
      <c r="B3280">
        <f>IFERROR(VLOOKUP(A3280,Cadastro_Produtos!A:B,2,FALSE),"")</f>
        <v/>
      </c>
      <c r="D3280" s="12" t="n"/>
      <c r="E3280" s="13">
        <f>IF(D3280="","",D3280-TODAY())</f>
        <v/>
      </c>
      <c r="F3280">
        <f>IF(D3280="","",IF(E3280&lt;0,"VENCIDO",IF(E3280&lt;=30,"VENCE EM &lt;= 30 DIAS",IF(E3280&lt;=60,"ATENCAO (31-60 DIAS)","OK"))))</f>
        <v/>
      </c>
      <c r="G3280" s="13">
        <f>SUMIFS(Movimentacoes!$G:$G,Movimentacoes!$C:$C,$A3280,Movimentacoes!$E:$E,$C3280,Movimentacoes!$B:$B,"ENTRADA")</f>
        <v/>
      </c>
      <c r="H3280" s="13">
        <f>SUMIFS(Movimentacoes!$G:$G,Movimentacoes!$C:$C,$A3280,Movimentacoes!$E:$E,$C3280,Movimentacoes!$B:$B,"SAIDA_USO")</f>
        <v/>
      </c>
      <c r="I3280" s="13">
        <f>SUMIFS(Movimentacoes!$G:$G,Movimentacoes!$C:$C,$A3280,Movimentacoes!$E:$E,$C3280,Movimentacoes!$B:$B,"SAIDA_DESCARTE")</f>
        <v/>
      </c>
      <c r="J3280" s="13">
        <f>G3280-H3280-I3280</f>
        <v/>
      </c>
      <c r="K3280">
        <f>IF(A3280="","",IF(J3280&lt;=IFERROR(VLOOKUP(A3280,Cadastro_Produtos!$A:$E,5,FALSE),0),"ABAIXO DO MINIMO","OK"))</f>
        <v/>
      </c>
    </row>
    <row r="3281">
      <c r="B3281">
        <f>IFERROR(VLOOKUP(A3281,Cadastro_Produtos!A:B,2,FALSE),"")</f>
        <v/>
      </c>
      <c r="D3281" s="12" t="n"/>
      <c r="E3281" s="13">
        <f>IF(D3281="","",D3281-TODAY())</f>
        <v/>
      </c>
      <c r="F3281">
        <f>IF(D3281="","",IF(E3281&lt;0,"VENCIDO",IF(E3281&lt;=30,"VENCE EM &lt;= 30 DIAS",IF(E3281&lt;=60,"ATENCAO (31-60 DIAS)","OK"))))</f>
        <v/>
      </c>
      <c r="G3281" s="13">
        <f>SUMIFS(Movimentacoes!$G:$G,Movimentacoes!$C:$C,$A3281,Movimentacoes!$E:$E,$C3281,Movimentacoes!$B:$B,"ENTRADA")</f>
        <v/>
      </c>
      <c r="H3281" s="13">
        <f>SUMIFS(Movimentacoes!$G:$G,Movimentacoes!$C:$C,$A3281,Movimentacoes!$E:$E,$C3281,Movimentacoes!$B:$B,"SAIDA_USO")</f>
        <v/>
      </c>
      <c r="I3281" s="13">
        <f>SUMIFS(Movimentacoes!$G:$G,Movimentacoes!$C:$C,$A3281,Movimentacoes!$E:$E,$C3281,Movimentacoes!$B:$B,"SAIDA_DESCARTE")</f>
        <v/>
      </c>
      <c r="J3281" s="13">
        <f>G3281-H3281-I3281</f>
        <v/>
      </c>
      <c r="K3281">
        <f>IF(A3281="","",IF(J3281&lt;=IFERROR(VLOOKUP(A3281,Cadastro_Produtos!$A:$E,5,FALSE),0),"ABAIXO DO MINIMO","OK"))</f>
        <v/>
      </c>
    </row>
    <row r="3282">
      <c r="B3282">
        <f>IFERROR(VLOOKUP(A3282,Cadastro_Produtos!A:B,2,FALSE),"")</f>
        <v/>
      </c>
      <c r="D3282" s="12" t="n"/>
      <c r="E3282" s="13">
        <f>IF(D3282="","",D3282-TODAY())</f>
        <v/>
      </c>
      <c r="F3282">
        <f>IF(D3282="","",IF(E3282&lt;0,"VENCIDO",IF(E3282&lt;=30,"VENCE EM &lt;= 30 DIAS",IF(E3282&lt;=60,"ATENCAO (31-60 DIAS)","OK"))))</f>
        <v/>
      </c>
      <c r="G3282" s="13">
        <f>SUMIFS(Movimentacoes!$G:$G,Movimentacoes!$C:$C,$A3282,Movimentacoes!$E:$E,$C3282,Movimentacoes!$B:$B,"ENTRADA")</f>
        <v/>
      </c>
      <c r="H3282" s="13">
        <f>SUMIFS(Movimentacoes!$G:$G,Movimentacoes!$C:$C,$A3282,Movimentacoes!$E:$E,$C3282,Movimentacoes!$B:$B,"SAIDA_USO")</f>
        <v/>
      </c>
      <c r="I3282" s="13">
        <f>SUMIFS(Movimentacoes!$G:$G,Movimentacoes!$C:$C,$A3282,Movimentacoes!$E:$E,$C3282,Movimentacoes!$B:$B,"SAIDA_DESCARTE")</f>
        <v/>
      </c>
      <c r="J3282" s="13">
        <f>G3282-H3282-I3282</f>
        <v/>
      </c>
      <c r="K3282">
        <f>IF(A3282="","",IF(J3282&lt;=IFERROR(VLOOKUP(A3282,Cadastro_Produtos!$A:$E,5,FALSE),0),"ABAIXO DO MINIMO","OK"))</f>
        <v/>
      </c>
    </row>
    <row r="3283">
      <c r="B3283">
        <f>IFERROR(VLOOKUP(A3283,Cadastro_Produtos!A:B,2,FALSE),"")</f>
        <v/>
      </c>
      <c r="D3283" s="12" t="n"/>
      <c r="E3283" s="13">
        <f>IF(D3283="","",D3283-TODAY())</f>
        <v/>
      </c>
      <c r="F3283">
        <f>IF(D3283="","",IF(E3283&lt;0,"VENCIDO",IF(E3283&lt;=30,"VENCE EM &lt;= 30 DIAS",IF(E3283&lt;=60,"ATENCAO (31-60 DIAS)","OK"))))</f>
        <v/>
      </c>
      <c r="G3283" s="13">
        <f>SUMIFS(Movimentacoes!$G:$G,Movimentacoes!$C:$C,$A3283,Movimentacoes!$E:$E,$C3283,Movimentacoes!$B:$B,"ENTRADA")</f>
        <v/>
      </c>
      <c r="H3283" s="13">
        <f>SUMIFS(Movimentacoes!$G:$G,Movimentacoes!$C:$C,$A3283,Movimentacoes!$E:$E,$C3283,Movimentacoes!$B:$B,"SAIDA_USO")</f>
        <v/>
      </c>
      <c r="I3283" s="13">
        <f>SUMIFS(Movimentacoes!$G:$G,Movimentacoes!$C:$C,$A3283,Movimentacoes!$E:$E,$C3283,Movimentacoes!$B:$B,"SAIDA_DESCARTE")</f>
        <v/>
      </c>
      <c r="J3283" s="13">
        <f>G3283-H3283-I3283</f>
        <v/>
      </c>
      <c r="K3283">
        <f>IF(A3283="","",IF(J3283&lt;=IFERROR(VLOOKUP(A3283,Cadastro_Produtos!$A:$E,5,FALSE),0),"ABAIXO DO MINIMO","OK"))</f>
        <v/>
      </c>
    </row>
    <row r="3284">
      <c r="B3284">
        <f>IFERROR(VLOOKUP(A3284,Cadastro_Produtos!A:B,2,FALSE),"")</f>
        <v/>
      </c>
      <c r="D3284" s="12" t="n"/>
      <c r="E3284" s="13">
        <f>IF(D3284="","",D3284-TODAY())</f>
        <v/>
      </c>
      <c r="F3284">
        <f>IF(D3284="","",IF(E3284&lt;0,"VENCIDO",IF(E3284&lt;=30,"VENCE EM &lt;= 30 DIAS",IF(E3284&lt;=60,"ATENCAO (31-60 DIAS)","OK"))))</f>
        <v/>
      </c>
      <c r="G3284" s="13">
        <f>SUMIFS(Movimentacoes!$G:$G,Movimentacoes!$C:$C,$A3284,Movimentacoes!$E:$E,$C3284,Movimentacoes!$B:$B,"ENTRADA")</f>
        <v/>
      </c>
      <c r="H3284" s="13">
        <f>SUMIFS(Movimentacoes!$G:$G,Movimentacoes!$C:$C,$A3284,Movimentacoes!$E:$E,$C3284,Movimentacoes!$B:$B,"SAIDA_USO")</f>
        <v/>
      </c>
      <c r="I3284" s="13">
        <f>SUMIFS(Movimentacoes!$G:$G,Movimentacoes!$C:$C,$A3284,Movimentacoes!$E:$E,$C3284,Movimentacoes!$B:$B,"SAIDA_DESCARTE")</f>
        <v/>
      </c>
      <c r="J3284" s="13">
        <f>G3284-H3284-I3284</f>
        <v/>
      </c>
      <c r="K3284">
        <f>IF(A3284="","",IF(J3284&lt;=IFERROR(VLOOKUP(A3284,Cadastro_Produtos!$A:$E,5,FALSE),0),"ABAIXO DO MINIMO","OK"))</f>
        <v/>
      </c>
    </row>
    <row r="3285">
      <c r="B3285">
        <f>IFERROR(VLOOKUP(A3285,Cadastro_Produtos!A:B,2,FALSE),"")</f>
        <v/>
      </c>
      <c r="D3285" s="12" t="n"/>
      <c r="E3285" s="13">
        <f>IF(D3285="","",D3285-TODAY())</f>
        <v/>
      </c>
      <c r="F3285">
        <f>IF(D3285="","",IF(E3285&lt;0,"VENCIDO",IF(E3285&lt;=30,"VENCE EM &lt;= 30 DIAS",IF(E3285&lt;=60,"ATENCAO (31-60 DIAS)","OK"))))</f>
        <v/>
      </c>
      <c r="G3285" s="13">
        <f>SUMIFS(Movimentacoes!$G:$G,Movimentacoes!$C:$C,$A3285,Movimentacoes!$E:$E,$C3285,Movimentacoes!$B:$B,"ENTRADA")</f>
        <v/>
      </c>
      <c r="H3285" s="13">
        <f>SUMIFS(Movimentacoes!$G:$G,Movimentacoes!$C:$C,$A3285,Movimentacoes!$E:$E,$C3285,Movimentacoes!$B:$B,"SAIDA_USO")</f>
        <v/>
      </c>
      <c r="I3285" s="13">
        <f>SUMIFS(Movimentacoes!$G:$G,Movimentacoes!$C:$C,$A3285,Movimentacoes!$E:$E,$C3285,Movimentacoes!$B:$B,"SAIDA_DESCARTE")</f>
        <v/>
      </c>
      <c r="J3285" s="13">
        <f>G3285-H3285-I3285</f>
        <v/>
      </c>
      <c r="K3285">
        <f>IF(A3285="","",IF(J3285&lt;=IFERROR(VLOOKUP(A3285,Cadastro_Produtos!$A:$E,5,FALSE),0),"ABAIXO DO MINIMO","OK"))</f>
        <v/>
      </c>
    </row>
    <row r="3286">
      <c r="B3286">
        <f>IFERROR(VLOOKUP(A3286,Cadastro_Produtos!A:B,2,FALSE),"")</f>
        <v/>
      </c>
      <c r="D3286" s="12" t="n"/>
      <c r="E3286" s="13">
        <f>IF(D3286="","",D3286-TODAY())</f>
        <v/>
      </c>
      <c r="F3286">
        <f>IF(D3286="","",IF(E3286&lt;0,"VENCIDO",IF(E3286&lt;=30,"VENCE EM &lt;= 30 DIAS",IF(E3286&lt;=60,"ATENCAO (31-60 DIAS)","OK"))))</f>
        <v/>
      </c>
      <c r="G3286" s="13">
        <f>SUMIFS(Movimentacoes!$G:$G,Movimentacoes!$C:$C,$A3286,Movimentacoes!$E:$E,$C3286,Movimentacoes!$B:$B,"ENTRADA")</f>
        <v/>
      </c>
      <c r="H3286" s="13">
        <f>SUMIFS(Movimentacoes!$G:$G,Movimentacoes!$C:$C,$A3286,Movimentacoes!$E:$E,$C3286,Movimentacoes!$B:$B,"SAIDA_USO")</f>
        <v/>
      </c>
      <c r="I3286" s="13">
        <f>SUMIFS(Movimentacoes!$G:$G,Movimentacoes!$C:$C,$A3286,Movimentacoes!$E:$E,$C3286,Movimentacoes!$B:$B,"SAIDA_DESCARTE")</f>
        <v/>
      </c>
      <c r="J3286" s="13">
        <f>G3286-H3286-I3286</f>
        <v/>
      </c>
      <c r="K3286">
        <f>IF(A3286="","",IF(J3286&lt;=IFERROR(VLOOKUP(A3286,Cadastro_Produtos!$A:$E,5,FALSE),0),"ABAIXO DO MINIMO","OK"))</f>
        <v/>
      </c>
    </row>
    <row r="3287">
      <c r="B3287">
        <f>IFERROR(VLOOKUP(A3287,Cadastro_Produtos!A:B,2,FALSE),"")</f>
        <v/>
      </c>
      <c r="D3287" s="12" t="n"/>
      <c r="E3287" s="13">
        <f>IF(D3287="","",D3287-TODAY())</f>
        <v/>
      </c>
      <c r="F3287">
        <f>IF(D3287="","",IF(E3287&lt;0,"VENCIDO",IF(E3287&lt;=30,"VENCE EM &lt;= 30 DIAS",IF(E3287&lt;=60,"ATENCAO (31-60 DIAS)","OK"))))</f>
        <v/>
      </c>
      <c r="G3287" s="13">
        <f>SUMIFS(Movimentacoes!$G:$G,Movimentacoes!$C:$C,$A3287,Movimentacoes!$E:$E,$C3287,Movimentacoes!$B:$B,"ENTRADA")</f>
        <v/>
      </c>
      <c r="H3287" s="13">
        <f>SUMIFS(Movimentacoes!$G:$G,Movimentacoes!$C:$C,$A3287,Movimentacoes!$E:$E,$C3287,Movimentacoes!$B:$B,"SAIDA_USO")</f>
        <v/>
      </c>
      <c r="I3287" s="13">
        <f>SUMIFS(Movimentacoes!$G:$G,Movimentacoes!$C:$C,$A3287,Movimentacoes!$E:$E,$C3287,Movimentacoes!$B:$B,"SAIDA_DESCARTE")</f>
        <v/>
      </c>
      <c r="J3287" s="13">
        <f>G3287-H3287-I3287</f>
        <v/>
      </c>
      <c r="K3287">
        <f>IF(A3287="","",IF(J3287&lt;=IFERROR(VLOOKUP(A3287,Cadastro_Produtos!$A:$E,5,FALSE),0),"ABAIXO DO MINIMO","OK"))</f>
        <v/>
      </c>
    </row>
    <row r="3288">
      <c r="B3288">
        <f>IFERROR(VLOOKUP(A3288,Cadastro_Produtos!A:B,2,FALSE),"")</f>
        <v/>
      </c>
      <c r="D3288" s="12" t="n"/>
      <c r="E3288" s="13">
        <f>IF(D3288="","",D3288-TODAY())</f>
        <v/>
      </c>
      <c r="F3288">
        <f>IF(D3288="","",IF(E3288&lt;0,"VENCIDO",IF(E3288&lt;=30,"VENCE EM &lt;= 30 DIAS",IF(E3288&lt;=60,"ATENCAO (31-60 DIAS)","OK"))))</f>
        <v/>
      </c>
      <c r="G3288" s="13">
        <f>SUMIFS(Movimentacoes!$G:$G,Movimentacoes!$C:$C,$A3288,Movimentacoes!$E:$E,$C3288,Movimentacoes!$B:$B,"ENTRADA")</f>
        <v/>
      </c>
      <c r="H3288" s="13">
        <f>SUMIFS(Movimentacoes!$G:$G,Movimentacoes!$C:$C,$A3288,Movimentacoes!$E:$E,$C3288,Movimentacoes!$B:$B,"SAIDA_USO")</f>
        <v/>
      </c>
      <c r="I3288" s="13">
        <f>SUMIFS(Movimentacoes!$G:$G,Movimentacoes!$C:$C,$A3288,Movimentacoes!$E:$E,$C3288,Movimentacoes!$B:$B,"SAIDA_DESCARTE")</f>
        <v/>
      </c>
      <c r="J3288" s="13">
        <f>G3288-H3288-I3288</f>
        <v/>
      </c>
      <c r="K3288">
        <f>IF(A3288="","",IF(J3288&lt;=IFERROR(VLOOKUP(A3288,Cadastro_Produtos!$A:$E,5,FALSE),0),"ABAIXO DO MINIMO","OK"))</f>
        <v/>
      </c>
    </row>
    <row r="3289">
      <c r="B3289">
        <f>IFERROR(VLOOKUP(A3289,Cadastro_Produtos!A:B,2,FALSE),"")</f>
        <v/>
      </c>
      <c r="D3289" s="12" t="n"/>
      <c r="E3289" s="13">
        <f>IF(D3289="","",D3289-TODAY())</f>
        <v/>
      </c>
      <c r="F3289">
        <f>IF(D3289="","",IF(E3289&lt;0,"VENCIDO",IF(E3289&lt;=30,"VENCE EM &lt;= 30 DIAS",IF(E3289&lt;=60,"ATENCAO (31-60 DIAS)","OK"))))</f>
        <v/>
      </c>
      <c r="G3289" s="13">
        <f>SUMIFS(Movimentacoes!$G:$G,Movimentacoes!$C:$C,$A3289,Movimentacoes!$E:$E,$C3289,Movimentacoes!$B:$B,"ENTRADA")</f>
        <v/>
      </c>
      <c r="H3289" s="13">
        <f>SUMIFS(Movimentacoes!$G:$G,Movimentacoes!$C:$C,$A3289,Movimentacoes!$E:$E,$C3289,Movimentacoes!$B:$B,"SAIDA_USO")</f>
        <v/>
      </c>
      <c r="I3289" s="13">
        <f>SUMIFS(Movimentacoes!$G:$G,Movimentacoes!$C:$C,$A3289,Movimentacoes!$E:$E,$C3289,Movimentacoes!$B:$B,"SAIDA_DESCARTE")</f>
        <v/>
      </c>
      <c r="J3289" s="13">
        <f>G3289-H3289-I3289</f>
        <v/>
      </c>
      <c r="K3289">
        <f>IF(A3289="","",IF(J3289&lt;=IFERROR(VLOOKUP(A3289,Cadastro_Produtos!$A:$E,5,FALSE),0),"ABAIXO DO MINIMO","OK"))</f>
        <v/>
      </c>
    </row>
    <row r="3290">
      <c r="B3290">
        <f>IFERROR(VLOOKUP(A3290,Cadastro_Produtos!A:B,2,FALSE),"")</f>
        <v/>
      </c>
      <c r="D3290" s="12" t="n"/>
      <c r="E3290" s="13">
        <f>IF(D3290="","",D3290-TODAY())</f>
        <v/>
      </c>
      <c r="F3290">
        <f>IF(D3290="","",IF(E3290&lt;0,"VENCIDO",IF(E3290&lt;=30,"VENCE EM &lt;= 30 DIAS",IF(E3290&lt;=60,"ATENCAO (31-60 DIAS)","OK"))))</f>
        <v/>
      </c>
      <c r="G3290" s="13">
        <f>SUMIFS(Movimentacoes!$G:$G,Movimentacoes!$C:$C,$A3290,Movimentacoes!$E:$E,$C3290,Movimentacoes!$B:$B,"ENTRADA")</f>
        <v/>
      </c>
      <c r="H3290" s="13">
        <f>SUMIFS(Movimentacoes!$G:$G,Movimentacoes!$C:$C,$A3290,Movimentacoes!$E:$E,$C3290,Movimentacoes!$B:$B,"SAIDA_USO")</f>
        <v/>
      </c>
      <c r="I3290" s="13">
        <f>SUMIFS(Movimentacoes!$G:$G,Movimentacoes!$C:$C,$A3290,Movimentacoes!$E:$E,$C3290,Movimentacoes!$B:$B,"SAIDA_DESCARTE")</f>
        <v/>
      </c>
      <c r="J3290" s="13">
        <f>G3290-H3290-I3290</f>
        <v/>
      </c>
      <c r="K3290">
        <f>IF(A3290="","",IF(J3290&lt;=IFERROR(VLOOKUP(A3290,Cadastro_Produtos!$A:$E,5,FALSE),0),"ABAIXO DO MINIMO","OK"))</f>
        <v/>
      </c>
    </row>
    <row r="3291">
      <c r="B3291">
        <f>IFERROR(VLOOKUP(A3291,Cadastro_Produtos!A:B,2,FALSE),"")</f>
        <v/>
      </c>
      <c r="D3291" s="12" t="n"/>
      <c r="E3291" s="13">
        <f>IF(D3291="","",D3291-TODAY())</f>
        <v/>
      </c>
      <c r="F3291">
        <f>IF(D3291="","",IF(E3291&lt;0,"VENCIDO",IF(E3291&lt;=30,"VENCE EM &lt;= 30 DIAS",IF(E3291&lt;=60,"ATENCAO (31-60 DIAS)","OK"))))</f>
        <v/>
      </c>
      <c r="G3291" s="13">
        <f>SUMIFS(Movimentacoes!$G:$G,Movimentacoes!$C:$C,$A3291,Movimentacoes!$E:$E,$C3291,Movimentacoes!$B:$B,"ENTRADA")</f>
        <v/>
      </c>
      <c r="H3291" s="13">
        <f>SUMIFS(Movimentacoes!$G:$G,Movimentacoes!$C:$C,$A3291,Movimentacoes!$E:$E,$C3291,Movimentacoes!$B:$B,"SAIDA_USO")</f>
        <v/>
      </c>
      <c r="I3291" s="13">
        <f>SUMIFS(Movimentacoes!$G:$G,Movimentacoes!$C:$C,$A3291,Movimentacoes!$E:$E,$C3291,Movimentacoes!$B:$B,"SAIDA_DESCARTE")</f>
        <v/>
      </c>
      <c r="J3291" s="13">
        <f>G3291-H3291-I3291</f>
        <v/>
      </c>
      <c r="K3291">
        <f>IF(A3291="","",IF(J3291&lt;=IFERROR(VLOOKUP(A3291,Cadastro_Produtos!$A:$E,5,FALSE),0),"ABAIXO DO MINIMO","OK"))</f>
        <v/>
      </c>
    </row>
    <row r="3292">
      <c r="B3292">
        <f>IFERROR(VLOOKUP(A3292,Cadastro_Produtos!A:B,2,FALSE),"")</f>
        <v/>
      </c>
      <c r="D3292" s="12" t="n"/>
      <c r="E3292" s="13">
        <f>IF(D3292="","",D3292-TODAY())</f>
        <v/>
      </c>
      <c r="F3292">
        <f>IF(D3292="","",IF(E3292&lt;0,"VENCIDO",IF(E3292&lt;=30,"VENCE EM &lt;= 30 DIAS",IF(E3292&lt;=60,"ATENCAO (31-60 DIAS)","OK"))))</f>
        <v/>
      </c>
      <c r="G3292" s="13">
        <f>SUMIFS(Movimentacoes!$G:$G,Movimentacoes!$C:$C,$A3292,Movimentacoes!$E:$E,$C3292,Movimentacoes!$B:$B,"ENTRADA")</f>
        <v/>
      </c>
      <c r="H3292" s="13">
        <f>SUMIFS(Movimentacoes!$G:$G,Movimentacoes!$C:$C,$A3292,Movimentacoes!$E:$E,$C3292,Movimentacoes!$B:$B,"SAIDA_USO")</f>
        <v/>
      </c>
      <c r="I3292" s="13">
        <f>SUMIFS(Movimentacoes!$G:$G,Movimentacoes!$C:$C,$A3292,Movimentacoes!$E:$E,$C3292,Movimentacoes!$B:$B,"SAIDA_DESCARTE")</f>
        <v/>
      </c>
      <c r="J3292" s="13">
        <f>G3292-H3292-I3292</f>
        <v/>
      </c>
      <c r="K3292">
        <f>IF(A3292="","",IF(J3292&lt;=IFERROR(VLOOKUP(A3292,Cadastro_Produtos!$A:$E,5,FALSE),0),"ABAIXO DO MINIMO","OK"))</f>
        <v/>
      </c>
    </row>
    <row r="3293">
      <c r="B3293">
        <f>IFERROR(VLOOKUP(A3293,Cadastro_Produtos!A:B,2,FALSE),"")</f>
        <v/>
      </c>
      <c r="D3293" s="12" t="n"/>
      <c r="E3293" s="13">
        <f>IF(D3293="","",D3293-TODAY())</f>
        <v/>
      </c>
      <c r="F3293">
        <f>IF(D3293="","",IF(E3293&lt;0,"VENCIDO",IF(E3293&lt;=30,"VENCE EM &lt;= 30 DIAS",IF(E3293&lt;=60,"ATENCAO (31-60 DIAS)","OK"))))</f>
        <v/>
      </c>
      <c r="G3293" s="13">
        <f>SUMIFS(Movimentacoes!$G:$G,Movimentacoes!$C:$C,$A3293,Movimentacoes!$E:$E,$C3293,Movimentacoes!$B:$B,"ENTRADA")</f>
        <v/>
      </c>
      <c r="H3293" s="13">
        <f>SUMIFS(Movimentacoes!$G:$G,Movimentacoes!$C:$C,$A3293,Movimentacoes!$E:$E,$C3293,Movimentacoes!$B:$B,"SAIDA_USO")</f>
        <v/>
      </c>
      <c r="I3293" s="13">
        <f>SUMIFS(Movimentacoes!$G:$G,Movimentacoes!$C:$C,$A3293,Movimentacoes!$E:$E,$C3293,Movimentacoes!$B:$B,"SAIDA_DESCARTE")</f>
        <v/>
      </c>
      <c r="J3293" s="13">
        <f>G3293-H3293-I3293</f>
        <v/>
      </c>
      <c r="K3293">
        <f>IF(A3293="","",IF(J3293&lt;=IFERROR(VLOOKUP(A3293,Cadastro_Produtos!$A:$E,5,FALSE),0),"ABAIXO DO MINIMO","OK"))</f>
        <v/>
      </c>
    </row>
    <row r="3294">
      <c r="B3294">
        <f>IFERROR(VLOOKUP(A3294,Cadastro_Produtos!A:B,2,FALSE),"")</f>
        <v/>
      </c>
      <c r="D3294" s="12" t="n"/>
      <c r="E3294" s="13">
        <f>IF(D3294="","",D3294-TODAY())</f>
        <v/>
      </c>
      <c r="F3294">
        <f>IF(D3294="","",IF(E3294&lt;0,"VENCIDO",IF(E3294&lt;=30,"VENCE EM &lt;= 30 DIAS",IF(E3294&lt;=60,"ATENCAO (31-60 DIAS)","OK"))))</f>
        <v/>
      </c>
      <c r="G3294" s="13">
        <f>SUMIFS(Movimentacoes!$G:$G,Movimentacoes!$C:$C,$A3294,Movimentacoes!$E:$E,$C3294,Movimentacoes!$B:$B,"ENTRADA")</f>
        <v/>
      </c>
      <c r="H3294" s="13">
        <f>SUMIFS(Movimentacoes!$G:$G,Movimentacoes!$C:$C,$A3294,Movimentacoes!$E:$E,$C3294,Movimentacoes!$B:$B,"SAIDA_USO")</f>
        <v/>
      </c>
      <c r="I3294" s="13">
        <f>SUMIFS(Movimentacoes!$G:$G,Movimentacoes!$C:$C,$A3294,Movimentacoes!$E:$E,$C3294,Movimentacoes!$B:$B,"SAIDA_DESCARTE")</f>
        <v/>
      </c>
      <c r="J3294" s="13">
        <f>G3294-H3294-I3294</f>
        <v/>
      </c>
      <c r="K3294">
        <f>IF(A3294="","",IF(J3294&lt;=IFERROR(VLOOKUP(A3294,Cadastro_Produtos!$A:$E,5,FALSE),0),"ABAIXO DO MINIMO","OK"))</f>
        <v/>
      </c>
    </row>
    <row r="3295">
      <c r="B3295">
        <f>IFERROR(VLOOKUP(A3295,Cadastro_Produtos!A:B,2,FALSE),"")</f>
        <v/>
      </c>
      <c r="D3295" s="12" t="n"/>
      <c r="E3295" s="13">
        <f>IF(D3295="","",D3295-TODAY())</f>
        <v/>
      </c>
      <c r="F3295">
        <f>IF(D3295="","",IF(E3295&lt;0,"VENCIDO",IF(E3295&lt;=30,"VENCE EM &lt;= 30 DIAS",IF(E3295&lt;=60,"ATENCAO (31-60 DIAS)","OK"))))</f>
        <v/>
      </c>
      <c r="G3295" s="13">
        <f>SUMIFS(Movimentacoes!$G:$G,Movimentacoes!$C:$C,$A3295,Movimentacoes!$E:$E,$C3295,Movimentacoes!$B:$B,"ENTRADA")</f>
        <v/>
      </c>
      <c r="H3295" s="13">
        <f>SUMIFS(Movimentacoes!$G:$G,Movimentacoes!$C:$C,$A3295,Movimentacoes!$E:$E,$C3295,Movimentacoes!$B:$B,"SAIDA_USO")</f>
        <v/>
      </c>
      <c r="I3295" s="13">
        <f>SUMIFS(Movimentacoes!$G:$G,Movimentacoes!$C:$C,$A3295,Movimentacoes!$E:$E,$C3295,Movimentacoes!$B:$B,"SAIDA_DESCARTE")</f>
        <v/>
      </c>
      <c r="J3295" s="13">
        <f>G3295-H3295-I3295</f>
        <v/>
      </c>
      <c r="K3295">
        <f>IF(A3295="","",IF(J3295&lt;=IFERROR(VLOOKUP(A3295,Cadastro_Produtos!$A:$E,5,FALSE),0),"ABAIXO DO MINIMO","OK"))</f>
        <v/>
      </c>
    </row>
    <row r="3296">
      <c r="B3296">
        <f>IFERROR(VLOOKUP(A3296,Cadastro_Produtos!A:B,2,FALSE),"")</f>
        <v/>
      </c>
      <c r="D3296" s="12" t="n"/>
      <c r="E3296" s="13">
        <f>IF(D3296="","",D3296-TODAY())</f>
        <v/>
      </c>
      <c r="F3296">
        <f>IF(D3296="","",IF(E3296&lt;0,"VENCIDO",IF(E3296&lt;=30,"VENCE EM &lt;= 30 DIAS",IF(E3296&lt;=60,"ATENCAO (31-60 DIAS)","OK"))))</f>
        <v/>
      </c>
      <c r="G3296" s="13">
        <f>SUMIFS(Movimentacoes!$G:$G,Movimentacoes!$C:$C,$A3296,Movimentacoes!$E:$E,$C3296,Movimentacoes!$B:$B,"ENTRADA")</f>
        <v/>
      </c>
      <c r="H3296" s="13">
        <f>SUMIFS(Movimentacoes!$G:$G,Movimentacoes!$C:$C,$A3296,Movimentacoes!$E:$E,$C3296,Movimentacoes!$B:$B,"SAIDA_USO")</f>
        <v/>
      </c>
      <c r="I3296" s="13">
        <f>SUMIFS(Movimentacoes!$G:$G,Movimentacoes!$C:$C,$A3296,Movimentacoes!$E:$E,$C3296,Movimentacoes!$B:$B,"SAIDA_DESCARTE")</f>
        <v/>
      </c>
      <c r="J3296" s="13">
        <f>G3296-H3296-I3296</f>
        <v/>
      </c>
      <c r="K3296">
        <f>IF(A3296="","",IF(J3296&lt;=IFERROR(VLOOKUP(A3296,Cadastro_Produtos!$A:$E,5,FALSE),0),"ABAIXO DO MINIMO","OK"))</f>
        <v/>
      </c>
    </row>
    <row r="3297">
      <c r="B3297">
        <f>IFERROR(VLOOKUP(A3297,Cadastro_Produtos!A:B,2,FALSE),"")</f>
        <v/>
      </c>
      <c r="D3297" s="12" t="n"/>
      <c r="E3297" s="13">
        <f>IF(D3297="","",D3297-TODAY())</f>
        <v/>
      </c>
      <c r="F3297">
        <f>IF(D3297="","",IF(E3297&lt;0,"VENCIDO",IF(E3297&lt;=30,"VENCE EM &lt;= 30 DIAS",IF(E3297&lt;=60,"ATENCAO (31-60 DIAS)","OK"))))</f>
        <v/>
      </c>
      <c r="G3297" s="13">
        <f>SUMIFS(Movimentacoes!$G:$G,Movimentacoes!$C:$C,$A3297,Movimentacoes!$E:$E,$C3297,Movimentacoes!$B:$B,"ENTRADA")</f>
        <v/>
      </c>
      <c r="H3297" s="13">
        <f>SUMIFS(Movimentacoes!$G:$G,Movimentacoes!$C:$C,$A3297,Movimentacoes!$E:$E,$C3297,Movimentacoes!$B:$B,"SAIDA_USO")</f>
        <v/>
      </c>
      <c r="I3297" s="13">
        <f>SUMIFS(Movimentacoes!$G:$G,Movimentacoes!$C:$C,$A3297,Movimentacoes!$E:$E,$C3297,Movimentacoes!$B:$B,"SAIDA_DESCARTE")</f>
        <v/>
      </c>
      <c r="J3297" s="13">
        <f>G3297-H3297-I3297</f>
        <v/>
      </c>
      <c r="K3297">
        <f>IF(A3297="","",IF(J3297&lt;=IFERROR(VLOOKUP(A3297,Cadastro_Produtos!$A:$E,5,FALSE),0),"ABAIXO DO MINIMO","OK"))</f>
        <v/>
      </c>
    </row>
    <row r="3298">
      <c r="B3298">
        <f>IFERROR(VLOOKUP(A3298,Cadastro_Produtos!A:B,2,FALSE),"")</f>
        <v/>
      </c>
      <c r="D3298" s="12" t="n"/>
      <c r="E3298" s="13">
        <f>IF(D3298="","",D3298-TODAY())</f>
        <v/>
      </c>
      <c r="F3298">
        <f>IF(D3298="","",IF(E3298&lt;0,"VENCIDO",IF(E3298&lt;=30,"VENCE EM &lt;= 30 DIAS",IF(E3298&lt;=60,"ATENCAO (31-60 DIAS)","OK"))))</f>
        <v/>
      </c>
      <c r="G3298" s="13">
        <f>SUMIFS(Movimentacoes!$G:$G,Movimentacoes!$C:$C,$A3298,Movimentacoes!$E:$E,$C3298,Movimentacoes!$B:$B,"ENTRADA")</f>
        <v/>
      </c>
      <c r="H3298" s="13">
        <f>SUMIFS(Movimentacoes!$G:$G,Movimentacoes!$C:$C,$A3298,Movimentacoes!$E:$E,$C3298,Movimentacoes!$B:$B,"SAIDA_USO")</f>
        <v/>
      </c>
      <c r="I3298" s="13">
        <f>SUMIFS(Movimentacoes!$G:$G,Movimentacoes!$C:$C,$A3298,Movimentacoes!$E:$E,$C3298,Movimentacoes!$B:$B,"SAIDA_DESCARTE")</f>
        <v/>
      </c>
      <c r="J3298" s="13">
        <f>G3298-H3298-I3298</f>
        <v/>
      </c>
      <c r="K3298">
        <f>IF(A3298="","",IF(J3298&lt;=IFERROR(VLOOKUP(A3298,Cadastro_Produtos!$A:$E,5,FALSE),0),"ABAIXO DO MINIMO","OK"))</f>
        <v/>
      </c>
    </row>
    <row r="3299">
      <c r="B3299">
        <f>IFERROR(VLOOKUP(A3299,Cadastro_Produtos!A:B,2,FALSE),"")</f>
        <v/>
      </c>
      <c r="D3299" s="12" t="n"/>
      <c r="E3299" s="13">
        <f>IF(D3299="","",D3299-TODAY())</f>
        <v/>
      </c>
      <c r="F3299">
        <f>IF(D3299="","",IF(E3299&lt;0,"VENCIDO",IF(E3299&lt;=30,"VENCE EM &lt;= 30 DIAS",IF(E3299&lt;=60,"ATENCAO (31-60 DIAS)","OK"))))</f>
        <v/>
      </c>
      <c r="G3299" s="13">
        <f>SUMIFS(Movimentacoes!$G:$G,Movimentacoes!$C:$C,$A3299,Movimentacoes!$E:$E,$C3299,Movimentacoes!$B:$B,"ENTRADA")</f>
        <v/>
      </c>
      <c r="H3299" s="13">
        <f>SUMIFS(Movimentacoes!$G:$G,Movimentacoes!$C:$C,$A3299,Movimentacoes!$E:$E,$C3299,Movimentacoes!$B:$B,"SAIDA_USO")</f>
        <v/>
      </c>
      <c r="I3299" s="13">
        <f>SUMIFS(Movimentacoes!$G:$G,Movimentacoes!$C:$C,$A3299,Movimentacoes!$E:$E,$C3299,Movimentacoes!$B:$B,"SAIDA_DESCARTE")</f>
        <v/>
      </c>
      <c r="J3299" s="13">
        <f>G3299-H3299-I3299</f>
        <v/>
      </c>
      <c r="K3299">
        <f>IF(A3299="","",IF(J3299&lt;=IFERROR(VLOOKUP(A3299,Cadastro_Produtos!$A:$E,5,FALSE),0),"ABAIXO DO MINIMO","OK"))</f>
        <v/>
      </c>
    </row>
    <row r="3300">
      <c r="B3300">
        <f>IFERROR(VLOOKUP(A3300,Cadastro_Produtos!A:B,2,FALSE),"")</f>
        <v/>
      </c>
      <c r="D3300" s="12" t="n"/>
      <c r="E3300" s="13">
        <f>IF(D3300="","",D3300-TODAY())</f>
        <v/>
      </c>
      <c r="F3300">
        <f>IF(D3300="","",IF(E3300&lt;0,"VENCIDO",IF(E3300&lt;=30,"VENCE EM &lt;= 30 DIAS",IF(E3300&lt;=60,"ATENCAO (31-60 DIAS)","OK"))))</f>
        <v/>
      </c>
      <c r="G3300" s="13">
        <f>SUMIFS(Movimentacoes!$G:$G,Movimentacoes!$C:$C,$A3300,Movimentacoes!$E:$E,$C3300,Movimentacoes!$B:$B,"ENTRADA")</f>
        <v/>
      </c>
      <c r="H3300" s="13">
        <f>SUMIFS(Movimentacoes!$G:$G,Movimentacoes!$C:$C,$A3300,Movimentacoes!$E:$E,$C3300,Movimentacoes!$B:$B,"SAIDA_USO")</f>
        <v/>
      </c>
      <c r="I3300" s="13">
        <f>SUMIFS(Movimentacoes!$G:$G,Movimentacoes!$C:$C,$A3300,Movimentacoes!$E:$E,$C3300,Movimentacoes!$B:$B,"SAIDA_DESCARTE")</f>
        <v/>
      </c>
      <c r="J3300" s="13">
        <f>G3300-H3300-I3300</f>
        <v/>
      </c>
      <c r="K3300">
        <f>IF(A3300="","",IF(J3300&lt;=IFERROR(VLOOKUP(A3300,Cadastro_Produtos!$A:$E,5,FALSE),0),"ABAIXO DO MINIMO","OK"))</f>
        <v/>
      </c>
    </row>
    <row r="3301">
      <c r="B3301">
        <f>IFERROR(VLOOKUP(A3301,Cadastro_Produtos!A:B,2,FALSE),"")</f>
        <v/>
      </c>
      <c r="D3301" s="12" t="n"/>
      <c r="E3301" s="13">
        <f>IF(D3301="","",D3301-TODAY())</f>
        <v/>
      </c>
      <c r="F3301">
        <f>IF(D3301="","",IF(E3301&lt;0,"VENCIDO",IF(E3301&lt;=30,"VENCE EM &lt;= 30 DIAS",IF(E3301&lt;=60,"ATENCAO (31-60 DIAS)","OK"))))</f>
        <v/>
      </c>
      <c r="G3301" s="13">
        <f>SUMIFS(Movimentacoes!$G:$G,Movimentacoes!$C:$C,$A3301,Movimentacoes!$E:$E,$C3301,Movimentacoes!$B:$B,"ENTRADA")</f>
        <v/>
      </c>
      <c r="H3301" s="13">
        <f>SUMIFS(Movimentacoes!$G:$G,Movimentacoes!$C:$C,$A3301,Movimentacoes!$E:$E,$C3301,Movimentacoes!$B:$B,"SAIDA_USO")</f>
        <v/>
      </c>
      <c r="I3301" s="13">
        <f>SUMIFS(Movimentacoes!$G:$G,Movimentacoes!$C:$C,$A3301,Movimentacoes!$E:$E,$C3301,Movimentacoes!$B:$B,"SAIDA_DESCARTE")</f>
        <v/>
      </c>
      <c r="J3301" s="13">
        <f>G3301-H3301-I3301</f>
        <v/>
      </c>
      <c r="K3301">
        <f>IF(A3301="","",IF(J3301&lt;=IFERROR(VLOOKUP(A3301,Cadastro_Produtos!$A:$E,5,FALSE),0),"ABAIXO DO MINIMO","OK"))</f>
        <v/>
      </c>
    </row>
    <row r="3302">
      <c r="B3302">
        <f>IFERROR(VLOOKUP(A3302,Cadastro_Produtos!A:B,2,FALSE),"")</f>
        <v/>
      </c>
      <c r="D3302" s="12" t="n"/>
      <c r="E3302" s="13">
        <f>IF(D3302="","",D3302-TODAY())</f>
        <v/>
      </c>
      <c r="F3302">
        <f>IF(D3302="","",IF(E3302&lt;0,"VENCIDO",IF(E3302&lt;=30,"VENCE EM &lt;= 30 DIAS",IF(E3302&lt;=60,"ATENCAO (31-60 DIAS)","OK"))))</f>
        <v/>
      </c>
      <c r="G3302" s="13">
        <f>SUMIFS(Movimentacoes!$G:$G,Movimentacoes!$C:$C,$A3302,Movimentacoes!$E:$E,$C3302,Movimentacoes!$B:$B,"ENTRADA")</f>
        <v/>
      </c>
      <c r="H3302" s="13">
        <f>SUMIFS(Movimentacoes!$G:$G,Movimentacoes!$C:$C,$A3302,Movimentacoes!$E:$E,$C3302,Movimentacoes!$B:$B,"SAIDA_USO")</f>
        <v/>
      </c>
      <c r="I3302" s="13">
        <f>SUMIFS(Movimentacoes!$G:$G,Movimentacoes!$C:$C,$A3302,Movimentacoes!$E:$E,$C3302,Movimentacoes!$B:$B,"SAIDA_DESCARTE")</f>
        <v/>
      </c>
      <c r="J3302" s="13">
        <f>G3302-H3302-I3302</f>
        <v/>
      </c>
      <c r="K3302">
        <f>IF(A3302="","",IF(J3302&lt;=IFERROR(VLOOKUP(A3302,Cadastro_Produtos!$A:$E,5,FALSE),0),"ABAIXO DO MINIMO","OK"))</f>
        <v/>
      </c>
    </row>
    <row r="3303">
      <c r="B3303">
        <f>IFERROR(VLOOKUP(A3303,Cadastro_Produtos!A:B,2,FALSE),"")</f>
        <v/>
      </c>
      <c r="D3303" s="12" t="n"/>
      <c r="E3303" s="13">
        <f>IF(D3303="","",D3303-TODAY())</f>
        <v/>
      </c>
      <c r="F3303">
        <f>IF(D3303="","",IF(E3303&lt;0,"VENCIDO",IF(E3303&lt;=30,"VENCE EM &lt;= 30 DIAS",IF(E3303&lt;=60,"ATENCAO (31-60 DIAS)","OK"))))</f>
        <v/>
      </c>
      <c r="G3303" s="13">
        <f>SUMIFS(Movimentacoes!$G:$G,Movimentacoes!$C:$C,$A3303,Movimentacoes!$E:$E,$C3303,Movimentacoes!$B:$B,"ENTRADA")</f>
        <v/>
      </c>
      <c r="H3303" s="13">
        <f>SUMIFS(Movimentacoes!$G:$G,Movimentacoes!$C:$C,$A3303,Movimentacoes!$E:$E,$C3303,Movimentacoes!$B:$B,"SAIDA_USO")</f>
        <v/>
      </c>
      <c r="I3303" s="13">
        <f>SUMIFS(Movimentacoes!$G:$G,Movimentacoes!$C:$C,$A3303,Movimentacoes!$E:$E,$C3303,Movimentacoes!$B:$B,"SAIDA_DESCARTE")</f>
        <v/>
      </c>
      <c r="J3303" s="13">
        <f>G3303-H3303-I3303</f>
        <v/>
      </c>
      <c r="K3303">
        <f>IF(A3303="","",IF(J3303&lt;=IFERROR(VLOOKUP(A3303,Cadastro_Produtos!$A:$E,5,FALSE),0),"ABAIXO DO MINIMO","OK"))</f>
        <v/>
      </c>
    </row>
    <row r="3304">
      <c r="B3304">
        <f>IFERROR(VLOOKUP(A3304,Cadastro_Produtos!A:B,2,FALSE),"")</f>
        <v/>
      </c>
      <c r="D3304" s="12" t="n"/>
      <c r="E3304" s="13">
        <f>IF(D3304="","",D3304-TODAY())</f>
        <v/>
      </c>
      <c r="F3304">
        <f>IF(D3304="","",IF(E3304&lt;0,"VENCIDO",IF(E3304&lt;=30,"VENCE EM &lt;= 30 DIAS",IF(E3304&lt;=60,"ATENCAO (31-60 DIAS)","OK"))))</f>
        <v/>
      </c>
      <c r="G3304" s="13">
        <f>SUMIFS(Movimentacoes!$G:$G,Movimentacoes!$C:$C,$A3304,Movimentacoes!$E:$E,$C3304,Movimentacoes!$B:$B,"ENTRADA")</f>
        <v/>
      </c>
      <c r="H3304" s="13">
        <f>SUMIFS(Movimentacoes!$G:$G,Movimentacoes!$C:$C,$A3304,Movimentacoes!$E:$E,$C3304,Movimentacoes!$B:$B,"SAIDA_USO")</f>
        <v/>
      </c>
      <c r="I3304" s="13">
        <f>SUMIFS(Movimentacoes!$G:$G,Movimentacoes!$C:$C,$A3304,Movimentacoes!$E:$E,$C3304,Movimentacoes!$B:$B,"SAIDA_DESCARTE")</f>
        <v/>
      </c>
      <c r="J3304" s="13">
        <f>G3304-H3304-I3304</f>
        <v/>
      </c>
      <c r="K3304">
        <f>IF(A3304="","",IF(J3304&lt;=IFERROR(VLOOKUP(A3304,Cadastro_Produtos!$A:$E,5,FALSE),0),"ABAIXO DO MINIMO","OK"))</f>
        <v/>
      </c>
    </row>
    <row r="3305">
      <c r="B3305">
        <f>IFERROR(VLOOKUP(A3305,Cadastro_Produtos!A:B,2,FALSE),"")</f>
        <v/>
      </c>
      <c r="D3305" s="12" t="n"/>
      <c r="E3305" s="13">
        <f>IF(D3305="","",D3305-TODAY())</f>
        <v/>
      </c>
      <c r="F3305">
        <f>IF(D3305="","",IF(E3305&lt;0,"VENCIDO",IF(E3305&lt;=30,"VENCE EM &lt;= 30 DIAS",IF(E3305&lt;=60,"ATENCAO (31-60 DIAS)","OK"))))</f>
        <v/>
      </c>
      <c r="G3305" s="13">
        <f>SUMIFS(Movimentacoes!$G:$G,Movimentacoes!$C:$C,$A3305,Movimentacoes!$E:$E,$C3305,Movimentacoes!$B:$B,"ENTRADA")</f>
        <v/>
      </c>
      <c r="H3305" s="13">
        <f>SUMIFS(Movimentacoes!$G:$G,Movimentacoes!$C:$C,$A3305,Movimentacoes!$E:$E,$C3305,Movimentacoes!$B:$B,"SAIDA_USO")</f>
        <v/>
      </c>
      <c r="I3305" s="13">
        <f>SUMIFS(Movimentacoes!$G:$G,Movimentacoes!$C:$C,$A3305,Movimentacoes!$E:$E,$C3305,Movimentacoes!$B:$B,"SAIDA_DESCARTE")</f>
        <v/>
      </c>
      <c r="J3305" s="13">
        <f>G3305-H3305-I3305</f>
        <v/>
      </c>
      <c r="K3305">
        <f>IF(A3305="","",IF(J3305&lt;=IFERROR(VLOOKUP(A3305,Cadastro_Produtos!$A:$E,5,FALSE),0),"ABAIXO DO MINIMO","OK"))</f>
        <v/>
      </c>
    </row>
    <row r="3306">
      <c r="B3306">
        <f>IFERROR(VLOOKUP(A3306,Cadastro_Produtos!A:B,2,FALSE),"")</f>
        <v/>
      </c>
      <c r="D3306" s="12" t="n"/>
      <c r="E3306" s="13">
        <f>IF(D3306="","",D3306-TODAY())</f>
        <v/>
      </c>
      <c r="F3306">
        <f>IF(D3306="","",IF(E3306&lt;0,"VENCIDO",IF(E3306&lt;=30,"VENCE EM &lt;= 30 DIAS",IF(E3306&lt;=60,"ATENCAO (31-60 DIAS)","OK"))))</f>
        <v/>
      </c>
      <c r="G3306" s="13">
        <f>SUMIFS(Movimentacoes!$G:$G,Movimentacoes!$C:$C,$A3306,Movimentacoes!$E:$E,$C3306,Movimentacoes!$B:$B,"ENTRADA")</f>
        <v/>
      </c>
      <c r="H3306" s="13">
        <f>SUMIFS(Movimentacoes!$G:$G,Movimentacoes!$C:$C,$A3306,Movimentacoes!$E:$E,$C3306,Movimentacoes!$B:$B,"SAIDA_USO")</f>
        <v/>
      </c>
      <c r="I3306" s="13">
        <f>SUMIFS(Movimentacoes!$G:$G,Movimentacoes!$C:$C,$A3306,Movimentacoes!$E:$E,$C3306,Movimentacoes!$B:$B,"SAIDA_DESCARTE")</f>
        <v/>
      </c>
      <c r="J3306" s="13">
        <f>G3306-H3306-I3306</f>
        <v/>
      </c>
      <c r="K3306">
        <f>IF(A3306="","",IF(J3306&lt;=IFERROR(VLOOKUP(A3306,Cadastro_Produtos!$A:$E,5,FALSE),0),"ABAIXO DO MINIMO","OK"))</f>
        <v/>
      </c>
    </row>
    <row r="3307">
      <c r="B3307">
        <f>IFERROR(VLOOKUP(A3307,Cadastro_Produtos!A:B,2,FALSE),"")</f>
        <v/>
      </c>
      <c r="D3307" s="12" t="n"/>
      <c r="E3307" s="13">
        <f>IF(D3307="","",D3307-TODAY())</f>
        <v/>
      </c>
      <c r="F3307">
        <f>IF(D3307="","",IF(E3307&lt;0,"VENCIDO",IF(E3307&lt;=30,"VENCE EM &lt;= 30 DIAS",IF(E3307&lt;=60,"ATENCAO (31-60 DIAS)","OK"))))</f>
        <v/>
      </c>
      <c r="G3307" s="13">
        <f>SUMIFS(Movimentacoes!$G:$G,Movimentacoes!$C:$C,$A3307,Movimentacoes!$E:$E,$C3307,Movimentacoes!$B:$B,"ENTRADA")</f>
        <v/>
      </c>
      <c r="H3307" s="13">
        <f>SUMIFS(Movimentacoes!$G:$G,Movimentacoes!$C:$C,$A3307,Movimentacoes!$E:$E,$C3307,Movimentacoes!$B:$B,"SAIDA_USO")</f>
        <v/>
      </c>
      <c r="I3307" s="13">
        <f>SUMIFS(Movimentacoes!$G:$G,Movimentacoes!$C:$C,$A3307,Movimentacoes!$E:$E,$C3307,Movimentacoes!$B:$B,"SAIDA_DESCARTE")</f>
        <v/>
      </c>
      <c r="J3307" s="13">
        <f>G3307-H3307-I3307</f>
        <v/>
      </c>
      <c r="K3307">
        <f>IF(A3307="","",IF(J3307&lt;=IFERROR(VLOOKUP(A3307,Cadastro_Produtos!$A:$E,5,FALSE),0),"ABAIXO DO MINIMO","OK"))</f>
        <v/>
      </c>
    </row>
    <row r="3308">
      <c r="B3308">
        <f>IFERROR(VLOOKUP(A3308,Cadastro_Produtos!A:B,2,FALSE),"")</f>
        <v/>
      </c>
      <c r="D3308" s="12" t="n"/>
      <c r="E3308" s="13">
        <f>IF(D3308="","",D3308-TODAY())</f>
        <v/>
      </c>
      <c r="F3308">
        <f>IF(D3308="","",IF(E3308&lt;0,"VENCIDO",IF(E3308&lt;=30,"VENCE EM &lt;= 30 DIAS",IF(E3308&lt;=60,"ATENCAO (31-60 DIAS)","OK"))))</f>
        <v/>
      </c>
      <c r="G3308" s="13">
        <f>SUMIFS(Movimentacoes!$G:$G,Movimentacoes!$C:$C,$A3308,Movimentacoes!$E:$E,$C3308,Movimentacoes!$B:$B,"ENTRADA")</f>
        <v/>
      </c>
      <c r="H3308" s="13">
        <f>SUMIFS(Movimentacoes!$G:$G,Movimentacoes!$C:$C,$A3308,Movimentacoes!$E:$E,$C3308,Movimentacoes!$B:$B,"SAIDA_USO")</f>
        <v/>
      </c>
      <c r="I3308" s="13">
        <f>SUMIFS(Movimentacoes!$G:$G,Movimentacoes!$C:$C,$A3308,Movimentacoes!$E:$E,$C3308,Movimentacoes!$B:$B,"SAIDA_DESCARTE")</f>
        <v/>
      </c>
      <c r="J3308" s="13">
        <f>G3308-H3308-I3308</f>
        <v/>
      </c>
      <c r="K3308">
        <f>IF(A3308="","",IF(J3308&lt;=IFERROR(VLOOKUP(A3308,Cadastro_Produtos!$A:$E,5,FALSE),0),"ABAIXO DO MINIMO","OK"))</f>
        <v/>
      </c>
    </row>
    <row r="3309">
      <c r="B3309">
        <f>IFERROR(VLOOKUP(A3309,Cadastro_Produtos!A:B,2,FALSE),"")</f>
        <v/>
      </c>
      <c r="D3309" s="12" t="n"/>
      <c r="E3309" s="13">
        <f>IF(D3309="","",D3309-TODAY())</f>
        <v/>
      </c>
      <c r="F3309">
        <f>IF(D3309="","",IF(E3309&lt;0,"VENCIDO",IF(E3309&lt;=30,"VENCE EM &lt;= 30 DIAS",IF(E3309&lt;=60,"ATENCAO (31-60 DIAS)","OK"))))</f>
        <v/>
      </c>
      <c r="G3309" s="13">
        <f>SUMIFS(Movimentacoes!$G:$G,Movimentacoes!$C:$C,$A3309,Movimentacoes!$E:$E,$C3309,Movimentacoes!$B:$B,"ENTRADA")</f>
        <v/>
      </c>
      <c r="H3309" s="13">
        <f>SUMIFS(Movimentacoes!$G:$G,Movimentacoes!$C:$C,$A3309,Movimentacoes!$E:$E,$C3309,Movimentacoes!$B:$B,"SAIDA_USO")</f>
        <v/>
      </c>
      <c r="I3309" s="13">
        <f>SUMIFS(Movimentacoes!$G:$G,Movimentacoes!$C:$C,$A3309,Movimentacoes!$E:$E,$C3309,Movimentacoes!$B:$B,"SAIDA_DESCARTE")</f>
        <v/>
      </c>
      <c r="J3309" s="13">
        <f>G3309-H3309-I3309</f>
        <v/>
      </c>
      <c r="K3309">
        <f>IF(A3309="","",IF(J3309&lt;=IFERROR(VLOOKUP(A3309,Cadastro_Produtos!$A:$E,5,FALSE),0),"ABAIXO DO MINIMO","OK"))</f>
        <v/>
      </c>
    </row>
    <row r="3310">
      <c r="B3310">
        <f>IFERROR(VLOOKUP(A3310,Cadastro_Produtos!A:B,2,FALSE),"")</f>
        <v/>
      </c>
      <c r="D3310" s="12" t="n"/>
      <c r="E3310" s="13">
        <f>IF(D3310="","",D3310-TODAY())</f>
        <v/>
      </c>
      <c r="F3310">
        <f>IF(D3310="","",IF(E3310&lt;0,"VENCIDO",IF(E3310&lt;=30,"VENCE EM &lt;= 30 DIAS",IF(E3310&lt;=60,"ATENCAO (31-60 DIAS)","OK"))))</f>
        <v/>
      </c>
      <c r="G3310" s="13">
        <f>SUMIFS(Movimentacoes!$G:$G,Movimentacoes!$C:$C,$A3310,Movimentacoes!$E:$E,$C3310,Movimentacoes!$B:$B,"ENTRADA")</f>
        <v/>
      </c>
      <c r="H3310" s="13">
        <f>SUMIFS(Movimentacoes!$G:$G,Movimentacoes!$C:$C,$A3310,Movimentacoes!$E:$E,$C3310,Movimentacoes!$B:$B,"SAIDA_USO")</f>
        <v/>
      </c>
      <c r="I3310" s="13">
        <f>SUMIFS(Movimentacoes!$G:$G,Movimentacoes!$C:$C,$A3310,Movimentacoes!$E:$E,$C3310,Movimentacoes!$B:$B,"SAIDA_DESCARTE")</f>
        <v/>
      </c>
      <c r="J3310" s="13">
        <f>G3310-H3310-I3310</f>
        <v/>
      </c>
      <c r="K3310">
        <f>IF(A3310="","",IF(J3310&lt;=IFERROR(VLOOKUP(A3310,Cadastro_Produtos!$A:$E,5,FALSE),0),"ABAIXO DO MINIMO","OK"))</f>
        <v/>
      </c>
    </row>
    <row r="3311">
      <c r="B3311">
        <f>IFERROR(VLOOKUP(A3311,Cadastro_Produtos!A:B,2,FALSE),"")</f>
        <v/>
      </c>
      <c r="D3311" s="12" t="n"/>
      <c r="E3311" s="13">
        <f>IF(D3311="","",D3311-TODAY())</f>
        <v/>
      </c>
      <c r="F3311">
        <f>IF(D3311="","",IF(E3311&lt;0,"VENCIDO",IF(E3311&lt;=30,"VENCE EM &lt;= 30 DIAS",IF(E3311&lt;=60,"ATENCAO (31-60 DIAS)","OK"))))</f>
        <v/>
      </c>
      <c r="G3311" s="13">
        <f>SUMIFS(Movimentacoes!$G:$G,Movimentacoes!$C:$C,$A3311,Movimentacoes!$E:$E,$C3311,Movimentacoes!$B:$B,"ENTRADA")</f>
        <v/>
      </c>
      <c r="H3311" s="13">
        <f>SUMIFS(Movimentacoes!$G:$G,Movimentacoes!$C:$C,$A3311,Movimentacoes!$E:$E,$C3311,Movimentacoes!$B:$B,"SAIDA_USO")</f>
        <v/>
      </c>
      <c r="I3311" s="13">
        <f>SUMIFS(Movimentacoes!$G:$G,Movimentacoes!$C:$C,$A3311,Movimentacoes!$E:$E,$C3311,Movimentacoes!$B:$B,"SAIDA_DESCARTE")</f>
        <v/>
      </c>
      <c r="J3311" s="13">
        <f>G3311-H3311-I3311</f>
        <v/>
      </c>
      <c r="K3311">
        <f>IF(A3311="","",IF(J3311&lt;=IFERROR(VLOOKUP(A3311,Cadastro_Produtos!$A:$E,5,FALSE),0),"ABAIXO DO MINIMO","OK"))</f>
        <v/>
      </c>
    </row>
    <row r="3312">
      <c r="B3312">
        <f>IFERROR(VLOOKUP(A3312,Cadastro_Produtos!A:B,2,FALSE),"")</f>
        <v/>
      </c>
      <c r="D3312" s="12" t="n"/>
      <c r="E3312" s="13">
        <f>IF(D3312="","",D3312-TODAY())</f>
        <v/>
      </c>
      <c r="F3312">
        <f>IF(D3312="","",IF(E3312&lt;0,"VENCIDO",IF(E3312&lt;=30,"VENCE EM &lt;= 30 DIAS",IF(E3312&lt;=60,"ATENCAO (31-60 DIAS)","OK"))))</f>
        <v/>
      </c>
      <c r="G3312" s="13">
        <f>SUMIFS(Movimentacoes!$G:$G,Movimentacoes!$C:$C,$A3312,Movimentacoes!$E:$E,$C3312,Movimentacoes!$B:$B,"ENTRADA")</f>
        <v/>
      </c>
      <c r="H3312" s="13">
        <f>SUMIFS(Movimentacoes!$G:$G,Movimentacoes!$C:$C,$A3312,Movimentacoes!$E:$E,$C3312,Movimentacoes!$B:$B,"SAIDA_USO")</f>
        <v/>
      </c>
      <c r="I3312" s="13">
        <f>SUMIFS(Movimentacoes!$G:$G,Movimentacoes!$C:$C,$A3312,Movimentacoes!$E:$E,$C3312,Movimentacoes!$B:$B,"SAIDA_DESCARTE")</f>
        <v/>
      </c>
      <c r="J3312" s="13">
        <f>G3312-H3312-I3312</f>
        <v/>
      </c>
      <c r="K3312">
        <f>IF(A3312="","",IF(J3312&lt;=IFERROR(VLOOKUP(A3312,Cadastro_Produtos!$A:$E,5,FALSE),0),"ABAIXO DO MINIMO","OK"))</f>
        <v/>
      </c>
    </row>
    <row r="3313">
      <c r="B3313">
        <f>IFERROR(VLOOKUP(A3313,Cadastro_Produtos!A:B,2,FALSE),"")</f>
        <v/>
      </c>
      <c r="D3313" s="12" t="n"/>
      <c r="E3313" s="13">
        <f>IF(D3313="","",D3313-TODAY())</f>
        <v/>
      </c>
      <c r="F3313">
        <f>IF(D3313="","",IF(E3313&lt;0,"VENCIDO",IF(E3313&lt;=30,"VENCE EM &lt;= 30 DIAS",IF(E3313&lt;=60,"ATENCAO (31-60 DIAS)","OK"))))</f>
        <v/>
      </c>
      <c r="G3313" s="13">
        <f>SUMIFS(Movimentacoes!$G:$G,Movimentacoes!$C:$C,$A3313,Movimentacoes!$E:$E,$C3313,Movimentacoes!$B:$B,"ENTRADA")</f>
        <v/>
      </c>
      <c r="H3313" s="13">
        <f>SUMIFS(Movimentacoes!$G:$G,Movimentacoes!$C:$C,$A3313,Movimentacoes!$E:$E,$C3313,Movimentacoes!$B:$B,"SAIDA_USO")</f>
        <v/>
      </c>
      <c r="I3313" s="13">
        <f>SUMIFS(Movimentacoes!$G:$G,Movimentacoes!$C:$C,$A3313,Movimentacoes!$E:$E,$C3313,Movimentacoes!$B:$B,"SAIDA_DESCARTE")</f>
        <v/>
      </c>
      <c r="J3313" s="13">
        <f>G3313-H3313-I3313</f>
        <v/>
      </c>
      <c r="K3313">
        <f>IF(A3313="","",IF(J3313&lt;=IFERROR(VLOOKUP(A3313,Cadastro_Produtos!$A:$E,5,FALSE),0),"ABAIXO DO MINIMO","OK"))</f>
        <v/>
      </c>
    </row>
    <row r="3314">
      <c r="B3314">
        <f>IFERROR(VLOOKUP(A3314,Cadastro_Produtos!A:B,2,FALSE),"")</f>
        <v/>
      </c>
      <c r="D3314" s="12" t="n"/>
      <c r="E3314" s="13">
        <f>IF(D3314="","",D3314-TODAY())</f>
        <v/>
      </c>
      <c r="F3314">
        <f>IF(D3314="","",IF(E3314&lt;0,"VENCIDO",IF(E3314&lt;=30,"VENCE EM &lt;= 30 DIAS",IF(E3314&lt;=60,"ATENCAO (31-60 DIAS)","OK"))))</f>
        <v/>
      </c>
      <c r="G3314" s="13">
        <f>SUMIFS(Movimentacoes!$G:$G,Movimentacoes!$C:$C,$A3314,Movimentacoes!$E:$E,$C3314,Movimentacoes!$B:$B,"ENTRADA")</f>
        <v/>
      </c>
      <c r="H3314" s="13">
        <f>SUMIFS(Movimentacoes!$G:$G,Movimentacoes!$C:$C,$A3314,Movimentacoes!$E:$E,$C3314,Movimentacoes!$B:$B,"SAIDA_USO")</f>
        <v/>
      </c>
      <c r="I3314" s="13">
        <f>SUMIFS(Movimentacoes!$G:$G,Movimentacoes!$C:$C,$A3314,Movimentacoes!$E:$E,$C3314,Movimentacoes!$B:$B,"SAIDA_DESCARTE")</f>
        <v/>
      </c>
      <c r="J3314" s="13">
        <f>G3314-H3314-I3314</f>
        <v/>
      </c>
      <c r="K3314">
        <f>IF(A3314="","",IF(J3314&lt;=IFERROR(VLOOKUP(A3314,Cadastro_Produtos!$A:$E,5,FALSE),0),"ABAIXO DO MINIMO","OK"))</f>
        <v/>
      </c>
    </row>
    <row r="3315">
      <c r="B3315">
        <f>IFERROR(VLOOKUP(A3315,Cadastro_Produtos!A:B,2,FALSE),"")</f>
        <v/>
      </c>
      <c r="D3315" s="12" t="n"/>
      <c r="E3315" s="13">
        <f>IF(D3315="","",D3315-TODAY())</f>
        <v/>
      </c>
      <c r="F3315">
        <f>IF(D3315="","",IF(E3315&lt;0,"VENCIDO",IF(E3315&lt;=30,"VENCE EM &lt;= 30 DIAS",IF(E3315&lt;=60,"ATENCAO (31-60 DIAS)","OK"))))</f>
        <v/>
      </c>
      <c r="G3315" s="13">
        <f>SUMIFS(Movimentacoes!$G:$G,Movimentacoes!$C:$C,$A3315,Movimentacoes!$E:$E,$C3315,Movimentacoes!$B:$B,"ENTRADA")</f>
        <v/>
      </c>
      <c r="H3315" s="13">
        <f>SUMIFS(Movimentacoes!$G:$G,Movimentacoes!$C:$C,$A3315,Movimentacoes!$E:$E,$C3315,Movimentacoes!$B:$B,"SAIDA_USO")</f>
        <v/>
      </c>
      <c r="I3315" s="13">
        <f>SUMIFS(Movimentacoes!$G:$G,Movimentacoes!$C:$C,$A3315,Movimentacoes!$E:$E,$C3315,Movimentacoes!$B:$B,"SAIDA_DESCARTE")</f>
        <v/>
      </c>
      <c r="J3315" s="13">
        <f>G3315-H3315-I3315</f>
        <v/>
      </c>
      <c r="K3315">
        <f>IF(A3315="","",IF(J3315&lt;=IFERROR(VLOOKUP(A3315,Cadastro_Produtos!$A:$E,5,FALSE),0),"ABAIXO DO MINIMO","OK"))</f>
        <v/>
      </c>
    </row>
    <row r="3316">
      <c r="B3316">
        <f>IFERROR(VLOOKUP(A3316,Cadastro_Produtos!A:B,2,FALSE),"")</f>
        <v/>
      </c>
      <c r="D3316" s="12" t="n"/>
      <c r="E3316" s="13">
        <f>IF(D3316="","",D3316-TODAY())</f>
        <v/>
      </c>
      <c r="F3316">
        <f>IF(D3316="","",IF(E3316&lt;0,"VENCIDO",IF(E3316&lt;=30,"VENCE EM &lt;= 30 DIAS",IF(E3316&lt;=60,"ATENCAO (31-60 DIAS)","OK"))))</f>
        <v/>
      </c>
      <c r="G3316" s="13">
        <f>SUMIFS(Movimentacoes!$G:$G,Movimentacoes!$C:$C,$A3316,Movimentacoes!$E:$E,$C3316,Movimentacoes!$B:$B,"ENTRADA")</f>
        <v/>
      </c>
      <c r="H3316" s="13">
        <f>SUMIFS(Movimentacoes!$G:$G,Movimentacoes!$C:$C,$A3316,Movimentacoes!$E:$E,$C3316,Movimentacoes!$B:$B,"SAIDA_USO")</f>
        <v/>
      </c>
      <c r="I3316" s="13">
        <f>SUMIFS(Movimentacoes!$G:$G,Movimentacoes!$C:$C,$A3316,Movimentacoes!$E:$E,$C3316,Movimentacoes!$B:$B,"SAIDA_DESCARTE")</f>
        <v/>
      </c>
      <c r="J3316" s="13">
        <f>G3316-H3316-I3316</f>
        <v/>
      </c>
      <c r="K3316">
        <f>IF(A3316="","",IF(J3316&lt;=IFERROR(VLOOKUP(A3316,Cadastro_Produtos!$A:$E,5,FALSE),0),"ABAIXO DO MINIMO","OK"))</f>
        <v/>
      </c>
    </row>
    <row r="3317">
      <c r="B3317">
        <f>IFERROR(VLOOKUP(A3317,Cadastro_Produtos!A:B,2,FALSE),"")</f>
        <v/>
      </c>
      <c r="D3317" s="12" t="n"/>
      <c r="E3317" s="13">
        <f>IF(D3317="","",D3317-TODAY())</f>
        <v/>
      </c>
      <c r="F3317">
        <f>IF(D3317="","",IF(E3317&lt;0,"VENCIDO",IF(E3317&lt;=30,"VENCE EM &lt;= 30 DIAS",IF(E3317&lt;=60,"ATENCAO (31-60 DIAS)","OK"))))</f>
        <v/>
      </c>
      <c r="G3317" s="13">
        <f>SUMIFS(Movimentacoes!$G:$G,Movimentacoes!$C:$C,$A3317,Movimentacoes!$E:$E,$C3317,Movimentacoes!$B:$B,"ENTRADA")</f>
        <v/>
      </c>
      <c r="H3317" s="13">
        <f>SUMIFS(Movimentacoes!$G:$G,Movimentacoes!$C:$C,$A3317,Movimentacoes!$E:$E,$C3317,Movimentacoes!$B:$B,"SAIDA_USO")</f>
        <v/>
      </c>
      <c r="I3317" s="13">
        <f>SUMIFS(Movimentacoes!$G:$G,Movimentacoes!$C:$C,$A3317,Movimentacoes!$E:$E,$C3317,Movimentacoes!$B:$B,"SAIDA_DESCARTE")</f>
        <v/>
      </c>
      <c r="J3317" s="13">
        <f>G3317-H3317-I3317</f>
        <v/>
      </c>
      <c r="K3317">
        <f>IF(A3317="","",IF(J3317&lt;=IFERROR(VLOOKUP(A3317,Cadastro_Produtos!$A:$E,5,FALSE),0),"ABAIXO DO MINIMO","OK"))</f>
        <v/>
      </c>
    </row>
    <row r="3318">
      <c r="B3318">
        <f>IFERROR(VLOOKUP(A3318,Cadastro_Produtos!A:B,2,FALSE),"")</f>
        <v/>
      </c>
      <c r="D3318" s="12" t="n"/>
      <c r="E3318" s="13">
        <f>IF(D3318="","",D3318-TODAY())</f>
        <v/>
      </c>
      <c r="F3318">
        <f>IF(D3318="","",IF(E3318&lt;0,"VENCIDO",IF(E3318&lt;=30,"VENCE EM &lt;= 30 DIAS",IF(E3318&lt;=60,"ATENCAO (31-60 DIAS)","OK"))))</f>
        <v/>
      </c>
      <c r="G3318" s="13">
        <f>SUMIFS(Movimentacoes!$G:$G,Movimentacoes!$C:$C,$A3318,Movimentacoes!$E:$E,$C3318,Movimentacoes!$B:$B,"ENTRADA")</f>
        <v/>
      </c>
      <c r="H3318" s="13">
        <f>SUMIFS(Movimentacoes!$G:$G,Movimentacoes!$C:$C,$A3318,Movimentacoes!$E:$E,$C3318,Movimentacoes!$B:$B,"SAIDA_USO")</f>
        <v/>
      </c>
      <c r="I3318" s="13">
        <f>SUMIFS(Movimentacoes!$G:$G,Movimentacoes!$C:$C,$A3318,Movimentacoes!$E:$E,$C3318,Movimentacoes!$B:$B,"SAIDA_DESCARTE")</f>
        <v/>
      </c>
      <c r="J3318" s="13">
        <f>G3318-H3318-I3318</f>
        <v/>
      </c>
      <c r="K3318">
        <f>IF(A3318="","",IF(J3318&lt;=IFERROR(VLOOKUP(A3318,Cadastro_Produtos!$A:$E,5,FALSE),0),"ABAIXO DO MINIMO","OK"))</f>
        <v/>
      </c>
    </row>
    <row r="3319">
      <c r="B3319">
        <f>IFERROR(VLOOKUP(A3319,Cadastro_Produtos!A:B,2,FALSE),"")</f>
        <v/>
      </c>
      <c r="D3319" s="12" t="n"/>
      <c r="E3319" s="13">
        <f>IF(D3319="","",D3319-TODAY())</f>
        <v/>
      </c>
      <c r="F3319">
        <f>IF(D3319="","",IF(E3319&lt;0,"VENCIDO",IF(E3319&lt;=30,"VENCE EM &lt;= 30 DIAS",IF(E3319&lt;=60,"ATENCAO (31-60 DIAS)","OK"))))</f>
        <v/>
      </c>
      <c r="G3319" s="13">
        <f>SUMIFS(Movimentacoes!$G:$G,Movimentacoes!$C:$C,$A3319,Movimentacoes!$E:$E,$C3319,Movimentacoes!$B:$B,"ENTRADA")</f>
        <v/>
      </c>
      <c r="H3319" s="13">
        <f>SUMIFS(Movimentacoes!$G:$G,Movimentacoes!$C:$C,$A3319,Movimentacoes!$E:$E,$C3319,Movimentacoes!$B:$B,"SAIDA_USO")</f>
        <v/>
      </c>
      <c r="I3319" s="13">
        <f>SUMIFS(Movimentacoes!$G:$G,Movimentacoes!$C:$C,$A3319,Movimentacoes!$E:$E,$C3319,Movimentacoes!$B:$B,"SAIDA_DESCARTE")</f>
        <v/>
      </c>
      <c r="J3319" s="13">
        <f>G3319-H3319-I3319</f>
        <v/>
      </c>
      <c r="K3319">
        <f>IF(A3319="","",IF(J3319&lt;=IFERROR(VLOOKUP(A3319,Cadastro_Produtos!$A:$E,5,FALSE),0),"ABAIXO DO MINIMO","OK"))</f>
        <v/>
      </c>
    </row>
    <row r="3320">
      <c r="B3320">
        <f>IFERROR(VLOOKUP(A3320,Cadastro_Produtos!A:B,2,FALSE),"")</f>
        <v/>
      </c>
      <c r="D3320" s="12" t="n"/>
      <c r="E3320" s="13">
        <f>IF(D3320="","",D3320-TODAY())</f>
        <v/>
      </c>
      <c r="F3320">
        <f>IF(D3320="","",IF(E3320&lt;0,"VENCIDO",IF(E3320&lt;=30,"VENCE EM &lt;= 30 DIAS",IF(E3320&lt;=60,"ATENCAO (31-60 DIAS)","OK"))))</f>
        <v/>
      </c>
      <c r="G3320" s="13">
        <f>SUMIFS(Movimentacoes!$G:$G,Movimentacoes!$C:$C,$A3320,Movimentacoes!$E:$E,$C3320,Movimentacoes!$B:$B,"ENTRADA")</f>
        <v/>
      </c>
      <c r="H3320" s="13">
        <f>SUMIFS(Movimentacoes!$G:$G,Movimentacoes!$C:$C,$A3320,Movimentacoes!$E:$E,$C3320,Movimentacoes!$B:$B,"SAIDA_USO")</f>
        <v/>
      </c>
      <c r="I3320" s="13">
        <f>SUMIFS(Movimentacoes!$G:$G,Movimentacoes!$C:$C,$A3320,Movimentacoes!$E:$E,$C3320,Movimentacoes!$B:$B,"SAIDA_DESCARTE")</f>
        <v/>
      </c>
      <c r="J3320" s="13">
        <f>G3320-H3320-I3320</f>
        <v/>
      </c>
      <c r="K3320">
        <f>IF(A3320="","",IF(J3320&lt;=IFERROR(VLOOKUP(A3320,Cadastro_Produtos!$A:$E,5,FALSE),0),"ABAIXO DO MINIMO","OK"))</f>
        <v/>
      </c>
    </row>
    <row r="3321">
      <c r="B3321">
        <f>IFERROR(VLOOKUP(A3321,Cadastro_Produtos!A:B,2,FALSE),"")</f>
        <v/>
      </c>
      <c r="D3321" s="12" t="n"/>
      <c r="E3321" s="13">
        <f>IF(D3321="","",D3321-TODAY())</f>
        <v/>
      </c>
      <c r="F3321">
        <f>IF(D3321="","",IF(E3321&lt;0,"VENCIDO",IF(E3321&lt;=30,"VENCE EM &lt;= 30 DIAS",IF(E3321&lt;=60,"ATENCAO (31-60 DIAS)","OK"))))</f>
        <v/>
      </c>
      <c r="G3321" s="13">
        <f>SUMIFS(Movimentacoes!$G:$G,Movimentacoes!$C:$C,$A3321,Movimentacoes!$E:$E,$C3321,Movimentacoes!$B:$B,"ENTRADA")</f>
        <v/>
      </c>
      <c r="H3321" s="13">
        <f>SUMIFS(Movimentacoes!$G:$G,Movimentacoes!$C:$C,$A3321,Movimentacoes!$E:$E,$C3321,Movimentacoes!$B:$B,"SAIDA_USO")</f>
        <v/>
      </c>
      <c r="I3321" s="13">
        <f>SUMIFS(Movimentacoes!$G:$G,Movimentacoes!$C:$C,$A3321,Movimentacoes!$E:$E,$C3321,Movimentacoes!$B:$B,"SAIDA_DESCARTE")</f>
        <v/>
      </c>
      <c r="J3321" s="13">
        <f>G3321-H3321-I3321</f>
        <v/>
      </c>
      <c r="K3321">
        <f>IF(A3321="","",IF(J3321&lt;=IFERROR(VLOOKUP(A3321,Cadastro_Produtos!$A:$E,5,FALSE),0),"ABAIXO DO MINIMO","OK"))</f>
        <v/>
      </c>
    </row>
    <row r="3322">
      <c r="B3322">
        <f>IFERROR(VLOOKUP(A3322,Cadastro_Produtos!A:B,2,FALSE),"")</f>
        <v/>
      </c>
      <c r="D3322" s="12" t="n"/>
      <c r="E3322" s="13">
        <f>IF(D3322="","",D3322-TODAY())</f>
        <v/>
      </c>
      <c r="F3322">
        <f>IF(D3322="","",IF(E3322&lt;0,"VENCIDO",IF(E3322&lt;=30,"VENCE EM &lt;= 30 DIAS",IF(E3322&lt;=60,"ATENCAO (31-60 DIAS)","OK"))))</f>
        <v/>
      </c>
      <c r="G3322" s="13">
        <f>SUMIFS(Movimentacoes!$G:$G,Movimentacoes!$C:$C,$A3322,Movimentacoes!$E:$E,$C3322,Movimentacoes!$B:$B,"ENTRADA")</f>
        <v/>
      </c>
      <c r="H3322" s="13">
        <f>SUMIFS(Movimentacoes!$G:$G,Movimentacoes!$C:$C,$A3322,Movimentacoes!$E:$E,$C3322,Movimentacoes!$B:$B,"SAIDA_USO")</f>
        <v/>
      </c>
      <c r="I3322" s="13">
        <f>SUMIFS(Movimentacoes!$G:$G,Movimentacoes!$C:$C,$A3322,Movimentacoes!$E:$E,$C3322,Movimentacoes!$B:$B,"SAIDA_DESCARTE")</f>
        <v/>
      </c>
      <c r="J3322" s="13">
        <f>G3322-H3322-I3322</f>
        <v/>
      </c>
      <c r="K3322">
        <f>IF(A3322="","",IF(J3322&lt;=IFERROR(VLOOKUP(A3322,Cadastro_Produtos!$A:$E,5,FALSE),0),"ABAIXO DO MINIMO","OK"))</f>
        <v/>
      </c>
    </row>
    <row r="3323">
      <c r="B3323">
        <f>IFERROR(VLOOKUP(A3323,Cadastro_Produtos!A:B,2,FALSE),"")</f>
        <v/>
      </c>
      <c r="D3323" s="12" t="n"/>
      <c r="E3323" s="13">
        <f>IF(D3323="","",D3323-TODAY())</f>
        <v/>
      </c>
      <c r="F3323">
        <f>IF(D3323="","",IF(E3323&lt;0,"VENCIDO",IF(E3323&lt;=30,"VENCE EM &lt;= 30 DIAS",IF(E3323&lt;=60,"ATENCAO (31-60 DIAS)","OK"))))</f>
        <v/>
      </c>
      <c r="G3323" s="13">
        <f>SUMIFS(Movimentacoes!$G:$G,Movimentacoes!$C:$C,$A3323,Movimentacoes!$E:$E,$C3323,Movimentacoes!$B:$B,"ENTRADA")</f>
        <v/>
      </c>
      <c r="H3323" s="13">
        <f>SUMIFS(Movimentacoes!$G:$G,Movimentacoes!$C:$C,$A3323,Movimentacoes!$E:$E,$C3323,Movimentacoes!$B:$B,"SAIDA_USO")</f>
        <v/>
      </c>
      <c r="I3323" s="13">
        <f>SUMIFS(Movimentacoes!$G:$G,Movimentacoes!$C:$C,$A3323,Movimentacoes!$E:$E,$C3323,Movimentacoes!$B:$B,"SAIDA_DESCARTE")</f>
        <v/>
      </c>
      <c r="J3323" s="13">
        <f>G3323-H3323-I3323</f>
        <v/>
      </c>
      <c r="K3323">
        <f>IF(A3323="","",IF(J3323&lt;=IFERROR(VLOOKUP(A3323,Cadastro_Produtos!$A:$E,5,FALSE),0),"ABAIXO DO MINIMO","OK"))</f>
        <v/>
      </c>
    </row>
    <row r="3324">
      <c r="B3324">
        <f>IFERROR(VLOOKUP(A3324,Cadastro_Produtos!A:B,2,FALSE),"")</f>
        <v/>
      </c>
      <c r="D3324" s="12" t="n"/>
      <c r="E3324" s="13">
        <f>IF(D3324="","",D3324-TODAY())</f>
        <v/>
      </c>
      <c r="F3324">
        <f>IF(D3324="","",IF(E3324&lt;0,"VENCIDO",IF(E3324&lt;=30,"VENCE EM &lt;= 30 DIAS",IF(E3324&lt;=60,"ATENCAO (31-60 DIAS)","OK"))))</f>
        <v/>
      </c>
      <c r="G3324" s="13">
        <f>SUMIFS(Movimentacoes!$G:$G,Movimentacoes!$C:$C,$A3324,Movimentacoes!$E:$E,$C3324,Movimentacoes!$B:$B,"ENTRADA")</f>
        <v/>
      </c>
      <c r="H3324" s="13">
        <f>SUMIFS(Movimentacoes!$G:$G,Movimentacoes!$C:$C,$A3324,Movimentacoes!$E:$E,$C3324,Movimentacoes!$B:$B,"SAIDA_USO")</f>
        <v/>
      </c>
      <c r="I3324" s="13">
        <f>SUMIFS(Movimentacoes!$G:$G,Movimentacoes!$C:$C,$A3324,Movimentacoes!$E:$E,$C3324,Movimentacoes!$B:$B,"SAIDA_DESCARTE")</f>
        <v/>
      </c>
      <c r="J3324" s="13">
        <f>G3324-H3324-I3324</f>
        <v/>
      </c>
      <c r="K3324">
        <f>IF(A3324="","",IF(J3324&lt;=IFERROR(VLOOKUP(A3324,Cadastro_Produtos!$A:$E,5,FALSE),0),"ABAIXO DO MINIMO","OK"))</f>
        <v/>
      </c>
    </row>
    <row r="3325">
      <c r="B3325">
        <f>IFERROR(VLOOKUP(A3325,Cadastro_Produtos!A:B,2,FALSE),"")</f>
        <v/>
      </c>
      <c r="D3325" s="12" t="n"/>
      <c r="E3325" s="13">
        <f>IF(D3325="","",D3325-TODAY())</f>
        <v/>
      </c>
      <c r="F3325">
        <f>IF(D3325="","",IF(E3325&lt;0,"VENCIDO",IF(E3325&lt;=30,"VENCE EM &lt;= 30 DIAS",IF(E3325&lt;=60,"ATENCAO (31-60 DIAS)","OK"))))</f>
        <v/>
      </c>
      <c r="G3325" s="13">
        <f>SUMIFS(Movimentacoes!$G:$G,Movimentacoes!$C:$C,$A3325,Movimentacoes!$E:$E,$C3325,Movimentacoes!$B:$B,"ENTRADA")</f>
        <v/>
      </c>
      <c r="H3325" s="13">
        <f>SUMIFS(Movimentacoes!$G:$G,Movimentacoes!$C:$C,$A3325,Movimentacoes!$E:$E,$C3325,Movimentacoes!$B:$B,"SAIDA_USO")</f>
        <v/>
      </c>
      <c r="I3325" s="13">
        <f>SUMIFS(Movimentacoes!$G:$G,Movimentacoes!$C:$C,$A3325,Movimentacoes!$E:$E,$C3325,Movimentacoes!$B:$B,"SAIDA_DESCARTE")</f>
        <v/>
      </c>
      <c r="J3325" s="13">
        <f>G3325-H3325-I3325</f>
        <v/>
      </c>
      <c r="K3325">
        <f>IF(A3325="","",IF(J3325&lt;=IFERROR(VLOOKUP(A3325,Cadastro_Produtos!$A:$E,5,FALSE),0),"ABAIXO DO MINIMO","OK"))</f>
        <v/>
      </c>
    </row>
    <row r="3326">
      <c r="B3326">
        <f>IFERROR(VLOOKUP(A3326,Cadastro_Produtos!A:B,2,FALSE),"")</f>
        <v/>
      </c>
      <c r="D3326" s="12" t="n"/>
      <c r="E3326" s="13">
        <f>IF(D3326="","",D3326-TODAY())</f>
        <v/>
      </c>
      <c r="F3326">
        <f>IF(D3326="","",IF(E3326&lt;0,"VENCIDO",IF(E3326&lt;=30,"VENCE EM &lt;= 30 DIAS",IF(E3326&lt;=60,"ATENCAO (31-60 DIAS)","OK"))))</f>
        <v/>
      </c>
      <c r="G3326" s="13">
        <f>SUMIFS(Movimentacoes!$G:$G,Movimentacoes!$C:$C,$A3326,Movimentacoes!$E:$E,$C3326,Movimentacoes!$B:$B,"ENTRADA")</f>
        <v/>
      </c>
      <c r="H3326" s="13">
        <f>SUMIFS(Movimentacoes!$G:$G,Movimentacoes!$C:$C,$A3326,Movimentacoes!$E:$E,$C3326,Movimentacoes!$B:$B,"SAIDA_USO")</f>
        <v/>
      </c>
      <c r="I3326" s="13">
        <f>SUMIFS(Movimentacoes!$G:$G,Movimentacoes!$C:$C,$A3326,Movimentacoes!$E:$E,$C3326,Movimentacoes!$B:$B,"SAIDA_DESCARTE")</f>
        <v/>
      </c>
      <c r="J3326" s="13">
        <f>G3326-H3326-I3326</f>
        <v/>
      </c>
      <c r="K3326">
        <f>IF(A3326="","",IF(J3326&lt;=IFERROR(VLOOKUP(A3326,Cadastro_Produtos!$A:$E,5,FALSE),0),"ABAIXO DO MINIMO","OK"))</f>
        <v/>
      </c>
    </row>
    <row r="3327">
      <c r="B3327">
        <f>IFERROR(VLOOKUP(A3327,Cadastro_Produtos!A:B,2,FALSE),"")</f>
        <v/>
      </c>
      <c r="D3327" s="12" t="n"/>
      <c r="E3327" s="13">
        <f>IF(D3327="","",D3327-TODAY())</f>
        <v/>
      </c>
      <c r="F3327">
        <f>IF(D3327="","",IF(E3327&lt;0,"VENCIDO",IF(E3327&lt;=30,"VENCE EM &lt;= 30 DIAS",IF(E3327&lt;=60,"ATENCAO (31-60 DIAS)","OK"))))</f>
        <v/>
      </c>
      <c r="G3327" s="13">
        <f>SUMIFS(Movimentacoes!$G:$G,Movimentacoes!$C:$C,$A3327,Movimentacoes!$E:$E,$C3327,Movimentacoes!$B:$B,"ENTRADA")</f>
        <v/>
      </c>
      <c r="H3327" s="13">
        <f>SUMIFS(Movimentacoes!$G:$G,Movimentacoes!$C:$C,$A3327,Movimentacoes!$E:$E,$C3327,Movimentacoes!$B:$B,"SAIDA_USO")</f>
        <v/>
      </c>
      <c r="I3327" s="13">
        <f>SUMIFS(Movimentacoes!$G:$G,Movimentacoes!$C:$C,$A3327,Movimentacoes!$E:$E,$C3327,Movimentacoes!$B:$B,"SAIDA_DESCARTE")</f>
        <v/>
      </c>
      <c r="J3327" s="13">
        <f>G3327-H3327-I3327</f>
        <v/>
      </c>
      <c r="K3327">
        <f>IF(A3327="","",IF(J3327&lt;=IFERROR(VLOOKUP(A3327,Cadastro_Produtos!$A:$E,5,FALSE),0),"ABAIXO DO MINIMO","OK"))</f>
        <v/>
      </c>
    </row>
    <row r="3328">
      <c r="B3328">
        <f>IFERROR(VLOOKUP(A3328,Cadastro_Produtos!A:B,2,FALSE),"")</f>
        <v/>
      </c>
      <c r="D3328" s="12" t="n"/>
      <c r="E3328" s="13">
        <f>IF(D3328="","",D3328-TODAY())</f>
        <v/>
      </c>
      <c r="F3328">
        <f>IF(D3328="","",IF(E3328&lt;0,"VENCIDO",IF(E3328&lt;=30,"VENCE EM &lt;= 30 DIAS",IF(E3328&lt;=60,"ATENCAO (31-60 DIAS)","OK"))))</f>
        <v/>
      </c>
      <c r="G3328" s="13">
        <f>SUMIFS(Movimentacoes!$G:$G,Movimentacoes!$C:$C,$A3328,Movimentacoes!$E:$E,$C3328,Movimentacoes!$B:$B,"ENTRADA")</f>
        <v/>
      </c>
      <c r="H3328" s="13">
        <f>SUMIFS(Movimentacoes!$G:$G,Movimentacoes!$C:$C,$A3328,Movimentacoes!$E:$E,$C3328,Movimentacoes!$B:$B,"SAIDA_USO")</f>
        <v/>
      </c>
      <c r="I3328" s="13">
        <f>SUMIFS(Movimentacoes!$G:$G,Movimentacoes!$C:$C,$A3328,Movimentacoes!$E:$E,$C3328,Movimentacoes!$B:$B,"SAIDA_DESCARTE")</f>
        <v/>
      </c>
      <c r="J3328" s="13">
        <f>G3328-H3328-I3328</f>
        <v/>
      </c>
      <c r="K3328">
        <f>IF(A3328="","",IF(J3328&lt;=IFERROR(VLOOKUP(A3328,Cadastro_Produtos!$A:$E,5,FALSE),0),"ABAIXO DO MINIMO","OK"))</f>
        <v/>
      </c>
    </row>
    <row r="3329">
      <c r="B3329">
        <f>IFERROR(VLOOKUP(A3329,Cadastro_Produtos!A:B,2,FALSE),"")</f>
        <v/>
      </c>
      <c r="D3329" s="12" t="n"/>
      <c r="E3329" s="13">
        <f>IF(D3329="","",D3329-TODAY())</f>
        <v/>
      </c>
      <c r="F3329">
        <f>IF(D3329="","",IF(E3329&lt;0,"VENCIDO",IF(E3329&lt;=30,"VENCE EM &lt;= 30 DIAS",IF(E3329&lt;=60,"ATENCAO (31-60 DIAS)","OK"))))</f>
        <v/>
      </c>
      <c r="G3329" s="13">
        <f>SUMIFS(Movimentacoes!$G:$G,Movimentacoes!$C:$C,$A3329,Movimentacoes!$E:$E,$C3329,Movimentacoes!$B:$B,"ENTRADA")</f>
        <v/>
      </c>
      <c r="H3329" s="13">
        <f>SUMIFS(Movimentacoes!$G:$G,Movimentacoes!$C:$C,$A3329,Movimentacoes!$E:$E,$C3329,Movimentacoes!$B:$B,"SAIDA_USO")</f>
        <v/>
      </c>
      <c r="I3329" s="13">
        <f>SUMIFS(Movimentacoes!$G:$G,Movimentacoes!$C:$C,$A3329,Movimentacoes!$E:$E,$C3329,Movimentacoes!$B:$B,"SAIDA_DESCARTE")</f>
        <v/>
      </c>
      <c r="J3329" s="13">
        <f>G3329-H3329-I3329</f>
        <v/>
      </c>
      <c r="K3329">
        <f>IF(A3329="","",IF(J3329&lt;=IFERROR(VLOOKUP(A3329,Cadastro_Produtos!$A:$E,5,FALSE),0),"ABAIXO DO MINIMO","OK"))</f>
        <v/>
      </c>
    </row>
    <row r="3330">
      <c r="B3330">
        <f>IFERROR(VLOOKUP(A3330,Cadastro_Produtos!A:B,2,FALSE),"")</f>
        <v/>
      </c>
      <c r="D3330" s="12" t="n"/>
      <c r="E3330" s="13">
        <f>IF(D3330="","",D3330-TODAY())</f>
        <v/>
      </c>
      <c r="F3330">
        <f>IF(D3330="","",IF(E3330&lt;0,"VENCIDO",IF(E3330&lt;=30,"VENCE EM &lt;= 30 DIAS",IF(E3330&lt;=60,"ATENCAO (31-60 DIAS)","OK"))))</f>
        <v/>
      </c>
      <c r="G3330" s="13">
        <f>SUMIFS(Movimentacoes!$G:$G,Movimentacoes!$C:$C,$A3330,Movimentacoes!$E:$E,$C3330,Movimentacoes!$B:$B,"ENTRADA")</f>
        <v/>
      </c>
      <c r="H3330" s="13">
        <f>SUMIFS(Movimentacoes!$G:$G,Movimentacoes!$C:$C,$A3330,Movimentacoes!$E:$E,$C3330,Movimentacoes!$B:$B,"SAIDA_USO")</f>
        <v/>
      </c>
      <c r="I3330" s="13">
        <f>SUMIFS(Movimentacoes!$G:$G,Movimentacoes!$C:$C,$A3330,Movimentacoes!$E:$E,$C3330,Movimentacoes!$B:$B,"SAIDA_DESCARTE")</f>
        <v/>
      </c>
      <c r="J3330" s="13">
        <f>G3330-H3330-I3330</f>
        <v/>
      </c>
      <c r="K3330">
        <f>IF(A3330="","",IF(J3330&lt;=IFERROR(VLOOKUP(A3330,Cadastro_Produtos!$A:$E,5,FALSE),0),"ABAIXO DO MINIMO","OK"))</f>
        <v/>
      </c>
    </row>
    <row r="3331">
      <c r="B3331">
        <f>IFERROR(VLOOKUP(A3331,Cadastro_Produtos!A:B,2,FALSE),"")</f>
        <v/>
      </c>
      <c r="D3331" s="12" t="n"/>
      <c r="E3331" s="13">
        <f>IF(D3331="","",D3331-TODAY())</f>
        <v/>
      </c>
      <c r="F3331">
        <f>IF(D3331="","",IF(E3331&lt;0,"VENCIDO",IF(E3331&lt;=30,"VENCE EM &lt;= 30 DIAS",IF(E3331&lt;=60,"ATENCAO (31-60 DIAS)","OK"))))</f>
        <v/>
      </c>
      <c r="G3331" s="13">
        <f>SUMIFS(Movimentacoes!$G:$G,Movimentacoes!$C:$C,$A3331,Movimentacoes!$E:$E,$C3331,Movimentacoes!$B:$B,"ENTRADA")</f>
        <v/>
      </c>
      <c r="H3331" s="13">
        <f>SUMIFS(Movimentacoes!$G:$G,Movimentacoes!$C:$C,$A3331,Movimentacoes!$E:$E,$C3331,Movimentacoes!$B:$B,"SAIDA_USO")</f>
        <v/>
      </c>
      <c r="I3331" s="13">
        <f>SUMIFS(Movimentacoes!$G:$G,Movimentacoes!$C:$C,$A3331,Movimentacoes!$E:$E,$C3331,Movimentacoes!$B:$B,"SAIDA_DESCARTE")</f>
        <v/>
      </c>
      <c r="J3331" s="13">
        <f>G3331-H3331-I3331</f>
        <v/>
      </c>
      <c r="K3331">
        <f>IF(A3331="","",IF(J3331&lt;=IFERROR(VLOOKUP(A3331,Cadastro_Produtos!$A:$E,5,FALSE),0),"ABAIXO DO MINIMO","OK"))</f>
        <v/>
      </c>
    </row>
    <row r="3332">
      <c r="B3332">
        <f>IFERROR(VLOOKUP(A3332,Cadastro_Produtos!A:B,2,FALSE),"")</f>
        <v/>
      </c>
      <c r="D3332" s="12" t="n"/>
      <c r="E3332" s="13">
        <f>IF(D3332="","",D3332-TODAY())</f>
        <v/>
      </c>
      <c r="F3332">
        <f>IF(D3332="","",IF(E3332&lt;0,"VENCIDO",IF(E3332&lt;=30,"VENCE EM &lt;= 30 DIAS",IF(E3332&lt;=60,"ATENCAO (31-60 DIAS)","OK"))))</f>
        <v/>
      </c>
      <c r="G3332" s="13">
        <f>SUMIFS(Movimentacoes!$G:$G,Movimentacoes!$C:$C,$A3332,Movimentacoes!$E:$E,$C3332,Movimentacoes!$B:$B,"ENTRADA")</f>
        <v/>
      </c>
      <c r="H3332" s="13">
        <f>SUMIFS(Movimentacoes!$G:$G,Movimentacoes!$C:$C,$A3332,Movimentacoes!$E:$E,$C3332,Movimentacoes!$B:$B,"SAIDA_USO")</f>
        <v/>
      </c>
      <c r="I3332" s="13">
        <f>SUMIFS(Movimentacoes!$G:$G,Movimentacoes!$C:$C,$A3332,Movimentacoes!$E:$E,$C3332,Movimentacoes!$B:$B,"SAIDA_DESCARTE")</f>
        <v/>
      </c>
      <c r="J3332" s="13">
        <f>G3332-H3332-I3332</f>
        <v/>
      </c>
      <c r="K3332">
        <f>IF(A3332="","",IF(J3332&lt;=IFERROR(VLOOKUP(A3332,Cadastro_Produtos!$A:$E,5,FALSE),0),"ABAIXO DO MINIMO","OK"))</f>
        <v/>
      </c>
    </row>
    <row r="3333">
      <c r="B3333">
        <f>IFERROR(VLOOKUP(A3333,Cadastro_Produtos!A:B,2,FALSE),"")</f>
        <v/>
      </c>
      <c r="D3333" s="12" t="n"/>
      <c r="E3333" s="13">
        <f>IF(D3333="","",D3333-TODAY())</f>
        <v/>
      </c>
      <c r="F3333">
        <f>IF(D3333="","",IF(E3333&lt;0,"VENCIDO",IF(E3333&lt;=30,"VENCE EM &lt;= 30 DIAS",IF(E3333&lt;=60,"ATENCAO (31-60 DIAS)","OK"))))</f>
        <v/>
      </c>
      <c r="G3333" s="13">
        <f>SUMIFS(Movimentacoes!$G:$G,Movimentacoes!$C:$C,$A3333,Movimentacoes!$E:$E,$C3333,Movimentacoes!$B:$B,"ENTRADA")</f>
        <v/>
      </c>
      <c r="H3333" s="13">
        <f>SUMIFS(Movimentacoes!$G:$G,Movimentacoes!$C:$C,$A3333,Movimentacoes!$E:$E,$C3333,Movimentacoes!$B:$B,"SAIDA_USO")</f>
        <v/>
      </c>
      <c r="I3333" s="13">
        <f>SUMIFS(Movimentacoes!$G:$G,Movimentacoes!$C:$C,$A3333,Movimentacoes!$E:$E,$C3333,Movimentacoes!$B:$B,"SAIDA_DESCARTE")</f>
        <v/>
      </c>
      <c r="J3333" s="13">
        <f>G3333-H3333-I3333</f>
        <v/>
      </c>
      <c r="K3333">
        <f>IF(A3333="","",IF(J3333&lt;=IFERROR(VLOOKUP(A3333,Cadastro_Produtos!$A:$E,5,FALSE),0),"ABAIXO DO MINIMO","OK"))</f>
        <v/>
      </c>
    </row>
    <row r="3334">
      <c r="B3334">
        <f>IFERROR(VLOOKUP(A3334,Cadastro_Produtos!A:B,2,FALSE),"")</f>
        <v/>
      </c>
      <c r="D3334" s="12" t="n"/>
      <c r="E3334" s="13">
        <f>IF(D3334="","",D3334-TODAY())</f>
        <v/>
      </c>
      <c r="F3334">
        <f>IF(D3334="","",IF(E3334&lt;0,"VENCIDO",IF(E3334&lt;=30,"VENCE EM &lt;= 30 DIAS",IF(E3334&lt;=60,"ATENCAO (31-60 DIAS)","OK"))))</f>
        <v/>
      </c>
      <c r="G3334" s="13">
        <f>SUMIFS(Movimentacoes!$G:$G,Movimentacoes!$C:$C,$A3334,Movimentacoes!$E:$E,$C3334,Movimentacoes!$B:$B,"ENTRADA")</f>
        <v/>
      </c>
      <c r="H3334" s="13">
        <f>SUMIFS(Movimentacoes!$G:$G,Movimentacoes!$C:$C,$A3334,Movimentacoes!$E:$E,$C3334,Movimentacoes!$B:$B,"SAIDA_USO")</f>
        <v/>
      </c>
      <c r="I3334" s="13">
        <f>SUMIFS(Movimentacoes!$G:$G,Movimentacoes!$C:$C,$A3334,Movimentacoes!$E:$E,$C3334,Movimentacoes!$B:$B,"SAIDA_DESCARTE")</f>
        <v/>
      </c>
      <c r="J3334" s="13">
        <f>G3334-H3334-I3334</f>
        <v/>
      </c>
      <c r="K3334">
        <f>IF(A3334="","",IF(J3334&lt;=IFERROR(VLOOKUP(A3334,Cadastro_Produtos!$A:$E,5,FALSE),0),"ABAIXO DO MINIMO","OK"))</f>
        <v/>
      </c>
    </row>
    <row r="3335">
      <c r="B3335">
        <f>IFERROR(VLOOKUP(A3335,Cadastro_Produtos!A:B,2,FALSE),"")</f>
        <v/>
      </c>
      <c r="D3335" s="12" t="n"/>
      <c r="E3335" s="13">
        <f>IF(D3335="","",D3335-TODAY())</f>
        <v/>
      </c>
      <c r="F3335">
        <f>IF(D3335="","",IF(E3335&lt;0,"VENCIDO",IF(E3335&lt;=30,"VENCE EM &lt;= 30 DIAS",IF(E3335&lt;=60,"ATENCAO (31-60 DIAS)","OK"))))</f>
        <v/>
      </c>
      <c r="G3335" s="13">
        <f>SUMIFS(Movimentacoes!$G:$G,Movimentacoes!$C:$C,$A3335,Movimentacoes!$E:$E,$C3335,Movimentacoes!$B:$B,"ENTRADA")</f>
        <v/>
      </c>
      <c r="H3335" s="13">
        <f>SUMIFS(Movimentacoes!$G:$G,Movimentacoes!$C:$C,$A3335,Movimentacoes!$E:$E,$C3335,Movimentacoes!$B:$B,"SAIDA_USO")</f>
        <v/>
      </c>
      <c r="I3335" s="13">
        <f>SUMIFS(Movimentacoes!$G:$G,Movimentacoes!$C:$C,$A3335,Movimentacoes!$E:$E,$C3335,Movimentacoes!$B:$B,"SAIDA_DESCARTE")</f>
        <v/>
      </c>
      <c r="J3335" s="13">
        <f>G3335-H3335-I3335</f>
        <v/>
      </c>
      <c r="K3335">
        <f>IF(A3335="","",IF(J3335&lt;=IFERROR(VLOOKUP(A3335,Cadastro_Produtos!$A:$E,5,FALSE),0),"ABAIXO DO MINIMO","OK"))</f>
        <v/>
      </c>
    </row>
    <row r="3336">
      <c r="B3336">
        <f>IFERROR(VLOOKUP(A3336,Cadastro_Produtos!A:B,2,FALSE),"")</f>
        <v/>
      </c>
      <c r="D3336" s="12" t="n"/>
      <c r="E3336" s="13">
        <f>IF(D3336="","",D3336-TODAY())</f>
        <v/>
      </c>
      <c r="F3336">
        <f>IF(D3336="","",IF(E3336&lt;0,"VENCIDO",IF(E3336&lt;=30,"VENCE EM &lt;= 30 DIAS",IF(E3336&lt;=60,"ATENCAO (31-60 DIAS)","OK"))))</f>
        <v/>
      </c>
      <c r="G3336" s="13">
        <f>SUMIFS(Movimentacoes!$G:$G,Movimentacoes!$C:$C,$A3336,Movimentacoes!$E:$E,$C3336,Movimentacoes!$B:$B,"ENTRADA")</f>
        <v/>
      </c>
      <c r="H3336" s="13">
        <f>SUMIFS(Movimentacoes!$G:$G,Movimentacoes!$C:$C,$A3336,Movimentacoes!$E:$E,$C3336,Movimentacoes!$B:$B,"SAIDA_USO")</f>
        <v/>
      </c>
      <c r="I3336" s="13">
        <f>SUMIFS(Movimentacoes!$G:$G,Movimentacoes!$C:$C,$A3336,Movimentacoes!$E:$E,$C3336,Movimentacoes!$B:$B,"SAIDA_DESCARTE")</f>
        <v/>
      </c>
      <c r="J3336" s="13">
        <f>G3336-H3336-I3336</f>
        <v/>
      </c>
      <c r="K3336">
        <f>IF(A3336="","",IF(J3336&lt;=IFERROR(VLOOKUP(A3336,Cadastro_Produtos!$A:$E,5,FALSE),0),"ABAIXO DO MINIMO","OK"))</f>
        <v/>
      </c>
    </row>
    <row r="3337">
      <c r="B3337">
        <f>IFERROR(VLOOKUP(A3337,Cadastro_Produtos!A:B,2,FALSE),"")</f>
        <v/>
      </c>
      <c r="D3337" s="12" t="n"/>
      <c r="E3337" s="13">
        <f>IF(D3337="","",D3337-TODAY())</f>
        <v/>
      </c>
      <c r="F3337">
        <f>IF(D3337="","",IF(E3337&lt;0,"VENCIDO",IF(E3337&lt;=30,"VENCE EM &lt;= 30 DIAS",IF(E3337&lt;=60,"ATENCAO (31-60 DIAS)","OK"))))</f>
        <v/>
      </c>
      <c r="G3337" s="13">
        <f>SUMIFS(Movimentacoes!$G:$G,Movimentacoes!$C:$C,$A3337,Movimentacoes!$E:$E,$C3337,Movimentacoes!$B:$B,"ENTRADA")</f>
        <v/>
      </c>
      <c r="H3337" s="13">
        <f>SUMIFS(Movimentacoes!$G:$G,Movimentacoes!$C:$C,$A3337,Movimentacoes!$E:$E,$C3337,Movimentacoes!$B:$B,"SAIDA_USO")</f>
        <v/>
      </c>
      <c r="I3337" s="13">
        <f>SUMIFS(Movimentacoes!$G:$G,Movimentacoes!$C:$C,$A3337,Movimentacoes!$E:$E,$C3337,Movimentacoes!$B:$B,"SAIDA_DESCARTE")</f>
        <v/>
      </c>
      <c r="J3337" s="13">
        <f>G3337-H3337-I3337</f>
        <v/>
      </c>
      <c r="K3337">
        <f>IF(A3337="","",IF(J3337&lt;=IFERROR(VLOOKUP(A3337,Cadastro_Produtos!$A:$E,5,FALSE),0),"ABAIXO DO MINIMO","OK"))</f>
        <v/>
      </c>
    </row>
    <row r="3338">
      <c r="B3338">
        <f>IFERROR(VLOOKUP(A3338,Cadastro_Produtos!A:B,2,FALSE),"")</f>
        <v/>
      </c>
      <c r="D3338" s="12" t="n"/>
      <c r="E3338" s="13">
        <f>IF(D3338="","",D3338-TODAY())</f>
        <v/>
      </c>
      <c r="F3338">
        <f>IF(D3338="","",IF(E3338&lt;0,"VENCIDO",IF(E3338&lt;=30,"VENCE EM &lt;= 30 DIAS",IF(E3338&lt;=60,"ATENCAO (31-60 DIAS)","OK"))))</f>
        <v/>
      </c>
      <c r="G3338" s="13">
        <f>SUMIFS(Movimentacoes!$G:$G,Movimentacoes!$C:$C,$A3338,Movimentacoes!$E:$E,$C3338,Movimentacoes!$B:$B,"ENTRADA")</f>
        <v/>
      </c>
      <c r="H3338" s="13">
        <f>SUMIFS(Movimentacoes!$G:$G,Movimentacoes!$C:$C,$A3338,Movimentacoes!$E:$E,$C3338,Movimentacoes!$B:$B,"SAIDA_USO")</f>
        <v/>
      </c>
      <c r="I3338" s="13">
        <f>SUMIFS(Movimentacoes!$G:$G,Movimentacoes!$C:$C,$A3338,Movimentacoes!$E:$E,$C3338,Movimentacoes!$B:$B,"SAIDA_DESCARTE")</f>
        <v/>
      </c>
      <c r="J3338" s="13">
        <f>G3338-H3338-I3338</f>
        <v/>
      </c>
      <c r="K3338">
        <f>IF(A3338="","",IF(J3338&lt;=IFERROR(VLOOKUP(A3338,Cadastro_Produtos!$A:$E,5,FALSE),0),"ABAIXO DO MINIMO","OK"))</f>
        <v/>
      </c>
    </row>
    <row r="3339">
      <c r="B3339">
        <f>IFERROR(VLOOKUP(A3339,Cadastro_Produtos!A:B,2,FALSE),"")</f>
        <v/>
      </c>
      <c r="D3339" s="12" t="n"/>
      <c r="E3339" s="13">
        <f>IF(D3339="","",D3339-TODAY())</f>
        <v/>
      </c>
      <c r="F3339">
        <f>IF(D3339="","",IF(E3339&lt;0,"VENCIDO",IF(E3339&lt;=30,"VENCE EM &lt;= 30 DIAS",IF(E3339&lt;=60,"ATENCAO (31-60 DIAS)","OK"))))</f>
        <v/>
      </c>
      <c r="G3339" s="13">
        <f>SUMIFS(Movimentacoes!$G:$G,Movimentacoes!$C:$C,$A3339,Movimentacoes!$E:$E,$C3339,Movimentacoes!$B:$B,"ENTRADA")</f>
        <v/>
      </c>
      <c r="H3339" s="13">
        <f>SUMIFS(Movimentacoes!$G:$G,Movimentacoes!$C:$C,$A3339,Movimentacoes!$E:$E,$C3339,Movimentacoes!$B:$B,"SAIDA_USO")</f>
        <v/>
      </c>
      <c r="I3339" s="13">
        <f>SUMIFS(Movimentacoes!$G:$G,Movimentacoes!$C:$C,$A3339,Movimentacoes!$E:$E,$C3339,Movimentacoes!$B:$B,"SAIDA_DESCARTE")</f>
        <v/>
      </c>
      <c r="J3339" s="13">
        <f>G3339-H3339-I3339</f>
        <v/>
      </c>
      <c r="K3339">
        <f>IF(A3339="","",IF(J3339&lt;=IFERROR(VLOOKUP(A3339,Cadastro_Produtos!$A:$E,5,FALSE),0),"ABAIXO DO MINIMO","OK"))</f>
        <v/>
      </c>
    </row>
    <row r="3340">
      <c r="B3340">
        <f>IFERROR(VLOOKUP(A3340,Cadastro_Produtos!A:B,2,FALSE),"")</f>
        <v/>
      </c>
      <c r="D3340" s="12" t="n"/>
      <c r="E3340" s="13">
        <f>IF(D3340="","",D3340-TODAY())</f>
        <v/>
      </c>
      <c r="F3340">
        <f>IF(D3340="","",IF(E3340&lt;0,"VENCIDO",IF(E3340&lt;=30,"VENCE EM &lt;= 30 DIAS",IF(E3340&lt;=60,"ATENCAO (31-60 DIAS)","OK"))))</f>
        <v/>
      </c>
      <c r="G3340" s="13">
        <f>SUMIFS(Movimentacoes!$G:$G,Movimentacoes!$C:$C,$A3340,Movimentacoes!$E:$E,$C3340,Movimentacoes!$B:$B,"ENTRADA")</f>
        <v/>
      </c>
      <c r="H3340" s="13">
        <f>SUMIFS(Movimentacoes!$G:$G,Movimentacoes!$C:$C,$A3340,Movimentacoes!$E:$E,$C3340,Movimentacoes!$B:$B,"SAIDA_USO")</f>
        <v/>
      </c>
      <c r="I3340" s="13">
        <f>SUMIFS(Movimentacoes!$G:$G,Movimentacoes!$C:$C,$A3340,Movimentacoes!$E:$E,$C3340,Movimentacoes!$B:$B,"SAIDA_DESCARTE")</f>
        <v/>
      </c>
      <c r="J3340" s="13">
        <f>G3340-H3340-I3340</f>
        <v/>
      </c>
      <c r="K3340">
        <f>IF(A3340="","",IF(J3340&lt;=IFERROR(VLOOKUP(A3340,Cadastro_Produtos!$A:$E,5,FALSE),0),"ABAIXO DO MINIMO","OK"))</f>
        <v/>
      </c>
    </row>
    <row r="3341">
      <c r="B3341">
        <f>IFERROR(VLOOKUP(A3341,Cadastro_Produtos!A:B,2,FALSE),"")</f>
        <v/>
      </c>
      <c r="D3341" s="12" t="n"/>
      <c r="E3341" s="13">
        <f>IF(D3341="","",D3341-TODAY())</f>
        <v/>
      </c>
      <c r="F3341">
        <f>IF(D3341="","",IF(E3341&lt;0,"VENCIDO",IF(E3341&lt;=30,"VENCE EM &lt;= 30 DIAS",IF(E3341&lt;=60,"ATENCAO (31-60 DIAS)","OK"))))</f>
        <v/>
      </c>
      <c r="G3341" s="13">
        <f>SUMIFS(Movimentacoes!$G:$G,Movimentacoes!$C:$C,$A3341,Movimentacoes!$E:$E,$C3341,Movimentacoes!$B:$B,"ENTRADA")</f>
        <v/>
      </c>
      <c r="H3341" s="13">
        <f>SUMIFS(Movimentacoes!$G:$G,Movimentacoes!$C:$C,$A3341,Movimentacoes!$E:$E,$C3341,Movimentacoes!$B:$B,"SAIDA_USO")</f>
        <v/>
      </c>
      <c r="I3341" s="13">
        <f>SUMIFS(Movimentacoes!$G:$G,Movimentacoes!$C:$C,$A3341,Movimentacoes!$E:$E,$C3341,Movimentacoes!$B:$B,"SAIDA_DESCARTE")</f>
        <v/>
      </c>
      <c r="J3341" s="13">
        <f>G3341-H3341-I3341</f>
        <v/>
      </c>
      <c r="K3341">
        <f>IF(A3341="","",IF(J3341&lt;=IFERROR(VLOOKUP(A3341,Cadastro_Produtos!$A:$E,5,FALSE),0),"ABAIXO DO MINIMO","OK"))</f>
        <v/>
      </c>
    </row>
    <row r="3342">
      <c r="B3342">
        <f>IFERROR(VLOOKUP(A3342,Cadastro_Produtos!A:B,2,FALSE),"")</f>
        <v/>
      </c>
      <c r="D3342" s="12" t="n"/>
      <c r="E3342" s="13">
        <f>IF(D3342="","",D3342-TODAY())</f>
        <v/>
      </c>
      <c r="F3342">
        <f>IF(D3342="","",IF(E3342&lt;0,"VENCIDO",IF(E3342&lt;=30,"VENCE EM &lt;= 30 DIAS",IF(E3342&lt;=60,"ATENCAO (31-60 DIAS)","OK"))))</f>
        <v/>
      </c>
      <c r="G3342" s="13">
        <f>SUMIFS(Movimentacoes!$G:$G,Movimentacoes!$C:$C,$A3342,Movimentacoes!$E:$E,$C3342,Movimentacoes!$B:$B,"ENTRADA")</f>
        <v/>
      </c>
      <c r="H3342" s="13">
        <f>SUMIFS(Movimentacoes!$G:$G,Movimentacoes!$C:$C,$A3342,Movimentacoes!$E:$E,$C3342,Movimentacoes!$B:$B,"SAIDA_USO")</f>
        <v/>
      </c>
      <c r="I3342" s="13">
        <f>SUMIFS(Movimentacoes!$G:$G,Movimentacoes!$C:$C,$A3342,Movimentacoes!$E:$E,$C3342,Movimentacoes!$B:$B,"SAIDA_DESCARTE")</f>
        <v/>
      </c>
      <c r="J3342" s="13">
        <f>G3342-H3342-I3342</f>
        <v/>
      </c>
      <c r="K3342">
        <f>IF(A3342="","",IF(J3342&lt;=IFERROR(VLOOKUP(A3342,Cadastro_Produtos!$A:$E,5,FALSE),0),"ABAIXO DO MINIMO","OK"))</f>
        <v/>
      </c>
    </row>
    <row r="3343">
      <c r="B3343">
        <f>IFERROR(VLOOKUP(A3343,Cadastro_Produtos!A:B,2,FALSE),"")</f>
        <v/>
      </c>
      <c r="D3343" s="12" t="n"/>
      <c r="E3343" s="13">
        <f>IF(D3343="","",D3343-TODAY())</f>
        <v/>
      </c>
      <c r="F3343">
        <f>IF(D3343="","",IF(E3343&lt;0,"VENCIDO",IF(E3343&lt;=30,"VENCE EM &lt;= 30 DIAS",IF(E3343&lt;=60,"ATENCAO (31-60 DIAS)","OK"))))</f>
        <v/>
      </c>
      <c r="G3343" s="13">
        <f>SUMIFS(Movimentacoes!$G:$G,Movimentacoes!$C:$C,$A3343,Movimentacoes!$E:$E,$C3343,Movimentacoes!$B:$B,"ENTRADA")</f>
        <v/>
      </c>
      <c r="H3343" s="13">
        <f>SUMIFS(Movimentacoes!$G:$G,Movimentacoes!$C:$C,$A3343,Movimentacoes!$E:$E,$C3343,Movimentacoes!$B:$B,"SAIDA_USO")</f>
        <v/>
      </c>
      <c r="I3343" s="13">
        <f>SUMIFS(Movimentacoes!$G:$G,Movimentacoes!$C:$C,$A3343,Movimentacoes!$E:$E,$C3343,Movimentacoes!$B:$B,"SAIDA_DESCARTE")</f>
        <v/>
      </c>
      <c r="J3343" s="13">
        <f>G3343-H3343-I3343</f>
        <v/>
      </c>
      <c r="K3343">
        <f>IF(A3343="","",IF(J3343&lt;=IFERROR(VLOOKUP(A3343,Cadastro_Produtos!$A:$E,5,FALSE),0),"ABAIXO DO MINIMO","OK"))</f>
        <v/>
      </c>
    </row>
    <row r="3344">
      <c r="B3344">
        <f>IFERROR(VLOOKUP(A3344,Cadastro_Produtos!A:B,2,FALSE),"")</f>
        <v/>
      </c>
      <c r="D3344" s="12" t="n"/>
      <c r="E3344" s="13">
        <f>IF(D3344="","",D3344-TODAY())</f>
        <v/>
      </c>
      <c r="F3344">
        <f>IF(D3344="","",IF(E3344&lt;0,"VENCIDO",IF(E3344&lt;=30,"VENCE EM &lt;= 30 DIAS",IF(E3344&lt;=60,"ATENCAO (31-60 DIAS)","OK"))))</f>
        <v/>
      </c>
      <c r="G3344" s="13">
        <f>SUMIFS(Movimentacoes!$G:$G,Movimentacoes!$C:$C,$A3344,Movimentacoes!$E:$E,$C3344,Movimentacoes!$B:$B,"ENTRADA")</f>
        <v/>
      </c>
      <c r="H3344" s="13">
        <f>SUMIFS(Movimentacoes!$G:$G,Movimentacoes!$C:$C,$A3344,Movimentacoes!$E:$E,$C3344,Movimentacoes!$B:$B,"SAIDA_USO")</f>
        <v/>
      </c>
      <c r="I3344" s="13">
        <f>SUMIFS(Movimentacoes!$G:$G,Movimentacoes!$C:$C,$A3344,Movimentacoes!$E:$E,$C3344,Movimentacoes!$B:$B,"SAIDA_DESCARTE")</f>
        <v/>
      </c>
      <c r="J3344" s="13">
        <f>G3344-H3344-I3344</f>
        <v/>
      </c>
      <c r="K3344">
        <f>IF(A3344="","",IF(J3344&lt;=IFERROR(VLOOKUP(A3344,Cadastro_Produtos!$A:$E,5,FALSE),0),"ABAIXO DO MINIMO","OK"))</f>
        <v/>
      </c>
    </row>
    <row r="3345">
      <c r="B3345">
        <f>IFERROR(VLOOKUP(A3345,Cadastro_Produtos!A:B,2,FALSE),"")</f>
        <v/>
      </c>
      <c r="D3345" s="12" t="n"/>
      <c r="E3345" s="13">
        <f>IF(D3345="","",D3345-TODAY())</f>
        <v/>
      </c>
      <c r="F3345">
        <f>IF(D3345="","",IF(E3345&lt;0,"VENCIDO",IF(E3345&lt;=30,"VENCE EM &lt;= 30 DIAS",IF(E3345&lt;=60,"ATENCAO (31-60 DIAS)","OK"))))</f>
        <v/>
      </c>
      <c r="G3345" s="13">
        <f>SUMIFS(Movimentacoes!$G:$G,Movimentacoes!$C:$C,$A3345,Movimentacoes!$E:$E,$C3345,Movimentacoes!$B:$B,"ENTRADA")</f>
        <v/>
      </c>
      <c r="H3345" s="13">
        <f>SUMIFS(Movimentacoes!$G:$G,Movimentacoes!$C:$C,$A3345,Movimentacoes!$E:$E,$C3345,Movimentacoes!$B:$B,"SAIDA_USO")</f>
        <v/>
      </c>
      <c r="I3345" s="13">
        <f>SUMIFS(Movimentacoes!$G:$G,Movimentacoes!$C:$C,$A3345,Movimentacoes!$E:$E,$C3345,Movimentacoes!$B:$B,"SAIDA_DESCARTE")</f>
        <v/>
      </c>
      <c r="J3345" s="13">
        <f>G3345-H3345-I3345</f>
        <v/>
      </c>
      <c r="K3345">
        <f>IF(A3345="","",IF(J3345&lt;=IFERROR(VLOOKUP(A3345,Cadastro_Produtos!$A:$E,5,FALSE),0),"ABAIXO DO MINIMO","OK"))</f>
        <v/>
      </c>
    </row>
    <row r="3346">
      <c r="B3346">
        <f>IFERROR(VLOOKUP(A3346,Cadastro_Produtos!A:B,2,FALSE),"")</f>
        <v/>
      </c>
      <c r="D3346" s="12" t="n"/>
      <c r="E3346" s="13">
        <f>IF(D3346="","",D3346-TODAY())</f>
        <v/>
      </c>
      <c r="F3346">
        <f>IF(D3346="","",IF(E3346&lt;0,"VENCIDO",IF(E3346&lt;=30,"VENCE EM &lt;= 30 DIAS",IF(E3346&lt;=60,"ATENCAO (31-60 DIAS)","OK"))))</f>
        <v/>
      </c>
      <c r="G3346" s="13">
        <f>SUMIFS(Movimentacoes!$G:$G,Movimentacoes!$C:$C,$A3346,Movimentacoes!$E:$E,$C3346,Movimentacoes!$B:$B,"ENTRADA")</f>
        <v/>
      </c>
      <c r="H3346" s="13">
        <f>SUMIFS(Movimentacoes!$G:$G,Movimentacoes!$C:$C,$A3346,Movimentacoes!$E:$E,$C3346,Movimentacoes!$B:$B,"SAIDA_USO")</f>
        <v/>
      </c>
      <c r="I3346" s="13">
        <f>SUMIFS(Movimentacoes!$G:$G,Movimentacoes!$C:$C,$A3346,Movimentacoes!$E:$E,$C3346,Movimentacoes!$B:$B,"SAIDA_DESCARTE")</f>
        <v/>
      </c>
      <c r="J3346" s="13">
        <f>G3346-H3346-I3346</f>
        <v/>
      </c>
      <c r="K3346">
        <f>IF(A3346="","",IF(J3346&lt;=IFERROR(VLOOKUP(A3346,Cadastro_Produtos!$A:$E,5,FALSE),0),"ABAIXO DO MINIMO","OK"))</f>
        <v/>
      </c>
    </row>
    <row r="3347">
      <c r="B3347">
        <f>IFERROR(VLOOKUP(A3347,Cadastro_Produtos!A:B,2,FALSE),"")</f>
        <v/>
      </c>
      <c r="D3347" s="12" t="n"/>
      <c r="E3347" s="13">
        <f>IF(D3347="","",D3347-TODAY())</f>
        <v/>
      </c>
      <c r="F3347">
        <f>IF(D3347="","",IF(E3347&lt;0,"VENCIDO",IF(E3347&lt;=30,"VENCE EM &lt;= 30 DIAS",IF(E3347&lt;=60,"ATENCAO (31-60 DIAS)","OK"))))</f>
        <v/>
      </c>
      <c r="G3347" s="13">
        <f>SUMIFS(Movimentacoes!$G:$G,Movimentacoes!$C:$C,$A3347,Movimentacoes!$E:$E,$C3347,Movimentacoes!$B:$B,"ENTRADA")</f>
        <v/>
      </c>
      <c r="H3347" s="13">
        <f>SUMIFS(Movimentacoes!$G:$G,Movimentacoes!$C:$C,$A3347,Movimentacoes!$E:$E,$C3347,Movimentacoes!$B:$B,"SAIDA_USO")</f>
        <v/>
      </c>
      <c r="I3347" s="13">
        <f>SUMIFS(Movimentacoes!$G:$G,Movimentacoes!$C:$C,$A3347,Movimentacoes!$E:$E,$C3347,Movimentacoes!$B:$B,"SAIDA_DESCARTE")</f>
        <v/>
      </c>
      <c r="J3347" s="13">
        <f>G3347-H3347-I3347</f>
        <v/>
      </c>
      <c r="K3347">
        <f>IF(A3347="","",IF(J3347&lt;=IFERROR(VLOOKUP(A3347,Cadastro_Produtos!$A:$E,5,FALSE),0),"ABAIXO DO MINIMO","OK"))</f>
        <v/>
      </c>
    </row>
    <row r="3348">
      <c r="B3348">
        <f>IFERROR(VLOOKUP(A3348,Cadastro_Produtos!A:B,2,FALSE),"")</f>
        <v/>
      </c>
      <c r="D3348" s="12" t="n"/>
      <c r="E3348" s="13">
        <f>IF(D3348="","",D3348-TODAY())</f>
        <v/>
      </c>
      <c r="F3348">
        <f>IF(D3348="","",IF(E3348&lt;0,"VENCIDO",IF(E3348&lt;=30,"VENCE EM &lt;= 30 DIAS",IF(E3348&lt;=60,"ATENCAO (31-60 DIAS)","OK"))))</f>
        <v/>
      </c>
      <c r="G3348" s="13">
        <f>SUMIFS(Movimentacoes!$G:$G,Movimentacoes!$C:$C,$A3348,Movimentacoes!$E:$E,$C3348,Movimentacoes!$B:$B,"ENTRADA")</f>
        <v/>
      </c>
      <c r="H3348" s="13">
        <f>SUMIFS(Movimentacoes!$G:$G,Movimentacoes!$C:$C,$A3348,Movimentacoes!$E:$E,$C3348,Movimentacoes!$B:$B,"SAIDA_USO")</f>
        <v/>
      </c>
      <c r="I3348" s="13">
        <f>SUMIFS(Movimentacoes!$G:$G,Movimentacoes!$C:$C,$A3348,Movimentacoes!$E:$E,$C3348,Movimentacoes!$B:$B,"SAIDA_DESCARTE")</f>
        <v/>
      </c>
      <c r="J3348" s="13">
        <f>G3348-H3348-I3348</f>
        <v/>
      </c>
      <c r="K3348">
        <f>IF(A3348="","",IF(J3348&lt;=IFERROR(VLOOKUP(A3348,Cadastro_Produtos!$A:$E,5,FALSE),0),"ABAIXO DO MINIMO","OK"))</f>
        <v/>
      </c>
    </row>
    <row r="3349">
      <c r="B3349">
        <f>IFERROR(VLOOKUP(A3349,Cadastro_Produtos!A:B,2,FALSE),"")</f>
        <v/>
      </c>
      <c r="D3349" s="12" t="n"/>
      <c r="E3349" s="13">
        <f>IF(D3349="","",D3349-TODAY())</f>
        <v/>
      </c>
      <c r="F3349">
        <f>IF(D3349="","",IF(E3349&lt;0,"VENCIDO",IF(E3349&lt;=30,"VENCE EM &lt;= 30 DIAS",IF(E3349&lt;=60,"ATENCAO (31-60 DIAS)","OK"))))</f>
        <v/>
      </c>
      <c r="G3349" s="13">
        <f>SUMIFS(Movimentacoes!$G:$G,Movimentacoes!$C:$C,$A3349,Movimentacoes!$E:$E,$C3349,Movimentacoes!$B:$B,"ENTRADA")</f>
        <v/>
      </c>
      <c r="H3349" s="13">
        <f>SUMIFS(Movimentacoes!$G:$G,Movimentacoes!$C:$C,$A3349,Movimentacoes!$E:$E,$C3349,Movimentacoes!$B:$B,"SAIDA_USO")</f>
        <v/>
      </c>
      <c r="I3349" s="13">
        <f>SUMIFS(Movimentacoes!$G:$G,Movimentacoes!$C:$C,$A3349,Movimentacoes!$E:$E,$C3349,Movimentacoes!$B:$B,"SAIDA_DESCARTE")</f>
        <v/>
      </c>
      <c r="J3349" s="13">
        <f>G3349-H3349-I3349</f>
        <v/>
      </c>
      <c r="K3349">
        <f>IF(A3349="","",IF(J3349&lt;=IFERROR(VLOOKUP(A3349,Cadastro_Produtos!$A:$E,5,FALSE),0),"ABAIXO DO MINIMO","OK"))</f>
        <v/>
      </c>
    </row>
    <row r="3350">
      <c r="B3350">
        <f>IFERROR(VLOOKUP(A3350,Cadastro_Produtos!A:B,2,FALSE),"")</f>
        <v/>
      </c>
      <c r="D3350" s="12" t="n"/>
      <c r="E3350" s="13">
        <f>IF(D3350="","",D3350-TODAY())</f>
        <v/>
      </c>
      <c r="F3350">
        <f>IF(D3350="","",IF(E3350&lt;0,"VENCIDO",IF(E3350&lt;=30,"VENCE EM &lt;= 30 DIAS",IF(E3350&lt;=60,"ATENCAO (31-60 DIAS)","OK"))))</f>
        <v/>
      </c>
      <c r="G3350" s="13">
        <f>SUMIFS(Movimentacoes!$G:$G,Movimentacoes!$C:$C,$A3350,Movimentacoes!$E:$E,$C3350,Movimentacoes!$B:$B,"ENTRADA")</f>
        <v/>
      </c>
      <c r="H3350" s="13">
        <f>SUMIFS(Movimentacoes!$G:$G,Movimentacoes!$C:$C,$A3350,Movimentacoes!$E:$E,$C3350,Movimentacoes!$B:$B,"SAIDA_USO")</f>
        <v/>
      </c>
      <c r="I3350" s="13">
        <f>SUMIFS(Movimentacoes!$G:$G,Movimentacoes!$C:$C,$A3350,Movimentacoes!$E:$E,$C3350,Movimentacoes!$B:$B,"SAIDA_DESCARTE")</f>
        <v/>
      </c>
      <c r="J3350" s="13">
        <f>G3350-H3350-I3350</f>
        <v/>
      </c>
      <c r="K3350">
        <f>IF(A3350="","",IF(J3350&lt;=IFERROR(VLOOKUP(A3350,Cadastro_Produtos!$A:$E,5,FALSE),0),"ABAIXO DO MINIMO","OK"))</f>
        <v/>
      </c>
    </row>
    <row r="3351">
      <c r="B3351">
        <f>IFERROR(VLOOKUP(A3351,Cadastro_Produtos!A:B,2,FALSE),"")</f>
        <v/>
      </c>
      <c r="D3351" s="12" t="n"/>
      <c r="E3351" s="13">
        <f>IF(D3351="","",D3351-TODAY())</f>
        <v/>
      </c>
      <c r="F3351">
        <f>IF(D3351="","",IF(E3351&lt;0,"VENCIDO",IF(E3351&lt;=30,"VENCE EM &lt;= 30 DIAS",IF(E3351&lt;=60,"ATENCAO (31-60 DIAS)","OK"))))</f>
        <v/>
      </c>
      <c r="G3351" s="13">
        <f>SUMIFS(Movimentacoes!$G:$G,Movimentacoes!$C:$C,$A3351,Movimentacoes!$E:$E,$C3351,Movimentacoes!$B:$B,"ENTRADA")</f>
        <v/>
      </c>
      <c r="H3351" s="13">
        <f>SUMIFS(Movimentacoes!$G:$G,Movimentacoes!$C:$C,$A3351,Movimentacoes!$E:$E,$C3351,Movimentacoes!$B:$B,"SAIDA_USO")</f>
        <v/>
      </c>
      <c r="I3351" s="13">
        <f>SUMIFS(Movimentacoes!$G:$G,Movimentacoes!$C:$C,$A3351,Movimentacoes!$E:$E,$C3351,Movimentacoes!$B:$B,"SAIDA_DESCARTE")</f>
        <v/>
      </c>
      <c r="J3351" s="13">
        <f>G3351-H3351-I3351</f>
        <v/>
      </c>
      <c r="K3351">
        <f>IF(A3351="","",IF(J3351&lt;=IFERROR(VLOOKUP(A3351,Cadastro_Produtos!$A:$E,5,FALSE),0),"ABAIXO DO MINIMO","OK"))</f>
        <v/>
      </c>
    </row>
    <row r="3352">
      <c r="B3352">
        <f>IFERROR(VLOOKUP(A3352,Cadastro_Produtos!A:B,2,FALSE),"")</f>
        <v/>
      </c>
      <c r="D3352" s="12" t="n"/>
      <c r="E3352" s="13">
        <f>IF(D3352="","",D3352-TODAY())</f>
        <v/>
      </c>
      <c r="F3352">
        <f>IF(D3352="","",IF(E3352&lt;0,"VENCIDO",IF(E3352&lt;=30,"VENCE EM &lt;= 30 DIAS",IF(E3352&lt;=60,"ATENCAO (31-60 DIAS)","OK"))))</f>
        <v/>
      </c>
      <c r="G3352" s="13">
        <f>SUMIFS(Movimentacoes!$G:$G,Movimentacoes!$C:$C,$A3352,Movimentacoes!$E:$E,$C3352,Movimentacoes!$B:$B,"ENTRADA")</f>
        <v/>
      </c>
      <c r="H3352" s="13">
        <f>SUMIFS(Movimentacoes!$G:$G,Movimentacoes!$C:$C,$A3352,Movimentacoes!$E:$E,$C3352,Movimentacoes!$B:$B,"SAIDA_USO")</f>
        <v/>
      </c>
      <c r="I3352" s="13">
        <f>SUMIFS(Movimentacoes!$G:$G,Movimentacoes!$C:$C,$A3352,Movimentacoes!$E:$E,$C3352,Movimentacoes!$B:$B,"SAIDA_DESCARTE")</f>
        <v/>
      </c>
      <c r="J3352" s="13">
        <f>G3352-H3352-I3352</f>
        <v/>
      </c>
      <c r="K3352">
        <f>IF(A3352="","",IF(J3352&lt;=IFERROR(VLOOKUP(A3352,Cadastro_Produtos!$A:$E,5,FALSE),0),"ABAIXO DO MINIMO","OK"))</f>
        <v/>
      </c>
    </row>
    <row r="3353">
      <c r="B3353">
        <f>IFERROR(VLOOKUP(A3353,Cadastro_Produtos!A:B,2,FALSE),"")</f>
        <v/>
      </c>
      <c r="D3353" s="12" t="n"/>
      <c r="E3353" s="13">
        <f>IF(D3353="","",D3353-TODAY())</f>
        <v/>
      </c>
      <c r="F3353">
        <f>IF(D3353="","",IF(E3353&lt;0,"VENCIDO",IF(E3353&lt;=30,"VENCE EM &lt;= 30 DIAS",IF(E3353&lt;=60,"ATENCAO (31-60 DIAS)","OK"))))</f>
        <v/>
      </c>
      <c r="G3353" s="13">
        <f>SUMIFS(Movimentacoes!$G:$G,Movimentacoes!$C:$C,$A3353,Movimentacoes!$E:$E,$C3353,Movimentacoes!$B:$B,"ENTRADA")</f>
        <v/>
      </c>
      <c r="H3353" s="13">
        <f>SUMIFS(Movimentacoes!$G:$G,Movimentacoes!$C:$C,$A3353,Movimentacoes!$E:$E,$C3353,Movimentacoes!$B:$B,"SAIDA_USO")</f>
        <v/>
      </c>
      <c r="I3353" s="13">
        <f>SUMIFS(Movimentacoes!$G:$G,Movimentacoes!$C:$C,$A3353,Movimentacoes!$E:$E,$C3353,Movimentacoes!$B:$B,"SAIDA_DESCARTE")</f>
        <v/>
      </c>
      <c r="J3353" s="13">
        <f>G3353-H3353-I3353</f>
        <v/>
      </c>
      <c r="K3353">
        <f>IF(A3353="","",IF(J3353&lt;=IFERROR(VLOOKUP(A3353,Cadastro_Produtos!$A:$E,5,FALSE),0),"ABAIXO DO MINIMO","OK"))</f>
        <v/>
      </c>
    </row>
    <row r="3354">
      <c r="B3354">
        <f>IFERROR(VLOOKUP(A3354,Cadastro_Produtos!A:B,2,FALSE),"")</f>
        <v/>
      </c>
      <c r="D3354" s="12" t="n"/>
      <c r="E3354" s="13">
        <f>IF(D3354="","",D3354-TODAY())</f>
        <v/>
      </c>
      <c r="F3354">
        <f>IF(D3354="","",IF(E3354&lt;0,"VENCIDO",IF(E3354&lt;=30,"VENCE EM &lt;= 30 DIAS",IF(E3354&lt;=60,"ATENCAO (31-60 DIAS)","OK"))))</f>
        <v/>
      </c>
      <c r="G3354" s="13">
        <f>SUMIFS(Movimentacoes!$G:$G,Movimentacoes!$C:$C,$A3354,Movimentacoes!$E:$E,$C3354,Movimentacoes!$B:$B,"ENTRADA")</f>
        <v/>
      </c>
      <c r="H3354" s="13">
        <f>SUMIFS(Movimentacoes!$G:$G,Movimentacoes!$C:$C,$A3354,Movimentacoes!$E:$E,$C3354,Movimentacoes!$B:$B,"SAIDA_USO")</f>
        <v/>
      </c>
      <c r="I3354" s="13">
        <f>SUMIFS(Movimentacoes!$G:$G,Movimentacoes!$C:$C,$A3354,Movimentacoes!$E:$E,$C3354,Movimentacoes!$B:$B,"SAIDA_DESCARTE")</f>
        <v/>
      </c>
      <c r="J3354" s="13">
        <f>G3354-H3354-I3354</f>
        <v/>
      </c>
      <c r="K3354">
        <f>IF(A3354="","",IF(J3354&lt;=IFERROR(VLOOKUP(A3354,Cadastro_Produtos!$A:$E,5,FALSE),0),"ABAIXO DO MINIMO","OK"))</f>
        <v/>
      </c>
    </row>
    <row r="3355">
      <c r="B3355">
        <f>IFERROR(VLOOKUP(A3355,Cadastro_Produtos!A:B,2,FALSE),"")</f>
        <v/>
      </c>
      <c r="D3355" s="12" t="n"/>
      <c r="E3355" s="13">
        <f>IF(D3355="","",D3355-TODAY())</f>
        <v/>
      </c>
      <c r="F3355">
        <f>IF(D3355="","",IF(E3355&lt;0,"VENCIDO",IF(E3355&lt;=30,"VENCE EM &lt;= 30 DIAS",IF(E3355&lt;=60,"ATENCAO (31-60 DIAS)","OK"))))</f>
        <v/>
      </c>
      <c r="G3355" s="13">
        <f>SUMIFS(Movimentacoes!$G:$G,Movimentacoes!$C:$C,$A3355,Movimentacoes!$E:$E,$C3355,Movimentacoes!$B:$B,"ENTRADA")</f>
        <v/>
      </c>
      <c r="H3355" s="13">
        <f>SUMIFS(Movimentacoes!$G:$G,Movimentacoes!$C:$C,$A3355,Movimentacoes!$E:$E,$C3355,Movimentacoes!$B:$B,"SAIDA_USO")</f>
        <v/>
      </c>
      <c r="I3355" s="13">
        <f>SUMIFS(Movimentacoes!$G:$G,Movimentacoes!$C:$C,$A3355,Movimentacoes!$E:$E,$C3355,Movimentacoes!$B:$B,"SAIDA_DESCARTE")</f>
        <v/>
      </c>
      <c r="J3355" s="13">
        <f>G3355-H3355-I3355</f>
        <v/>
      </c>
      <c r="K3355">
        <f>IF(A3355="","",IF(J3355&lt;=IFERROR(VLOOKUP(A3355,Cadastro_Produtos!$A:$E,5,FALSE),0),"ABAIXO DO MINIMO","OK"))</f>
        <v/>
      </c>
    </row>
    <row r="3356">
      <c r="B3356">
        <f>IFERROR(VLOOKUP(A3356,Cadastro_Produtos!A:B,2,FALSE),"")</f>
        <v/>
      </c>
      <c r="D3356" s="12" t="n"/>
      <c r="E3356" s="13">
        <f>IF(D3356="","",D3356-TODAY())</f>
        <v/>
      </c>
      <c r="F3356">
        <f>IF(D3356="","",IF(E3356&lt;0,"VENCIDO",IF(E3356&lt;=30,"VENCE EM &lt;= 30 DIAS",IF(E3356&lt;=60,"ATENCAO (31-60 DIAS)","OK"))))</f>
        <v/>
      </c>
      <c r="G3356" s="13">
        <f>SUMIFS(Movimentacoes!$G:$G,Movimentacoes!$C:$C,$A3356,Movimentacoes!$E:$E,$C3356,Movimentacoes!$B:$B,"ENTRADA")</f>
        <v/>
      </c>
      <c r="H3356" s="13">
        <f>SUMIFS(Movimentacoes!$G:$G,Movimentacoes!$C:$C,$A3356,Movimentacoes!$E:$E,$C3356,Movimentacoes!$B:$B,"SAIDA_USO")</f>
        <v/>
      </c>
      <c r="I3356" s="13">
        <f>SUMIFS(Movimentacoes!$G:$G,Movimentacoes!$C:$C,$A3356,Movimentacoes!$E:$E,$C3356,Movimentacoes!$B:$B,"SAIDA_DESCARTE")</f>
        <v/>
      </c>
      <c r="J3356" s="13">
        <f>G3356-H3356-I3356</f>
        <v/>
      </c>
      <c r="K3356">
        <f>IF(A3356="","",IF(J3356&lt;=IFERROR(VLOOKUP(A3356,Cadastro_Produtos!$A:$E,5,FALSE),0),"ABAIXO DO MINIMO","OK"))</f>
        <v/>
      </c>
    </row>
    <row r="3357">
      <c r="B3357">
        <f>IFERROR(VLOOKUP(A3357,Cadastro_Produtos!A:B,2,FALSE),"")</f>
        <v/>
      </c>
      <c r="D3357" s="12" t="n"/>
      <c r="E3357" s="13">
        <f>IF(D3357="","",D3357-TODAY())</f>
        <v/>
      </c>
      <c r="F3357">
        <f>IF(D3357="","",IF(E3357&lt;0,"VENCIDO",IF(E3357&lt;=30,"VENCE EM &lt;= 30 DIAS",IF(E3357&lt;=60,"ATENCAO (31-60 DIAS)","OK"))))</f>
        <v/>
      </c>
      <c r="G3357" s="13">
        <f>SUMIFS(Movimentacoes!$G:$G,Movimentacoes!$C:$C,$A3357,Movimentacoes!$E:$E,$C3357,Movimentacoes!$B:$B,"ENTRADA")</f>
        <v/>
      </c>
      <c r="H3357" s="13">
        <f>SUMIFS(Movimentacoes!$G:$G,Movimentacoes!$C:$C,$A3357,Movimentacoes!$E:$E,$C3357,Movimentacoes!$B:$B,"SAIDA_USO")</f>
        <v/>
      </c>
      <c r="I3357" s="13">
        <f>SUMIFS(Movimentacoes!$G:$G,Movimentacoes!$C:$C,$A3357,Movimentacoes!$E:$E,$C3357,Movimentacoes!$B:$B,"SAIDA_DESCARTE")</f>
        <v/>
      </c>
      <c r="J3357" s="13">
        <f>G3357-H3357-I3357</f>
        <v/>
      </c>
      <c r="K3357">
        <f>IF(A3357="","",IF(J3357&lt;=IFERROR(VLOOKUP(A3357,Cadastro_Produtos!$A:$E,5,FALSE),0),"ABAIXO DO MINIMO","OK"))</f>
        <v/>
      </c>
    </row>
    <row r="3358">
      <c r="B3358">
        <f>IFERROR(VLOOKUP(A3358,Cadastro_Produtos!A:B,2,FALSE),"")</f>
        <v/>
      </c>
      <c r="D3358" s="12" t="n"/>
      <c r="E3358" s="13">
        <f>IF(D3358="","",D3358-TODAY())</f>
        <v/>
      </c>
      <c r="F3358">
        <f>IF(D3358="","",IF(E3358&lt;0,"VENCIDO",IF(E3358&lt;=30,"VENCE EM &lt;= 30 DIAS",IF(E3358&lt;=60,"ATENCAO (31-60 DIAS)","OK"))))</f>
        <v/>
      </c>
      <c r="G3358" s="13">
        <f>SUMIFS(Movimentacoes!$G:$G,Movimentacoes!$C:$C,$A3358,Movimentacoes!$E:$E,$C3358,Movimentacoes!$B:$B,"ENTRADA")</f>
        <v/>
      </c>
      <c r="H3358" s="13">
        <f>SUMIFS(Movimentacoes!$G:$G,Movimentacoes!$C:$C,$A3358,Movimentacoes!$E:$E,$C3358,Movimentacoes!$B:$B,"SAIDA_USO")</f>
        <v/>
      </c>
      <c r="I3358" s="13">
        <f>SUMIFS(Movimentacoes!$G:$G,Movimentacoes!$C:$C,$A3358,Movimentacoes!$E:$E,$C3358,Movimentacoes!$B:$B,"SAIDA_DESCARTE")</f>
        <v/>
      </c>
      <c r="J3358" s="13">
        <f>G3358-H3358-I3358</f>
        <v/>
      </c>
      <c r="K3358">
        <f>IF(A3358="","",IF(J3358&lt;=IFERROR(VLOOKUP(A3358,Cadastro_Produtos!$A:$E,5,FALSE),0),"ABAIXO DO MINIMO","OK"))</f>
        <v/>
      </c>
    </row>
    <row r="3359">
      <c r="B3359">
        <f>IFERROR(VLOOKUP(A3359,Cadastro_Produtos!A:B,2,FALSE),"")</f>
        <v/>
      </c>
      <c r="D3359" s="12" t="n"/>
      <c r="E3359" s="13">
        <f>IF(D3359="","",D3359-TODAY())</f>
        <v/>
      </c>
      <c r="F3359">
        <f>IF(D3359="","",IF(E3359&lt;0,"VENCIDO",IF(E3359&lt;=30,"VENCE EM &lt;= 30 DIAS",IF(E3359&lt;=60,"ATENCAO (31-60 DIAS)","OK"))))</f>
        <v/>
      </c>
      <c r="G3359" s="13">
        <f>SUMIFS(Movimentacoes!$G:$G,Movimentacoes!$C:$C,$A3359,Movimentacoes!$E:$E,$C3359,Movimentacoes!$B:$B,"ENTRADA")</f>
        <v/>
      </c>
      <c r="H3359" s="13">
        <f>SUMIFS(Movimentacoes!$G:$G,Movimentacoes!$C:$C,$A3359,Movimentacoes!$E:$E,$C3359,Movimentacoes!$B:$B,"SAIDA_USO")</f>
        <v/>
      </c>
      <c r="I3359" s="13">
        <f>SUMIFS(Movimentacoes!$G:$G,Movimentacoes!$C:$C,$A3359,Movimentacoes!$E:$E,$C3359,Movimentacoes!$B:$B,"SAIDA_DESCARTE")</f>
        <v/>
      </c>
      <c r="J3359" s="13">
        <f>G3359-H3359-I3359</f>
        <v/>
      </c>
      <c r="K3359">
        <f>IF(A3359="","",IF(J3359&lt;=IFERROR(VLOOKUP(A3359,Cadastro_Produtos!$A:$E,5,FALSE),0),"ABAIXO DO MINIMO","OK"))</f>
        <v/>
      </c>
    </row>
    <row r="3360">
      <c r="B3360">
        <f>IFERROR(VLOOKUP(A3360,Cadastro_Produtos!A:B,2,FALSE),"")</f>
        <v/>
      </c>
      <c r="D3360" s="12" t="n"/>
      <c r="E3360" s="13">
        <f>IF(D3360="","",D3360-TODAY())</f>
        <v/>
      </c>
      <c r="F3360">
        <f>IF(D3360="","",IF(E3360&lt;0,"VENCIDO",IF(E3360&lt;=30,"VENCE EM &lt;= 30 DIAS",IF(E3360&lt;=60,"ATENCAO (31-60 DIAS)","OK"))))</f>
        <v/>
      </c>
      <c r="G3360" s="13">
        <f>SUMIFS(Movimentacoes!$G:$G,Movimentacoes!$C:$C,$A3360,Movimentacoes!$E:$E,$C3360,Movimentacoes!$B:$B,"ENTRADA")</f>
        <v/>
      </c>
      <c r="H3360" s="13">
        <f>SUMIFS(Movimentacoes!$G:$G,Movimentacoes!$C:$C,$A3360,Movimentacoes!$E:$E,$C3360,Movimentacoes!$B:$B,"SAIDA_USO")</f>
        <v/>
      </c>
      <c r="I3360" s="13">
        <f>SUMIFS(Movimentacoes!$G:$G,Movimentacoes!$C:$C,$A3360,Movimentacoes!$E:$E,$C3360,Movimentacoes!$B:$B,"SAIDA_DESCARTE")</f>
        <v/>
      </c>
      <c r="J3360" s="13">
        <f>G3360-H3360-I3360</f>
        <v/>
      </c>
      <c r="K3360">
        <f>IF(A3360="","",IF(J3360&lt;=IFERROR(VLOOKUP(A3360,Cadastro_Produtos!$A:$E,5,FALSE),0),"ABAIXO DO MINIMO","OK"))</f>
        <v/>
      </c>
    </row>
    <row r="3361">
      <c r="B3361">
        <f>IFERROR(VLOOKUP(A3361,Cadastro_Produtos!A:B,2,FALSE),"")</f>
        <v/>
      </c>
      <c r="D3361" s="12" t="n"/>
      <c r="E3361" s="13">
        <f>IF(D3361="","",D3361-TODAY())</f>
        <v/>
      </c>
      <c r="F3361">
        <f>IF(D3361="","",IF(E3361&lt;0,"VENCIDO",IF(E3361&lt;=30,"VENCE EM &lt;= 30 DIAS",IF(E3361&lt;=60,"ATENCAO (31-60 DIAS)","OK"))))</f>
        <v/>
      </c>
      <c r="G3361" s="13">
        <f>SUMIFS(Movimentacoes!$G:$G,Movimentacoes!$C:$C,$A3361,Movimentacoes!$E:$E,$C3361,Movimentacoes!$B:$B,"ENTRADA")</f>
        <v/>
      </c>
      <c r="H3361" s="13">
        <f>SUMIFS(Movimentacoes!$G:$G,Movimentacoes!$C:$C,$A3361,Movimentacoes!$E:$E,$C3361,Movimentacoes!$B:$B,"SAIDA_USO")</f>
        <v/>
      </c>
      <c r="I3361" s="13">
        <f>SUMIFS(Movimentacoes!$G:$G,Movimentacoes!$C:$C,$A3361,Movimentacoes!$E:$E,$C3361,Movimentacoes!$B:$B,"SAIDA_DESCARTE")</f>
        <v/>
      </c>
      <c r="J3361" s="13">
        <f>G3361-H3361-I3361</f>
        <v/>
      </c>
      <c r="K3361">
        <f>IF(A3361="","",IF(J3361&lt;=IFERROR(VLOOKUP(A3361,Cadastro_Produtos!$A:$E,5,FALSE),0),"ABAIXO DO MINIMO","OK"))</f>
        <v/>
      </c>
    </row>
    <row r="3362">
      <c r="B3362">
        <f>IFERROR(VLOOKUP(A3362,Cadastro_Produtos!A:B,2,FALSE),"")</f>
        <v/>
      </c>
      <c r="D3362" s="12" t="n"/>
      <c r="E3362" s="13">
        <f>IF(D3362="","",D3362-TODAY())</f>
        <v/>
      </c>
      <c r="F3362">
        <f>IF(D3362="","",IF(E3362&lt;0,"VENCIDO",IF(E3362&lt;=30,"VENCE EM &lt;= 30 DIAS",IF(E3362&lt;=60,"ATENCAO (31-60 DIAS)","OK"))))</f>
        <v/>
      </c>
      <c r="G3362" s="13">
        <f>SUMIFS(Movimentacoes!$G:$G,Movimentacoes!$C:$C,$A3362,Movimentacoes!$E:$E,$C3362,Movimentacoes!$B:$B,"ENTRADA")</f>
        <v/>
      </c>
      <c r="H3362" s="13">
        <f>SUMIFS(Movimentacoes!$G:$G,Movimentacoes!$C:$C,$A3362,Movimentacoes!$E:$E,$C3362,Movimentacoes!$B:$B,"SAIDA_USO")</f>
        <v/>
      </c>
      <c r="I3362" s="13">
        <f>SUMIFS(Movimentacoes!$G:$G,Movimentacoes!$C:$C,$A3362,Movimentacoes!$E:$E,$C3362,Movimentacoes!$B:$B,"SAIDA_DESCARTE")</f>
        <v/>
      </c>
      <c r="J3362" s="13">
        <f>G3362-H3362-I3362</f>
        <v/>
      </c>
      <c r="K3362">
        <f>IF(A3362="","",IF(J3362&lt;=IFERROR(VLOOKUP(A3362,Cadastro_Produtos!$A:$E,5,FALSE),0),"ABAIXO DO MINIMO","OK"))</f>
        <v/>
      </c>
    </row>
    <row r="3363">
      <c r="B3363">
        <f>IFERROR(VLOOKUP(A3363,Cadastro_Produtos!A:B,2,FALSE),"")</f>
        <v/>
      </c>
      <c r="D3363" s="12" t="n"/>
      <c r="E3363" s="13">
        <f>IF(D3363="","",D3363-TODAY())</f>
        <v/>
      </c>
      <c r="F3363">
        <f>IF(D3363="","",IF(E3363&lt;0,"VENCIDO",IF(E3363&lt;=30,"VENCE EM &lt;= 30 DIAS",IF(E3363&lt;=60,"ATENCAO (31-60 DIAS)","OK"))))</f>
        <v/>
      </c>
      <c r="G3363" s="13">
        <f>SUMIFS(Movimentacoes!$G:$G,Movimentacoes!$C:$C,$A3363,Movimentacoes!$E:$E,$C3363,Movimentacoes!$B:$B,"ENTRADA")</f>
        <v/>
      </c>
      <c r="H3363" s="13">
        <f>SUMIFS(Movimentacoes!$G:$G,Movimentacoes!$C:$C,$A3363,Movimentacoes!$E:$E,$C3363,Movimentacoes!$B:$B,"SAIDA_USO")</f>
        <v/>
      </c>
      <c r="I3363" s="13">
        <f>SUMIFS(Movimentacoes!$G:$G,Movimentacoes!$C:$C,$A3363,Movimentacoes!$E:$E,$C3363,Movimentacoes!$B:$B,"SAIDA_DESCARTE")</f>
        <v/>
      </c>
      <c r="J3363" s="13">
        <f>G3363-H3363-I3363</f>
        <v/>
      </c>
      <c r="K3363">
        <f>IF(A3363="","",IF(J3363&lt;=IFERROR(VLOOKUP(A3363,Cadastro_Produtos!$A:$E,5,FALSE),0),"ABAIXO DO MINIMO","OK"))</f>
        <v/>
      </c>
    </row>
    <row r="3364">
      <c r="B3364">
        <f>IFERROR(VLOOKUP(A3364,Cadastro_Produtos!A:B,2,FALSE),"")</f>
        <v/>
      </c>
      <c r="D3364" s="12" t="n"/>
      <c r="E3364" s="13">
        <f>IF(D3364="","",D3364-TODAY())</f>
        <v/>
      </c>
      <c r="F3364">
        <f>IF(D3364="","",IF(E3364&lt;0,"VENCIDO",IF(E3364&lt;=30,"VENCE EM &lt;= 30 DIAS",IF(E3364&lt;=60,"ATENCAO (31-60 DIAS)","OK"))))</f>
        <v/>
      </c>
      <c r="G3364" s="13">
        <f>SUMIFS(Movimentacoes!$G:$G,Movimentacoes!$C:$C,$A3364,Movimentacoes!$E:$E,$C3364,Movimentacoes!$B:$B,"ENTRADA")</f>
        <v/>
      </c>
      <c r="H3364" s="13">
        <f>SUMIFS(Movimentacoes!$G:$G,Movimentacoes!$C:$C,$A3364,Movimentacoes!$E:$E,$C3364,Movimentacoes!$B:$B,"SAIDA_USO")</f>
        <v/>
      </c>
      <c r="I3364" s="13">
        <f>SUMIFS(Movimentacoes!$G:$G,Movimentacoes!$C:$C,$A3364,Movimentacoes!$E:$E,$C3364,Movimentacoes!$B:$B,"SAIDA_DESCARTE")</f>
        <v/>
      </c>
      <c r="J3364" s="13">
        <f>G3364-H3364-I3364</f>
        <v/>
      </c>
      <c r="K3364">
        <f>IF(A3364="","",IF(J3364&lt;=IFERROR(VLOOKUP(A3364,Cadastro_Produtos!$A:$E,5,FALSE),0),"ABAIXO DO MINIMO","OK"))</f>
        <v/>
      </c>
    </row>
    <row r="3365">
      <c r="B3365">
        <f>IFERROR(VLOOKUP(A3365,Cadastro_Produtos!A:B,2,FALSE),"")</f>
        <v/>
      </c>
      <c r="D3365" s="12" t="n"/>
      <c r="E3365" s="13">
        <f>IF(D3365="","",D3365-TODAY())</f>
        <v/>
      </c>
      <c r="F3365">
        <f>IF(D3365="","",IF(E3365&lt;0,"VENCIDO",IF(E3365&lt;=30,"VENCE EM &lt;= 30 DIAS",IF(E3365&lt;=60,"ATENCAO (31-60 DIAS)","OK"))))</f>
        <v/>
      </c>
      <c r="G3365" s="13">
        <f>SUMIFS(Movimentacoes!$G:$G,Movimentacoes!$C:$C,$A3365,Movimentacoes!$E:$E,$C3365,Movimentacoes!$B:$B,"ENTRADA")</f>
        <v/>
      </c>
      <c r="H3365" s="13">
        <f>SUMIFS(Movimentacoes!$G:$G,Movimentacoes!$C:$C,$A3365,Movimentacoes!$E:$E,$C3365,Movimentacoes!$B:$B,"SAIDA_USO")</f>
        <v/>
      </c>
      <c r="I3365" s="13">
        <f>SUMIFS(Movimentacoes!$G:$G,Movimentacoes!$C:$C,$A3365,Movimentacoes!$E:$E,$C3365,Movimentacoes!$B:$B,"SAIDA_DESCARTE")</f>
        <v/>
      </c>
      <c r="J3365" s="13">
        <f>G3365-H3365-I3365</f>
        <v/>
      </c>
      <c r="K3365">
        <f>IF(A3365="","",IF(J3365&lt;=IFERROR(VLOOKUP(A3365,Cadastro_Produtos!$A:$E,5,FALSE),0),"ABAIXO DO MINIMO","OK"))</f>
        <v/>
      </c>
    </row>
    <row r="3366">
      <c r="B3366">
        <f>IFERROR(VLOOKUP(A3366,Cadastro_Produtos!A:B,2,FALSE),"")</f>
        <v/>
      </c>
      <c r="D3366" s="12" t="n"/>
      <c r="E3366" s="13">
        <f>IF(D3366="","",D3366-TODAY())</f>
        <v/>
      </c>
      <c r="F3366">
        <f>IF(D3366="","",IF(E3366&lt;0,"VENCIDO",IF(E3366&lt;=30,"VENCE EM &lt;= 30 DIAS",IF(E3366&lt;=60,"ATENCAO (31-60 DIAS)","OK"))))</f>
        <v/>
      </c>
      <c r="G3366" s="13">
        <f>SUMIFS(Movimentacoes!$G:$G,Movimentacoes!$C:$C,$A3366,Movimentacoes!$E:$E,$C3366,Movimentacoes!$B:$B,"ENTRADA")</f>
        <v/>
      </c>
      <c r="H3366" s="13">
        <f>SUMIFS(Movimentacoes!$G:$G,Movimentacoes!$C:$C,$A3366,Movimentacoes!$E:$E,$C3366,Movimentacoes!$B:$B,"SAIDA_USO")</f>
        <v/>
      </c>
      <c r="I3366" s="13">
        <f>SUMIFS(Movimentacoes!$G:$G,Movimentacoes!$C:$C,$A3366,Movimentacoes!$E:$E,$C3366,Movimentacoes!$B:$B,"SAIDA_DESCARTE")</f>
        <v/>
      </c>
      <c r="J3366" s="13">
        <f>G3366-H3366-I3366</f>
        <v/>
      </c>
      <c r="K3366">
        <f>IF(A3366="","",IF(J3366&lt;=IFERROR(VLOOKUP(A3366,Cadastro_Produtos!$A:$E,5,FALSE),0),"ABAIXO DO MINIMO","OK"))</f>
        <v/>
      </c>
    </row>
    <row r="3367">
      <c r="B3367">
        <f>IFERROR(VLOOKUP(A3367,Cadastro_Produtos!A:B,2,FALSE),"")</f>
        <v/>
      </c>
      <c r="D3367" s="12" t="n"/>
      <c r="E3367" s="13">
        <f>IF(D3367="","",D3367-TODAY())</f>
        <v/>
      </c>
      <c r="F3367">
        <f>IF(D3367="","",IF(E3367&lt;0,"VENCIDO",IF(E3367&lt;=30,"VENCE EM &lt;= 30 DIAS",IF(E3367&lt;=60,"ATENCAO (31-60 DIAS)","OK"))))</f>
        <v/>
      </c>
      <c r="G3367" s="13">
        <f>SUMIFS(Movimentacoes!$G:$G,Movimentacoes!$C:$C,$A3367,Movimentacoes!$E:$E,$C3367,Movimentacoes!$B:$B,"ENTRADA")</f>
        <v/>
      </c>
      <c r="H3367" s="13">
        <f>SUMIFS(Movimentacoes!$G:$G,Movimentacoes!$C:$C,$A3367,Movimentacoes!$E:$E,$C3367,Movimentacoes!$B:$B,"SAIDA_USO")</f>
        <v/>
      </c>
      <c r="I3367" s="13">
        <f>SUMIFS(Movimentacoes!$G:$G,Movimentacoes!$C:$C,$A3367,Movimentacoes!$E:$E,$C3367,Movimentacoes!$B:$B,"SAIDA_DESCARTE")</f>
        <v/>
      </c>
      <c r="J3367" s="13">
        <f>G3367-H3367-I3367</f>
        <v/>
      </c>
      <c r="K3367">
        <f>IF(A3367="","",IF(J3367&lt;=IFERROR(VLOOKUP(A3367,Cadastro_Produtos!$A:$E,5,FALSE),0),"ABAIXO DO MINIMO","OK"))</f>
        <v/>
      </c>
    </row>
    <row r="3368">
      <c r="B3368">
        <f>IFERROR(VLOOKUP(A3368,Cadastro_Produtos!A:B,2,FALSE),"")</f>
        <v/>
      </c>
      <c r="D3368" s="12" t="n"/>
      <c r="E3368" s="13">
        <f>IF(D3368="","",D3368-TODAY())</f>
        <v/>
      </c>
      <c r="F3368">
        <f>IF(D3368="","",IF(E3368&lt;0,"VENCIDO",IF(E3368&lt;=30,"VENCE EM &lt;= 30 DIAS",IF(E3368&lt;=60,"ATENCAO (31-60 DIAS)","OK"))))</f>
        <v/>
      </c>
      <c r="G3368" s="13">
        <f>SUMIFS(Movimentacoes!$G:$G,Movimentacoes!$C:$C,$A3368,Movimentacoes!$E:$E,$C3368,Movimentacoes!$B:$B,"ENTRADA")</f>
        <v/>
      </c>
      <c r="H3368" s="13">
        <f>SUMIFS(Movimentacoes!$G:$G,Movimentacoes!$C:$C,$A3368,Movimentacoes!$E:$E,$C3368,Movimentacoes!$B:$B,"SAIDA_USO")</f>
        <v/>
      </c>
      <c r="I3368" s="13">
        <f>SUMIFS(Movimentacoes!$G:$G,Movimentacoes!$C:$C,$A3368,Movimentacoes!$E:$E,$C3368,Movimentacoes!$B:$B,"SAIDA_DESCARTE")</f>
        <v/>
      </c>
      <c r="J3368" s="13">
        <f>G3368-H3368-I3368</f>
        <v/>
      </c>
      <c r="K3368">
        <f>IF(A3368="","",IF(J3368&lt;=IFERROR(VLOOKUP(A3368,Cadastro_Produtos!$A:$E,5,FALSE),0),"ABAIXO DO MINIMO","OK"))</f>
        <v/>
      </c>
    </row>
    <row r="3369">
      <c r="B3369">
        <f>IFERROR(VLOOKUP(A3369,Cadastro_Produtos!A:B,2,FALSE),"")</f>
        <v/>
      </c>
      <c r="D3369" s="12" t="n"/>
      <c r="E3369" s="13">
        <f>IF(D3369="","",D3369-TODAY())</f>
        <v/>
      </c>
      <c r="F3369">
        <f>IF(D3369="","",IF(E3369&lt;0,"VENCIDO",IF(E3369&lt;=30,"VENCE EM &lt;= 30 DIAS",IF(E3369&lt;=60,"ATENCAO (31-60 DIAS)","OK"))))</f>
        <v/>
      </c>
      <c r="G3369" s="13">
        <f>SUMIFS(Movimentacoes!$G:$G,Movimentacoes!$C:$C,$A3369,Movimentacoes!$E:$E,$C3369,Movimentacoes!$B:$B,"ENTRADA")</f>
        <v/>
      </c>
      <c r="H3369" s="13">
        <f>SUMIFS(Movimentacoes!$G:$G,Movimentacoes!$C:$C,$A3369,Movimentacoes!$E:$E,$C3369,Movimentacoes!$B:$B,"SAIDA_USO")</f>
        <v/>
      </c>
      <c r="I3369" s="13">
        <f>SUMIFS(Movimentacoes!$G:$G,Movimentacoes!$C:$C,$A3369,Movimentacoes!$E:$E,$C3369,Movimentacoes!$B:$B,"SAIDA_DESCARTE")</f>
        <v/>
      </c>
      <c r="J3369" s="13">
        <f>G3369-H3369-I3369</f>
        <v/>
      </c>
      <c r="K3369">
        <f>IF(A3369="","",IF(J3369&lt;=IFERROR(VLOOKUP(A3369,Cadastro_Produtos!$A:$E,5,FALSE),0),"ABAIXO DO MINIMO","OK"))</f>
        <v/>
      </c>
    </row>
    <row r="3370">
      <c r="B3370">
        <f>IFERROR(VLOOKUP(A3370,Cadastro_Produtos!A:B,2,FALSE),"")</f>
        <v/>
      </c>
      <c r="D3370" s="12" t="n"/>
      <c r="E3370" s="13">
        <f>IF(D3370="","",D3370-TODAY())</f>
        <v/>
      </c>
      <c r="F3370">
        <f>IF(D3370="","",IF(E3370&lt;0,"VENCIDO",IF(E3370&lt;=30,"VENCE EM &lt;= 30 DIAS",IF(E3370&lt;=60,"ATENCAO (31-60 DIAS)","OK"))))</f>
        <v/>
      </c>
      <c r="G3370" s="13">
        <f>SUMIFS(Movimentacoes!$G:$G,Movimentacoes!$C:$C,$A3370,Movimentacoes!$E:$E,$C3370,Movimentacoes!$B:$B,"ENTRADA")</f>
        <v/>
      </c>
      <c r="H3370" s="13">
        <f>SUMIFS(Movimentacoes!$G:$G,Movimentacoes!$C:$C,$A3370,Movimentacoes!$E:$E,$C3370,Movimentacoes!$B:$B,"SAIDA_USO")</f>
        <v/>
      </c>
      <c r="I3370" s="13">
        <f>SUMIFS(Movimentacoes!$G:$G,Movimentacoes!$C:$C,$A3370,Movimentacoes!$E:$E,$C3370,Movimentacoes!$B:$B,"SAIDA_DESCARTE")</f>
        <v/>
      </c>
      <c r="J3370" s="13">
        <f>G3370-H3370-I3370</f>
        <v/>
      </c>
      <c r="K3370">
        <f>IF(A3370="","",IF(J3370&lt;=IFERROR(VLOOKUP(A3370,Cadastro_Produtos!$A:$E,5,FALSE),0),"ABAIXO DO MINIMO","OK"))</f>
        <v/>
      </c>
    </row>
    <row r="3371">
      <c r="B3371">
        <f>IFERROR(VLOOKUP(A3371,Cadastro_Produtos!A:B,2,FALSE),"")</f>
        <v/>
      </c>
      <c r="D3371" s="12" t="n"/>
      <c r="E3371" s="13">
        <f>IF(D3371="","",D3371-TODAY())</f>
        <v/>
      </c>
      <c r="F3371">
        <f>IF(D3371="","",IF(E3371&lt;0,"VENCIDO",IF(E3371&lt;=30,"VENCE EM &lt;= 30 DIAS",IF(E3371&lt;=60,"ATENCAO (31-60 DIAS)","OK"))))</f>
        <v/>
      </c>
      <c r="G3371" s="13">
        <f>SUMIFS(Movimentacoes!$G:$G,Movimentacoes!$C:$C,$A3371,Movimentacoes!$E:$E,$C3371,Movimentacoes!$B:$B,"ENTRADA")</f>
        <v/>
      </c>
      <c r="H3371" s="13">
        <f>SUMIFS(Movimentacoes!$G:$G,Movimentacoes!$C:$C,$A3371,Movimentacoes!$E:$E,$C3371,Movimentacoes!$B:$B,"SAIDA_USO")</f>
        <v/>
      </c>
      <c r="I3371" s="13">
        <f>SUMIFS(Movimentacoes!$G:$G,Movimentacoes!$C:$C,$A3371,Movimentacoes!$E:$E,$C3371,Movimentacoes!$B:$B,"SAIDA_DESCARTE")</f>
        <v/>
      </c>
      <c r="J3371" s="13">
        <f>G3371-H3371-I3371</f>
        <v/>
      </c>
      <c r="K3371">
        <f>IF(A3371="","",IF(J3371&lt;=IFERROR(VLOOKUP(A3371,Cadastro_Produtos!$A:$E,5,FALSE),0),"ABAIXO DO MINIMO","OK"))</f>
        <v/>
      </c>
    </row>
    <row r="3372">
      <c r="B3372">
        <f>IFERROR(VLOOKUP(A3372,Cadastro_Produtos!A:B,2,FALSE),"")</f>
        <v/>
      </c>
      <c r="D3372" s="12" t="n"/>
      <c r="E3372" s="13">
        <f>IF(D3372="","",D3372-TODAY())</f>
        <v/>
      </c>
      <c r="F3372">
        <f>IF(D3372="","",IF(E3372&lt;0,"VENCIDO",IF(E3372&lt;=30,"VENCE EM &lt;= 30 DIAS",IF(E3372&lt;=60,"ATENCAO (31-60 DIAS)","OK"))))</f>
        <v/>
      </c>
      <c r="G3372" s="13">
        <f>SUMIFS(Movimentacoes!$G:$G,Movimentacoes!$C:$C,$A3372,Movimentacoes!$E:$E,$C3372,Movimentacoes!$B:$B,"ENTRADA")</f>
        <v/>
      </c>
      <c r="H3372" s="13">
        <f>SUMIFS(Movimentacoes!$G:$G,Movimentacoes!$C:$C,$A3372,Movimentacoes!$E:$E,$C3372,Movimentacoes!$B:$B,"SAIDA_USO")</f>
        <v/>
      </c>
      <c r="I3372" s="13">
        <f>SUMIFS(Movimentacoes!$G:$G,Movimentacoes!$C:$C,$A3372,Movimentacoes!$E:$E,$C3372,Movimentacoes!$B:$B,"SAIDA_DESCARTE")</f>
        <v/>
      </c>
      <c r="J3372" s="13">
        <f>G3372-H3372-I3372</f>
        <v/>
      </c>
      <c r="K3372">
        <f>IF(A3372="","",IF(J3372&lt;=IFERROR(VLOOKUP(A3372,Cadastro_Produtos!$A:$E,5,FALSE),0),"ABAIXO DO MINIMO","OK"))</f>
        <v/>
      </c>
    </row>
    <row r="3373">
      <c r="B3373">
        <f>IFERROR(VLOOKUP(A3373,Cadastro_Produtos!A:B,2,FALSE),"")</f>
        <v/>
      </c>
      <c r="D3373" s="12" t="n"/>
      <c r="E3373" s="13">
        <f>IF(D3373="","",D3373-TODAY())</f>
        <v/>
      </c>
      <c r="F3373">
        <f>IF(D3373="","",IF(E3373&lt;0,"VENCIDO",IF(E3373&lt;=30,"VENCE EM &lt;= 30 DIAS",IF(E3373&lt;=60,"ATENCAO (31-60 DIAS)","OK"))))</f>
        <v/>
      </c>
      <c r="G3373" s="13">
        <f>SUMIFS(Movimentacoes!$G:$G,Movimentacoes!$C:$C,$A3373,Movimentacoes!$E:$E,$C3373,Movimentacoes!$B:$B,"ENTRADA")</f>
        <v/>
      </c>
      <c r="H3373" s="13">
        <f>SUMIFS(Movimentacoes!$G:$G,Movimentacoes!$C:$C,$A3373,Movimentacoes!$E:$E,$C3373,Movimentacoes!$B:$B,"SAIDA_USO")</f>
        <v/>
      </c>
      <c r="I3373" s="13">
        <f>SUMIFS(Movimentacoes!$G:$G,Movimentacoes!$C:$C,$A3373,Movimentacoes!$E:$E,$C3373,Movimentacoes!$B:$B,"SAIDA_DESCARTE")</f>
        <v/>
      </c>
      <c r="J3373" s="13">
        <f>G3373-H3373-I3373</f>
        <v/>
      </c>
      <c r="K3373">
        <f>IF(A3373="","",IF(J3373&lt;=IFERROR(VLOOKUP(A3373,Cadastro_Produtos!$A:$E,5,FALSE),0),"ABAIXO DO MINIMO","OK"))</f>
        <v/>
      </c>
    </row>
    <row r="3374">
      <c r="B3374">
        <f>IFERROR(VLOOKUP(A3374,Cadastro_Produtos!A:B,2,FALSE),"")</f>
        <v/>
      </c>
      <c r="D3374" s="12" t="n"/>
      <c r="E3374" s="13">
        <f>IF(D3374="","",D3374-TODAY())</f>
        <v/>
      </c>
      <c r="F3374">
        <f>IF(D3374="","",IF(E3374&lt;0,"VENCIDO",IF(E3374&lt;=30,"VENCE EM &lt;= 30 DIAS",IF(E3374&lt;=60,"ATENCAO (31-60 DIAS)","OK"))))</f>
        <v/>
      </c>
      <c r="G3374" s="13">
        <f>SUMIFS(Movimentacoes!$G:$G,Movimentacoes!$C:$C,$A3374,Movimentacoes!$E:$E,$C3374,Movimentacoes!$B:$B,"ENTRADA")</f>
        <v/>
      </c>
      <c r="H3374" s="13">
        <f>SUMIFS(Movimentacoes!$G:$G,Movimentacoes!$C:$C,$A3374,Movimentacoes!$E:$E,$C3374,Movimentacoes!$B:$B,"SAIDA_USO")</f>
        <v/>
      </c>
      <c r="I3374" s="13">
        <f>SUMIFS(Movimentacoes!$G:$G,Movimentacoes!$C:$C,$A3374,Movimentacoes!$E:$E,$C3374,Movimentacoes!$B:$B,"SAIDA_DESCARTE")</f>
        <v/>
      </c>
      <c r="J3374" s="13">
        <f>G3374-H3374-I3374</f>
        <v/>
      </c>
      <c r="K3374">
        <f>IF(A3374="","",IF(J3374&lt;=IFERROR(VLOOKUP(A3374,Cadastro_Produtos!$A:$E,5,FALSE),0),"ABAIXO DO MINIMO","OK"))</f>
        <v/>
      </c>
    </row>
    <row r="3375">
      <c r="B3375">
        <f>IFERROR(VLOOKUP(A3375,Cadastro_Produtos!A:B,2,FALSE),"")</f>
        <v/>
      </c>
      <c r="D3375" s="12" t="n"/>
      <c r="E3375" s="13">
        <f>IF(D3375="","",D3375-TODAY())</f>
        <v/>
      </c>
      <c r="F3375">
        <f>IF(D3375="","",IF(E3375&lt;0,"VENCIDO",IF(E3375&lt;=30,"VENCE EM &lt;= 30 DIAS",IF(E3375&lt;=60,"ATENCAO (31-60 DIAS)","OK"))))</f>
        <v/>
      </c>
      <c r="G3375" s="13">
        <f>SUMIFS(Movimentacoes!$G:$G,Movimentacoes!$C:$C,$A3375,Movimentacoes!$E:$E,$C3375,Movimentacoes!$B:$B,"ENTRADA")</f>
        <v/>
      </c>
      <c r="H3375" s="13">
        <f>SUMIFS(Movimentacoes!$G:$G,Movimentacoes!$C:$C,$A3375,Movimentacoes!$E:$E,$C3375,Movimentacoes!$B:$B,"SAIDA_USO")</f>
        <v/>
      </c>
      <c r="I3375" s="13">
        <f>SUMIFS(Movimentacoes!$G:$G,Movimentacoes!$C:$C,$A3375,Movimentacoes!$E:$E,$C3375,Movimentacoes!$B:$B,"SAIDA_DESCARTE")</f>
        <v/>
      </c>
      <c r="J3375" s="13">
        <f>G3375-H3375-I3375</f>
        <v/>
      </c>
      <c r="K3375">
        <f>IF(A3375="","",IF(J3375&lt;=IFERROR(VLOOKUP(A3375,Cadastro_Produtos!$A:$E,5,FALSE),0),"ABAIXO DO MINIMO","OK"))</f>
        <v/>
      </c>
    </row>
    <row r="3376">
      <c r="B3376">
        <f>IFERROR(VLOOKUP(A3376,Cadastro_Produtos!A:B,2,FALSE),"")</f>
        <v/>
      </c>
      <c r="D3376" s="12" t="n"/>
      <c r="E3376" s="13">
        <f>IF(D3376="","",D3376-TODAY())</f>
        <v/>
      </c>
      <c r="F3376">
        <f>IF(D3376="","",IF(E3376&lt;0,"VENCIDO",IF(E3376&lt;=30,"VENCE EM &lt;= 30 DIAS",IF(E3376&lt;=60,"ATENCAO (31-60 DIAS)","OK"))))</f>
        <v/>
      </c>
      <c r="G3376" s="13">
        <f>SUMIFS(Movimentacoes!$G:$G,Movimentacoes!$C:$C,$A3376,Movimentacoes!$E:$E,$C3376,Movimentacoes!$B:$B,"ENTRADA")</f>
        <v/>
      </c>
      <c r="H3376" s="13">
        <f>SUMIFS(Movimentacoes!$G:$G,Movimentacoes!$C:$C,$A3376,Movimentacoes!$E:$E,$C3376,Movimentacoes!$B:$B,"SAIDA_USO")</f>
        <v/>
      </c>
      <c r="I3376" s="13">
        <f>SUMIFS(Movimentacoes!$G:$G,Movimentacoes!$C:$C,$A3376,Movimentacoes!$E:$E,$C3376,Movimentacoes!$B:$B,"SAIDA_DESCARTE")</f>
        <v/>
      </c>
      <c r="J3376" s="13">
        <f>G3376-H3376-I3376</f>
        <v/>
      </c>
      <c r="K3376">
        <f>IF(A3376="","",IF(J3376&lt;=IFERROR(VLOOKUP(A3376,Cadastro_Produtos!$A:$E,5,FALSE),0),"ABAIXO DO MINIMO","OK"))</f>
        <v/>
      </c>
    </row>
    <row r="3377">
      <c r="B3377">
        <f>IFERROR(VLOOKUP(A3377,Cadastro_Produtos!A:B,2,FALSE),"")</f>
        <v/>
      </c>
      <c r="D3377" s="12" t="n"/>
      <c r="E3377" s="13">
        <f>IF(D3377="","",D3377-TODAY())</f>
        <v/>
      </c>
      <c r="F3377">
        <f>IF(D3377="","",IF(E3377&lt;0,"VENCIDO",IF(E3377&lt;=30,"VENCE EM &lt;= 30 DIAS",IF(E3377&lt;=60,"ATENCAO (31-60 DIAS)","OK"))))</f>
        <v/>
      </c>
      <c r="G3377" s="13">
        <f>SUMIFS(Movimentacoes!$G:$G,Movimentacoes!$C:$C,$A3377,Movimentacoes!$E:$E,$C3377,Movimentacoes!$B:$B,"ENTRADA")</f>
        <v/>
      </c>
      <c r="H3377" s="13">
        <f>SUMIFS(Movimentacoes!$G:$G,Movimentacoes!$C:$C,$A3377,Movimentacoes!$E:$E,$C3377,Movimentacoes!$B:$B,"SAIDA_USO")</f>
        <v/>
      </c>
      <c r="I3377" s="13">
        <f>SUMIFS(Movimentacoes!$G:$G,Movimentacoes!$C:$C,$A3377,Movimentacoes!$E:$E,$C3377,Movimentacoes!$B:$B,"SAIDA_DESCARTE")</f>
        <v/>
      </c>
      <c r="J3377" s="13">
        <f>G3377-H3377-I3377</f>
        <v/>
      </c>
      <c r="K3377">
        <f>IF(A3377="","",IF(J3377&lt;=IFERROR(VLOOKUP(A3377,Cadastro_Produtos!$A:$E,5,FALSE),0),"ABAIXO DO MINIMO","OK"))</f>
        <v/>
      </c>
    </row>
    <row r="3378">
      <c r="B3378">
        <f>IFERROR(VLOOKUP(A3378,Cadastro_Produtos!A:B,2,FALSE),"")</f>
        <v/>
      </c>
      <c r="D3378" s="12" t="n"/>
      <c r="E3378" s="13">
        <f>IF(D3378="","",D3378-TODAY())</f>
        <v/>
      </c>
      <c r="F3378">
        <f>IF(D3378="","",IF(E3378&lt;0,"VENCIDO",IF(E3378&lt;=30,"VENCE EM &lt;= 30 DIAS",IF(E3378&lt;=60,"ATENCAO (31-60 DIAS)","OK"))))</f>
        <v/>
      </c>
      <c r="G3378" s="13">
        <f>SUMIFS(Movimentacoes!$G:$G,Movimentacoes!$C:$C,$A3378,Movimentacoes!$E:$E,$C3378,Movimentacoes!$B:$B,"ENTRADA")</f>
        <v/>
      </c>
      <c r="H3378" s="13">
        <f>SUMIFS(Movimentacoes!$G:$G,Movimentacoes!$C:$C,$A3378,Movimentacoes!$E:$E,$C3378,Movimentacoes!$B:$B,"SAIDA_USO")</f>
        <v/>
      </c>
      <c r="I3378" s="13">
        <f>SUMIFS(Movimentacoes!$G:$G,Movimentacoes!$C:$C,$A3378,Movimentacoes!$E:$E,$C3378,Movimentacoes!$B:$B,"SAIDA_DESCARTE")</f>
        <v/>
      </c>
      <c r="J3378" s="13">
        <f>G3378-H3378-I3378</f>
        <v/>
      </c>
      <c r="K3378">
        <f>IF(A3378="","",IF(J3378&lt;=IFERROR(VLOOKUP(A3378,Cadastro_Produtos!$A:$E,5,FALSE),0),"ABAIXO DO MINIMO","OK"))</f>
        <v/>
      </c>
    </row>
    <row r="3379">
      <c r="B3379">
        <f>IFERROR(VLOOKUP(A3379,Cadastro_Produtos!A:B,2,FALSE),"")</f>
        <v/>
      </c>
      <c r="D3379" s="12" t="n"/>
      <c r="E3379" s="13">
        <f>IF(D3379="","",D3379-TODAY())</f>
        <v/>
      </c>
      <c r="F3379">
        <f>IF(D3379="","",IF(E3379&lt;0,"VENCIDO",IF(E3379&lt;=30,"VENCE EM &lt;= 30 DIAS",IF(E3379&lt;=60,"ATENCAO (31-60 DIAS)","OK"))))</f>
        <v/>
      </c>
      <c r="G3379" s="13">
        <f>SUMIFS(Movimentacoes!$G:$G,Movimentacoes!$C:$C,$A3379,Movimentacoes!$E:$E,$C3379,Movimentacoes!$B:$B,"ENTRADA")</f>
        <v/>
      </c>
      <c r="H3379" s="13">
        <f>SUMIFS(Movimentacoes!$G:$G,Movimentacoes!$C:$C,$A3379,Movimentacoes!$E:$E,$C3379,Movimentacoes!$B:$B,"SAIDA_USO")</f>
        <v/>
      </c>
      <c r="I3379" s="13">
        <f>SUMIFS(Movimentacoes!$G:$G,Movimentacoes!$C:$C,$A3379,Movimentacoes!$E:$E,$C3379,Movimentacoes!$B:$B,"SAIDA_DESCARTE")</f>
        <v/>
      </c>
      <c r="J3379" s="13">
        <f>G3379-H3379-I3379</f>
        <v/>
      </c>
      <c r="K3379">
        <f>IF(A3379="","",IF(J3379&lt;=IFERROR(VLOOKUP(A3379,Cadastro_Produtos!$A:$E,5,FALSE),0),"ABAIXO DO MINIMO","OK"))</f>
        <v/>
      </c>
    </row>
    <row r="3380">
      <c r="B3380">
        <f>IFERROR(VLOOKUP(A3380,Cadastro_Produtos!A:B,2,FALSE),"")</f>
        <v/>
      </c>
      <c r="D3380" s="12" t="n"/>
      <c r="E3380" s="13">
        <f>IF(D3380="","",D3380-TODAY())</f>
        <v/>
      </c>
      <c r="F3380">
        <f>IF(D3380="","",IF(E3380&lt;0,"VENCIDO",IF(E3380&lt;=30,"VENCE EM &lt;= 30 DIAS",IF(E3380&lt;=60,"ATENCAO (31-60 DIAS)","OK"))))</f>
        <v/>
      </c>
      <c r="G3380" s="13">
        <f>SUMIFS(Movimentacoes!$G:$G,Movimentacoes!$C:$C,$A3380,Movimentacoes!$E:$E,$C3380,Movimentacoes!$B:$B,"ENTRADA")</f>
        <v/>
      </c>
      <c r="H3380" s="13">
        <f>SUMIFS(Movimentacoes!$G:$G,Movimentacoes!$C:$C,$A3380,Movimentacoes!$E:$E,$C3380,Movimentacoes!$B:$B,"SAIDA_USO")</f>
        <v/>
      </c>
      <c r="I3380" s="13">
        <f>SUMIFS(Movimentacoes!$G:$G,Movimentacoes!$C:$C,$A3380,Movimentacoes!$E:$E,$C3380,Movimentacoes!$B:$B,"SAIDA_DESCARTE")</f>
        <v/>
      </c>
      <c r="J3380" s="13">
        <f>G3380-H3380-I3380</f>
        <v/>
      </c>
      <c r="K3380">
        <f>IF(A3380="","",IF(J3380&lt;=IFERROR(VLOOKUP(A3380,Cadastro_Produtos!$A:$E,5,FALSE),0),"ABAIXO DO MINIMO","OK"))</f>
        <v/>
      </c>
    </row>
    <row r="3381">
      <c r="B3381">
        <f>IFERROR(VLOOKUP(A3381,Cadastro_Produtos!A:B,2,FALSE),"")</f>
        <v/>
      </c>
      <c r="D3381" s="12" t="n"/>
      <c r="E3381" s="13">
        <f>IF(D3381="","",D3381-TODAY())</f>
        <v/>
      </c>
      <c r="F3381">
        <f>IF(D3381="","",IF(E3381&lt;0,"VENCIDO",IF(E3381&lt;=30,"VENCE EM &lt;= 30 DIAS",IF(E3381&lt;=60,"ATENCAO (31-60 DIAS)","OK"))))</f>
        <v/>
      </c>
      <c r="G3381" s="13">
        <f>SUMIFS(Movimentacoes!$G:$G,Movimentacoes!$C:$C,$A3381,Movimentacoes!$E:$E,$C3381,Movimentacoes!$B:$B,"ENTRADA")</f>
        <v/>
      </c>
      <c r="H3381" s="13">
        <f>SUMIFS(Movimentacoes!$G:$G,Movimentacoes!$C:$C,$A3381,Movimentacoes!$E:$E,$C3381,Movimentacoes!$B:$B,"SAIDA_USO")</f>
        <v/>
      </c>
      <c r="I3381" s="13">
        <f>SUMIFS(Movimentacoes!$G:$G,Movimentacoes!$C:$C,$A3381,Movimentacoes!$E:$E,$C3381,Movimentacoes!$B:$B,"SAIDA_DESCARTE")</f>
        <v/>
      </c>
      <c r="J3381" s="13">
        <f>G3381-H3381-I3381</f>
        <v/>
      </c>
      <c r="K3381">
        <f>IF(A3381="","",IF(J3381&lt;=IFERROR(VLOOKUP(A3381,Cadastro_Produtos!$A:$E,5,FALSE),0),"ABAIXO DO MINIMO","OK"))</f>
        <v/>
      </c>
    </row>
    <row r="3382">
      <c r="B3382">
        <f>IFERROR(VLOOKUP(A3382,Cadastro_Produtos!A:B,2,FALSE),"")</f>
        <v/>
      </c>
      <c r="D3382" s="12" t="n"/>
      <c r="E3382" s="13">
        <f>IF(D3382="","",D3382-TODAY())</f>
        <v/>
      </c>
      <c r="F3382">
        <f>IF(D3382="","",IF(E3382&lt;0,"VENCIDO",IF(E3382&lt;=30,"VENCE EM &lt;= 30 DIAS",IF(E3382&lt;=60,"ATENCAO (31-60 DIAS)","OK"))))</f>
        <v/>
      </c>
      <c r="G3382" s="13">
        <f>SUMIFS(Movimentacoes!$G:$G,Movimentacoes!$C:$C,$A3382,Movimentacoes!$E:$E,$C3382,Movimentacoes!$B:$B,"ENTRADA")</f>
        <v/>
      </c>
      <c r="H3382" s="13">
        <f>SUMIFS(Movimentacoes!$G:$G,Movimentacoes!$C:$C,$A3382,Movimentacoes!$E:$E,$C3382,Movimentacoes!$B:$B,"SAIDA_USO")</f>
        <v/>
      </c>
      <c r="I3382" s="13">
        <f>SUMIFS(Movimentacoes!$G:$G,Movimentacoes!$C:$C,$A3382,Movimentacoes!$E:$E,$C3382,Movimentacoes!$B:$B,"SAIDA_DESCARTE")</f>
        <v/>
      </c>
      <c r="J3382" s="13">
        <f>G3382-H3382-I3382</f>
        <v/>
      </c>
      <c r="K3382">
        <f>IF(A3382="","",IF(J3382&lt;=IFERROR(VLOOKUP(A3382,Cadastro_Produtos!$A:$E,5,FALSE),0),"ABAIXO DO MINIMO","OK"))</f>
        <v/>
      </c>
    </row>
    <row r="3383">
      <c r="B3383">
        <f>IFERROR(VLOOKUP(A3383,Cadastro_Produtos!A:B,2,FALSE),"")</f>
        <v/>
      </c>
      <c r="D3383" s="12" t="n"/>
      <c r="E3383" s="13">
        <f>IF(D3383="","",D3383-TODAY())</f>
        <v/>
      </c>
      <c r="F3383">
        <f>IF(D3383="","",IF(E3383&lt;0,"VENCIDO",IF(E3383&lt;=30,"VENCE EM &lt;= 30 DIAS",IF(E3383&lt;=60,"ATENCAO (31-60 DIAS)","OK"))))</f>
        <v/>
      </c>
      <c r="G3383" s="13">
        <f>SUMIFS(Movimentacoes!$G:$G,Movimentacoes!$C:$C,$A3383,Movimentacoes!$E:$E,$C3383,Movimentacoes!$B:$B,"ENTRADA")</f>
        <v/>
      </c>
      <c r="H3383" s="13">
        <f>SUMIFS(Movimentacoes!$G:$G,Movimentacoes!$C:$C,$A3383,Movimentacoes!$E:$E,$C3383,Movimentacoes!$B:$B,"SAIDA_USO")</f>
        <v/>
      </c>
      <c r="I3383" s="13">
        <f>SUMIFS(Movimentacoes!$G:$G,Movimentacoes!$C:$C,$A3383,Movimentacoes!$E:$E,$C3383,Movimentacoes!$B:$B,"SAIDA_DESCARTE")</f>
        <v/>
      </c>
      <c r="J3383" s="13">
        <f>G3383-H3383-I3383</f>
        <v/>
      </c>
      <c r="K3383">
        <f>IF(A3383="","",IF(J3383&lt;=IFERROR(VLOOKUP(A3383,Cadastro_Produtos!$A:$E,5,FALSE),0),"ABAIXO DO MINIMO","OK"))</f>
        <v/>
      </c>
    </row>
    <row r="3384">
      <c r="B3384">
        <f>IFERROR(VLOOKUP(A3384,Cadastro_Produtos!A:B,2,FALSE),"")</f>
        <v/>
      </c>
      <c r="D3384" s="12" t="n"/>
      <c r="E3384" s="13">
        <f>IF(D3384="","",D3384-TODAY())</f>
        <v/>
      </c>
      <c r="F3384">
        <f>IF(D3384="","",IF(E3384&lt;0,"VENCIDO",IF(E3384&lt;=30,"VENCE EM &lt;= 30 DIAS",IF(E3384&lt;=60,"ATENCAO (31-60 DIAS)","OK"))))</f>
        <v/>
      </c>
      <c r="G3384" s="13">
        <f>SUMIFS(Movimentacoes!$G:$G,Movimentacoes!$C:$C,$A3384,Movimentacoes!$E:$E,$C3384,Movimentacoes!$B:$B,"ENTRADA")</f>
        <v/>
      </c>
      <c r="H3384" s="13">
        <f>SUMIFS(Movimentacoes!$G:$G,Movimentacoes!$C:$C,$A3384,Movimentacoes!$E:$E,$C3384,Movimentacoes!$B:$B,"SAIDA_USO")</f>
        <v/>
      </c>
      <c r="I3384" s="13">
        <f>SUMIFS(Movimentacoes!$G:$G,Movimentacoes!$C:$C,$A3384,Movimentacoes!$E:$E,$C3384,Movimentacoes!$B:$B,"SAIDA_DESCARTE")</f>
        <v/>
      </c>
      <c r="J3384" s="13">
        <f>G3384-H3384-I3384</f>
        <v/>
      </c>
      <c r="K3384">
        <f>IF(A3384="","",IF(J3384&lt;=IFERROR(VLOOKUP(A3384,Cadastro_Produtos!$A:$E,5,FALSE),0),"ABAIXO DO MINIMO","OK"))</f>
        <v/>
      </c>
    </row>
    <row r="3385">
      <c r="B3385">
        <f>IFERROR(VLOOKUP(A3385,Cadastro_Produtos!A:B,2,FALSE),"")</f>
        <v/>
      </c>
      <c r="D3385" s="12" t="n"/>
      <c r="E3385" s="13">
        <f>IF(D3385="","",D3385-TODAY())</f>
        <v/>
      </c>
      <c r="F3385">
        <f>IF(D3385="","",IF(E3385&lt;0,"VENCIDO",IF(E3385&lt;=30,"VENCE EM &lt;= 30 DIAS",IF(E3385&lt;=60,"ATENCAO (31-60 DIAS)","OK"))))</f>
        <v/>
      </c>
      <c r="G3385" s="13">
        <f>SUMIFS(Movimentacoes!$G:$G,Movimentacoes!$C:$C,$A3385,Movimentacoes!$E:$E,$C3385,Movimentacoes!$B:$B,"ENTRADA")</f>
        <v/>
      </c>
      <c r="H3385" s="13">
        <f>SUMIFS(Movimentacoes!$G:$G,Movimentacoes!$C:$C,$A3385,Movimentacoes!$E:$E,$C3385,Movimentacoes!$B:$B,"SAIDA_USO")</f>
        <v/>
      </c>
      <c r="I3385" s="13">
        <f>SUMIFS(Movimentacoes!$G:$G,Movimentacoes!$C:$C,$A3385,Movimentacoes!$E:$E,$C3385,Movimentacoes!$B:$B,"SAIDA_DESCARTE")</f>
        <v/>
      </c>
      <c r="J3385" s="13">
        <f>G3385-H3385-I3385</f>
        <v/>
      </c>
      <c r="K3385">
        <f>IF(A3385="","",IF(J3385&lt;=IFERROR(VLOOKUP(A3385,Cadastro_Produtos!$A:$E,5,FALSE),0),"ABAIXO DO MINIMO","OK"))</f>
        <v/>
      </c>
    </row>
    <row r="3386">
      <c r="B3386">
        <f>IFERROR(VLOOKUP(A3386,Cadastro_Produtos!A:B,2,FALSE),"")</f>
        <v/>
      </c>
      <c r="D3386" s="12" t="n"/>
      <c r="E3386" s="13">
        <f>IF(D3386="","",D3386-TODAY())</f>
        <v/>
      </c>
      <c r="F3386">
        <f>IF(D3386="","",IF(E3386&lt;0,"VENCIDO",IF(E3386&lt;=30,"VENCE EM &lt;= 30 DIAS",IF(E3386&lt;=60,"ATENCAO (31-60 DIAS)","OK"))))</f>
        <v/>
      </c>
      <c r="G3386" s="13">
        <f>SUMIFS(Movimentacoes!$G:$G,Movimentacoes!$C:$C,$A3386,Movimentacoes!$E:$E,$C3386,Movimentacoes!$B:$B,"ENTRADA")</f>
        <v/>
      </c>
      <c r="H3386" s="13">
        <f>SUMIFS(Movimentacoes!$G:$G,Movimentacoes!$C:$C,$A3386,Movimentacoes!$E:$E,$C3386,Movimentacoes!$B:$B,"SAIDA_USO")</f>
        <v/>
      </c>
      <c r="I3386" s="13">
        <f>SUMIFS(Movimentacoes!$G:$G,Movimentacoes!$C:$C,$A3386,Movimentacoes!$E:$E,$C3386,Movimentacoes!$B:$B,"SAIDA_DESCARTE")</f>
        <v/>
      </c>
      <c r="J3386" s="13">
        <f>G3386-H3386-I3386</f>
        <v/>
      </c>
      <c r="K3386">
        <f>IF(A3386="","",IF(J3386&lt;=IFERROR(VLOOKUP(A3386,Cadastro_Produtos!$A:$E,5,FALSE),0),"ABAIXO DO MINIMO","OK"))</f>
        <v/>
      </c>
    </row>
    <row r="3387">
      <c r="B3387">
        <f>IFERROR(VLOOKUP(A3387,Cadastro_Produtos!A:B,2,FALSE),"")</f>
        <v/>
      </c>
      <c r="D3387" s="12" t="n"/>
      <c r="E3387" s="13">
        <f>IF(D3387="","",D3387-TODAY())</f>
        <v/>
      </c>
      <c r="F3387">
        <f>IF(D3387="","",IF(E3387&lt;0,"VENCIDO",IF(E3387&lt;=30,"VENCE EM &lt;= 30 DIAS",IF(E3387&lt;=60,"ATENCAO (31-60 DIAS)","OK"))))</f>
        <v/>
      </c>
      <c r="G3387" s="13">
        <f>SUMIFS(Movimentacoes!$G:$G,Movimentacoes!$C:$C,$A3387,Movimentacoes!$E:$E,$C3387,Movimentacoes!$B:$B,"ENTRADA")</f>
        <v/>
      </c>
      <c r="H3387" s="13">
        <f>SUMIFS(Movimentacoes!$G:$G,Movimentacoes!$C:$C,$A3387,Movimentacoes!$E:$E,$C3387,Movimentacoes!$B:$B,"SAIDA_USO")</f>
        <v/>
      </c>
      <c r="I3387" s="13">
        <f>SUMIFS(Movimentacoes!$G:$G,Movimentacoes!$C:$C,$A3387,Movimentacoes!$E:$E,$C3387,Movimentacoes!$B:$B,"SAIDA_DESCARTE")</f>
        <v/>
      </c>
      <c r="J3387" s="13">
        <f>G3387-H3387-I3387</f>
        <v/>
      </c>
      <c r="K3387">
        <f>IF(A3387="","",IF(J3387&lt;=IFERROR(VLOOKUP(A3387,Cadastro_Produtos!$A:$E,5,FALSE),0),"ABAIXO DO MINIMO","OK"))</f>
        <v/>
      </c>
    </row>
    <row r="3388">
      <c r="B3388">
        <f>IFERROR(VLOOKUP(A3388,Cadastro_Produtos!A:B,2,FALSE),"")</f>
        <v/>
      </c>
      <c r="D3388" s="12" t="n"/>
      <c r="E3388" s="13">
        <f>IF(D3388="","",D3388-TODAY())</f>
        <v/>
      </c>
      <c r="F3388">
        <f>IF(D3388="","",IF(E3388&lt;0,"VENCIDO",IF(E3388&lt;=30,"VENCE EM &lt;= 30 DIAS",IF(E3388&lt;=60,"ATENCAO (31-60 DIAS)","OK"))))</f>
        <v/>
      </c>
      <c r="G3388" s="13">
        <f>SUMIFS(Movimentacoes!$G:$G,Movimentacoes!$C:$C,$A3388,Movimentacoes!$E:$E,$C3388,Movimentacoes!$B:$B,"ENTRADA")</f>
        <v/>
      </c>
      <c r="H3388" s="13">
        <f>SUMIFS(Movimentacoes!$G:$G,Movimentacoes!$C:$C,$A3388,Movimentacoes!$E:$E,$C3388,Movimentacoes!$B:$B,"SAIDA_USO")</f>
        <v/>
      </c>
      <c r="I3388" s="13">
        <f>SUMIFS(Movimentacoes!$G:$G,Movimentacoes!$C:$C,$A3388,Movimentacoes!$E:$E,$C3388,Movimentacoes!$B:$B,"SAIDA_DESCARTE")</f>
        <v/>
      </c>
      <c r="J3388" s="13">
        <f>G3388-H3388-I3388</f>
        <v/>
      </c>
      <c r="K3388">
        <f>IF(A3388="","",IF(J3388&lt;=IFERROR(VLOOKUP(A3388,Cadastro_Produtos!$A:$E,5,FALSE),0),"ABAIXO DO MINIMO","OK"))</f>
        <v/>
      </c>
    </row>
    <row r="3389">
      <c r="B3389">
        <f>IFERROR(VLOOKUP(A3389,Cadastro_Produtos!A:B,2,FALSE),"")</f>
        <v/>
      </c>
      <c r="D3389" s="12" t="n"/>
      <c r="E3389" s="13">
        <f>IF(D3389="","",D3389-TODAY())</f>
        <v/>
      </c>
      <c r="F3389">
        <f>IF(D3389="","",IF(E3389&lt;0,"VENCIDO",IF(E3389&lt;=30,"VENCE EM &lt;= 30 DIAS",IF(E3389&lt;=60,"ATENCAO (31-60 DIAS)","OK"))))</f>
        <v/>
      </c>
      <c r="G3389" s="13">
        <f>SUMIFS(Movimentacoes!$G:$G,Movimentacoes!$C:$C,$A3389,Movimentacoes!$E:$E,$C3389,Movimentacoes!$B:$B,"ENTRADA")</f>
        <v/>
      </c>
      <c r="H3389" s="13">
        <f>SUMIFS(Movimentacoes!$G:$G,Movimentacoes!$C:$C,$A3389,Movimentacoes!$E:$E,$C3389,Movimentacoes!$B:$B,"SAIDA_USO")</f>
        <v/>
      </c>
      <c r="I3389" s="13">
        <f>SUMIFS(Movimentacoes!$G:$G,Movimentacoes!$C:$C,$A3389,Movimentacoes!$E:$E,$C3389,Movimentacoes!$B:$B,"SAIDA_DESCARTE")</f>
        <v/>
      </c>
      <c r="J3389" s="13">
        <f>G3389-H3389-I3389</f>
        <v/>
      </c>
      <c r="K3389">
        <f>IF(A3389="","",IF(J3389&lt;=IFERROR(VLOOKUP(A3389,Cadastro_Produtos!$A:$E,5,FALSE),0),"ABAIXO DO MINIMO","OK"))</f>
        <v/>
      </c>
    </row>
    <row r="3390">
      <c r="B3390">
        <f>IFERROR(VLOOKUP(A3390,Cadastro_Produtos!A:B,2,FALSE),"")</f>
        <v/>
      </c>
      <c r="D3390" s="12" t="n"/>
      <c r="E3390" s="13">
        <f>IF(D3390="","",D3390-TODAY())</f>
        <v/>
      </c>
      <c r="F3390">
        <f>IF(D3390="","",IF(E3390&lt;0,"VENCIDO",IF(E3390&lt;=30,"VENCE EM &lt;= 30 DIAS",IF(E3390&lt;=60,"ATENCAO (31-60 DIAS)","OK"))))</f>
        <v/>
      </c>
      <c r="G3390" s="13">
        <f>SUMIFS(Movimentacoes!$G:$G,Movimentacoes!$C:$C,$A3390,Movimentacoes!$E:$E,$C3390,Movimentacoes!$B:$B,"ENTRADA")</f>
        <v/>
      </c>
      <c r="H3390" s="13">
        <f>SUMIFS(Movimentacoes!$G:$G,Movimentacoes!$C:$C,$A3390,Movimentacoes!$E:$E,$C3390,Movimentacoes!$B:$B,"SAIDA_USO")</f>
        <v/>
      </c>
      <c r="I3390" s="13">
        <f>SUMIFS(Movimentacoes!$G:$G,Movimentacoes!$C:$C,$A3390,Movimentacoes!$E:$E,$C3390,Movimentacoes!$B:$B,"SAIDA_DESCARTE")</f>
        <v/>
      </c>
      <c r="J3390" s="13">
        <f>G3390-H3390-I3390</f>
        <v/>
      </c>
      <c r="K3390">
        <f>IF(A3390="","",IF(J3390&lt;=IFERROR(VLOOKUP(A3390,Cadastro_Produtos!$A:$E,5,FALSE),0),"ABAIXO DO MINIMO","OK"))</f>
        <v/>
      </c>
    </row>
    <row r="3391">
      <c r="B3391">
        <f>IFERROR(VLOOKUP(A3391,Cadastro_Produtos!A:B,2,FALSE),"")</f>
        <v/>
      </c>
      <c r="D3391" s="12" t="n"/>
      <c r="E3391" s="13">
        <f>IF(D3391="","",D3391-TODAY())</f>
        <v/>
      </c>
      <c r="F3391">
        <f>IF(D3391="","",IF(E3391&lt;0,"VENCIDO",IF(E3391&lt;=30,"VENCE EM &lt;= 30 DIAS",IF(E3391&lt;=60,"ATENCAO (31-60 DIAS)","OK"))))</f>
        <v/>
      </c>
      <c r="G3391" s="13">
        <f>SUMIFS(Movimentacoes!$G:$G,Movimentacoes!$C:$C,$A3391,Movimentacoes!$E:$E,$C3391,Movimentacoes!$B:$B,"ENTRADA")</f>
        <v/>
      </c>
      <c r="H3391" s="13">
        <f>SUMIFS(Movimentacoes!$G:$G,Movimentacoes!$C:$C,$A3391,Movimentacoes!$E:$E,$C3391,Movimentacoes!$B:$B,"SAIDA_USO")</f>
        <v/>
      </c>
      <c r="I3391" s="13">
        <f>SUMIFS(Movimentacoes!$G:$G,Movimentacoes!$C:$C,$A3391,Movimentacoes!$E:$E,$C3391,Movimentacoes!$B:$B,"SAIDA_DESCARTE")</f>
        <v/>
      </c>
      <c r="J3391" s="13">
        <f>G3391-H3391-I3391</f>
        <v/>
      </c>
      <c r="K3391">
        <f>IF(A3391="","",IF(J3391&lt;=IFERROR(VLOOKUP(A3391,Cadastro_Produtos!$A:$E,5,FALSE),0),"ABAIXO DO MINIMO","OK"))</f>
        <v/>
      </c>
    </row>
    <row r="3392">
      <c r="B3392">
        <f>IFERROR(VLOOKUP(A3392,Cadastro_Produtos!A:B,2,FALSE),"")</f>
        <v/>
      </c>
      <c r="D3392" s="12" t="n"/>
      <c r="E3392" s="13">
        <f>IF(D3392="","",D3392-TODAY())</f>
        <v/>
      </c>
      <c r="F3392">
        <f>IF(D3392="","",IF(E3392&lt;0,"VENCIDO",IF(E3392&lt;=30,"VENCE EM &lt;= 30 DIAS",IF(E3392&lt;=60,"ATENCAO (31-60 DIAS)","OK"))))</f>
        <v/>
      </c>
      <c r="G3392" s="13">
        <f>SUMIFS(Movimentacoes!$G:$G,Movimentacoes!$C:$C,$A3392,Movimentacoes!$E:$E,$C3392,Movimentacoes!$B:$B,"ENTRADA")</f>
        <v/>
      </c>
      <c r="H3392" s="13">
        <f>SUMIFS(Movimentacoes!$G:$G,Movimentacoes!$C:$C,$A3392,Movimentacoes!$E:$E,$C3392,Movimentacoes!$B:$B,"SAIDA_USO")</f>
        <v/>
      </c>
      <c r="I3392" s="13">
        <f>SUMIFS(Movimentacoes!$G:$G,Movimentacoes!$C:$C,$A3392,Movimentacoes!$E:$E,$C3392,Movimentacoes!$B:$B,"SAIDA_DESCARTE")</f>
        <v/>
      </c>
      <c r="J3392" s="13">
        <f>G3392-H3392-I3392</f>
        <v/>
      </c>
      <c r="K3392">
        <f>IF(A3392="","",IF(J3392&lt;=IFERROR(VLOOKUP(A3392,Cadastro_Produtos!$A:$E,5,FALSE),0),"ABAIXO DO MINIMO","OK"))</f>
        <v/>
      </c>
    </row>
    <row r="3393">
      <c r="B3393">
        <f>IFERROR(VLOOKUP(A3393,Cadastro_Produtos!A:B,2,FALSE),"")</f>
        <v/>
      </c>
      <c r="D3393" s="12" t="n"/>
      <c r="E3393" s="13">
        <f>IF(D3393="","",D3393-TODAY())</f>
        <v/>
      </c>
      <c r="F3393">
        <f>IF(D3393="","",IF(E3393&lt;0,"VENCIDO",IF(E3393&lt;=30,"VENCE EM &lt;= 30 DIAS",IF(E3393&lt;=60,"ATENCAO (31-60 DIAS)","OK"))))</f>
        <v/>
      </c>
      <c r="G3393" s="13">
        <f>SUMIFS(Movimentacoes!$G:$G,Movimentacoes!$C:$C,$A3393,Movimentacoes!$E:$E,$C3393,Movimentacoes!$B:$B,"ENTRADA")</f>
        <v/>
      </c>
      <c r="H3393" s="13">
        <f>SUMIFS(Movimentacoes!$G:$G,Movimentacoes!$C:$C,$A3393,Movimentacoes!$E:$E,$C3393,Movimentacoes!$B:$B,"SAIDA_USO")</f>
        <v/>
      </c>
      <c r="I3393" s="13">
        <f>SUMIFS(Movimentacoes!$G:$G,Movimentacoes!$C:$C,$A3393,Movimentacoes!$E:$E,$C3393,Movimentacoes!$B:$B,"SAIDA_DESCARTE")</f>
        <v/>
      </c>
      <c r="J3393" s="13">
        <f>G3393-H3393-I3393</f>
        <v/>
      </c>
      <c r="K3393">
        <f>IF(A3393="","",IF(J3393&lt;=IFERROR(VLOOKUP(A3393,Cadastro_Produtos!$A:$E,5,FALSE),0),"ABAIXO DO MINIMO","OK"))</f>
        <v/>
      </c>
    </row>
    <row r="3394">
      <c r="B3394">
        <f>IFERROR(VLOOKUP(A3394,Cadastro_Produtos!A:B,2,FALSE),"")</f>
        <v/>
      </c>
      <c r="D3394" s="12" t="n"/>
      <c r="E3394" s="13">
        <f>IF(D3394="","",D3394-TODAY())</f>
        <v/>
      </c>
      <c r="F3394">
        <f>IF(D3394="","",IF(E3394&lt;0,"VENCIDO",IF(E3394&lt;=30,"VENCE EM &lt;= 30 DIAS",IF(E3394&lt;=60,"ATENCAO (31-60 DIAS)","OK"))))</f>
        <v/>
      </c>
      <c r="G3394" s="13">
        <f>SUMIFS(Movimentacoes!$G:$G,Movimentacoes!$C:$C,$A3394,Movimentacoes!$E:$E,$C3394,Movimentacoes!$B:$B,"ENTRADA")</f>
        <v/>
      </c>
      <c r="H3394" s="13">
        <f>SUMIFS(Movimentacoes!$G:$G,Movimentacoes!$C:$C,$A3394,Movimentacoes!$E:$E,$C3394,Movimentacoes!$B:$B,"SAIDA_USO")</f>
        <v/>
      </c>
      <c r="I3394" s="13">
        <f>SUMIFS(Movimentacoes!$G:$G,Movimentacoes!$C:$C,$A3394,Movimentacoes!$E:$E,$C3394,Movimentacoes!$B:$B,"SAIDA_DESCARTE")</f>
        <v/>
      </c>
      <c r="J3394" s="13">
        <f>G3394-H3394-I3394</f>
        <v/>
      </c>
      <c r="K3394">
        <f>IF(A3394="","",IF(J3394&lt;=IFERROR(VLOOKUP(A3394,Cadastro_Produtos!$A:$E,5,FALSE),0),"ABAIXO DO MINIMO","OK"))</f>
        <v/>
      </c>
    </row>
    <row r="3395">
      <c r="B3395">
        <f>IFERROR(VLOOKUP(A3395,Cadastro_Produtos!A:B,2,FALSE),"")</f>
        <v/>
      </c>
      <c r="D3395" s="12" t="n"/>
      <c r="E3395" s="13">
        <f>IF(D3395="","",D3395-TODAY())</f>
        <v/>
      </c>
      <c r="F3395">
        <f>IF(D3395="","",IF(E3395&lt;0,"VENCIDO",IF(E3395&lt;=30,"VENCE EM &lt;= 30 DIAS",IF(E3395&lt;=60,"ATENCAO (31-60 DIAS)","OK"))))</f>
        <v/>
      </c>
      <c r="G3395" s="13">
        <f>SUMIFS(Movimentacoes!$G:$G,Movimentacoes!$C:$C,$A3395,Movimentacoes!$E:$E,$C3395,Movimentacoes!$B:$B,"ENTRADA")</f>
        <v/>
      </c>
      <c r="H3395" s="13">
        <f>SUMIFS(Movimentacoes!$G:$G,Movimentacoes!$C:$C,$A3395,Movimentacoes!$E:$E,$C3395,Movimentacoes!$B:$B,"SAIDA_USO")</f>
        <v/>
      </c>
      <c r="I3395" s="13">
        <f>SUMIFS(Movimentacoes!$G:$G,Movimentacoes!$C:$C,$A3395,Movimentacoes!$E:$E,$C3395,Movimentacoes!$B:$B,"SAIDA_DESCARTE")</f>
        <v/>
      </c>
      <c r="J3395" s="13">
        <f>G3395-H3395-I3395</f>
        <v/>
      </c>
      <c r="K3395">
        <f>IF(A3395="","",IF(J3395&lt;=IFERROR(VLOOKUP(A3395,Cadastro_Produtos!$A:$E,5,FALSE),0),"ABAIXO DO MINIMO","OK"))</f>
        <v/>
      </c>
    </row>
    <row r="3396">
      <c r="B3396">
        <f>IFERROR(VLOOKUP(A3396,Cadastro_Produtos!A:B,2,FALSE),"")</f>
        <v/>
      </c>
      <c r="D3396" s="12" t="n"/>
      <c r="E3396" s="13">
        <f>IF(D3396="","",D3396-TODAY())</f>
        <v/>
      </c>
      <c r="F3396">
        <f>IF(D3396="","",IF(E3396&lt;0,"VENCIDO",IF(E3396&lt;=30,"VENCE EM &lt;= 30 DIAS",IF(E3396&lt;=60,"ATENCAO (31-60 DIAS)","OK"))))</f>
        <v/>
      </c>
      <c r="G3396" s="13">
        <f>SUMIFS(Movimentacoes!$G:$G,Movimentacoes!$C:$C,$A3396,Movimentacoes!$E:$E,$C3396,Movimentacoes!$B:$B,"ENTRADA")</f>
        <v/>
      </c>
      <c r="H3396" s="13">
        <f>SUMIFS(Movimentacoes!$G:$G,Movimentacoes!$C:$C,$A3396,Movimentacoes!$E:$E,$C3396,Movimentacoes!$B:$B,"SAIDA_USO")</f>
        <v/>
      </c>
      <c r="I3396" s="13">
        <f>SUMIFS(Movimentacoes!$G:$G,Movimentacoes!$C:$C,$A3396,Movimentacoes!$E:$E,$C3396,Movimentacoes!$B:$B,"SAIDA_DESCARTE")</f>
        <v/>
      </c>
      <c r="J3396" s="13">
        <f>G3396-H3396-I3396</f>
        <v/>
      </c>
      <c r="K3396">
        <f>IF(A3396="","",IF(J3396&lt;=IFERROR(VLOOKUP(A3396,Cadastro_Produtos!$A:$E,5,FALSE),0),"ABAIXO DO MINIMO","OK"))</f>
        <v/>
      </c>
    </row>
    <row r="3397">
      <c r="B3397">
        <f>IFERROR(VLOOKUP(A3397,Cadastro_Produtos!A:B,2,FALSE),"")</f>
        <v/>
      </c>
      <c r="D3397" s="12" t="n"/>
      <c r="E3397" s="13">
        <f>IF(D3397="","",D3397-TODAY())</f>
        <v/>
      </c>
      <c r="F3397">
        <f>IF(D3397="","",IF(E3397&lt;0,"VENCIDO",IF(E3397&lt;=30,"VENCE EM &lt;= 30 DIAS",IF(E3397&lt;=60,"ATENCAO (31-60 DIAS)","OK"))))</f>
        <v/>
      </c>
      <c r="G3397" s="13">
        <f>SUMIFS(Movimentacoes!$G:$G,Movimentacoes!$C:$C,$A3397,Movimentacoes!$E:$E,$C3397,Movimentacoes!$B:$B,"ENTRADA")</f>
        <v/>
      </c>
      <c r="H3397" s="13">
        <f>SUMIFS(Movimentacoes!$G:$G,Movimentacoes!$C:$C,$A3397,Movimentacoes!$E:$E,$C3397,Movimentacoes!$B:$B,"SAIDA_USO")</f>
        <v/>
      </c>
      <c r="I3397" s="13">
        <f>SUMIFS(Movimentacoes!$G:$G,Movimentacoes!$C:$C,$A3397,Movimentacoes!$E:$E,$C3397,Movimentacoes!$B:$B,"SAIDA_DESCARTE")</f>
        <v/>
      </c>
      <c r="J3397" s="13">
        <f>G3397-H3397-I3397</f>
        <v/>
      </c>
      <c r="K3397">
        <f>IF(A3397="","",IF(J3397&lt;=IFERROR(VLOOKUP(A3397,Cadastro_Produtos!$A:$E,5,FALSE),0),"ABAIXO DO MINIMO","OK"))</f>
        <v/>
      </c>
    </row>
    <row r="3398">
      <c r="B3398">
        <f>IFERROR(VLOOKUP(A3398,Cadastro_Produtos!A:B,2,FALSE),"")</f>
        <v/>
      </c>
      <c r="D3398" s="12" t="n"/>
      <c r="E3398" s="13">
        <f>IF(D3398="","",D3398-TODAY())</f>
        <v/>
      </c>
      <c r="F3398">
        <f>IF(D3398="","",IF(E3398&lt;0,"VENCIDO",IF(E3398&lt;=30,"VENCE EM &lt;= 30 DIAS",IF(E3398&lt;=60,"ATENCAO (31-60 DIAS)","OK"))))</f>
        <v/>
      </c>
      <c r="G3398" s="13">
        <f>SUMIFS(Movimentacoes!$G:$G,Movimentacoes!$C:$C,$A3398,Movimentacoes!$E:$E,$C3398,Movimentacoes!$B:$B,"ENTRADA")</f>
        <v/>
      </c>
      <c r="H3398" s="13">
        <f>SUMIFS(Movimentacoes!$G:$G,Movimentacoes!$C:$C,$A3398,Movimentacoes!$E:$E,$C3398,Movimentacoes!$B:$B,"SAIDA_USO")</f>
        <v/>
      </c>
      <c r="I3398" s="13">
        <f>SUMIFS(Movimentacoes!$G:$G,Movimentacoes!$C:$C,$A3398,Movimentacoes!$E:$E,$C3398,Movimentacoes!$B:$B,"SAIDA_DESCARTE")</f>
        <v/>
      </c>
      <c r="J3398" s="13">
        <f>G3398-H3398-I3398</f>
        <v/>
      </c>
      <c r="K3398">
        <f>IF(A3398="","",IF(J3398&lt;=IFERROR(VLOOKUP(A3398,Cadastro_Produtos!$A:$E,5,FALSE),0),"ABAIXO DO MINIMO","OK"))</f>
        <v/>
      </c>
    </row>
    <row r="3399">
      <c r="B3399">
        <f>IFERROR(VLOOKUP(A3399,Cadastro_Produtos!A:B,2,FALSE),"")</f>
        <v/>
      </c>
      <c r="D3399" s="12" t="n"/>
      <c r="E3399" s="13">
        <f>IF(D3399="","",D3399-TODAY())</f>
        <v/>
      </c>
      <c r="F3399">
        <f>IF(D3399="","",IF(E3399&lt;0,"VENCIDO",IF(E3399&lt;=30,"VENCE EM &lt;= 30 DIAS",IF(E3399&lt;=60,"ATENCAO (31-60 DIAS)","OK"))))</f>
        <v/>
      </c>
      <c r="G3399" s="13">
        <f>SUMIFS(Movimentacoes!$G:$G,Movimentacoes!$C:$C,$A3399,Movimentacoes!$E:$E,$C3399,Movimentacoes!$B:$B,"ENTRADA")</f>
        <v/>
      </c>
      <c r="H3399" s="13">
        <f>SUMIFS(Movimentacoes!$G:$G,Movimentacoes!$C:$C,$A3399,Movimentacoes!$E:$E,$C3399,Movimentacoes!$B:$B,"SAIDA_USO")</f>
        <v/>
      </c>
      <c r="I3399" s="13">
        <f>SUMIFS(Movimentacoes!$G:$G,Movimentacoes!$C:$C,$A3399,Movimentacoes!$E:$E,$C3399,Movimentacoes!$B:$B,"SAIDA_DESCARTE")</f>
        <v/>
      </c>
      <c r="J3399" s="13">
        <f>G3399-H3399-I3399</f>
        <v/>
      </c>
      <c r="K3399">
        <f>IF(A3399="","",IF(J3399&lt;=IFERROR(VLOOKUP(A3399,Cadastro_Produtos!$A:$E,5,FALSE),0),"ABAIXO DO MINIMO","OK"))</f>
        <v/>
      </c>
    </row>
    <row r="3400">
      <c r="B3400">
        <f>IFERROR(VLOOKUP(A3400,Cadastro_Produtos!A:B,2,FALSE),"")</f>
        <v/>
      </c>
      <c r="D3400" s="12" t="n"/>
      <c r="E3400" s="13">
        <f>IF(D3400="","",D3400-TODAY())</f>
        <v/>
      </c>
      <c r="F3400">
        <f>IF(D3400="","",IF(E3400&lt;0,"VENCIDO",IF(E3400&lt;=30,"VENCE EM &lt;= 30 DIAS",IF(E3400&lt;=60,"ATENCAO (31-60 DIAS)","OK"))))</f>
        <v/>
      </c>
      <c r="G3400" s="13">
        <f>SUMIFS(Movimentacoes!$G:$G,Movimentacoes!$C:$C,$A3400,Movimentacoes!$E:$E,$C3400,Movimentacoes!$B:$B,"ENTRADA")</f>
        <v/>
      </c>
      <c r="H3400" s="13">
        <f>SUMIFS(Movimentacoes!$G:$G,Movimentacoes!$C:$C,$A3400,Movimentacoes!$E:$E,$C3400,Movimentacoes!$B:$B,"SAIDA_USO")</f>
        <v/>
      </c>
      <c r="I3400" s="13">
        <f>SUMIFS(Movimentacoes!$G:$G,Movimentacoes!$C:$C,$A3400,Movimentacoes!$E:$E,$C3400,Movimentacoes!$B:$B,"SAIDA_DESCARTE")</f>
        <v/>
      </c>
      <c r="J3400" s="13">
        <f>G3400-H3400-I3400</f>
        <v/>
      </c>
      <c r="K3400">
        <f>IF(A3400="","",IF(J3400&lt;=IFERROR(VLOOKUP(A3400,Cadastro_Produtos!$A:$E,5,FALSE),0),"ABAIXO DO MINIMO","OK"))</f>
        <v/>
      </c>
    </row>
    <row r="3401">
      <c r="B3401">
        <f>IFERROR(VLOOKUP(A3401,Cadastro_Produtos!A:B,2,FALSE),"")</f>
        <v/>
      </c>
      <c r="D3401" s="12" t="n"/>
      <c r="E3401" s="13">
        <f>IF(D3401="","",D3401-TODAY())</f>
        <v/>
      </c>
      <c r="F3401">
        <f>IF(D3401="","",IF(E3401&lt;0,"VENCIDO",IF(E3401&lt;=30,"VENCE EM &lt;= 30 DIAS",IF(E3401&lt;=60,"ATENCAO (31-60 DIAS)","OK"))))</f>
        <v/>
      </c>
      <c r="G3401" s="13">
        <f>SUMIFS(Movimentacoes!$G:$G,Movimentacoes!$C:$C,$A3401,Movimentacoes!$E:$E,$C3401,Movimentacoes!$B:$B,"ENTRADA")</f>
        <v/>
      </c>
      <c r="H3401" s="13">
        <f>SUMIFS(Movimentacoes!$G:$G,Movimentacoes!$C:$C,$A3401,Movimentacoes!$E:$E,$C3401,Movimentacoes!$B:$B,"SAIDA_USO")</f>
        <v/>
      </c>
      <c r="I3401" s="13">
        <f>SUMIFS(Movimentacoes!$G:$G,Movimentacoes!$C:$C,$A3401,Movimentacoes!$E:$E,$C3401,Movimentacoes!$B:$B,"SAIDA_DESCARTE")</f>
        <v/>
      </c>
      <c r="J3401" s="13">
        <f>G3401-H3401-I3401</f>
        <v/>
      </c>
      <c r="K3401">
        <f>IF(A3401="","",IF(J3401&lt;=IFERROR(VLOOKUP(A3401,Cadastro_Produtos!$A:$E,5,FALSE),0),"ABAIXO DO MINIMO","OK"))</f>
        <v/>
      </c>
    </row>
    <row r="3402">
      <c r="B3402">
        <f>IFERROR(VLOOKUP(A3402,Cadastro_Produtos!A:B,2,FALSE),"")</f>
        <v/>
      </c>
      <c r="D3402" s="12" t="n"/>
      <c r="E3402" s="13">
        <f>IF(D3402="","",D3402-TODAY())</f>
        <v/>
      </c>
      <c r="F3402">
        <f>IF(D3402="","",IF(E3402&lt;0,"VENCIDO",IF(E3402&lt;=30,"VENCE EM &lt;= 30 DIAS",IF(E3402&lt;=60,"ATENCAO (31-60 DIAS)","OK"))))</f>
        <v/>
      </c>
      <c r="G3402" s="13">
        <f>SUMIFS(Movimentacoes!$G:$G,Movimentacoes!$C:$C,$A3402,Movimentacoes!$E:$E,$C3402,Movimentacoes!$B:$B,"ENTRADA")</f>
        <v/>
      </c>
      <c r="H3402" s="13">
        <f>SUMIFS(Movimentacoes!$G:$G,Movimentacoes!$C:$C,$A3402,Movimentacoes!$E:$E,$C3402,Movimentacoes!$B:$B,"SAIDA_USO")</f>
        <v/>
      </c>
      <c r="I3402" s="13">
        <f>SUMIFS(Movimentacoes!$G:$G,Movimentacoes!$C:$C,$A3402,Movimentacoes!$E:$E,$C3402,Movimentacoes!$B:$B,"SAIDA_DESCARTE")</f>
        <v/>
      </c>
      <c r="J3402" s="13">
        <f>G3402-H3402-I3402</f>
        <v/>
      </c>
      <c r="K3402">
        <f>IF(A3402="","",IF(J3402&lt;=IFERROR(VLOOKUP(A3402,Cadastro_Produtos!$A:$E,5,FALSE),0),"ABAIXO DO MINIMO","OK"))</f>
        <v/>
      </c>
    </row>
    <row r="3403">
      <c r="B3403">
        <f>IFERROR(VLOOKUP(A3403,Cadastro_Produtos!A:B,2,FALSE),"")</f>
        <v/>
      </c>
      <c r="D3403" s="12" t="n"/>
      <c r="E3403" s="13">
        <f>IF(D3403="","",D3403-TODAY())</f>
        <v/>
      </c>
      <c r="F3403">
        <f>IF(D3403="","",IF(E3403&lt;0,"VENCIDO",IF(E3403&lt;=30,"VENCE EM &lt;= 30 DIAS",IF(E3403&lt;=60,"ATENCAO (31-60 DIAS)","OK"))))</f>
        <v/>
      </c>
      <c r="G3403" s="13">
        <f>SUMIFS(Movimentacoes!$G:$G,Movimentacoes!$C:$C,$A3403,Movimentacoes!$E:$E,$C3403,Movimentacoes!$B:$B,"ENTRADA")</f>
        <v/>
      </c>
      <c r="H3403" s="13">
        <f>SUMIFS(Movimentacoes!$G:$G,Movimentacoes!$C:$C,$A3403,Movimentacoes!$E:$E,$C3403,Movimentacoes!$B:$B,"SAIDA_USO")</f>
        <v/>
      </c>
      <c r="I3403" s="13">
        <f>SUMIFS(Movimentacoes!$G:$G,Movimentacoes!$C:$C,$A3403,Movimentacoes!$E:$E,$C3403,Movimentacoes!$B:$B,"SAIDA_DESCARTE")</f>
        <v/>
      </c>
      <c r="J3403" s="13">
        <f>G3403-H3403-I3403</f>
        <v/>
      </c>
      <c r="K3403">
        <f>IF(A3403="","",IF(J3403&lt;=IFERROR(VLOOKUP(A3403,Cadastro_Produtos!$A:$E,5,FALSE),0),"ABAIXO DO MINIMO","OK"))</f>
        <v/>
      </c>
    </row>
    <row r="3404">
      <c r="B3404">
        <f>IFERROR(VLOOKUP(A3404,Cadastro_Produtos!A:B,2,FALSE),"")</f>
        <v/>
      </c>
      <c r="D3404" s="12" t="n"/>
      <c r="E3404" s="13">
        <f>IF(D3404="","",D3404-TODAY())</f>
        <v/>
      </c>
      <c r="F3404">
        <f>IF(D3404="","",IF(E3404&lt;0,"VENCIDO",IF(E3404&lt;=30,"VENCE EM &lt;= 30 DIAS",IF(E3404&lt;=60,"ATENCAO (31-60 DIAS)","OK"))))</f>
        <v/>
      </c>
      <c r="G3404" s="13">
        <f>SUMIFS(Movimentacoes!$G:$G,Movimentacoes!$C:$C,$A3404,Movimentacoes!$E:$E,$C3404,Movimentacoes!$B:$B,"ENTRADA")</f>
        <v/>
      </c>
      <c r="H3404" s="13">
        <f>SUMIFS(Movimentacoes!$G:$G,Movimentacoes!$C:$C,$A3404,Movimentacoes!$E:$E,$C3404,Movimentacoes!$B:$B,"SAIDA_USO")</f>
        <v/>
      </c>
      <c r="I3404" s="13">
        <f>SUMIFS(Movimentacoes!$G:$G,Movimentacoes!$C:$C,$A3404,Movimentacoes!$E:$E,$C3404,Movimentacoes!$B:$B,"SAIDA_DESCARTE")</f>
        <v/>
      </c>
      <c r="J3404" s="13">
        <f>G3404-H3404-I3404</f>
        <v/>
      </c>
      <c r="K3404">
        <f>IF(A3404="","",IF(J3404&lt;=IFERROR(VLOOKUP(A3404,Cadastro_Produtos!$A:$E,5,FALSE),0),"ABAIXO DO MINIMO","OK"))</f>
        <v/>
      </c>
    </row>
    <row r="3405">
      <c r="B3405">
        <f>IFERROR(VLOOKUP(A3405,Cadastro_Produtos!A:B,2,FALSE),"")</f>
        <v/>
      </c>
      <c r="D3405" s="12" t="n"/>
      <c r="E3405" s="13">
        <f>IF(D3405="","",D3405-TODAY())</f>
        <v/>
      </c>
      <c r="F3405">
        <f>IF(D3405="","",IF(E3405&lt;0,"VENCIDO",IF(E3405&lt;=30,"VENCE EM &lt;= 30 DIAS",IF(E3405&lt;=60,"ATENCAO (31-60 DIAS)","OK"))))</f>
        <v/>
      </c>
      <c r="G3405" s="13">
        <f>SUMIFS(Movimentacoes!$G:$G,Movimentacoes!$C:$C,$A3405,Movimentacoes!$E:$E,$C3405,Movimentacoes!$B:$B,"ENTRADA")</f>
        <v/>
      </c>
      <c r="H3405" s="13">
        <f>SUMIFS(Movimentacoes!$G:$G,Movimentacoes!$C:$C,$A3405,Movimentacoes!$E:$E,$C3405,Movimentacoes!$B:$B,"SAIDA_USO")</f>
        <v/>
      </c>
      <c r="I3405" s="13">
        <f>SUMIFS(Movimentacoes!$G:$G,Movimentacoes!$C:$C,$A3405,Movimentacoes!$E:$E,$C3405,Movimentacoes!$B:$B,"SAIDA_DESCARTE")</f>
        <v/>
      </c>
      <c r="J3405" s="13">
        <f>G3405-H3405-I3405</f>
        <v/>
      </c>
      <c r="K3405">
        <f>IF(A3405="","",IF(J3405&lt;=IFERROR(VLOOKUP(A3405,Cadastro_Produtos!$A:$E,5,FALSE),0),"ABAIXO DO MINIMO","OK"))</f>
        <v/>
      </c>
    </row>
    <row r="3406">
      <c r="B3406">
        <f>IFERROR(VLOOKUP(A3406,Cadastro_Produtos!A:B,2,FALSE),"")</f>
        <v/>
      </c>
      <c r="D3406" s="12" t="n"/>
      <c r="E3406" s="13">
        <f>IF(D3406="","",D3406-TODAY())</f>
        <v/>
      </c>
      <c r="F3406">
        <f>IF(D3406="","",IF(E3406&lt;0,"VENCIDO",IF(E3406&lt;=30,"VENCE EM &lt;= 30 DIAS",IF(E3406&lt;=60,"ATENCAO (31-60 DIAS)","OK"))))</f>
        <v/>
      </c>
      <c r="G3406" s="13">
        <f>SUMIFS(Movimentacoes!$G:$G,Movimentacoes!$C:$C,$A3406,Movimentacoes!$E:$E,$C3406,Movimentacoes!$B:$B,"ENTRADA")</f>
        <v/>
      </c>
      <c r="H3406" s="13">
        <f>SUMIFS(Movimentacoes!$G:$G,Movimentacoes!$C:$C,$A3406,Movimentacoes!$E:$E,$C3406,Movimentacoes!$B:$B,"SAIDA_USO")</f>
        <v/>
      </c>
      <c r="I3406" s="13">
        <f>SUMIFS(Movimentacoes!$G:$G,Movimentacoes!$C:$C,$A3406,Movimentacoes!$E:$E,$C3406,Movimentacoes!$B:$B,"SAIDA_DESCARTE")</f>
        <v/>
      </c>
      <c r="J3406" s="13">
        <f>G3406-H3406-I3406</f>
        <v/>
      </c>
      <c r="K3406">
        <f>IF(A3406="","",IF(J3406&lt;=IFERROR(VLOOKUP(A3406,Cadastro_Produtos!$A:$E,5,FALSE),0),"ABAIXO DO MINIMO","OK"))</f>
        <v/>
      </c>
    </row>
    <row r="3407">
      <c r="B3407">
        <f>IFERROR(VLOOKUP(A3407,Cadastro_Produtos!A:B,2,FALSE),"")</f>
        <v/>
      </c>
      <c r="D3407" s="12" t="n"/>
      <c r="E3407" s="13">
        <f>IF(D3407="","",D3407-TODAY())</f>
        <v/>
      </c>
      <c r="F3407">
        <f>IF(D3407="","",IF(E3407&lt;0,"VENCIDO",IF(E3407&lt;=30,"VENCE EM &lt;= 30 DIAS",IF(E3407&lt;=60,"ATENCAO (31-60 DIAS)","OK"))))</f>
        <v/>
      </c>
      <c r="G3407" s="13">
        <f>SUMIFS(Movimentacoes!$G:$G,Movimentacoes!$C:$C,$A3407,Movimentacoes!$E:$E,$C3407,Movimentacoes!$B:$B,"ENTRADA")</f>
        <v/>
      </c>
      <c r="H3407" s="13">
        <f>SUMIFS(Movimentacoes!$G:$G,Movimentacoes!$C:$C,$A3407,Movimentacoes!$E:$E,$C3407,Movimentacoes!$B:$B,"SAIDA_USO")</f>
        <v/>
      </c>
      <c r="I3407" s="13">
        <f>SUMIFS(Movimentacoes!$G:$G,Movimentacoes!$C:$C,$A3407,Movimentacoes!$E:$E,$C3407,Movimentacoes!$B:$B,"SAIDA_DESCARTE")</f>
        <v/>
      </c>
      <c r="J3407" s="13">
        <f>G3407-H3407-I3407</f>
        <v/>
      </c>
      <c r="K3407">
        <f>IF(A3407="","",IF(J3407&lt;=IFERROR(VLOOKUP(A3407,Cadastro_Produtos!$A:$E,5,FALSE),0),"ABAIXO DO MINIMO","OK"))</f>
        <v/>
      </c>
    </row>
    <row r="3408">
      <c r="B3408">
        <f>IFERROR(VLOOKUP(A3408,Cadastro_Produtos!A:B,2,FALSE),"")</f>
        <v/>
      </c>
      <c r="D3408" s="12" t="n"/>
      <c r="E3408" s="13">
        <f>IF(D3408="","",D3408-TODAY())</f>
        <v/>
      </c>
      <c r="F3408">
        <f>IF(D3408="","",IF(E3408&lt;0,"VENCIDO",IF(E3408&lt;=30,"VENCE EM &lt;= 30 DIAS",IF(E3408&lt;=60,"ATENCAO (31-60 DIAS)","OK"))))</f>
        <v/>
      </c>
      <c r="G3408" s="13">
        <f>SUMIFS(Movimentacoes!$G:$G,Movimentacoes!$C:$C,$A3408,Movimentacoes!$E:$E,$C3408,Movimentacoes!$B:$B,"ENTRADA")</f>
        <v/>
      </c>
      <c r="H3408" s="13">
        <f>SUMIFS(Movimentacoes!$G:$G,Movimentacoes!$C:$C,$A3408,Movimentacoes!$E:$E,$C3408,Movimentacoes!$B:$B,"SAIDA_USO")</f>
        <v/>
      </c>
      <c r="I3408" s="13">
        <f>SUMIFS(Movimentacoes!$G:$G,Movimentacoes!$C:$C,$A3408,Movimentacoes!$E:$E,$C3408,Movimentacoes!$B:$B,"SAIDA_DESCARTE")</f>
        <v/>
      </c>
      <c r="J3408" s="13">
        <f>G3408-H3408-I3408</f>
        <v/>
      </c>
      <c r="K3408">
        <f>IF(A3408="","",IF(J3408&lt;=IFERROR(VLOOKUP(A3408,Cadastro_Produtos!$A:$E,5,FALSE),0),"ABAIXO DO MINIMO","OK"))</f>
        <v/>
      </c>
    </row>
    <row r="3409">
      <c r="B3409">
        <f>IFERROR(VLOOKUP(A3409,Cadastro_Produtos!A:B,2,FALSE),"")</f>
        <v/>
      </c>
      <c r="D3409" s="12" t="n"/>
      <c r="E3409" s="13">
        <f>IF(D3409="","",D3409-TODAY())</f>
        <v/>
      </c>
      <c r="F3409">
        <f>IF(D3409="","",IF(E3409&lt;0,"VENCIDO",IF(E3409&lt;=30,"VENCE EM &lt;= 30 DIAS",IF(E3409&lt;=60,"ATENCAO (31-60 DIAS)","OK"))))</f>
        <v/>
      </c>
      <c r="G3409" s="13">
        <f>SUMIFS(Movimentacoes!$G:$G,Movimentacoes!$C:$C,$A3409,Movimentacoes!$E:$E,$C3409,Movimentacoes!$B:$B,"ENTRADA")</f>
        <v/>
      </c>
      <c r="H3409" s="13">
        <f>SUMIFS(Movimentacoes!$G:$G,Movimentacoes!$C:$C,$A3409,Movimentacoes!$E:$E,$C3409,Movimentacoes!$B:$B,"SAIDA_USO")</f>
        <v/>
      </c>
      <c r="I3409" s="13">
        <f>SUMIFS(Movimentacoes!$G:$G,Movimentacoes!$C:$C,$A3409,Movimentacoes!$E:$E,$C3409,Movimentacoes!$B:$B,"SAIDA_DESCARTE")</f>
        <v/>
      </c>
      <c r="J3409" s="13">
        <f>G3409-H3409-I3409</f>
        <v/>
      </c>
      <c r="K3409">
        <f>IF(A3409="","",IF(J3409&lt;=IFERROR(VLOOKUP(A3409,Cadastro_Produtos!$A:$E,5,FALSE),0),"ABAIXO DO MINIMO","OK"))</f>
        <v/>
      </c>
    </row>
    <row r="3410">
      <c r="B3410">
        <f>IFERROR(VLOOKUP(A3410,Cadastro_Produtos!A:B,2,FALSE),"")</f>
        <v/>
      </c>
      <c r="D3410" s="12" t="n"/>
      <c r="E3410" s="13">
        <f>IF(D3410="","",D3410-TODAY())</f>
        <v/>
      </c>
      <c r="F3410">
        <f>IF(D3410="","",IF(E3410&lt;0,"VENCIDO",IF(E3410&lt;=30,"VENCE EM &lt;= 30 DIAS",IF(E3410&lt;=60,"ATENCAO (31-60 DIAS)","OK"))))</f>
        <v/>
      </c>
      <c r="G3410" s="13">
        <f>SUMIFS(Movimentacoes!$G:$G,Movimentacoes!$C:$C,$A3410,Movimentacoes!$E:$E,$C3410,Movimentacoes!$B:$B,"ENTRADA")</f>
        <v/>
      </c>
      <c r="H3410" s="13">
        <f>SUMIFS(Movimentacoes!$G:$G,Movimentacoes!$C:$C,$A3410,Movimentacoes!$E:$E,$C3410,Movimentacoes!$B:$B,"SAIDA_USO")</f>
        <v/>
      </c>
      <c r="I3410" s="13">
        <f>SUMIFS(Movimentacoes!$G:$G,Movimentacoes!$C:$C,$A3410,Movimentacoes!$E:$E,$C3410,Movimentacoes!$B:$B,"SAIDA_DESCARTE")</f>
        <v/>
      </c>
      <c r="J3410" s="13">
        <f>G3410-H3410-I3410</f>
        <v/>
      </c>
      <c r="K3410">
        <f>IF(A3410="","",IF(J3410&lt;=IFERROR(VLOOKUP(A3410,Cadastro_Produtos!$A:$E,5,FALSE),0),"ABAIXO DO MINIMO","OK"))</f>
        <v/>
      </c>
    </row>
    <row r="3411">
      <c r="B3411">
        <f>IFERROR(VLOOKUP(A3411,Cadastro_Produtos!A:B,2,FALSE),"")</f>
        <v/>
      </c>
      <c r="D3411" s="12" t="n"/>
      <c r="E3411" s="13">
        <f>IF(D3411="","",D3411-TODAY())</f>
        <v/>
      </c>
      <c r="F3411">
        <f>IF(D3411="","",IF(E3411&lt;0,"VENCIDO",IF(E3411&lt;=30,"VENCE EM &lt;= 30 DIAS",IF(E3411&lt;=60,"ATENCAO (31-60 DIAS)","OK"))))</f>
        <v/>
      </c>
      <c r="G3411" s="13">
        <f>SUMIFS(Movimentacoes!$G:$G,Movimentacoes!$C:$C,$A3411,Movimentacoes!$E:$E,$C3411,Movimentacoes!$B:$B,"ENTRADA")</f>
        <v/>
      </c>
      <c r="H3411" s="13">
        <f>SUMIFS(Movimentacoes!$G:$G,Movimentacoes!$C:$C,$A3411,Movimentacoes!$E:$E,$C3411,Movimentacoes!$B:$B,"SAIDA_USO")</f>
        <v/>
      </c>
      <c r="I3411" s="13">
        <f>SUMIFS(Movimentacoes!$G:$G,Movimentacoes!$C:$C,$A3411,Movimentacoes!$E:$E,$C3411,Movimentacoes!$B:$B,"SAIDA_DESCARTE")</f>
        <v/>
      </c>
      <c r="J3411" s="13">
        <f>G3411-H3411-I3411</f>
        <v/>
      </c>
      <c r="K3411">
        <f>IF(A3411="","",IF(J3411&lt;=IFERROR(VLOOKUP(A3411,Cadastro_Produtos!$A:$E,5,FALSE),0),"ABAIXO DO MINIMO","OK"))</f>
        <v/>
      </c>
    </row>
    <row r="3412">
      <c r="B3412">
        <f>IFERROR(VLOOKUP(A3412,Cadastro_Produtos!A:B,2,FALSE),"")</f>
        <v/>
      </c>
      <c r="D3412" s="12" t="n"/>
      <c r="E3412" s="13">
        <f>IF(D3412="","",D3412-TODAY())</f>
        <v/>
      </c>
      <c r="F3412">
        <f>IF(D3412="","",IF(E3412&lt;0,"VENCIDO",IF(E3412&lt;=30,"VENCE EM &lt;= 30 DIAS",IF(E3412&lt;=60,"ATENCAO (31-60 DIAS)","OK"))))</f>
        <v/>
      </c>
      <c r="G3412" s="13">
        <f>SUMIFS(Movimentacoes!$G:$G,Movimentacoes!$C:$C,$A3412,Movimentacoes!$E:$E,$C3412,Movimentacoes!$B:$B,"ENTRADA")</f>
        <v/>
      </c>
      <c r="H3412" s="13">
        <f>SUMIFS(Movimentacoes!$G:$G,Movimentacoes!$C:$C,$A3412,Movimentacoes!$E:$E,$C3412,Movimentacoes!$B:$B,"SAIDA_USO")</f>
        <v/>
      </c>
      <c r="I3412" s="13">
        <f>SUMIFS(Movimentacoes!$G:$G,Movimentacoes!$C:$C,$A3412,Movimentacoes!$E:$E,$C3412,Movimentacoes!$B:$B,"SAIDA_DESCARTE")</f>
        <v/>
      </c>
      <c r="J3412" s="13">
        <f>G3412-H3412-I3412</f>
        <v/>
      </c>
      <c r="K3412">
        <f>IF(A3412="","",IF(J3412&lt;=IFERROR(VLOOKUP(A3412,Cadastro_Produtos!$A:$E,5,FALSE),0),"ABAIXO DO MINIMO","OK"))</f>
        <v/>
      </c>
    </row>
    <row r="3413">
      <c r="B3413">
        <f>IFERROR(VLOOKUP(A3413,Cadastro_Produtos!A:B,2,FALSE),"")</f>
        <v/>
      </c>
      <c r="D3413" s="12" t="n"/>
      <c r="E3413" s="13">
        <f>IF(D3413="","",D3413-TODAY())</f>
        <v/>
      </c>
      <c r="F3413">
        <f>IF(D3413="","",IF(E3413&lt;0,"VENCIDO",IF(E3413&lt;=30,"VENCE EM &lt;= 30 DIAS",IF(E3413&lt;=60,"ATENCAO (31-60 DIAS)","OK"))))</f>
        <v/>
      </c>
      <c r="G3413" s="13">
        <f>SUMIFS(Movimentacoes!$G:$G,Movimentacoes!$C:$C,$A3413,Movimentacoes!$E:$E,$C3413,Movimentacoes!$B:$B,"ENTRADA")</f>
        <v/>
      </c>
      <c r="H3413" s="13">
        <f>SUMIFS(Movimentacoes!$G:$G,Movimentacoes!$C:$C,$A3413,Movimentacoes!$E:$E,$C3413,Movimentacoes!$B:$B,"SAIDA_USO")</f>
        <v/>
      </c>
      <c r="I3413" s="13">
        <f>SUMIFS(Movimentacoes!$G:$G,Movimentacoes!$C:$C,$A3413,Movimentacoes!$E:$E,$C3413,Movimentacoes!$B:$B,"SAIDA_DESCARTE")</f>
        <v/>
      </c>
      <c r="J3413" s="13">
        <f>G3413-H3413-I3413</f>
        <v/>
      </c>
      <c r="K3413">
        <f>IF(A3413="","",IF(J3413&lt;=IFERROR(VLOOKUP(A3413,Cadastro_Produtos!$A:$E,5,FALSE),0),"ABAIXO DO MINIMO","OK"))</f>
        <v/>
      </c>
    </row>
    <row r="3414">
      <c r="B3414">
        <f>IFERROR(VLOOKUP(A3414,Cadastro_Produtos!A:B,2,FALSE),"")</f>
        <v/>
      </c>
      <c r="D3414" s="12" t="n"/>
      <c r="E3414" s="13">
        <f>IF(D3414="","",D3414-TODAY())</f>
        <v/>
      </c>
      <c r="F3414">
        <f>IF(D3414="","",IF(E3414&lt;0,"VENCIDO",IF(E3414&lt;=30,"VENCE EM &lt;= 30 DIAS",IF(E3414&lt;=60,"ATENCAO (31-60 DIAS)","OK"))))</f>
        <v/>
      </c>
      <c r="G3414" s="13">
        <f>SUMIFS(Movimentacoes!$G:$G,Movimentacoes!$C:$C,$A3414,Movimentacoes!$E:$E,$C3414,Movimentacoes!$B:$B,"ENTRADA")</f>
        <v/>
      </c>
      <c r="H3414" s="13">
        <f>SUMIFS(Movimentacoes!$G:$G,Movimentacoes!$C:$C,$A3414,Movimentacoes!$E:$E,$C3414,Movimentacoes!$B:$B,"SAIDA_USO")</f>
        <v/>
      </c>
      <c r="I3414" s="13">
        <f>SUMIFS(Movimentacoes!$G:$G,Movimentacoes!$C:$C,$A3414,Movimentacoes!$E:$E,$C3414,Movimentacoes!$B:$B,"SAIDA_DESCARTE")</f>
        <v/>
      </c>
      <c r="J3414" s="13">
        <f>G3414-H3414-I3414</f>
        <v/>
      </c>
      <c r="K3414">
        <f>IF(A3414="","",IF(J3414&lt;=IFERROR(VLOOKUP(A3414,Cadastro_Produtos!$A:$E,5,FALSE),0),"ABAIXO DO MINIMO","OK"))</f>
        <v/>
      </c>
    </row>
    <row r="3415">
      <c r="B3415">
        <f>IFERROR(VLOOKUP(A3415,Cadastro_Produtos!A:B,2,FALSE),"")</f>
        <v/>
      </c>
      <c r="D3415" s="12" t="n"/>
      <c r="E3415" s="13">
        <f>IF(D3415="","",D3415-TODAY())</f>
        <v/>
      </c>
      <c r="F3415">
        <f>IF(D3415="","",IF(E3415&lt;0,"VENCIDO",IF(E3415&lt;=30,"VENCE EM &lt;= 30 DIAS",IF(E3415&lt;=60,"ATENCAO (31-60 DIAS)","OK"))))</f>
        <v/>
      </c>
      <c r="G3415" s="13">
        <f>SUMIFS(Movimentacoes!$G:$G,Movimentacoes!$C:$C,$A3415,Movimentacoes!$E:$E,$C3415,Movimentacoes!$B:$B,"ENTRADA")</f>
        <v/>
      </c>
      <c r="H3415" s="13">
        <f>SUMIFS(Movimentacoes!$G:$G,Movimentacoes!$C:$C,$A3415,Movimentacoes!$E:$E,$C3415,Movimentacoes!$B:$B,"SAIDA_USO")</f>
        <v/>
      </c>
      <c r="I3415" s="13">
        <f>SUMIFS(Movimentacoes!$G:$G,Movimentacoes!$C:$C,$A3415,Movimentacoes!$E:$E,$C3415,Movimentacoes!$B:$B,"SAIDA_DESCARTE")</f>
        <v/>
      </c>
      <c r="J3415" s="13">
        <f>G3415-H3415-I3415</f>
        <v/>
      </c>
      <c r="K3415">
        <f>IF(A3415="","",IF(J3415&lt;=IFERROR(VLOOKUP(A3415,Cadastro_Produtos!$A:$E,5,FALSE),0),"ABAIXO DO MINIMO","OK"))</f>
        <v/>
      </c>
    </row>
    <row r="3416">
      <c r="B3416">
        <f>IFERROR(VLOOKUP(A3416,Cadastro_Produtos!A:B,2,FALSE),"")</f>
        <v/>
      </c>
      <c r="D3416" s="12" t="n"/>
      <c r="E3416" s="13">
        <f>IF(D3416="","",D3416-TODAY())</f>
        <v/>
      </c>
      <c r="F3416">
        <f>IF(D3416="","",IF(E3416&lt;0,"VENCIDO",IF(E3416&lt;=30,"VENCE EM &lt;= 30 DIAS",IF(E3416&lt;=60,"ATENCAO (31-60 DIAS)","OK"))))</f>
        <v/>
      </c>
      <c r="G3416" s="13">
        <f>SUMIFS(Movimentacoes!$G:$G,Movimentacoes!$C:$C,$A3416,Movimentacoes!$E:$E,$C3416,Movimentacoes!$B:$B,"ENTRADA")</f>
        <v/>
      </c>
      <c r="H3416" s="13">
        <f>SUMIFS(Movimentacoes!$G:$G,Movimentacoes!$C:$C,$A3416,Movimentacoes!$E:$E,$C3416,Movimentacoes!$B:$B,"SAIDA_USO")</f>
        <v/>
      </c>
      <c r="I3416" s="13">
        <f>SUMIFS(Movimentacoes!$G:$G,Movimentacoes!$C:$C,$A3416,Movimentacoes!$E:$E,$C3416,Movimentacoes!$B:$B,"SAIDA_DESCARTE")</f>
        <v/>
      </c>
      <c r="J3416" s="13">
        <f>G3416-H3416-I3416</f>
        <v/>
      </c>
      <c r="K3416">
        <f>IF(A3416="","",IF(J3416&lt;=IFERROR(VLOOKUP(A3416,Cadastro_Produtos!$A:$E,5,FALSE),0),"ABAIXO DO MINIMO","OK"))</f>
        <v/>
      </c>
    </row>
    <row r="3417">
      <c r="B3417">
        <f>IFERROR(VLOOKUP(A3417,Cadastro_Produtos!A:B,2,FALSE),"")</f>
        <v/>
      </c>
      <c r="D3417" s="12" t="n"/>
      <c r="E3417" s="13">
        <f>IF(D3417="","",D3417-TODAY())</f>
        <v/>
      </c>
      <c r="F3417">
        <f>IF(D3417="","",IF(E3417&lt;0,"VENCIDO",IF(E3417&lt;=30,"VENCE EM &lt;= 30 DIAS",IF(E3417&lt;=60,"ATENCAO (31-60 DIAS)","OK"))))</f>
        <v/>
      </c>
      <c r="G3417" s="13">
        <f>SUMIFS(Movimentacoes!$G:$G,Movimentacoes!$C:$C,$A3417,Movimentacoes!$E:$E,$C3417,Movimentacoes!$B:$B,"ENTRADA")</f>
        <v/>
      </c>
      <c r="H3417" s="13">
        <f>SUMIFS(Movimentacoes!$G:$G,Movimentacoes!$C:$C,$A3417,Movimentacoes!$E:$E,$C3417,Movimentacoes!$B:$B,"SAIDA_USO")</f>
        <v/>
      </c>
      <c r="I3417" s="13">
        <f>SUMIFS(Movimentacoes!$G:$G,Movimentacoes!$C:$C,$A3417,Movimentacoes!$E:$E,$C3417,Movimentacoes!$B:$B,"SAIDA_DESCARTE")</f>
        <v/>
      </c>
      <c r="J3417" s="13">
        <f>G3417-H3417-I3417</f>
        <v/>
      </c>
      <c r="K3417">
        <f>IF(A3417="","",IF(J3417&lt;=IFERROR(VLOOKUP(A3417,Cadastro_Produtos!$A:$E,5,FALSE),0),"ABAIXO DO MINIMO","OK"))</f>
        <v/>
      </c>
    </row>
    <row r="3418">
      <c r="B3418">
        <f>IFERROR(VLOOKUP(A3418,Cadastro_Produtos!A:B,2,FALSE),"")</f>
        <v/>
      </c>
      <c r="D3418" s="12" t="n"/>
      <c r="E3418" s="13">
        <f>IF(D3418="","",D3418-TODAY())</f>
        <v/>
      </c>
      <c r="F3418">
        <f>IF(D3418="","",IF(E3418&lt;0,"VENCIDO",IF(E3418&lt;=30,"VENCE EM &lt;= 30 DIAS",IF(E3418&lt;=60,"ATENCAO (31-60 DIAS)","OK"))))</f>
        <v/>
      </c>
      <c r="G3418" s="13">
        <f>SUMIFS(Movimentacoes!$G:$G,Movimentacoes!$C:$C,$A3418,Movimentacoes!$E:$E,$C3418,Movimentacoes!$B:$B,"ENTRADA")</f>
        <v/>
      </c>
      <c r="H3418" s="13">
        <f>SUMIFS(Movimentacoes!$G:$G,Movimentacoes!$C:$C,$A3418,Movimentacoes!$E:$E,$C3418,Movimentacoes!$B:$B,"SAIDA_USO")</f>
        <v/>
      </c>
      <c r="I3418" s="13">
        <f>SUMIFS(Movimentacoes!$G:$G,Movimentacoes!$C:$C,$A3418,Movimentacoes!$E:$E,$C3418,Movimentacoes!$B:$B,"SAIDA_DESCARTE")</f>
        <v/>
      </c>
      <c r="J3418" s="13">
        <f>G3418-H3418-I3418</f>
        <v/>
      </c>
      <c r="K3418">
        <f>IF(A3418="","",IF(J3418&lt;=IFERROR(VLOOKUP(A3418,Cadastro_Produtos!$A:$E,5,FALSE),0),"ABAIXO DO MINIMO","OK"))</f>
        <v/>
      </c>
    </row>
    <row r="3419">
      <c r="B3419">
        <f>IFERROR(VLOOKUP(A3419,Cadastro_Produtos!A:B,2,FALSE),"")</f>
        <v/>
      </c>
      <c r="D3419" s="12" t="n"/>
      <c r="E3419" s="13">
        <f>IF(D3419="","",D3419-TODAY())</f>
        <v/>
      </c>
      <c r="F3419">
        <f>IF(D3419="","",IF(E3419&lt;0,"VENCIDO",IF(E3419&lt;=30,"VENCE EM &lt;= 30 DIAS",IF(E3419&lt;=60,"ATENCAO (31-60 DIAS)","OK"))))</f>
        <v/>
      </c>
      <c r="G3419" s="13">
        <f>SUMIFS(Movimentacoes!$G:$G,Movimentacoes!$C:$C,$A3419,Movimentacoes!$E:$E,$C3419,Movimentacoes!$B:$B,"ENTRADA")</f>
        <v/>
      </c>
      <c r="H3419" s="13">
        <f>SUMIFS(Movimentacoes!$G:$G,Movimentacoes!$C:$C,$A3419,Movimentacoes!$E:$E,$C3419,Movimentacoes!$B:$B,"SAIDA_USO")</f>
        <v/>
      </c>
      <c r="I3419" s="13">
        <f>SUMIFS(Movimentacoes!$G:$G,Movimentacoes!$C:$C,$A3419,Movimentacoes!$E:$E,$C3419,Movimentacoes!$B:$B,"SAIDA_DESCARTE")</f>
        <v/>
      </c>
      <c r="J3419" s="13">
        <f>G3419-H3419-I3419</f>
        <v/>
      </c>
      <c r="K3419">
        <f>IF(A3419="","",IF(J3419&lt;=IFERROR(VLOOKUP(A3419,Cadastro_Produtos!$A:$E,5,FALSE),0),"ABAIXO DO MINIMO","OK"))</f>
        <v/>
      </c>
    </row>
    <row r="3420">
      <c r="B3420">
        <f>IFERROR(VLOOKUP(A3420,Cadastro_Produtos!A:B,2,FALSE),"")</f>
        <v/>
      </c>
      <c r="D3420" s="12" t="n"/>
      <c r="E3420" s="13">
        <f>IF(D3420="","",D3420-TODAY())</f>
        <v/>
      </c>
      <c r="F3420">
        <f>IF(D3420="","",IF(E3420&lt;0,"VENCIDO",IF(E3420&lt;=30,"VENCE EM &lt;= 30 DIAS",IF(E3420&lt;=60,"ATENCAO (31-60 DIAS)","OK"))))</f>
        <v/>
      </c>
      <c r="G3420" s="13">
        <f>SUMIFS(Movimentacoes!$G:$G,Movimentacoes!$C:$C,$A3420,Movimentacoes!$E:$E,$C3420,Movimentacoes!$B:$B,"ENTRADA")</f>
        <v/>
      </c>
      <c r="H3420" s="13">
        <f>SUMIFS(Movimentacoes!$G:$G,Movimentacoes!$C:$C,$A3420,Movimentacoes!$E:$E,$C3420,Movimentacoes!$B:$B,"SAIDA_USO")</f>
        <v/>
      </c>
      <c r="I3420" s="13">
        <f>SUMIFS(Movimentacoes!$G:$G,Movimentacoes!$C:$C,$A3420,Movimentacoes!$E:$E,$C3420,Movimentacoes!$B:$B,"SAIDA_DESCARTE")</f>
        <v/>
      </c>
      <c r="J3420" s="13">
        <f>G3420-H3420-I3420</f>
        <v/>
      </c>
      <c r="K3420">
        <f>IF(A3420="","",IF(J3420&lt;=IFERROR(VLOOKUP(A3420,Cadastro_Produtos!$A:$E,5,FALSE),0),"ABAIXO DO MINIMO","OK"))</f>
        <v/>
      </c>
    </row>
    <row r="3421">
      <c r="B3421">
        <f>IFERROR(VLOOKUP(A3421,Cadastro_Produtos!A:B,2,FALSE),"")</f>
        <v/>
      </c>
      <c r="D3421" s="12" t="n"/>
      <c r="E3421" s="13">
        <f>IF(D3421="","",D3421-TODAY())</f>
        <v/>
      </c>
      <c r="F3421">
        <f>IF(D3421="","",IF(E3421&lt;0,"VENCIDO",IF(E3421&lt;=30,"VENCE EM &lt;= 30 DIAS",IF(E3421&lt;=60,"ATENCAO (31-60 DIAS)","OK"))))</f>
        <v/>
      </c>
      <c r="G3421" s="13">
        <f>SUMIFS(Movimentacoes!$G:$G,Movimentacoes!$C:$C,$A3421,Movimentacoes!$E:$E,$C3421,Movimentacoes!$B:$B,"ENTRADA")</f>
        <v/>
      </c>
      <c r="H3421" s="13">
        <f>SUMIFS(Movimentacoes!$G:$G,Movimentacoes!$C:$C,$A3421,Movimentacoes!$E:$E,$C3421,Movimentacoes!$B:$B,"SAIDA_USO")</f>
        <v/>
      </c>
      <c r="I3421" s="13">
        <f>SUMIFS(Movimentacoes!$G:$G,Movimentacoes!$C:$C,$A3421,Movimentacoes!$E:$E,$C3421,Movimentacoes!$B:$B,"SAIDA_DESCARTE")</f>
        <v/>
      </c>
      <c r="J3421" s="13">
        <f>G3421-H3421-I3421</f>
        <v/>
      </c>
      <c r="K3421">
        <f>IF(A3421="","",IF(J3421&lt;=IFERROR(VLOOKUP(A3421,Cadastro_Produtos!$A:$E,5,FALSE),0),"ABAIXO DO MINIMO","OK"))</f>
        <v/>
      </c>
    </row>
    <row r="3422">
      <c r="B3422">
        <f>IFERROR(VLOOKUP(A3422,Cadastro_Produtos!A:B,2,FALSE),"")</f>
        <v/>
      </c>
      <c r="D3422" s="12" t="n"/>
      <c r="E3422" s="13">
        <f>IF(D3422="","",D3422-TODAY())</f>
        <v/>
      </c>
      <c r="F3422">
        <f>IF(D3422="","",IF(E3422&lt;0,"VENCIDO",IF(E3422&lt;=30,"VENCE EM &lt;= 30 DIAS",IF(E3422&lt;=60,"ATENCAO (31-60 DIAS)","OK"))))</f>
        <v/>
      </c>
      <c r="G3422" s="13">
        <f>SUMIFS(Movimentacoes!$G:$G,Movimentacoes!$C:$C,$A3422,Movimentacoes!$E:$E,$C3422,Movimentacoes!$B:$B,"ENTRADA")</f>
        <v/>
      </c>
      <c r="H3422" s="13">
        <f>SUMIFS(Movimentacoes!$G:$G,Movimentacoes!$C:$C,$A3422,Movimentacoes!$E:$E,$C3422,Movimentacoes!$B:$B,"SAIDA_USO")</f>
        <v/>
      </c>
      <c r="I3422" s="13">
        <f>SUMIFS(Movimentacoes!$G:$G,Movimentacoes!$C:$C,$A3422,Movimentacoes!$E:$E,$C3422,Movimentacoes!$B:$B,"SAIDA_DESCARTE")</f>
        <v/>
      </c>
      <c r="J3422" s="13">
        <f>G3422-H3422-I3422</f>
        <v/>
      </c>
      <c r="K3422">
        <f>IF(A3422="","",IF(J3422&lt;=IFERROR(VLOOKUP(A3422,Cadastro_Produtos!$A:$E,5,FALSE),0),"ABAIXO DO MINIMO","OK"))</f>
        <v/>
      </c>
    </row>
    <row r="3423">
      <c r="B3423">
        <f>IFERROR(VLOOKUP(A3423,Cadastro_Produtos!A:B,2,FALSE),"")</f>
        <v/>
      </c>
      <c r="D3423" s="12" t="n"/>
      <c r="E3423" s="13">
        <f>IF(D3423="","",D3423-TODAY())</f>
        <v/>
      </c>
      <c r="F3423">
        <f>IF(D3423="","",IF(E3423&lt;0,"VENCIDO",IF(E3423&lt;=30,"VENCE EM &lt;= 30 DIAS",IF(E3423&lt;=60,"ATENCAO (31-60 DIAS)","OK"))))</f>
        <v/>
      </c>
      <c r="G3423" s="13">
        <f>SUMIFS(Movimentacoes!$G:$G,Movimentacoes!$C:$C,$A3423,Movimentacoes!$E:$E,$C3423,Movimentacoes!$B:$B,"ENTRADA")</f>
        <v/>
      </c>
      <c r="H3423" s="13">
        <f>SUMIFS(Movimentacoes!$G:$G,Movimentacoes!$C:$C,$A3423,Movimentacoes!$E:$E,$C3423,Movimentacoes!$B:$B,"SAIDA_USO")</f>
        <v/>
      </c>
      <c r="I3423" s="13">
        <f>SUMIFS(Movimentacoes!$G:$G,Movimentacoes!$C:$C,$A3423,Movimentacoes!$E:$E,$C3423,Movimentacoes!$B:$B,"SAIDA_DESCARTE")</f>
        <v/>
      </c>
      <c r="J3423" s="13">
        <f>G3423-H3423-I3423</f>
        <v/>
      </c>
      <c r="K3423">
        <f>IF(A3423="","",IF(J3423&lt;=IFERROR(VLOOKUP(A3423,Cadastro_Produtos!$A:$E,5,FALSE),0),"ABAIXO DO MINIMO","OK"))</f>
        <v/>
      </c>
    </row>
    <row r="3424">
      <c r="B3424">
        <f>IFERROR(VLOOKUP(A3424,Cadastro_Produtos!A:B,2,FALSE),"")</f>
        <v/>
      </c>
      <c r="D3424" s="12" t="n"/>
      <c r="E3424" s="13">
        <f>IF(D3424="","",D3424-TODAY())</f>
        <v/>
      </c>
      <c r="F3424">
        <f>IF(D3424="","",IF(E3424&lt;0,"VENCIDO",IF(E3424&lt;=30,"VENCE EM &lt;= 30 DIAS",IF(E3424&lt;=60,"ATENCAO (31-60 DIAS)","OK"))))</f>
        <v/>
      </c>
      <c r="G3424" s="13">
        <f>SUMIFS(Movimentacoes!$G:$G,Movimentacoes!$C:$C,$A3424,Movimentacoes!$E:$E,$C3424,Movimentacoes!$B:$B,"ENTRADA")</f>
        <v/>
      </c>
      <c r="H3424" s="13">
        <f>SUMIFS(Movimentacoes!$G:$G,Movimentacoes!$C:$C,$A3424,Movimentacoes!$E:$E,$C3424,Movimentacoes!$B:$B,"SAIDA_USO")</f>
        <v/>
      </c>
      <c r="I3424" s="13">
        <f>SUMIFS(Movimentacoes!$G:$G,Movimentacoes!$C:$C,$A3424,Movimentacoes!$E:$E,$C3424,Movimentacoes!$B:$B,"SAIDA_DESCARTE")</f>
        <v/>
      </c>
      <c r="J3424" s="13">
        <f>G3424-H3424-I3424</f>
        <v/>
      </c>
      <c r="K3424">
        <f>IF(A3424="","",IF(J3424&lt;=IFERROR(VLOOKUP(A3424,Cadastro_Produtos!$A:$E,5,FALSE),0),"ABAIXO DO MINIMO","OK"))</f>
        <v/>
      </c>
    </row>
    <row r="3425">
      <c r="B3425">
        <f>IFERROR(VLOOKUP(A3425,Cadastro_Produtos!A:B,2,FALSE),"")</f>
        <v/>
      </c>
      <c r="D3425" s="12" t="n"/>
      <c r="E3425" s="13">
        <f>IF(D3425="","",D3425-TODAY())</f>
        <v/>
      </c>
      <c r="F3425">
        <f>IF(D3425="","",IF(E3425&lt;0,"VENCIDO",IF(E3425&lt;=30,"VENCE EM &lt;= 30 DIAS",IF(E3425&lt;=60,"ATENCAO (31-60 DIAS)","OK"))))</f>
        <v/>
      </c>
      <c r="G3425" s="13">
        <f>SUMIFS(Movimentacoes!$G:$G,Movimentacoes!$C:$C,$A3425,Movimentacoes!$E:$E,$C3425,Movimentacoes!$B:$B,"ENTRADA")</f>
        <v/>
      </c>
      <c r="H3425" s="13">
        <f>SUMIFS(Movimentacoes!$G:$G,Movimentacoes!$C:$C,$A3425,Movimentacoes!$E:$E,$C3425,Movimentacoes!$B:$B,"SAIDA_USO")</f>
        <v/>
      </c>
      <c r="I3425" s="13">
        <f>SUMIFS(Movimentacoes!$G:$G,Movimentacoes!$C:$C,$A3425,Movimentacoes!$E:$E,$C3425,Movimentacoes!$B:$B,"SAIDA_DESCARTE")</f>
        <v/>
      </c>
      <c r="J3425" s="13">
        <f>G3425-H3425-I3425</f>
        <v/>
      </c>
      <c r="K3425">
        <f>IF(A3425="","",IF(J3425&lt;=IFERROR(VLOOKUP(A3425,Cadastro_Produtos!$A:$E,5,FALSE),0),"ABAIXO DO MINIMO","OK"))</f>
        <v/>
      </c>
    </row>
    <row r="3426">
      <c r="B3426">
        <f>IFERROR(VLOOKUP(A3426,Cadastro_Produtos!A:B,2,FALSE),"")</f>
        <v/>
      </c>
      <c r="D3426" s="12" t="n"/>
      <c r="E3426" s="13">
        <f>IF(D3426="","",D3426-TODAY())</f>
        <v/>
      </c>
      <c r="F3426">
        <f>IF(D3426="","",IF(E3426&lt;0,"VENCIDO",IF(E3426&lt;=30,"VENCE EM &lt;= 30 DIAS",IF(E3426&lt;=60,"ATENCAO (31-60 DIAS)","OK"))))</f>
        <v/>
      </c>
      <c r="G3426" s="13">
        <f>SUMIFS(Movimentacoes!$G:$G,Movimentacoes!$C:$C,$A3426,Movimentacoes!$E:$E,$C3426,Movimentacoes!$B:$B,"ENTRADA")</f>
        <v/>
      </c>
      <c r="H3426" s="13">
        <f>SUMIFS(Movimentacoes!$G:$G,Movimentacoes!$C:$C,$A3426,Movimentacoes!$E:$E,$C3426,Movimentacoes!$B:$B,"SAIDA_USO")</f>
        <v/>
      </c>
      <c r="I3426" s="13">
        <f>SUMIFS(Movimentacoes!$G:$G,Movimentacoes!$C:$C,$A3426,Movimentacoes!$E:$E,$C3426,Movimentacoes!$B:$B,"SAIDA_DESCARTE")</f>
        <v/>
      </c>
      <c r="J3426" s="13">
        <f>G3426-H3426-I3426</f>
        <v/>
      </c>
      <c r="K3426">
        <f>IF(A3426="","",IF(J3426&lt;=IFERROR(VLOOKUP(A3426,Cadastro_Produtos!$A:$E,5,FALSE),0),"ABAIXO DO MINIMO","OK"))</f>
        <v/>
      </c>
    </row>
    <row r="3427">
      <c r="B3427">
        <f>IFERROR(VLOOKUP(A3427,Cadastro_Produtos!A:B,2,FALSE),"")</f>
        <v/>
      </c>
      <c r="D3427" s="12" t="n"/>
      <c r="E3427" s="13">
        <f>IF(D3427="","",D3427-TODAY())</f>
        <v/>
      </c>
      <c r="F3427">
        <f>IF(D3427="","",IF(E3427&lt;0,"VENCIDO",IF(E3427&lt;=30,"VENCE EM &lt;= 30 DIAS",IF(E3427&lt;=60,"ATENCAO (31-60 DIAS)","OK"))))</f>
        <v/>
      </c>
      <c r="G3427" s="13">
        <f>SUMIFS(Movimentacoes!$G:$G,Movimentacoes!$C:$C,$A3427,Movimentacoes!$E:$E,$C3427,Movimentacoes!$B:$B,"ENTRADA")</f>
        <v/>
      </c>
      <c r="H3427" s="13">
        <f>SUMIFS(Movimentacoes!$G:$G,Movimentacoes!$C:$C,$A3427,Movimentacoes!$E:$E,$C3427,Movimentacoes!$B:$B,"SAIDA_USO")</f>
        <v/>
      </c>
      <c r="I3427" s="13">
        <f>SUMIFS(Movimentacoes!$G:$G,Movimentacoes!$C:$C,$A3427,Movimentacoes!$E:$E,$C3427,Movimentacoes!$B:$B,"SAIDA_DESCARTE")</f>
        <v/>
      </c>
      <c r="J3427" s="13">
        <f>G3427-H3427-I3427</f>
        <v/>
      </c>
      <c r="K3427">
        <f>IF(A3427="","",IF(J3427&lt;=IFERROR(VLOOKUP(A3427,Cadastro_Produtos!$A:$E,5,FALSE),0),"ABAIXO DO MINIMO","OK"))</f>
        <v/>
      </c>
    </row>
    <row r="3428">
      <c r="B3428">
        <f>IFERROR(VLOOKUP(A3428,Cadastro_Produtos!A:B,2,FALSE),"")</f>
        <v/>
      </c>
      <c r="D3428" s="12" t="n"/>
      <c r="E3428" s="13">
        <f>IF(D3428="","",D3428-TODAY())</f>
        <v/>
      </c>
      <c r="F3428">
        <f>IF(D3428="","",IF(E3428&lt;0,"VENCIDO",IF(E3428&lt;=30,"VENCE EM &lt;= 30 DIAS",IF(E3428&lt;=60,"ATENCAO (31-60 DIAS)","OK"))))</f>
        <v/>
      </c>
      <c r="G3428" s="13">
        <f>SUMIFS(Movimentacoes!$G:$G,Movimentacoes!$C:$C,$A3428,Movimentacoes!$E:$E,$C3428,Movimentacoes!$B:$B,"ENTRADA")</f>
        <v/>
      </c>
      <c r="H3428" s="13">
        <f>SUMIFS(Movimentacoes!$G:$G,Movimentacoes!$C:$C,$A3428,Movimentacoes!$E:$E,$C3428,Movimentacoes!$B:$B,"SAIDA_USO")</f>
        <v/>
      </c>
      <c r="I3428" s="13">
        <f>SUMIFS(Movimentacoes!$G:$G,Movimentacoes!$C:$C,$A3428,Movimentacoes!$E:$E,$C3428,Movimentacoes!$B:$B,"SAIDA_DESCARTE")</f>
        <v/>
      </c>
      <c r="J3428" s="13">
        <f>G3428-H3428-I3428</f>
        <v/>
      </c>
      <c r="K3428">
        <f>IF(A3428="","",IF(J3428&lt;=IFERROR(VLOOKUP(A3428,Cadastro_Produtos!$A:$E,5,FALSE),0),"ABAIXO DO MINIMO","OK"))</f>
        <v/>
      </c>
    </row>
    <row r="3429">
      <c r="B3429">
        <f>IFERROR(VLOOKUP(A3429,Cadastro_Produtos!A:B,2,FALSE),"")</f>
        <v/>
      </c>
      <c r="D3429" s="12" t="n"/>
      <c r="E3429" s="13">
        <f>IF(D3429="","",D3429-TODAY())</f>
        <v/>
      </c>
      <c r="F3429">
        <f>IF(D3429="","",IF(E3429&lt;0,"VENCIDO",IF(E3429&lt;=30,"VENCE EM &lt;= 30 DIAS",IF(E3429&lt;=60,"ATENCAO (31-60 DIAS)","OK"))))</f>
        <v/>
      </c>
      <c r="G3429" s="13">
        <f>SUMIFS(Movimentacoes!$G:$G,Movimentacoes!$C:$C,$A3429,Movimentacoes!$E:$E,$C3429,Movimentacoes!$B:$B,"ENTRADA")</f>
        <v/>
      </c>
      <c r="H3429" s="13">
        <f>SUMIFS(Movimentacoes!$G:$G,Movimentacoes!$C:$C,$A3429,Movimentacoes!$E:$E,$C3429,Movimentacoes!$B:$B,"SAIDA_USO")</f>
        <v/>
      </c>
      <c r="I3429" s="13">
        <f>SUMIFS(Movimentacoes!$G:$G,Movimentacoes!$C:$C,$A3429,Movimentacoes!$E:$E,$C3429,Movimentacoes!$B:$B,"SAIDA_DESCARTE")</f>
        <v/>
      </c>
      <c r="J3429" s="13">
        <f>G3429-H3429-I3429</f>
        <v/>
      </c>
      <c r="K3429">
        <f>IF(A3429="","",IF(J3429&lt;=IFERROR(VLOOKUP(A3429,Cadastro_Produtos!$A:$E,5,FALSE),0),"ABAIXO DO MINIMO","OK"))</f>
        <v/>
      </c>
    </row>
    <row r="3430">
      <c r="B3430">
        <f>IFERROR(VLOOKUP(A3430,Cadastro_Produtos!A:B,2,FALSE),"")</f>
        <v/>
      </c>
      <c r="D3430" s="12" t="n"/>
      <c r="E3430" s="13">
        <f>IF(D3430="","",D3430-TODAY())</f>
        <v/>
      </c>
      <c r="F3430">
        <f>IF(D3430="","",IF(E3430&lt;0,"VENCIDO",IF(E3430&lt;=30,"VENCE EM &lt;= 30 DIAS",IF(E3430&lt;=60,"ATENCAO (31-60 DIAS)","OK"))))</f>
        <v/>
      </c>
      <c r="G3430" s="13">
        <f>SUMIFS(Movimentacoes!$G:$G,Movimentacoes!$C:$C,$A3430,Movimentacoes!$E:$E,$C3430,Movimentacoes!$B:$B,"ENTRADA")</f>
        <v/>
      </c>
      <c r="H3430" s="13">
        <f>SUMIFS(Movimentacoes!$G:$G,Movimentacoes!$C:$C,$A3430,Movimentacoes!$E:$E,$C3430,Movimentacoes!$B:$B,"SAIDA_USO")</f>
        <v/>
      </c>
      <c r="I3430" s="13">
        <f>SUMIFS(Movimentacoes!$G:$G,Movimentacoes!$C:$C,$A3430,Movimentacoes!$E:$E,$C3430,Movimentacoes!$B:$B,"SAIDA_DESCARTE")</f>
        <v/>
      </c>
      <c r="J3430" s="13">
        <f>G3430-H3430-I3430</f>
        <v/>
      </c>
      <c r="K3430">
        <f>IF(A3430="","",IF(J3430&lt;=IFERROR(VLOOKUP(A3430,Cadastro_Produtos!$A:$E,5,FALSE),0),"ABAIXO DO MINIMO","OK"))</f>
        <v/>
      </c>
    </row>
    <row r="3431">
      <c r="B3431">
        <f>IFERROR(VLOOKUP(A3431,Cadastro_Produtos!A:B,2,FALSE),"")</f>
        <v/>
      </c>
      <c r="D3431" s="12" t="n"/>
      <c r="E3431" s="13">
        <f>IF(D3431="","",D3431-TODAY())</f>
        <v/>
      </c>
      <c r="F3431">
        <f>IF(D3431="","",IF(E3431&lt;0,"VENCIDO",IF(E3431&lt;=30,"VENCE EM &lt;= 30 DIAS",IF(E3431&lt;=60,"ATENCAO (31-60 DIAS)","OK"))))</f>
        <v/>
      </c>
      <c r="G3431" s="13">
        <f>SUMIFS(Movimentacoes!$G:$G,Movimentacoes!$C:$C,$A3431,Movimentacoes!$E:$E,$C3431,Movimentacoes!$B:$B,"ENTRADA")</f>
        <v/>
      </c>
      <c r="H3431" s="13">
        <f>SUMIFS(Movimentacoes!$G:$G,Movimentacoes!$C:$C,$A3431,Movimentacoes!$E:$E,$C3431,Movimentacoes!$B:$B,"SAIDA_USO")</f>
        <v/>
      </c>
      <c r="I3431" s="13">
        <f>SUMIFS(Movimentacoes!$G:$G,Movimentacoes!$C:$C,$A3431,Movimentacoes!$E:$E,$C3431,Movimentacoes!$B:$B,"SAIDA_DESCARTE")</f>
        <v/>
      </c>
      <c r="J3431" s="13">
        <f>G3431-H3431-I3431</f>
        <v/>
      </c>
      <c r="K3431">
        <f>IF(A3431="","",IF(J3431&lt;=IFERROR(VLOOKUP(A3431,Cadastro_Produtos!$A:$E,5,FALSE),0),"ABAIXO DO MINIMO","OK"))</f>
        <v/>
      </c>
    </row>
    <row r="3432">
      <c r="B3432">
        <f>IFERROR(VLOOKUP(A3432,Cadastro_Produtos!A:B,2,FALSE),"")</f>
        <v/>
      </c>
      <c r="D3432" s="12" t="n"/>
      <c r="E3432" s="13">
        <f>IF(D3432="","",D3432-TODAY())</f>
        <v/>
      </c>
      <c r="F3432">
        <f>IF(D3432="","",IF(E3432&lt;0,"VENCIDO",IF(E3432&lt;=30,"VENCE EM &lt;= 30 DIAS",IF(E3432&lt;=60,"ATENCAO (31-60 DIAS)","OK"))))</f>
        <v/>
      </c>
      <c r="G3432" s="13">
        <f>SUMIFS(Movimentacoes!$G:$G,Movimentacoes!$C:$C,$A3432,Movimentacoes!$E:$E,$C3432,Movimentacoes!$B:$B,"ENTRADA")</f>
        <v/>
      </c>
      <c r="H3432" s="13">
        <f>SUMIFS(Movimentacoes!$G:$G,Movimentacoes!$C:$C,$A3432,Movimentacoes!$E:$E,$C3432,Movimentacoes!$B:$B,"SAIDA_USO")</f>
        <v/>
      </c>
      <c r="I3432" s="13">
        <f>SUMIFS(Movimentacoes!$G:$G,Movimentacoes!$C:$C,$A3432,Movimentacoes!$E:$E,$C3432,Movimentacoes!$B:$B,"SAIDA_DESCARTE")</f>
        <v/>
      </c>
      <c r="J3432" s="13">
        <f>G3432-H3432-I3432</f>
        <v/>
      </c>
      <c r="K3432">
        <f>IF(A3432="","",IF(J3432&lt;=IFERROR(VLOOKUP(A3432,Cadastro_Produtos!$A:$E,5,FALSE),0),"ABAIXO DO MINIMO","OK"))</f>
        <v/>
      </c>
    </row>
    <row r="3433">
      <c r="B3433">
        <f>IFERROR(VLOOKUP(A3433,Cadastro_Produtos!A:B,2,FALSE),"")</f>
        <v/>
      </c>
      <c r="D3433" s="12" t="n"/>
      <c r="E3433" s="13">
        <f>IF(D3433="","",D3433-TODAY())</f>
        <v/>
      </c>
      <c r="F3433">
        <f>IF(D3433="","",IF(E3433&lt;0,"VENCIDO",IF(E3433&lt;=30,"VENCE EM &lt;= 30 DIAS",IF(E3433&lt;=60,"ATENCAO (31-60 DIAS)","OK"))))</f>
        <v/>
      </c>
      <c r="G3433" s="13">
        <f>SUMIFS(Movimentacoes!$G:$G,Movimentacoes!$C:$C,$A3433,Movimentacoes!$E:$E,$C3433,Movimentacoes!$B:$B,"ENTRADA")</f>
        <v/>
      </c>
      <c r="H3433" s="13">
        <f>SUMIFS(Movimentacoes!$G:$G,Movimentacoes!$C:$C,$A3433,Movimentacoes!$E:$E,$C3433,Movimentacoes!$B:$B,"SAIDA_USO")</f>
        <v/>
      </c>
      <c r="I3433" s="13">
        <f>SUMIFS(Movimentacoes!$G:$G,Movimentacoes!$C:$C,$A3433,Movimentacoes!$E:$E,$C3433,Movimentacoes!$B:$B,"SAIDA_DESCARTE")</f>
        <v/>
      </c>
      <c r="J3433" s="13">
        <f>G3433-H3433-I3433</f>
        <v/>
      </c>
      <c r="K3433">
        <f>IF(A3433="","",IF(J3433&lt;=IFERROR(VLOOKUP(A3433,Cadastro_Produtos!$A:$E,5,FALSE),0),"ABAIXO DO MINIMO","OK"))</f>
        <v/>
      </c>
    </row>
    <row r="3434">
      <c r="B3434">
        <f>IFERROR(VLOOKUP(A3434,Cadastro_Produtos!A:B,2,FALSE),"")</f>
        <v/>
      </c>
      <c r="D3434" s="12" t="n"/>
      <c r="E3434" s="13">
        <f>IF(D3434="","",D3434-TODAY())</f>
        <v/>
      </c>
      <c r="F3434">
        <f>IF(D3434="","",IF(E3434&lt;0,"VENCIDO",IF(E3434&lt;=30,"VENCE EM &lt;= 30 DIAS",IF(E3434&lt;=60,"ATENCAO (31-60 DIAS)","OK"))))</f>
        <v/>
      </c>
      <c r="G3434" s="13">
        <f>SUMIFS(Movimentacoes!$G:$G,Movimentacoes!$C:$C,$A3434,Movimentacoes!$E:$E,$C3434,Movimentacoes!$B:$B,"ENTRADA")</f>
        <v/>
      </c>
      <c r="H3434" s="13">
        <f>SUMIFS(Movimentacoes!$G:$G,Movimentacoes!$C:$C,$A3434,Movimentacoes!$E:$E,$C3434,Movimentacoes!$B:$B,"SAIDA_USO")</f>
        <v/>
      </c>
      <c r="I3434" s="13">
        <f>SUMIFS(Movimentacoes!$G:$G,Movimentacoes!$C:$C,$A3434,Movimentacoes!$E:$E,$C3434,Movimentacoes!$B:$B,"SAIDA_DESCARTE")</f>
        <v/>
      </c>
      <c r="J3434" s="13">
        <f>G3434-H3434-I3434</f>
        <v/>
      </c>
      <c r="K3434">
        <f>IF(A3434="","",IF(J3434&lt;=IFERROR(VLOOKUP(A3434,Cadastro_Produtos!$A:$E,5,FALSE),0),"ABAIXO DO MINIMO","OK"))</f>
        <v/>
      </c>
    </row>
    <row r="3435">
      <c r="B3435">
        <f>IFERROR(VLOOKUP(A3435,Cadastro_Produtos!A:B,2,FALSE),"")</f>
        <v/>
      </c>
      <c r="D3435" s="12" t="n"/>
      <c r="E3435" s="13">
        <f>IF(D3435="","",D3435-TODAY())</f>
        <v/>
      </c>
      <c r="F3435">
        <f>IF(D3435="","",IF(E3435&lt;0,"VENCIDO",IF(E3435&lt;=30,"VENCE EM &lt;= 30 DIAS",IF(E3435&lt;=60,"ATENCAO (31-60 DIAS)","OK"))))</f>
        <v/>
      </c>
      <c r="G3435" s="13">
        <f>SUMIFS(Movimentacoes!$G:$G,Movimentacoes!$C:$C,$A3435,Movimentacoes!$E:$E,$C3435,Movimentacoes!$B:$B,"ENTRADA")</f>
        <v/>
      </c>
      <c r="H3435" s="13">
        <f>SUMIFS(Movimentacoes!$G:$G,Movimentacoes!$C:$C,$A3435,Movimentacoes!$E:$E,$C3435,Movimentacoes!$B:$B,"SAIDA_USO")</f>
        <v/>
      </c>
      <c r="I3435" s="13">
        <f>SUMIFS(Movimentacoes!$G:$G,Movimentacoes!$C:$C,$A3435,Movimentacoes!$E:$E,$C3435,Movimentacoes!$B:$B,"SAIDA_DESCARTE")</f>
        <v/>
      </c>
      <c r="J3435" s="13">
        <f>G3435-H3435-I3435</f>
        <v/>
      </c>
      <c r="K3435">
        <f>IF(A3435="","",IF(J3435&lt;=IFERROR(VLOOKUP(A3435,Cadastro_Produtos!$A:$E,5,FALSE),0),"ABAIXO DO MINIMO","OK"))</f>
        <v/>
      </c>
    </row>
    <row r="3436">
      <c r="B3436">
        <f>IFERROR(VLOOKUP(A3436,Cadastro_Produtos!A:B,2,FALSE),"")</f>
        <v/>
      </c>
      <c r="D3436" s="12" t="n"/>
      <c r="E3436" s="13">
        <f>IF(D3436="","",D3436-TODAY())</f>
        <v/>
      </c>
      <c r="F3436">
        <f>IF(D3436="","",IF(E3436&lt;0,"VENCIDO",IF(E3436&lt;=30,"VENCE EM &lt;= 30 DIAS",IF(E3436&lt;=60,"ATENCAO (31-60 DIAS)","OK"))))</f>
        <v/>
      </c>
      <c r="G3436" s="13">
        <f>SUMIFS(Movimentacoes!$G:$G,Movimentacoes!$C:$C,$A3436,Movimentacoes!$E:$E,$C3436,Movimentacoes!$B:$B,"ENTRADA")</f>
        <v/>
      </c>
      <c r="H3436" s="13">
        <f>SUMIFS(Movimentacoes!$G:$G,Movimentacoes!$C:$C,$A3436,Movimentacoes!$E:$E,$C3436,Movimentacoes!$B:$B,"SAIDA_USO")</f>
        <v/>
      </c>
      <c r="I3436" s="13">
        <f>SUMIFS(Movimentacoes!$G:$G,Movimentacoes!$C:$C,$A3436,Movimentacoes!$E:$E,$C3436,Movimentacoes!$B:$B,"SAIDA_DESCARTE")</f>
        <v/>
      </c>
      <c r="J3436" s="13">
        <f>G3436-H3436-I3436</f>
        <v/>
      </c>
      <c r="K3436">
        <f>IF(A3436="","",IF(J3436&lt;=IFERROR(VLOOKUP(A3436,Cadastro_Produtos!$A:$E,5,FALSE),0),"ABAIXO DO MINIMO","OK"))</f>
        <v/>
      </c>
    </row>
    <row r="3437">
      <c r="B3437">
        <f>IFERROR(VLOOKUP(A3437,Cadastro_Produtos!A:B,2,FALSE),"")</f>
        <v/>
      </c>
      <c r="D3437" s="12" t="n"/>
      <c r="E3437" s="13">
        <f>IF(D3437="","",D3437-TODAY())</f>
        <v/>
      </c>
      <c r="F3437">
        <f>IF(D3437="","",IF(E3437&lt;0,"VENCIDO",IF(E3437&lt;=30,"VENCE EM &lt;= 30 DIAS",IF(E3437&lt;=60,"ATENCAO (31-60 DIAS)","OK"))))</f>
        <v/>
      </c>
      <c r="G3437" s="13">
        <f>SUMIFS(Movimentacoes!$G:$G,Movimentacoes!$C:$C,$A3437,Movimentacoes!$E:$E,$C3437,Movimentacoes!$B:$B,"ENTRADA")</f>
        <v/>
      </c>
      <c r="H3437" s="13">
        <f>SUMIFS(Movimentacoes!$G:$G,Movimentacoes!$C:$C,$A3437,Movimentacoes!$E:$E,$C3437,Movimentacoes!$B:$B,"SAIDA_USO")</f>
        <v/>
      </c>
      <c r="I3437" s="13">
        <f>SUMIFS(Movimentacoes!$G:$G,Movimentacoes!$C:$C,$A3437,Movimentacoes!$E:$E,$C3437,Movimentacoes!$B:$B,"SAIDA_DESCARTE")</f>
        <v/>
      </c>
      <c r="J3437" s="13">
        <f>G3437-H3437-I3437</f>
        <v/>
      </c>
      <c r="K3437">
        <f>IF(A3437="","",IF(J3437&lt;=IFERROR(VLOOKUP(A3437,Cadastro_Produtos!$A:$E,5,FALSE),0),"ABAIXO DO MINIMO","OK"))</f>
        <v/>
      </c>
    </row>
    <row r="3438">
      <c r="B3438">
        <f>IFERROR(VLOOKUP(A3438,Cadastro_Produtos!A:B,2,FALSE),"")</f>
        <v/>
      </c>
      <c r="D3438" s="12" t="n"/>
      <c r="E3438" s="13">
        <f>IF(D3438="","",D3438-TODAY())</f>
        <v/>
      </c>
      <c r="F3438">
        <f>IF(D3438="","",IF(E3438&lt;0,"VENCIDO",IF(E3438&lt;=30,"VENCE EM &lt;= 30 DIAS",IF(E3438&lt;=60,"ATENCAO (31-60 DIAS)","OK"))))</f>
        <v/>
      </c>
      <c r="G3438" s="13">
        <f>SUMIFS(Movimentacoes!$G:$G,Movimentacoes!$C:$C,$A3438,Movimentacoes!$E:$E,$C3438,Movimentacoes!$B:$B,"ENTRADA")</f>
        <v/>
      </c>
      <c r="H3438" s="13">
        <f>SUMIFS(Movimentacoes!$G:$G,Movimentacoes!$C:$C,$A3438,Movimentacoes!$E:$E,$C3438,Movimentacoes!$B:$B,"SAIDA_USO")</f>
        <v/>
      </c>
      <c r="I3438" s="13">
        <f>SUMIFS(Movimentacoes!$G:$G,Movimentacoes!$C:$C,$A3438,Movimentacoes!$E:$E,$C3438,Movimentacoes!$B:$B,"SAIDA_DESCARTE")</f>
        <v/>
      </c>
      <c r="J3438" s="13">
        <f>G3438-H3438-I3438</f>
        <v/>
      </c>
      <c r="K3438">
        <f>IF(A3438="","",IF(J3438&lt;=IFERROR(VLOOKUP(A3438,Cadastro_Produtos!$A:$E,5,FALSE),0),"ABAIXO DO MINIMO","OK"))</f>
        <v/>
      </c>
    </row>
    <row r="3439">
      <c r="B3439">
        <f>IFERROR(VLOOKUP(A3439,Cadastro_Produtos!A:B,2,FALSE),"")</f>
        <v/>
      </c>
      <c r="D3439" s="12" t="n"/>
      <c r="E3439" s="13">
        <f>IF(D3439="","",D3439-TODAY())</f>
        <v/>
      </c>
      <c r="F3439">
        <f>IF(D3439="","",IF(E3439&lt;0,"VENCIDO",IF(E3439&lt;=30,"VENCE EM &lt;= 30 DIAS",IF(E3439&lt;=60,"ATENCAO (31-60 DIAS)","OK"))))</f>
        <v/>
      </c>
      <c r="G3439" s="13">
        <f>SUMIFS(Movimentacoes!$G:$G,Movimentacoes!$C:$C,$A3439,Movimentacoes!$E:$E,$C3439,Movimentacoes!$B:$B,"ENTRADA")</f>
        <v/>
      </c>
      <c r="H3439" s="13">
        <f>SUMIFS(Movimentacoes!$G:$G,Movimentacoes!$C:$C,$A3439,Movimentacoes!$E:$E,$C3439,Movimentacoes!$B:$B,"SAIDA_USO")</f>
        <v/>
      </c>
      <c r="I3439" s="13">
        <f>SUMIFS(Movimentacoes!$G:$G,Movimentacoes!$C:$C,$A3439,Movimentacoes!$E:$E,$C3439,Movimentacoes!$B:$B,"SAIDA_DESCARTE")</f>
        <v/>
      </c>
      <c r="J3439" s="13">
        <f>G3439-H3439-I3439</f>
        <v/>
      </c>
      <c r="K3439">
        <f>IF(A3439="","",IF(J3439&lt;=IFERROR(VLOOKUP(A3439,Cadastro_Produtos!$A:$E,5,FALSE),0),"ABAIXO DO MINIMO","OK"))</f>
        <v/>
      </c>
    </row>
    <row r="3440">
      <c r="B3440">
        <f>IFERROR(VLOOKUP(A3440,Cadastro_Produtos!A:B,2,FALSE),"")</f>
        <v/>
      </c>
      <c r="D3440" s="12" t="n"/>
      <c r="E3440" s="13">
        <f>IF(D3440="","",D3440-TODAY())</f>
        <v/>
      </c>
      <c r="F3440">
        <f>IF(D3440="","",IF(E3440&lt;0,"VENCIDO",IF(E3440&lt;=30,"VENCE EM &lt;= 30 DIAS",IF(E3440&lt;=60,"ATENCAO (31-60 DIAS)","OK"))))</f>
        <v/>
      </c>
      <c r="G3440" s="13">
        <f>SUMIFS(Movimentacoes!$G:$G,Movimentacoes!$C:$C,$A3440,Movimentacoes!$E:$E,$C3440,Movimentacoes!$B:$B,"ENTRADA")</f>
        <v/>
      </c>
      <c r="H3440" s="13">
        <f>SUMIFS(Movimentacoes!$G:$G,Movimentacoes!$C:$C,$A3440,Movimentacoes!$E:$E,$C3440,Movimentacoes!$B:$B,"SAIDA_USO")</f>
        <v/>
      </c>
      <c r="I3440" s="13">
        <f>SUMIFS(Movimentacoes!$G:$G,Movimentacoes!$C:$C,$A3440,Movimentacoes!$E:$E,$C3440,Movimentacoes!$B:$B,"SAIDA_DESCARTE")</f>
        <v/>
      </c>
      <c r="J3440" s="13">
        <f>G3440-H3440-I3440</f>
        <v/>
      </c>
      <c r="K3440">
        <f>IF(A3440="","",IF(J3440&lt;=IFERROR(VLOOKUP(A3440,Cadastro_Produtos!$A:$E,5,FALSE),0),"ABAIXO DO MINIMO","OK"))</f>
        <v/>
      </c>
    </row>
    <row r="3441">
      <c r="B3441">
        <f>IFERROR(VLOOKUP(A3441,Cadastro_Produtos!A:B,2,FALSE),"")</f>
        <v/>
      </c>
      <c r="D3441" s="12" t="n"/>
      <c r="E3441" s="13">
        <f>IF(D3441="","",D3441-TODAY())</f>
        <v/>
      </c>
      <c r="F3441">
        <f>IF(D3441="","",IF(E3441&lt;0,"VENCIDO",IF(E3441&lt;=30,"VENCE EM &lt;= 30 DIAS",IF(E3441&lt;=60,"ATENCAO (31-60 DIAS)","OK"))))</f>
        <v/>
      </c>
      <c r="G3441" s="13">
        <f>SUMIFS(Movimentacoes!$G:$G,Movimentacoes!$C:$C,$A3441,Movimentacoes!$E:$E,$C3441,Movimentacoes!$B:$B,"ENTRADA")</f>
        <v/>
      </c>
      <c r="H3441" s="13">
        <f>SUMIFS(Movimentacoes!$G:$G,Movimentacoes!$C:$C,$A3441,Movimentacoes!$E:$E,$C3441,Movimentacoes!$B:$B,"SAIDA_USO")</f>
        <v/>
      </c>
      <c r="I3441" s="13">
        <f>SUMIFS(Movimentacoes!$G:$G,Movimentacoes!$C:$C,$A3441,Movimentacoes!$E:$E,$C3441,Movimentacoes!$B:$B,"SAIDA_DESCARTE")</f>
        <v/>
      </c>
      <c r="J3441" s="13">
        <f>G3441-H3441-I3441</f>
        <v/>
      </c>
      <c r="K3441">
        <f>IF(A3441="","",IF(J3441&lt;=IFERROR(VLOOKUP(A3441,Cadastro_Produtos!$A:$E,5,FALSE),0),"ABAIXO DO MINIMO","OK"))</f>
        <v/>
      </c>
    </row>
    <row r="3442">
      <c r="B3442">
        <f>IFERROR(VLOOKUP(A3442,Cadastro_Produtos!A:B,2,FALSE),"")</f>
        <v/>
      </c>
      <c r="D3442" s="12" t="n"/>
      <c r="E3442" s="13">
        <f>IF(D3442="","",D3442-TODAY())</f>
        <v/>
      </c>
      <c r="F3442">
        <f>IF(D3442="","",IF(E3442&lt;0,"VENCIDO",IF(E3442&lt;=30,"VENCE EM &lt;= 30 DIAS",IF(E3442&lt;=60,"ATENCAO (31-60 DIAS)","OK"))))</f>
        <v/>
      </c>
      <c r="G3442" s="13">
        <f>SUMIFS(Movimentacoes!$G:$G,Movimentacoes!$C:$C,$A3442,Movimentacoes!$E:$E,$C3442,Movimentacoes!$B:$B,"ENTRADA")</f>
        <v/>
      </c>
      <c r="H3442" s="13">
        <f>SUMIFS(Movimentacoes!$G:$G,Movimentacoes!$C:$C,$A3442,Movimentacoes!$E:$E,$C3442,Movimentacoes!$B:$B,"SAIDA_USO")</f>
        <v/>
      </c>
      <c r="I3442" s="13">
        <f>SUMIFS(Movimentacoes!$G:$G,Movimentacoes!$C:$C,$A3442,Movimentacoes!$E:$E,$C3442,Movimentacoes!$B:$B,"SAIDA_DESCARTE")</f>
        <v/>
      </c>
      <c r="J3442" s="13">
        <f>G3442-H3442-I3442</f>
        <v/>
      </c>
      <c r="K3442">
        <f>IF(A3442="","",IF(J3442&lt;=IFERROR(VLOOKUP(A3442,Cadastro_Produtos!$A:$E,5,FALSE),0),"ABAIXO DO MINIMO","OK"))</f>
        <v/>
      </c>
    </row>
    <row r="3443">
      <c r="B3443">
        <f>IFERROR(VLOOKUP(A3443,Cadastro_Produtos!A:B,2,FALSE),"")</f>
        <v/>
      </c>
      <c r="D3443" s="12" t="n"/>
      <c r="E3443" s="13">
        <f>IF(D3443="","",D3443-TODAY())</f>
        <v/>
      </c>
      <c r="F3443">
        <f>IF(D3443="","",IF(E3443&lt;0,"VENCIDO",IF(E3443&lt;=30,"VENCE EM &lt;= 30 DIAS",IF(E3443&lt;=60,"ATENCAO (31-60 DIAS)","OK"))))</f>
        <v/>
      </c>
      <c r="G3443" s="13">
        <f>SUMIFS(Movimentacoes!$G:$G,Movimentacoes!$C:$C,$A3443,Movimentacoes!$E:$E,$C3443,Movimentacoes!$B:$B,"ENTRADA")</f>
        <v/>
      </c>
      <c r="H3443" s="13">
        <f>SUMIFS(Movimentacoes!$G:$G,Movimentacoes!$C:$C,$A3443,Movimentacoes!$E:$E,$C3443,Movimentacoes!$B:$B,"SAIDA_USO")</f>
        <v/>
      </c>
      <c r="I3443" s="13">
        <f>SUMIFS(Movimentacoes!$G:$G,Movimentacoes!$C:$C,$A3443,Movimentacoes!$E:$E,$C3443,Movimentacoes!$B:$B,"SAIDA_DESCARTE")</f>
        <v/>
      </c>
      <c r="J3443" s="13">
        <f>G3443-H3443-I3443</f>
        <v/>
      </c>
      <c r="K3443">
        <f>IF(A3443="","",IF(J3443&lt;=IFERROR(VLOOKUP(A3443,Cadastro_Produtos!$A:$E,5,FALSE),0),"ABAIXO DO MINIMO","OK"))</f>
        <v/>
      </c>
    </row>
    <row r="3444">
      <c r="B3444">
        <f>IFERROR(VLOOKUP(A3444,Cadastro_Produtos!A:B,2,FALSE),"")</f>
        <v/>
      </c>
      <c r="D3444" s="12" t="n"/>
      <c r="E3444" s="13">
        <f>IF(D3444="","",D3444-TODAY())</f>
        <v/>
      </c>
      <c r="F3444">
        <f>IF(D3444="","",IF(E3444&lt;0,"VENCIDO",IF(E3444&lt;=30,"VENCE EM &lt;= 30 DIAS",IF(E3444&lt;=60,"ATENCAO (31-60 DIAS)","OK"))))</f>
        <v/>
      </c>
      <c r="G3444" s="13">
        <f>SUMIFS(Movimentacoes!$G:$G,Movimentacoes!$C:$C,$A3444,Movimentacoes!$E:$E,$C3444,Movimentacoes!$B:$B,"ENTRADA")</f>
        <v/>
      </c>
      <c r="H3444" s="13">
        <f>SUMIFS(Movimentacoes!$G:$G,Movimentacoes!$C:$C,$A3444,Movimentacoes!$E:$E,$C3444,Movimentacoes!$B:$B,"SAIDA_USO")</f>
        <v/>
      </c>
      <c r="I3444" s="13">
        <f>SUMIFS(Movimentacoes!$G:$G,Movimentacoes!$C:$C,$A3444,Movimentacoes!$E:$E,$C3444,Movimentacoes!$B:$B,"SAIDA_DESCARTE")</f>
        <v/>
      </c>
      <c r="J3444" s="13">
        <f>G3444-H3444-I3444</f>
        <v/>
      </c>
      <c r="K3444">
        <f>IF(A3444="","",IF(J3444&lt;=IFERROR(VLOOKUP(A3444,Cadastro_Produtos!$A:$E,5,FALSE),0),"ABAIXO DO MINIMO","OK"))</f>
        <v/>
      </c>
    </row>
    <row r="3445">
      <c r="B3445">
        <f>IFERROR(VLOOKUP(A3445,Cadastro_Produtos!A:B,2,FALSE),"")</f>
        <v/>
      </c>
      <c r="D3445" s="12" t="n"/>
      <c r="E3445" s="13">
        <f>IF(D3445="","",D3445-TODAY())</f>
        <v/>
      </c>
      <c r="F3445">
        <f>IF(D3445="","",IF(E3445&lt;0,"VENCIDO",IF(E3445&lt;=30,"VENCE EM &lt;= 30 DIAS",IF(E3445&lt;=60,"ATENCAO (31-60 DIAS)","OK"))))</f>
        <v/>
      </c>
      <c r="G3445" s="13">
        <f>SUMIFS(Movimentacoes!$G:$G,Movimentacoes!$C:$C,$A3445,Movimentacoes!$E:$E,$C3445,Movimentacoes!$B:$B,"ENTRADA")</f>
        <v/>
      </c>
      <c r="H3445" s="13">
        <f>SUMIFS(Movimentacoes!$G:$G,Movimentacoes!$C:$C,$A3445,Movimentacoes!$E:$E,$C3445,Movimentacoes!$B:$B,"SAIDA_USO")</f>
        <v/>
      </c>
      <c r="I3445" s="13">
        <f>SUMIFS(Movimentacoes!$G:$G,Movimentacoes!$C:$C,$A3445,Movimentacoes!$E:$E,$C3445,Movimentacoes!$B:$B,"SAIDA_DESCARTE")</f>
        <v/>
      </c>
      <c r="J3445" s="13">
        <f>G3445-H3445-I3445</f>
        <v/>
      </c>
      <c r="K3445">
        <f>IF(A3445="","",IF(J3445&lt;=IFERROR(VLOOKUP(A3445,Cadastro_Produtos!$A:$E,5,FALSE),0),"ABAIXO DO MINIMO","OK"))</f>
        <v/>
      </c>
    </row>
    <row r="3446">
      <c r="B3446">
        <f>IFERROR(VLOOKUP(A3446,Cadastro_Produtos!A:B,2,FALSE),"")</f>
        <v/>
      </c>
      <c r="D3446" s="12" t="n"/>
      <c r="E3446" s="13">
        <f>IF(D3446="","",D3446-TODAY())</f>
        <v/>
      </c>
      <c r="F3446">
        <f>IF(D3446="","",IF(E3446&lt;0,"VENCIDO",IF(E3446&lt;=30,"VENCE EM &lt;= 30 DIAS",IF(E3446&lt;=60,"ATENCAO (31-60 DIAS)","OK"))))</f>
        <v/>
      </c>
      <c r="G3446" s="13">
        <f>SUMIFS(Movimentacoes!$G:$G,Movimentacoes!$C:$C,$A3446,Movimentacoes!$E:$E,$C3446,Movimentacoes!$B:$B,"ENTRADA")</f>
        <v/>
      </c>
      <c r="H3446" s="13">
        <f>SUMIFS(Movimentacoes!$G:$G,Movimentacoes!$C:$C,$A3446,Movimentacoes!$E:$E,$C3446,Movimentacoes!$B:$B,"SAIDA_USO")</f>
        <v/>
      </c>
      <c r="I3446" s="13">
        <f>SUMIFS(Movimentacoes!$G:$G,Movimentacoes!$C:$C,$A3446,Movimentacoes!$E:$E,$C3446,Movimentacoes!$B:$B,"SAIDA_DESCARTE")</f>
        <v/>
      </c>
      <c r="J3446" s="13">
        <f>G3446-H3446-I3446</f>
        <v/>
      </c>
      <c r="K3446">
        <f>IF(A3446="","",IF(J3446&lt;=IFERROR(VLOOKUP(A3446,Cadastro_Produtos!$A:$E,5,FALSE),0),"ABAIXO DO MINIMO","OK"))</f>
        <v/>
      </c>
    </row>
    <row r="3447">
      <c r="B3447">
        <f>IFERROR(VLOOKUP(A3447,Cadastro_Produtos!A:B,2,FALSE),"")</f>
        <v/>
      </c>
      <c r="D3447" s="12" t="n"/>
      <c r="E3447" s="13">
        <f>IF(D3447="","",D3447-TODAY())</f>
        <v/>
      </c>
      <c r="F3447">
        <f>IF(D3447="","",IF(E3447&lt;0,"VENCIDO",IF(E3447&lt;=30,"VENCE EM &lt;= 30 DIAS",IF(E3447&lt;=60,"ATENCAO (31-60 DIAS)","OK"))))</f>
        <v/>
      </c>
      <c r="G3447" s="13">
        <f>SUMIFS(Movimentacoes!$G:$G,Movimentacoes!$C:$C,$A3447,Movimentacoes!$E:$E,$C3447,Movimentacoes!$B:$B,"ENTRADA")</f>
        <v/>
      </c>
      <c r="H3447" s="13">
        <f>SUMIFS(Movimentacoes!$G:$G,Movimentacoes!$C:$C,$A3447,Movimentacoes!$E:$E,$C3447,Movimentacoes!$B:$B,"SAIDA_USO")</f>
        <v/>
      </c>
      <c r="I3447" s="13">
        <f>SUMIFS(Movimentacoes!$G:$G,Movimentacoes!$C:$C,$A3447,Movimentacoes!$E:$E,$C3447,Movimentacoes!$B:$B,"SAIDA_DESCARTE")</f>
        <v/>
      </c>
      <c r="J3447" s="13">
        <f>G3447-H3447-I3447</f>
        <v/>
      </c>
      <c r="K3447">
        <f>IF(A3447="","",IF(J3447&lt;=IFERROR(VLOOKUP(A3447,Cadastro_Produtos!$A:$E,5,FALSE),0),"ABAIXO DO MINIMO","OK"))</f>
        <v/>
      </c>
    </row>
    <row r="3448">
      <c r="B3448">
        <f>IFERROR(VLOOKUP(A3448,Cadastro_Produtos!A:B,2,FALSE),"")</f>
        <v/>
      </c>
      <c r="D3448" s="12" t="n"/>
      <c r="E3448" s="13">
        <f>IF(D3448="","",D3448-TODAY())</f>
        <v/>
      </c>
      <c r="F3448">
        <f>IF(D3448="","",IF(E3448&lt;0,"VENCIDO",IF(E3448&lt;=30,"VENCE EM &lt;= 30 DIAS",IF(E3448&lt;=60,"ATENCAO (31-60 DIAS)","OK"))))</f>
        <v/>
      </c>
      <c r="G3448" s="13">
        <f>SUMIFS(Movimentacoes!$G:$G,Movimentacoes!$C:$C,$A3448,Movimentacoes!$E:$E,$C3448,Movimentacoes!$B:$B,"ENTRADA")</f>
        <v/>
      </c>
      <c r="H3448" s="13">
        <f>SUMIFS(Movimentacoes!$G:$G,Movimentacoes!$C:$C,$A3448,Movimentacoes!$E:$E,$C3448,Movimentacoes!$B:$B,"SAIDA_USO")</f>
        <v/>
      </c>
      <c r="I3448" s="13">
        <f>SUMIFS(Movimentacoes!$G:$G,Movimentacoes!$C:$C,$A3448,Movimentacoes!$E:$E,$C3448,Movimentacoes!$B:$B,"SAIDA_DESCARTE")</f>
        <v/>
      </c>
      <c r="J3448" s="13">
        <f>G3448-H3448-I3448</f>
        <v/>
      </c>
      <c r="K3448">
        <f>IF(A3448="","",IF(J3448&lt;=IFERROR(VLOOKUP(A3448,Cadastro_Produtos!$A:$E,5,FALSE),0),"ABAIXO DO MINIMO","OK"))</f>
        <v/>
      </c>
    </row>
    <row r="3449">
      <c r="B3449">
        <f>IFERROR(VLOOKUP(A3449,Cadastro_Produtos!A:B,2,FALSE),"")</f>
        <v/>
      </c>
      <c r="D3449" s="12" t="n"/>
      <c r="E3449" s="13">
        <f>IF(D3449="","",D3449-TODAY())</f>
        <v/>
      </c>
      <c r="F3449">
        <f>IF(D3449="","",IF(E3449&lt;0,"VENCIDO",IF(E3449&lt;=30,"VENCE EM &lt;= 30 DIAS",IF(E3449&lt;=60,"ATENCAO (31-60 DIAS)","OK"))))</f>
        <v/>
      </c>
      <c r="G3449" s="13">
        <f>SUMIFS(Movimentacoes!$G:$G,Movimentacoes!$C:$C,$A3449,Movimentacoes!$E:$E,$C3449,Movimentacoes!$B:$B,"ENTRADA")</f>
        <v/>
      </c>
      <c r="H3449" s="13">
        <f>SUMIFS(Movimentacoes!$G:$G,Movimentacoes!$C:$C,$A3449,Movimentacoes!$E:$E,$C3449,Movimentacoes!$B:$B,"SAIDA_USO")</f>
        <v/>
      </c>
      <c r="I3449" s="13">
        <f>SUMIFS(Movimentacoes!$G:$G,Movimentacoes!$C:$C,$A3449,Movimentacoes!$E:$E,$C3449,Movimentacoes!$B:$B,"SAIDA_DESCARTE")</f>
        <v/>
      </c>
      <c r="J3449" s="13">
        <f>G3449-H3449-I3449</f>
        <v/>
      </c>
      <c r="K3449">
        <f>IF(A3449="","",IF(J3449&lt;=IFERROR(VLOOKUP(A3449,Cadastro_Produtos!$A:$E,5,FALSE),0),"ABAIXO DO MINIMO","OK"))</f>
        <v/>
      </c>
    </row>
    <row r="3450">
      <c r="B3450">
        <f>IFERROR(VLOOKUP(A3450,Cadastro_Produtos!A:B,2,FALSE),"")</f>
        <v/>
      </c>
      <c r="D3450" s="12" t="n"/>
      <c r="E3450" s="13">
        <f>IF(D3450="","",D3450-TODAY())</f>
        <v/>
      </c>
      <c r="F3450">
        <f>IF(D3450="","",IF(E3450&lt;0,"VENCIDO",IF(E3450&lt;=30,"VENCE EM &lt;= 30 DIAS",IF(E3450&lt;=60,"ATENCAO (31-60 DIAS)","OK"))))</f>
        <v/>
      </c>
      <c r="G3450" s="13">
        <f>SUMIFS(Movimentacoes!$G:$G,Movimentacoes!$C:$C,$A3450,Movimentacoes!$E:$E,$C3450,Movimentacoes!$B:$B,"ENTRADA")</f>
        <v/>
      </c>
      <c r="H3450" s="13">
        <f>SUMIFS(Movimentacoes!$G:$G,Movimentacoes!$C:$C,$A3450,Movimentacoes!$E:$E,$C3450,Movimentacoes!$B:$B,"SAIDA_USO")</f>
        <v/>
      </c>
      <c r="I3450" s="13">
        <f>SUMIFS(Movimentacoes!$G:$G,Movimentacoes!$C:$C,$A3450,Movimentacoes!$E:$E,$C3450,Movimentacoes!$B:$B,"SAIDA_DESCARTE")</f>
        <v/>
      </c>
      <c r="J3450" s="13">
        <f>G3450-H3450-I3450</f>
        <v/>
      </c>
      <c r="K3450">
        <f>IF(A3450="","",IF(J3450&lt;=IFERROR(VLOOKUP(A3450,Cadastro_Produtos!$A:$E,5,FALSE),0),"ABAIXO DO MINIMO","OK"))</f>
        <v/>
      </c>
    </row>
    <row r="3451">
      <c r="B3451">
        <f>IFERROR(VLOOKUP(A3451,Cadastro_Produtos!A:B,2,FALSE),"")</f>
        <v/>
      </c>
      <c r="D3451" s="12" t="n"/>
      <c r="E3451" s="13">
        <f>IF(D3451="","",D3451-TODAY())</f>
        <v/>
      </c>
      <c r="F3451">
        <f>IF(D3451="","",IF(E3451&lt;0,"VENCIDO",IF(E3451&lt;=30,"VENCE EM &lt;= 30 DIAS",IF(E3451&lt;=60,"ATENCAO (31-60 DIAS)","OK"))))</f>
        <v/>
      </c>
      <c r="G3451" s="13">
        <f>SUMIFS(Movimentacoes!$G:$G,Movimentacoes!$C:$C,$A3451,Movimentacoes!$E:$E,$C3451,Movimentacoes!$B:$B,"ENTRADA")</f>
        <v/>
      </c>
      <c r="H3451" s="13">
        <f>SUMIFS(Movimentacoes!$G:$G,Movimentacoes!$C:$C,$A3451,Movimentacoes!$E:$E,$C3451,Movimentacoes!$B:$B,"SAIDA_USO")</f>
        <v/>
      </c>
      <c r="I3451" s="13">
        <f>SUMIFS(Movimentacoes!$G:$G,Movimentacoes!$C:$C,$A3451,Movimentacoes!$E:$E,$C3451,Movimentacoes!$B:$B,"SAIDA_DESCARTE")</f>
        <v/>
      </c>
      <c r="J3451" s="13">
        <f>G3451-H3451-I3451</f>
        <v/>
      </c>
      <c r="K3451">
        <f>IF(A3451="","",IF(J3451&lt;=IFERROR(VLOOKUP(A3451,Cadastro_Produtos!$A:$E,5,FALSE),0),"ABAIXO DO MINIMO","OK"))</f>
        <v/>
      </c>
    </row>
    <row r="3452">
      <c r="B3452">
        <f>IFERROR(VLOOKUP(A3452,Cadastro_Produtos!A:B,2,FALSE),"")</f>
        <v/>
      </c>
      <c r="D3452" s="12" t="n"/>
      <c r="E3452" s="13">
        <f>IF(D3452="","",D3452-TODAY())</f>
        <v/>
      </c>
      <c r="F3452">
        <f>IF(D3452="","",IF(E3452&lt;0,"VENCIDO",IF(E3452&lt;=30,"VENCE EM &lt;= 30 DIAS",IF(E3452&lt;=60,"ATENCAO (31-60 DIAS)","OK"))))</f>
        <v/>
      </c>
      <c r="G3452" s="13">
        <f>SUMIFS(Movimentacoes!$G:$G,Movimentacoes!$C:$C,$A3452,Movimentacoes!$E:$E,$C3452,Movimentacoes!$B:$B,"ENTRADA")</f>
        <v/>
      </c>
      <c r="H3452" s="13">
        <f>SUMIFS(Movimentacoes!$G:$G,Movimentacoes!$C:$C,$A3452,Movimentacoes!$E:$E,$C3452,Movimentacoes!$B:$B,"SAIDA_USO")</f>
        <v/>
      </c>
      <c r="I3452" s="13">
        <f>SUMIFS(Movimentacoes!$G:$G,Movimentacoes!$C:$C,$A3452,Movimentacoes!$E:$E,$C3452,Movimentacoes!$B:$B,"SAIDA_DESCARTE")</f>
        <v/>
      </c>
      <c r="J3452" s="13">
        <f>G3452-H3452-I3452</f>
        <v/>
      </c>
      <c r="K3452">
        <f>IF(A3452="","",IF(J3452&lt;=IFERROR(VLOOKUP(A3452,Cadastro_Produtos!$A:$E,5,FALSE),0),"ABAIXO DO MINIMO","OK"))</f>
        <v/>
      </c>
    </row>
    <row r="3453">
      <c r="B3453">
        <f>IFERROR(VLOOKUP(A3453,Cadastro_Produtos!A:B,2,FALSE),"")</f>
        <v/>
      </c>
      <c r="D3453" s="12" t="n"/>
      <c r="E3453" s="13">
        <f>IF(D3453="","",D3453-TODAY())</f>
        <v/>
      </c>
      <c r="F3453">
        <f>IF(D3453="","",IF(E3453&lt;0,"VENCIDO",IF(E3453&lt;=30,"VENCE EM &lt;= 30 DIAS",IF(E3453&lt;=60,"ATENCAO (31-60 DIAS)","OK"))))</f>
        <v/>
      </c>
      <c r="G3453" s="13">
        <f>SUMIFS(Movimentacoes!$G:$G,Movimentacoes!$C:$C,$A3453,Movimentacoes!$E:$E,$C3453,Movimentacoes!$B:$B,"ENTRADA")</f>
        <v/>
      </c>
      <c r="H3453" s="13">
        <f>SUMIFS(Movimentacoes!$G:$G,Movimentacoes!$C:$C,$A3453,Movimentacoes!$E:$E,$C3453,Movimentacoes!$B:$B,"SAIDA_USO")</f>
        <v/>
      </c>
      <c r="I3453" s="13">
        <f>SUMIFS(Movimentacoes!$G:$G,Movimentacoes!$C:$C,$A3453,Movimentacoes!$E:$E,$C3453,Movimentacoes!$B:$B,"SAIDA_DESCARTE")</f>
        <v/>
      </c>
      <c r="J3453" s="13">
        <f>G3453-H3453-I3453</f>
        <v/>
      </c>
      <c r="K3453">
        <f>IF(A3453="","",IF(J3453&lt;=IFERROR(VLOOKUP(A3453,Cadastro_Produtos!$A:$E,5,FALSE),0),"ABAIXO DO MINIMO","OK"))</f>
        <v/>
      </c>
    </row>
    <row r="3454">
      <c r="B3454">
        <f>IFERROR(VLOOKUP(A3454,Cadastro_Produtos!A:B,2,FALSE),"")</f>
        <v/>
      </c>
      <c r="D3454" s="12" t="n"/>
      <c r="E3454" s="13">
        <f>IF(D3454="","",D3454-TODAY())</f>
        <v/>
      </c>
      <c r="F3454">
        <f>IF(D3454="","",IF(E3454&lt;0,"VENCIDO",IF(E3454&lt;=30,"VENCE EM &lt;= 30 DIAS",IF(E3454&lt;=60,"ATENCAO (31-60 DIAS)","OK"))))</f>
        <v/>
      </c>
      <c r="G3454" s="13">
        <f>SUMIFS(Movimentacoes!$G:$G,Movimentacoes!$C:$C,$A3454,Movimentacoes!$E:$E,$C3454,Movimentacoes!$B:$B,"ENTRADA")</f>
        <v/>
      </c>
      <c r="H3454" s="13">
        <f>SUMIFS(Movimentacoes!$G:$G,Movimentacoes!$C:$C,$A3454,Movimentacoes!$E:$E,$C3454,Movimentacoes!$B:$B,"SAIDA_USO")</f>
        <v/>
      </c>
      <c r="I3454" s="13">
        <f>SUMIFS(Movimentacoes!$G:$G,Movimentacoes!$C:$C,$A3454,Movimentacoes!$E:$E,$C3454,Movimentacoes!$B:$B,"SAIDA_DESCARTE")</f>
        <v/>
      </c>
      <c r="J3454" s="13">
        <f>G3454-H3454-I3454</f>
        <v/>
      </c>
      <c r="K3454">
        <f>IF(A3454="","",IF(J3454&lt;=IFERROR(VLOOKUP(A3454,Cadastro_Produtos!$A:$E,5,FALSE),0),"ABAIXO DO MINIMO","OK"))</f>
        <v/>
      </c>
    </row>
    <row r="3455">
      <c r="B3455">
        <f>IFERROR(VLOOKUP(A3455,Cadastro_Produtos!A:B,2,FALSE),"")</f>
        <v/>
      </c>
      <c r="D3455" s="12" t="n"/>
      <c r="E3455" s="13">
        <f>IF(D3455="","",D3455-TODAY())</f>
        <v/>
      </c>
      <c r="F3455">
        <f>IF(D3455="","",IF(E3455&lt;0,"VENCIDO",IF(E3455&lt;=30,"VENCE EM &lt;= 30 DIAS",IF(E3455&lt;=60,"ATENCAO (31-60 DIAS)","OK"))))</f>
        <v/>
      </c>
      <c r="G3455" s="13">
        <f>SUMIFS(Movimentacoes!$G:$G,Movimentacoes!$C:$C,$A3455,Movimentacoes!$E:$E,$C3455,Movimentacoes!$B:$B,"ENTRADA")</f>
        <v/>
      </c>
      <c r="H3455" s="13">
        <f>SUMIFS(Movimentacoes!$G:$G,Movimentacoes!$C:$C,$A3455,Movimentacoes!$E:$E,$C3455,Movimentacoes!$B:$B,"SAIDA_USO")</f>
        <v/>
      </c>
      <c r="I3455" s="13">
        <f>SUMIFS(Movimentacoes!$G:$G,Movimentacoes!$C:$C,$A3455,Movimentacoes!$E:$E,$C3455,Movimentacoes!$B:$B,"SAIDA_DESCARTE")</f>
        <v/>
      </c>
      <c r="J3455" s="13">
        <f>G3455-H3455-I3455</f>
        <v/>
      </c>
      <c r="K3455">
        <f>IF(A3455="","",IF(J3455&lt;=IFERROR(VLOOKUP(A3455,Cadastro_Produtos!$A:$E,5,FALSE),0),"ABAIXO DO MINIMO","OK"))</f>
        <v/>
      </c>
    </row>
    <row r="3456">
      <c r="B3456">
        <f>IFERROR(VLOOKUP(A3456,Cadastro_Produtos!A:B,2,FALSE),"")</f>
        <v/>
      </c>
      <c r="D3456" s="12" t="n"/>
      <c r="E3456" s="13">
        <f>IF(D3456="","",D3456-TODAY())</f>
        <v/>
      </c>
      <c r="F3456">
        <f>IF(D3456="","",IF(E3456&lt;0,"VENCIDO",IF(E3456&lt;=30,"VENCE EM &lt;= 30 DIAS",IF(E3456&lt;=60,"ATENCAO (31-60 DIAS)","OK"))))</f>
        <v/>
      </c>
      <c r="G3456" s="13">
        <f>SUMIFS(Movimentacoes!$G:$G,Movimentacoes!$C:$C,$A3456,Movimentacoes!$E:$E,$C3456,Movimentacoes!$B:$B,"ENTRADA")</f>
        <v/>
      </c>
      <c r="H3456" s="13">
        <f>SUMIFS(Movimentacoes!$G:$G,Movimentacoes!$C:$C,$A3456,Movimentacoes!$E:$E,$C3456,Movimentacoes!$B:$B,"SAIDA_USO")</f>
        <v/>
      </c>
      <c r="I3456" s="13">
        <f>SUMIFS(Movimentacoes!$G:$G,Movimentacoes!$C:$C,$A3456,Movimentacoes!$E:$E,$C3456,Movimentacoes!$B:$B,"SAIDA_DESCARTE")</f>
        <v/>
      </c>
      <c r="J3456" s="13">
        <f>G3456-H3456-I3456</f>
        <v/>
      </c>
      <c r="K3456">
        <f>IF(A3456="","",IF(J3456&lt;=IFERROR(VLOOKUP(A3456,Cadastro_Produtos!$A:$E,5,FALSE),0),"ABAIXO DO MINIMO","OK"))</f>
        <v/>
      </c>
    </row>
    <row r="3457">
      <c r="B3457">
        <f>IFERROR(VLOOKUP(A3457,Cadastro_Produtos!A:B,2,FALSE),"")</f>
        <v/>
      </c>
      <c r="D3457" s="12" t="n"/>
      <c r="E3457" s="13">
        <f>IF(D3457="","",D3457-TODAY())</f>
        <v/>
      </c>
      <c r="F3457">
        <f>IF(D3457="","",IF(E3457&lt;0,"VENCIDO",IF(E3457&lt;=30,"VENCE EM &lt;= 30 DIAS",IF(E3457&lt;=60,"ATENCAO (31-60 DIAS)","OK"))))</f>
        <v/>
      </c>
      <c r="G3457" s="13">
        <f>SUMIFS(Movimentacoes!$G:$G,Movimentacoes!$C:$C,$A3457,Movimentacoes!$E:$E,$C3457,Movimentacoes!$B:$B,"ENTRADA")</f>
        <v/>
      </c>
      <c r="H3457" s="13">
        <f>SUMIFS(Movimentacoes!$G:$G,Movimentacoes!$C:$C,$A3457,Movimentacoes!$E:$E,$C3457,Movimentacoes!$B:$B,"SAIDA_USO")</f>
        <v/>
      </c>
      <c r="I3457" s="13">
        <f>SUMIFS(Movimentacoes!$G:$G,Movimentacoes!$C:$C,$A3457,Movimentacoes!$E:$E,$C3457,Movimentacoes!$B:$B,"SAIDA_DESCARTE")</f>
        <v/>
      </c>
      <c r="J3457" s="13">
        <f>G3457-H3457-I3457</f>
        <v/>
      </c>
      <c r="K3457">
        <f>IF(A3457="","",IF(J3457&lt;=IFERROR(VLOOKUP(A3457,Cadastro_Produtos!$A:$E,5,FALSE),0),"ABAIXO DO MINIMO","OK"))</f>
        <v/>
      </c>
    </row>
    <row r="3458">
      <c r="B3458">
        <f>IFERROR(VLOOKUP(A3458,Cadastro_Produtos!A:B,2,FALSE),"")</f>
        <v/>
      </c>
      <c r="D3458" s="12" t="n"/>
      <c r="E3458" s="13">
        <f>IF(D3458="","",D3458-TODAY())</f>
        <v/>
      </c>
      <c r="F3458">
        <f>IF(D3458="","",IF(E3458&lt;0,"VENCIDO",IF(E3458&lt;=30,"VENCE EM &lt;= 30 DIAS",IF(E3458&lt;=60,"ATENCAO (31-60 DIAS)","OK"))))</f>
        <v/>
      </c>
      <c r="G3458" s="13">
        <f>SUMIFS(Movimentacoes!$G:$G,Movimentacoes!$C:$C,$A3458,Movimentacoes!$E:$E,$C3458,Movimentacoes!$B:$B,"ENTRADA")</f>
        <v/>
      </c>
      <c r="H3458" s="13">
        <f>SUMIFS(Movimentacoes!$G:$G,Movimentacoes!$C:$C,$A3458,Movimentacoes!$E:$E,$C3458,Movimentacoes!$B:$B,"SAIDA_USO")</f>
        <v/>
      </c>
      <c r="I3458" s="13">
        <f>SUMIFS(Movimentacoes!$G:$G,Movimentacoes!$C:$C,$A3458,Movimentacoes!$E:$E,$C3458,Movimentacoes!$B:$B,"SAIDA_DESCARTE")</f>
        <v/>
      </c>
      <c r="J3458" s="13">
        <f>G3458-H3458-I3458</f>
        <v/>
      </c>
      <c r="K3458">
        <f>IF(A3458="","",IF(J3458&lt;=IFERROR(VLOOKUP(A3458,Cadastro_Produtos!$A:$E,5,FALSE),0),"ABAIXO DO MINIMO","OK"))</f>
        <v/>
      </c>
    </row>
    <row r="3459">
      <c r="B3459">
        <f>IFERROR(VLOOKUP(A3459,Cadastro_Produtos!A:B,2,FALSE),"")</f>
        <v/>
      </c>
      <c r="D3459" s="12" t="n"/>
      <c r="E3459" s="13">
        <f>IF(D3459="","",D3459-TODAY())</f>
        <v/>
      </c>
      <c r="F3459">
        <f>IF(D3459="","",IF(E3459&lt;0,"VENCIDO",IF(E3459&lt;=30,"VENCE EM &lt;= 30 DIAS",IF(E3459&lt;=60,"ATENCAO (31-60 DIAS)","OK"))))</f>
        <v/>
      </c>
      <c r="G3459" s="13">
        <f>SUMIFS(Movimentacoes!$G:$G,Movimentacoes!$C:$C,$A3459,Movimentacoes!$E:$E,$C3459,Movimentacoes!$B:$B,"ENTRADA")</f>
        <v/>
      </c>
      <c r="H3459" s="13">
        <f>SUMIFS(Movimentacoes!$G:$G,Movimentacoes!$C:$C,$A3459,Movimentacoes!$E:$E,$C3459,Movimentacoes!$B:$B,"SAIDA_USO")</f>
        <v/>
      </c>
      <c r="I3459" s="13">
        <f>SUMIFS(Movimentacoes!$G:$G,Movimentacoes!$C:$C,$A3459,Movimentacoes!$E:$E,$C3459,Movimentacoes!$B:$B,"SAIDA_DESCARTE")</f>
        <v/>
      </c>
      <c r="J3459" s="13">
        <f>G3459-H3459-I3459</f>
        <v/>
      </c>
      <c r="K3459">
        <f>IF(A3459="","",IF(J3459&lt;=IFERROR(VLOOKUP(A3459,Cadastro_Produtos!$A:$E,5,FALSE),0),"ABAIXO DO MINIMO","OK"))</f>
        <v/>
      </c>
    </row>
    <row r="3460">
      <c r="B3460">
        <f>IFERROR(VLOOKUP(A3460,Cadastro_Produtos!A:B,2,FALSE),"")</f>
        <v/>
      </c>
      <c r="D3460" s="12" t="n"/>
      <c r="E3460" s="13">
        <f>IF(D3460="","",D3460-TODAY())</f>
        <v/>
      </c>
      <c r="F3460">
        <f>IF(D3460="","",IF(E3460&lt;0,"VENCIDO",IF(E3460&lt;=30,"VENCE EM &lt;= 30 DIAS",IF(E3460&lt;=60,"ATENCAO (31-60 DIAS)","OK"))))</f>
        <v/>
      </c>
      <c r="G3460" s="13">
        <f>SUMIFS(Movimentacoes!$G:$G,Movimentacoes!$C:$C,$A3460,Movimentacoes!$E:$E,$C3460,Movimentacoes!$B:$B,"ENTRADA")</f>
        <v/>
      </c>
      <c r="H3460" s="13">
        <f>SUMIFS(Movimentacoes!$G:$G,Movimentacoes!$C:$C,$A3460,Movimentacoes!$E:$E,$C3460,Movimentacoes!$B:$B,"SAIDA_USO")</f>
        <v/>
      </c>
      <c r="I3460" s="13">
        <f>SUMIFS(Movimentacoes!$G:$G,Movimentacoes!$C:$C,$A3460,Movimentacoes!$E:$E,$C3460,Movimentacoes!$B:$B,"SAIDA_DESCARTE")</f>
        <v/>
      </c>
      <c r="J3460" s="13">
        <f>G3460-H3460-I3460</f>
        <v/>
      </c>
      <c r="K3460">
        <f>IF(A3460="","",IF(J3460&lt;=IFERROR(VLOOKUP(A3460,Cadastro_Produtos!$A:$E,5,FALSE),0),"ABAIXO DO MINIMO","OK"))</f>
        <v/>
      </c>
    </row>
    <row r="3461">
      <c r="B3461">
        <f>IFERROR(VLOOKUP(A3461,Cadastro_Produtos!A:B,2,FALSE),"")</f>
        <v/>
      </c>
      <c r="D3461" s="12" t="n"/>
      <c r="E3461" s="13">
        <f>IF(D3461="","",D3461-TODAY())</f>
        <v/>
      </c>
      <c r="F3461">
        <f>IF(D3461="","",IF(E3461&lt;0,"VENCIDO",IF(E3461&lt;=30,"VENCE EM &lt;= 30 DIAS",IF(E3461&lt;=60,"ATENCAO (31-60 DIAS)","OK"))))</f>
        <v/>
      </c>
      <c r="G3461" s="13">
        <f>SUMIFS(Movimentacoes!$G:$G,Movimentacoes!$C:$C,$A3461,Movimentacoes!$E:$E,$C3461,Movimentacoes!$B:$B,"ENTRADA")</f>
        <v/>
      </c>
      <c r="H3461" s="13">
        <f>SUMIFS(Movimentacoes!$G:$G,Movimentacoes!$C:$C,$A3461,Movimentacoes!$E:$E,$C3461,Movimentacoes!$B:$B,"SAIDA_USO")</f>
        <v/>
      </c>
      <c r="I3461" s="13">
        <f>SUMIFS(Movimentacoes!$G:$G,Movimentacoes!$C:$C,$A3461,Movimentacoes!$E:$E,$C3461,Movimentacoes!$B:$B,"SAIDA_DESCARTE")</f>
        <v/>
      </c>
      <c r="J3461" s="13">
        <f>G3461-H3461-I3461</f>
        <v/>
      </c>
      <c r="K3461">
        <f>IF(A3461="","",IF(J3461&lt;=IFERROR(VLOOKUP(A3461,Cadastro_Produtos!$A:$E,5,FALSE),0),"ABAIXO DO MINIMO","OK"))</f>
        <v/>
      </c>
    </row>
    <row r="3462">
      <c r="B3462">
        <f>IFERROR(VLOOKUP(A3462,Cadastro_Produtos!A:B,2,FALSE),"")</f>
        <v/>
      </c>
      <c r="D3462" s="12" t="n"/>
      <c r="E3462" s="13">
        <f>IF(D3462="","",D3462-TODAY())</f>
        <v/>
      </c>
      <c r="F3462">
        <f>IF(D3462="","",IF(E3462&lt;0,"VENCIDO",IF(E3462&lt;=30,"VENCE EM &lt;= 30 DIAS",IF(E3462&lt;=60,"ATENCAO (31-60 DIAS)","OK"))))</f>
        <v/>
      </c>
      <c r="G3462" s="13">
        <f>SUMIFS(Movimentacoes!$G:$G,Movimentacoes!$C:$C,$A3462,Movimentacoes!$E:$E,$C3462,Movimentacoes!$B:$B,"ENTRADA")</f>
        <v/>
      </c>
      <c r="H3462" s="13">
        <f>SUMIFS(Movimentacoes!$G:$G,Movimentacoes!$C:$C,$A3462,Movimentacoes!$E:$E,$C3462,Movimentacoes!$B:$B,"SAIDA_USO")</f>
        <v/>
      </c>
      <c r="I3462" s="13">
        <f>SUMIFS(Movimentacoes!$G:$G,Movimentacoes!$C:$C,$A3462,Movimentacoes!$E:$E,$C3462,Movimentacoes!$B:$B,"SAIDA_DESCARTE")</f>
        <v/>
      </c>
      <c r="J3462" s="13">
        <f>G3462-H3462-I3462</f>
        <v/>
      </c>
      <c r="K3462">
        <f>IF(A3462="","",IF(J3462&lt;=IFERROR(VLOOKUP(A3462,Cadastro_Produtos!$A:$E,5,FALSE),0),"ABAIXO DO MINIMO","OK"))</f>
        <v/>
      </c>
    </row>
    <row r="3463">
      <c r="B3463">
        <f>IFERROR(VLOOKUP(A3463,Cadastro_Produtos!A:B,2,FALSE),"")</f>
        <v/>
      </c>
      <c r="D3463" s="12" t="n"/>
      <c r="E3463" s="13">
        <f>IF(D3463="","",D3463-TODAY())</f>
        <v/>
      </c>
      <c r="F3463">
        <f>IF(D3463="","",IF(E3463&lt;0,"VENCIDO",IF(E3463&lt;=30,"VENCE EM &lt;= 30 DIAS",IF(E3463&lt;=60,"ATENCAO (31-60 DIAS)","OK"))))</f>
        <v/>
      </c>
      <c r="G3463" s="13">
        <f>SUMIFS(Movimentacoes!$G:$G,Movimentacoes!$C:$C,$A3463,Movimentacoes!$E:$E,$C3463,Movimentacoes!$B:$B,"ENTRADA")</f>
        <v/>
      </c>
      <c r="H3463" s="13">
        <f>SUMIFS(Movimentacoes!$G:$G,Movimentacoes!$C:$C,$A3463,Movimentacoes!$E:$E,$C3463,Movimentacoes!$B:$B,"SAIDA_USO")</f>
        <v/>
      </c>
      <c r="I3463" s="13">
        <f>SUMIFS(Movimentacoes!$G:$G,Movimentacoes!$C:$C,$A3463,Movimentacoes!$E:$E,$C3463,Movimentacoes!$B:$B,"SAIDA_DESCARTE")</f>
        <v/>
      </c>
      <c r="J3463" s="13">
        <f>G3463-H3463-I3463</f>
        <v/>
      </c>
      <c r="K3463">
        <f>IF(A3463="","",IF(J3463&lt;=IFERROR(VLOOKUP(A3463,Cadastro_Produtos!$A:$E,5,FALSE),0),"ABAIXO DO MINIMO","OK"))</f>
        <v/>
      </c>
    </row>
    <row r="3464">
      <c r="B3464">
        <f>IFERROR(VLOOKUP(A3464,Cadastro_Produtos!A:B,2,FALSE),"")</f>
        <v/>
      </c>
      <c r="D3464" s="12" t="n"/>
      <c r="E3464" s="13">
        <f>IF(D3464="","",D3464-TODAY())</f>
        <v/>
      </c>
      <c r="F3464">
        <f>IF(D3464="","",IF(E3464&lt;0,"VENCIDO",IF(E3464&lt;=30,"VENCE EM &lt;= 30 DIAS",IF(E3464&lt;=60,"ATENCAO (31-60 DIAS)","OK"))))</f>
        <v/>
      </c>
      <c r="G3464" s="13">
        <f>SUMIFS(Movimentacoes!$G:$G,Movimentacoes!$C:$C,$A3464,Movimentacoes!$E:$E,$C3464,Movimentacoes!$B:$B,"ENTRADA")</f>
        <v/>
      </c>
      <c r="H3464" s="13">
        <f>SUMIFS(Movimentacoes!$G:$G,Movimentacoes!$C:$C,$A3464,Movimentacoes!$E:$E,$C3464,Movimentacoes!$B:$B,"SAIDA_USO")</f>
        <v/>
      </c>
      <c r="I3464" s="13">
        <f>SUMIFS(Movimentacoes!$G:$G,Movimentacoes!$C:$C,$A3464,Movimentacoes!$E:$E,$C3464,Movimentacoes!$B:$B,"SAIDA_DESCARTE")</f>
        <v/>
      </c>
      <c r="J3464" s="13">
        <f>G3464-H3464-I3464</f>
        <v/>
      </c>
      <c r="K3464">
        <f>IF(A3464="","",IF(J3464&lt;=IFERROR(VLOOKUP(A3464,Cadastro_Produtos!$A:$E,5,FALSE),0),"ABAIXO DO MINIMO","OK"))</f>
        <v/>
      </c>
    </row>
    <row r="3465">
      <c r="B3465">
        <f>IFERROR(VLOOKUP(A3465,Cadastro_Produtos!A:B,2,FALSE),"")</f>
        <v/>
      </c>
      <c r="D3465" s="12" t="n"/>
      <c r="E3465" s="13">
        <f>IF(D3465="","",D3465-TODAY())</f>
        <v/>
      </c>
      <c r="F3465">
        <f>IF(D3465="","",IF(E3465&lt;0,"VENCIDO",IF(E3465&lt;=30,"VENCE EM &lt;= 30 DIAS",IF(E3465&lt;=60,"ATENCAO (31-60 DIAS)","OK"))))</f>
        <v/>
      </c>
      <c r="G3465" s="13">
        <f>SUMIFS(Movimentacoes!$G:$G,Movimentacoes!$C:$C,$A3465,Movimentacoes!$E:$E,$C3465,Movimentacoes!$B:$B,"ENTRADA")</f>
        <v/>
      </c>
      <c r="H3465" s="13">
        <f>SUMIFS(Movimentacoes!$G:$G,Movimentacoes!$C:$C,$A3465,Movimentacoes!$E:$E,$C3465,Movimentacoes!$B:$B,"SAIDA_USO")</f>
        <v/>
      </c>
      <c r="I3465" s="13">
        <f>SUMIFS(Movimentacoes!$G:$G,Movimentacoes!$C:$C,$A3465,Movimentacoes!$E:$E,$C3465,Movimentacoes!$B:$B,"SAIDA_DESCARTE")</f>
        <v/>
      </c>
      <c r="J3465" s="13">
        <f>G3465-H3465-I3465</f>
        <v/>
      </c>
      <c r="K3465">
        <f>IF(A3465="","",IF(J3465&lt;=IFERROR(VLOOKUP(A3465,Cadastro_Produtos!$A:$E,5,FALSE),0),"ABAIXO DO MINIMO","OK"))</f>
        <v/>
      </c>
    </row>
    <row r="3466">
      <c r="B3466">
        <f>IFERROR(VLOOKUP(A3466,Cadastro_Produtos!A:B,2,FALSE),"")</f>
        <v/>
      </c>
      <c r="D3466" s="12" t="n"/>
      <c r="E3466" s="13">
        <f>IF(D3466="","",D3466-TODAY())</f>
        <v/>
      </c>
      <c r="F3466">
        <f>IF(D3466="","",IF(E3466&lt;0,"VENCIDO",IF(E3466&lt;=30,"VENCE EM &lt;= 30 DIAS",IF(E3466&lt;=60,"ATENCAO (31-60 DIAS)","OK"))))</f>
        <v/>
      </c>
      <c r="G3466" s="13">
        <f>SUMIFS(Movimentacoes!$G:$G,Movimentacoes!$C:$C,$A3466,Movimentacoes!$E:$E,$C3466,Movimentacoes!$B:$B,"ENTRADA")</f>
        <v/>
      </c>
      <c r="H3466" s="13">
        <f>SUMIFS(Movimentacoes!$G:$G,Movimentacoes!$C:$C,$A3466,Movimentacoes!$E:$E,$C3466,Movimentacoes!$B:$B,"SAIDA_USO")</f>
        <v/>
      </c>
      <c r="I3466" s="13">
        <f>SUMIFS(Movimentacoes!$G:$G,Movimentacoes!$C:$C,$A3466,Movimentacoes!$E:$E,$C3466,Movimentacoes!$B:$B,"SAIDA_DESCARTE")</f>
        <v/>
      </c>
      <c r="J3466" s="13">
        <f>G3466-H3466-I3466</f>
        <v/>
      </c>
      <c r="K3466">
        <f>IF(A3466="","",IF(J3466&lt;=IFERROR(VLOOKUP(A3466,Cadastro_Produtos!$A:$E,5,FALSE),0),"ABAIXO DO MINIMO","OK"))</f>
        <v/>
      </c>
    </row>
    <row r="3467">
      <c r="B3467">
        <f>IFERROR(VLOOKUP(A3467,Cadastro_Produtos!A:B,2,FALSE),"")</f>
        <v/>
      </c>
      <c r="D3467" s="12" t="n"/>
      <c r="E3467" s="13">
        <f>IF(D3467="","",D3467-TODAY())</f>
        <v/>
      </c>
      <c r="F3467">
        <f>IF(D3467="","",IF(E3467&lt;0,"VENCIDO",IF(E3467&lt;=30,"VENCE EM &lt;= 30 DIAS",IF(E3467&lt;=60,"ATENCAO (31-60 DIAS)","OK"))))</f>
        <v/>
      </c>
      <c r="G3467" s="13">
        <f>SUMIFS(Movimentacoes!$G:$G,Movimentacoes!$C:$C,$A3467,Movimentacoes!$E:$E,$C3467,Movimentacoes!$B:$B,"ENTRADA")</f>
        <v/>
      </c>
      <c r="H3467" s="13">
        <f>SUMIFS(Movimentacoes!$G:$G,Movimentacoes!$C:$C,$A3467,Movimentacoes!$E:$E,$C3467,Movimentacoes!$B:$B,"SAIDA_USO")</f>
        <v/>
      </c>
      <c r="I3467" s="13">
        <f>SUMIFS(Movimentacoes!$G:$G,Movimentacoes!$C:$C,$A3467,Movimentacoes!$E:$E,$C3467,Movimentacoes!$B:$B,"SAIDA_DESCARTE")</f>
        <v/>
      </c>
      <c r="J3467" s="13">
        <f>G3467-H3467-I3467</f>
        <v/>
      </c>
      <c r="K3467">
        <f>IF(A3467="","",IF(J3467&lt;=IFERROR(VLOOKUP(A3467,Cadastro_Produtos!$A:$E,5,FALSE),0),"ABAIXO DO MINIMO","OK"))</f>
        <v/>
      </c>
    </row>
    <row r="3468">
      <c r="B3468">
        <f>IFERROR(VLOOKUP(A3468,Cadastro_Produtos!A:B,2,FALSE),"")</f>
        <v/>
      </c>
      <c r="D3468" s="12" t="n"/>
      <c r="E3468" s="13">
        <f>IF(D3468="","",D3468-TODAY())</f>
        <v/>
      </c>
      <c r="F3468">
        <f>IF(D3468="","",IF(E3468&lt;0,"VENCIDO",IF(E3468&lt;=30,"VENCE EM &lt;= 30 DIAS",IF(E3468&lt;=60,"ATENCAO (31-60 DIAS)","OK"))))</f>
        <v/>
      </c>
      <c r="G3468" s="13">
        <f>SUMIFS(Movimentacoes!$G:$G,Movimentacoes!$C:$C,$A3468,Movimentacoes!$E:$E,$C3468,Movimentacoes!$B:$B,"ENTRADA")</f>
        <v/>
      </c>
      <c r="H3468" s="13">
        <f>SUMIFS(Movimentacoes!$G:$G,Movimentacoes!$C:$C,$A3468,Movimentacoes!$E:$E,$C3468,Movimentacoes!$B:$B,"SAIDA_USO")</f>
        <v/>
      </c>
      <c r="I3468" s="13">
        <f>SUMIFS(Movimentacoes!$G:$G,Movimentacoes!$C:$C,$A3468,Movimentacoes!$E:$E,$C3468,Movimentacoes!$B:$B,"SAIDA_DESCARTE")</f>
        <v/>
      </c>
      <c r="J3468" s="13">
        <f>G3468-H3468-I3468</f>
        <v/>
      </c>
      <c r="K3468">
        <f>IF(A3468="","",IF(J3468&lt;=IFERROR(VLOOKUP(A3468,Cadastro_Produtos!$A:$E,5,FALSE),0),"ABAIXO DO MINIMO","OK"))</f>
        <v/>
      </c>
    </row>
    <row r="3469">
      <c r="B3469">
        <f>IFERROR(VLOOKUP(A3469,Cadastro_Produtos!A:B,2,FALSE),"")</f>
        <v/>
      </c>
      <c r="D3469" s="12" t="n"/>
      <c r="E3469" s="13">
        <f>IF(D3469="","",D3469-TODAY())</f>
        <v/>
      </c>
      <c r="F3469">
        <f>IF(D3469="","",IF(E3469&lt;0,"VENCIDO",IF(E3469&lt;=30,"VENCE EM &lt;= 30 DIAS",IF(E3469&lt;=60,"ATENCAO (31-60 DIAS)","OK"))))</f>
        <v/>
      </c>
      <c r="G3469" s="13">
        <f>SUMIFS(Movimentacoes!$G:$G,Movimentacoes!$C:$C,$A3469,Movimentacoes!$E:$E,$C3469,Movimentacoes!$B:$B,"ENTRADA")</f>
        <v/>
      </c>
      <c r="H3469" s="13">
        <f>SUMIFS(Movimentacoes!$G:$G,Movimentacoes!$C:$C,$A3469,Movimentacoes!$E:$E,$C3469,Movimentacoes!$B:$B,"SAIDA_USO")</f>
        <v/>
      </c>
      <c r="I3469" s="13">
        <f>SUMIFS(Movimentacoes!$G:$G,Movimentacoes!$C:$C,$A3469,Movimentacoes!$E:$E,$C3469,Movimentacoes!$B:$B,"SAIDA_DESCARTE")</f>
        <v/>
      </c>
      <c r="J3469" s="13">
        <f>G3469-H3469-I3469</f>
        <v/>
      </c>
      <c r="K3469">
        <f>IF(A3469="","",IF(J3469&lt;=IFERROR(VLOOKUP(A3469,Cadastro_Produtos!$A:$E,5,FALSE),0),"ABAIXO DO MINIMO","OK"))</f>
        <v/>
      </c>
    </row>
    <row r="3470">
      <c r="B3470">
        <f>IFERROR(VLOOKUP(A3470,Cadastro_Produtos!A:B,2,FALSE),"")</f>
        <v/>
      </c>
      <c r="D3470" s="12" t="n"/>
      <c r="E3470" s="13">
        <f>IF(D3470="","",D3470-TODAY())</f>
        <v/>
      </c>
      <c r="F3470">
        <f>IF(D3470="","",IF(E3470&lt;0,"VENCIDO",IF(E3470&lt;=30,"VENCE EM &lt;= 30 DIAS",IF(E3470&lt;=60,"ATENCAO (31-60 DIAS)","OK"))))</f>
        <v/>
      </c>
      <c r="G3470" s="13">
        <f>SUMIFS(Movimentacoes!$G:$G,Movimentacoes!$C:$C,$A3470,Movimentacoes!$E:$E,$C3470,Movimentacoes!$B:$B,"ENTRADA")</f>
        <v/>
      </c>
      <c r="H3470" s="13">
        <f>SUMIFS(Movimentacoes!$G:$G,Movimentacoes!$C:$C,$A3470,Movimentacoes!$E:$E,$C3470,Movimentacoes!$B:$B,"SAIDA_USO")</f>
        <v/>
      </c>
      <c r="I3470" s="13">
        <f>SUMIFS(Movimentacoes!$G:$G,Movimentacoes!$C:$C,$A3470,Movimentacoes!$E:$E,$C3470,Movimentacoes!$B:$B,"SAIDA_DESCARTE")</f>
        <v/>
      </c>
      <c r="J3470" s="13">
        <f>G3470-H3470-I3470</f>
        <v/>
      </c>
      <c r="K3470">
        <f>IF(A3470="","",IF(J3470&lt;=IFERROR(VLOOKUP(A3470,Cadastro_Produtos!$A:$E,5,FALSE),0),"ABAIXO DO MINIMO","OK"))</f>
        <v/>
      </c>
    </row>
    <row r="3471">
      <c r="B3471">
        <f>IFERROR(VLOOKUP(A3471,Cadastro_Produtos!A:B,2,FALSE),"")</f>
        <v/>
      </c>
      <c r="D3471" s="12" t="n"/>
      <c r="E3471" s="13">
        <f>IF(D3471="","",D3471-TODAY())</f>
        <v/>
      </c>
      <c r="F3471">
        <f>IF(D3471="","",IF(E3471&lt;0,"VENCIDO",IF(E3471&lt;=30,"VENCE EM &lt;= 30 DIAS",IF(E3471&lt;=60,"ATENCAO (31-60 DIAS)","OK"))))</f>
        <v/>
      </c>
      <c r="G3471" s="13">
        <f>SUMIFS(Movimentacoes!$G:$G,Movimentacoes!$C:$C,$A3471,Movimentacoes!$E:$E,$C3471,Movimentacoes!$B:$B,"ENTRADA")</f>
        <v/>
      </c>
      <c r="H3471" s="13">
        <f>SUMIFS(Movimentacoes!$G:$G,Movimentacoes!$C:$C,$A3471,Movimentacoes!$E:$E,$C3471,Movimentacoes!$B:$B,"SAIDA_USO")</f>
        <v/>
      </c>
      <c r="I3471" s="13">
        <f>SUMIFS(Movimentacoes!$G:$G,Movimentacoes!$C:$C,$A3471,Movimentacoes!$E:$E,$C3471,Movimentacoes!$B:$B,"SAIDA_DESCARTE")</f>
        <v/>
      </c>
      <c r="J3471" s="13">
        <f>G3471-H3471-I3471</f>
        <v/>
      </c>
      <c r="K3471">
        <f>IF(A3471="","",IF(J3471&lt;=IFERROR(VLOOKUP(A3471,Cadastro_Produtos!$A:$E,5,FALSE),0),"ABAIXO DO MINIMO","OK"))</f>
        <v/>
      </c>
    </row>
    <row r="3472">
      <c r="B3472">
        <f>IFERROR(VLOOKUP(A3472,Cadastro_Produtos!A:B,2,FALSE),"")</f>
        <v/>
      </c>
      <c r="D3472" s="12" t="n"/>
      <c r="E3472" s="13">
        <f>IF(D3472="","",D3472-TODAY())</f>
        <v/>
      </c>
      <c r="F3472">
        <f>IF(D3472="","",IF(E3472&lt;0,"VENCIDO",IF(E3472&lt;=30,"VENCE EM &lt;= 30 DIAS",IF(E3472&lt;=60,"ATENCAO (31-60 DIAS)","OK"))))</f>
        <v/>
      </c>
      <c r="G3472" s="13">
        <f>SUMIFS(Movimentacoes!$G:$G,Movimentacoes!$C:$C,$A3472,Movimentacoes!$E:$E,$C3472,Movimentacoes!$B:$B,"ENTRADA")</f>
        <v/>
      </c>
      <c r="H3472" s="13">
        <f>SUMIFS(Movimentacoes!$G:$G,Movimentacoes!$C:$C,$A3472,Movimentacoes!$E:$E,$C3472,Movimentacoes!$B:$B,"SAIDA_USO")</f>
        <v/>
      </c>
      <c r="I3472" s="13">
        <f>SUMIFS(Movimentacoes!$G:$G,Movimentacoes!$C:$C,$A3472,Movimentacoes!$E:$E,$C3472,Movimentacoes!$B:$B,"SAIDA_DESCARTE")</f>
        <v/>
      </c>
      <c r="J3472" s="13">
        <f>G3472-H3472-I3472</f>
        <v/>
      </c>
      <c r="K3472">
        <f>IF(A3472="","",IF(J3472&lt;=IFERROR(VLOOKUP(A3472,Cadastro_Produtos!$A:$E,5,FALSE),0),"ABAIXO DO MINIMO","OK"))</f>
        <v/>
      </c>
    </row>
    <row r="3473">
      <c r="B3473">
        <f>IFERROR(VLOOKUP(A3473,Cadastro_Produtos!A:B,2,FALSE),"")</f>
        <v/>
      </c>
      <c r="D3473" s="12" t="n"/>
      <c r="E3473" s="13">
        <f>IF(D3473="","",D3473-TODAY())</f>
        <v/>
      </c>
      <c r="F3473">
        <f>IF(D3473="","",IF(E3473&lt;0,"VENCIDO",IF(E3473&lt;=30,"VENCE EM &lt;= 30 DIAS",IF(E3473&lt;=60,"ATENCAO (31-60 DIAS)","OK"))))</f>
        <v/>
      </c>
      <c r="G3473" s="13">
        <f>SUMIFS(Movimentacoes!$G:$G,Movimentacoes!$C:$C,$A3473,Movimentacoes!$E:$E,$C3473,Movimentacoes!$B:$B,"ENTRADA")</f>
        <v/>
      </c>
      <c r="H3473" s="13">
        <f>SUMIFS(Movimentacoes!$G:$G,Movimentacoes!$C:$C,$A3473,Movimentacoes!$E:$E,$C3473,Movimentacoes!$B:$B,"SAIDA_USO")</f>
        <v/>
      </c>
      <c r="I3473" s="13">
        <f>SUMIFS(Movimentacoes!$G:$G,Movimentacoes!$C:$C,$A3473,Movimentacoes!$E:$E,$C3473,Movimentacoes!$B:$B,"SAIDA_DESCARTE")</f>
        <v/>
      </c>
      <c r="J3473" s="13">
        <f>G3473-H3473-I3473</f>
        <v/>
      </c>
      <c r="K3473">
        <f>IF(A3473="","",IF(J3473&lt;=IFERROR(VLOOKUP(A3473,Cadastro_Produtos!$A:$E,5,FALSE),0),"ABAIXO DO MINIMO","OK"))</f>
        <v/>
      </c>
    </row>
    <row r="3474">
      <c r="B3474">
        <f>IFERROR(VLOOKUP(A3474,Cadastro_Produtos!A:B,2,FALSE),"")</f>
        <v/>
      </c>
      <c r="D3474" s="12" t="n"/>
      <c r="E3474" s="13">
        <f>IF(D3474="","",D3474-TODAY())</f>
        <v/>
      </c>
      <c r="F3474">
        <f>IF(D3474="","",IF(E3474&lt;0,"VENCIDO",IF(E3474&lt;=30,"VENCE EM &lt;= 30 DIAS",IF(E3474&lt;=60,"ATENCAO (31-60 DIAS)","OK"))))</f>
        <v/>
      </c>
      <c r="G3474" s="13">
        <f>SUMIFS(Movimentacoes!$G:$G,Movimentacoes!$C:$C,$A3474,Movimentacoes!$E:$E,$C3474,Movimentacoes!$B:$B,"ENTRADA")</f>
        <v/>
      </c>
      <c r="H3474" s="13">
        <f>SUMIFS(Movimentacoes!$G:$G,Movimentacoes!$C:$C,$A3474,Movimentacoes!$E:$E,$C3474,Movimentacoes!$B:$B,"SAIDA_USO")</f>
        <v/>
      </c>
      <c r="I3474" s="13">
        <f>SUMIFS(Movimentacoes!$G:$G,Movimentacoes!$C:$C,$A3474,Movimentacoes!$E:$E,$C3474,Movimentacoes!$B:$B,"SAIDA_DESCARTE")</f>
        <v/>
      </c>
      <c r="J3474" s="13">
        <f>G3474-H3474-I3474</f>
        <v/>
      </c>
      <c r="K3474">
        <f>IF(A3474="","",IF(J3474&lt;=IFERROR(VLOOKUP(A3474,Cadastro_Produtos!$A:$E,5,FALSE),0),"ABAIXO DO MINIMO","OK"))</f>
        <v/>
      </c>
    </row>
    <row r="3475">
      <c r="B3475">
        <f>IFERROR(VLOOKUP(A3475,Cadastro_Produtos!A:B,2,FALSE),"")</f>
        <v/>
      </c>
      <c r="D3475" s="12" t="n"/>
      <c r="E3475" s="13">
        <f>IF(D3475="","",D3475-TODAY())</f>
        <v/>
      </c>
      <c r="F3475">
        <f>IF(D3475="","",IF(E3475&lt;0,"VENCIDO",IF(E3475&lt;=30,"VENCE EM &lt;= 30 DIAS",IF(E3475&lt;=60,"ATENCAO (31-60 DIAS)","OK"))))</f>
        <v/>
      </c>
      <c r="G3475" s="13">
        <f>SUMIFS(Movimentacoes!$G:$G,Movimentacoes!$C:$C,$A3475,Movimentacoes!$E:$E,$C3475,Movimentacoes!$B:$B,"ENTRADA")</f>
        <v/>
      </c>
      <c r="H3475" s="13">
        <f>SUMIFS(Movimentacoes!$G:$G,Movimentacoes!$C:$C,$A3475,Movimentacoes!$E:$E,$C3475,Movimentacoes!$B:$B,"SAIDA_USO")</f>
        <v/>
      </c>
      <c r="I3475" s="13">
        <f>SUMIFS(Movimentacoes!$G:$G,Movimentacoes!$C:$C,$A3475,Movimentacoes!$E:$E,$C3475,Movimentacoes!$B:$B,"SAIDA_DESCARTE")</f>
        <v/>
      </c>
      <c r="J3475" s="13">
        <f>G3475-H3475-I3475</f>
        <v/>
      </c>
      <c r="K3475">
        <f>IF(A3475="","",IF(J3475&lt;=IFERROR(VLOOKUP(A3475,Cadastro_Produtos!$A:$E,5,FALSE),0),"ABAIXO DO MINIMO","OK"))</f>
        <v/>
      </c>
    </row>
    <row r="3476">
      <c r="B3476">
        <f>IFERROR(VLOOKUP(A3476,Cadastro_Produtos!A:B,2,FALSE),"")</f>
        <v/>
      </c>
      <c r="D3476" s="12" t="n"/>
      <c r="E3476" s="13">
        <f>IF(D3476="","",D3476-TODAY())</f>
        <v/>
      </c>
      <c r="F3476">
        <f>IF(D3476="","",IF(E3476&lt;0,"VENCIDO",IF(E3476&lt;=30,"VENCE EM &lt;= 30 DIAS",IF(E3476&lt;=60,"ATENCAO (31-60 DIAS)","OK"))))</f>
        <v/>
      </c>
      <c r="G3476" s="13">
        <f>SUMIFS(Movimentacoes!$G:$G,Movimentacoes!$C:$C,$A3476,Movimentacoes!$E:$E,$C3476,Movimentacoes!$B:$B,"ENTRADA")</f>
        <v/>
      </c>
      <c r="H3476" s="13">
        <f>SUMIFS(Movimentacoes!$G:$G,Movimentacoes!$C:$C,$A3476,Movimentacoes!$E:$E,$C3476,Movimentacoes!$B:$B,"SAIDA_USO")</f>
        <v/>
      </c>
      <c r="I3476" s="13">
        <f>SUMIFS(Movimentacoes!$G:$G,Movimentacoes!$C:$C,$A3476,Movimentacoes!$E:$E,$C3476,Movimentacoes!$B:$B,"SAIDA_DESCARTE")</f>
        <v/>
      </c>
      <c r="J3476" s="13">
        <f>G3476-H3476-I3476</f>
        <v/>
      </c>
      <c r="K3476">
        <f>IF(A3476="","",IF(J3476&lt;=IFERROR(VLOOKUP(A3476,Cadastro_Produtos!$A:$E,5,FALSE),0),"ABAIXO DO MINIMO","OK"))</f>
        <v/>
      </c>
    </row>
    <row r="3477">
      <c r="B3477">
        <f>IFERROR(VLOOKUP(A3477,Cadastro_Produtos!A:B,2,FALSE),"")</f>
        <v/>
      </c>
      <c r="D3477" s="12" t="n"/>
      <c r="E3477" s="13">
        <f>IF(D3477="","",D3477-TODAY())</f>
        <v/>
      </c>
      <c r="F3477">
        <f>IF(D3477="","",IF(E3477&lt;0,"VENCIDO",IF(E3477&lt;=30,"VENCE EM &lt;= 30 DIAS",IF(E3477&lt;=60,"ATENCAO (31-60 DIAS)","OK"))))</f>
        <v/>
      </c>
      <c r="G3477" s="13">
        <f>SUMIFS(Movimentacoes!$G:$G,Movimentacoes!$C:$C,$A3477,Movimentacoes!$E:$E,$C3477,Movimentacoes!$B:$B,"ENTRADA")</f>
        <v/>
      </c>
      <c r="H3477" s="13">
        <f>SUMIFS(Movimentacoes!$G:$G,Movimentacoes!$C:$C,$A3477,Movimentacoes!$E:$E,$C3477,Movimentacoes!$B:$B,"SAIDA_USO")</f>
        <v/>
      </c>
      <c r="I3477" s="13">
        <f>SUMIFS(Movimentacoes!$G:$G,Movimentacoes!$C:$C,$A3477,Movimentacoes!$E:$E,$C3477,Movimentacoes!$B:$B,"SAIDA_DESCARTE")</f>
        <v/>
      </c>
      <c r="J3477" s="13">
        <f>G3477-H3477-I3477</f>
        <v/>
      </c>
      <c r="K3477">
        <f>IF(A3477="","",IF(J3477&lt;=IFERROR(VLOOKUP(A3477,Cadastro_Produtos!$A:$E,5,FALSE),0),"ABAIXO DO MINIMO","OK"))</f>
        <v/>
      </c>
    </row>
    <row r="3478">
      <c r="B3478">
        <f>IFERROR(VLOOKUP(A3478,Cadastro_Produtos!A:B,2,FALSE),"")</f>
        <v/>
      </c>
      <c r="D3478" s="12" t="n"/>
      <c r="E3478" s="13">
        <f>IF(D3478="","",D3478-TODAY())</f>
        <v/>
      </c>
      <c r="F3478">
        <f>IF(D3478="","",IF(E3478&lt;0,"VENCIDO",IF(E3478&lt;=30,"VENCE EM &lt;= 30 DIAS",IF(E3478&lt;=60,"ATENCAO (31-60 DIAS)","OK"))))</f>
        <v/>
      </c>
      <c r="G3478" s="13">
        <f>SUMIFS(Movimentacoes!$G:$G,Movimentacoes!$C:$C,$A3478,Movimentacoes!$E:$E,$C3478,Movimentacoes!$B:$B,"ENTRADA")</f>
        <v/>
      </c>
      <c r="H3478" s="13">
        <f>SUMIFS(Movimentacoes!$G:$G,Movimentacoes!$C:$C,$A3478,Movimentacoes!$E:$E,$C3478,Movimentacoes!$B:$B,"SAIDA_USO")</f>
        <v/>
      </c>
      <c r="I3478" s="13">
        <f>SUMIFS(Movimentacoes!$G:$G,Movimentacoes!$C:$C,$A3478,Movimentacoes!$E:$E,$C3478,Movimentacoes!$B:$B,"SAIDA_DESCARTE")</f>
        <v/>
      </c>
      <c r="J3478" s="13">
        <f>G3478-H3478-I3478</f>
        <v/>
      </c>
      <c r="K3478">
        <f>IF(A3478="","",IF(J3478&lt;=IFERROR(VLOOKUP(A3478,Cadastro_Produtos!$A:$E,5,FALSE),0),"ABAIXO DO MINIMO","OK"))</f>
        <v/>
      </c>
    </row>
    <row r="3479">
      <c r="B3479">
        <f>IFERROR(VLOOKUP(A3479,Cadastro_Produtos!A:B,2,FALSE),"")</f>
        <v/>
      </c>
      <c r="D3479" s="12" t="n"/>
      <c r="E3479" s="13">
        <f>IF(D3479="","",D3479-TODAY())</f>
        <v/>
      </c>
      <c r="F3479">
        <f>IF(D3479="","",IF(E3479&lt;0,"VENCIDO",IF(E3479&lt;=30,"VENCE EM &lt;= 30 DIAS",IF(E3479&lt;=60,"ATENCAO (31-60 DIAS)","OK"))))</f>
        <v/>
      </c>
      <c r="G3479" s="13">
        <f>SUMIFS(Movimentacoes!$G:$G,Movimentacoes!$C:$C,$A3479,Movimentacoes!$E:$E,$C3479,Movimentacoes!$B:$B,"ENTRADA")</f>
        <v/>
      </c>
      <c r="H3479" s="13">
        <f>SUMIFS(Movimentacoes!$G:$G,Movimentacoes!$C:$C,$A3479,Movimentacoes!$E:$E,$C3479,Movimentacoes!$B:$B,"SAIDA_USO")</f>
        <v/>
      </c>
      <c r="I3479" s="13">
        <f>SUMIFS(Movimentacoes!$G:$G,Movimentacoes!$C:$C,$A3479,Movimentacoes!$E:$E,$C3479,Movimentacoes!$B:$B,"SAIDA_DESCARTE")</f>
        <v/>
      </c>
      <c r="J3479" s="13">
        <f>G3479-H3479-I3479</f>
        <v/>
      </c>
      <c r="K3479">
        <f>IF(A3479="","",IF(J3479&lt;=IFERROR(VLOOKUP(A3479,Cadastro_Produtos!$A:$E,5,FALSE),0),"ABAIXO DO MINIMO","OK"))</f>
        <v/>
      </c>
    </row>
    <row r="3480">
      <c r="B3480">
        <f>IFERROR(VLOOKUP(A3480,Cadastro_Produtos!A:B,2,FALSE),"")</f>
        <v/>
      </c>
      <c r="D3480" s="12" t="n"/>
      <c r="E3480" s="13">
        <f>IF(D3480="","",D3480-TODAY())</f>
        <v/>
      </c>
      <c r="F3480">
        <f>IF(D3480="","",IF(E3480&lt;0,"VENCIDO",IF(E3480&lt;=30,"VENCE EM &lt;= 30 DIAS",IF(E3480&lt;=60,"ATENCAO (31-60 DIAS)","OK"))))</f>
        <v/>
      </c>
      <c r="G3480" s="13">
        <f>SUMIFS(Movimentacoes!$G:$G,Movimentacoes!$C:$C,$A3480,Movimentacoes!$E:$E,$C3480,Movimentacoes!$B:$B,"ENTRADA")</f>
        <v/>
      </c>
      <c r="H3480" s="13">
        <f>SUMIFS(Movimentacoes!$G:$G,Movimentacoes!$C:$C,$A3480,Movimentacoes!$E:$E,$C3480,Movimentacoes!$B:$B,"SAIDA_USO")</f>
        <v/>
      </c>
      <c r="I3480" s="13">
        <f>SUMIFS(Movimentacoes!$G:$G,Movimentacoes!$C:$C,$A3480,Movimentacoes!$E:$E,$C3480,Movimentacoes!$B:$B,"SAIDA_DESCARTE")</f>
        <v/>
      </c>
      <c r="J3480" s="13">
        <f>G3480-H3480-I3480</f>
        <v/>
      </c>
      <c r="K3480">
        <f>IF(A3480="","",IF(J3480&lt;=IFERROR(VLOOKUP(A3480,Cadastro_Produtos!$A:$E,5,FALSE),0),"ABAIXO DO MINIMO","OK"))</f>
        <v/>
      </c>
    </row>
    <row r="3481">
      <c r="B3481">
        <f>IFERROR(VLOOKUP(A3481,Cadastro_Produtos!A:B,2,FALSE),"")</f>
        <v/>
      </c>
      <c r="D3481" s="12" t="n"/>
      <c r="E3481" s="13">
        <f>IF(D3481="","",D3481-TODAY())</f>
        <v/>
      </c>
      <c r="F3481">
        <f>IF(D3481="","",IF(E3481&lt;0,"VENCIDO",IF(E3481&lt;=30,"VENCE EM &lt;= 30 DIAS",IF(E3481&lt;=60,"ATENCAO (31-60 DIAS)","OK"))))</f>
        <v/>
      </c>
      <c r="G3481" s="13">
        <f>SUMIFS(Movimentacoes!$G:$G,Movimentacoes!$C:$C,$A3481,Movimentacoes!$E:$E,$C3481,Movimentacoes!$B:$B,"ENTRADA")</f>
        <v/>
      </c>
      <c r="H3481" s="13">
        <f>SUMIFS(Movimentacoes!$G:$G,Movimentacoes!$C:$C,$A3481,Movimentacoes!$E:$E,$C3481,Movimentacoes!$B:$B,"SAIDA_USO")</f>
        <v/>
      </c>
      <c r="I3481" s="13">
        <f>SUMIFS(Movimentacoes!$G:$G,Movimentacoes!$C:$C,$A3481,Movimentacoes!$E:$E,$C3481,Movimentacoes!$B:$B,"SAIDA_DESCARTE")</f>
        <v/>
      </c>
      <c r="J3481" s="13">
        <f>G3481-H3481-I3481</f>
        <v/>
      </c>
      <c r="K3481">
        <f>IF(A3481="","",IF(J3481&lt;=IFERROR(VLOOKUP(A3481,Cadastro_Produtos!$A:$E,5,FALSE),0),"ABAIXO DO MINIMO","OK"))</f>
        <v/>
      </c>
    </row>
    <row r="3482">
      <c r="B3482">
        <f>IFERROR(VLOOKUP(A3482,Cadastro_Produtos!A:B,2,FALSE),"")</f>
        <v/>
      </c>
      <c r="D3482" s="12" t="n"/>
      <c r="E3482" s="13">
        <f>IF(D3482="","",D3482-TODAY())</f>
        <v/>
      </c>
      <c r="F3482">
        <f>IF(D3482="","",IF(E3482&lt;0,"VENCIDO",IF(E3482&lt;=30,"VENCE EM &lt;= 30 DIAS",IF(E3482&lt;=60,"ATENCAO (31-60 DIAS)","OK"))))</f>
        <v/>
      </c>
      <c r="G3482" s="13">
        <f>SUMIFS(Movimentacoes!$G:$G,Movimentacoes!$C:$C,$A3482,Movimentacoes!$E:$E,$C3482,Movimentacoes!$B:$B,"ENTRADA")</f>
        <v/>
      </c>
      <c r="H3482" s="13">
        <f>SUMIFS(Movimentacoes!$G:$G,Movimentacoes!$C:$C,$A3482,Movimentacoes!$E:$E,$C3482,Movimentacoes!$B:$B,"SAIDA_USO")</f>
        <v/>
      </c>
      <c r="I3482" s="13">
        <f>SUMIFS(Movimentacoes!$G:$G,Movimentacoes!$C:$C,$A3482,Movimentacoes!$E:$E,$C3482,Movimentacoes!$B:$B,"SAIDA_DESCARTE")</f>
        <v/>
      </c>
      <c r="J3482" s="13">
        <f>G3482-H3482-I3482</f>
        <v/>
      </c>
      <c r="K3482">
        <f>IF(A3482="","",IF(J3482&lt;=IFERROR(VLOOKUP(A3482,Cadastro_Produtos!$A:$E,5,FALSE),0),"ABAIXO DO MINIMO","OK"))</f>
        <v/>
      </c>
    </row>
    <row r="3483">
      <c r="B3483">
        <f>IFERROR(VLOOKUP(A3483,Cadastro_Produtos!A:B,2,FALSE),"")</f>
        <v/>
      </c>
      <c r="D3483" s="12" t="n"/>
      <c r="E3483" s="13">
        <f>IF(D3483="","",D3483-TODAY())</f>
        <v/>
      </c>
      <c r="F3483">
        <f>IF(D3483="","",IF(E3483&lt;0,"VENCIDO",IF(E3483&lt;=30,"VENCE EM &lt;= 30 DIAS",IF(E3483&lt;=60,"ATENCAO (31-60 DIAS)","OK"))))</f>
        <v/>
      </c>
      <c r="G3483" s="13">
        <f>SUMIFS(Movimentacoes!$G:$G,Movimentacoes!$C:$C,$A3483,Movimentacoes!$E:$E,$C3483,Movimentacoes!$B:$B,"ENTRADA")</f>
        <v/>
      </c>
      <c r="H3483" s="13">
        <f>SUMIFS(Movimentacoes!$G:$G,Movimentacoes!$C:$C,$A3483,Movimentacoes!$E:$E,$C3483,Movimentacoes!$B:$B,"SAIDA_USO")</f>
        <v/>
      </c>
      <c r="I3483" s="13">
        <f>SUMIFS(Movimentacoes!$G:$G,Movimentacoes!$C:$C,$A3483,Movimentacoes!$E:$E,$C3483,Movimentacoes!$B:$B,"SAIDA_DESCARTE")</f>
        <v/>
      </c>
      <c r="J3483" s="13">
        <f>G3483-H3483-I3483</f>
        <v/>
      </c>
      <c r="K3483">
        <f>IF(A3483="","",IF(J3483&lt;=IFERROR(VLOOKUP(A3483,Cadastro_Produtos!$A:$E,5,FALSE),0),"ABAIXO DO MINIMO","OK"))</f>
        <v/>
      </c>
    </row>
    <row r="3484">
      <c r="B3484">
        <f>IFERROR(VLOOKUP(A3484,Cadastro_Produtos!A:B,2,FALSE),"")</f>
        <v/>
      </c>
      <c r="D3484" s="12" t="n"/>
      <c r="E3484" s="13">
        <f>IF(D3484="","",D3484-TODAY())</f>
        <v/>
      </c>
      <c r="F3484">
        <f>IF(D3484="","",IF(E3484&lt;0,"VENCIDO",IF(E3484&lt;=30,"VENCE EM &lt;= 30 DIAS",IF(E3484&lt;=60,"ATENCAO (31-60 DIAS)","OK"))))</f>
        <v/>
      </c>
      <c r="G3484" s="13">
        <f>SUMIFS(Movimentacoes!$G:$G,Movimentacoes!$C:$C,$A3484,Movimentacoes!$E:$E,$C3484,Movimentacoes!$B:$B,"ENTRADA")</f>
        <v/>
      </c>
      <c r="H3484" s="13">
        <f>SUMIFS(Movimentacoes!$G:$G,Movimentacoes!$C:$C,$A3484,Movimentacoes!$E:$E,$C3484,Movimentacoes!$B:$B,"SAIDA_USO")</f>
        <v/>
      </c>
      <c r="I3484" s="13">
        <f>SUMIFS(Movimentacoes!$G:$G,Movimentacoes!$C:$C,$A3484,Movimentacoes!$E:$E,$C3484,Movimentacoes!$B:$B,"SAIDA_DESCARTE")</f>
        <v/>
      </c>
      <c r="J3484" s="13">
        <f>G3484-H3484-I3484</f>
        <v/>
      </c>
      <c r="K3484">
        <f>IF(A3484="","",IF(J3484&lt;=IFERROR(VLOOKUP(A3484,Cadastro_Produtos!$A:$E,5,FALSE),0),"ABAIXO DO MINIMO","OK"))</f>
        <v/>
      </c>
    </row>
    <row r="3485">
      <c r="B3485">
        <f>IFERROR(VLOOKUP(A3485,Cadastro_Produtos!A:B,2,FALSE),"")</f>
        <v/>
      </c>
      <c r="D3485" s="12" t="n"/>
      <c r="E3485" s="13">
        <f>IF(D3485="","",D3485-TODAY())</f>
        <v/>
      </c>
      <c r="F3485">
        <f>IF(D3485="","",IF(E3485&lt;0,"VENCIDO",IF(E3485&lt;=30,"VENCE EM &lt;= 30 DIAS",IF(E3485&lt;=60,"ATENCAO (31-60 DIAS)","OK"))))</f>
        <v/>
      </c>
      <c r="G3485" s="13">
        <f>SUMIFS(Movimentacoes!$G:$G,Movimentacoes!$C:$C,$A3485,Movimentacoes!$E:$E,$C3485,Movimentacoes!$B:$B,"ENTRADA")</f>
        <v/>
      </c>
      <c r="H3485" s="13">
        <f>SUMIFS(Movimentacoes!$G:$G,Movimentacoes!$C:$C,$A3485,Movimentacoes!$E:$E,$C3485,Movimentacoes!$B:$B,"SAIDA_USO")</f>
        <v/>
      </c>
      <c r="I3485" s="13">
        <f>SUMIFS(Movimentacoes!$G:$G,Movimentacoes!$C:$C,$A3485,Movimentacoes!$E:$E,$C3485,Movimentacoes!$B:$B,"SAIDA_DESCARTE")</f>
        <v/>
      </c>
      <c r="J3485" s="13">
        <f>G3485-H3485-I3485</f>
        <v/>
      </c>
      <c r="K3485">
        <f>IF(A3485="","",IF(J3485&lt;=IFERROR(VLOOKUP(A3485,Cadastro_Produtos!$A:$E,5,FALSE),0),"ABAIXO DO MINIMO","OK"))</f>
        <v/>
      </c>
    </row>
    <row r="3486">
      <c r="B3486">
        <f>IFERROR(VLOOKUP(A3486,Cadastro_Produtos!A:B,2,FALSE),"")</f>
        <v/>
      </c>
      <c r="D3486" s="12" t="n"/>
      <c r="E3486" s="13">
        <f>IF(D3486="","",D3486-TODAY())</f>
        <v/>
      </c>
      <c r="F3486">
        <f>IF(D3486="","",IF(E3486&lt;0,"VENCIDO",IF(E3486&lt;=30,"VENCE EM &lt;= 30 DIAS",IF(E3486&lt;=60,"ATENCAO (31-60 DIAS)","OK"))))</f>
        <v/>
      </c>
      <c r="G3486" s="13">
        <f>SUMIFS(Movimentacoes!$G:$G,Movimentacoes!$C:$C,$A3486,Movimentacoes!$E:$E,$C3486,Movimentacoes!$B:$B,"ENTRADA")</f>
        <v/>
      </c>
      <c r="H3486" s="13">
        <f>SUMIFS(Movimentacoes!$G:$G,Movimentacoes!$C:$C,$A3486,Movimentacoes!$E:$E,$C3486,Movimentacoes!$B:$B,"SAIDA_USO")</f>
        <v/>
      </c>
      <c r="I3486" s="13">
        <f>SUMIFS(Movimentacoes!$G:$G,Movimentacoes!$C:$C,$A3486,Movimentacoes!$E:$E,$C3486,Movimentacoes!$B:$B,"SAIDA_DESCARTE")</f>
        <v/>
      </c>
      <c r="J3486" s="13">
        <f>G3486-H3486-I3486</f>
        <v/>
      </c>
      <c r="K3486">
        <f>IF(A3486="","",IF(J3486&lt;=IFERROR(VLOOKUP(A3486,Cadastro_Produtos!$A:$E,5,FALSE),0),"ABAIXO DO MINIMO","OK"))</f>
        <v/>
      </c>
    </row>
    <row r="3487">
      <c r="B3487">
        <f>IFERROR(VLOOKUP(A3487,Cadastro_Produtos!A:B,2,FALSE),"")</f>
        <v/>
      </c>
      <c r="D3487" s="12" t="n"/>
      <c r="E3487" s="13">
        <f>IF(D3487="","",D3487-TODAY())</f>
        <v/>
      </c>
      <c r="F3487">
        <f>IF(D3487="","",IF(E3487&lt;0,"VENCIDO",IF(E3487&lt;=30,"VENCE EM &lt;= 30 DIAS",IF(E3487&lt;=60,"ATENCAO (31-60 DIAS)","OK"))))</f>
        <v/>
      </c>
      <c r="G3487" s="13">
        <f>SUMIFS(Movimentacoes!$G:$G,Movimentacoes!$C:$C,$A3487,Movimentacoes!$E:$E,$C3487,Movimentacoes!$B:$B,"ENTRADA")</f>
        <v/>
      </c>
      <c r="H3487" s="13">
        <f>SUMIFS(Movimentacoes!$G:$G,Movimentacoes!$C:$C,$A3487,Movimentacoes!$E:$E,$C3487,Movimentacoes!$B:$B,"SAIDA_USO")</f>
        <v/>
      </c>
      <c r="I3487" s="13">
        <f>SUMIFS(Movimentacoes!$G:$G,Movimentacoes!$C:$C,$A3487,Movimentacoes!$E:$E,$C3487,Movimentacoes!$B:$B,"SAIDA_DESCARTE")</f>
        <v/>
      </c>
      <c r="J3487" s="13">
        <f>G3487-H3487-I3487</f>
        <v/>
      </c>
      <c r="K3487">
        <f>IF(A3487="","",IF(J3487&lt;=IFERROR(VLOOKUP(A3487,Cadastro_Produtos!$A:$E,5,FALSE),0),"ABAIXO DO MINIMO","OK"))</f>
        <v/>
      </c>
    </row>
    <row r="3488">
      <c r="B3488">
        <f>IFERROR(VLOOKUP(A3488,Cadastro_Produtos!A:B,2,FALSE),"")</f>
        <v/>
      </c>
      <c r="D3488" s="12" t="n"/>
      <c r="E3488" s="13">
        <f>IF(D3488="","",D3488-TODAY())</f>
        <v/>
      </c>
      <c r="F3488">
        <f>IF(D3488="","",IF(E3488&lt;0,"VENCIDO",IF(E3488&lt;=30,"VENCE EM &lt;= 30 DIAS",IF(E3488&lt;=60,"ATENCAO (31-60 DIAS)","OK"))))</f>
        <v/>
      </c>
      <c r="G3488" s="13">
        <f>SUMIFS(Movimentacoes!$G:$G,Movimentacoes!$C:$C,$A3488,Movimentacoes!$E:$E,$C3488,Movimentacoes!$B:$B,"ENTRADA")</f>
        <v/>
      </c>
      <c r="H3488" s="13">
        <f>SUMIFS(Movimentacoes!$G:$G,Movimentacoes!$C:$C,$A3488,Movimentacoes!$E:$E,$C3488,Movimentacoes!$B:$B,"SAIDA_USO")</f>
        <v/>
      </c>
      <c r="I3488" s="13">
        <f>SUMIFS(Movimentacoes!$G:$G,Movimentacoes!$C:$C,$A3488,Movimentacoes!$E:$E,$C3488,Movimentacoes!$B:$B,"SAIDA_DESCARTE")</f>
        <v/>
      </c>
      <c r="J3488" s="13">
        <f>G3488-H3488-I3488</f>
        <v/>
      </c>
      <c r="K3488">
        <f>IF(A3488="","",IF(J3488&lt;=IFERROR(VLOOKUP(A3488,Cadastro_Produtos!$A:$E,5,FALSE),0),"ABAIXO DO MINIMO","OK"))</f>
        <v/>
      </c>
    </row>
    <row r="3489">
      <c r="B3489">
        <f>IFERROR(VLOOKUP(A3489,Cadastro_Produtos!A:B,2,FALSE),"")</f>
        <v/>
      </c>
      <c r="D3489" s="12" t="n"/>
      <c r="E3489" s="13">
        <f>IF(D3489="","",D3489-TODAY())</f>
        <v/>
      </c>
      <c r="F3489">
        <f>IF(D3489="","",IF(E3489&lt;0,"VENCIDO",IF(E3489&lt;=30,"VENCE EM &lt;= 30 DIAS",IF(E3489&lt;=60,"ATENCAO (31-60 DIAS)","OK"))))</f>
        <v/>
      </c>
      <c r="G3489" s="13">
        <f>SUMIFS(Movimentacoes!$G:$G,Movimentacoes!$C:$C,$A3489,Movimentacoes!$E:$E,$C3489,Movimentacoes!$B:$B,"ENTRADA")</f>
        <v/>
      </c>
      <c r="H3489" s="13">
        <f>SUMIFS(Movimentacoes!$G:$G,Movimentacoes!$C:$C,$A3489,Movimentacoes!$E:$E,$C3489,Movimentacoes!$B:$B,"SAIDA_USO")</f>
        <v/>
      </c>
      <c r="I3489" s="13">
        <f>SUMIFS(Movimentacoes!$G:$G,Movimentacoes!$C:$C,$A3489,Movimentacoes!$E:$E,$C3489,Movimentacoes!$B:$B,"SAIDA_DESCARTE")</f>
        <v/>
      </c>
      <c r="J3489" s="13">
        <f>G3489-H3489-I3489</f>
        <v/>
      </c>
      <c r="K3489">
        <f>IF(A3489="","",IF(J3489&lt;=IFERROR(VLOOKUP(A3489,Cadastro_Produtos!$A:$E,5,FALSE),0),"ABAIXO DO MINIMO","OK"))</f>
        <v/>
      </c>
    </row>
    <row r="3490">
      <c r="B3490">
        <f>IFERROR(VLOOKUP(A3490,Cadastro_Produtos!A:B,2,FALSE),"")</f>
        <v/>
      </c>
      <c r="D3490" s="12" t="n"/>
      <c r="E3490" s="13">
        <f>IF(D3490="","",D3490-TODAY())</f>
        <v/>
      </c>
      <c r="F3490">
        <f>IF(D3490="","",IF(E3490&lt;0,"VENCIDO",IF(E3490&lt;=30,"VENCE EM &lt;= 30 DIAS",IF(E3490&lt;=60,"ATENCAO (31-60 DIAS)","OK"))))</f>
        <v/>
      </c>
      <c r="G3490" s="13">
        <f>SUMIFS(Movimentacoes!$G:$G,Movimentacoes!$C:$C,$A3490,Movimentacoes!$E:$E,$C3490,Movimentacoes!$B:$B,"ENTRADA")</f>
        <v/>
      </c>
      <c r="H3490" s="13">
        <f>SUMIFS(Movimentacoes!$G:$G,Movimentacoes!$C:$C,$A3490,Movimentacoes!$E:$E,$C3490,Movimentacoes!$B:$B,"SAIDA_USO")</f>
        <v/>
      </c>
      <c r="I3490" s="13">
        <f>SUMIFS(Movimentacoes!$G:$G,Movimentacoes!$C:$C,$A3490,Movimentacoes!$E:$E,$C3490,Movimentacoes!$B:$B,"SAIDA_DESCARTE")</f>
        <v/>
      </c>
      <c r="J3490" s="13">
        <f>G3490-H3490-I3490</f>
        <v/>
      </c>
      <c r="K3490">
        <f>IF(A3490="","",IF(J3490&lt;=IFERROR(VLOOKUP(A3490,Cadastro_Produtos!$A:$E,5,FALSE),0),"ABAIXO DO MINIMO","OK"))</f>
        <v/>
      </c>
    </row>
    <row r="3491">
      <c r="B3491">
        <f>IFERROR(VLOOKUP(A3491,Cadastro_Produtos!A:B,2,FALSE),"")</f>
        <v/>
      </c>
      <c r="D3491" s="12" t="n"/>
      <c r="E3491" s="13">
        <f>IF(D3491="","",D3491-TODAY())</f>
        <v/>
      </c>
      <c r="F3491">
        <f>IF(D3491="","",IF(E3491&lt;0,"VENCIDO",IF(E3491&lt;=30,"VENCE EM &lt;= 30 DIAS",IF(E3491&lt;=60,"ATENCAO (31-60 DIAS)","OK"))))</f>
        <v/>
      </c>
      <c r="G3491" s="13">
        <f>SUMIFS(Movimentacoes!$G:$G,Movimentacoes!$C:$C,$A3491,Movimentacoes!$E:$E,$C3491,Movimentacoes!$B:$B,"ENTRADA")</f>
        <v/>
      </c>
      <c r="H3491" s="13">
        <f>SUMIFS(Movimentacoes!$G:$G,Movimentacoes!$C:$C,$A3491,Movimentacoes!$E:$E,$C3491,Movimentacoes!$B:$B,"SAIDA_USO")</f>
        <v/>
      </c>
      <c r="I3491" s="13">
        <f>SUMIFS(Movimentacoes!$G:$G,Movimentacoes!$C:$C,$A3491,Movimentacoes!$E:$E,$C3491,Movimentacoes!$B:$B,"SAIDA_DESCARTE")</f>
        <v/>
      </c>
      <c r="J3491" s="13">
        <f>G3491-H3491-I3491</f>
        <v/>
      </c>
      <c r="K3491">
        <f>IF(A3491="","",IF(J3491&lt;=IFERROR(VLOOKUP(A3491,Cadastro_Produtos!$A:$E,5,FALSE),0),"ABAIXO DO MINIMO","OK"))</f>
        <v/>
      </c>
    </row>
    <row r="3492">
      <c r="B3492">
        <f>IFERROR(VLOOKUP(A3492,Cadastro_Produtos!A:B,2,FALSE),"")</f>
        <v/>
      </c>
      <c r="D3492" s="12" t="n"/>
      <c r="E3492" s="13">
        <f>IF(D3492="","",D3492-TODAY())</f>
        <v/>
      </c>
      <c r="F3492">
        <f>IF(D3492="","",IF(E3492&lt;0,"VENCIDO",IF(E3492&lt;=30,"VENCE EM &lt;= 30 DIAS",IF(E3492&lt;=60,"ATENCAO (31-60 DIAS)","OK"))))</f>
        <v/>
      </c>
      <c r="G3492" s="13">
        <f>SUMIFS(Movimentacoes!$G:$G,Movimentacoes!$C:$C,$A3492,Movimentacoes!$E:$E,$C3492,Movimentacoes!$B:$B,"ENTRADA")</f>
        <v/>
      </c>
      <c r="H3492" s="13">
        <f>SUMIFS(Movimentacoes!$G:$G,Movimentacoes!$C:$C,$A3492,Movimentacoes!$E:$E,$C3492,Movimentacoes!$B:$B,"SAIDA_USO")</f>
        <v/>
      </c>
      <c r="I3492" s="13">
        <f>SUMIFS(Movimentacoes!$G:$G,Movimentacoes!$C:$C,$A3492,Movimentacoes!$E:$E,$C3492,Movimentacoes!$B:$B,"SAIDA_DESCARTE")</f>
        <v/>
      </c>
      <c r="J3492" s="13">
        <f>G3492-H3492-I3492</f>
        <v/>
      </c>
      <c r="K3492">
        <f>IF(A3492="","",IF(J3492&lt;=IFERROR(VLOOKUP(A3492,Cadastro_Produtos!$A:$E,5,FALSE),0),"ABAIXO DO MINIMO","OK"))</f>
        <v/>
      </c>
    </row>
    <row r="3493">
      <c r="B3493">
        <f>IFERROR(VLOOKUP(A3493,Cadastro_Produtos!A:B,2,FALSE),"")</f>
        <v/>
      </c>
      <c r="D3493" s="12" t="n"/>
      <c r="E3493" s="13">
        <f>IF(D3493="","",D3493-TODAY())</f>
        <v/>
      </c>
      <c r="F3493">
        <f>IF(D3493="","",IF(E3493&lt;0,"VENCIDO",IF(E3493&lt;=30,"VENCE EM &lt;= 30 DIAS",IF(E3493&lt;=60,"ATENCAO (31-60 DIAS)","OK"))))</f>
        <v/>
      </c>
      <c r="G3493" s="13">
        <f>SUMIFS(Movimentacoes!$G:$G,Movimentacoes!$C:$C,$A3493,Movimentacoes!$E:$E,$C3493,Movimentacoes!$B:$B,"ENTRADA")</f>
        <v/>
      </c>
      <c r="H3493" s="13">
        <f>SUMIFS(Movimentacoes!$G:$G,Movimentacoes!$C:$C,$A3493,Movimentacoes!$E:$E,$C3493,Movimentacoes!$B:$B,"SAIDA_USO")</f>
        <v/>
      </c>
      <c r="I3493" s="13">
        <f>SUMIFS(Movimentacoes!$G:$G,Movimentacoes!$C:$C,$A3493,Movimentacoes!$E:$E,$C3493,Movimentacoes!$B:$B,"SAIDA_DESCARTE")</f>
        <v/>
      </c>
      <c r="J3493" s="13">
        <f>G3493-H3493-I3493</f>
        <v/>
      </c>
      <c r="K3493">
        <f>IF(A3493="","",IF(J3493&lt;=IFERROR(VLOOKUP(A3493,Cadastro_Produtos!$A:$E,5,FALSE),0),"ABAIXO DO MINIMO","OK"))</f>
        <v/>
      </c>
    </row>
    <row r="3494">
      <c r="B3494">
        <f>IFERROR(VLOOKUP(A3494,Cadastro_Produtos!A:B,2,FALSE),"")</f>
        <v/>
      </c>
      <c r="D3494" s="12" t="n"/>
      <c r="E3494" s="13">
        <f>IF(D3494="","",D3494-TODAY())</f>
        <v/>
      </c>
      <c r="F3494">
        <f>IF(D3494="","",IF(E3494&lt;0,"VENCIDO",IF(E3494&lt;=30,"VENCE EM &lt;= 30 DIAS",IF(E3494&lt;=60,"ATENCAO (31-60 DIAS)","OK"))))</f>
        <v/>
      </c>
      <c r="G3494" s="13">
        <f>SUMIFS(Movimentacoes!$G:$G,Movimentacoes!$C:$C,$A3494,Movimentacoes!$E:$E,$C3494,Movimentacoes!$B:$B,"ENTRADA")</f>
        <v/>
      </c>
      <c r="H3494" s="13">
        <f>SUMIFS(Movimentacoes!$G:$G,Movimentacoes!$C:$C,$A3494,Movimentacoes!$E:$E,$C3494,Movimentacoes!$B:$B,"SAIDA_USO")</f>
        <v/>
      </c>
      <c r="I3494" s="13">
        <f>SUMIFS(Movimentacoes!$G:$G,Movimentacoes!$C:$C,$A3494,Movimentacoes!$E:$E,$C3494,Movimentacoes!$B:$B,"SAIDA_DESCARTE")</f>
        <v/>
      </c>
      <c r="J3494" s="13">
        <f>G3494-H3494-I3494</f>
        <v/>
      </c>
      <c r="K3494">
        <f>IF(A3494="","",IF(J3494&lt;=IFERROR(VLOOKUP(A3494,Cadastro_Produtos!$A:$E,5,FALSE),0),"ABAIXO DO MINIMO","OK"))</f>
        <v/>
      </c>
    </row>
    <row r="3495">
      <c r="B3495">
        <f>IFERROR(VLOOKUP(A3495,Cadastro_Produtos!A:B,2,FALSE),"")</f>
        <v/>
      </c>
      <c r="D3495" s="12" t="n"/>
      <c r="E3495" s="13">
        <f>IF(D3495="","",D3495-TODAY())</f>
        <v/>
      </c>
      <c r="F3495">
        <f>IF(D3495="","",IF(E3495&lt;0,"VENCIDO",IF(E3495&lt;=30,"VENCE EM &lt;= 30 DIAS",IF(E3495&lt;=60,"ATENCAO (31-60 DIAS)","OK"))))</f>
        <v/>
      </c>
      <c r="G3495" s="13">
        <f>SUMIFS(Movimentacoes!$G:$G,Movimentacoes!$C:$C,$A3495,Movimentacoes!$E:$E,$C3495,Movimentacoes!$B:$B,"ENTRADA")</f>
        <v/>
      </c>
      <c r="H3495" s="13">
        <f>SUMIFS(Movimentacoes!$G:$G,Movimentacoes!$C:$C,$A3495,Movimentacoes!$E:$E,$C3495,Movimentacoes!$B:$B,"SAIDA_USO")</f>
        <v/>
      </c>
      <c r="I3495" s="13">
        <f>SUMIFS(Movimentacoes!$G:$G,Movimentacoes!$C:$C,$A3495,Movimentacoes!$E:$E,$C3495,Movimentacoes!$B:$B,"SAIDA_DESCARTE")</f>
        <v/>
      </c>
      <c r="J3495" s="13">
        <f>G3495-H3495-I3495</f>
        <v/>
      </c>
      <c r="K3495">
        <f>IF(A3495="","",IF(J3495&lt;=IFERROR(VLOOKUP(A3495,Cadastro_Produtos!$A:$E,5,FALSE),0),"ABAIXO DO MINIMO","OK"))</f>
        <v/>
      </c>
    </row>
    <row r="3496">
      <c r="B3496">
        <f>IFERROR(VLOOKUP(A3496,Cadastro_Produtos!A:B,2,FALSE),"")</f>
        <v/>
      </c>
      <c r="D3496" s="12" t="n"/>
      <c r="E3496" s="13">
        <f>IF(D3496="","",D3496-TODAY())</f>
        <v/>
      </c>
      <c r="F3496">
        <f>IF(D3496="","",IF(E3496&lt;0,"VENCIDO",IF(E3496&lt;=30,"VENCE EM &lt;= 30 DIAS",IF(E3496&lt;=60,"ATENCAO (31-60 DIAS)","OK"))))</f>
        <v/>
      </c>
      <c r="G3496" s="13">
        <f>SUMIFS(Movimentacoes!$G:$G,Movimentacoes!$C:$C,$A3496,Movimentacoes!$E:$E,$C3496,Movimentacoes!$B:$B,"ENTRADA")</f>
        <v/>
      </c>
      <c r="H3496" s="13">
        <f>SUMIFS(Movimentacoes!$G:$G,Movimentacoes!$C:$C,$A3496,Movimentacoes!$E:$E,$C3496,Movimentacoes!$B:$B,"SAIDA_USO")</f>
        <v/>
      </c>
      <c r="I3496" s="13">
        <f>SUMIFS(Movimentacoes!$G:$G,Movimentacoes!$C:$C,$A3496,Movimentacoes!$E:$E,$C3496,Movimentacoes!$B:$B,"SAIDA_DESCARTE")</f>
        <v/>
      </c>
      <c r="J3496" s="13">
        <f>G3496-H3496-I3496</f>
        <v/>
      </c>
      <c r="K3496">
        <f>IF(A3496="","",IF(J3496&lt;=IFERROR(VLOOKUP(A3496,Cadastro_Produtos!$A:$E,5,FALSE),0),"ABAIXO DO MINIMO","OK"))</f>
        <v/>
      </c>
    </row>
    <row r="3497">
      <c r="B3497">
        <f>IFERROR(VLOOKUP(A3497,Cadastro_Produtos!A:B,2,FALSE),"")</f>
        <v/>
      </c>
      <c r="D3497" s="12" t="n"/>
      <c r="E3497" s="13">
        <f>IF(D3497="","",D3497-TODAY())</f>
        <v/>
      </c>
      <c r="F3497">
        <f>IF(D3497="","",IF(E3497&lt;0,"VENCIDO",IF(E3497&lt;=30,"VENCE EM &lt;= 30 DIAS",IF(E3497&lt;=60,"ATENCAO (31-60 DIAS)","OK"))))</f>
        <v/>
      </c>
      <c r="G3497" s="13">
        <f>SUMIFS(Movimentacoes!$G:$G,Movimentacoes!$C:$C,$A3497,Movimentacoes!$E:$E,$C3497,Movimentacoes!$B:$B,"ENTRADA")</f>
        <v/>
      </c>
      <c r="H3497" s="13">
        <f>SUMIFS(Movimentacoes!$G:$G,Movimentacoes!$C:$C,$A3497,Movimentacoes!$E:$E,$C3497,Movimentacoes!$B:$B,"SAIDA_USO")</f>
        <v/>
      </c>
      <c r="I3497" s="13">
        <f>SUMIFS(Movimentacoes!$G:$G,Movimentacoes!$C:$C,$A3497,Movimentacoes!$E:$E,$C3497,Movimentacoes!$B:$B,"SAIDA_DESCARTE")</f>
        <v/>
      </c>
      <c r="J3497" s="13">
        <f>G3497-H3497-I3497</f>
        <v/>
      </c>
      <c r="K3497">
        <f>IF(A3497="","",IF(J3497&lt;=IFERROR(VLOOKUP(A3497,Cadastro_Produtos!$A:$E,5,FALSE),0),"ABAIXO DO MINIMO","OK"))</f>
        <v/>
      </c>
    </row>
    <row r="3498">
      <c r="B3498">
        <f>IFERROR(VLOOKUP(A3498,Cadastro_Produtos!A:B,2,FALSE),"")</f>
        <v/>
      </c>
      <c r="D3498" s="12" t="n"/>
      <c r="E3498" s="13">
        <f>IF(D3498="","",D3498-TODAY())</f>
        <v/>
      </c>
      <c r="F3498">
        <f>IF(D3498="","",IF(E3498&lt;0,"VENCIDO",IF(E3498&lt;=30,"VENCE EM &lt;= 30 DIAS",IF(E3498&lt;=60,"ATENCAO (31-60 DIAS)","OK"))))</f>
        <v/>
      </c>
      <c r="G3498" s="13">
        <f>SUMIFS(Movimentacoes!$G:$G,Movimentacoes!$C:$C,$A3498,Movimentacoes!$E:$E,$C3498,Movimentacoes!$B:$B,"ENTRADA")</f>
        <v/>
      </c>
      <c r="H3498" s="13">
        <f>SUMIFS(Movimentacoes!$G:$G,Movimentacoes!$C:$C,$A3498,Movimentacoes!$E:$E,$C3498,Movimentacoes!$B:$B,"SAIDA_USO")</f>
        <v/>
      </c>
      <c r="I3498" s="13">
        <f>SUMIFS(Movimentacoes!$G:$G,Movimentacoes!$C:$C,$A3498,Movimentacoes!$E:$E,$C3498,Movimentacoes!$B:$B,"SAIDA_DESCARTE")</f>
        <v/>
      </c>
      <c r="J3498" s="13">
        <f>G3498-H3498-I3498</f>
        <v/>
      </c>
      <c r="K3498">
        <f>IF(A3498="","",IF(J3498&lt;=IFERROR(VLOOKUP(A3498,Cadastro_Produtos!$A:$E,5,FALSE),0),"ABAIXO DO MINIMO","OK"))</f>
        <v/>
      </c>
    </row>
    <row r="3499">
      <c r="B3499">
        <f>IFERROR(VLOOKUP(A3499,Cadastro_Produtos!A:B,2,FALSE),"")</f>
        <v/>
      </c>
      <c r="D3499" s="12" t="n"/>
      <c r="E3499" s="13">
        <f>IF(D3499="","",D3499-TODAY())</f>
        <v/>
      </c>
      <c r="F3499">
        <f>IF(D3499="","",IF(E3499&lt;0,"VENCIDO",IF(E3499&lt;=30,"VENCE EM &lt;= 30 DIAS",IF(E3499&lt;=60,"ATENCAO (31-60 DIAS)","OK"))))</f>
        <v/>
      </c>
      <c r="G3499" s="13">
        <f>SUMIFS(Movimentacoes!$G:$G,Movimentacoes!$C:$C,$A3499,Movimentacoes!$E:$E,$C3499,Movimentacoes!$B:$B,"ENTRADA")</f>
        <v/>
      </c>
      <c r="H3499" s="13">
        <f>SUMIFS(Movimentacoes!$G:$G,Movimentacoes!$C:$C,$A3499,Movimentacoes!$E:$E,$C3499,Movimentacoes!$B:$B,"SAIDA_USO")</f>
        <v/>
      </c>
      <c r="I3499" s="13">
        <f>SUMIFS(Movimentacoes!$G:$G,Movimentacoes!$C:$C,$A3499,Movimentacoes!$E:$E,$C3499,Movimentacoes!$B:$B,"SAIDA_DESCARTE")</f>
        <v/>
      </c>
      <c r="J3499" s="13">
        <f>G3499-H3499-I3499</f>
        <v/>
      </c>
      <c r="K3499">
        <f>IF(A3499="","",IF(J3499&lt;=IFERROR(VLOOKUP(A3499,Cadastro_Produtos!$A:$E,5,FALSE),0),"ABAIXO DO MINIMO","OK"))</f>
        <v/>
      </c>
    </row>
    <row r="3500">
      <c r="B3500">
        <f>IFERROR(VLOOKUP(A3500,Cadastro_Produtos!A:B,2,FALSE),"")</f>
        <v/>
      </c>
      <c r="D3500" s="12" t="n"/>
      <c r="E3500" s="13">
        <f>IF(D3500="","",D3500-TODAY())</f>
        <v/>
      </c>
      <c r="F3500">
        <f>IF(D3500="","",IF(E3500&lt;0,"VENCIDO",IF(E3500&lt;=30,"VENCE EM &lt;= 30 DIAS",IF(E3500&lt;=60,"ATENCAO (31-60 DIAS)","OK"))))</f>
        <v/>
      </c>
      <c r="G3500" s="13">
        <f>SUMIFS(Movimentacoes!$G:$G,Movimentacoes!$C:$C,$A3500,Movimentacoes!$E:$E,$C3500,Movimentacoes!$B:$B,"ENTRADA")</f>
        <v/>
      </c>
      <c r="H3500" s="13">
        <f>SUMIFS(Movimentacoes!$G:$G,Movimentacoes!$C:$C,$A3500,Movimentacoes!$E:$E,$C3500,Movimentacoes!$B:$B,"SAIDA_USO")</f>
        <v/>
      </c>
      <c r="I3500" s="13">
        <f>SUMIFS(Movimentacoes!$G:$G,Movimentacoes!$C:$C,$A3500,Movimentacoes!$E:$E,$C3500,Movimentacoes!$B:$B,"SAIDA_DESCARTE")</f>
        <v/>
      </c>
      <c r="J3500" s="13">
        <f>G3500-H3500-I3500</f>
        <v/>
      </c>
      <c r="K3500">
        <f>IF(A3500="","",IF(J3500&lt;=IFERROR(VLOOKUP(A3500,Cadastro_Produtos!$A:$E,5,FALSE),0),"ABAIXO DO MINIMO","OK"))</f>
        <v/>
      </c>
    </row>
    <row r="3501">
      <c r="B3501">
        <f>IFERROR(VLOOKUP(A3501,Cadastro_Produtos!A:B,2,FALSE),"")</f>
        <v/>
      </c>
      <c r="D3501" s="12" t="n"/>
      <c r="E3501" s="13">
        <f>IF(D3501="","",D3501-TODAY())</f>
        <v/>
      </c>
      <c r="F3501">
        <f>IF(D3501="","",IF(E3501&lt;0,"VENCIDO",IF(E3501&lt;=30,"VENCE EM &lt;= 30 DIAS",IF(E3501&lt;=60,"ATENCAO (31-60 DIAS)","OK"))))</f>
        <v/>
      </c>
      <c r="G3501" s="13">
        <f>SUMIFS(Movimentacoes!$G:$G,Movimentacoes!$C:$C,$A3501,Movimentacoes!$E:$E,$C3501,Movimentacoes!$B:$B,"ENTRADA")</f>
        <v/>
      </c>
      <c r="H3501" s="13">
        <f>SUMIFS(Movimentacoes!$G:$G,Movimentacoes!$C:$C,$A3501,Movimentacoes!$E:$E,$C3501,Movimentacoes!$B:$B,"SAIDA_USO")</f>
        <v/>
      </c>
      <c r="I3501" s="13">
        <f>SUMIFS(Movimentacoes!$G:$G,Movimentacoes!$C:$C,$A3501,Movimentacoes!$E:$E,$C3501,Movimentacoes!$B:$B,"SAIDA_DESCARTE")</f>
        <v/>
      </c>
      <c r="J3501" s="13">
        <f>G3501-H3501-I3501</f>
        <v/>
      </c>
      <c r="K3501">
        <f>IF(A3501="","",IF(J3501&lt;=IFERROR(VLOOKUP(A3501,Cadastro_Produtos!$A:$E,5,FALSE),0),"ABAIXO DO MINIMO","OK"))</f>
        <v/>
      </c>
    </row>
    <row r="3502">
      <c r="B3502">
        <f>IFERROR(VLOOKUP(A3502,Cadastro_Produtos!A:B,2,FALSE),"")</f>
        <v/>
      </c>
      <c r="D3502" s="12" t="n"/>
      <c r="E3502" s="13">
        <f>IF(D3502="","",D3502-TODAY())</f>
        <v/>
      </c>
      <c r="F3502">
        <f>IF(D3502="","",IF(E3502&lt;0,"VENCIDO",IF(E3502&lt;=30,"VENCE EM &lt;= 30 DIAS",IF(E3502&lt;=60,"ATENCAO (31-60 DIAS)","OK"))))</f>
        <v/>
      </c>
      <c r="G3502" s="13">
        <f>SUMIFS(Movimentacoes!$G:$G,Movimentacoes!$C:$C,$A3502,Movimentacoes!$E:$E,$C3502,Movimentacoes!$B:$B,"ENTRADA")</f>
        <v/>
      </c>
      <c r="H3502" s="13">
        <f>SUMIFS(Movimentacoes!$G:$G,Movimentacoes!$C:$C,$A3502,Movimentacoes!$E:$E,$C3502,Movimentacoes!$B:$B,"SAIDA_USO")</f>
        <v/>
      </c>
      <c r="I3502" s="13">
        <f>SUMIFS(Movimentacoes!$G:$G,Movimentacoes!$C:$C,$A3502,Movimentacoes!$E:$E,$C3502,Movimentacoes!$B:$B,"SAIDA_DESCARTE")</f>
        <v/>
      </c>
      <c r="J3502" s="13">
        <f>G3502-H3502-I3502</f>
        <v/>
      </c>
      <c r="K3502">
        <f>IF(A3502="","",IF(J3502&lt;=IFERROR(VLOOKUP(A3502,Cadastro_Produtos!$A:$E,5,FALSE),0),"ABAIXO DO MINIMO","OK"))</f>
        <v/>
      </c>
    </row>
    <row r="3503">
      <c r="B3503">
        <f>IFERROR(VLOOKUP(A3503,Cadastro_Produtos!A:B,2,FALSE),"")</f>
        <v/>
      </c>
      <c r="D3503" s="12" t="n"/>
      <c r="E3503" s="13">
        <f>IF(D3503="","",D3503-TODAY())</f>
        <v/>
      </c>
      <c r="F3503">
        <f>IF(D3503="","",IF(E3503&lt;0,"VENCIDO",IF(E3503&lt;=30,"VENCE EM &lt;= 30 DIAS",IF(E3503&lt;=60,"ATENCAO (31-60 DIAS)","OK"))))</f>
        <v/>
      </c>
      <c r="G3503" s="13">
        <f>SUMIFS(Movimentacoes!$G:$G,Movimentacoes!$C:$C,$A3503,Movimentacoes!$E:$E,$C3503,Movimentacoes!$B:$B,"ENTRADA")</f>
        <v/>
      </c>
      <c r="H3503" s="13">
        <f>SUMIFS(Movimentacoes!$G:$G,Movimentacoes!$C:$C,$A3503,Movimentacoes!$E:$E,$C3503,Movimentacoes!$B:$B,"SAIDA_USO")</f>
        <v/>
      </c>
      <c r="I3503" s="13">
        <f>SUMIFS(Movimentacoes!$G:$G,Movimentacoes!$C:$C,$A3503,Movimentacoes!$E:$E,$C3503,Movimentacoes!$B:$B,"SAIDA_DESCARTE")</f>
        <v/>
      </c>
      <c r="J3503" s="13">
        <f>G3503-H3503-I3503</f>
        <v/>
      </c>
      <c r="K3503">
        <f>IF(A3503="","",IF(J3503&lt;=IFERROR(VLOOKUP(A3503,Cadastro_Produtos!$A:$E,5,FALSE),0),"ABAIXO DO MINIMO","OK"))</f>
        <v/>
      </c>
    </row>
    <row r="3504">
      <c r="B3504">
        <f>IFERROR(VLOOKUP(A3504,Cadastro_Produtos!A:B,2,FALSE),"")</f>
        <v/>
      </c>
      <c r="D3504" s="12" t="n"/>
      <c r="E3504" s="13">
        <f>IF(D3504="","",D3504-TODAY())</f>
        <v/>
      </c>
      <c r="F3504">
        <f>IF(D3504="","",IF(E3504&lt;0,"VENCIDO",IF(E3504&lt;=30,"VENCE EM &lt;= 30 DIAS",IF(E3504&lt;=60,"ATENCAO (31-60 DIAS)","OK"))))</f>
        <v/>
      </c>
      <c r="G3504" s="13">
        <f>SUMIFS(Movimentacoes!$G:$G,Movimentacoes!$C:$C,$A3504,Movimentacoes!$E:$E,$C3504,Movimentacoes!$B:$B,"ENTRADA")</f>
        <v/>
      </c>
      <c r="H3504" s="13">
        <f>SUMIFS(Movimentacoes!$G:$G,Movimentacoes!$C:$C,$A3504,Movimentacoes!$E:$E,$C3504,Movimentacoes!$B:$B,"SAIDA_USO")</f>
        <v/>
      </c>
      <c r="I3504" s="13">
        <f>SUMIFS(Movimentacoes!$G:$G,Movimentacoes!$C:$C,$A3504,Movimentacoes!$E:$E,$C3504,Movimentacoes!$B:$B,"SAIDA_DESCARTE")</f>
        <v/>
      </c>
      <c r="J3504" s="13">
        <f>G3504-H3504-I3504</f>
        <v/>
      </c>
      <c r="K3504">
        <f>IF(A3504="","",IF(J3504&lt;=IFERROR(VLOOKUP(A3504,Cadastro_Produtos!$A:$E,5,FALSE),0),"ABAIXO DO MINIMO","OK"))</f>
        <v/>
      </c>
    </row>
    <row r="3505">
      <c r="B3505">
        <f>IFERROR(VLOOKUP(A3505,Cadastro_Produtos!A:B,2,FALSE),"")</f>
        <v/>
      </c>
      <c r="D3505" s="12" t="n"/>
      <c r="E3505" s="13">
        <f>IF(D3505="","",D3505-TODAY())</f>
        <v/>
      </c>
      <c r="F3505">
        <f>IF(D3505="","",IF(E3505&lt;0,"VENCIDO",IF(E3505&lt;=30,"VENCE EM &lt;= 30 DIAS",IF(E3505&lt;=60,"ATENCAO (31-60 DIAS)","OK"))))</f>
        <v/>
      </c>
      <c r="G3505" s="13">
        <f>SUMIFS(Movimentacoes!$G:$G,Movimentacoes!$C:$C,$A3505,Movimentacoes!$E:$E,$C3505,Movimentacoes!$B:$B,"ENTRADA")</f>
        <v/>
      </c>
      <c r="H3505" s="13">
        <f>SUMIFS(Movimentacoes!$G:$G,Movimentacoes!$C:$C,$A3505,Movimentacoes!$E:$E,$C3505,Movimentacoes!$B:$B,"SAIDA_USO")</f>
        <v/>
      </c>
      <c r="I3505" s="13">
        <f>SUMIFS(Movimentacoes!$G:$G,Movimentacoes!$C:$C,$A3505,Movimentacoes!$E:$E,$C3505,Movimentacoes!$B:$B,"SAIDA_DESCARTE")</f>
        <v/>
      </c>
      <c r="J3505" s="13">
        <f>G3505-H3505-I3505</f>
        <v/>
      </c>
      <c r="K3505">
        <f>IF(A3505="","",IF(J3505&lt;=IFERROR(VLOOKUP(A3505,Cadastro_Produtos!$A:$E,5,FALSE),0),"ABAIXO DO MINIMO","OK"))</f>
        <v/>
      </c>
    </row>
    <row r="3506">
      <c r="B3506">
        <f>IFERROR(VLOOKUP(A3506,Cadastro_Produtos!A:B,2,FALSE),"")</f>
        <v/>
      </c>
      <c r="D3506" s="12" t="n"/>
      <c r="E3506" s="13">
        <f>IF(D3506="","",D3506-TODAY())</f>
        <v/>
      </c>
      <c r="F3506">
        <f>IF(D3506="","",IF(E3506&lt;0,"VENCIDO",IF(E3506&lt;=30,"VENCE EM &lt;= 30 DIAS",IF(E3506&lt;=60,"ATENCAO (31-60 DIAS)","OK"))))</f>
        <v/>
      </c>
      <c r="G3506" s="13">
        <f>SUMIFS(Movimentacoes!$G:$G,Movimentacoes!$C:$C,$A3506,Movimentacoes!$E:$E,$C3506,Movimentacoes!$B:$B,"ENTRADA")</f>
        <v/>
      </c>
      <c r="H3506" s="13">
        <f>SUMIFS(Movimentacoes!$G:$G,Movimentacoes!$C:$C,$A3506,Movimentacoes!$E:$E,$C3506,Movimentacoes!$B:$B,"SAIDA_USO")</f>
        <v/>
      </c>
      <c r="I3506" s="13">
        <f>SUMIFS(Movimentacoes!$G:$G,Movimentacoes!$C:$C,$A3506,Movimentacoes!$E:$E,$C3506,Movimentacoes!$B:$B,"SAIDA_DESCARTE")</f>
        <v/>
      </c>
      <c r="J3506" s="13">
        <f>G3506-H3506-I3506</f>
        <v/>
      </c>
      <c r="K3506">
        <f>IF(A3506="","",IF(J3506&lt;=IFERROR(VLOOKUP(A3506,Cadastro_Produtos!$A:$E,5,FALSE),0),"ABAIXO DO MINIMO","OK"))</f>
        <v/>
      </c>
    </row>
    <row r="3507">
      <c r="B3507">
        <f>IFERROR(VLOOKUP(A3507,Cadastro_Produtos!A:B,2,FALSE),"")</f>
        <v/>
      </c>
      <c r="D3507" s="12" t="n"/>
      <c r="E3507" s="13">
        <f>IF(D3507="","",D3507-TODAY())</f>
        <v/>
      </c>
      <c r="F3507">
        <f>IF(D3507="","",IF(E3507&lt;0,"VENCIDO",IF(E3507&lt;=30,"VENCE EM &lt;= 30 DIAS",IF(E3507&lt;=60,"ATENCAO (31-60 DIAS)","OK"))))</f>
        <v/>
      </c>
      <c r="G3507" s="13">
        <f>SUMIFS(Movimentacoes!$G:$G,Movimentacoes!$C:$C,$A3507,Movimentacoes!$E:$E,$C3507,Movimentacoes!$B:$B,"ENTRADA")</f>
        <v/>
      </c>
      <c r="H3507" s="13">
        <f>SUMIFS(Movimentacoes!$G:$G,Movimentacoes!$C:$C,$A3507,Movimentacoes!$E:$E,$C3507,Movimentacoes!$B:$B,"SAIDA_USO")</f>
        <v/>
      </c>
      <c r="I3507" s="13">
        <f>SUMIFS(Movimentacoes!$G:$G,Movimentacoes!$C:$C,$A3507,Movimentacoes!$E:$E,$C3507,Movimentacoes!$B:$B,"SAIDA_DESCARTE")</f>
        <v/>
      </c>
      <c r="J3507" s="13">
        <f>G3507-H3507-I3507</f>
        <v/>
      </c>
      <c r="K3507">
        <f>IF(A3507="","",IF(J3507&lt;=IFERROR(VLOOKUP(A3507,Cadastro_Produtos!$A:$E,5,FALSE),0),"ABAIXO DO MINIMO","OK"))</f>
        <v/>
      </c>
    </row>
    <row r="3508">
      <c r="B3508">
        <f>IFERROR(VLOOKUP(A3508,Cadastro_Produtos!A:B,2,FALSE),"")</f>
        <v/>
      </c>
      <c r="D3508" s="12" t="n"/>
      <c r="E3508" s="13">
        <f>IF(D3508="","",D3508-TODAY())</f>
        <v/>
      </c>
      <c r="F3508">
        <f>IF(D3508="","",IF(E3508&lt;0,"VENCIDO",IF(E3508&lt;=30,"VENCE EM &lt;= 30 DIAS",IF(E3508&lt;=60,"ATENCAO (31-60 DIAS)","OK"))))</f>
        <v/>
      </c>
      <c r="G3508" s="13">
        <f>SUMIFS(Movimentacoes!$G:$G,Movimentacoes!$C:$C,$A3508,Movimentacoes!$E:$E,$C3508,Movimentacoes!$B:$B,"ENTRADA")</f>
        <v/>
      </c>
      <c r="H3508" s="13">
        <f>SUMIFS(Movimentacoes!$G:$G,Movimentacoes!$C:$C,$A3508,Movimentacoes!$E:$E,$C3508,Movimentacoes!$B:$B,"SAIDA_USO")</f>
        <v/>
      </c>
      <c r="I3508" s="13">
        <f>SUMIFS(Movimentacoes!$G:$G,Movimentacoes!$C:$C,$A3508,Movimentacoes!$E:$E,$C3508,Movimentacoes!$B:$B,"SAIDA_DESCARTE")</f>
        <v/>
      </c>
      <c r="J3508" s="13">
        <f>G3508-H3508-I3508</f>
        <v/>
      </c>
      <c r="K3508">
        <f>IF(A3508="","",IF(J3508&lt;=IFERROR(VLOOKUP(A3508,Cadastro_Produtos!$A:$E,5,FALSE),0),"ABAIXO DO MINIMO","OK"))</f>
        <v/>
      </c>
    </row>
    <row r="3509">
      <c r="B3509">
        <f>IFERROR(VLOOKUP(A3509,Cadastro_Produtos!A:B,2,FALSE),"")</f>
        <v/>
      </c>
      <c r="D3509" s="12" t="n"/>
      <c r="E3509" s="13">
        <f>IF(D3509="","",D3509-TODAY())</f>
        <v/>
      </c>
      <c r="F3509">
        <f>IF(D3509="","",IF(E3509&lt;0,"VENCIDO",IF(E3509&lt;=30,"VENCE EM &lt;= 30 DIAS",IF(E3509&lt;=60,"ATENCAO (31-60 DIAS)","OK"))))</f>
        <v/>
      </c>
      <c r="G3509" s="13">
        <f>SUMIFS(Movimentacoes!$G:$G,Movimentacoes!$C:$C,$A3509,Movimentacoes!$E:$E,$C3509,Movimentacoes!$B:$B,"ENTRADA")</f>
        <v/>
      </c>
      <c r="H3509" s="13">
        <f>SUMIFS(Movimentacoes!$G:$G,Movimentacoes!$C:$C,$A3509,Movimentacoes!$E:$E,$C3509,Movimentacoes!$B:$B,"SAIDA_USO")</f>
        <v/>
      </c>
      <c r="I3509" s="13">
        <f>SUMIFS(Movimentacoes!$G:$G,Movimentacoes!$C:$C,$A3509,Movimentacoes!$E:$E,$C3509,Movimentacoes!$B:$B,"SAIDA_DESCARTE")</f>
        <v/>
      </c>
      <c r="J3509" s="13">
        <f>G3509-H3509-I3509</f>
        <v/>
      </c>
      <c r="K3509">
        <f>IF(A3509="","",IF(J3509&lt;=IFERROR(VLOOKUP(A3509,Cadastro_Produtos!$A:$E,5,FALSE),0),"ABAIXO DO MINIMO","OK"))</f>
        <v/>
      </c>
    </row>
    <row r="3510">
      <c r="B3510">
        <f>IFERROR(VLOOKUP(A3510,Cadastro_Produtos!A:B,2,FALSE),"")</f>
        <v/>
      </c>
      <c r="D3510" s="12" t="n"/>
      <c r="E3510" s="13">
        <f>IF(D3510="","",D3510-TODAY())</f>
        <v/>
      </c>
      <c r="F3510">
        <f>IF(D3510="","",IF(E3510&lt;0,"VENCIDO",IF(E3510&lt;=30,"VENCE EM &lt;= 30 DIAS",IF(E3510&lt;=60,"ATENCAO (31-60 DIAS)","OK"))))</f>
        <v/>
      </c>
      <c r="G3510" s="13">
        <f>SUMIFS(Movimentacoes!$G:$G,Movimentacoes!$C:$C,$A3510,Movimentacoes!$E:$E,$C3510,Movimentacoes!$B:$B,"ENTRADA")</f>
        <v/>
      </c>
      <c r="H3510" s="13">
        <f>SUMIFS(Movimentacoes!$G:$G,Movimentacoes!$C:$C,$A3510,Movimentacoes!$E:$E,$C3510,Movimentacoes!$B:$B,"SAIDA_USO")</f>
        <v/>
      </c>
      <c r="I3510" s="13">
        <f>SUMIFS(Movimentacoes!$G:$G,Movimentacoes!$C:$C,$A3510,Movimentacoes!$E:$E,$C3510,Movimentacoes!$B:$B,"SAIDA_DESCARTE")</f>
        <v/>
      </c>
      <c r="J3510" s="13">
        <f>G3510-H3510-I3510</f>
        <v/>
      </c>
      <c r="K3510">
        <f>IF(A3510="","",IF(J3510&lt;=IFERROR(VLOOKUP(A3510,Cadastro_Produtos!$A:$E,5,FALSE),0),"ABAIXO DO MINIMO","OK"))</f>
        <v/>
      </c>
    </row>
    <row r="3511">
      <c r="B3511">
        <f>IFERROR(VLOOKUP(A3511,Cadastro_Produtos!A:B,2,FALSE),"")</f>
        <v/>
      </c>
      <c r="D3511" s="12" t="n"/>
      <c r="E3511" s="13">
        <f>IF(D3511="","",D3511-TODAY())</f>
        <v/>
      </c>
      <c r="F3511">
        <f>IF(D3511="","",IF(E3511&lt;0,"VENCIDO",IF(E3511&lt;=30,"VENCE EM &lt;= 30 DIAS",IF(E3511&lt;=60,"ATENCAO (31-60 DIAS)","OK"))))</f>
        <v/>
      </c>
      <c r="G3511" s="13">
        <f>SUMIFS(Movimentacoes!$G:$G,Movimentacoes!$C:$C,$A3511,Movimentacoes!$E:$E,$C3511,Movimentacoes!$B:$B,"ENTRADA")</f>
        <v/>
      </c>
      <c r="H3511" s="13">
        <f>SUMIFS(Movimentacoes!$G:$G,Movimentacoes!$C:$C,$A3511,Movimentacoes!$E:$E,$C3511,Movimentacoes!$B:$B,"SAIDA_USO")</f>
        <v/>
      </c>
      <c r="I3511" s="13">
        <f>SUMIFS(Movimentacoes!$G:$G,Movimentacoes!$C:$C,$A3511,Movimentacoes!$E:$E,$C3511,Movimentacoes!$B:$B,"SAIDA_DESCARTE")</f>
        <v/>
      </c>
      <c r="J3511" s="13">
        <f>G3511-H3511-I3511</f>
        <v/>
      </c>
      <c r="K3511">
        <f>IF(A3511="","",IF(J3511&lt;=IFERROR(VLOOKUP(A3511,Cadastro_Produtos!$A:$E,5,FALSE),0),"ABAIXO DO MINIMO","OK"))</f>
        <v/>
      </c>
    </row>
    <row r="3512">
      <c r="B3512">
        <f>IFERROR(VLOOKUP(A3512,Cadastro_Produtos!A:B,2,FALSE),"")</f>
        <v/>
      </c>
      <c r="D3512" s="12" t="n"/>
      <c r="E3512" s="13">
        <f>IF(D3512="","",D3512-TODAY())</f>
        <v/>
      </c>
      <c r="F3512">
        <f>IF(D3512="","",IF(E3512&lt;0,"VENCIDO",IF(E3512&lt;=30,"VENCE EM &lt;= 30 DIAS",IF(E3512&lt;=60,"ATENCAO (31-60 DIAS)","OK"))))</f>
        <v/>
      </c>
      <c r="G3512" s="13">
        <f>SUMIFS(Movimentacoes!$G:$G,Movimentacoes!$C:$C,$A3512,Movimentacoes!$E:$E,$C3512,Movimentacoes!$B:$B,"ENTRADA")</f>
        <v/>
      </c>
      <c r="H3512" s="13">
        <f>SUMIFS(Movimentacoes!$G:$G,Movimentacoes!$C:$C,$A3512,Movimentacoes!$E:$E,$C3512,Movimentacoes!$B:$B,"SAIDA_USO")</f>
        <v/>
      </c>
      <c r="I3512" s="13">
        <f>SUMIFS(Movimentacoes!$G:$G,Movimentacoes!$C:$C,$A3512,Movimentacoes!$E:$E,$C3512,Movimentacoes!$B:$B,"SAIDA_DESCARTE")</f>
        <v/>
      </c>
      <c r="J3512" s="13">
        <f>G3512-H3512-I3512</f>
        <v/>
      </c>
      <c r="K3512">
        <f>IF(A3512="","",IF(J3512&lt;=IFERROR(VLOOKUP(A3512,Cadastro_Produtos!$A:$E,5,FALSE),0),"ABAIXO DO MINIMO","OK"))</f>
        <v/>
      </c>
    </row>
    <row r="3513">
      <c r="B3513">
        <f>IFERROR(VLOOKUP(A3513,Cadastro_Produtos!A:B,2,FALSE),"")</f>
        <v/>
      </c>
      <c r="D3513" s="12" t="n"/>
      <c r="E3513" s="13">
        <f>IF(D3513="","",D3513-TODAY())</f>
        <v/>
      </c>
      <c r="F3513">
        <f>IF(D3513="","",IF(E3513&lt;0,"VENCIDO",IF(E3513&lt;=30,"VENCE EM &lt;= 30 DIAS",IF(E3513&lt;=60,"ATENCAO (31-60 DIAS)","OK"))))</f>
        <v/>
      </c>
      <c r="G3513" s="13">
        <f>SUMIFS(Movimentacoes!$G:$G,Movimentacoes!$C:$C,$A3513,Movimentacoes!$E:$E,$C3513,Movimentacoes!$B:$B,"ENTRADA")</f>
        <v/>
      </c>
      <c r="H3513" s="13">
        <f>SUMIFS(Movimentacoes!$G:$G,Movimentacoes!$C:$C,$A3513,Movimentacoes!$E:$E,$C3513,Movimentacoes!$B:$B,"SAIDA_USO")</f>
        <v/>
      </c>
      <c r="I3513" s="13">
        <f>SUMIFS(Movimentacoes!$G:$G,Movimentacoes!$C:$C,$A3513,Movimentacoes!$E:$E,$C3513,Movimentacoes!$B:$B,"SAIDA_DESCARTE")</f>
        <v/>
      </c>
      <c r="J3513" s="13">
        <f>G3513-H3513-I3513</f>
        <v/>
      </c>
      <c r="K3513">
        <f>IF(A3513="","",IF(J3513&lt;=IFERROR(VLOOKUP(A3513,Cadastro_Produtos!$A:$E,5,FALSE),0),"ABAIXO DO MINIMO","OK"))</f>
        <v/>
      </c>
    </row>
    <row r="3514">
      <c r="B3514">
        <f>IFERROR(VLOOKUP(A3514,Cadastro_Produtos!A:B,2,FALSE),"")</f>
        <v/>
      </c>
      <c r="D3514" s="12" t="n"/>
      <c r="E3514" s="13">
        <f>IF(D3514="","",D3514-TODAY())</f>
        <v/>
      </c>
      <c r="F3514">
        <f>IF(D3514="","",IF(E3514&lt;0,"VENCIDO",IF(E3514&lt;=30,"VENCE EM &lt;= 30 DIAS",IF(E3514&lt;=60,"ATENCAO (31-60 DIAS)","OK"))))</f>
        <v/>
      </c>
      <c r="G3514" s="13">
        <f>SUMIFS(Movimentacoes!$G:$G,Movimentacoes!$C:$C,$A3514,Movimentacoes!$E:$E,$C3514,Movimentacoes!$B:$B,"ENTRADA")</f>
        <v/>
      </c>
      <c r="H3514" s="13">
        <f>SUMIFS(Movimentacoes!$G:$G,Movimentacoes!$C:$C,$A3514,Movimentacoes!$E:$E,$C3514,Movimentacoes!$B:$B,"SAIDA_USO")</f>
        <v/>
      </c>
      <c r="I3514" s="13">
        <f>SUMIFS(Movimentacoes!$G:$G,Movimentacoes!$C:$C,$A3514,Movimentacoes!$E:$E,$C3514,Movimentacoes!$B:$B,"SAIDA_DESCARTE")</f>
        <v/>
      </c>
      <c r="J3514" s="13">
        <f>G3514-H3514-I3514</f>
        <v/>
      </c>
      <c r="K3514">
        <f>IF(A3514="","",IF(J3514&lt;=IFERROR(VLOOKUP(A3514,Cadastro_Produtos!$A:$E,5,FALSE),0),"ABAIXO DO MINIMO","OK"))</f>
        <v/>
      </c>
    </row>
    <row r="3515">
      <c r="B3515">
        <f>IFERROR(VLOOKUP(A3515,Cadastro_Produtos!A:B,2,FALSE),"")</f>
        <v/>
      </c>
      <c r="D3515" s="12" t="n"/>
      <c r="E3515" s="13">
        <f>IF(D3515="","",D3515-TODAY())</f>
        <v/>
      </c>
      <c r="F3515">
        <f>IF(D3515="","",IF(E3515&lt;0,"VENCIDO",IF(E3515&lt;=30,"VENCE EM &lt;= 30 DIAS",IF(E3515&lt;=60,"ATENCAO (31-60 DIAS)","OK"))))</f>
        <v/>
      </c>
      <c r="G3515" s="13">
        <f>SUMIFS(Movimentacoes!$G:$G,Movimentacoes!$C:$C,$A3515,Movimentacoes!$E:$E,$C3515,Movimentacoes!$B:$B,"ENTRADA")</f>
        <v/>
      </c>
      <c r="H3515" s="13">
        <f>SUMIFS(Movimentacoes!$G:$G,Movimentacoes!$C:$C,$A3515,Movimentacoes!$E:$E,$C3515,Movimentacoes!$B:$B,"SAIDA_USO")</f>
        <v/>
      </c>
      <c r="I3515" s="13">
        <f>SUMIFS(Movimentacoes!$G:$G,Movimentacoes!$C:$C,$A3515,Movimentacoes!$E:$E,$C3515,Movimentacoes!$B:$B,"SAIDA_DESCARTE")</f>
        <v/>
      </c>
      <c r="J3515" s="13">
        <f>G3515-H3515-I3515</f>
        <v/>
      </c>
      <c r="K3515">
        <f>IF(A3515="","",IF(J3515&lt;=IFERROR(VLOOKUP(A3515,Cadastro_Produtos!$A:$E,5,FALSE),0),"ABAIXO DO MINIMO","OK"))</f>
        <v/>
      </c>
    </row>
    <row r="3516">
      <c r="B3516">
        <f>IFERROR(VLOOKUP(A3516,Cadastro_Produtos!A:B,2,FALSE),"")</f>
        <v/>
      </c>
      <c r="D3516" s="12" t="n"/>
      <c r="E3516" s="13">
        <f>IF(D3516="","",D3516-TODAY())</f>
        <v/>
      </c>
      <c r="F3516">
        <f>IF(D3516="","",IF(E3516&lt;0,"VENCIDO",IF(E3516&lt;=30,"VENCE EM &lt;= 30 DIAS",IF(E3516&lt;=60,"ATENCAO (31-60 DIAS)","OK"))))</f>
        <v/>
      </c>
      <c r="G3516" s="13">
        <f>SUMIFS(Movimentacoes!$G:$G,Movimentacoes!$C:$C,$A3516,Movimentacoes!$E:$E,$C3516,Movimentacoes!$B:$B,"ENTRADA")</f>
        <v/>
      </c>
      <c r="H3516" s="13">
        <f>SUMIFS(Movimentacoes!$G:$G,Movimentacoes!$C:$C,$A3516,Movimentacoes!$E:$E,$C3516,Movimentacoes!$B:$B,"SAIDA_USO")</f>
        <v/>
      </c>
      <c r="I3516" s="13">
        <f>SUMIFS(Movimentacoes!$G:$G,Movimentacoes!$C:$C,$A3516,Movimentacoes!$E:$E,$C3516,Movimentacoes!$B:$B,"SAIDA_DESCARTE")</f>
        <v/>
      </c>
      <c r="J3516" s="13">
        <f>G3516-H3516-I3516</f>
        <v/>
      </c>
      <c r="K3516">
        <f>IF(A3516="","",IF(J3516&lt;=IFERROR(VLOOKUP(A3516,Cadastro_Produtos!$A:$E,5,FALSE),0),"ABAIXO DO MINIMO","OK"))</f>
        <v/>
      </c>
    </row>
    <row r="3517">
      <c r="B3517">
        <f>IFERROR(VLOOKUP(A3517,Cadastro_Produtos!A:B,2,FALSE),"")</f>
        <v/>
      </c>
      <c r="D3517" s="12" t="n"/>
      <c r="E3517" s="13">
        <f>IF(D3517="","",D3517-TODAY())</f>
        <v/>
      </c>
      <c r="F3517">
        <f>IF(D3517="","",IF(E3517&lt;0,"VENCIDO",IF(E3517&lt;=30,"VENCE EM &lt;= 30 DIAS",IF(E3517&lt;=60,"ATENCAO (31-60 DIAS)","OK"))))</f>
        <v/>
      </c>
      <c r="G3517" s="13">
        <f>SUMIFS(Movimentacoes!$G:$G,Movimentacoes!$C:$C,$A3517,Movimentacoes!$E:$E,$C3517,Movimentacoes!$B:$B,"ENTRADA")</f>
        <v/>
      </c>
      <c r="H3517" s="13">
        <f>SUMIFS(Movimentacoes!$G:$G,Movimentacoes!$C:$C,$A3517,Movimentacoes!$E:$E,$C3517,Movimentacoes!$B:$B,"SAIDA_USO")</f>
        <v/>
      </c>
      <c r="I3517" s="13">
        <f>SUMIFS(Movimentacoes!$G:$G,Movimentacoes!$C:$C,$A3517,Movimentacoes!$E:$E,$C3517,Movimentacoes!$B:$B,"SAIDA_DESCARTE")</f>
        <v/>
      </c>
      <c r="J3517" s="13">
        <f>G3517-H3517-I3517</f>
        <v/>
      </c>
      <c r="K3517">
        <f>IF(A3517="","",IF(J3517&lt;=IFERROR(VLOOKUP(A3517,Cadastro_Produtos!$A:$E,5,FALSE),0),"ABAIXO DO MINIMO","OK"))</f>
        <v/>
      </c>
    </row>
    <row r="3518">
      <c r="B3518">
        <f>IFERROR(VLOOKUP(A3518,Cadastro_Produtos!A:B,2,FALSE),"")</f>
        <v/>
      </c>
      <c r="D3518" s="12" t="n"/>
      <c r="E3518" s="13">
        <f>IF(D3518="","",D3518-TODAY())</f>
        <v/>
      </c>
      <c r="F3518">
        <f>IF(D3518="","",IF(E3518&lt;0,"VENCIDO",IF(E3518&lt;=30,"VENCE EM &lt;= 30 DIAS",IF(E3518&lt;=60,"ATENCAO (31-60 DIAS)","OK"))))</f>
        <v/>
      </c>
      <c r="G3518" s="13">
        <f>SUMIFS(Movimentacoes!$G:$G,Movimentacoes!$C:$C,$A3518,Movimentacoes!$E:$E,$C3518,Movimentacoes!$B:$B,"ENTRADA")</f>
        <v/>
      </c>
      <c r="H3518" s="13">
        <f>SUMIFS(Movimentacoes!$G:$G,Movimentacoes!$C:$C,$A3518,Movimentacoes!$E:$E,$C3518,Movimentacoes!$B:$B,"SAIDA_USO")</f>
        <v/>
      </c>
      <c r="I3518" s="13">
        <f>SUMIFS(Movimentacoes!$G:$G,Movimentacoes!$C:$C,$A3518,Movimentacoes!$E:$E,$C3518,Movimentacoes!$B:$B,"SAIDA_DESCARTE")</f>
        <v/>
      </c>
      <c r="J3518" s="13">
        <f>G3518-H3518-I3518</f>
        <v/>
      </c>
      <c r="K3518">
        <f>IF(A3518="","",IF(J3518&lt;=IFERROR(VLOOKUP(A3518,Cadastro_Produtos!$A:$E,5,FALSE),0),"ABAIXO DO MINIMO","OK"))</f>
        <v/>
      </c>
    </row>
    <row r="3519">
      <c r="B3519">
        <f>IFERROR(VLOOKUP(A3519,Cadastro_Produtos!A:B,2,FALSE),"")</f>
        <v/>
      </c>
      <c r="D3519" s="12" t="n"/>
      <c r="E3519" s="13">
        <f>IF(D3519="","",D3519-TODAY())</f>
        <v/>
      </c>
      <c r="F3519">
        <f>IF(D3519="","",IF(E3519&lt;0,"VENCIDO",IF(E3519&lt;=30,"VENCE EM &lt;= 30 DIAS",IF(E3519&lt;=60,"ATENCAO (31-60 DIAS)","OK"))))</f>
        <v/>
      </c>
      <c r="G3519" s="13">
        <f>SUMIFS(Movimentacoes!$G:$G,Movimentacoes!$C:$C,$A3519,Movimentacoes!$E:$E,$C3519,Movimentacoes!$B:$B,"ENTRADA")</f>
        <v/>
      </c>
      <c r="H3519" s="13">
        <f>SUMIFS(Movimentacoes!$G:$G,Movimentacoes!$C:$C,$A3519,Movimentacoes!$E:$E,$C3519,Movimentacoes!$B:$B,"SAIDA_USO")</f>
        <v/>
      </c>
      <c r="I3519" s="13">
        <f>SUMIFS(Movimentacoes!$G:$G,Movimentacoes!$C:$C,$A3519,Movimentacoes!$E:$E,$C3519,Movimentacoes!$B:$B,"SAIDA_DESCARTE")</f>
        <v/>
      </c>
      <c r="J3519" s="13">
        <f>G3519-H3519-I3519</f>
        <v/>
      </c>
      <c r="K3519">
        <f>IF(A3519="","",IF(J3519&lt;=IFERROR(VLOOKUP(A3519,Cadastro_Produtos!$A:$E,5,FALSE),0),"ABAIXO DO MINIMO","OK"))</f>
        <v/>
      </c>
    </row>
    <row r="3520">
      <c r="B3520">
        <f>IFERROR(VLOOKUP(A3520,Cadastro_Produtos!A:B,2,FALSE),"")</f>
        <v/>
      </c>
      <c r="D3520" s="12" t="n"/>
      <c r="E3520" s="13">
        <f>IF(D3520="","",D3520-TODAY())</f>
        <v/>
      </c>
      <c r="F3520">
        <f>IF(D3520="","",IF(E3520&lt;0,"VENCIDO",IF(E3520&lt;=30,"VENCE EM &lt;= 30 DIAS",IF(E3520&lt;=60,"ATENCAO (31-60 DIAS)","OK"))))</f>
        <v/>
      </c>
      <c r="G3520" s="13">
        <f>SUMIFS(Movimentacoes!$G:$G,Movimentacoes!$C:$C,$A3520,Movimentacoes!$E:$E,$C3520,Movimentacoes!$B:$B,"ENTRADA")</f>
        <v/>
      </c>
      <c r="H3520" s="13">
        <f>SUMIFS(Movimentacoes!$G:$G,Movimentacoes!$C:$C,$A3520,Movimentacoes!$E:$E,$C3520,Movimentacoes!$B:$B,"SAIDA_USO")</f>
        <v/>
      </c>
      <c r="I3520" s="13">
        <f>SUMIFS(Movimentacoes!$G:$G,Movimentacoes!$C:$C,$A3520,Movimentacoes!$E:$E,$C3520,Movimentacoes!$B:$B,"SAIDA_DESCARTE")</f>
        <v/>
      </c>
      <c r="J3520" s="13">
        <f>G3520-H3520-I3520</f>
        <v/>
      </c>
      <c r="K3520">
        <f>IF(A3520="","",IF(J3520&lt;=IFERROR(VLOOKUP(A3520,Cadastro_Produtos!$A:$E,5,FALSE),0),"ABAIXO DO MINIMO","OK"))</f>
        <v/>
      </c>
    </row>
    <row r="3521">
      <c r="B3521">
        <f>IFERROR(VLOOKUP(A3521,Cadastro_Produtos!A:B,2,FALSE),"")</f>
        <v/>
      </c>
      <c r="D3521" s="12" t="n"/>
      <c r="E3521" s="13">
        <f>IF(D3521="","",D3521-TODAY())</f>
        <v/>
      </c>
      <c r="F3521">
        <f>IF(D3521="","",IF(E3521&lt;0,"VENCIDO",IF(E3521&lt;=30,"VENCE EM &lt;= 30 DIAS",IF(E3521&lt;=60,"ATENCAO (31-60 DIAS)","OK"))))</f>
        <v/>
      </c>
      <c r="G3521" s="13">
        <f>SUMIFS(Movimentacoes!$G:$G,Movimentacoes!$C:$C,$A3521,Movimentacoes!$E:$E,$C3521,Movimentacoes!$B:$B,"ENTRADA")</f>
        <v/>
      </c>
      <c r="H3521" s="13">
        <f>SUMIFS(Movimentacoes!$G:$G,Movimentacoes!$C:$C,$A3521,Movimentacoes!$E:$E,$C3521,Movimentacoes!$B:$B,"SAIDA_USO")</f>
        <v/>
      </c>
      <c r="I3521" s="13">
        <f>SUMIFS(Movimentacoes!$G:$G,Movimentacoes!$C:$C,$A3521,Movimentacoes!$E:$E,$C3521,Movimentacoes!$B:$B,"SAIDA_DESCARTE")</f>
        <v/>
      </c>
      <c r="J3521" s="13">
        <f>G3521-H3521-I3521</f>
        <v/>
      </c>
      <c r="K3521">
        <f>IF(A3521="","",IF(J3521&lt;=IFERROR(VLOOKUP(A3521,Cadastro_Produtos!$A:$E,5,FALSE),0),"ABAIXO DO MINIMO","OK"))</f>
        <v/>
      </c>
    </row>
    <row r="3522">
      <c r="B3522">
        <f>IFERROR(VLOOKUP(A3522,Cadastro_Produtos!A:B,2,FALSE),"")</f>
        <v/>
      </c>
      <c r="D3522" s="12" t="n"/>
      <c r="E3522" s="13">
        <f>IF(D3522="","",D3522-TODAY())</f>
        <v/>
      </c>
      <c r="F3522">
        <f>IF(D3522="","",IF(E3522&lt;0,"VENCIDO",IF(E3522&lt;=30,"VENCE EM &lt;= 30 DIAS",IF(E3522&lt;=60,"ATENCAO (31-60 DIAS)","OK"))))</f>
        <v/>
      </c>
      <c r="G3522" s="13">
        <f>SUMIFS(Movimentacoes!$G:$G,Movimentacoes!$C:$C,$A3522,Movimentacoes!$E:$E,$C3522,Movimentacoes!$B:$B,"ENTRADA")</f>
        <v/>
      </c>
      <c r="H3522" s="13">
        <f>SUMIFS(Movimentacoes!$G:$G,Movimentacoes!$C:$C,$A3522,Movimentacoes!$E:$E,$C3522,Movimentacoes!$B:$B,"SAIDA_USO")</f>
        <v/>
      </c>
      <c r="I3522" s="13">
        <f>SUMIFS(Movimentacoes!$G:$G,Movimentacoes!$C:$C,$A3522,Movimentacoes!$E:$E,$C3522,Movimentacoes!$B:$B,"SAIDA_DESCARTE")</f>
        <v/>
      </c>
      <c r="J3522" s="13">
        <f>G3522-H3522-I3522</f>
        <v/>
      </c>
      <c r="K3522">
        <f>IF(A3522="","",IF(J3522&lt;=IFERROR(VLOOKUP(A3522,Cadastro_Produtos!$A:$E,5,FALSE),0),"ABAIXO DO MINIMO","OK"))</f>
        <v/>
      </c>
    </row>
    <row r="3523">
      <c r="B3523">
        <f>IFERROR(VLOOKUP(A3523,Cadastro_Produtos!A:B,2,FALSE),"")</f>
        <v/>
      </c>
      <c r="D3523" s="12" t="n"/>
      <c r="E3523" s="13">
        <f>IF(D3523="","",D3523-TODAY())</f>
        <v/>
      </c>
      <c r="F3523">
        <f>IF(D3523="","",IF(E3523&lt;0,"VENCIDO",IF(E3523&lt;=30,"VENCE EM &lt;= 30 DIAS",IF(E3523&lt;=60,"ATENCAO (31-60 DIAS)","OK"))))</f>
        <v/>
      </c>
      <c r="G3523" s="13">
        <f>SUMIFS(Movimentacoes!$G:$G,Movimentacoes!$C:$C,$A3523,Movimentacoes!$E:$E,$C3523,Movimentacoes!$B:$B,"ENTRADA")</f>
        <v/>
      </c>
      <c r="H3523" s="13">
        <f>SUMIFS(Movimentacoes!$G:$G,Movimentacoes!$C:$C,$A3523,Movimentacoes!$E:$E,$C3523,Movimentacoes!$B:$B,"SAIDA_USO")</f>
        <v/>
      </c>
      <c r="I3523" s="13">
        <f>SUMIFS(Movimentacoes!$G:$G,Movimentacoes!$C:$C,$A3523,Movimentacoes!$E:$E,$C3523,Movimentacoes!$B:$B,"SAIDA_DESCARTE")</f>
        <v/>
      </c>
      <c r="J3523" s="13">
        <f>G3523-H3523-I3523</f>
        <v/>
      </c>
      <c r="K3523">
        <f>IF(A3523="","",IF(J3523&lt;=IFERROR(VLOOKUP(A3523,Cadastro_Produtos!$A:$E,5,FALSE),0),"ABAIXO DO MINIMO","OK"))</f>
        <v/>
      </c>
    </row>
    <row r="3524">
      <c r="B3524">
        <f>IFERROR(VLOOKUP(A3524,Cadastro_Produtos!A:B,2,FALSE),"")</f>
        <v/>
      </c>
      <c r="D3524" s="12" t="n"/>
      <c r="E3524" s="13">
        <f>IF(D3524="","",D3524-TODAY())</f>
        <v/>
      </c>
      <c r="F3524">
        <f>IF(D3524="","",IF(E3524&lt;0,"VENCIDO",IF(E3524&lt;=30,"VENCE EM &lt;= 30 DIAS",IF(E3524&lt;=60,"ATENCAO (31-60 DIAS)","OK"))))</f>
        <v/>
      </c>
      <c r="G3524" s="13">
        <f>SUMIFS(Movimentacoes!$G:$G,Movimentacoes!$C:$C,$A3524,Movimentacoes!$E:$E,$C3524,Movimentacoes!$B:$B,"ENTRADA")</f>
        <v/>
      </c>
      <c r="H3524" s="13">
        <f>SUMIFS(Movimentacoes!$G:$G,Movimentacoes!$C:$C,$A3524,Movimentacoes!$E:$E,$C3524,Movimentacoes!$B:$B,"SAIDA_USO")</f>
        <v/>
      </c>
      <c r="I3524" s="13">
        <f>SUMIFS(Movimentacoes!$G:$G,Movimentacoes!$C:$C,$A3524,Movimentacoes!$E:$E,$C3524,Movimentacoes!$B:$B,"SAIDA_DESCARTE")</f>
        <v/>
      </c>
      <c r="J3524" s="13">
        <f>G3524-H3524-I3524</f>
        <v/>
      </c>
      <c r="K3524">
        <f>IF(A3524="","",IF(J3524&lt;=IFERROR(VLOOKUP(A3524,Cadastro_Produtos!$A:$E,5,FALSE),0),"ABAIXO DO MINIMO","OK"))</f>
        <v/>
      </c>
    </row>
    <row r="3525">
      <c r="B3525">
        <f>IFERROR(VLOOKUP(A3525,Cadastro_Produtos!A:B,2,FALSE),"")</f>
        <v/>
      </c>
      <c r="D3525" s="12" t="n"/>
      <c r="E3525" s="13">
        <f>IF(D3525="","",D3525-TODAY())</f>
        <v/>
      </c>
      <c r="F3525">
        <f>IF(D3525="","",IF(E3525&lt;0,"VENCIDO",IF(E3525&lt;=30,"VENCE EM &lt;= 30 DIAS",IF(E3525&lt;=60,"ATENCAO (31-60 DIAS)","OK"))))</f>
        <v/>
      </c>
      <c r="G3525" s="13">
        <f>SUMIFS(Movimentacoes!$G:$G,Movimentacoes!$C:$C,$A3525,Movimentacoes!$E:$E,$C3525,Movimentacoes!$B:$B,"ENTRADA")</f>
        <v/>
      </c>
      <c r="H3525" s="13">
        <f>SUMIFS(Movimentacoes!$G:$G,Movimentacoes!$C:$C,$A3525,Movimentacoes!$E:$E,$C3525,Movimentacoes!$B:$B,"SAIDA_USO")</f>
        <v/>
      </c>
      <c r="I3525" s="13">
        <f>SUMIFS(Movimentacoes!$G:$G,Movimentacoes!$C:$C,$A3525,Movimentacoes!$E:$E,$C3525,Movimentacoes!$B:$B,"SAIDA_DESCARTE")</f>
        <v/>
      </c>
      <c r="J3525" s="13">
        <f>G3525-H3525-I3525</f>
        <v/>
      </c>
      <c r="K3525">
        <f>IF(A3525="","",IF(J3525&lt;=IFERROR(VLOOKUP(A3525,Cadastro_Produtos!$A:$E,5,FALSE),0),"ABAIXO DO MINIMO","OK"))</f>
        <v/>
      </c>
    </row>
    <row r="3526">
      <c r="B3526">
        <f>IFERROR(VLOOKUP(A3526,Cadastro_Produtos!A:B,2,FALSE),"")</f>
        <v/>
      </c>
      <c r="D3526" s="12" t="n"/>
      <c r="E3526" s="13">
        <f>IF(D3526="","",D3526-TODAY())</f>
        <v/>
      </c>
      <c r="F3526">
        <f>IF(D3526="","",IF(E3526&lt;0,"VENCIDO",IF(E3526&lt;=30,"VENCE EM &lt;= 30 DIAS",IF(E3526&lt;=60,"ATENCAO (31-60 DIAS)","OK"))))</f>
        <v/>
      </c>
      <c r="G3526" s="13">
        <f>SUMIFS(Movimentacoes!$G:$G,Movimentacoes!$C:$C,$A3526,Movimentacoes!$E:$E,$C3526,Movimentacoes!$B:$B,"ENTRADA")</f>
        <v/>
      </c>
      <c r="H3526" s="13">
        <f>SUMIFS(Movimentacoes!$G:$G,Movimentacoes!$C:$C,$A3526,Movimentacoes!$E:$E,$C3526,Movimentacoes!$B:$B,"SAIDA_USO")</f>
        <v/>
      </c>
      <c r="I3526" s="13">
        <f>SUMIFS(Movimentacoes!$G:$G,Movimentacoes!$C:$C,$A3526,Movimentacoes!$E:$E,$C3526,Movimentacoes!$B:$B,"SAIDA_DESCARTE")</f>
        <v/>
      </c>
      <c r="J3526" s="13">
        <f>G3526-H3526-I3526</f>
        <v/>
      </c>
      <c r="K3526">
        <f>IF(A3526="","",IF(J3526&lt;=IFERROR(VLOOKUP(A3526,Cadastro_Produtos!$A:$E,5,FALSE),0),"ABAIXO DO MINIMO","OK"))</f>
        <v/>
      </c>
    </row>
    <row r="3527">
      <c r="B3527">
        <f>IFERROR(VLOOKUP(A3527,Cadastro_Produtos!A:B,2,FALSE),"")</f>
        <v/>
      </c>
      <c r="D3527" s="12" t="n"/>
      <c r="E3527" s="13">
        <f>IF(D3527="","",D3527-TODAY())</f>
        <v/>
      </c>
      <c r="F3527">
        <f>IF(D3527="","",IF(E3527&lt;0,"VENCIDO",IF(E3527&lt;=30,"VENCE EM &lt;= 30 DIAS",IF(E3527&lt;=60,"ATENCAO (31-60 DIAS)","OK"))))</f>
        <v/>
      </c>
      <c r="G3527" s="13">
        <f>SUMIFS(Movimentacoes!$G:$G,Movimentacoes!$C:$C,$A3527,Movimentacoes!$E:$E,$C3527,Movimentacoes!$B:$B,"ENTRADA")</f>
        <v/>
      </c>
      <c r="H3527" s="13">
        <f>SUMIFS(Movimentacoes!$G:$G,Movimentacoes!$C:$C,$A3527,Movimentacoes!$E:$E,$C3527,Movimentacoes!$B:$B,"SAIDA_USO")</f>
        <v/>
      </c>
      <c r="I3527" s="13">
        <f>SUMIFS(Movimentacoes!$G:$G,Movimentacoes!$C:$C,$A3527,Movimentacoes!$E:$E,$C3527,Movimentacoes!$B:$B,"SAIDA_DESCARTE")</f>
        <v/>
      </c>
      <c r="J3527" s="13">
        <f>G3527-H3527-I3527</f>
        <v/>
      </c>
      <c r="K3527">
        <f>IF(A3527="","",IF(J3527&lt;=IFERROR(VLOOKUP(A3527,Cadastro_Produtos!$A:$E,5,FALSE),0),"ABAIXO DO MINIMO","OK"))</f>
        <v/>
      </c>
    </row>
    <row r="3528">
      <c r="B3528">
        <f>IFERROR(VLOOKUP(A3528,Cadastro_Produtos!A:B,2,FALSE),"")</f>
        <v/>
      </c>
      <c r="D3528" s="12" t="n"/>
      <c r="E3528" s="13">
        <f>IF(D3528="","",D3528-TODAY())</f>
        <v/>
      </c>
      <c r="F3528">
        <f>IF(D3528="","",IF(E3528&lt;0,"VENCIDO",IF(E3528&lt;=30,"VENCE EM &lt;= 30 DIAS",IF(E3528&lt;=60,"ATENCAO (31-60 DIAS)","OK"))))</f>
        <v/>
      </c>
      <c r="G3528" s="13">
        <f>SUMIFS(Movimentacoes!$G:$G,Movimentacoes!$C:$C,$A3528,Movimentacoes!$E:$E,$C3528,Movimentacoes!$B:$B,"ENTRADA")</f>
        <v/>
      </c>
      <c r="H3528" s="13">
        <f>SUMIFS(Movimentacoes!$G:$G,Movimentacoes!$C:$C,$A3528,Movimentacoes!$E:$E,$C3528,Movimentacoes!$B:$B,"SAIDA_USO")</f>
        <v/>
      </c>
      <c r="I3528" s="13">
        <f>SUMIFS(Movimentacoes!$G:$G,Movimentacoes!$C:$C,$A3528,Movimentacoes!$E:$E,$C3528,Movimentacoes!$B:$B,"SAIDA_DESCARTE")</f>
        <v/>
      </c>
      <c r="J3528" s="13">
        <f>G3528-H3528-I3528</f>
        <v/>
      </c>
      <c r="K3528">
        <f>IF(A3528="","",IF(J3528&lt;=IFERROR(VLOOKUP(A3528,Cadastro_Produtos!$A:$E,5,FALSE),0),"ABAIXO DO MINIMO","OK"))</f>
        <v/>
      </c>
    </row>
    <row r="3529">
      <c r="B3529">
        <f>IFERROR(VLOOKUP(A3529,Cadastro_Produtos!A:B,2,FALSE),"")</f>
        <v/>
      </c>
      <c r="D3529" s="12" t="n"/>
      <c r="E3529" s="13">
        <f>IF(D3529="","",D3529-TODAY())</f>
        <v/>
      </c>
      <c r="F3529">
        <f>IF(D3529="","",IF(E3529&lt;0,"VENCIDO",IF(E3529&lt;=30,"VENCE EM &lt;= 30 DIAS",IF(E3529&lt;=60,"ATENCAO (31-60 DIAS)","OK"))))</f>
        <v/>
      </c>
      <c r="G3529" s="13">
        <f>SUMIFS(Movimentacoes!$G:$G,Movimentacoes!$C:$C,$A3529,Movimentacoes!$E:$E,$C3529,Movimentacoes!$B:$B,"ENTRADA")</f>
        <v/>
      </c>
      <c r="H3529" s="13">
        <f>SUMIFS(Movimentacoes!$G:$G,Movimentacoes!$C:$C,$A3529,Movimentacoes!$E:$E,$C3529,Movimentacoes!$B:$B,"SAIDA_USO")</f>
        <v/>
      </c>
      <c r="I3529" s="13">
        <f>SUMIFS(Movimentacoes!$G:$G,Movimentacoes!$C:$C,$A3529,Movimentacoes!$E:$E,$C3529,Movimentacoes!$B:$B,"SAIDA_DESCARTE")</f>
        <v/>
      </c>
      <c r="J3529" s="13">
        <f>G3529-H3529-I3529</f>
        <v/>
      </c>
      <c r="K3529">
        <f>IF(A3529="","",IF(J3529&lt;=IFERROR(VLOOKUP(A3529,Cadastro_Produtos!$A:$E,5,FALSE),0),"ABAIXO DO MINIMO","OK"))</f>
        <v/>
      </c>
    </row>
    <row r="3530">
      <c r="B3530">
        <f>IFERROR(VLOOKUP(A3530,Cadastro_Produtos!A:B,2,FALSE),"")</f>
        <v/>
      </c>
      <c r="D3530" s="12" t="n"/>
      <c r="E3530" s="13">
        <f>IF(D3530="","",D3530-TODAY())</f>
        <v/>
      </c>
      <c r="F3530">
        <f>IF(D3530="","",IF(E3530&lt;0,"VENCIDO",IF(E3530&lt;=30,"VENCE EM &lt;= 30 DIAS",IF(E3530&lt;=60,"ATENCAO (31-60 DIAS)","OK"))))</f>
        <v/>
      </c>
      <c r="G3530" s="13">
        <f>SUMIFS(Movimentacoes!$G:$G,Movimentacoes!$C:$C,$A3530,Movimentacoes!$E:$E,$C3530,Movimentacoes!$B:$B,"ENTRADA")</f>
        <v/>
      </c>
      <c r="H3530" s="13">
        <f>SUMIFS(Movimentacoes!$G:$G,Movimentacoes!$C:$C,$A3530,Movimentacoes!$E:$E,$C3530,Movimentacoes!$B:$B,"SAIDA_USO")</f>
        <v/>
      </c>
      <c r="I3530" s="13">
        <f>SUMIFS(Movimentacoes!$G:$G,Movimentacoes!$C:$C,$A3530,Movimentacoes!$E:$E,$C3530,Movimentacoes!$B:$B,"SAIDA_DESCARTE")</f>
        <v/>
      </c>
      <c r="J3530" s="13">
        <f>G3530-H3530-I3530</f>
        <v/>
      </c>
      <c r="K3530">
        <f>IF(A3530="","",IF(J3530&lt;=IFERROR(VLOOKUP(A3530,Cadastro_Produtos!$A:$E,5,FALSE),0),"ABAIXO DO MINIMO","OK"))</f>
        <v/>
      </c>
    </row>
    <row r="3531">
      <c r="B3531">
        <f>IFERROR(VLOOKUP(A3531,Cadastro_Produtos!A:B,2,FALSE),"")</f>
        <v/>
      </c>
      <c r="D3531" s="12" t="n"/>
      <c r="E3531" s="13">
        <f>IF(D3531="","",D3531-TODAY())</f>
        <v/>
      </c>
      <c r="F3531">
        <f>IF(D3531="","",IF(E3531&lt;0,"VENCIDO",IF(E3531&lt;=30,"VENCE EM &lt;= 30 DIAS",IF(E3531&lt;=60,"ATENCAO (31-60 DIAS)","OK"))))</f>
        <v/>
      </c>
      <c r="G3531" s="13">
        <f>SUMIFS(Movimentacoes!$G:$G,Movimentacoes!$C:$C,$A3531,Movimentacoes!$E:$E,$C3531,Movimentacoes!$B:$B,"ENTRADA")</f>
        <v/>
      </c>
      <c r="H3531" s="13">
        <f>SUMIFS(Movimentacoes!$G:$G,Movimentacoes!$C:$C,$A3531,Movimentacoes!$E:$E,$C3531,Movimentacoes!$B:$B,"SAIDA_USO")</f>
        <v/>
      </c>
      <c r="I3531" s="13">
        <f>SUMIFS(Movimentacoes!$G:$G,Movimentacoes!$C:$C,$A3531,Movimentacoes!$E:$E,$C3531,Movimentacoes!$B:$B,"SAIDA_DESCARTE")</f>
        <v/>
      </c>
      <c r="J3531" s="13">
        <f>G3531-H3531-I3531</f>
        <v/>
      </c>
      <c r="K3531">
        <f>IF(A3531="","",IF(J3531&lt;=IFERROR(VLOOKUP(A3531,Cadastro_Produtos!$A:$E,5,FALSE),0),"ABAIXO DO MINIMO","OK"))</f>
        <v/>
      </c>
    </row>
    <row r="3532">
      <c r="B3532">
        <f>IFERROR(VLOOKUP(A3532,Cadastro_Produtos!A:B,2,FALSE),"")</f>
        <v/>
      </c>
      <c r="D3532" s="12" t="n"/>
      <c r="E3532" s="13">
        <f>IF(D3532="","",D3532-TODAY())</f>
        <v/>
      </c>
      <c r="F3532">
        <f>IF(D3532="","",IF(E3532&lt;0,"VENCIDO",IF(E3532&lt;=30,"VENCE EM &lt;= 30 DIAS",IF(E3532&lt;=60,"ATENCAO (31-60 DIAS)","OK"))))</f>
        <v/>
      </c>
      <c r="G3532" s="13">
        <f>SUMIFS(Movimentacoes!$G:$G,Movimentacoes!$C:$C,$A3532,Movimentacoes!$E:$E,$C3532,Movimentacoes!$B:$B,"ENTRADA")</f>
        <v/>
      </c>
      <c r="H3532" s="13">
        <f>SUMIFS(Movimentacoes!$G:$G,Movimentacoes!$C:$C,$A3532,Movimentacoes!$E:$E,$C3532,Movimentacoes!$B:$B,"SAIDA_USO")</f>
        <v/>
      </c>
      <c r="I3532" s="13">
        <f>SUMIFS(Movimentacoes!$G:$G,Movimentacoes!$C:$C,$A3532,Movimentacoes!$E:$E,$C3532,Movimentacoes!$B:$B,"SAIDA_DESCARTE")</f>
        <v/>
      </c>
      <c r="J3532" s="13">
        <f>G3532-H3532-I3532</f>
        <v/>
      </c>
      <c r="K3532">
        <f>IF(A3532="","",IF(J3532&lt;=IFERROR(VLOOKUP(A3532,Cadastro_Produtos!$A:$E,5,FALSE),0),"ABAIXO DO MINIMO","OK"))</f>
        <v/>
      </c>
    </row>
    <row r="3533">
      <c r="B3533">
        <f>IFERROR(VLOOKUP(A3533,Cadastro_Produtos!A:B,2,FALSE),"")</f>
        <v/>
      </c>
      <c r="D3533" s="12" t="n"/>
      <c r="E3533" s="13">
        <f>IF(D3533="","",D3533-TODAY())</f>
        <v/>
      </c>
      <c r="F3533">
        <f>IF(D3533="","",IF(E3533&lt;0,"VENCIDO",IF(E3533&lt;=30,"VENCE EM &lt;= 30 DIAS",IF(E3533&lt;=60,"ATENCAO (31-60 DIAS)","OK"))))</f>
        <v/>
      </c>
      <c r="G3533" s="13">
        <f>SUMIFS(Movimentacoes!$G:$G,Movimentacoes!$C:$C,$A3533,Movimentacoes!$E:$E,$C3533,Movimentacoes!$B:$B,"ENTRADA")</f>
        <v/>
      </c>
      <c r="H3533" s="13">
        <f>SUMIFS(Movimentacoes!$G:$G,Movimentacoes!$C:$C,$A3533,Movimentacoes!$E:$E,$C3533,Movimentacoes!$B:$B,"SAIDA_USO")</f>
        <v/>
      </c>
      <c r="I3533" s="13">
        <f>SUMIFS(Movimentacoes!$G:$G,Movimentacoes!$C:$C,$A3533,Movimentacoes!$E:$E,$C3533,Movimentacoes!$B:$B,"SAIDA_DESCARTE")</f>
        <v/>
      </c>
      <c r="J3533" s="13">
        <f>G3533-H3533-I3533</f>
        <v/>
      </c>
      <c r="K3533">
        <f>IF(A3533="","",IF(J3533&lt;=IFERROR(VLOOKUP(A3533,Cadastro_Produtos!$A:$E,5,FALSE),0),"ABAIXO DO MINIMO","OK"))</f>
        <v/>
      </c>
    </row>
    <row r="3534">
      <c r="B3534">
        <f>IFERROR(VLOOKUP(A3534,Cadastro_Produtos!A:B,2,FALSE),"")</f>
        <v/>
      </c>
      <c r="D3534" s="12" t="n"/>
      <c r="E3534" s="13">
        <f>IF(D3534="","",D3534-TODAY())</f>
        <v/>
      </c>
      <c r="F3534">
        <f>IF(D3534="","",IF(E3534&lt;0,"VENCIDO",IF(E3534&lt;=30,"VENCE EM &lt;= 30 DIAS",IF(E3534&lt;=60,"ATENCAO (31-60 DIAS)","OK"))))</f>
        <v/>
      </c>
      <c r="G3534" s="13">
        <f>SUMIFS(Movimentacoes!$G:$G,Movimentacoes!$C:$C,$A3534,Movimentacoes!$E:$E,$C3534,Movimentacoes!$B:$B,"ENTRADA")</f>
        <v/>
      </c>
      <c r="H3534" s="13">
        <f>SUMIFS(Movimentacoes!$G:$G,Movimentacoes!$C:$C,$A3534,Movimentacoes!$E:$E,$C3534,Movimentacoes!$B:$B,"SAIDA_USO")</f>
        <v/>
      </c>
      <c r="I3534" s="13">
        <f>SUMIFS(Movimentacoes!$G:$G,Movimentacoes!$C:$C,$A3534,Movimentacoes!$E:$E,$C3534,Movimentacoes!$B:$B,"SAIDA_DESCARTE")</f>
        <v/>
      </c>
      <c r="J3534" s="13">
        <f>G3534-H3534-I3534</f>
        <v/>
      </c>
      <c r="K3534">
        <f>IF(A3534="","",IF(J3534&lt;=IFERROR(VLOOKUP(A3534,Cadastro_Produtos!$A:$E,5,FALSE),0),"ABAIXO DO MINIMO","OK"))</f>
        <v/>
      </c>
    </row>
    <row r="3535">
      <c r="B3535">
        <f>IFERROR(VLOOKUP(A3535,Cadastro_Produtos!A:B,2,FALSE),"")</f>
        <v/>
      </c>
      <c r="D3535" s="12" t="n"/>
      <c r="E3535" s="13">
        <f>IF(D3535="","",D3535-TODAY())</f>
        <v/>
      </c>
      <c r="F3535">
        <f>IF(D3535="","",IF(E3535&lt;0,"VENCIDO",IF(E3535&lt;=30,"VENCE EM &lt;= 30 DIAS",IF(E3535&lt;=60,"ATENCAO (31-60 DIAS)","OK"))))</f>
        <v/>
      </c>
      <c r="G3535" s="13">
        <f>SUMIFS(Movimentacoes!$G:$G,Movimentacoes!$C:$C,$A3535,Movimentacoes!$E:$E,$C3535,Movimentacoes!$B:$B,"ENTRADA")</f>
        <v/>
      </c>
      <c r="H3535" s="13">
        <f>SUMIFS(Movimentacoes!$G:$G,Movimentacoes!$C:$C,$A3535,Movimentacoes!$E:$E,$C3535,Movimentacoes!$B:$B,"SAIDA_USO")</f>
        <v/>
      </c>
      <c r="I3535" s="13">
        <f>SUMIFS(Movimentacoes!$G:$G,Movimentacoes!$C:$C,$A3535,Movimentacoes!$E:$E,$C3535,Movimentacoes!$B:$B,"SAIDA_DESCARTE")</f>
        <v/>
      </c>
      <c r="J3535" s="13">
        <f>G3535-H3535-I3535</f>
        <v/>
      </c>
      <c r="K3535">
        <f>IF(A3535="","",IF(J3535&lt;=IFERROR(VLOOKUP(A3535,Cadastro_Produtos!$A:$E,5,FALSE),0),"ABAIXO DO MINIMO","OK"))</f>
        <v/>
      </c>
    </row>
    <row r="3536">
      <c r="B3536">
        <f>IFERROR(VLOOKUP(A3536,Cadastro_Produtos!A:B,2,FALSE),"")</f>
        <v/>
      </c>
      <c r="D3536" s="12" t="n"/>
      <c r="E3536" s="13">
        <f>IF(D3536="","",D3536-TODAY())</f>
        <v/>
      </c>
      <c r="F3536">
        <f>IF(D3536="","",IF(E3536&lt;0,"VENCIDO",IF(E3536&lt;=30,"VENCE EM &lt;= 30 DIAS",IF(E3536&lt;=60,"ATENCAO (31-60 DIAS)","OK"))))</f>
        <v/>
      </c>
      <c r="G3536" s="13">
        <f>SUMIFS(Movimentacoes!$G:$G,Movimentacoes!$C:$C,$A3536,Movimentacoes!$E:$E,$C3536,Movimentacoes!$B:$B,"ENTRADA")</f>
        <v/>
      </c>
      <c r="H3536" s="13">
        <f>SUMIFS(Movimentacoes!$G:$G,Movimentacoes!$C:$C,$A3536,Movimentacoes!$E:$E,$C3536,Movimentacoes!$B:$B,"SAIDA_USO")</f>
        <v/>
      </c>
      <c r="I3536" s="13">
        <f>SUMIFS(Movimentacoes!$G:$G,Movimentacoes!$C:$C,$A3536,Movimentacoes!$E:$E,$C3536,Movimentacoes!$B:$B,"SAIDA_DESCARTE")</f>
        <v/>
      </c>
      <c r="J3536" s="13">
        <f>G3536-H3536-I3536</f>
        <v/>
      </c>
      <c r="K3536">
        <f>IF(A3536="","",IF(J3536&lt;=IFERROR(VLOOKUP(A3536,Cadastro_Produtos!$A:$E,5,FALSE),0),"ABAIXO DO MINIMO","OK"))</f>
        <v/>
      </c>
    </row>
    <row r="3537">
      <c r="B3537">
        <f>IFERROR(VLOOKUP(A3537,Cadastro_Produtos!A:B,2,FALSE),"")</f>
        <v/>
      </c>
      <c r="D3537" s="12" t="n"/>
      <c r="E3537" s="13">
        <f>IF(D3537="","",D3537-TODAY())</f>
        <v/>
      </c>
      <c r="F3537">
        <f>IF(D3537="","",IF(E3537&lt;0,"VENCIDO",IF(E3537&lt;=30,"VENCE EM &lt;= 30 DIAS",IF(E3537&lt;=60,"ATENCAO (31-60 DIAS)","OK"))))</f>
        <v/>
      </c>
      <c r="G3537" s="13">
        <f>SUMIFS(Movimentacoes!$G:$G,Movimentacoes!$C:$C,$A3537,Movimentacoes!$E:$E,$C3537,Movimentacoes!$B:$B,"ENTRADA")</f>
        <v/>
      </c>
      <c r="H3537" s="13">
        <f>SUMIFS(Movimentacoes!$G:$G,Movimentacoes!$C:$C,$A3537,Movimentacoes!$E:$E,$C3537,Movimentacoes!$B:$B,"SAIDA_USO")</f>
        <v/>
      </c>
      <c r="I3537" s="13">
        <f>SUMIFS(Movimentacoes!$G:$G,Movimentacoes!$C:$C,$A3537,Movimentacoes!$E:$E,$C3537,Movimentacoes!$B:$B,"SAIDA_DESCARTE")</f>
        <v/>
      </c>
      <c r="J3537" s="13">
        <f>G3537-H3537-I3537</f>
        <v/>
      </c>
      <c r="K3537">
        <f>IF(A3537="","",IF(J3537&lt;=IFERROR(VLOOKUP(A3537,Cadastro_Produtos!$A:$E,5,FALSE),0),"ABAIXO DO MINIMO","OK"))</f>
        <v/>
      </c>
    </row>
    <row r="3538">
      <c r="B3538">
        <f>IFERROR(VLOOKUP(A3538,Cadastro_Produtos!A:B,2,FALSE),"")</f>
        <v/>
      </c>
      <c r="D3538" s="12" t="n"/>
      <c r="E3538" s="13">
        <f>IF(D3538="","",D3538-TODAY())</f>
        <v/>
      </c>
      <c r="F3538">
        <f>IF(D3538="","",IF(E3538&lt;0,"VENCIDO",IF(E3538&lt;=30,"VENCE EM &lt;= 30 DIAS",IF(E3538&lt;=60,"ATENCAO (31-60 DIAS)","OK"))))</f>
        <v/>
      </c>
      <c r="G3538" s="13">
        <f>SUMIFS(Movimentacoes!$G:$G,Movimentacoes!$C:$C,$A3538,Movimentacoes!$E:$E,$C3538,Movimentacoes!$B:$B,"ENTRADA")</f>
        <v/>
      </c>
      <c r="H3538" s="13">
        <f>SUMIFS(Movimentacoes!$G:$G,Movimentacoes!$C:$C,$A3538,Movimentacoes!$E:$E,$C3538,Movimentacoes!$B:$B,"SAIDA_USO")</f>
        <v/>
      </c>
      <c r="I3538" s="13">
        <f>SUMIFS(Movimentacoes!$G:$G,Movimentacoes!$C:$C,$A3538,Movimentacoes!$E:$E,$C3538,Movimentacoes!$B:$B,"SAIDA_DESCARTE")</f>
        <v/>
      </c>
      <c r="J3538" s="13">
        <f>G3538-H3538-I3538</f>
        <v/>
      </c>
      <c r="K3538">
        <f>IF(A3538="","",IF(J3538&lt;=IFERROR(VLOOKUP(A3538,Cadastro_Produtos!$A:$E,5,FALSE),0),"ABAIXO DO MINIMO","OK"))</f>
        <v/>
      </c>
    </row>
    <row r="3539">
      <c r="B3539">
        <f>IFERROR(VLOOKUP(A3539,Cadastro_Produtos!A:B,2,FALSE),"")</f>
        <v/>
      </c>
      <c r="D3539" s="12" t="n"/>
      <c r="E3539" s="13">
        <f>IF(D3539="","",D3539-TODAY())</f>
        <v/>
      </c>
      <c r="F3539">
        <f>IF(D3539="","",IF(E3539&lt;0,"VENCIDO",IF(E3539&lt;=30,"VENCE EM &lt;= 30 DIAS",IF(E3539&lt;=60,"ATENCAO (31-60 DIAS)","OK"))))</f>
        <v/>
      </c>
      <c r="G3539" s="13">
        <f>SUMIFS(Movimentacoes!$G:$G,Movimentacoes!$C:$C,$A3539,Movimentacoes!$E:$E,$C3539,Movimentacoes!$B:$B,"ENTRADA")</f>
        <v/>
      </c>
      <c r="H3539" s="13">
        <f>SUMIFS(Movimentacoes!$G:$G,Movimentacoes!$C:$C,$A3539,Movimentacoes!$E:$E,$C3539,Movimentacoes!$B:$B,"SAIDA_USO")</f>
        <v/>
      </c>
      <c r="I3539" s="13">
        <f>SUMIFS(Movimentacoes!$G:$G,Movimentacoes!$C:$C,$A3539,Movimentacoes!$E:$E,$C3539,Movimentacoes!$B:$B,"SAIDA_DESCARTE")</f>
        <v/>
      </c>
      <c r="J3539" s="13">
        <f>G3539-H3539-I3539</f>
        <v/>
      </c>
      <c r="K3539">
        <f>IF(A3539="","",IF(J3539&lt;=IFERROR(VLOOKUP(A3539,Cadastro_Produtos!$A:$E,5,FALSE),0),"ABAIXO DO MINIMO","OK"))</f>
        <v/>
      </c>
    </row>
    <row r="3540">
      <c r="B3540">
        <f>IFERROR(VLOOKUP(A3540,Cadastro_Produtos!A:B,2,FALSE),"")</f>
        <v/>
      </c>
      <c r="D3540" s="12" t="n"/>
      <c r="E3540" s="13">
        <f>IF(D3540="","",D3540-TODAY())</f>
        <v/>
      </c>
      <c r="F3540">
        <f>IF(D3540="","",IF(E3540&lt;0,"VENCIDO",IF(E3540&lt;=30,"VENCE EM &lt;= 30 DIAS",IF(E3540&lt;=60,"ATENCAO (31-60 DIAS)","OK"))))</f>
        <v/>
      </c>
      <c r="G3540" s="13">
        <f>SUMIFS(Movimentacoes!$G:$G,Movimentacoes!$C:$C,$A3540,Movimentacoes!$E:$E,$C3540,Movimentacoes!$B:$B,"ENTRADA")</f>
        <v/>
      </c>
      <c r="H3540" s="13">
        <f>SUMIFS(Movimentacoes!$G:$G,Movimentacoes!$C:$C,$A3540,Movimentacoes!$E:$E,$C3540,Movimentacoes!$B:$B,"SAIDA_USO")</f>
        <v/>
      </c>
      <c r="I3540" s="13">
        <f>SUMIFS(Movimentacoes!$G:$G,Movimentacoes!$C:$C,$A3540,Movimentacoes!$E:$E,$C3540,Movimentacoes!$B:$B,"SAIDA_DESCARTE")</f>
        <v/>
      </c>
      <c r="J3540" s="13">
        <f>G3540-H3540-I3540</f>
        <v/>
      </c>
      <c r="K3540">
        <f>IF(A3540="","",IF(J3540&lt;=IFERROR(VLOOKUP(A3540,Cadastro_Produtos!$A:$E,5,FALSE),0),"ABAIXO DO MINIMO","OK"))</f>
        <v/>
      </c>
    </row>
    <row r="3541">
      <c r="B3541">
        <f>IFERROR(VLOOKUP(A3541,Cadastro_Produtos!A:B,2,FALSE),"")</f>
        <v/>
      </c>
      <c r="D3541" s="12" t="n"/>
      <c r="E3541" s="13">
        <f>IF(D3541="","",D3541-TODAY())</f>
        <v/>
      </c>
      <c r="F3541">
        <f>IF(D3541="","",IF(E3541&lt;0,"VENCIDO",IF(E3541&lt;=30,"VENCE EM &lt;= 30 DIAS",IF(E3541&lt;=60,"ATENCAO (31-60 DIAS)","OK"))))</f>
        <v/>
      </c>
      <c r="G3541" s="13">
        <f>SUMIFS(Movimentacoes!$G:$G,Movimentacoes!$C:$C,$A3541,Movimentacoes!$E:$E,$C3541,Movimentacoes!$B:$B,"ENTRADA")</f>
        <v/>
      </c>
      <c r="H3541" s="13">
        <f>SUMIFS(Movimentacoes!$G:$G,Movimentacoes!$C:$C,$A3541,Movimentacoes!$E:$E,$C3541,Movimentacoes!$B:$B,"SAIDA_USO")</f>
        <v/>
      </c>
      <c r="I3541" s="13">
        <f>SUMIFS(Movimentacoes!$G:$G,Movimentacoes!$C:$C,$A3541,Movimentacoes!$E:$E,$C3541,Movimentacoes!$B:$B,"SAIDA_DESCARTE")</f>
        <v/>
      </c>
      <c r="J3541" s="13">
        <f>G3541-H3541-I3541</f>
        <v/>
      </c>
      <c r="K3541">
        <f>IF(A3541="","",IF(J3541&lt;=IFERROR(VLOOKUP(A3541,Cadastro_Produtos!$A:$E,5,FALSE),0),"ABAIXO DO MINIMO","OK"))</f>
        <v/>
      </c>
    </row>
    <row r="3542">
      <c r="B3542">
        <f>IFERROR(VLOOKUP(A3542,Cadastro_Produtos!A:B,2,FALSE),"")</f>
        <v/>
      </c>
      <c r="D3542" s="12" t="n"/>
      <c r="E3542" s="13">
        <f>IF(D3542="","",D3542-TODAY())</f>
        <v/>
      </c>
      <c r="F3542">
        <f>IF(D3542="","",IF(E3542&lt;0,"VENCIDO",IF(E3542&lt;=30,"VENCE EM &lt;= 30 DIAS",IF(E3542&lt;=60,"ATENCAO (31-60 DIAS)","OK"))))</f>
        <v/>
      </c>
      <c r="G3542" s="13">
        <f>SUMIFS(Movimentacoes!$G:$G,Movimentacoes!$C:$C,$A3542,Movimentacoes!$E:$E,$C3542,Movimentacoes!$B:$B,"ENTRADA")</f>
        <v/>
      </c>
      <c r="H3542" s="13">
        <f>SUMIFS(Movimentacoes!$G:$G,Movimentacoes!$C:$C,$A3542,Movimentacoes!$E:$E,$C3542,Movimentacoes!$B:$B,"SAIDA_USO")</f>
        <v/>
      </c>
      <c r="I3542" s="13">
        <f>SUMIFS(Movimentacoes!$G:$G,Movimentacoes!$C:$C,$A3542,Movimentacoes!$E:$E,$C3542,Movimentacoes!$B:$B,"SAIDA_DESCARTE")</f>
        <v/>
      </c>
      <c r="J3542" s="13">
        <f>G3542-H3542-I3542</f>
        <v/>
      </c>
      <c r="K3542">
        <f>IF(A3542="","",IF(J3542&lt;=IFERROR(VLOOKUP(A3542,Cadastro_Produtos!$A:$E,5,FALSE),0),"ABAIXO DO MINIMO","OK"))</f>
        <v/>
      </c>
    </row>
    <row r="3543">
      <c r="B3543">
        <f>IFERROR(VLOOKUP(A3543,Cadastro_Produtos!A:B,2,FALSE),"")</f>
        <v/>
      </c>
      <c r="D3543" s="12" t="n"/>
      <c r="E3543" s="13">
        <f>IF(D3543="","",D3543-TODAY())</f>
        <v/>
      </c>
      <c r="F3543">
        <f>IF(D3543="","",IF(E3543&lt;0,"VENCIDO",IF(E3543&lt;=30,"VENCE EM &lt;= 30 DIAS",IF(E3543&lt;=60,"ATENCAO (31-60 DIAS)","OK"))))</f>
        <v/>
      </c>
      <c r="G3543" s="13">
        <f>SUMIFS(Movimentacoes!$G:$G,Movimentacoes!$C:$C,$A3543,Movimentacoes!$E:$E,$C3543,Movimentacoes!$B:$B,"ENTRADA")</f>
        <v/>
      </c>
      <c r="H3543" s="13">
        <f>SUMIFS(Movimentacoes!$G:$G,Movimentacoes!$C:$C,$A3543,Movimentacoes!$E:$E,$C3543,Movimentacoes!$B:$B,"SAIDA_USO")</f>
        <v/>
      </c>
      <c r="I3543" s="13">
        <f>SUMIFS(Movimentacoes!$G:$G,Movimentacoes!$C:$C,$A3543,Movimentacoes!$E:$E,$C3543,Movimentacoes!$B:$B,"SAIDA_DESCARTE")</f>
        <v/>
      </c>
      <c r="J3543" s="13">
        <f>G3543-H3543-I3543</f>
        <v/>
      </c>
      <c r="K3543">
        <f>IF(A3543="","",IF(J3543&lt;=IFERROR(VLOOKUP(A3543,Cadastro_Produtos!$A:$E,5,FALSE),0),"ABAIXO DO MINIMO","OK"))</f>
        <v/>
      </c>
    </row>
    <row r="3544">
      <c r="B3544">
        <f>IFERROR(VLOOKUP(A3544,Cadastro_Produtos!A:B,2,FALSE),"")</f>
        <v/>
      </c>
      <c r="D3544" s="12" t="n"/>
      <c r="E3544" s="13">
        <f>IF(D3544="","",D3544-TODAY())</f>
        <v/>
      </c>
      <c r="F3544">
        <f>IF(D3544="","",IF(E3544&lt;0,"VENCIDO",IF(E3544&lt;=30,"VENCE EM &lt;= 30 DIAS",IF(E3544&lt;=60,"ATENCAO (31-60 DIAS)","OK"))))</f>
        <v/>
      </c>
      <c r="G3544" s="13">
        <f>SUMIFS(Movimentacoes!$G:$G,Movimentacoes!$C:$C,$A3544,Movimentacoes!$E:$E,$C3544,Movimentacoes!$B:$B,"ENTRADA")</f>
        <v/>
      </c>
      <c r="H3544" s="13">
        <f>SUMIFS(Movimentacoes!$G:$G,Movimentacoes!$C:$C,$A3544,Movimentacoes!$E:$E,$C3544,Movimentacoes!$B:$B,"SAIDA_USO")</f>
        <v/>
      </c>
      <c r="I3544" s="13">
        <f>SUMIFS(Movimentacoes!$G:$G,Movimentacoes!$C:$C,$A3544,Movimentacoes!$E:$E,$C3544,Movimentacoes!$B:$B,"SAIDA_DESCARTE")</f>
        <v/>
      </c>
      <c r="J3544" s="13">
        <f>G3544-H3544-I3544</f>
        <v/>
      </c>
      <c r="K3544">
        <f>IF(A3544="","",IF(J3544&lt;=IFERROR(VLOOKUP(A3544,Cadastro_Produtos!$A:$E,5,FALSE),0),"ABAIXO DO MINIMO","OK"))</f>
        <v/>
      </c>
    </row>
    <row r="3545">
      <c r="B3545">
        <f>IFERROR(VLOOKUP(A3545,Cadastro_Produtos!A:B,2,FALSE),"")</f>
        <v/>
      </c>
      <c r="D3545" s="12" t="n"/>
      <c r="E3545" s="13">
        <f>IF(D3545="","",D3545-TODAY())</f>
        <v/>
      </c>
      <c r="F3545">
        <f>IF(D3545="","",IF(E3545&lt;0,"VENCIDO",IF(E3545&lt;=30,"VENCE EM &lt;= 30 DIAS",IF(E3545&lt;=60,"ATENCAO (31-60 DIAS)","OK"))))</f>
        <v/>
      </c>
      <c r="G3545" s="13">
        <f>SUMIFS(Movimentacoes!$G:$G,Movimentacoes!$C:$C,$A3545,Movimentacoes!$E:$E,$C3545,Movimentacoes!$B:$B,"ENTRADA")</f>
        <v/>
      </c>
      <c r="H3545" s="13">
        <f>SUMIFS(Movimentacoes!$G:$G,Movimentacoes!$C:$C,$A3545,Movimentacoes!$E:$E,$C3545,Movimentacoes!$B:$B,"SAIDA_USO")</f>
        <v/>
      </c>
      <c r="I3545" s="13">
        <f>SUMIFS(Movimentacoes!$G:$G,Movimentacoes!$C:$C,$A3545,Movimentacoes!$E:$E,$C3545,Movimentacoes!$B:$B,"SAIDA_DESCARTE")</f>
        <v/>
      </c>
      <c r="J3545" s="13">
        <f>G3545-H3545-I3545</f>
        <v/>
      </c>
      <c r="K3545">
        <f>IF(A3545="","",IF(J3545&lt;=IFERROR(VLOOKUP(A3545,Cadastro_Produtos!$A:$E,5,FALSE),0),"ABAIXO DO MINIMO","OK"))</f>
        <v/>
      </c>
    </row>
    <row r="3546">
      <c r="B3546">
        <f>IFERROR(VLOOKUP(A3546,Cadastro_Produtos!A:B,2,FALSE),"")</f>
        <v/>
      </c>
      <c r="D3546" s="12" t="n"/>
      <c r="E3546" s="13">
        <f>IF(D3546="","",D3546-TODAY())</f>
        <v/>
      </c>
      <c r="F3546">
        <f>IF(D3546="","",IF(E3546&lt;0,"VENCIDO",IF(E3546&lt;=30,"VENCE EM &lt;= 30 DIAS",IF(E3546&lt;=60,"ATENCAO (31-60 DIAS)","OK"))))</f>
        <v/>
      </c>
      <c r="G3546" s="13">
        <f>SUMIFS(Movimentacoes!$G:$G,Movimentacoes!$C:$C,$A3546,Movimentacoes!$E:$E,$C3546,Movimentacoes!$B:$B,"ENTRADA")</f>
        <v/>
      </c>
      <c r="H3546" s="13">
        <f>SUMIFS(Movimentacoes!$G:$G,Movimentacoes!$C:$C,$A3546,Movimentacoes!$E:$E,$C3546,Movimentacoes!$B:$B,"SAIDA_USO")</f>
        <v/>
      </c>
      <c r="I3546" s="13">
        <f>SUMIFS(Movimentacoes!$G:$G,Movimentacoes!$C:$C,$A3546,Movimentacoes!$E:$E,$C3546,Movimentacoes!$B:$B,"SAIDA_DESCARTE")</f>
        <v/>
      </c>
      <c r="J3546" s="13">
        <f>G3546-H3546-I3546</f>
        <v/>
      </c>
      <c r="K3546">
        <f>IF(A3546="","",IF(J3546&lt;=IFERROR(VLOOKUP(A3546,Cadastro_Produtos!$A:$E,5,FALSE),0),"ABAIXO DO MINIMO","OK"))</f>
        <v/>
      </c>
    </row>
    <row r="3547">
      <c r="B3547">
        <f>IFERROR(VLOOKUP(A3547,Cadastro_Produtos!A:B,2,FALSE),"")</f>
        <v/>
      </c>
      <c r="D3547" s="12" t="n"/>
      <c r="E3547" s="13">
        <f>IF(D3547="","",D3547-TODAY())</f>
        <v/>
      </c>
      <c r="F3547">
        <f>IF(D3547="","",IF(E3547&lt;0,"VENCIDO",IF(E3547&lt;=30,"VENCE EM &lt;= 30 DIAS",IF(E3547&lt;=60,"ATENCAO (31-60 DIAS)","OK"))))</f>
        <v/>
      </c>
      <c r="G3547" s="13">
        <f>SUMIFS(Movimentacoes!$G:$G,Movimentacoes!$C:$C,$A3547,Movimentacoes!$E:$E,$C3547,Movimentacoes!$B:$B,"ENTRADA")</f>
        <v/>
      </c>
      <c r="H3547" s="13">
        <f>SUMIFS(Movimentacoes!$G:$G,Movimentacoes!$C:$C,$A3547,Movimentacoes!$E:$E,$C3547,Movimentacoes!$B:$B,"SAIDA_USO")</f>
        <v/>
      </c>
      <c r="I3547" s="13">
        <f>SUMIFS(Movimentacoes!$G:$G,Movimentacoes!$C:$C,$A3547,Movimentacoes!$E:$E,$C3547,Movimentacoes!$B:$B,"SAIDA_DESCARTE")</f>
        <v/>
      </c>
      <c r="J3547" s="13">
        <f>G3547-H3547-I3547</f>
        <v/>
      </c>
      <c r="K3547">
        <f>IF(A3547="","",IF(J3547&lt;=IFERROR(VLOOKUP(A3547,Cadastro_Produtos!$A:$E,5,FALSE),0),"ABAIXO DO MINIMO","OK"))</f>
        <v/>
      </c>
    </row>
    <row r="3548">
      <c r="B3548">
        <f>IFERROR(VLOOKUP(A3548,Cadastro_Produtos!A:B,2,FALSE),"")</f>
        <v/>
      </c>
      <c r="D3548" s="12" t="n"/>
      <c r="E3548" s="13">
        <f>IF(D3548="","",D3548-TODAY())</f>
        <v/>
      </c>
      <c r="F3548">
        <f>IF(D3548="","",IF(E3548&lt;0,"VENCIDO",IF(E3548&lt;=30,"VENCE EM &lt;= 30 DIAS",IF(E3548&lt;=60,"ATENCAO (31-60 DIAS)","OK"))))</f>
        <v/>
      </c>
      <c r="G3548" s="13">
        <f>SUMIFS(Movimentacoes!$G:$G,Movimentacoes!$C:$C,$A3548,Movimentacoes!$E:$E,$C3548,Movimentacoes!$B:$B,"ENTRADA")</f>
        <v/>
      </c>
      <c r="H3548" s="13">
        <f>SUMIFS(Movimentacoes!$G:$G,Movimentacoes!$C:$C,$A3548,Movimentacoes!$E:$E,$C3548,Movimentacoes!$B:$B,"SAIDA_USO")</f>
        <v/>
      </c>
      <c r="I3548" s="13">
        <f>SUMIFS(Movimentacoes!$G:$G,Movimentacoes!$C:$C,$A3548,Movimentacoes!$E:$E,$C3548,Movimentacoes!$B:$B,"SAIDA_DESCARTE")</f>
        <v/>
      </c>
      <c r="J3548" s="13">
        <f>G3548-H3548-I3548</f>
        <v/>
      </c>
      <c r="K3548">
        <f>IF(A3548="","",IF(J3548&lt;=IFERROR(VLOOKUP(A3548,Cadastro_Produtos!$A:$E,5,FALSE),0),"ABAIXO DO MINIMO","OK"))</f>
        <v/>
      </c>
    </row>
    <row r="3549">
      <c r="B3549">
        <f>IFERROR(VLOOKUP(A3549,Cadastro_Produtos!A:B,2,FALSE),"")</f>
        <v/>
      </c>
      <c r="D3549" s="12" t="n"/>
      <c r="E3549" s="13">
        <f>IF(D3549="","",D3549-TODAY())</f>
        <v/>
      </c>
      <c r="F3549">
        <f>IF(D3549="","",IF(E3549&lt;0,"VENCIDO",IF(E3549&lt;=30,"VENCE EM &lt;= 30 DIAS",IF(E3549&lt;=60,"ATENCAO (31-60 DIAS)","OK"))))</f>
        <v/>
      </c>
      <c r="G3549" s="13">
        <f>SUMIFS(Movimentacoes!$G:$G,Movimentacoes!$C:$C,$A3549,Movimentacoes!$E:$E,$C3549,Movimentacoes!$B:$B,"ENTRADA")</f>
        <v/>
      </c>
      <c r="H3549" s="13">
        <f>SUMIFS(Movimentacoes!$G:$G,Movimentacoes!$C:$C,$A3549,Movimentacoes!$E:$E,$C3549,Movimentacoes!$B:$B,"SAIDA_USO")</f>
        <v/>
      </c>
      <c r="I3549" s="13">
        <f>SUMIFS(Movimentacoes!$G:$G,Movimentacoes!$C:$C,$A3549,Movimentacoes!$E:$E,$C3549,Movimentacoes!$B:$B,"SAIDA_DESCARTE")</f>
        <v/>
      </c>
      <c r="J3549" s="13">
        <f>G3549-H3549-I3549</f>
        <v/>
      </c>
      <c r="K3549">
        <f>IF(A3549="","",IF(J3549&lt;=IFERROR(VLOOKUP(A3549,Cadastro_Produtos!$A:$E,5,FALSE),0),"ABAIXO DO MINIMO","OK"))</f>
        <v/>
      </c>
    </row>
    <row r="3550">
      <c r="B3550">
        <f>IFERROR(VLOOKUP(A3550,Cadastro_Produtos!A:B,2,FALSE),"")</f>
        <v/>
      </c>
      <c r="D3550" s="12" t="n"/>
      <c r="E3550" s="13">
        <f>IF(D3550="","",D3550-TODAY())</f>
        <v/>
      </c>
      <c r="F3550">
        <f>IF(D3550="","",IF(E3550&lt;0,"VENCIDO",IF(E3550&lt;=30,"VENCE EM &lt;= 30 DIAS",IF(E3550&lt;=60,"ATENCAO (31-60 DIAS)","OK"))))</f>
        <v/>
      </c>
      <c r="G3550" s="13">
        <f>SUMIFS(Movimentacoes!$G:$G,Movimentacoes!$C:$C,$A3550,Movimentacoes!$E:$E,$C3550,Movimentacoes!$B:$B,"ENTRADA")</f>
        <v/>
      </c>
      <c r="H3550" s="13">
        <f>SUMIFS(Movimentacoes!$G:$G,Movimentacoes!$C:$C,$A3550,Movimentacoes!$E:$E,$C3550,Movimentacoes!$B:$B,"SAIDA_USO")</f>
        <v/>
      </c>
      <c r="I3550" s="13">
        <f>SUMIFS(Movimentacoes!$G:$G,Movimentacoes!$C:$C,$A3550,Movimentacoes!$E:$E,$C3550,Movimentacoes!$B:$B,"SAIDA_DESCARTE")</f>
        <v/>
      </c>
      <c r="J3550" s="13">
        <f>G3550-H3550-I3550</f>
        <v/>
      </c>
      <c r="K3550">
        <f>IF(A3550="","",IF(J3550&lt;=IFERROR(VLOOKUP(A3550,Cadastro_Produtos!$A:$E,5,FALSE),0),"ABAIXO DO MINIMO","OK"))</f>
        <v/>
      </c>
    </row>
    <row r="3551">
      <c r="B3551">
        <f>IFERROR(VLOOKUP(A3551,Cadastro_Produtos!A:B,2,FALSE),"")</f>
        <v/>
      </c>
      <c r="D3551" s="12" t="n"/>
      <c r="E3551" s="13">
        <f>IF(D3551="","",D3551-TODAY())</f>
        <v/>
      </c>
      <c r="F3551">
        <f>IF(D3551="","",IF(E3551&lt;0,"VENCIDO",IF(E3551&lt;=30,"VENCE EM &lt;= 30 DIAS",IF(E3551&lt;=60,"ATENCAO (31-60 DIAS)","OK"))))</f>
        <v/>
      </c>
      <c r="G3551" s="13">
        <f>SUMIFS(Movimentacoes!$G:$G,Movimentacoes!$C:$C,$A3551,Movimentacoes!$E:$E,$C3551,Movimentacoes!$B:$B,"ENTRADA")</f>
        <v/>
      </c>
      <c r="H3551" s="13">
        <f>SUMIFS(Movimentacoes!$G:$G,Movimentacoes!$C:$C,$A3551,Movimentacoes!$E:$E,$C3551,Movimentacoes!$B:$B,"SAIDA_USO")</f>
        <v/>
      </c>
      <c r="I3551" s="13">
        <f>SUMIFS(Movimentacoes!$G:$G,Movimentacoes!$C:$C,$A3551,Movimentacoes!$E:$E,$C3551,Movimentacoes!$B:$B,"SAIDA_DESCARTE")</f>
        <v/>
      </c>
      <c r="J3551" s="13">
        <f>G3551-H3551-I3551</f>
        <v/>
      </c>
      <c r="K3551">
        <f>IF(A3551="","",IF(J3551&lt;=IFERROR(VLOOKUP(A3551,Cadastro_Produtos!$A:$E,5,FALSE),0),"ABAIXO DO MINIMO","OK"))</f>
        <v/>
      </c>
    </row>
    <row r="3552">
      <c r="B3552">
        <f>IFERROR(VLOOKUP(A3552,Cadastro_Produtos!A:B,2,FALSE),"")</f>
        <v/>
      </c>
      <c r="D3552" s="12" t="n"/>
      <c r="E3552" s="13">
        <f>IF(D3552="","",D3552-TODAY())</f>
        <v/>
      </c>
      <c r="F3552">
        <f>IF(D3552="","",IF(E3552&lt;0,"VENCIDO",IF(E3552&lt;=30,"VENCE EM &lt;= 30 DIAS",IF(E3552&lt;=60,"ATENCAO (31-60 DIAS)","OK"))))</f>
        <v/>
      </c>
      <c r="G3552" s="13">
        <f>SUMIFS(Movimentacoes!$G:$G,Movimentacoes!$C:$C,$A3552,Movimentacoes!$E:$E,$C3552,Movimentacoes!$B:$B,"ENTRADA")</f>
        <v/>
      </c>
      <c r="H3552" s="13">
        <f>SUMIFS(Movimentacoes!$G:$G,Movimentacoes!$C:$C,$A3552,Movimentacoes!$E:$E,$C3552,Movimentacoes!$B:$B,"SAIDA_USO")</f>
        <v/>
      </c>
      <c r="I3552" s="13">
        <f>SUMIFS(Movimentacoes!$G:$G,Movimentacoes!$C:$C,$A3552,Movimentacoes!$E:$E,$C3552,Movimentacoes!$B:$B,"SAIDA_DESCARTE")</f>
        <v/>
      </c>
      <c r="J3552" s="13">
        <f>G3552-H3552-I3552</f>
        <v/>
      </c>
      <c r="K3552">
        <f>IF(A3552="","",IF(J3552&lt;=IFERROR(VLOOKUP(A3552,Cadastro_Produtos!$A:$E,5,FALSE),0),"ABAIXO DO MINIMO","OK"))</f>
        <v/>
      </c>
    </row>
    <row r="3553">
      <c r="B3553">
        <f>IFERROR(VLOOKUP(A3553,Cadastro_Produtos!A:B,2,FALSE),"")</f>
        <v/>
      </c>
      <c r="D3553" s="12" t="n"/>
      <c r="E3553" s="13">
        <f>IF(D3553="","",D3553-TODAY())</f>
        <v/>
      </c>
      <c r="F3553">
        <f>IF(D3553="","",IF(E3553&lt;0,"VENCIDO",IF(E3553&lt;=30,"VENCE EM &lt;= 30 DIAS",IF(E3553&lt;=60,"ATENCAO (31-60 DIAS)","OK"))))</f>
        <v/>
      </c>
      <c r="G3553" s="13">
        <f>SUMIFS(Movimentacoes!$G:$G,Movimentacoes!$C:$C,$A3553,Movimentacoes!$E:$E,$C3553,Movimentacoes!$B:$B,"ENTRADA")</f>
        <v/>
      </c>
      <c r="H3553" s="13">
        <f>SUMIFS(Movimentacoes!$G:$G,Movimentacoes!$C:$C,$A3553,Movimentacoes!$E:$E,$C3553,Movimentacoes!$B:$B,"SAIDA_USO")</f>
        <v/>
      </c>
      <c r="I3553" s="13">
        <f>SUMIFS(Movimentacoes!$G:$G,Movimentacoes!$C:$C,$A3553,Movimentacoes!$E:$E,$C3553,Movimentacoes!$B:$B,"SAIDA_DESCARTE")</f>
        <v/>
      </c>
      <c r="J3553" s="13">
        <f>G3553-H3553-I3553</f>
        <v/>
      </c>
      <c r="K3553">
        <f>IF(A3553="","",IF(J3553&lt;=IFERROR(VLOOKUP(A3553,Cadastro_Produtos!$A:$E,5,FALSE),0),"ABAIXO DO MINIMO","OK"))</f>
        <v/>
      </c>
    </row>
    <row r="3554">
      <c r="B3554">
        <f>IFERROR(VLOOKUP(A3554,Cadastro_Produtos!A:B,2,FALSE),"")</f>
        <v/>
      </c>
      <c r="D3554" s="12" t="n"/>
      <c r="E3554" s="13">
        <f>IF(D3554="","",D3554-TODAY())</f>
        <v/>
      </c>
      <c r="F3554">
        <f>IF(D3554="","",IF(E3554&lt;0,"VENCIDO",IF(E3554&lt;=30,"VENCE EM &lt;= 30 DIAS",IF(E3554&lt;=60,"ATENCAO (31-60 DIAS)","OK"))))</f>
        <v/>
      </c>
      <c r="G3554" s="13">
        <f>SUMIFS(Movimentacoes!$G:$G,Movimentacoes!$C:$C,$A3554,Movimentacoes!$E:$E,$C3554,Movimentacoes!$B:$B,"ENTRADA")</f>
        <v/>
      </c>
      <c r="H3554" s="13">
        <f>SUMIFS(Movimentacoes!$G:$G,Movimentacoes!$C:$C,$A3554,Movimentacoes!$E:$E,$C3554,Movimentacoes!$B:$B,"SAIDA_USO")</f>
        <v/>
      </c>
      <c r="I3554" s="13">
        <f>SUMIFS(Movimentacoes!$G:$G,Movimentacoes!$C:$C,$A3554,Movimentacoes!$E:$E,$C3554,Movimentacoes!$B:$B,"SAIDA_DESCARTE")</f>
        <v/>
      </c>
      <c r="J3554" s="13">
        <f>G3554-H3554-I3554</f>
        <v/>
      </c>
      <c r="K3554">
        <f>IF(A3554="","",IF(J3554&lt;=IFERROR(VLOOKUP(A3554,Cadastro_Produtos!$A:$E,5,FALSE),0),"ABAIXO DO MINIMO","OK"))</f>
        <v/>
      </c>
    </row>
    <row r="3555">
      <c r="B3555">
        <f>IFERROR(VLOOKUP(A3555,Cadastro_Produtos!A:B,2,FALSE),"")</f>
        <v/>
      </c>
      <c r="D3555" s="12" t="n"/>
      <c r="E3555" s="13">
        <f>IF(D3555="","",D3555-TODAY())</f>
        <v/>
      </c>
      <c r="F3555">
        <f>IF(D3555="","",IF(E3555&lt;0,"VENCIDO",IF(E3555&lt;=30,"VENCE EM &lt;= 30 DIAS",IF(E3555&lt;=60,"ATENCAO (31-60 DIAS)","OK"))))</f>
        <v/>
      </c>
      <c r="G3555" s="13">
        <f>SUMIFS(Movimentacoes!$G:$G,Movimentacoes!$C:$C,$A3555,Movimentacoes!$E:$E,$C3555,Movimentacoes!$B:$B,"ENTRADA")</f>
        <v/>
      </c>
      <c r="H3555" s="13">
        <f>SUMIFS(Movimentacoes!$G:$G,Movimentacoes!$C:$C,$A3555,Movimentacoes!$E:$E,$C3555,Movimentacoes!$B:$B,"SAIDA_USO")</f>
        <v/>
      </c>
      <c r="I3555" s="13">
        <f>SUMIFS(Movimentacoes!$G:$G,Movimentacoes!$C:$C,$A3555,Movimentacoes!$E:$E,$C3555,Movimentacoes!$B:$B,"SAIDA_DESCARTE")</f>
        <v/>
      </c>
      <c r="J3555" s="13">
        <f>G3555-H3555-I3555</f>
        <v/>
      </c>
      <c r="K3555">
        <f>IF(A3555="","",IF(J3555&lt;=IFERROR(VLOOKUP(A3555,Cadastro_Produtos!$A:$E,5,FALSE),0),"ABAIXO DO MINIMO","OK"))</f>
        <v/>
      </c>
    </row>
    <row r="3556">
      <c r="B3556">
        <f>IFERROR(VLOOKUP(A3556,Cadastro_Produtos!A:B,2,FALSE),"")</f>
        <v/>
      </c>
      <c r="D3556" s="12" t="n"/>
      <c r="E3556" s="13">
        <f>IF(D3556="","",D3556-TODAY())</f>
        <v/>
      </c>
      <c r="F3556">
        <f>IF(D3556="","",IF(E3556&lt;0,"VENCIDO",IF(E3556&lt;=30,"VENCE EM &lt;= 30 DIAS",IF(E3556&lt;=60,"ATENCAO (31-60 DIAS)","OK"))))</f>
        <v/>
      </c>
      <c r="G3556" s="13">
        <f>SUMIFS(Movimentacoes!$G:$G,Movimentacoes!$C:$C,$A3556,Movimentacoes!$E:$E,$C3556,Movimentacoes!$B:$B,"ENTRADA")</f>
        <v/>
      </c>
      <c r="H3556" s="13">
        <f>SUMIFS(Movimentacoes!$G:$G,Movimentacoes!$C:$C,$A3556,Movimentacoes!$E:$E,$C3556,Movimentacoes!$B:$B,"SAIDA_USO")</f>
        <v/>
      </c>
      <c r="I3556" s="13">
        <f>SUMIFS(Movimentacoes!$G:$G,Movimentacoes!$C:$C,$A3556,Movimentacoes!$E:$E,$C3556,Movimentacoes!$B:$B,"SAIDA_DESCARTE")</f>
        <v/>
      </c>
      <c r="J3556" s="13">
        <f>G3556-H3556-I3556</f>
        <v/>
      </c>
      <c r="K3556">
        <f>IF(A3556="","",IF(J3556&lt;=IFERROR(VLOOKUP(A3556,Cadastro_Produtos!$A:$E,5,FALSE),0),"ABAIXO DO MINIMO","OK"))</f>
        <v/>
      </c>
    </row>
    <row r="3557">
      <c r="B3557">
        <f>IFERROR(VLOOKUP(A3557,Cadastro_Produtos!A:B,2,FALSE),"")</f>
        <v/>
      </c>
      <c r="D3557" s="12" t="n"/>
      <c r="E3557" s="13">
        <f>IF(D3557="","",D3557-TODAY())</f>
        <v/>
      </c>
      <c r="F3557">
        <f>IF(D3557="","",IF(E3557&lt;0,"VENCIDO",IF(E3557&lt;=30,"VENCE EM &lt;= 30 DIAS",IF(E3557&lt;=60,"ATENCAO (31-60 DIAS)","OK"))))</f>
        <v/>
      </c>
      <c r="G3557" s="13">
        <f>SUMIFS(Movimentacoes!$G:$G,Movimentacoes!$C:$C,$A3557,Movimentacoes!$E:$E,$C3557,Movimentacoes!$B:$B,"ENTRADA")</f>
        <v/>
      </c>
      <c r="H3557" s="13">
        <f>SUMIFS(Movimentacoes!$G:$G,Movimentacoes!$C:$C,$A3557,Movimentacoes!$E:$E,$C3557,Movimentacoes!$B:$B,"SAIDA_USO")</f>
        <v/>
      </c>
      <c r="I3557" s="13">
        <f>SUMIFS(Movimentacoes!$G:$G,Movimentacoes!$C:$C,$A3557,Movimentacoes!$E:$E,$C3557,Movimentacoes!$B:$B,"SAIDA_DESCARTE")</f>
        <v/>
      </c>
      <c r="J3557" s="13">
        <f>G3557-H3557-I3557</f>
        <v/>
      </c>
      <c r="K3557">
        <f>IF(A3557="","",IF(J3557&lt;=IFERROR(VLOOKUP(A3557,Cadastro_Produtos!$A:$E,5,FALSE),0),"ABAIXO DO MINIMO","OK"))</f>
        <v/>
      </c>
    </row>
    <row r="3558">
      <c r="B3558">
        <f>IFERROR(VLOOKUP(A3558,Cadastro_Produtos!A:B,2,FALSE),"")</f>
        <v/>
      </c>
      <c r="D3558" s="12" t="n"/>
      <c r="E3558" s="13">
        <f>IF(D3558="","",D3558-TODAY())</f>
        <v/>
      </c>
      <c r="F3558">
        <f>IF(D3558="","",IF(E3558&lt;0,"VENCIDO",IF(E3558&lt;=30,"VENCE EM &lt;= 30 DIAS",IF(E3558&lt;=60,"ATENCAO (31-60 DIAS)","OK"))))</f>
        <v/>
      </c>
      <c r="G3558" s="13">
        <f>SUMIFS(Movimentacoes!$G:$G,Movimentacoes!$C:$C,$A3558,Movimentacoes!$E:$E,$C3558,Movimentacoes!$B:$B,"ENTRADA")</f>
        <v/>
      </c>
      <c r="H3558" s="13">
        <f>SUMIFS(Movimentacoes!$G:$G,Movimentacoes!$C:$C,$A3558,Movimentacoes!$E:$E,$C3558,Movimentacoes!$B:$B,"SAIDA_USO")</f>
        <v/>
      </c>
      <c r="I3558" s="13">
        <f>SUMIFS(Movimentacoes!$G:$G,Movimentacoes!$C:$C,$A3558,Movimentacoes!$E:$E,$C3558,Movimentacoes!$B:$B,"SAIDA_DESCARTE")</f>
        <v/>
      </c>
      <c r="J3558" s="13">
        <f>G3558-H3558-I3558</f>
        <v/>
      </c>
      <c r="K3558">
        <f>IF(A3558="","",IF(J3558&lt;=IFERROR(VLOOKUP(A3558,Cadastro_Produtos!$A:$E,5,FALSE),0),"ABAIXO DO MINIMO","OK"))</f>
        <v/>
      </c>
    </row>
    <row r="3559">
      <c r="B3559">
        <f>IFERROR(VLOOKUP(A3559,Cadastro_Produtos!A:B,2,FALSE),"")</f>
        <v/>
      </c>
      <c r="D3559" s="12" t="n"/>
      <c r="E3559" s="13">
        <f>IF(D3559="","",D3559-TODAY())</f>
        <v/>
      </c>
      <c r="F3559">
        <f>IF(D3559="","",IF(E3559&lt;0,"VENCIDO",IF(E3559&lt;=30,"VENCE EM &lt;= 30 DIAS",IF(E3559&lt;=60,"ATENCAO (31-60 DIAS)","OK"))))</f>
        <v/>
      </c>
      <c r="G3559" s="13">
        <f>SUMIFS(Movimentacoes!$G:$G,Movimentacoes!$C:$C,$A3559,Movimentacoes!$E:$E,$C3559,Movimentacoes!$B:$B,"ENTRADA")</f>
        <v/>
      </c>
      <c r="H3559" s="13">
        <f>SUMIFS(Movimentacoes!$G:$G,Movimentacoes!$C:$C,$A3559,Movimentacoes!$E:$E,$C3559,Movimentacoes!$B:$B,"SAIDA_USO")</f>
        <v/>
      </c>
      <c r="I3559" s="13">
        <f>SUMIFS(Movimentacoes!$G:$G,Movimentacoes!$C:$C,$A3559,Movimentacoes!$E:$E,$C3559,Movimentacoes!$B:$B,"SAIDA_DESCARTE")</f>
        <v/>
      </c>
      <c r="J3559" s="13">
        <f>G3559-H3559-I3559</f>
        <v/>
      </c>
      <c r="K3559">
        <f>IF(A3559="","",IF(J3559&lt;=IFERROR(VLOOKUP(A3559,Cadastro_Produtos!$A:$E,5,FALSE),0),"ABAIXO DO MINIMO","OK"))</f>
        <v/>
      </c>
    </row>
    <row r="3560">
      <c r="B3560">
        <f>IFERROR(VLOOKUP(A3560,Cadastro_Produtos!A:B,2,FALSE),"")</f>
        <v/>
      </c>
      <c r="D3560" s="12" t="n"/>
      <c r="E3560" s="13">
        <f>IF(D3560="","",D3560-TODAY())</f>
        <v/>
      </c>
      <c r="F3560">
        <f>IF(D3560="","",IF(E3560&lt;0,"VENCIDO",IF(E3560&lt;=30,"VENCE EM &lt;= 30 DIAS",IF(E3560&lt;=60,"ATENCAO (31-60 DIAS)","OK"))))</f>
        <v/>
      </c>
      <c r="G3560" s="13">
        <f>SUMIFS(Movimentacoes!$G:$G,Movimentacoes!$C:$C,$A3560,Movimentacoes!$E:$E,$C3560,Movimentacoes!$B:$B,"ENTRADA")</f>
        <v/>
      </c>
      <c r="H3560" s="13">
        <f>SUMIFS(Movimentacoes!$G:$G,Movimentacoes!$C:$C,$A3560,Movimentacoes!$E:$E,$C3560,Movimentacoes!$B:$B,"SAIDA_USO")</f>
        <v/>
      </c>
      <c r="I3560" s="13">
        <f>SUMIFS(Movimentacoes!$G:$G,Movimentacoes!$C:$C,$A3560,Movimentacoes!$E:$E,$C3560,Movimentacoes!$B:$B,"SAIDA_DESCARTE")</f>
        <v/>
      </c>
      <c r="J3560" s="13">
        <f>G3560-H3560-I3560</f>
        <v/>
      </c>
      <c r="K3560">
        <f>IF(A3560="","",IF(J3560&lt;=IFERROR(VLOOKUP(A3560,Cadastro_Produtos!$A:$E,5,FALSE),0),"ABAIXO DO MINIMO","OK"))</f>
        <v/>
      </c>
    </row>
    <row r="3561">
      <c r="B3561">
        <f>IFERROR(VLOOKUP(A3561,Cadastro_Produtos!A:B,2,FALSE),"")</f>
        <v/>
      </c>
      <c r="D3561" s="12" t="n"/>
      <c r="E3561" s="13">
        <f>IF(D3561="","",D3561-TODAY())</f>
        <v/>
      </c>
      <c r="F3561">
        <f>IF(D3561="","",IF(E3561&lt;0,"VENCIDO",IF(E3561&lt;=30,"VENCE EM &lt;= 30 DIAS",IF(E3561&lt;=60,"ATENCAO (31-60 DIAS)","OK"))))</f>
        <v/>
      </c>
      <c r="G3561" s="13">
        <f>SUMIFS(Movimentacoes!$G:$G,Movimentacoes!$C:$C,$A3561,Movimentacoes!$E:$E,$C3561,Movimentacoes!$B:$B,"ENTRADA")</f>
        <v/>
      </c>
      <c r="H3561" s="13">
        <f>SUMIFS(Movimentacoes!$G:$G,Movimentacoes!$C:$C,$A3561,Movimentacoes!$E:$E,$C3561,Movimentacoes!$B:$B,"SAIDA_USO")</f>
        <v/>
      </c>
      <c r="I3561" s="13">
        <f>SUMIFS(Movimentacoes!$G:$G,Movimentacoes!$C:$C,$A3561,Movimentacoes!$E:$E,$C3561,Movimentacoes!$B:$B,"SAIDA_DESCARTE")</f>
        <v/>
      </c>
      <c r="J3561" s="13">
        <f>G3561-H3561-I3561</f>
        <v/>
      </c>
      <c r="K3561">
        <f>IF(A3561="","",IF(J3561&lt;=IFERROR(VLOOKUP(A3561,Cadastro_Produtos!$A:$E,5,FALSE),0),"ABAIXO DO MINIMO","OK"))</f>
        <v/>
      </c>
    </row>
    <row r="3562">
      <c r="B3562">
        <f>IFERROR(VLOOKUP(A3562,Cadastro_Produtos!A:B,2,FALSE),"")</f>
        <v/>
      </c>
      <c r="D3562" s="12" t="n"/>
      <c r="E3562" s="13">
        <f>IF(D3562="","",D3562-TODAY())</f>
        <v/>
      </c>
      <c r="F3562">
        <f>IF(D3562="","",IF(E3562&lt;0,"VENCIDO",IF(E3562&lt;=30,"VENCE EM &lt;= 30 DIAS",IF(E3562&lt;=60,"ATENCAO (31-60 DIAS)","OK"))))</f>
        <v/>
      </c>
      <c r="G3562" s="13">
        <f>SUMIFS(Movimentacoes!$G:$G,Movimentacoes!$C:$C,$A3562,Movimentacoes!$E:$E,$C3562,Movimentacoes!$B:$B,"ENTRADA")</f>
        <v/>
      </c>
      <c r="H3562" s="13">
        <f>SUMIFS(Movimentacoes!$G:$G,Movimentacoes!$C:$C,$A3562,Movimentacoes!$E:$E,$C3562,Movimentacoes!$B:$B,"SAIDA_USO")</f>
        <v/>
      </c>
      <c r="I3562" s="13">
        <f>SUMIFS(Movimentacoes!$G:$G,Movimentacoes!$C:$C,$A3562,Movimentacoes!$E:$E,$C3562,Movimentacoes!$B:$B,"SAIDA_DESCARTE")</f>
        <v/>
      </c>
      <c r="J3562" s="13">
        <f>G3562-H3562-I3562</f>
        <v/>
      </c>
      <c r="K3562">
        <f>IF(A3562="","",IF(J3562&lt;=IFERROR(VLOOKUP(A3562,Cadastro_Produtos!$A:$E,5,FALSE),0),"ABAIXO DO MINIMO","OK"))</f>
        <v/>
      </c>
    </row>
    <row r="3563">
      <c r="B3563">
        <f>IFERROR(VLOOKUP(A3563,Cadastro_Produtos!A:B,2,FALSE),"")</f>
        <v/>
      </c>
      <c r="D3563" s="12" t="n"/>
      <c r="E3563" s="13">
        <f>IF(D3563="","",D3563-TODAY())</f>
        <v/>
      </c>
      <c r="F3563">
        <f>IF(D3563="","",IF(E3563&lt;0,"VENCIDO",IF(E3563&lt;=30,"VENCE EM &lt;= 30 DIAS",IF(E3563&lt;=60,"ATENCAO (31-60 DIAS)","OK"))))</f>
        <v/>
      </c>
      <c r="G3563" s="13">
        <f>SUMIFS(Movimentacoes!$G:$G,Movimentacoes!$C:$C,$A3563,Movimentacoes!$E:$E,$C3563,Movimentacoes!$B:$B,"ENTRADA")</f>
        <v/>
      </c>
      <c r="H3563" s="13">
        <f>SUMIFS(Movimentacoes!$G:$G,Movimentacoes!$C:$C,$A3563,Movimentacoes!$E:$E,$C3563,Movimentacoes!$B:$B,"SAIDA_USO")</f>
        <v/>
      </c>
      <c r="I3563" s="13">
        <f>SUMIFS(Movimentacoes!$G:$G,Movimentacoes!$C:$C,$A3563,Movimentacoes!$E:$E,$C3563,Movimentacoes!$B:$B,"SAIDA_DESCARTE")</f>
        <v/>
      </c>
      <c r="J3563" s="13">
        <f>G3563-H3563-I3563</f>
        <v/>
      </c>
      <c r="K3563">
        <f>IF(A3563="","",IF(J3563&lt;=IFERROR(VLOOKUP(A3563,Cadastro_Produtos!$A:$E,5,FALSE),0),"ABAIXO DO MINIMO","OK"))</f>
        <v/>
      </c>
    </row>
    <row r="3564">
      <c r="B3564">
        <f>IFERROR(VLOOKUP(A3564,Cadastro_Produtos!A:B,2,FALSE),"")</f>
        <v/>
      </c>
      <c r="D3564" s="12" t="n"/>
      <c r="E3564" s="13">
        <f>IF(D3564="","",D3564-TODAY())</f>
        <v/>
      </c>
      <c r="F3564">
        <f>IF(D3564="","",IF(E3564&lt;0,"VENCIDO",IF(E3564&lt;=30,"VENCE EM &lt;= 30 DIAS",IF(E3564&lt;=60,"ATENCAO (31-60 DIAS)","OK"))))</f>
        <v/>
      </c>
      <c r="G3564" s="13">
        <f>SUMIFS(Movimentacoes!$G:$G,Movimentacoes!$C:$C,$A3564,Movimentacoes!$E:$E,$C3564,Movimentacoes!$B:$B,"ENTRADA")</f>
        <v/>
      </c>
      <c r="H3564" s="13">
        <f>SUMIFS(Movimentacoes!$G:$G,Movimentacoes!$C:$C,$A3564,Movimentacoes!$E:$E,$C3564,Movimentacoes!$B:$B,"SAIDA_USO")</f>
        <v/>
      </c>
      <c r="I3564" s="13">
        <f>SUMIFS(Movimentacoes!$G:$G,Movimentacoes!$C:$C,$A3564,Movimentacoes!$E:$E,$C3564,Movimentacoes!$B:$B,"SAIDA_DESCARTE")</f>
        <v/>
      </c>
      <c r="J3564" s="13">
        <f>G3564-H3564-I3564</f>
        <v/>
      </c>
      <c r="K3564">
        <f>IF(A3564="","",IF(J3564&lt;=IFERROR(VLOOKUP(A3564,Cadastro_Produtos!$A:$E,5,FALSE),0),"ABAIXO DO MINIMO","OK"))</f>
        <v/>
      </c>
    </row>
    <row r="3565">
      <c r="B3565">
        <f>IFERROR(VLOOKUP(A3565,Cadastro_Produtos!A:B,2,FALSE),"")</f>
        <v/>
      </c>
      <c r="D3565" s="12" t="n"/>
      <c r="E3565" s="13">
        <f>IF(D3565="","",D3565-TODAY())</f>
        <v/>
      </c>
      <c r="F3565">
        <f>IF(D3565="","",IF(E3565&lt;0,"VENCIDO",IF(E3565&lt;=30,"VENCE EM &lt;= 30 DIAS",IF(E3565&lt;=60,"ATENCAO (31-60 DIAS)","OK"))))</f>
        <v/>
      </c>
      <c r="G3565" s="13">
        <f>SUMIFS(Movimentacoes!$G:$G,Movimentacoes!$C:$C,$A3565,Movimentacoes!$E:$E,$C3565,Movimentacoes!$B:$B,"ENTRADA")</f>
        <v/>
      </c>
      <c r="H3565" s="13">
        <f>SUMIFS(Movimentacoes!$G:$G,Movimentacoes!$C:$C,$A3565,Movimentacoes!$E:$E,$C3565,Movimentacoes!$B:$B,"SAIDA_USO")</f>
        <v/>
      </c>
      <c r="I3565" s="13">
        <f>SUMIFS(Movimentacoes!$G:$G,Movimentacoes!$C:$C,$A3565,Movimentacoes!$E:$E,$C3565,Movimentacoes!$B:$B,"SAIDA_DESCARTE")</f>
        <v/>
      </c>
      <c r="J3565" s="13">
        <f>G3565-H3565-I3565</f>
        <v/>
      </c>
      <c r="K3565">
        <f>IF(A3565="","",IF(J3565&lt;=IFERROR(VLOOKUP(A3565,Cadastro_Produtos!$A:$E,5,FALSE),0),"ABAIXO DO MINIMO","OK"))</f>
        <v/>
      </c>
    </row>
    <row r="3566">
      <c r="B3566">
        <f>IFERROR(VLOOKUP(A3566,Cadastro_Produtos!A:B,2,FALSE),"")</f>
        <v/>
      </c>
      <c r="D3566" s="12" t="n"/>
      <c r="E3566" s="13">
        <f>IF(D3566="","",D3566-TODAY())</f>
        <v/>
      </c>
      <c r="F3566">
        <f>IF(D3566="","",IF(E3566&lt;0,"VENCIDO",IF(E3566&lt;=30,"VENCE EM &lt;= 30 DIAS",IF(E3566&lt;=60,"ATENCAO (31-60 DIAS)","OK"))))</f>
        <v/>
      </c>
      <c r="G3566" s="13">
        <f>SUMIFS(Movimentacoes!$G:$G,Movimentacoes!$C:$C,$A3566,Movimentacoes!$E:$E,$C3566,Movimentacoes!$B:$B,"ENTRADA")</f>
        <v/>
      </c>
      <c r="H3566" s="13">
        <f>SUMIFS(Movimentacoes!$G:$G,Movimentacoes!$C:$C,$A3566,Movimentacoes!$E:$E,$C3566,Movimentacoes!$B:$B,"SAIDA_USO")</f>
        <v/>
      </c>
      <c r="I3566" s="13">
        <f>SUMIFS(Movimentacoes!$G:$G,Movimentacoes!$C:$C,$A3566,Movimentacoes!$E:$E,$C3566,Movimentacoes!$B:$B,"SAIDA_DESCARTE")</f>
        <v/>
      </c>
      <c r="J3566" s="13">
        <f>G3566-H3566-I3566</f>
        <v/>
      </c>
      <c r="K3566">
        <f>IF(A3566="","",IF(J3566&lt;=IFERROR(VLOOKUP(A3566,Cadastro_Produtos!$A:$E,5,FALSE),0),"ABAIXO DO MINIMO","OK"))</f>
        <v/>
      </c>
    </row>
    <row r="3567">
      <c r="B3567">
        <f>IFERROR(VLOOKUP(A3567,Cadastro_Produtos!A:B,2,FALSE),"")</f>
        <v/>
      </c>
      <c r="D3567" s="12" t="n"/>
      <c r="E3567" s="13">
        <f>IF(D3567="","",D3567-TODAY())</f>
        <v/>
      </c>
      <c r="F3567">
        <f>IF(D3567="","",IF(E3567&lt;0,"VENCIDO",IF(E3567&lt;=30,"VENCE EM &lt;= 30 DIAS",IF(E3567&lt;=60,"ATENCAO (31-60 DIAS)","OK"))))</f>
        <v/>
      </c>
      <c r="G3567" s="13">
        <f>SUMIFS(Movimentacoes!$G:$G,Movimentacoes!$C:$C,$A3567,Movimentacoes!$E:$E,$C3567,Movimentacoes!$B:$B,"ENTRADA")</f>
        <v/>
      </c>
      <c r="H3567" s="13">
        <f>SUMIFS(Movimentacoes!$G:$G,Movimentacoes!$C:$C,$A3567,Movimentacoes!$E:$E,$C3567,Movimentacoes!$B:$B,"SAIDA_USO")</f>
        <v/>
      </c>
      <c r="I3567" s="13">
        <f>SUMIFS(Movimentacoes!$G:$G,Movimentacoes!$C:$C,$A3567,Movimentacoes!$E:$E,$C3567,Movimentacoes!$B:$B,"SAIDA_DESCARTE")</f>
        <v/>
      </c>
      <c r="J3567" s="13">
        <f>G3567-H3567-I3567</f>
        <v/>
      </c>
      <c r="K3567">
        <f>IF(A3567="","",IF(J3567&lt;=IFERROR(VLOOKUP(A3567,Cadastro_Produtos!$A:$E,5,FALSE),0),"ABAIXO DO MINIMO","OK"))</f>
        <v/>
      </c>
    </row>
    <row r="3568">
      <c r="B3568">
        <f>IFERROR(VLOOKUP(A3568,Cadastro_Produtos!A:B,2,FALSE),"")</f>
        <v/>
      </c>
      <c r="D3568" s="12" t="n"/>
      <c r="E3568" s="13">
        <f>IF(D3568="","",D3568-TODAY())</f>
        <v/>
      </c>
      <c r="F3568">
        <f>IF(D3568="","",IF(E3568&lt;0,"VENCIDO",IF(E3568&lt;=30,"VENCE EM &lt;= 30 DIAS",IF(E3568&lt;=60,"ATENCAO (31-60 DIAS)","OK"))))</f>
        <v/>
      </c>
      <c r="G3568" s="13">
        <f>SUMIFS(Movimentacoes!$G:$G,Movimentacoes!$C:$C,$A3568,Movimentacoes!$E:$E,$C3568,Movimentacoes!$B:$B,"ENTRADA")</f>
        <v/>
      </c>
      <c r="H3568" s="13">
        <f>SUMIFS(Movimentacoes!$G:$G,Movimentacoes!$C:$C,$A3568,Movimentacoes!$E:$E,$C3568,Movimentacoes!$B:$B,"SAIDA_USO")</f>
        <v/>
      </c>
      <c r="I3568" s="13">
        <f>SUMIFS(Movimentacoes!$G:$G,Movimentacoes!$C:$C,$A3568,Movimentacoes!$E:$E,$C3568,Movimentacoes!$B:$B,"SAIDA_DESCARTE")</f>
        <v/>
      </c>
      <c r="J3568" s="13">
        <f>G3568-H3568-I3568</f>
        <v/>
      </c>
      <c r="K3568">
        <f>IF(A3568="","",IF(J3568&lt;=IFERROR(VLOOKUP(A3568,Cadastro_Produtos!$A:$E,5,FALSE),0),"ABAIXO DO MINIMO","OK"))</f>
        <v/>
      </c>
    </row>
    <row r="3569">
      <c r="B3569">
        <f>IFERROR(VLOOKUP(A3569,Cadastro_Produtos!A:B,2,FALSE),"")</f>
        <v/>
      </c>
      <c r="D3569" s="12" t="n"/>
      <c r="E3569" s="13">
        <f>IF(D3569="","",D3569-TODAY())</f>
        <v/>
      </c>
      <c r="F3569">
        <f>IF(D3569="","",IF(E3569&lt;0,"VENCIDO",IF(E3569&lt;=30,"VENCE EM &lt;= 30 DIAS",IF(E3569&lt;=60,"ATENCAO (31-60 DIAS)","OK"))))</f>
        <v/>
      </c>
      <c r="G3569" s="13">
        <f>SUMIFS(Movimentacoes!$G:$G,Movimentacoes!$C:$C,$A3569,Movimentacoes!$E:$E,$C3569,Movimentacoes!$B:$B,"ENTRADA")</f>
        <v/>
      </c>
      <c r="H3569" s="13">
        <f>SUMIFS(Movimentacoes!$G:$G,Movimentacoes!$C:$C,$A3569,Movimentacoes!$E:$E,$C3569,Movimentacoes!$B:$B,"SAIDA_USO")</f>
        <v/>
      </c>
      <c r="I3569" s="13">
        <f>SUMIFS(Movimentacoes!$G:$G,Movimentacoes!$C:$C,$A3569,Movimentacoes!$E:$E,$C3569,Movimentacoes!$B:$B,"SAIDA_DESCARTE")</f>
        <v/>
      </c>
      <c r="J3569" s="13">
        <f>G3569-H3569-I3569</f>
        <v/>
      </c>
      <c r="K3569">
        <f>IF(A3569="","",IF(J3569&lt;=IFERROR(VLOOKUP(A3569,Cadastro_Produtos!$A:$E,5,FALSE),0),"ABAIXO DO MINIMO","OK"))</f>
        <v/>
      </c>
    </row>
    <row r="3570">
      <c r="B3570">
        <f>IFERROR(VLOOKUP(A3570,Cadastro_Produtos!A:B,2,FALSE),"")</f>
        <v/>
      </c>
      <c r="D3570" s="12" t="n"/>
      <c r="E3570" s="13">
        <f>IF(D3570="","",D3570-TODAY())</f>
        <v/>
      </c>
      <c r="F3570">
        <f>IF(D3570="","",IF(E3570&lt;0,"VENCIDO",IF(E3570&lt;=30,"VENCE EM &lt;= 30 DIAS",IF(E3570&lt;=60,"ATENCAO (31-60 DIAS)","OK"))))</f>
        <v/>
      </c>
      <c r="G3570" s="13">
        <f>SUMIFS(Movimentacoes!$G:$G,Movimentacoes!$C:$C,$A3570,Movimentacoes!$E:$E,$C3570,Movimentacoes!$B:$B,"ENTRADA")</f>
        <v/>
      </c>
      <c r="H3570" s="13">
        <f>SUMIFS(Movimentacoes!$G:$G,Movimentacoes!$C:$C,$A3570,Movimentacoes!$E:$E,$C3570,Movimentacoes!$B:$B,"SAIDA_USO")</f>
        <v/>
      </c>
      <c r="I3570" s="13">
        <f>SUMIFS(Movimentacoes!$G:$G,Movimentacoes!$C:$C,$A3570,Movimentacoes!$E:$E,$C3570,Movimentacoes!$B:$B,"SAIDA_DESCARTE")</f>
        <v/>
      </c>
      <c r="J3570" s="13">
        <f>G3570-H3570-I3570</f>
        <v/>
      </c>
      <c r="K3570">
        <f>IF(A3570="","",IF(J3570&lt;=IFERROR(VLOOKUP(A3570,Cadastro_Produtos!$A:$E,5,FALSE),0),"ABAIXO DO MINIMO","OK"))</f>
        <v/>
      </c>
    </row>
    <row r="3571">
      <c r="B3571">
        <f>IFERROR(VLOOKUP(A3571,Cadastro_Produtos!A:B,2,FALSE),"")</f>
        <v/>
      </c>
      <c r="D3571" s="12" t="n"/>
      <c r="E3571" s="13">
        <f>IF(D3571="","",D3571-TODAY())</f>
        <v/>
      </c>
      <c r="F3571">
        <f>IF(D3571="","",IF(E3571&lt;0,"VENCIDO",IF(E3571&lt;=30,"VENCE EM &lt;= 30 DIAS",IF(E3571&lt;=60,"ATENCAO (31-60 DIAS)","OK"))))</f>
        <v/>
      </c>
      <c r="G3571" s="13">
        <f>SUMIFS(Movimentacoes!$G:$G,Movimentacoes!$C:$C,$A3571,Movimentacoes!$E:$E,$C3571,Movimentacoes!$B:$B,"ENTRADA")</f>
        <v/>
      </c>
      <c r="H3571" s="13">
        <f>SUMIFS(Movimentacoes!$G:$G,Movimentacoes!$C:$C,$A3571,Movimentacoes!$E:$E,$C3571,Movimentacoes!$B:$B,"SAIDA_USO")</f>
        <v/>
      </c>
      <c r="I3571" s="13">
        <f>SUMIFS(Movimentacoes!$G:$G,Movimentacoes!$C:$C,$A3571,Movimentacoes!$E:$E,$C3571,Movimentacoes!$B:$B,"SAIDA_DESCARTE")</f>
        <v/>
      </c>
      <c r="J3571" s="13">
        <f>G3571-H3571-I3571</f>
        <v/>
      </c>
      <c r="K3571">
        <f>IF(A3571="","",IF(J3571&lt;=IFERROR(VLOOKUP(A3571,Cadastro_Produtos!$A:$E,5,FALSE),0),"ABAIXO DO MINIMO","OK"))</f>
        <v/>
      </c>
    </row>
    <row r="3572">
      <c r="B3572">
        <f>IFERROR(VLOOKUP(A3572,Cadastro_Produtos!A:B,2,FALSE),"")</f>
        <v/>
      </c>
      <c r="D3572" s="12" t="n"/>
      <c r="E3572" s="13">
        <f>IF(D3572="","",D3572-TODAY())</f>
        <v/>
      </c>
      <c r="F3572">
        <f>IF(D3572="","",IF(E3572&lt;0,"VENCIDO",IF(E3572&lt;=30,"VENCE EM &lt;= 30 DIAS",IF(E3572&lt;=60,"ATENCAO (31-60 DIAS)","OK"))))</f>
        <v/>
      </c>
      <c r="G3572" s="13">
        <f>SUMIFS(Movimentacoes!$G:$G,Movimentacoes!$C:$C,$A3572,Movimentacoes!$E:$E,$C3572,Movimentacoes!$B:$B,"ENTRADA")</f>
        <v/>
      </c>
      <c r="H3572" s="13">
        <f>SUMIFS(Movimentacoes!$G:$G,Movimentacoes!$C:$C,$A3572,Movimentacoes!$E:$E,$C3572,Movimentacoes!$B:$B,"SAIDA_USO")</f>
        <v/>
      </c>
      <c r="I3572" s="13">
        <f>SUMIFS(Movimentacoes!$G:$G,Movimentacoes!$C:$C,$A3572,Movimentacoes!$E:$E,$C3572,Movimentacoes!$B:$B,"SAIDA_DESCARTE")</f>
        <v/>
      </c>
      <c r="J3572" s="13">
        <f>G3572-H3572-I3572</f>
        <v/>
      </c>
      <c r="K3572">
        <f>IF(A3572="","",IF(J3572&lt;=IFERROR(VLOOKUP(A3572,Cadastro_Produtos!$A:$E,5,FALSE),0),"ABAIXO DO MINIMO","OK"))</f>
        <v/>
      </c>
    </row>
    <row r="3573">
      <c r="B3573">
        <f>IFERROR(VLOOKUP(A3573,Cadastro_Produtos!A:B,2,FALSE),"")</f>
        <v/>
      </c>
      <c r="D3573" s="12" t="n"/>
      <c r="E3573" s="13">
        <f>IF(D3573="","",D3573-TODAY())</f>
        <v/>
      </c>
      <c r="F3573">
        <f>IF(D3573="","",IF(E3573&lt;0,"VENCIDO",IF(E3573&lt;=30,"VENCE EM &lt;= 30 DIAS",IF(E3573&lt;=60,"ATENCAO (31-60 DIAS)","OK"))))</f>
        <v/>
      </c>
      <c r="G3573" s="13">
        <f>SUMIFS(Movimentacoes!$G:$G,Movimentacoes!$C:$C,$A3573,Movimentacoes!$E:$E,$C3573,Movimentacoes!$B:$B,"ENTRADA")</f>
        <v/>
      </c>
      <c r="H3573" s="13">
        <f>SUMIFS(Movimentacoes!$G:$G,Movimentacoes!$C:$C,$A3573,Movimentacoes!$E:$E,$C3573,Movimentacoes!$B:$B,"SAIDA_USO")</f>
        <v/>
      </c>
      <c r="I3573" s="13">
        <f>SUMIFS(Movimentacoes!$G:$G,Movimentacoes!$C:$C,$A3573,Movimentacoes!$E:$E,$C3573,Movimentacoes!$B:$B,"SAIDA_DESCARTE")</f>
        <v/>
      </c>
      <c r="J3573" s="13">
        <f>G3573-H3573-I3573</f>
        <v/>
      </c>
      <c r="K3573">
        <f>IF(A3573="","",IF(J3573&lt;=IFERROR(VLOOKUP(A3573,Cadastro_Produtos!$A:$E,5,FALSE),0),"ABAIXO DO MINIMO","OK"))</f>
        <v/>
      </c>
    </row>
    <row r="3574">
      <c r="B3574">
        <f>IFERROR(VLOOKUP(A3574,Cadastro_Produtos!A:B,2,FALSE),"")</f>
        <v/>
      </c>
      <c r="D3574" s="12" t="n"/>
      <c r="E3574" s="13">
        <f>IF(D3574="","",D3574-TODAY())</f>
        <v/>
      </c>
      <c r="F3574">
        <f>IF(D3574="","",IF(E3574&lt;0,"VENCIDO",IF(E3574&lt;=30,"VENCE EM &lt;= 30 DIAS",IF(E3574&lt;=60,"ATENCAO (31-60 DIAS)","OK"))))</f>
        <v/>
      </c>
      <c r="G3574" s="13">
        <f>SUMIFS(Movimentacoes!$G:$G,Movimentacoes!$C:$C,$A3574,Movimentacoes!$E:$E,$C3574,Movimentacoes!$B:$B,"ENTRADA")</f>
        <v/>
      </c>
      <c r="H3574" s="13">
        <f>SUMIFS(Movimentacoes!$G:$G,Movimentacoes!$C:$C,$A3574,Movimentacoes!$E:$E,$C3574,Movimentacoes!$B:$B,"SAIDA_USO")</f>
        <v/>
      </c>
      <c r="I3574" s="13">
        <f>SUMIFS(Movimentacoes!$G:$G,Movimentacoes!$C:$C,$A3574,Movimentacoes!$E:$E,$C3574,Movimentacoes!$B:$B,"SAIDA_DESCARTE")</f>
        <v/>
      </c>
      <c r="J3574" s="13">
        <f>G3574-H3574-I3574</f>
        <v/>
      </c>
      <c r="K3574">
        <f>IF(A3574="","",IF(J3574&lt;=IFERROR(VLOOKUP(A3574,Cadastro_Produtos!$A:$E,5,FALSE),0),"ABAIXO DO MINIMO","OK"))</f>
        <v/>
      </c>
    </row>
    <row r="3575">
      <c r="B3575">
        <f>IFERROR(VLOOKUP(A3575,Cadastro_Produtos!A:B,2,FALSE),"")</f>
        <v/>
      </c>
      <c r="D3575" s="12" t="n"/>
      <c r="E3575" s="13">
        <f>IF(D3575="","",D3575-TODAY())</f>
        <v/>
      </c>
      <c r="F3575">
        <f>IF(D3575="","",IF(E3575&lt;0,"VENCIDO",IF(E3575&lt;=30,"VENCE EM &lt;= 30 DIAS",IF(E3575&lt;=60,"ATENCAO (31-60 DIAS)","OK"))))</f>
        <v/>
      </c>
      <c r="G3575" s="13">
        <f>SUMIFS(Movimentacoes!$G:$G,Movimentacoes!$C:$C,$A3575,Movimentacoes!$E:$E,$C3575,Movimentacoes!$B:$B,"ENTRADA")</f>
        <v/>
      </c>
      <c r="H3575" s="13">
        <f>SUMIFS(Movimentacoes!$G:$G,Movimentacoes!$C:$C,$A3575,Movimentacoes!$E:$E,$C3575,Movimentacoes!$B:$B,"SAIDA_USO")</f>
        <v/>
      </c>
      <c r="I3575" s="13">
        <f>SUMIFS(Movimentacoes!$G:$G,Movimentacoes!$C:$C,$A3575,Movimentacoes!$E:$E,$C3575,Movimentacoes!$B:$B,"SAIDA_DESCARTE")</f>
        <v/>
      </c>
      <c r="J3575" s="13">
        <f>G3575-H3575-I3575</f>
        <v/>
      </c>
      <c r="K3575">
        <f>IF(A3575="","",IF(J3575&lt;=IFERROR(VLOOKUP(A3575,Cadastro_Produtos!$A:$E,5,FALSE),0),"ABAIXO DO MINIMO","OK"))</f>
        <v/>
      </c>
    </row>
    <row r="3576">
      <c r="B3576">
        <f>IFERROR(VLOOKUP(A3576,Cadastro_Produtos!A:B,2,FALSE),"")</f>
        <v/>
      </c>
      <c r="D3576" s="12" t="n"/>
      <c r="E3576" s="13">
        <f>IF(D3576="","",D3576-TODAY())</f>
        <v/>
      </c>
      <c r="F3576">
        <f>IF(D3576="","",IF(E3576&lt;0,"VENCIDO",IF(E3576&lt;=30,"VENCE EM &lt;= 30 DIAS",IF(E3576&lt;=60,"ATENCAO (31-60 DIAS)","OK"))))</f>
        <v/>
      </c>
      <c r="G3576" s="13">
        <f>SUMIFS(Movimentacoes!$G:$G,Movimentacoes!$C:$C,$A3576,Movimentacoes!$E:$E,$C3576,Movimentacoes!$B:$B,"ENTRADA")</f>
        <v/>
      </c>
      <c r="H3576" s="13">
        <f>SUMIFS(Movimentacoes!$G:$G,Movimentacoes!$C:$C,$A3576,Movimentacoes!$E:$E,$C3576,Movimentacoes!$B:$B,"SAIDA_USO")</f>
        <v/>
      </c>
      <c r="I3576" s="13">
        <f>SUMIFS(Movimentacoes!$G:$G,Movimentacoes!$C:$C,$A3576,Movimentacoes!$E:$E,$C3576,Movimentacoes!$B:$B,"SAIDA_DESCARTE")</f>
        <v/>
      </c>
      <c r="J3576" s="13">
        <f>G3576-H3576-I3576</f>
        <v/>
      </c>
      <c r="K3576">
        <f>IF(A3576="","",IF(J3576&lt;=IFERROR(VLOOKUP(A3576,Cadastro_Produtos!$A:$E,5,FALSE),0),"ABAIXO DO MINIMO","OK"))</f>
        <v/>
      </c>
    </row>
    <row r="3577">
      <c r="B3577">
        <f>IFERROR(VLOOKUP(A3577,Cadastro_Produtos!A:B,2,FALSE),"")</f>
        <v/>
      </c>
      <c r="D3577" s="12" t="n"/>
      <c r="E3577" s="13">
        <f>IF(D3577="","",D3577-TODAY())</f>
        <v/>
      </c>
      <c r="F3577">
        <f>IF(D3577="","",IF(E3577&lt;0,"VENCIDO",IF(E3577&lt;=30,"VENCE EM &lt;= 30 DIAS",IF(E3577&lt;=60,"ATENCAO (31-60 DIAS)","OK"))))</f>
        <v/>
      </c>
      <c r="G3577" s="13">
        <f>SUMIFS(Movimentacoes!$G:$G,Movimentacoes!$C:$C,$A3577,Movimentacoes!$E:$E,$C3577,Movimentacoes!$B:$B,"ENTRADA")</f>
        <v/>
      </c>
      <c r="H3577" s="13">
        <f>SUMIFS(Movimentacoes!$G:$G,Movimentacoes!$C:$C,$A3577,Movimentacoes!$E:$E,$C3577,Movimentacoes!$B:$B,"SAIDA_USO")</f>
        <v/>
      </c>
      <c r="I3577" s="13">
        <f>SUMIFS(Movimentacoes!$G:$G,Movimentacoes!$C:$C,$A3577,Movimentacoes!$E:$E,$C3577,Movimentacoes!$B:$B,"SAIDA_DESCARTE")</f>
        <v/>
      </c>
      <c r="J3577" s="13">
        <f>G3577-H3577-I3577</f>
        <v/>
      </c>
      <c r="K3577">
        <f>IF(A3577="","",IF(J3577&lt;=IFERROR(VLOOKUP(A3577,Cadastro_Produtos!$A:$E,5,FALSE),0),"ABAIXO DO MINIMO","OK"))</f>
        <v/>
      </c>
    </row>
    <row r="3578">
      <c r="B3578">
        <f>IFERROR(VLOOKUP(A3578,Cadastro_Produtos!A:B,2,FALSE),"")</f>
        <v/>
      </c>
      <c r="D3578" s="12" t="n"/>
      <c r="E3578" s="13">
        <f>IF(D3578="","",D3578-TODAY())</f>
        <v/>
      </c>
      <c r="F3578">
        <f>IF(D3578="","",IF(E3578&lt;0,"VENCIDO",IF(E3578&lt;=30,"VENCE EM &lt;= 30 DIAS",IF(E3578&lt;=60,"ATENCAO (31-60 DIAS)","OK"))))</f>
        <v/>
      </c>
      <c r="G3578" s="13">
        <f>SUMIFS(Movimentacoes!$G:$G,Movimentacoes!$C:$C,$A3578,Movimentacoes!$E:$E,$C3578,Movimentacoes!$B:$B,"ENTRADA")</f>
        <v/>
      </c>
      <c r="H3578" s="13">
        <f>SUMIFS(Movimentacoes!$G:$G,Movimentacoes!$C:$C,$A3578,Movimentacoes!$E:$E,$C3578,Movimentacoes!$B:$B,"SAIDA_USO")</f>
        <v/>
      </c>
      <c r="I3578" s="13">
        <f>SUMIFS(Movimentacoes!$G:$G,Movimentacoes!$C:$C,$A3578,Movimentacoes!$E:$E,$C3578,Movimentacoes!$B:$B,"SAIDA_DESCARTE")</f>
        <v/>
      </c>
      <c r="J3578" s="13">
        <f>G3578-H3578-I3578</f>
        <v/>
      </c>
      <c r="K3578">
        <f>IF(A3578="","",IF(J3578&lt;=IFERROR(VLOOKUP(A3578,Cadastro_Produtos!$A:$E,5,FALSE),0),"ABAIXO DO MINIMO","OK"))</f>
        <v/>
      </c>
    </row>
    <row r="3579">
      <c r="B3579">
        <f>IFERROR(VLOOKUP(A3579,Cadastro_Produtos!A:B,2,FALSE),"")</f>
        <v/>
      </c>
      <c r="D3579" s="12" t="n"/>
      <c r="E3579" s="13">
        <f>IF(D3579="","",D3579-TODAY())</f>
        <v/>
      </c>
      <c r="F3579">
        <f>IF(D3579="","",IF(E3579&lt;0,"VENCIDO",IF(E3579&lt;=30,"VENCE EM &lt;= 30 DIAS",IF(E3579&lt;=60,"ATENCAO (31-60 DIAS)","OK"))))</f>
        <v/>
      </c>
      <c r="G3579" s="13">
        <f>SUMIFS(Movimentacoes!$G:$G,Movimentacoes!$C:$C,$A3579,Movimentacoes!$E:$E,$C3579,Movimentacoes!$B:$B,"ENTRADA")</f>
        <v/>
      </c>
      <c r="H3579" s="13">
        <f>SUMIFS(Movimentacoes!$G:$G,Movimentacoes!$C:$C,$A3579,Movimentacoes!$E:$E,$C3579,Movimentacoes!$B:$B,"SAIDA_USO")</f>
        <v/>
      </c>
      <c r="I3579" s="13">
        <f>SUMIFS(Movimentacoes!$G:$G,Movimentacoes!$C:$C,$A3579,Movimentacoes!$E:$E,$C3579,Movimentacoes!$B:$B,"SAIDA_DESCARTE")</f>
        <v/>
      </c>
      <c r="J3579" s="13">
        <f>G3579-H3579-I3579</f>
        <v/>
      </c>
      <c r="K3579">
        <f>IF(A3579="","",IF(J3579&lt;=IFERROR(VLOOKUP(A3579,Cadastro_Produtos!$A:$E,5,FALSE),0),"ABAIXO DO MINIMO","OK"))</f>
        <v/>
      </c>
    </row>
    <row r="3580">
      <c r="B3580">
        <f>IFERROR(VLOOKUP(A3580,Cadastro_Produtos!A:B,2,FALSE),"")</f>
        <v/>
      </c>
      <c r="D3580" s="12" t="n"/>
      <c r="E3580" s="13">
        <f>IF(D3580="","",D3580-TODAY())</f>
        <v/>
      </c>
      <c r="F3580">
        <f>IF(D3580="","",IF(E3580&lt;0,"VENCIDO",IF(E3580&lt;=30,"VENCE EM &lt;= 30 DIAS",IF(E3580&lt;=60,"ATENCAO (31-60 DIAS)","OK"))))</f>
        <v/>
      </c>
      <c r="G3580" s="13">
        <f>SUMIFS(Movimentacoes!$G:$G,Movimentacoes!$C:$C,$A3580,Movimentacoes!$E:$E,$C3580,Movimentacoes!$B:$B,"ENTRADA")</f>
        <v/>
      </c>
      <c r="H3580" s="13">
        <f>SUMIFS(Movimentacoes!$G:$G,Movimentacoes!$C:$C,$A3580,Movimentacoes!$E:$E,$C3580,Movimentacoes!$B:$B,"SAIDA_USO")</f>
        <v/>
      </c>
      <c r="I3580" s="13">
        <f>SUMIFS(Movimentacoes!$G:$G,Movimentacoes!$C:$C,$A3580,Movimentacoes!$E:$E,$C3580,Movimentacoes!$B:$B,"SAIDA_DESCARTE")</f>
        <v/>
      </c>
      <c r="J3580" s="13">
        <f>G3580-H3580-I3580</f>
        <v/>
      </c>
      <c r="K3580">
        <f>IF(A3580="","",IF(J3580&lt;=IFERROR(VLOOKUP(A3580,Cadastro_Produtos!$A:$E,5,FALSE),0),"ABAIXO DO MINIMO","OK"))</f>
        <v/>
      </c>
    </row>
    <row r="3581">
      <c r="B3581">
        <f>IFERROR(VLOOKUP(A3581,Cadastro_Produtos!A:B,2,FALSE),"")</f>
        <v/>
      </c>
      <c r="D3581" s="12" t="n"/>
      <c r="E3581" s="13">
        <f>IF(D3581="","",D3581-TODAY())</f>
        <v/>
      </c>
      <c r="F3581">
        <f>IF(D3581="","",IF(E3581&lt;0,"VENCIDO",IF(E3581&lt;=30,"VENCE EM &lt;= 30 DIAS",IF(E3581&lt;=60,"ATENCAO (31-60 DIAS)","OK"))))</f>
        <v/>
      </c>
      <c r="G3581" s="13">
        <f>SUMIFS(Movimentacoes!$G:$G,Movimentacoes!$C:$C,$A3581,Movimentacoes!$E:$E,$C3581,Movimentacoes!$B:$B,"ENTRADA")</f>
        <v/>
      </c>
      <c r="H3581" s="13">
        <f>SUMIFS(Movimentacoes!$G:$G,Movimentacoes!$C:$C,$A3581,Movimentacoes!$E:$E,$C3581,Movimentacoes!$B:$B,"SAIDA_USO")</f>
        <v/>
      </c>
      <c r="I3581" s="13">
        <f>SUMIFS(Movimentacoes!$G:$G,Movimentacoes!$C:$C,$A3581,Movimentacoes!$E:$E,$C3581,Movimentacoes!$B:$B,"SAIDA_DESCARTE")</f>
        <v/>
      </c>
      <c r="J3581" s="13">
        <f>G3581-H3581-I3581</f>
        <v/>
      </c>
      <c r="K3581">
        <f>IF(A3581="","",IF(J3581&lt;=IFERROR(VLOOKUP(A3581,Cadastro_Produtos!$A:$E,5,FALSE),0),"ABAIXO DO MINIMO","OK"))</f>
        <v/>
      </c>
    </row>
    <row r="3582">
      <c r="B3582">
        <f>IFERROR(VLOOKUP(A3582,Cadastro_Produtos!A:B,2,FALSE),"")</f>
        <v/>
      </c>
      <c r="D3582" s="12" t="n"/>
      <c r="E3582" s="13">
        <f>IF(D3582="","",D3582-TODAY())</f>
        <v/>
      </c>
      <c r="F3582">
        <f>IF(D3582="","",IF(E3582&lt;0,"VENCIDO",IF(E3582&lt;=30,"VENCE EM &lt;= 30 DIAS",IF(E3582&lt;=60,"ATENCAO (31-60 DIAS)","OK"))))</f>
        <v/>
      </c>
      <c r="G3582" s="13">
        <f>SUMIFS(Movimentacoes!$G:$G,Movimentacoes!$C:$C,$A3582,Movimentacoes!$E:$E,$C3582,Movimentacoes!$B:$B,"ENTRADA")</f>
        <v/>
      </c>
      <c r="H3582" s="13">
        <f>SUMIFS(Movimentacoes!$G:$G,Movimentacoes!$C:$C,$A3582,Movimentacoes!$E:$E,$C3582,Movimentacoes!$B:$B,"SAIDA_USO")</f>
        <v/>
      </c>
      <c r="I3582" s="13">
        <f>SUMIFS(Movimentacoes!$G:$G,Movimentacoes!$C:$C,$A3582,Movimentacoes!$E:$E,$C3582,Movimentacoes!$B:$B,"SAIDA_DESCARTE")</f>
        <v/>
      </c>
      <c r="J3582" s="13">
        <f>G3582-H3582-I3582</f>
        <v/>
      </c>
      <c r="K3582">
        <f>IF(A3582="","",IF(J3582&lt;=IFERROR(VLOOKUP(A3582,Cadastro_Produtos!$A:$E,5,FALSE),0),"ABAIXO DO MINIMO","OK"))</f>
        <v/>
      </c>
    </row>
    <row r="3583">
      <c r="B3583">
        <f>IFERROR(VLOOKUP(A3583,Cadastro_Produtos!A:B,2,FALSE),"")</f>
        <v/>
      </c>
      <c r="D3583" s="12" t="n"/>
      <c r="E3583" s="13">
        <f>IF(D3583="","",D3583-TODAY())</f>
        <v/>
      </c>
      <c r="F3583">
        <f>IF(D3583="","",IF(E3583&lt;0,"VENCIDO",IF(E3583&lt;=30,"VENCE EM &lt;= 30 DIAS",IF(E3583&lt;=60,"ATENCAO (31-60 DIAS)","OK"))))</f>
        <v/>
      </c>
      <c r="G3583" s="13">
        <f>SUMIFS(Movimentacoes!$G:$G,Movimentacoes!$C:$C,$A3583,Movimentacoes!$E:$E,$C3583,Movimentacoes!$B:$B,"ENTRADA")</f>
        <v/>
      </c>
      <c r="H3583" s="13">
        <f>SUMIFS(Movimentacoes!$G:$G,Movimentacoes!$C:$C,$A3583,Movimentacoes!$E:$E,$C3583,Movimentacoes!$B:$B,"SAIDA_USO")</f>
        <v/>
      </c>
      <c r="I3583" s="13">
        <f>SUMIFS(Movimentacoes!$G:$G,Movimentacoes!$C:$C,$A3583,Movimentacoes!$E:$E,$C3583,Movimentacoes!$B:$B,"SAIDA_DESCARTE")</f>
        <v/>
      </c>
      <c r="J3583" s="13">
        <f>G3583-H3583-I3583</f>
        <v/>
      </c>
      <c r="K3583">
        <f>IF(A3583="","",IF(J3583&lt;=IFERROR(VLOOKUP(A3583,Cadastro_Produtos!$A:$E,5,FALSE),0),"ABAIXO DO MINIMO","OK"))</f>
        <v/>
      </c>
    </row>
    <row r="3584">
      <c r="B3584">
        <f>IFERROR(VLOOKUP(A3584,Cadastro_Produtos!A:B,2,FALSE),"")</f>
        <v/>
      </c>
      <c r="D3584" s="12" t="n"/>
      <c r="E3584" s="13">
        <f>IF(D3584="","",D3584-TODAY())</f>
        <v/>
      </c>
      <c r="F3584">
        <f>IF(D3584="","",IF(E3584&lt;0,"VENCIDO",IF(E3584&lt;=30,"VENCE EM &lt;= 30 DIAS",IF(E3584&lt;=60,"ATENCAO (31-60 DIAS)","OK"))))</f>
        <v/>
      </c>
      <c r="G3584" s="13">
        <f>SUMIFS(Movimentacoes!$G:$G,Movimentacoes!$C:$C,$A3584,Movimentacoes!$E:$E,$C3584,Movimentacoes!$B:$B,"ENTRADA")</f>
        <v/>
      </c>
      <c r="H3584" s="13">
        <f>SUMIFS(Movimentacoes!$G:$G,Movimentacoes!$C:$C,$A3584,Movimentacoes!$E:$E,$C3584,Movimentacoes!$B:$B,"SAIDA_USO")</f>
        <v/>
      </c>
      <c r="I3584" s="13">
        <f>SUMIFS(Movimentacoes!$G:$G,Movimentacoes!$C:$C,$A3584,Movimentacoes!$E:$E,$C3584,Movimentacoes!$B:$B,"SAIDA_DESCARTE")</f>
        <v/>
      </c>
      <c r="J3584" s="13">
        <f>G3584-H3584-I3584</f>
        <v/>
      </c>
      <c r="K3584">
        <f>IF(A3584="","",IF(J3584&lt;=IFERROR(VLOOKUP(A3584,Cadastro_Produtos!$A:$E,5,FALSE),0),"ABAIXO DO MINIMO","OK"))</f>
        <v/>
      </c>
    </row>
    <row r="3585">
      <c r="B3585">
        <f>IFERROR(VLOOKUP(A3585,Cadastro_Produtos!A:B,2,FALSE),"")</f>
        <v/>
      </c>
      <c r="D3585" s="12" t="n"/>
      <c r="E3585" s="13">
        <f>IF(D3585="","",D3585-TODAY())</f>
        <v/>
      </c>
      <c r="F3585">
        <f>IF(D3585="","",IF(E3585&lt;0,"VENCIDO",IF(E3585&lt;=30,"VENCE EM &lt;= 30 DIAS",IF(E3585&lt;=60,"ATENCAO (31-60 DIAS)","OK"))))</f>
        <v/>
      </c>
      <c r="G3585" s="13">
        <f>SUMIFS(Movimentacoes!$G:$G,Movimentacoes!$C:$C,$A3585,Movimentacoes!$E:$E,$C3585,Movimentacoes!$B:$B,"ENTRADA")</f>
        <v/>
      </c>
      <c r="H3585" s="13">
        <f>SUMIFS(Movimentacoes!$G:$G,Movimentacoes!$C:$C,$A3585,Movimentacoes!$E:$E,$C3585,Movimentacoes!$B:$B,"SAIDA_USO")</f>
        <v/>
      </c>
      <c r="I3585" s="13">
        <f>SUMIFS(Movimentacoes!$G:$G,Movimentacoes!$C:$C,$A3585,Movimentacoes!$E:$E,$C3585,Movimentacoes!$B:$B,"SAIDA_DESCARTE")</f>
        <v/>
      </c>
      <c r="J3585" s="13">
        <f>G3585-H3585-I3585</f>
        <v/>
      </c>
      <c r="K3585">
        <f>IF(A3585="","",IF(J3585&lt;=IFERROR(VLOOKUP(A3585,Cadastro_Produtos!$A:$E,5,FALSE),0),"ABAIXO DO MINIMO","OK"))</f>
        <v/>
      </c>
    </row>
    <row r="3586">
      <c r="B3586">
        <f>IFERROR(VLOOKUP(A3586,Cadastro_Produtos!A:B,2,FALSE),"")</f>
        <v/>
      </c>
      <c r="D3586" s="12" t="n"/>
      <c r="E3586" s="13">
        <f>IF(D3586="","",D3586-TODAY())</f>
        <v/>
      </c>
      <c r="F3586">
        <f>IF(D3586="","",IF(E3586&lt;0,"VENCIDO",IF(E3586&lt;=30,"VENCE EM &lt;= 30 DIAS",IF(E3586&lt;=60,"ATENCAO (31-60 DIAS)","OK"))))</f>
        <v/>
      </c>
      <c r="G3586" s="13">
        <f>SUMIFS(Movimentacoes!$G:$G,Movimentacoes!$C:$C,$A3586,Movimentacoes!$E:$E,$C3586,Movimentacoes!$B:$B,"ENTRADA")</f>
        <v/>
      </c>
      <c r="H3586" s="13">
        <f>SUMIFS(Movimentacoes!$G:$G,Movimentacoes!$C:$C,$A3586,Movimentacoes!$E:$E,$C3586,Movimentacoes!$B:$B,"SAIDA_USO")</f>
        <v/>
      </c>
      <c r="I3586" s="13">
        <f>SUMIFS(Movimentacoes!$G:$G,Movimentacoes!$C:$C,$A3586,Movimentacoes!$E:$E,$C3586,Movimentacoes!$B:$B,"SAIDA_DESCARTE")</f>
        <v/>
      </c>
      <c r="J3586" s="13">
        <f>G3586-H3586-I3586</f>
        <v/>
      </c>
      <c r="K3586">
        <f>IF(A3586="","",IF(J3586&lt;=IFERROR(VLOOKUP(A3586,Cadastro_Produtos!$A:$E,5,FALSE),0),"ABAIXO DO MINIMO","OK"))</f>
        <v/>
      </c>
    </row>
    <row r="3587">
      <c r="B3587">
        <f>IFERROR(VLOOKUP(A3587,Cadastro_Produtos!A:B,2,FALSE),"")</f>
        <v/>
      </c>
      <c r="D3587" s="12" t="n"/>
      <c r="E3587" s="13">
        <f>IF(D3587="","",D3587-TODAY())</f>
        <v/>
      </c>
      <c r="F3587">
        <f>IF(D3587="","",IF(E3587&lt;0,"VENCIDO",IF(E3587&lt;=30,"VENCE EM &lt;= 30 DIAS",IF(E3587&lt;=60,"ATENCAO (31-60 DIAS)","OK"))))</f>
        <v/>
      </c>
      <c r="G3587" s="13">
        <f>SUMIFS(Movimentacoes!$G:$G,Movimentacoes!$C:$C,$A3587,Movimentacoes!$E:$E,$C3587,Movimentacoes!$B:$B,"ENTRADA")</f>
        <v/>
      </c>
      <c r="H3587" s="13">
        <f>SUMIFS(Movimentacoes!$G:$G,Movimentacoes!$C:$C,$A3587,Movimentacoes!$E:$E,$C3587,Movimentacoes!$B:$B,"SAIDA_USO")</f>
        <v/>
      </c>
      <c r="I3587" s="13">
        <f>SUMIFS(Movimentacoes!$G:$G,Movimentacoes!$C:$C,$A3587,Movimentacoes!$E:$E,$C3587,Movimentacoes!$B:$B,"SAIDA_DESCARTE")</f>
        <v/>
      </c>
      <c r="J3587" s="13">
        <f>G3587-H3587-I3587</f>
        <v/>
      </c>
      <c r="K3587">
        <f>IF(A3587="","",IF(J3587&lt;=IFERROR(VLOOKUP(A3587,Cadastro_Produtos!$A:$E,5,FALSE),0),"ABAIXO DO MINIMO","OK"))</f>
        <v/>
      </c>
    </row>
    <row r="3588">
      <c r="B3588">
        <f>IFERROR(VLOOKUP(A3588,Cadastro_Produtos!A:B,2,FALSE),"")</f>
        <v/>
      </c>
      <c r="D3588" s="12" t="n"/>
      <c r="E3588" s="13">
        <f>IF(D3588="","",D3588-TODAY())</f>
        <v/>
      </c>
      <c r="F3588">
        <f>IF(D3588="","",IF(E3588&lt;0,"VENCIDO",IF(E3588&lt;=30,"VENCE EM &lt;= 30 DIAS",IF(E3588&lt;=60,"ATENCAO (31-60 DIAS)","OK"))))</f>
        <v/>
      </c>
      <c r="G3588" s="13">
        <f>SUMIFS(Movimentacoes!$G:$G,Movimentacoes!$C:$C,$A3588,Movimentacoes!$E:$E,$C3588,Movimentacoes!$B:$B,"ENTRADA")</f>
        <v/>
      </c>
      <c r="H3588" s="13">
        <f>SUMIFS(Movimentacoes!$G:$G,Movimentacoes!$C:$C,$A3588,Movimentacoes!$E:$E,$C3588,Movimentacoes!$B:$B,"SAIDA_USO")</f>
        <v/>
      </c>
      <c r="I3588" s="13">
        <f>SUMIFS(Movimentacoes!$G:$G,Movimentacoes!$C:$C,$A3588,Movimentacoes!$E:$E,$C3588,Movimentacoes!$B:$B,"SAIDA_DESCARTE")</f>
        <v/>
      </c>
      <c r="J3588" s="13">
        <f>G3588-H3588-I3588</f>
        <v/>
      </c>
      <c r="K3588">
        <f>IF(A3588="","",IF(J3588&lt;=IFERROR(VLOOKUP(A3588,Cadastro_Produtos!$A:$E,5,FALSE),0),"ABAIXO DO MINIMO","OK"))</f>
        <v/>
      </c>
    </row>
    <row r="3589">
      <c r="B3589">
        <f>IFERROR(VLOOKUP(A3589,Cadastro_Produtos!A:B,2,FALSE),"")</f>
        <v/>
      </c>
      <c r="D3589" s="12" t="n"/>
      <c r="E3589" s="13">
        <f>IF(D3589="","",D3589-TODAY())</f>
        <v/>
      </c>
      <c r="F3589">
        <f>IF(D3589="","",IF(E3589&lt;0,"VENCIDO",IF(E3589&lt;=30,"VENCE EM &lt;= 30 DIAS",IF(E3589&lt;=60,"ATENCAO (31-60 DIAS)","OK"))))</f>
        <v/>
      </c>
      <c r="G3589" s="13">
        <f>SUMIFS(Movimentacoes!$G:$G,Movimentacoes!$C:$C,$A3589,Movimentacoes!$E:$E,$C3589,Movimentacoes!$B:$B,"ENTRADA")</f>
        <v/>
      </c>
      <c r="H3589" s="13">
        <f>SUMIFS(Movimentacoes!$G:$G,Movimentacoes!$C:$C,$A3589,Movimentacoes!$E:$E,$C3589,Movimentacoes!$B:$B,"SAIDA_USO")</f>
        <v/>
      </c>
      <c r="I3589" s="13">
        <f>SUMIFS(Movimentacoes!$G:$G,Movimentacoes!$C:$C,$A3589,Movimentacoes!$E:$E,$C3589,Movimentacoes!$B:$B,"SAIDA_DESCARTE")</f>
        <v/>
      </c>
      <c r="J3589" s="13">
        <f>G3589-H3589-I3589</f>
        <v/>
      </c>
      <c r="K3589">
        <f>IF(A3589="","",IF(J3589&lt;=IFERROR(VLOOKUP(A3589,Cadastro_Produtos!$A:$E,5,FALSE),0),"ABAIXO DO MINIMO","OK"))</f>
        <v/>
      </c>
    </row>
    <row r="3590">
      <c r="B3590">
        <f>IFERROR(VLOOKUP(A3590,Cadastro_Produtos!A:B,2,FALSE),"")</f>
        <v/>
      </c>
      <c r="D3590" s="12" t="n"/>
      <c r="E3590" s="13">
        <f>IF(D3590="","",D3590-TODAY())</f>
        <v/>
      </c>
      <c r="F3590">
        <f>IF(D3590="","",IF(E3590&lt;0,"VENCIDO",IF(E3590&lt;=30,"VENCE EM &lt;= 30 DIAS",IF(E3590&lt;=60,"ATENCAO (31-60 DIAS)","OK"))))</f>
        <v/>
      </c>
      <c r="G3590" s="13">
        <f>SUMIFS(Movimentacoes!$G:$G,Movimentacoes!$C:$C,$A3590,Movimentacoes!$E:$E,$C3590,Movimentacoes!$B:$B,"ENTRADA")</f>
        <v/>
      </c>
      <c r="H3590" s="13">
        <f>SUMIFS(Movimentacoes!$G:$G,Movimentacoes!$C:$C,$A3590,Movimentacoes!$E:$E,$C3590,Movimentacoes!$B:$B,"SAIDA_USO")</f>
        <v/>
      </c>
      <c r="I3590" s="13">
        <f>SUMIFS(Movimentacoes!$G:$G,Movimentacoes!$C:$C,$A3590,Movimentacoes!$E:$E,$C3590,Movimentacoes!$B:$B,"SAIDA_DESCARTE")</f>
        <v/>
      </c>
      <c r="J3590" s="13">
        <f>G3590-H3590-I3590</f>
        <v/>
      </c>
      <c r="K3590">
        <f>IF(A3590="","",IF(J3590&lt;=IFERROR(VLOOKUP(A3590,Cadastro_Produtos!$A:$E,5,FALSE),0),"ABAIXO DO MINIMO","OK"))</f>
        <v/>
      </c>
    </row>
    <row r="3591">
      <c r="B3591">
        <f>IFERROR(VLOOKUP(A3591,Cadastro_Produtos!A:B,2,FALSE),"")</f>
        <v/>
      </c>
      <c r="D3591" s="12" t="n"/>
      <c r="E3591" s="13">
        <f>IF(D3591="","",D3591-TODAY())</f>
        <v/>
      </c>
      <c r="F3591">
        <f>IF(D3591="","",IF(E3591&lt;0,"VENCIDO",IF(E3591&lt;=30,"VENCE EM &lt;= 30 DIAS",IF(E3591&lt;=60,"ATENCAO (31-60 DIAS)","OK"))))</f>
        <v/>
      </c>
      <c r="G3591" s="13">
        <f>SUMIFS(Movimentacoes!$G:$G,Movimentacoes!$C:$C,$A3591,Movimentacoes!$E:$E,$C3591,Movimentacoes!$B:$B,"ENTRADA")</f>
        <v/>
      </c>
      <c r="H3591" s="13">
        <f>SUMIFS(Movimentacoes!$G:$G,Movimentacoes!$C:$C,$A3591,Movimentacoes!$E:$E,$C3591,Movimentacoes!$B:$B,"SAIDA_USO")</f>
        <v/>
      </c>
      <c r="I3591" s="13">
        <f>SUMIFS(Movimentacoes!$G:$G,Movimentacoes!$C:$C,$A3591,Movimentacoes!$E:$E,$C3591,Movimentacoes!$B:$B,"SAIDA_DESCARTE")</f>
        <v/>
      </c>
      <c r="J3591" s="13">
        <f>G3591-H3591-I3591</f>
        <v/>
      </c>
      <c r="K3591">
        <f>IF(A3591="","",IF(J3591&lt;=IFERROR(VLOOKUP(A3591,Cadastro_Produtos!$A:$E,5,FALSE),0),"ABAIXO DO MINIMO","OK"))</f>
        <v/>
      </c>
    </row>
    <row r="3592">
      <c r="B3592">
        <f>IFERROR(VLOOKUP(A3592,Cadastro_Produtos!A:B,2,FALSE),"")</f>
        <v/>
      </c>
      <c r="D3592" s="12" t="n"/>
      <c r="E3592" s="13">
        <f>IF(D3592="","",D3592-TODAY())</f>
        <v/>
      </c>
      <c r="F3592">
        <f>IF(D3592="","",IF(E3592&lt;0,"VENCIDO",IF(E3592&lt;=30,"VENCE EM &lt;= 30 DIAS",IF(E3592&lt;=60,"ATENCAO (31-60 DIAS)","OK"))))</f>
        <v/>
      </c>
      <c r="G3592" s="13">
        <f>SUMIFS(Movimentacoes!$G:$G,Movimentacoes!$C:$C,$A3592,Movimentacoes!$E:$E,$C3592,Movimentacoes!$B:$B,"ENTRADA")</f>
        <v/>
      </c>
      <c r="H3592" s="13">
        <f>SUMIFS(Movimentacoes!$G:$G,Movimentacoes!$C:$C,$A3592,Movimentacoes!$E:$E,$C3592,Movimentacoes!$B:$B,"SAIDA_USO")</f>
        <v/>
      </c>
      <c r="I3592" s="13">
        <f>SUMIFS(Movimentacoes!$G:$G,Movimentacoes!$C:$C,$A3592,Movimentacoes!$E:$E,$C3592,Movimentacoes!$B:$B,"SAIDA_DESCARTE")</f>
        <v/>
      </c>
      <c r="J3592" s="13">
        <f>G3592-H3592-I3592</f>
        <v/>
      </c>
      <c r="K3592">
        <f>IF(A3592="","",IF(J3592&lt;=IFERROR(VLOOKUP(A3592,Cadastro_Produtos!$A:$E,5,FALSE),0),"ABAIXO DO MINIMO","OK"))</f>
        <v/>
      </c>
    </row>
    <row r="3593">
      <c r="B3593">
        <f>IFERROR(VLOOKUP(A3593,Cadastro_Produtos!A:B,2,FALSE),"")</f>
        <v/>
      </c>
      <c r="D3593" s="12" t="n"/>
      <c r="E3593" s="13">
        <f>IF(D3593="","",D3593-TODAY())</f>
        <v/>
      </c>
      <c r="F3593">
        <f>IF(D3593="","",IF(E3593&lt;0,"VENCIDO",IF(E3593&lt;=30,"VENCE EM &lt;= 30 DIAS",IF(E3593&lt;=60,"ATENCAO (31-60 DIAS)","OK"))))</f>
        <v/>
      </c>
      <c r="G3593" s="13">
        <f>SUMIFS(Movimentacoes!$G:$G,Movimentacoes!$C:$C,$A3593,Movimentacoes!$E:$E,$C3593,Movimentacoes!$B:$B,"ENTRADA")</f>
        <v/>
      </c>
      <c r="H3593" s="13">
        <f>SUMIFS(Movimentacoes!$G:$G,Movimentacoes!$C:$C,$A3593,Movimentacoes!$E:$E,$C3593,Movimentacoes!$B:$B,"SAIDA_USO")</f>
        <v/>
      </c>
      <c r="I3593" s="13">
        <f>SUMIFS(Movimentacoes!$G:$G,Movimentacoes!$C:$C,$A3593,Movimentacoes!$E:$E,$C3593,Movimentacoes!$B:$B,"SAIDA_DESCARTE")</f>
        <v/>
      </c>
      <c r="J3593" s="13">
        <f>G3593-H3593-I3593</f>
        <v/>
      </c>
      <c r="K3593">
        <f>IF(A3593="","",IF(J3593&lt;=IFERROR(VLOOKUP(A3593,Cadastro_Produtos!$A:$E,5,FALSE),0),"ABAIXO DO MINIMO","OK"))</f>
        <v/>
      </c>
    </row>
    <row r="3594">
      <c r="B3594">
        <f>IFERROR(VLOOKUP(A3594,Cadastro_Produtos!A:B,2,FALSE),"")</f>
        <v/>
      </c>
      <c r="D3594" s="12" t="n"/>
      <c r="E3594" s="13">
        <f>IF(D3594="","",D3594-TODAY())</f>
        <v/>
      </c>
      <c r="F3594">
        <f>IF(D3594="","",IF(E3594&lt;0,"VENCIDO",IF(E3594&lt;=30,"VENCE EM &lt;= 30 DIAS",IF(E3594&lt;=60,"ATENCAO (31-60 DIAS)","OK"))))</f>
        <v/>
      </c>
      <c r="G3594" s="13">
        <f>SUMIFS(Movimentacoes!$G:$G,Movimentacoes!$C:$C,$A3594,Movimentacoes!$E:$E,$C3594,Movimentacoes!$B:$B,"ENTRADA")</f>
        <v/>
      </c>
      <c r="H3594" s="13">
        <f>SUMIFS(Movimentacoes!$G:$G,Movimentacoes!$C:$C,$A3594,Movimentacoes!$E:$E,$C3594,Movimentacoes!$B:$B,"SAIDA_USO")</f>
        <v/>
      </c>
      <c r="I3594" s="13">
        <f>SUMIFS(Movimentacoes!$G:$G,Movimentacoes!$C:$C,$A3594,Movimentacoes!$E:$E,$C3594,Movimentacoes!$B:$B,"SAIDA_DESCARTE")</f>
        <v/>
      </c>
      <c r="J3594" s="13">
        <f>G3594-H3594-I3594</f>
        <v/>
      </c>
      <c r="K3594">
        <f>IF(A3594="","",IF(J3594&lt;=IFERROR(VLOOKUP(A3594,Cadastro_Produtos!$A:$E,5,FALSE),0),"ABAIXO DO MINIMO","OK"))</f>
        <v/>
      </c>
    </row>
    <row r="3595">
      <c r="B3595">
        <f>IFERROR(VLOOKUP(A3595,Cadastro_Produtos!A:B,2,FALSE),"")</f>
        <v/>
      </c>
      <c r="D3595" s="12" t="n"/>
      <c r="E3595" s="13">
        <f>IF(D3595="","",D3595-TODAY())</f>
        <v/>
      </c>
      <c r="F3595">
        <f>IF(D3595="","",IF(E3595&lt;0,"VENCIDO",IF(E3595&lt;=30,"VENCE EM &lt;= 30 DIAS",IF(E3595&lt;=60,"ATENCAO (31-60 DIAS)","OK"))))</f>
        <v/>
      </c>
      <c r="G3595" s="13">
        <f>SUMIFS(Movimentacoes!$G:$G,Movimentacoes!$C:$C,$A3595,Movimentacoes!$E:$E,$C3595,Movimentacoes!$B:$B,"ENTRADA")</f>
        <v/>
      </c>
      <c r="H3595" s="13">
        <f>SUMIFS(Movimentacoes!$G:$G,Movimentacoes!$C:$C,$A3595,Movimentacoes!$E:$E,$C3595,Movimentacoes!$B:$B,"SAIDA_USO")</f>
        <v/>
      </c>
      <c r="I3595" s="13">
        <f>SUMIFS(Movimentacoes!$G:$G,Movimentacoes!$C:$C,$A3595,Movimentacoes!$E:$E,$C3595,Movimentacoes!$B:$B,"SAIDA_DESCARTE")</f>
        <v/>
      </c>
      <c r="J3595" s="13">
        <f>G3595-H3595-I3595</f>
        <v/>
      </c>
      <c r="K3595">
        <f>IF(A3595="","",IF(J3595&lt;=IFERROR(VLOOKUP(A3595,Cadastro_Produtos!$A:$E,5,FALSE),0),"ABAIXO DO MINIMO","OK"))</f>
        <v/>
      </c>
    </row>
    <row r="3596">
      <c r="B3596">
        <f>IFERROR(VLOOKUP(A3596,Cadastro_Produtos!A:B,2,FALSE),"")</f>
        <v/>
      </c>
      <c r="D3596" s="12" t="n"/>
      <c r="E3596" s="13">
        <f>IF(D3596="","",D3596-TODAY())</f>
        <v/>
      </c>
      <c r="F3596">
        <f>IF(D3596="","",IF(E3596&lt;0,"VENCIDO",IF(E3596&lt;=30,"VENCE EM &lt;= 30 DIAS",IF(E3596&lt;=60,"ATENCAO (31-60 DIAS)","OK"))))</f>
        <v/>
      </c>
      <c r="G3596" s="13">
        <f>SUMIFS(Movimentacoes!$G:$G,Movimentacoes!$C:$C,$A3596,Movimentacoes!$E:$E,$C3596,Movimentacoes!$B:$B,"ENTRADA")</f>
        <v/>
      </c>
      <c r="H3596" s="13">
        <f>SUMIFS(Movimentacoes!$G:$G,Movimentacoes!$C:$C,$A3596,Movimentacoes!$E:$E,$C3596,Movimentacoes!$B:$B,"SAIDA_USO")</f>
        <v/>
      </c>
      <c r="I3596" s="13">
        <f>SUMIFS(Movimentacoes!$G:$G,Movimentacoes!$C:$C,$A3596,Movimentacoes!$E:$E,$C3596,Movimentacoes!$B:$B,"SAIDA_DESCARTE")</f>
        <v/>
      </c>
      <c r="J3596" s="13">
        <f>G3596-H3596-I3596</f>
        <v/>
      </c>
      <c r="K3596">
        <f>IF(A3596="","",IF(J3596&lt;=IFERROR(VLOOKUP(A3596,Cadastro_Produtos!$A:$E,5,FALSE),0),"ABAIXO DO MINIMO","OK"))</f>
        <v/>
      </c>
    </row>
    <row r="3597">
      <c r="B3597">
        <f>IFERROR(VLOOKUP(A3597,Cadastro_Produtos!A:B,2,FALSE),"")</f>
        <v/>
      </c>
      <c r="D3597" s="12" t="n"/>
      <c r="E3597" s="13">
        <f>IF(D3597="","",D3597-TODAY())</f>
        <v/>
      </c>
      <c r="F3597">
        <f>IF(D3597="","",IF(E3597&lt;0,"VENCIDO",IF(E3597&lt;=30,"VENCE EM &lt;= 30 DIAS",IF(E3597&lt;=60,"ATENCAO (31-60 DIAS)","OK"))))</f>
        <v/>
      </c>
      <c r="G3597" s="13">
        <f>SUMIFS(Movimentacoes!$G:$G,Movimentacoes!$C:$C,$A3597,Movimentacoes!$E:$E,$C3597,Movimentacoes!$B:$B,"ENTRADA")</f>
        <v/>
      </c>
      <c r="H3597" s="13">
        <f>SUMIFS(Movimentacoes!$G:$G,Movimentacoes!$C:$C,$A3597,Movimentacoes!$E:$E,$C3597,Movimentacoes!$B:$B,"SAIDA_USO")</f>
        <v/>
      </c>
      <c r="I3597" s="13">
        <f>SUMIFS(Movimentacoes!$G:$G,Movimentacoes!$C:$C,$A3597,Movimentacoes!$E:$E,$C3597,Movimentacoes!$B:$B,"SAIDA_DESCARTE")</f>
        <v/>
      </c>
      <c r="J3597" s="13">
        <f>G3597-H3597-I3597</f>
        <v/>
      </c>
      <c r="K3597">
        <f>IF(A3597="","",IF(J3597&lt;=IFERROR(VLOOKUP(A3597,Cadastro_Produtos!$A:$E,5,FALSE),0),"ABAIXO DO MINIMO","OK"))</f>
        <v/>
      </c>
    </row>
    <row r="3598">
      <c r="B3598">
        <f>IFERROR(VLOOKUP(A3598,Cadastro_Produtos!A:B,2,FALSE),"")</f>
        <v/>
      </c>
      <c r="D3598" s="12" t="n"/>
      <c r="E3598" s="13">
        <f>IF(D3598="","",D3598-TODAY())</f>
        <v/>
      </c>
      <c r="F3598">
        <f>IF(D3598="","",IF(E3598&lt;0,"VENCIDO",IF(E3598&lt;=30,"VENCE EM &lt;= 30 DIAS",IF(E3598&lt;=60,"ATENCAO (31-60 DIAS)","OK"))))</f>
        <v/>
      </c>
      <c r="G3598" s="13">
        <f>SUMIFS(Movimentacoes!$G:$G,Movimentacoes!$C:$C,$A3598,Movimentacoes!$E:$E,$C3598,Movimentacoes!$B:$B,"ENTRADA")</f>
        <v/>
      </c>
      <c r="H3598" s="13">
        <f>SUMIFS(Movimentacoes!$G:$G,Movimentacoes!$C:$C,$A3598,Movimentacoes!$E:$E,$C3598,Movimentacoes!$B:$B,"SAIDA_USO")</f>
        <v/>
      </c>
      <c r="I3598" s="13">
        <f>SUMIFS(Movimentacoes!$G:$G,Movimentacoes!$C:$C,$A3598,Movimentacoes!$E:$E,$C3598,Movimentacoes!$B:$B,"SAIDA_DESCARTE")</f>
        <v/>
      </c>
      <c r="J3598" s="13">
        <f>G3598-H3598-I3598</f>
        <v/>
      </c>
      <c r="K3598">
        <f>IF(A3598="","",IF(J3598&lt;=IFERROR(VLOOKUP(A3598,Cadastro_Produtos!$A:$E,5,FALSE),0),"ABAIXO DO MINIMO","OK"))</f>
        <v/>
      </c>
    </row>
    <row r="3599">
      <c r="B3599">
        <f>IFERROR(VLOOKUP(A3599,Cadastro_Produtos!A:B,2,FALSE),"")</f>
        <v/>
      </c>
      <c r="D3599" s="12" t="n"/>
      <c r="E3599" s="13">
        <f>IF(D3599="","",D3599-TODAY())</f>
        <v/>
      </c>
      <c r="F3599">
        <f>IF(D3599="","",IF(E3599&lt;0,"VENCIDO",IF(E3599&lt;=30,"VENCE EM &lt;= 30 DIAS",IF(E3599&lt;=60,"ATENCAO (31-60 DIAS)","OK"))))</f>
        <v/>
      </c>
      <c r="G3599" s="13">
        <f>SUMIFS(Movimentacoes!$G:$G,Movimentacoes!$C:$C,$A3599,Movimentacoes!$E:$E,$C3599,Movimentacoes!$B:$B,"ENTRADA")</f>
        <v/>
      </c>
      <c r="H3599" s="13">
        <f>SUMIFS(Movimentacoes!$G:$G,Movimentacoes!$C:$C,$A3599,Movimentacoes!$E:$E,$C3599,Movimentacoes!$B:$B,"SAIDA_USO")</f>
        <v/>
      </c>
      <c r="I3599" s="13">
        <f>SUMIFS(Movimentacoes!$G:$G,Movimentacoes!$C:$C,$A3599,Movimentacoes!$E:$E,$C3599,Movimentacoes!$B:$B,"SAIDA_DESCARTE")</f>
        <v/>
      </c>
      <c r="J3599" s="13">
        <f>G3599-H3599-I3599</f>
        <v/>
      </c>
      <c r="K3599">
        <f>IF(A3599="","",IF(J3599&lt;=IFERROR(VLOOKUP(A3599,Cadastro_Produtos!$A:$E,5,FALSE),0),"ABAIXO DO MINIMO","OK"))</f>
        <v/>
      </c>
    </row>
    <row r="3600">
      <c r="B3600">
        <f>IFERROR(VLOOKUP(A3600,Cadastro_Produtos!A:B,2,FALSE),"")</f>
        <v/>
      </c>
      <c r="D3600" s="12" t="n"/>
      <c r="E3600" s="13">
        <f>IF(D3600="","",D3600-TODAY())</f>
        <v/>
      </c>
      <c r="F3600">
        <f>IF(D3600="","",IF(E3600&lt;0,"VENCIDO",IF(E3600&lt;=30,"VENCE EM &lt;= 30 DIAS",IF(E3600&lt;=60,"ATENCAO (31-60 DIAS)","OK"))))</f>
        <v/>
      </c>
      <c r="G3600" s="13">
        <f>SUMIFS(Movimentacoes!$G:$G,Movimentacoes!$C:$C,$A3600,Movimentacoes!$E:$E,$C3600,Movimentacoes!$B:$B,"ENTRADA")</f>
        <v/>
      </c>
      <c r="H3600" s="13">
        <f>SUMIFS(Movimentacoes!$G:$G,Movimentacoes!$C:$C,$A3600,Movimentacoes!$E:$E,$C3600,Movimentacoes!$B:$B,"SAIDA_USO")</f>
        <v/>
      </c>
      <c r="I3600" s="13">
        <f>SUMIFS(Movimentacoes!$G:$G,Movimentacoes!$C:$C,$A3600,Movimentacoes!$E:$E,$C3600,Movimentacoes!$B:$B,"SAIDA_DESCARTE")</f>
        <v/>
      </c>
      <c r="J3600" s="13">
        <f>G3600-H3600-I3600</f>
        <v/>
      </c>
      <c r="K3600">
        <f>IF(A3600="","",IF(J3600&lt;=IFERROR(VLOOKUP(A3600,Cadastro_Produtos!$A:$E,5,FALSE),0),"ABAIXO DO MINIMO","OK"))</f>
        <v/>
      </c>
    </row>
    <row r="3601">
      <c r="B3601">
        <f>IFERROR(VLOOKUP(A3601,Cadastro_Produtos!A:B,2,FALSE),"")</f>
        <v/>
      </c>
      <c r="D3601" s="12" t="n"/>
      <c r="E3601" s="13">
        <f>IF(D3601="","",D3601-TODAY())</f>
        <v/>
      </c>
      <c r="F3601">
        <f>IF(D3601="","",IF(E3601&lt;0,"VENCIDO",IF(E3601&lt;=30,"VENCE EM &lt;= 30 DIAS",IF(E3601&lt;=60,"ATENCAO (31-60 DIAS)","OK"))))</f>
        <v/>
      </c>
      <c r="G3601" s="13">
        <f>SUMIFS(Movimentacoes!$G:$G,Movimentacoes!$C:$C,$A3601,Movimentacoes!$E:$E,$C3601,Movimentacoes!$B:$B,"ENTRADA")</f>
        <v/>
      </c>
      <c r="H3601" s="13">
        <f>SUMIFS(Movimentacoes!$G:$G,Movimentacoes!$C:$C,$A3601,Movimentacoes!$E:$E,$C3601,Movimentacoes!$B:$B,"SAIDA_USO")</f>
        <v/>
      </c>
      <c r="I3601" s="13">
        <f>SUMIFS(Movimentacoes!$G:$G,Movimentacoes!$C:$C,$A3601,Movimentacoes!$E:$E,$C3601,Movimentacoes!$B:$B,"SAIDA_DESCARTE")</f>
        <v/>
      </c>
      <c r="J3601" s="13">
        <f>G3601-H3601-I3601</f>
        <v/>
      </c>
      <c r="K3601">
        <f>IF(A3601="","",IF(J3601&lt;=IFERROR(VLOOKUP(A3601,Cadastro_Produtos!$A:$E,5,FALSE),0),"ABAIXO DO MINIMO","OK"))</f>
        <v/>
      </c>
    </row>
    <row r="3602">
      <c r="B3602">
        <f>IFERROR(VLOOKUP(A3602,Cadastro_Produtos!A:B,2,FALSE),"")</f>
        <v/>
      </c>
      <c r="D3602" s="12" t="n"/>
      <c r="E3602" s="13">
        <f>IF(D3602="","",D3602-TODAY())</f>
        <v/>
      </c>
      <c r="F3602">
        <f>IF(D3602="","",IF(E3602&lt;0,"VENCIDO",IF(E3602&lt;=30,"VENCE EM &lt;= 30 DIAS",IF(E3602&lt;=60,"ATENCAO (31-60 DIAS)","OK"))))</f>
        <v/>
      </c>
      <c r="G3602" s="13">
        <f>SUMIFS(Movimentacoes!$G:$G,Movimentacoes!$C:$C,$A3602,Movimentacoes!$E:$E,$C3602,Movimentacoes!$B:$B,"ENTRADA")</f>
        <v/>
      </c>
      <c r="H3602" s="13">
        <f>SUMIFS(Movimentacoes!$G:$G,Movimentacoes!$C:$C,$A3602,Movimentacoes!$E:$E,$C3602,Movimentacoes!$B:$B,"SAIDA_USO")</f>
        <v/>
      </c>
      <c r="I3602" s="13">
        <f>SUMIFS(Movimentacoes!$G:$G,Movimentacoes!$C:$C,$A3602,Movimentacoes!$E:$E,$C3602,Movimentacoes!$B:$B,"SAIDA_DESCARTE")</f>
        <v/>
      </c>
      <c r="J3602" s="13">
        <f>G3602-H3602-I3602</f>
        <v/>
      </c>
      <c r="K3602">
        <f>IF(A3602="","",IF(J3602&lt;=IFERROR(VLOOKUP(A3602,Cadastro_Produtos!$A:$E,5,FALSE),0),"ABAIXO DO MINIMO","OK"))</f>
        <v/>
      </c>
    </row>
    <row r="3603">
      <c r="B3603">
        <f>IFERROR(VLOOKUP(A3603,Cadastro_Produtos!A:B,2,FALSE),"")</f>
        <v/>
      </c>
      <c r="D3603" s="12" t="n"/>
      <c r="E3603" s="13">
        <f>IF(D3603="","",D3603-TODAY())</f>
        <v/>
      </c>
      <c r="F3603">
        <f>IF(D3603="","",IF(E3603&lt;0,"VENCIDO",IF(E3603&lt;=30,"VENCE EM &lt;= 30 DIAS",IF(E3603&lt;=60,"ATENCAO (31-60 DIAS)","OK"))))</f>
        <v/>
      </c>
      <c r="G3603" s="13">
        <f>SUMIFS(Movimentacoes!$G:$G,Movimentacoes!$C:$C,$A3603,Movimentacoes!$E:$E,$C3603,Movimentacoes!$B:$B,"ENTRADA")</f>
        <v/>
      </c>
      <c r="H3603" s="13">
        <f>SUMIFS(Movimentacoes!$G:$G,Movimentacoes!$C:$C,$A3603,Movimentacoes!$E:$E,$C3603,Movimentacoes!$B:$B,"SAIDA_USO")</f>
        <v/>
      </c>
      <c r="I3603" s="13">
        <f>SUMIFS(Movimentacoes!$G:$G,Movimentacoes!$C:$C,$A3603,Movimentacoes!$E:$E,$C3603,Movimentacoes!$B:$B,"SAIDA_DESCARTE")</f>
        <v/>
      </c>
      <c r="J3603" s="13">
        <f>G3603-H3603-I3603</f>
        <v/>
      </c>
      <c r="K3603">
        <f>IF(A3603="","",IF(J3603&lt;=IFERROR(VLOOKUP(A3603,Cadastro_Produtos!$A:$E,5,FALSE),0),"ABAIXO DO MINIMO","OK"))</f>
        <v/>
      </c>
    </row>
    <row r="3604">
      <c r="B3604">
        <f>IFERROR(VLOOKUP(A3604,Cadastro_Produtos!A:B,2,FALSE),"")</f>
        <v/>
      </c>
      <c r="D3604" s="12" t="n"/>
      <c r="E3604" s="13">
        <f>IF(D3604="","",D3604-TODAY())</f>
        <v/>
      </c>
      <c r="F3604">
        <f>IF(D3604="","",IF(E3604&lt;0,"VENCIDO",IF(E3604&lt;=30,"VENCE EM &lt;= 30 DIAS",IF(E3604&lt;=60,"ATENCAO (31-60 DIAS)","OK"))))</f>
        <v/>
      </c>
      <c r="G3604" s="13">
        <f>SUMIFS(Movimentacoes!$G:$G,Movimentacoes!$C:$C,$A3604,Movimentacoes!$E:$E,$C3604,Movimentacoes!$B:$B,"ENTRADA")</f>
        <v/>
      </c>
      <c r="H3604" s="13">
        <f>SUMIFS(Movimentacoes!$G:$G,Movimentacoes!$C:$C,$A3604,Movimentacoes!$E:$E,$C3604,Movimentacoes!$B:$B,"SAIDA_USO")</f>
        <v/>
      </c>
      <c r="I3604" s="13">
        <f>SUMIFS(Movimentacoes!$G:$G,Movimentacoes!$C:$C,$A3604,Movimentacoes!$E:$E,$C3604,Movimentacoes!$B:$B,"SAIDA_DESCARTE")</f>
        <v/>
      </c>
      <c r="J3604" s="13">
        <f>G3604-H3604-I3604</f>
        <v/>
      </c>
      <c r="K3604">
        <f>IF(A3604="","",IF(J3604&lt;=IFERROR(VLOOKUP(A3604,Cadastro_Produtos!$A:$E,5,FALSE),0),"ABAIXO DO MINIMO","OK"))</f>
        <v/>
      </c>
    </row>
    <row r="3605">
      <c r="B3605">
        <f>IFERROR(VLOOKUP(A3605,Cadastro_Produtos!A:B,2,FALSE),"")</f>
        <v/>
      </c>
      <c r="D3605" s="12" t="n"/>
      <c r="E3605" s="13">
        <f>IF(D3605="","",D3605-TODAY())</f>
        <v/>
      </c>
      <c r="F3605">
        <f>IF(D3605="","",IF(E3605&lt;0,"VENCIDO",IF(E3605&lt;=30,"VENCE EM &lt;= 30 DIAS",IF(E3605&lt;=60,"ATENCAO (31-60 DIAS)","OK"))))</f>
        <v/>
      </c>
      <c r="G3605" s="13">
        <f>SUMIFS(Movimentacoes!$G:$G,Movimentacoes!$C:$C,$A3605,Movimentacoes!$E:$E,$C3605,Movimentacoes!$B:$B,"ENTRADA")</f>
        <v/>
      </c>
      <c r="H3605" s="13">
        <f>SUMIFS(Movimentacoes!$G:$G,Movimentacoes!$C:$C,$A3605,Movimentacoes!$E:$E,$C3605,Movimentacoes!$B:$B,"SAIDA_USO")</f>
        <v/>
      </c>
      <c r="I3605" s="13">
        <f>SUMIFS(Movimentacoes!$G:$G,Movimentacoes!$C:$C,$A3605,Movimentacoes!$E:$E,$C3605,Movimentacoes!$B:$B,"SAIDA_DESCARTE")</f>
        <v/>
      </c>
      <c r="J3605" s="13">
        <f>G3605-H3605-I3605</f>
        <v/>
      </c>
      <c r="K3605">
        <f>IF(A3605="","",IF(J3605&lt;=IFERROR(VLOOKUP(A3605,Cadastro_Produtos!$A:$E,5,FALSE),0),"ABAIXO DO MINIMO","OK"))</f>
        <v/>
      </c>
    </row>
    <row r="3606">
      <c r="B3606">
        <f>IFERROR(VLOOKUP(A3606,Cadastro_Produtos!A:B,2,FALSE),"")</f>
        <v/>
      </c>
      <c r="D3606" s="12" t="n"/>
      <c r="E3606" s="13">
        <f>IF(D3606="","",D3606-TODAY())</f>
        <v/>
      </c>
      <c r="F3606">
        <f>IF(D3606="","",IF(E3606&lt;0,"VENCIDO",IF(E3606&lt;=30,"VENCE EM &lt;= 30 DIAS",IF(E3606&lt;=60,"ATENCAO (31-60 DIAS)","OK"))))</f>
        <v/>
      </c>
      <c r="G3606" s="13">
        <f>SUMIFS(Movimentacoes!$G:$G,Movimentacoes!$C:$C,$A3606,Movimentacoes!$E:$E,$C3606,Movimentacoes!$B:$B,"ENTRADA")</f>
        <v/>
      </c>
      <c r="H3606" s="13">
        <f>SUMIFS(Movimentacoes!$G:$G,Movimentacoes!$C:$C,$A3606,Movimentacoes!$E:$E,$C3606,Movimentacoes!$B:$B,"SAIDA_USO")</f>
        <v/>
      </c>
      <c r="I3606" s="13">
        <f>SUMIFS(Movimentacoes!$G:$G,Movimentacoes!$C:$C,$A3606,Movimentacoes!$E:$E,$C3606,Movimentacoes!$B:$B,"SAIDA_DESCARTE")</f>
        <v/>
      </c>
      <c r="J3606" s="13">
        <f>G3606-H3606-I3606</f>
        <v/>
      </c>
      <c r="K3606">
        <f>IF(A3606="","",IF(J3606&lt;=IFERROR(VLOOKUP(A3606,Cadastro_Produtos!$A:$E,5,FALSE),0),"ABAIXO DO MINIMO","OK"))</f>
        <v/>
      </c>
    </row>
    <row r="3607">
      <c r="B3607">
        <f>IFERROR(VLOOKUP(A3607,Cadastro_Produtos!A:B,2,FALSE),"")</f>
        <v/>
      </c>
      <c r="D3607" s="12" t="n"/>
      <c r="E3607" s="13">
        <f>IF(D3607="","",D3607-TODAY())</f>
        <v/>
      </c>
      <c r="F3607">
        <f>IF(D3607="","",IF(E3607&lt;0,"VENCIDO",IF(E3607&lt;=30,"VENCE EM &lt;= 30 DIAS",IF(E3607&lt;=60,"ATENCAO (31-60 DIAS)","OK"))))</f>
        <v/>
      </c>
      <c r="G3607" s="13">
        <f>SUMIFS(Movimentacoes!$G:$G,Movimentacoes!$C:$C,$A3607,Movimentacoes!$E:$E,$C3607,Movimentacoes!$B:$B,"ENTRADA")</f>
        <v/>
      </c>
      <c r="H3607" s="13">
        <f>SUMIFS(Movimentacoes!$G:$G,Movimentacoes!$C:$C,$A3607,Movimentacoes!$E:$E,$C3607,Movimentacoes!$B:$B,"SAIDA_USO")</f>
        <v/>
      </c>
      <c r="I3607" s="13">
        <f>SUMIFS(Movimentacoes!$G:$G,Movimentacoes!$C:$C,$A3607,Movimentacoes!$E:$E,$C3607,Movimentacoes!$B:$B,"SAIDA_DESCARTE")</f>
        <v/>
      </c>
      <c r="J3607" s="13">
        <f>G3607-H3607-I3607</f>
        <v/>
      </c>
      <c r="K3607">
        <f>IF(A3607="","",IF(J3607&lt;=IFERROR(VLOOKUP(A3607,Cadastro_Produtos!$A:$E,5,FALSE),0),"ABAIXO DO MINIMO","OK"))</f>
        <v/>
      </c>
    </row>
    <row r="3608">
      <c r="B3608">
        <f>IFERROR(VLOOKUP(A3608,Cadastro_Produtos!A:B,2,FALSE),"")</f>
        <v/>
      </c>
      <c r="D3608" s="12" t="n"/>
      <c r="E3608" s="13">
        <f>IF(D3608="","",D3608-TODAY())</f>
        <v/>
      </c>
      <c r="F3608">
        <f>IF(D3608="","",IF(E3608&lt;0,"VENCIDO",IF(E3608&lt;=30,"VENCE EM &lt;= 30 DIAS",IF(E3608&lt;=60,"ATENCAO (31-60 DIAS)","OK"))))</f>
        <v/>
      </c>
      <c r="G3608" s="13">
        <f>SUMIFS(Movimentacoes!$G:$G,Movimentacoes!$C:$C,$A3608,Movimentacoes!$E:$E,$C3608,Movimentacoes!$B:$B,"ENTRADA")</f>
        <v/>
      </c>
      <c r="H3608" s="13">
        <f>SUMIFS(Movimentacoes!$G:$G,Movimentacoes!$C:$C,$A3608,Movimentacoes!$E:$E,$C3608,Movimentacoes!$B:$B,"SAIDA_USO")</f>
        <v/>
      </c>
      <c r="I3608" s="13">
        <f>SUMIFS(Movimentacoes!$G:$G,Movimentacoes!$C:$C,$A3608,Movimentacoes!$E:$E,$C3608,Movimentacoes!$B:$B,"SAIDA_DESCARTE")</f>
        <v/>
      </c>
      <c r="J3608" s="13">
        <f>G3608-H3608-I3608</f>
        <v/>
      </c>
      <c r="K3608">
        <f>IF(A3608="","",IF(J3608&lt;=IFERROR(VLOOKUP(A3608,Cadastro_Produtos!$A:$E,5,FALSE),0),"ABAIXO DO MINIMO","OK"))</f>
        <v/>
      </c>
    </row>
    <row r="3609">
      <c r="B3609">
        <f>IFERROR(VLOOKUP(A3609,Cadastro_Produtos!A:B,2,FALSE),"")</f>
        <v/>
      </c>
      <c r="D3609" s="12" t="n"/>
      <c r="E3609" s="13">
        <f>IF(D3609="","",D3609-TODAY())</f>
        <v/>
      </c>
      <c r="F3609">
        <f>IF(D3609="","",IF(E3609&lt;0,"VENCIDO",IF(E3609&lt;=30,"VENCE EM &lt;= 30 DIAS",IF(E3609&lt;=60,"ATENCAO (31-60 DIAS)","OK"))))</f>
        <v/>
      </c>
      <c r="G3609" s="13">
        <f>SUMIFS(Movimentacoes!$G:$G,Movimentacoes!$C:$C,$A3609,Movimentacoes!$E:$E,$C3609,Movimentacoes!$B:$B,"ENTRADA")</f>
        <v/>
      </c>
      <c r="H3609" s="13">
        <f>SUMIFS(Movimentacoes!$G:$G,Movimentacoes!$C:$C,$A3609,Movimentacoes!$E:$E,$C3609,Movimentacoes!$B:$B,"SAIDA_USO")</f>
        <v/>
      </c>
      <c r="I3609" s="13">
        <f>SUMIFS(Movimentacoes!$G:$G,Movimentacoes!$C:$C,$A3609,Movimentacoes!$E:$E,$C3609,Movimentacoes!$B:$B,"SAIDA_DESCARTE")</f>
        <v/>
      </c>
      <c r="J3609" s="13">
        <f>G3609-H3609-I3609</f>
        <v/>
      </c>
      <c r="K3609">
        <f>IF(A3609="","",IF(J3609&lt;=IFERROR(VLOOKUP(A3609,Cadastro_Produtos!$A:$E,5,FALSE),0),"ABAIXO DO MINIMO","OK"))</f>
        <v/>
      </c>
    </row>
    <row r="3610">
      <c r="B3610">
        <f>IFERROR(VLOOKUP(A3610,Cadastro_Produtos!A:B,2,FALSE),"")</f>
        <v/>
      </c>
      <c r="D3610" s="12" t="n"/>
      <c r="E3610" s="13">
        <f>IF(D3610="","",D3610-TODAY())</f>
        <v/>
      </c>
      <c r="F3610">
        <f>IF(D3610="","",IF(E3610&lt;0,"VENCIDO",IF(E3610&lt;=30,"VENCE EM &lt;= 30 DIAS",IF(E3610&lt;=60,"ATENCAO (31-60 DIAS)","OK"))))</f>
        <v/>
      </c>
      <c r="G3610" s="13">
        <f>SUMIFS(Movimentacoes!$G:$G,Movimentacoes!$C:$C,$A3610,Movimentacoes!$E:$E,$C3610,Movimentacoes!$B:$B,"ENTRADA")</f>
        <v/>
      </c>
      <c r="H3610" s="13">
        <f>SUMIFS(Movimentacoes!$G:$G,Movimentacoes!$C:$C,$A3610,Movimentacoes!$E:$E,$C3610,Movimentacoes!$B:$B,"SAIDA_USO")</f>
        <v/>
      </c>
      <c r="I3610" s="13">
        <f>SUMIFS(Movimentacoes!$G:$G,Movimentacoes!$C:$C,$A3610,Movimentacoes!$E:$E,$C3610,Movimentacoes!$B:$B,"SAIDA_DESCARTE")</f>
        <v/>
      </c>
      <c r="J3610" s="13">
        <f>G3610-H3610-I3610</f>
        <v/>
      </c>
      <c r="K3610">
        <f>IF(A3610="","",IF(J3610&lt;=IFERROR(VLOOKUP(A3610,Cadastro_Produtos!$A:$E,5,FALSE),0),"ABAIXO DO MINIMO","OK"))</f>
        <v/>
      </c>
    </row>
    <row r="3611">
      <c r="B3611">
        <f>IFERROR(VLOOKUP(A3611,Cadastro_Produtos!A:B,2,FALSE),"")</f>
        <v/>
      </c>
      <c r="D3611" s="12" t="n"/>
      <c r="E3611" s="13">
        <f>IF(D3611="","",D3611-TODAY())</f>
        <v/>
      </c>
      <c r="F3611">
        <f>IF(D3611="","",IF(E3611&lt;0,"VENCIDO",IF(E3611&lt;=30,"VENCE EM &lt;= 30 DIAS",IF(E3611&lt;=60,"ATENCAO (31-60 DIAS)","OK"))))</f>
        <v/>
      </c>
      <c r="G3611" s="13">
        <f>SUMIFS(Movimentacoes!$G:$G,Movimentacoes!$C:$C,$A3611,Movimentacoes!$E:$E,$C3611,Movimentacoes!$B:$B,"ENTRADA")</f>
        <v/>
      </c>
      <c r="H3611" s="13">
        <f>SUMIFS(Movimentacoes!$G:$G,Movimentacoes!$C:$C,$A3611,Movimentacoes!$E:$E,$C3611,Movimentacoes!$B:$B,"SAIDA_USO")</f>
        <v/>
      </c>
      <c r="I3611" s="13">
        <f>SUMIFS(Movimentacoes!$G:$G,Movimentacoes!$C:$C,$A3611,Movimentacoes!$E:$E,$C3611,Movimentacoes!$B:$B,"SAIDA_DESCARTE")</f>
        <v/>
      </c>
      <c r="J3611" s="13">
        <f>G3611-H3611-I3611</f>
        <v/>
      </c>
      <c r="K3611">
        <f>IF(A3611="","",IF(J3611&lt;=IFERROR(VLOOKUP(A3611,Cadastro_Produtos!$A:$E,5,FALSE),0),"ABAIXO DO MINIMO","OK"))</f>
        <v/>
      </c>
    </row>
    <row r="3612">
      <c r="B3612">
        <f>IFERROR(VLOOKUP(A3612,Cadastro_Produtos!A:B,2,FALSE),"")</f>
        <v/>
      </c>
      <c r="D3612" s="12" t="n"/>
      <c r="E3612" s="13">
        <f>IF(D3612="","",D3612-TODAY())</f>
        <v/>
      </c>
      <c r="F3612">
        <f>IF(D3612="","",IF(E3612&lt;0,"VENCIDO",IF(E3612&lt;=30,"VENCE EM &lt;= 30 DIAS",IF(E3612&lt;=60,"ATENCAO (31-60 DIAS)","OK"))))</f>
        <v/>
      </c>
      <c r="G3612" s="13">
        <f>SUMIFS(Movimentacoes!$G:$G,Movimentacoes!$C:$C,$A3612,Movimentacoes!$E:$E,$C3612,Movimentacoes!$B:$B,"ENTRADA")</f>
        <v/>
      </c>
      <c r="H3612" s="13">
        <f>SUMIFS(Movimentacoes!$G:$G,Movimentacoes!$C:$C,$A3612,Movimentacoes!$E:$E,$C3612,Movimentacoes!$B:$B,"SAIDA_USO")</f>
        <v/>
      </c>
      <c r="I3612" s="13">
        <f>SUMIFS(Movimentacoes!$G:$G,Movimentacoes!$C:$C,$A3612,Movimentacoes!$E:$E,$C3612,Movimentacoes!$B:$B,"SAIDA_DESCARTE")</f>
        <v/>
      </c>
      <c r="J3612" s="13">
        <f>G3612-H3612-I3612</f>
        <v/>
      </c>
      <c r="K3612">
        <f>IF(A3612="","",IF(J3612&lt;=IFERROR(VLOOKUP(A3612,Cadastro_Produtos!$A:$E,5,FALSE),0),"ABAIXO DO MINIMO","OK"))</f>
        <v/>
      </c>
    </row>
    <row r="3613">
      <c r="B3613">
        <f>IFERROR(VLOOKUP(A3613,Cadastro_Produtos!A:B,2,FALSE),"")</f>
        <v/>
      </c>
      <c r="D3613" s="12" t="n"/>
      <c r="E3613" s="13">
        <f>IF(D3613="","",D3613-TODAY())</f>
        <v/>
      </c>
      <c r="F3613">
        <f>IF(D3613="","",IF(E3613&lt;0,"VENCIDO",IF(E3613&lt;=30,"VENCE EM &lt;= 30 DIAS",IF(E3613&lt;=60,"ATENCAO (31-60 DIAS)","OK"))))</f>
        <v/>
      </c>
      <c r="G3613" s="13">
        <f>SUMIFS(Movimentacoes!$G:$G,Movimentacoes!$C:$C,$A3613,Movimentacoes!$E:$E,$C3613,Movimentacoes!$B:$B,"ENTRADA")</f>
        <v/>
      </c>
      <c r="H3613" s="13">
        <f>SUMIFS(Movimentacoes!$G:$G,Movimentacoes!$C:$C,$A3613,Movimentacoes!$E:$E,$C3613,Movimentacoes!$B:$B,"SAIDA_USO")</f>
        <v/>
      </c>
      <c r="I3613" s="13">
        <f>SUMIFS(Movimentacoes!$G:$G,Movimentacoes!$C:$C,$A3613,Movimentacoes!$E:$E,$C3613,Movimentacoes!$B:$B,"SAIDA_DESCARTE")</f>
        <v/>
      </c>
      <c r="J3613" s="13">
        <f>G3613-H3613-I3613</f>
        <v/>
      </c>
      <c r="K3613">
        <f>IF(A3613="","",IF(J3613&lt;=IFERROR(VLOOKUP(A3613,Cadastro_Produtos!$A:$E,5,FALSE),0),"ABAIXO DO MINIMO","OK"))</f>
        <v/>
      </c>
    </row>
    <row r="3614">
      <c r="B3614">
        <f>IFERROR(VLOOKUP(A3614,Cadastro_Produtos!A:B,2,FALSE),"")</f>
        <v/>
      </c>
      <c r="D3614" s="12" t="n"/>
      <c r="E3614" s="13">
        <f>IF(D3614="","",D3614-TODAY())</f>
        <v/>
      </c>
      <c r="F3614">
        <f>IF(D3614="","",IF(E3614&lt;0,"VENCIDO",IF(E3614&lt;=30,"VENCE EM &lt;= 30 DIAS",IF(E3614&lt;=60,"ATENCAO (31-60 DIAS)","OK"))))</f>
        <v/>
      </c>
      <c r="G3614" s="13">
        <f>SUMIFS(Movimentacoes!$G:$G,Movimentacoes!$C:$C,$A3614,Movimentacoes!$E:$E,$C3614,Movimentacoes!$B:$B,"ENTRADA")</f>
        <v/>
      </c>
      <c r="H3614" s="13">
        <f>SUMIFS(Movimentacoes!$G:$G,Movimentacoes!$C:$C,$A3614,Movimentacoes!$E:$E,$C3614,Movimentacoes!$B:$B,"SAIDA_USO")</f>
        <v/>
      </c>
      <c r="I3614" s="13">
        <f>SUMIFS(Movimentacoes!$G:$G,Movimentacoes!$C:$C,$A3614,Movimentacoes!$E:$E,$C3614,Movimentacoes!$B:$B,"SAIDA_DESCARTE")</f>
        <v/>
      </c>
      <c r="J3614" s="13">
        <f>G3614-H3614-I3614</f>
        <v/>
      </c>
      <c r="K3614">
        <f>IF(A3614="","",IF(J3614&lt;=IFERROR(VLOOKUP(A3614,Cadastro_Produtos!$A:$E,5,FALSE),0),"ABAIXO DO MINIMO","OK"))</f>
        <v/>
      </c>
    </row>
    <row r="3615">
      <c r="B3615">
        <f>IFERROR(VLOOKUP(A3615,Cadastro_Produtos!A:B,2,FALSE),"")</f>
        <v/>
      </c>
      <c r="D3615" s="12" t="n"/>
      <c r="E3615" s="13">
        <f>IF(D3615="","",D3615-TODAY())</f>
        <v/>
      </c>
      <c r="F3615">
        <f>IF(D3615="","",IF(E3615&lt;0,"VENCIDO",IF(E3615&lt;=30,"VENCE EM &lt;= 30 DIAS",IF(E3615&lt;=60,"ATENCAO (31-60 DIAS)","OK"))))</f>
        <v/>
      </c>
      <c r="G3615" s="13">
        <f>SUMIFS(Movimentacoes!$G:$G,Movimentacoes!$C:$C,$A3615,Movimentacoes!$E:$E,$C3615,Movimentacoes!$B:$B,"ENTRADA")</f>
        <v/>
      </c>
      <c r="H3615" s="13">
        <f>SUMIFS(Movimentacoes!$G:$G,Movimentacoes!$C:$C,$A3615,Movimentacoes!$E:$E,$C3615,Movimentacoes!$B:$B,"SAIDA_USO")</f>
        <v/>
      </c>
      <c r="I3615" s="13">
        <f>SUMIFS(Movimentacoes!$G:$G,Movimentacoes!$C:$C,$A3615,Movimentacoes!$E:$E,$C3615,Movimentacoes!$B:$B,"SAIDA_DESCARTE")</f>
        <v/>
      </c>
      <c r="J3615" s="13">
        <f>G3615-H3615-I3615</f>
        <v/>
      </c>
      <c r="K3615">
        <f>IF(A3615="","",IF(J3615&lt;=IFERROR(VLOOKUP(A3615,Cadastro_Produtos!$A:$E,5,FALSE),0),"ABAIXO DO MINIMO","OK"))</f>
        <v/>
      </c>
    </row>
    <row r="3616">
      <c r="B3616">
        <f>IFERROR(VLOOKUP(A3616,Cadastro_Produtos!A:B,2,FALSE),"")</f>
        <v/>
      </c>
      <c r="D3616" s="12" t="n"/>
      <c r="E3616" s="13">
        <f>IF(D3616="","",D3616-TODAY())</f>
        <v/>
      </c>
      <c r="F3616">
        <f>IF(D3616="","",IF(E3616&lt;0,"VENCIDO",IF(E3616&lt;=30,"VENCE EM &lt;= 30 DIAS",IF(E3616&lt;=60,"ATENCAO (31-60 DIAS)","OK"))))</f>
        <v/>
      </c>
      <c r="G3616" s="13">
        <f>SUMIFS(Movimentacoes!$G:$G,Movimentacoes!$C:$C,$A3616,Movimentacoes!$E:$E,$C3616,Movimentacoes!$B:$B,"ENTRADA")</f>
        <v/>
      </c>
      <c r="H3616" s="13">
        <f>SUMIFS(Movimentacoes!$G:$G,Movimentacoes!$C:$C,$A3616,Movimentacoes!$E:$E,$C3616,Movimentacoes!$B:$B,"SAIDA_USO")</f>
        <v/>
      </c>
      <c r="I3616" s="13">
        <f>SUMIFS(Movimentacoes!$G:$G,Movimentacoes!$C:$C,$A3616,Movimentacoes!$E:$E,$C3616,Movimentacoes!$B:$B,"SAIDA_DESCARTE")</f>
        <v/>
      </c>
      <c r="J3616" s="13">
        <f>G3616-H3616-I3616</f>
        <v/>
      </c>
      <c r="K3616">
        <f>IF(A3616="","",IF(J3616&lt;=IFERROR(VLOOKUP(A3616,Cadastro_Produtos!$A:$E,5,FALSE),0),"ABAIXO DO MINIMO","OK"))</f>
        <v/>
      </c>
    </row>
    <row r="3617">
      <c r="B3617">
        <f>IFERROR(VLOOKUP(A3617,Cadastro_Produtos!A:B,2,FALSE),"")</f>
        <v/>
      </c>
      <c r="D3617" s="12" t="n"/>
      <c r="E3617" s="13">
        <f>IF(D3617="","",D3617-TODAY())</f>
        <v/>
      </c>
      <c r="F3617">
        <f>IF(D3617="","",IF(E3617&lt;0,"VENCIDO",IF(E3617&lt;=30,"VENCE EM &lt;= 30 DIAS",IF(E3617&lt;=60,"ATENCAO (31-60 DIAS)","OK"))))</f>
        <v/>
      </c>
      <c r="G3617" s="13">
        <f>SUMIFS(Movimentacoes!$G:$G,Movimentacoes!$C:$C,$A3617,Movimentacoes!$E:$E,$C3617,Movimentacoes!$B:$B,"ENTRADA")</f>
        <v/>
      </c>
      <c r="H3617" s="13">
        <f>SUMIFS(Movimentacoes!$G:$G,Movimentacoes!$C:$C,$A3617,Movimentacoes!$E:$E,$C3617,Movimentacoes!$B:$B,"SAIDA_USO")</f>
        <v/>
      </c>
      <c r="I3617" s="13">
        <f>SUMIFS(Movimentacoes!$G:$G,Movimentacoes!$C:$C,$A3617,Movimentacoes!$E:$E,$C3617,Movimentacoes!$B:$B,"SAIDA_DESCARTE")</f>
        <v/>
      </c>
      <c r="J3617" s="13">
        <f>G3617-H3617-I3617</f>
        <v/>
      </c>
      <c r="K3617">
        <f>IF(A3617="","",IF(J3617&lt;=IFERROR(VLOOKUP(A3617,Cadastro_Produtos!$A:$E,5,FALSE),0),"ABAIXO DO MINIMO","OK"))</f>
        <v/>
      </c>
    </row>
    <row r="3618">
      <c r="B3618">
        <f>IFERROR(VLOOKUP(A3618,Cadastro_Produtos!A:B,2,FALSE),"")</f>
        <v/>
      </c>
      <c r="D3618" s="12" t="n"/>
      <c r="E3618" s="13">
        <f>IF(D3618="","",D3618-TODAY())</f>
        <v/>
      </c>
      <c r="F3618">
        <f>IF(D3618="","",IF(E3618&lt;0,"VENCIDO",IF(E3618&lt;=30,"VENCE EM &lt;= 30 DIAS",IF(E3618&lt;=60,"ATENCAO (31-60 DIAS)","OK"))))</f>
        <v/>
      </c>
      <c r="G3618" s="13">
        <f>SUMIFS(Movimentacoes!$G:$G,Movimentacoes!$C:$C,$A3618,Movimentacoes!$E:$E,$C3618,Movimentacoes!$B:$B,"ENTRADA")</f>
        <v/>
      </c>
      <c r="H3618" s="13">
        <f>SUMIFS(Movimentacoes!$G:$G,Movimentacoes!$C:$C,$A3618,Movimentacoes!$E:$E,$C3618,Movimentacoes!$B:$B,"SAIDA_USO")</f>
        <v/>
      </c>
      <c r="I3618" s="13">
        <f>SUMIFS(Movimentacoes!$G:$G,Movimentacoes!$C:$C,$A3618,Movimentacoes!$E:$E,$C3618,Movimentacoes!$B:$B,"SAIDA_DESCARTE")</f>
        <v/>
      </c>
      <c r="J3618" s="13">
        <f>G3618-H3618-I3618</f>
        <v/>
      </c>
      <c r="K3618">
        <f>IF(A3618="","",IF(J3618&lt;=IFERROR(VLOOKUP(A3618,Cadastro_Produtos!$A:$E,5,FALSE),0),"ABAIXO DO MINIMO","OK"))</f>
        <v/>
      </c>
    </row>
    <row r="3619">
      <c r="B3619">
        <f>IFERROR(VLOOKUP(A3619,Cadastro_Produtos!A:B,2,FALSE),"")</f>
        <v/>
      </c>
      <c r="D3619" s="12" t="n"/>
      <c r="E3619" s="13">
        <f>IF(D3619="","",D3619-TODAY())</f>
        <v/>
      </c>
      <c r="F3619">
        <f>IF(D3619="","",IF(E3619&lt;0,"VENCIDO",IF(E3619&lt;=30,"VENCE EM &lt;= 30 DIAS",IF(E3619&lt;=60,"ATENCAO (31-60 DIAS)","OK"))))</f>
        <v/>
      </c>
      <c r="G3619" s="13">
        <f>SUMIFS(Movimentacoes!$G:$G,Movimentacoes!$C:$C,$A3619,Movimentacoes!$E:$E,$C3619,Movimentacoes!$B:$B,"ENTRADA")</f>
        <v/>
      </c>
      <c r="H3619" s="13">
        <f>SUMIFS(Movimentacoes!$G:$G,Movimentacoes!$C:$C,$A3619,Movimentacoes!$E:$E,$C3619,Movimentacoes!$B:$B,"SAIDA_USO")</f>
        <v/>
      </c>
      <c r="I3619" s="13">
        <f>SUMIFS(Movimentacoes!$G:$G,Movimentacoes!$C:$C,$A3619,Movimentacoes!$E:$E,$C3619,Movimentacoes!$B:$B,"SAIDA_DESCARTE")</f>
        <v/>
      </c>
      <c r="J3619" s="13">
        <f>G3619-H3619-I3619</f>
        <v/>
      </c>
      <c r="K3619">
        <f>IF(A3619="","",IF(J3619&lt;=IFERROR(VLOOKUP(A3619,Cadastro_Produtos!$A:$E,5,FALSE),0),"ABAIXO DO MINIMO","OK"))</f>
        <v/>
      </c>
    </row>
    <row r="3620">
      <c r="B3620">
        <f>IFERROR(VLOOKUP(A3620,Cadastro_Produtos!A:B,2,FALSE),"")</f>
        <v/>
      </c>
      <c r="D3620" s="12" t="n"/>
      <c r="E3620" s="13">
        <f>IF(D3620="","",D3620-TODAY())</f>
        <v/>
      </c>
      <c r="F3620">
        <f>IF(D3620="","",IF(E3620&lt;0,"VENCIDO",IF(E3620&lt;=30,"VENCE EM &lt;= 30 DIAS",IF(E3620&lt;=60,"ATENCAO (31-60 DIAS)","OK"))))</f>
        <v/>
      </c>
      <c r="G3620" s="13">
        <f>SUMIFS(Movimentacoes!$G:$G,Movimentacoes!$C:$C,$A3620,Movimentacoes!$E:$E,$C3620,Movimentacoes!$B:$B,"ENTRADA")</f>
        <v/>
      </c>
      <c r="H3620" s="13">
        <f>SUMIFS(Movimentacoes!$G:$G,Movimentacoes!$C:$C,$A3620,Movimentacoes!$E:$E,$C3620,Movimentacoes!$B:$B,"SAIDA_USO")</f>
        <v/>
      </c>
      <c r="I3620" s="13">
        <f>SUMIFS(Movimentacoes!$G:$G,Movimentacoes!$C:$C,$A3620,Movimentacoes!$E:$E,$C3620,Movimentacoes!$B:$B,"SAIDA_DESCARTE")</f>
        <v/>
      </c>
      <c r="J3620" s="13">
        <f>G3620-H3620-I3620</f>
        <v/>
      </c>
      <c r="K3620">
        <f>IF(A3620="","",IF(J3620&lt;=IFERROR(VLOOKUP(A3620,Cadastro_Produtos!$A:$E,5,FALSE),0),"ABAIXO DO MINIMO","OK"))</f>
        <v/>
      </c>
    </row>
    <row r="3621">
      <c r="B3621">
        <f>IFERROR(VLOOKUP(A3621,Cadastro_Produtos!A:B,2,FALSE),"")</f>
        <v/>
      </c>
      <c r="D3621" s="12" t="n"/>
      <c r="E3621" s="13">
        <f>IF(D3621="","",D3621-TODAY())</f>
        <v/>
      </c>
      <c r="F3621">
        <f>IF(D3621="","",IF(E3621&lt;0,"VENCIDO",IF(E3621&lt;=30,"VENCE EM &lt;= 30 DIAS",IF(E3621&lt;=60,"ATENCAO (31-60 DIAS)","OK"))))</f>
        <v/>
      </c>
      <c r="G3621" s="13">
        <f>SUMIFS(Movimentacoes!$G:$G,Movimentacoes!$C:$C,$A3621,Movimentacoes!$E:$E,$C3621,Movimentacoes!$B:$B,"ENTRADA")</f>
        <v/>
      </c>
      <c r="H3621" s="13">
        <f>SUMIFS(Movimentacoes!$G:$G,Movimentacoes!$C:$C,$A3621,Movimentacoes!$E:$E,$C3621,Movimentacoes!$B:$B,"SAIDA_USO")</f>
        <v/>
      </c>
      <c r="I3621" s="13">
        <f>SUMIFS(Movimentacoes!$G:$G,Movimentacoes!$C:$C,$A3621,Movimentacoes!$E:$E,$C3621,Movimentacoes!$B:$B,"SAIDA_DESCARTE")</f>
        <v/>
      </c>
      <c r="J3621" s="13">
        <f>G3621-H3621-I3621</f>
        <v/>
      </c>
      <c r="K3621">
        <f>IF(A3621="","",IF(J3621&lt;=IFERROR(VLOOKUP(A3621,Cadastro_Produtos!$A:$E,5,FALSE),0),"ABAIXO DO MINIMO","OK"))</f>
        <v/>
      </c>
    </row>
    <row r="3622">
      <c r="B3622">
        <f>IFERROR(VLOOKUP(A3622,Cadastro_Produtos!A:B,2,FALSE),"")</f>
        <v/>
      </c>
      <c r="D3622" s="12" t="n"/>
      <c r="E3622" s="13">
        <f>IF(D3622="","",D3622-TODAY())</f>
        <v/>
      </c>
      <c r="F3622">
        <f>IF(D3622="","",IF(E3622&lt;0,"VENCIDO",IF(E3622&lt;=30,"VENCE EM &lt;= 30 DIAS",IF(E3622&lt;=60,"ATENCAO (31-60 DIAS)","OK"))))</f>
        <v/>
      </c>
      <c r="G3622" s="13">
        <f>SUMIFS(Movimentacoes!$G:$G,Movimentacoes!$C:$C,$A3622,Movimentacoes!$E:$E,$C3622,Movimentacoes!$B:$B,"ENTRADA")</f>
        <v/>
      </c>
      <c r="H3622" s="13">
        <f>SUMIFS(Movimentacoes!$G:$G,Movimentacoes!$C:$C,$A3622,Movimentacoes!$E:$E,$C3622,Movimentacoes!$B:$B,"SAIDA_USO")</f>
        <v/>
      </c>
      <c r="I3622" s="13">
        <f>SUMIFS(Movimentacoes!$G:$G,Movimentacoes!$C:$C,$A3622,Movimentacoes!$E:$E,$C3622,Movimentacoes!$B:$B,"SAIDA_DESCARTE")</f>
        <v/>
      </c>
      <c r="J3622" s="13">
        <f>G3622-H3622-I3622</f>
        <v/>
      </c>
      <c r="K3622">
        <f>IF(A3622="","",IF(J3622&lt;=IFERROR(VLOOKUP(A3622,Cadastro_Produtos!$A:$E,5,FALSE),0),"ABAIXO DO MINIMO","OK"))</f>
        <v/>
      </c>
    </row>
    <row r="3623">
      <c r="B3623">
        <f>IFERROR(VLOOKUP(A3623,Cadastro_Produtos!A:B,2,FALSE),"")</f>
        <v/>
      </c>
      <c r="D3623" s="12" t="n"/>
      <c r="E3623" s="13">
        <f>IF(D3623="","",D3623-TODAY())</f>
        <v/>
      </c>
      <c r="F3623">
        <f>IF(D3623="","",IF(E3623&lt;0,"VENCIDO",IF(E3623&lt;=30,"VENCE EM &lt;= 30 DIAS",IF(E3623&lt;=60,"ATENCAO (31-60 DIAS)","OK"))))</f>
        <v/>
      </c>
      <c r="G3623" s="13">
        <f>SUMIFS(Movimentacoes!$G:$G,Movimentacoes!$C:$C,$A3623,Movimentacoes!$E:$E,$C3623,Movimentacoes!$B:$B,"ENTRADA")</f>
        <v/>
      </c>
      <c r="H3623" s="13">
        <f>SUMIFS(Movimentacoes!$G:$G,Movimentacoes!$C:$C,$A3623,Movimentacoes!$E:$E,$C3623,Movimentacoes!$B:$B,"SAIDA_USO")</f>
        <v/>
      </c>
      <c r="I3623" s="13">
        <f>SUMIFS(Movimentacoes!$G:$G,Movimentacoes!$C:$C,$A3623,Movimentacoes!$E:$E,$C3623,Movimentacoes!$B:$B,"SAIDA_DESCARTE")</f>
        <v/>
      </c>
      <c r="J3623" s="13">
        <f>G3623-H3623-I3623</f>
        <v/>
      </c>
      <c r="K3623">
        <f>IF(A3623="","",IF(J3623&lt;=IFERROR(VLOOKUP(A3623,Cadastro_Produtos!$A:$E,5,FALSE),0),"ABAIXO DO MINIMO","OK"))</f>
        <v/>
      </c>
    </row>
    <row r="3624">
      <c r="B3624">
        <f>IFERROR(VLOOKUP(A3624,Cadastro_Produtos!A:B,2,FALSE),"")</f>
        <v/>
      </c>
      <c r="D3624" s="12" t="n"/>
      <c r="E3624" s="13">
        <f>IF(D3624="","",D3624-TODAY())</f>
        <v/>
      </c>
      <c r="F3624">
        <f>IF(D3624="","",IF(E3624&lt;0,"VENCIDO",IF(E3624&lt;=30,"VENCE EM &lt;= 30 DIAS",IF(E3624&lt;=60,"ATENCAO (31-60 DIAS)","OK"))))</f>
        <v/>
      </c>
      <c r="G3624" s="13">
        <f>SUMIFS(Movimentacoes!$G:$G,Movimentacoes!$C:$C,$A3624,Movimentacoes!$E:$E,$C3624,Movimentacoes!$B:$B,"ENTRADA")</f>
        <v/>
      </c>
      <c r="H3624" s="13">
        <f>SUMIFS(Movimentacoes!$G:$G,Movimentacoes!$C:$C,$A3624,Movimentacoes!$E:$E,$C3624,Movimentacoes!$B:$B,"SAIDA_USO")</f>
        <v/>
      </c>
      <c r="I3624" s="13">
        <f>SUMIFS(Movimentacoes!$G:$G,Movimentacoes!$C:$C,$A3624,Movimentacoes!$E:$E,$C3624,Movimentacoes!$B:$B,"SAIDA_DESCARTE")</f>
        <v/>
      </c>
      <c r="J3624" s="13">
        <f>G3624-H3624-I3624</f>
        <v/>
      </c>
      <c r="K3624">
        <f>IF(A3624="","",IF(J3624&lt;=IFERROR(VLOOKUP(A3624,Cadastro_Produtos!$A:$E,5,FALSE),0),"ABAIXO DO MINIMO","OK"))</f>
        <v/>
      </c>
    </row>
    <row r="3625">
      <c r="B3625">
        <f>IFERROR(VLOOKUP(A3625,Cadastro_Produtos!A:B,2,FALSE),"")</f>
        <v/>
      </c>
      <c r="D3625" s="12" t="n"/>
      <c r="E3625" s="13">
        <f>IF(D3625="","",D3625-TODAY())</f>
        <v/>
      </c>
      <c r="F3625">
        <f>IF(D3625="","",IF(E3625&lt;0,"VENCIDO",IF(E3625&lt;=30,"VENCE EM &lt;= 30 DIAS",IF(E3625&lt;=60,"ATENCAO (31-60 DIAS)","OK"))))</f>
        <v/>
      </c>
      <c r="G3625" s="13">
        <f>SUMIFS(Movimentacoes!$G:$G,Movimentacoes!$C:$C,$A3625,Movimentacoes!$E:$E,$C3625,Movimentacoes!$B:$B,"ENTRADA")</f>
        <v/>
      </c>
      <c r="H3625" s="13">
        <f>SUMIFS(Movimentacoes!$G:$G,Movimentacoes!$C:$C,$A3625,Movimentacoes!$E:$E,$C3625,Movimentacoes!$B:$B,"SAIDA_USO")</f>
        <v/>
      </c>
      <c r="I3625" s="13">
        <f>SUMIFS(Movimentacoes!$G:$G,Movimentacoes!$C:$C,$A3625,Movimentacoes!$E:$E,$C3625,Movimentacoes!$B:$B,"SAIDA_DESCARTE")</f>
        <v/>
      </c>
      <c r="J3625" s="13">
        <f>G3625-H3625-I3625</f>
        <v/>
      </c>
      <c r="K3625">
        <f>IF(A3625="","",IF(J3625&lt;=IFERROR(VLOOKUP(A3625,Cadastro_Produtos!$A:$E,5,FALSE),0),"ABAIXO DO MINIMO","OK"))</f>
        <v/>
      </c>
    </row>
    <row r="3626">
      <c r="B3626">
        <f>IFERROR(VLOOKUP(A3626,Cadastro_Produtos!A:B,2,FALSE),"")</f>
        <v/>
      </c>
      <c r="D3626" s="12" t="n"/>
      <c r="E3626" s="13">
        <f>IF(D3626="","",D3626-TODAY())</f>
        <v/>
      </c>
      <c r="F3626">
        <f>IF(D3626="","",IF(E3626&lt;0,"VENCIDO",IF(E3626&lt;=30,"VENCE EM &lt;= 30 DIAS",IF(E3626&lt;=60,"ATENCAO (31-60 DIAS)","OK"))))</f>
        <v/>
      </c>
      <c r="G3626" s="13">
        <f>SUMIFS(Movimentacoes!$G:$G,Movimentacoes!$C:$C,$A3626,Movimentacoes!$E:$E,$C3626,Movimentacoes!$B:$B,"ENTRADA")</f>
        <v/>
      </c>
      <c r="H3626" s="13">
        <f>SUMIFS(Movimentacoes!$G:$G,Movimentacoes!$C:$C,$A3626,Movimentacoes!$E:$E,$C3626,Movimentacoes!$B:$B,"SAIDA_USO")</f>
        <v/>
      </c>
      <c r="I3626" s="13">
        <f>SUMIFS(Movimentacoes!$G:$G,Movimentacoes!$C:$C,$A3626,Movimentacoes!$E:$E,$C3626,Movimentacoes!$B:$B,"SAIDA_DESCARTE")</f>
        <v/>
      </c>
      <c r="J3626" s="13">
        <f>G3626-H3626-I3626</f>
        <v/>
      </c>
      <c r="K3626">
        <f>IF(A3626="","",IF(J3626&lt;=IFERROR(VLOOKUP(A3626,Cadastro_Produtos!$A:$E,5,FALSE),0),"ABAIXO DO MINIMO","OK"))</f>
        <v/>
      </c>
    </row>
    <row r="3627">
      <c r="B3627">
        <f>IFERROR(VLOOKUP(A3627,Cadastro_Produtos!A:B,2,FALSE),"")</f>
        <v/>
      </c>
      <c r="D3627" s="12" t="n"/>
      <c r="E3627" s="13">
        <f>IF(D3627="","",D3627-TODAY())</f>
        <v/>
      </c>
      <c r="F3627">
        <f>IF(D3627="","",IF(E3627&lt;0,"VENCIDO",IF(E3627&lt;=30,"VENCE EM &lt;= 30 DIAS",IF(E3627&lt;=60,"ATENCAO (31-60 DIAS)","OK"))))</f>
        <v/>
      </c>
      <c r="G3627" s="13">
        <f>SUMIFS(Movimentacoes!$G:$G,Movimentacoes!$C:$C,$A3627,Movimentacoes!$E:$E,$C3627,Movimentacoes!$B:$B,"ENTRADA")</f>
        <v/>
      </c>
      <c r="H3627" s="13">
        <f>SUMIFS(Movimentacoes!$G:$G,Movimentacoes!$C:$C,$A3627,Movimentacoes!$E:$E,$C3627,Movimentacoes!$B:$B,"SAIDA_USO")</f>
        <v/>
      </c>
      <c r="I3627" s="13">
        <f>SUMIFS(Movimentacoes!$G:$G,Movimentacoes!$C:$C,$A3627,Movimentacoes!$E:$E,$C3627,Movimentacoes!$B:$B,"SAIDA_DESCARTE")</f>
        <v/>
      </c>
      <c r="J3627" s="13">
        <f>G3627-H3627-I3627</f>
        <v/>
      </c>
      <c r="K3627">
        <f>IF(A3627="","",IF(J3627&lt;=IFERROR(VLOOKUP(A3627,Cadastro_Produtos!$A:$E,5,FALSE),0),"ABAIXO DO MINIMO","OK"))</f>
        <v/>
      </c>
    </row>
    <row r="3628">
      <c r="B3628">
        <f>IFERROR(VLOOKUP(A3628,Cadastro_Produtos!A:B,2,FALSE),"")</f>
        <v/>
      </c>
      <c r="D3628" s="12" t="n"/>
      <c r="E3628" s="13">
        <f>IF(D3628="","",D3628-TODAY())</f>
        <v/>
      </c>
      <c r="F3628">
        <f>IF(D3628="","",IF(E3628&lt;0,"VENCIDO",IF(E3628&lt;=30,"VENCE EM &lt;= 30 DIAS",IF(E3628&lt;=60,"ATENCAO (31-60 DIAS)","OK"))))</f>
        <v/>
      </c>
      <c r="G3628" s="13">
        <f>SUMIFS(Movimentacoes!$G:$G,Movimentacoes!$C:$C,$A3628,Movimentacoes!$E:$E,$C3628,Movimentacoes!$B:$B,"ENTRADA")</f>
        <v/>
      </c>
      <c r="H3628" s="13">
        <f>SUMIFS(Movimentacoes!$G:$G,Movimentacoes!$C:$C,$A3628,Movimentacoes!$E:$E,$C3628,Movimentacoes!$B:$B,"SAIDA_USO")</f>
        <v/>
      </c>
      <c r="I3628" s="13">
        <f>SUMIFS(Movimentacoes!$G:$G,Movimentacoes!$C:$C,$A3628,Movimentacoes!$E:$E,$C3628,Movimentacoes!$B:$B,"SAIDA_DESCARTE")</f>
        <v/>
      </c>
      <c r="J3628" s="13">
        <f>G3628-H3628-I3628</f>
        <v/>
      </c>
      <c r="K3628">
        <f>IF(A3628="","",IF(J3628&lt;=IFERROR(VLOOKUP(A3628,Cadastro_Produtos!$A:$E,5,FALSE),0),"ABAIXO DO MINIMO","OK"))</f>
        <v/>
      </c>
    </row>
    <row r="3629">
      <c r="B3629">
        <f>IFERROR(VLOOKUP(A3629,Cadastro_Produtos!A:B,2,FALSE),"")</f>
        <v/>
      </c>
      <c r="D3629" s="12" t="n"/>
      <c r="E3629" s="13">
        <f>IF(D3629="","",D3629-TODAY())</f>
        <v/>
      </c>
      <c r="F3629">
        <f>IF(D3629="","",IF(E3629&lt;0,"VENCIDO",IF(E3629&lt;=30,"VENCE EM &lt;= 30 DIAS",IF(E3629&lt;=60,"ATENCAO (31-60 DIAS)","OK"))))</f>
        <v/>
      </c>
      <c r="G3629" s="13">
        <f>SUMIFS(Movimentacoes!$G:$G,Movimentacoes!$C:$C,$A3629,Movimentacoes!$E:$E,$C3629,Movimentacoes!$B:$B,"ENTRADA")</f>
        <v/>
      </c>
      <c r="H3629" s="13">
        <f>SUMIFS(Movimentacoes!$G:$G,Movimentacoes!$C:$C,$A3629,Movimentacoes!$E:$E,$C3629,Movimentacoes!$B:$B,"SAIDA_USO")</f>
        <v/>
      </c>
      <c r="I3629" s="13">
        <f>SUMIFS(Movimentacoes!$G:$G,Movimentacoes!$C:$C,$A3629,Movimentacoes!$E:$E,$C3629,Movimentacoes!$B:$B,"SAIDA_DESCARTE")</f>
        <v/>
      </c>
      <c r="J3629" s="13">
        <f>G3629-H3629-I3629</f>
        <v/>
      </c>
      <c r="K3629">
        <f>IF(A3629="","",IF(J3629&lt;=IFERROR(VLOOKUP(A3629,Cadastro_Produtos!$A:$E,5,FALSE),0),"ABAIXO DO MINIMO","OK"))</f>
        <v/>
      </c>
    </row>
    <row r="3630">
      <c r="B3630">
        <f>IFERROR(VLOOKUP(A3630,Cadastro_Produtos!A:B,2,FALSE),"")</f>
        <v/>
      </c>
      <c r="D3630" s="12" t="n"/>
      <c r="E3630" s="13">
        <f>IF(D3630="","",D3630-TODAY())</f>
        <v/>
      </c>
      <c r="F3630">
        <f>IF(D3630="","",IF(E3630&lt;0,"VENCIDO",IF(E3630&lt;=30,"VENCE EM &lt;= 30 DIAS",IF(E3630&lt;=60,"ATENCAO (31-60 DIAS)","OK"))))</f>
        <v/>
      </c>
      <c r="G3630" s="13">
        <f>SUMIFS(Movimentacoes!$G:$G,Movimentacoes!$C:$C,$A3630,Movimentacoes!$E:$E,$C3630,Movimentacoes!$B:$B,"ENTRADA")</f>
        <v/>
      </c>
      <c r="H3630" s="13">
        <f>SUMIFS(Movimentacoes!$G:$G,Movimentacoes!$C:$C,$A3630,Movimentacoes!$E:$E,$C3630,Movimentacoes!$B:$B,"SAIDA_USO")</f>
        <v/>
      </c>
      <c r="I3630" s="13">
        <f>SUMIFS(Movimentacoes!$G:$G,Movimentacoes!$C:$C,$A3630,Movimentacoes!$E:$E,$C3630,Movimentacoes!$B:$B,"SAIDA_DESCARTE")</f>
        <v/>
      </c>
      <c r="J3630" s="13">
        <f>G3630-H3630-I3630</f>
        <v/>
      </c>
      <c r="K3630">
        <f>IF(A3630="","",IF(J3630&lt;=IFERROR(VLOOKUP(A3630,Cadastro_Produtos!$A:$E,5,FALSE),0),"ABAIXO DO MINIMO","OK"))</f>
        <v/>
      </c>
    </row>
    <row r="3631">
      <c r="B3631">
        <f>IFERROR(VLOOKUP(A3631,Cadastro_Produtos!A:B,2,FALSE),"")</f>
        <v/>
      </c>
      <c r="D3631" s="12" t="n"/>
      <c r="E3631" s="13">
        <f>IF(D3631="","",D3631-TODAY())</f>
        <v/>
      </c>
      <c r="F3631">
        <f>IF(D3631="","",IF(E3631&lt;0,"VENCIDO",IF(E3631&lt;=30,"VENCE EM &lt;= 30 DIAS",IF(E3631&lt;=60,"ATENCAO (31-60 DIAS)","OK"))))</f>
        <v/>
      </c>
      <c r="G3631" s="13">
        <f>SUMIFS(Movimentacoes!$G:$G,Movimentacoes!$C:$C,$A3631,Movimentacoes!$E:$E,$C3631,Movimentacoes!$B:$B,"ENTRADA")</f>
        <v/>
      </c>
      <c r="H3631" s="13">
        <f>SUMIFS(Movimentacoes!$G:$G,Movimentacoes!$C:$C,$A3631,Movimentacoes!$E:$E,$C3631,Movimentacoes!$B:$B,"SAIDA_USO")</f>
        <v/>
      </c>
      <c r="I3631" s="13">
        <f>SUMIFS(Movimentacoes!$G:$G,Movimentacoes!$C:$C,$A3631,Movimentacoes!$E:$E,$C3631,Movimentacoes!$B:$B,"SAIDA_DESCARTE")</f>
        <v/>
      </c>
      <c r="J3631" s="13">
        <f>G3631-H3631-I3631</f>
        <v/>
      </c>
      <c r="K3631">
        <f>IF(A3631="","",IF(J3631&lt;=IFERROR(VLOOKUP(A3631,Cadastro_Produtos!$A:$E,5,FALSE),0),"ABAIXO DO MINIMO","OK"))</f>
        <v/>
      </c>
    </row>
    <row r="3632">
      <c r="B3632">
        <f>IFERROR(VLOOKUP(A3632,Cadastro_Produtos!A:B,2,FALSE),"")</f>
        <v/>
      </c>
      <c r="D3632" s="12" t="n"/>
      <c r="E3632" s="13">
        <f>IF(D3632="","",D3632-TODAY())</f>
        <v/>
      </c>
      <c r="F3632">
        <f>IF(D3632="","",IF(E3632&lt;0,"VENCIDO",IF(E3632&lt;=30,"VENCE EM &lt;= 30 DIAS",IF(E3632&lt;=60,"ATENCAO (31-60 DIAS)","OK"))))</f>
        <v/>
      </c>
      <c r="G3632" s="13">
        <f>SUMIFS(Movimentacoes!$G:$G,Movimentacoes!$C:$C,$A3632,Movimentacoes!$E:$E,$C3632,Movimentacoes!$B:$B,"ENTRADA")</f>
        <v/>
      </c>
      <c r="H3632" s="13">
        <f>SUMIFS(Movimentacoes!$G:$G,Movimentacoes!$C:$C,$A3632,Movimentacoes!$E:$E,$C3632,Movimentacoes!$B:$B,"SAIDA_USO")</f>
        <v/>
      </c>
      <c r="I3632" s="13">
        <f>SUMIFS(Movimentacoes!$G:$G,Movimentacoes!$C:$C,$A3632,Movimentacoes!$E:$E,$C3632,Movimentacoes!$B:$B,"SAIDA_DESCARTE")</f>
        <v/>
      </c>
      <c r="J3632" s="13">
        <f>G3632-H3632-I3632</f>
        <v/>
      </c>
      <c r="K3632">
        <f>IF(A3632="","",IF(J3632&lt;=IFERROR(VLOOKUP(A3632,Cadastro_Produtos!$A:$E,5,FALSE),0),"ABAIXO DO MINIMO","OK"))</f>
        <v/>
      </c>
    </row>
    <row r="3633">
      <c r="B3633">
        <f>IFERROR(VLOOKUP(A3633,Cadastro_Produtos!A:B,2,FALSE),"")</f>
        <v/>
      </c>
      <c r="D3633" s="12" t="n"/>
      <c r="E3633" s="13">
        <f>IF(D3633="","",D3633-TODAY())</f>
        <v/>
      </c>
      <c r="F3633">
        <f>IF(D3633="","",IF(E3633&lt;0,"VENCIDO",IF(E3633&lt;=30,"VENCE EM &lt;= 30 DIAS",IF(E3633&lt;=60,"ATENCAO (31-60 DIAS)","OK"))))</f>
        <v/>
      </c>
      <c r="G3633" s="13">
        <f>SUMIFS(Movimentacoes!$G:$G,Movimentacoes!$C:$C,$A3633,Movimentacoes!$E:$E,$C3633,Movimentacoes!$B:$B,"ENTRADA")</f>
        <v/>
      </c>
      <c r="H3633" s="13">
        <f>SUMIFS(Movimentacoes!$G:$G,Movimentacoes!$C:$C,$A3633,Movimentacoes!$E:$E,$C3633,Movimentacoes!$B:$B,"SAIDA_USO")</f>
        <v/>
      </c>
      <c r="I3633" s="13">
        <f>SUMIFS(Movimentacoes!$G:$G,Movimentacoes!$C:$C,$A3633,Movimentacoes!$E:$E,$C3633,Movimentacoes!$B:$B,"SAIDA_DESCARTE")</f>
        <v/>
      </c>
      <c r="J3633" s="13">
        <f>G3633-H3633-I3633</f>
        <v/>
      </c>
      <c r="K3633">
        <f>IF(A3633="","",IF(J3633&lt;=IFERROR(VLOOKUP(A3633,Cadastro_Produtos!$A:$E,5,FALSE),0),"ABAIXO DO MINIMO","OK"))</f>
        <v/>
      </c>
    </row>
    <row r="3634">
      <c r="B3634">
        <f>IFERROR(VLOOKUP(A3634,Cadastro_Produtos!A:B,2,FALSE),"")</f>
        <v/>
      </c>
      <c r="D3634" s="12" t="n"/>
      <c r="E3634" s="13">
        <f>IF(D3634="","",D3634-TODAY())</f>
        <v/>
      </c>
      <c r="F3634">
        <f>IF(D3634="","",IF(E3634&lt;0,"VENCIDO",IF(E3634&lt;=30,"VENCE EM &lt;= 30 DIAS",IF(E3634&lt;=60,"ATENCAO (31-60 DIAS)","OK"))))</f>
        <v/>
      </c>
      <c r="G3634" s="13">
        <f>SUMIFS(Movimentacoes!$G:$G,Movimentacoes!$C:$C,$A3634,Movimentacoes!$E:$E,$C3634,Movimentacoes!$B:$B,"ENTRADA")</f>
        <v/>
      </c>
      <c r="H3634" s="13">
        <f>SUMIFS(Movimentacoes!$G:$G,Movimentacoes!$C:$C,$A3634,Movimentacoes!$E:$E,$C3634,Movimentacoes!$B:$B,"SAIDA_USO")</f>
        <v/>
      </c>
      <c r="I3634" s="13">
        <f>SUMIFS(Movimentacoes!$G:$G,Movimentacoes!$C:$C,$A3634,Movimentacoes!$E:$E,$C3634,Movimentacoes!$B:$B,"SAIDA_DESCARTE")</f>
        <v/>
      </c>
      <c r="J3634" s="13">
        <f>G3634-H3634-I3634</f>
        <v/>
      </c>
      <c r="K3634">
        <f>IF(A3634="","",IF(J3634&lt;=IFERROR(VLOOKUP(A3634,Cadastro_Produtos!$A:$E,5,FALSE),0),"ABAIXO DO MINIMO","OK"))</f>
        <v/>
      </c>
    </row>
    <row r="3635">
      <c r="B3635">
        <f>IFERROR(VLOOKUP(A3635,Cadastro_Produtos!A:B,2,FALSE),"")</f>
        <v/>
      </c>
      <c r="D3635" s="12" t="n"/>
      <c r="E3635" s="13">
        <f>IF(D3635="","",D3635-TODAY())</f>
        <v/>
      </c>
      <c r="F3635">
        <f>IF(D3635="","",IF(E3635&lt;0,"VENCIDO",IF(E3635&lt;=30,"VENCE EM &lt;= 30 DIAS",IF(E3635&lt;=60,"ATENCAO (31-60 DIAS)","OK"))))</f>
        <v/>
      </c>
      <c r="G3635" s="13">
        <f>SUMIFS(Movimentacoes!$G:$G,Movimentacoes!$C:$C,$A3635,Movimentacoes!$E:$E,$C3635,Movimentacoes!$B:$B,"ENTRADA")</f>
        <v/>
      </c>
      <c r="H3635" s="13">
        <f>SUMIFS(Movimentacoes!$G:$G,Movimentacoes!$C:$C,$A3635,Movimentacoes!$E:$E,$C3635,Movimentacoes!$B:$B,"SAIDA_USO")</f>
        <v/>
      </c>
      <c r="I3635" s="13">
        <f>SUMIFS(Movimentacoes!$G:$G,Movimentacoes!$C:$C,$A3635,Movimentacoes!$E:$E,$C3635,Movimentacoes!$B:$B,"SAIDA_DESCARTE")</f>
        <v/>
      </c>
      <c r="J3635" s="13">
        <f>G3635-H3635-I3635</f>
        <v/>
      </c>
      <c r="K3635">
        <f>IF(A3635="","",IF(J3635&lt;=IFERROR(VLOOKUP(A3635,Cadastro_Produtos!$A:$E,5,FALSE),0),"ABAIXO DO MINIMO","OK"))</f>
        <v/>
      </c>
    </row>
    <row r="3636">
      <c r="B3636">
        <f>IFERROR(VLOOKUP(A3636,Cadastro_Produtos!A:B,2,FALSE),"")</f>
        <v/>
      </c>
      <c r="D3636" s="12" t="n"/>
      <c r="E3636" s="13">
        <f>IF(D3636="","",D3636-TODAY())</f>
        <v/>
      </c>
      <c r="F3636">
        <f>IF(D3636="","",IF(E3636&lt;0,"VENCIDO",IF(E3636&lt;=30,"VENCE EM &lt;= 30 DIAS",IF(E3636&lt;=60,"ATENCAO (31-60 DIAS)","OK"))))</f>
        <v/>
      </c>
      <c r="G3636" s="13">
        <f>SUMIFS(Movimentacoes!$G:$G,Movimentacoes!$C:$C,$A3636,Movimentacoes!$E:$E,$C3636,Movimentacoes!$B:$B,"ENTRADA")</f>
        <v/>
      </c>
      <c r="H3636" s="13">
        <f>SUMIFS(Movimentacoes!$G:$G,Movimentacoes!$C:$C,$A3636,Movimentacoes!$E:$E,$C3636,Movimentacoes!$B:$B,"SAIDA_USO")</f>
        <v/>
      </c>
      <c r="I3636" s="13">
        <f>SUMIFS(Movimentacoes!$G:$G,Movimentacoes!$C:$C,$A3636,Movimentacoes!$E:$E,$C3636,Movimentacoes!$B:$B,"SAIDA_DESCARTE")</f>
        <v/>
      </c>
      <c r="J3636" s="13">
        <f>G3636-H3636-I3636</f>
        <v/>
      </c>
      <c r="K3636">
        <f>IF(A3636="","",IF(J3636&lt;=IFERROR(VLOOKUP(A3636,Cadastro_Produtos!$A:$E,5,FALSE),0),"ABAIXO DO MINIMO","OK"))</f>
        <v/>
      </c>
    </row>
    <row r="3637">
      <c r="B3637">
        <f>IFERROR(VLOOKUP(A3637,Cadastro_Produtos!A:B,2,FALSE),"")</f>
        <v/>
      </c>
      <c r="D3637" s="12" t="n"/>
      <c r="E3637" s="13">
        <f>IF(D3637="","",D3637-TODAY())</f>
        <v/>
      </c>
      <c r="F3637">
        <f>IF(D3637="","",IF(E3637&lt;0,"VENCIDO",IF(E3637&lt;=30,"VENCE EM &lt;= 30 DIAS",IF(E3637&lt;=60,"ATENCAO (31-60 DIAS)","OK"))))</f>
        <v/>
      </c>
      <c r="G3637" s="13">
        <f>SUMIFS(Movimentacoes!$G:$G,Movimentacoes!$C:$C,$A3637,Movimentacoes!$E:$E,$C3637,Movimentacoes!$B:$B,"ENTRADA")</f>
        <v/>
      </c>
      <c r="H3637" s="13">
        <f>SUMIFS(Movimentacoes!$G:$G,Movimentacoes!$C:$C,$A3637,Movimentacoes!$E:$E,$C3637,Movimentacoes!$B:$B,"SAIDA_USO")</f>
        <v/>
      </c>
      <c r="I3637" s="13">
        <f>SUMIFS(Movimentacoes!$G:$G,Movimentacoes!$C:$C,$A3637,Movimentacoes!$E:$E,$C3637,Movimentacoes!$B:$B,"SAIDA_DESCARTE")</f>
        <v/>
      </c>
      <c r="J3637" s="13">
        <f>G3637-H3637-I3637</f>
        <v/>
      </c>
      <c r="K3637">
        <f>IF(A3637="","",IF(J3637&lt;=IFERROR(VLOOKUP(A3637,Cadastro_Produtos!$A:$E,5,FALSE),0),"ABAIXO DO MINIMO","OK"))</f>
        <v/>
      </c>
    </row>
    <row r="3638">
      <c r="B3638">
        <f>IFERROR(VLOOKUP(A3638,Cadastro_Produtos!A:B,2,FALSE),"")</f>
        <v/>
      </c>
      <c r="D3638" s="12" t="n"/>
      <c r="E3638" s="13">
        <f>IF(D3638="","",D3638-TODAY())</f>
        <v/>
      </c>
      <c r="F3638">
        <f>IF(D3638="","",IF(E3638&lt;0,"VENCIDO",IF(E3638&lt;=30,"VENCE EM &lt;= 30 DIAS",IF(E3638&lt;=60,"ATENCAO (31-60 DIAS)","OK"))))</f>
        <v/>
      </c>
      <c r="G3638" s="13">
        <f>SUMIFS(Movimentacoes!$G:$G,Movimentacoes!$C:$C,$A3638,Movimentacoes!$E:$E,$C3638,Movimentacoes!$B:$B,"ENTRADA")</f>
        <v/>
      </c>
      <c r="H3638" s="13">
        <f>SUMIFS(Movimentacoes!$G:$G,Movimentacoes!$C:$C,$A3638,Movimentacoes!$E:$E,$C3638,Movimentacoes!$B:$B,"SAIDA_USO")</f>
        <v/>
      </c>
      <c r="I3638" s="13">
        <f>SUMIFS(Movimentacoes!$G:$G,Movimentacoes!$C:$C,$A3638,Movimentacoes!$E:$E,$C3638,Movimentacoes!$B:$B,"SAIDA_DESCARTE")</f>
        <v/>
      </c>
      <c r="J3638" s="13">
        <f>G3638-H3638-I3638</f>
        <v/>
      </c>
      <c r="K3638">
        <f>IF(A3638="","",IF(J3638&lt;=IFERROR(VLOOKUP(A3638,Cadastro_Produtos!$A:$E,5,FALSE),0),"ABAIXO DO MINIMO","OK"))</f>
        <v/>
      </c>
    </row>
    <row r="3639">
      <c r="B3639">
        <f>IFERROR(VLOOKUP(A3639,Cadastro_Produtos!A:B,2,FALSE),"")</f>
        <v/>
      </c>
      <c r="D3639" s="12" t="n"/>
      <c r="E3639" s="13">
        <f>IF(D3639="","",D3639-TODAY())</f>
        <v/>
      </c>
      <c r="F3639">
        <f>IF(D3639="","",IF(E3639&lt;0,"VENCIDO",IF(E3639&lt;=30,"VENCE EM &lt;= 30 DIAS",IF(E3639&lt;=60,"ATENCAO (31-60 DIAS)","OK"))))</f>
        <v/>
      </c>
      <c r="G3639" s="13">
        <f>SUMIFS(Movimentacoes!$G:$G,Movimentacoes!$C:$C,$A3639,Movimentacoes!$E:$E,$C3639,Movimentacoes!$B:$B,"ENTRADA")</f>
        <v/>
      </c>
      <c r="H3639" s="13">
        <f>SUMIFS(Movimentacoes!$G:$G,Movimentacoes!$C:$C,$A3639,Movimentacoes!$E:$E,$C3639,Movimentacoes!$B:$B,"SAIDA_USO")</f>
        <v/>
      </c>
      <c r="I3639" s="13">
        <f>SUMIFS(Movimentacoes!$G:$G,Movimentacoes!$C:$C,$A3639,Movimentacoes!$E:$E,$C3639,Movimentacoes!$B:$B,"SAIDA_DESCARTE")</f>
        <v/>
      </c>
      <c r="J3639" s="13">
        <f>G3639-H3639-I3639</f>
        <v/>
      </c>
      <c r="K3639">
        <f>IF(A3639="","",IF(J3639&lt;=IFERROR(VLOOKUP(A3639,Cadastro_Produtos!$A:$E,5,FALSE),0),"ABAIXO DO MINIMO","OK"))</f>
        <v/>
      </c>
    </row>
    <row r="3640">
      <c r="B3640">
        <f>IFERROR(VLOOKUP(A3640,Cadastro_Produtos!A:B,2,FALSE),"")</f>
        <v/>
      </c>
      <c r="D3640" s="12" t="n"/>
      <c r="E3640" s="13">
        <f>IF(D3640="","",D3640-TODAY())</f>
        <v/>
      </c>
      <c r="F3640">
        <f>IF(D3640="","",IF(E3640&lt;0,"VENCIDO",IF(E3640&lt;=30,"VENCE EM &lt;= 30 DIAS",IF(E3640&lt;=60,"ATENCAO (31-60 DIAS)","OK"))))</f>
        <v/>
      </c>
      <c r="G3640" s="13">
        <f>SUMIFS(Movimentacoes!$G:$G,Movimentacoes!$C:$C,$A3640,Movimentacoes!$E:$E,$C3640,Movimentacoes!$B:$B,"ENTRADA")</f>
        <v/>
      </c>
      <c r="H3640" s="13">
        <f>SUMIFS(Movimentacoes!$G:$G,Movimentacoes!$C:$C,$A3640,Movimentacoes!$E:$E,$C3640,Movimentacoes!$B:$B,"SAIDA_USO")</f>
        <v/>
      </c>
      <c r="I3640" s="13">
        <f>SUMIFS(Movimentacoes!$G:$G,Movimentacoes!$C:$C,$A3640,Movimentacoes!$E:$E,$C3640,Movimentacoes!$B:$B,"SAIDA_DESCARTE")</f>
        <v/>
      </c>
      <c r="J3640" s="13">
        <f>G3640-H3640-I3640</f>
        <v/>
      </c>
      <c r="K3640">
        <f>IF(A3640="","",IF(J3640&lt;=IFERROR(VLOOKUP(A3640,Cadastro_Produtos!$A:$E,5,FALSE),0),"ABAIXO DO MINIMO","OK"))</f>
        <v/>
      </c>
    </row>
    <row r="3641">
      <c r="B3641">
        <f>IFERROR(VLOOKUP(A3641,Cadastro_Produtos!A:B,2,FALSE),"")</f>
        <v/>
      </c>
      <c r="D3641" s="12" t="n"/>
      <c r="E3641" s="13">
        <f>IF(D3641="","",D3641-TODAY())</f>
        <v/>
      </c>
      <c r="F3641">
        <f>IF(D3641="","",IF(E3641&lt;0,"VENCIDO",IF(E3641&lt;=30,"VENCE EM &lt;= 30 DIAS",IF(E3641&lt;=60,"ATENCAO (31-60 DIAS)","OK"))))</f>
        <v/>
      </c>
      <c r="G3641" s="13">
        <f>SUMIFS(Movimentacoes!$G:$G,Movimentacoes!$C:$C,$A3641,Movimentacoes!$E:$E,$C3641,Movimentacoes!$B:$B,"ENTRADA")</f>
        <v/>
      </c>
      <c r="H3641" s="13">
        <f>SUMIFS(Movimentacoes!$G:$G,Movimentacoes!$C:$C,$A3641,Movimentacoes!$E:$E,$C3641,Movimentacoes!$B:$B,"SAIDA_USO")</f>
        <v/>
      </c>
      <c r="I3641" s="13">
        <f>SUMIFS(Movimentacoes!$G:$G,Movimentacoes!$C:$C,$A3641,Movimentacoes!$E:$E,$C3641,Movimentacoes!$B:$B,"SAIDA_DESCARTE")</f>
        <v/>
      </c>
      <c r="J3641" s="13">
        <f>G3641-H3641-I3641</f>
        <v/>
      </c>
      <c r="K3641">
        <f>IF(A3641="","",IF(J3641&lt;=IFERROR(VLOOKUP(A3641,Cadastro_Produtos!$A:$E,5,FALSE),0),"ABAIXO DO MINIMO","OK"))</f>
        <v/>
      </c>
    </row>
    <row r="3642">
      <c r="B3642">
        <f>IFERROR(VLOOKUP(A3642,Cadastro_Produtos!A:B,2,FALSE),"")</f>
        <v/>
      </c>
      <c r="D3642" s="12" t="n"/>
      <c r="E3642" s="13">
        <f>IF(D3642="","",D3642-TODAY())</f>
        <v/>
      </c>
      <c r="F3642">
        <f>IF(D3642="","",IF(E3642&lt;0,"VENCIDO",IF(E3642&lt;=30,"VENCE EM &lt;= 30 DIAS",IF(E3642&lt;=60,"ATENCAO (31-60 DIAS)","OK"))))</f>
        <v/>
      </c>
      <c r="G3642" s="13">
        <f>SUMIFS(Movimentacoes!$G:$G,Movimentacoes!$C:$C,$A3642,Movimentacoes!$E:$E,$C3642,Movimentacoes!$B:$B,"ENTRADA")</f>
        <v/>
      </c>
      <c r="H3642" s="13">
        <f>SUMIFS(Movimentacoes!$G:$G,Movimentacoes!$C:$C,$A3642,Movimentacoes!$E:$E,$C3642,Movimentacoes!$B:$B,"SAIDA_USO")</f>
        <v/>
      </c>
      <c r="I3642" s="13">
        <f>SUMIFS(Movimentacoes!$G:$G,Movimentacoes!$C:$C,$A3642,Movimentacoes!$E:$E,$C3642,Movimentacoes!$B:$B,"SAIDA_DESCARTE")</f>
        <v/>
      </c>
      <c r="J3642" s="13">
        <f>G3642-H3642-I3642</f>
        <v/>
      </c>
      <c r="K3642">
        <f>IF(A3642="","",IF(J3642&lt;=IFERROR(VLOOKUP(A3642,Cadastro_Produtos!$A:$E,5,FALSE),0),"ABAIXO DO MINIMO","OK"))</f>
        <v/>
      </c>
    </row>
    <row r="3643">
      <c r="B3643">
        <f>IFERROR(VLOOKUP(A3643,Cadastro_Produtos!A:B,2,FALSE),"")</f>
        <v/>
      </c>
      <c r="D3643" s="12" t="n"/>
      <c r="E3643" s="13">
        <f>IF(D3643="","",D3643-TODAY())</f>
        <v/>
      </c>
      <c r="F3643">
        <f>IF(D3643="","",IF(E3643&lt;0,"VENCIDO",IF(E3643&lt;=30,"VENCE EM &lt;= 30 DIAS",IF(E3643&lt;=60,"ATENCAO (31-60 DIAS)","OK"))))</f>
        <v/>
      </c>
      <c r="G3643" s="13">
        <f>SUMIFS(Movimentacoes!$G:$G,Movimentacoes!$C:$C,$A3643,Movimentacoes!$E:$E,$C3643,Movimentacoes!$B:$B,"ENTRADA")</f>
        <v/>
      </c>
      <c r="H3643" s="13">
        <f>SUMIFS(Movimentacoes!$G:$G,Movimentacoes!$C:$C,$A3643,Movimentacoes!$E:$E,$C3643,Movimentacoes!$B:$B,"SAIDA_USO")</f>
        <v/>
      </c>
      <c r="I3643" s="13">
        <f>SUMIFS(Movimentacoes!$G:$G,Movimentacoes!$C:$C,$A3643,Movimentacoes!$E:$E,$C3643,Movimentacoes!$B:$B,"SAIDA_DESCARTE")</f>
        <v/>
      </c>
      <c r="J3643" s="13">
        <f>G3643-H3643-I3643</f>
        <v/>
      </c>
      <c r="K3643">
        <f>IF(A3643="","",IF(J3643&lt;=IFERROR(VLOOKUP(A3643,Cadastro_Produtos!$A:$E,5,FALSE),0),"ABAIXO DO MINIMO","OK"))</f>
        <v/>
      </c>
    </row>
    <row r="3644">
      <c r="B3644">
        <f>IFERROR(VLOOKUP(A3644,Cadastro_Produtos!A:B,2,FALSE),"")</f>
        <v/>
      </c>
      <c r="D3644" s="12" t="n"/>
      <c r="E3644" s="13">
        <f>IF(D3644="","",D3644-TODAY())</f>
        <v/>
      </c>
      <c r="F3644">
        <f>IF(D3644="","",IF(E3644&lt;0,"VENCIDO",IF(E3644&lt;=30,"VENCE EM &lt;= 30 DIAS",IF(E3644&lt;=60,"ATENCAO (31-60 DIAS)","OK"))))</f>
        <v/>
      </c>
      <c r="G3644" s="13">
        <f>SUMIFS(Movimentacoes!$G:$G,Movimentacoes!$C:$C,$A3644,Movimentacoes!$E:$E,$C3644,Movimentacoes!$B:$B,"ENTRADA")</f>
        <v/>
      </c>
      <c r="H3644" s="13">
        <f>SUMIFS(Movimentacoes!$G:$G,Movimentacoes!$C:$C,$A3644,Movimentacoes!$E:$E,$C3644,Movimentacoes!$B:$B,"SAIDA_USO")</f>
        <v/>
      </c>
      <c r="I3644" s="13">
        <f>SUMIFS(Movimentacoes!$G:$G,Movimentacoes!$C:$C,$A3644,Movimentacoes!$E:$E,$C3644,Movimentacoes!$B:$B,"SAIDA_DESCARTE")</f>
        <v/>
      </c>
      <c r="J3644" s="13">
        <f>G3644-H3644-I3644</f>
        <v/>
      </c>
      <c r="K3644">
        <f>IF(A3644="","",IF(J3644&lt;=IFERROR(VLOOKUP(A3644,Cadastro_Produtos!$A:$E,5,FALSE),0),"ABAIXO DO MINIMO","OK"))</f>
        <v/>
      </c>
    </row>
    <row r="3645">
      <c r="B3645">
        <f>IFERROR(VLOOKUP(A3645,Cadastro_Produtos!A:B,2,FALSE),"")</f>
        <v/>
      </c>
      <c r="D3645" s="12" t="n"/>
      <c r="E3645" s="13">
        <f>IF(D3645="","",D3645-TODAY())</f>
        <v/>
      </c>
      <c r="F3645">
        <f>IF(D3645="","",IF(E3645&lt;0,"VENCIDO",IF(E3645&lt;=30,"VENCE EM &lt;= 30 DIAS",IF(E3645&lt;=60,"ATENCAO (31-60 DIAS)","OK"))))</f>
        <v/>
      </c>
      <c r="G3645" s="13">
        <f>SUMIFS(Movimentacoes!$G:$G,Movimentacoes!$C:$C,$A3645,Movimentacoes!$E:$E,$C3645,Movimentacoes!$B:$B,"ENTRADA")</f>
        <v/>
      </c>
      <c r="H3645" s="13">
        <f>SUMIFS(Movimentacoes!$G:$G,Movimentacoes!$C:$C,$A3645,Movimentacoes!$E:$E,$C3645,Movimentacoes!$B:$B,"SAIDA_USO")</f>
        <v/>
      </c>
      <c r="I3645" s="13">
        <f>SUMIFS(Movimentacoes!$G:$G,Movimentacoes!$C:$C,$A3645,Movimentacoes!$E:$E,$C3645,Movimentacoes!$B:$B,"SAIDA_DESCARTE")</f>
        <v/>
      </c>
      <c r="J3645" s="13">
        <f>G3645-H3645-I3645</f>
        <v/>
      </c>
      <c r="K3645">
        <f>IF(A3645="","",IF(J3645&lt;=IFERROR(VLOOKUP(A3645,Cadastro_Produtos!$A:$E,5,FALSE),0),"ABAIXO DO MINIMO","OK"))</f>
        <v/>
      </c>
    </row>
    <row r="3646">
      <c r="B3646">
        <f>IFERROR(VLOOKUP(A3646,Cadastro_Produtos!A:B,2,FALSE),"")</f>
        <v/>
      </c>
      <c r="D3646" s="12" t="n"/>
      <c r="E3646" s="13">
        <f>IF(D3646="","",D3646-TODAY())</f>
        <v/>
      </c>
      <c r="F3646">
        <f>IF(D3646="","",IF(E3646&lt;0,"VENCIDO",IF(E3646&lt;=30,"VENCE EM &lt;= 30 DIAS",IF(E3646&lt;=60,"ATENCAO (31-60 DIAS)","OK"))))</f>
        <v/>
      </c>
      <c r="G3646" s="13">
        <f>SUMIFS(Movimentacoes!$G:$G,Movimentacoes!$C:$C,$A3646,Movimentacoes!$E:$E,$C3646,Movimentacoes!$B:$B,"ENTRADA")</f>
        <v/>
      </c>
      <c r="H3646" s="13">
        <f>SUMIFS(Movimentacoes!$G:$G,Movimentacoes!$C:$C,$A3646,Movimentacoes!$E:$E,$C3646,Movimentacoes!$B:$B,"SAIDA_USO")</f>
        <v/>
      </c>
      <c r="I3646" s="13">
        <f>SUMIFS(Movimentacoes!$G:$G,Movimentacoes!$C:$C,$A3646,Movimentacoes!$E:$E,$C3646,Movimentacoes!$B:$B,"SAIDA_DESCARTE")</f>
        <v/>
      </c>
      <c r="J3646" s="13">
        <f>G3646-H3646-I3646</f>
        <v/>
      </c>
      <c r="K3646">
        <f>IF(A3646="","",IF(J3646&lt;=IFERROR(VLOOKUP(A3646,Cadastro_Produtos!$A:$E,5,FALSE),0),"ABAIXO DO MINIMO","OK"))</f>
        <v/>
      </c>
    </row>
    <row r="3647">
      <c r="B3647">
        <f>IFERROR(VLOOKUP(A3647,Cadastro_Produtos!A:B,2,FALSE),"")</f>
        <v/>
      </c>
      <c r="D3647" s="12" t="n"/>
      <c r="E3647" s="13">
        <f>IF(D3647="","",D3647-TODAY())</f>
        <v/>
      </c>
      <c r="F3647">
        <f>IF(D3647="","",IF(E3647&lt;0,"VENCIDO",IF(E3647&lt;=30,"VENCE EM &lt;= 30 DIAS",IF(E3647&lt;=60,"ATENCAO (31-60 DIAS)","OK"))))</f>
        <v/>
      </c>
      <c r="G3647" s="13">
        <f>SUMIFS(Movimentacoes!$G:$G,Movimentacoes!$C:$C,$A3647,Movimentacoes!$E:$E,$C3647,Movimentacoes!$B:$B,"ENTRADA")</f>
        <v/>
      </c>
      <c r="H3647" s="13">
        <f>SUMIFS(Movimentacoes!$G:$G,Movimentacoes!$C:$C,$A3647,Movimentacoes!$E:$E,$C3647,Movimentacoes!$B:$B,"SAIDA_USO")</f>
        <v/>
      </c>
      <c r="I3647" s="13">
        <f>SUMIFS(Movimentacoes!$G:$G,Movimentacoes!$C:$C,$A3647,Movimentacoes!$E:$E,$C3647,Movimentacoes!$B:$B,"SAIDA_DESCARTE")</f>
        <v/>
      </c>
      <c r="J3647" s="13">
        <f>G3647-H3647-I3647</f>
        <v/>
      </c>
      <c r="K3647">
        <f>IF(A3647="","",IF(J3647&lt;=IFERROR(VLOOKUP(A3647,Cadastro_Produtos!$A:$E,5,FALSE),0),"ABAIXO DO MINIMO","OK"))</f>
        <v/>
      </c>
    </row>
    <row r="3648">
      <c r="B3648">
        <f>IFERROR(VLOOKUP(A3648,Cadastro_Produtos!A:B,2,FALSE),"")</f>
        <v/>
      </c>
      <c r="D3648" s="12" t="n"/>
      <c r="E3648" s="13">
        <f>IF(D3648="","",D3648-TODAY())</f>
        <v/>
      </c>
      <c r="F3648">
        <f>IF(D3648="","",IF(E3648&lt;0,"VENCIDO",IF(E3648&lt;=30,"VENCE EM &lt;= 30 DIAS",IF(E3648&lt;=60,"ATENCAO (31-60 DIAS)","OK"))))</f>
        <v/>
      </c>
      <c r="G3648" s="13">
        <f>SUMIFS(Movimentacoes!$G:$G,Movimentacoes!$C:$C,$A3648,Movimentacoes!$E:$E,$C3648,Movimentacoes!$B:$B,"ENTRADA")</f>
        <v/>
      </c>
      <c r="H3648" s="13">
        <f>SUMIFS(Movimentacoes!$G:$G,Movimentacoes!$C:$C,$A3648,Movimentacoes!$E:$E,$C3648,Movimentacoes!$B:$B,"SAIDA_USO")</f>
        <v/>
      </c>
      <c r="I3648" s="13">
        <f>SUMIFS(Movimentacoes!$G:$G,Movimentacoes!$C:$C,$A3648,Movimentacoes!$E:$E,$C3648,Movimentacoes!$B:$B,"SAIDA_DESCARTE")</f>
        <v/>
      </c>
      <c r="J3648" s="13">
        <f>G3648-H3648-I3648</f>
        <v/>
      </c>
      <c r="K3648">
        <f>IF(A3648="","",IF(J3648&lt;=IFERROR(VLOOKUP(A3648,Cadastro_Produtos!$A:$E,5,FALSE),0),"ABAIXO DO MINIMO","OK"))</f>
        <v/>
      </c>
    </row>
    <row r="3649">
      <c r="B3649">
        <f>IFERROR(VLOOKUP(A3649,Cadastro_Produtos!A:B,2,FALSE),"")</f>
        <v/>
      </c>
      <c r="D3649" s="12" t="n"/>
      <c r="E3649" s="13">
        <f>IF(D3649="","",D3649-TODAY())</f>
        <v/>
      </c>
      <c r="F3649">
        <f>IF(D3649="","",IF(E3649&lt;0,"VENCIDO",IF(E3649&lt;=30,"VENCE EM &lt;= 30 DIAS",IF(E3649&lt;=60,"ATENCAO (31-60 DIAS)","OK"))))</f>
        <v/>
      </c>
      <c r="G3649" s="13">
        <f>SUMIFS(Movimentacoes!$G:$G,Movimentacoes!$C:$C,$A3649,Movimentacoes!$E:$E,$C3649,Movimentacoes!$B:$B,"ENTRADA")</f>
        <v/>
      </c>
      <c r="H3649" s="13">
        <f>SUMIFS(Movimentacoes!$G:$G,Movimentacoes!$C:$C,$A3649,Movimentacoes!$E:$E,$C3649,Movimentacoes!$B:$B,"SAIDA_USO")</f>
        <v/>
      </c>
      <c r="I3649" s="13">
        <f>SUMIFS(Movimentacoes!$G:$G,Movimentacoes!$C:$C,$A3649,Movimentacoes!$E:$E,$C3649,Movimentacoes!$B:$B,"SAIDA_DESCARTE")</f>
        <v/>
      </c>
      <c r="J3649" s="13">
        <f>G3649-H3649-I3649</f>
        <v/>
      </c>
      <c r="K3649">
        <f>IF(A3649="","",IF(J3649&lt;=IFERROR(VLOOKUP(A3649,Cadastro_Produtos!$A:$E,5,FALSE),0),"ABAIXO DO MINIMO","OK"))</f>
        <v/>
      </c>
    </row>
    <row r="3650">
      <c r="B3650">
        <f>IFERROR(VLOOKUP(A3650,Cadastro_Produtos!A:B,2,FALSE),"")</f>
        <v/>
      </c>
      <c r="D3650" s="12" t="n"/>
      <c r="E3650" s="13">
        <f>IF(D3650="","",D3650-TODAY())</f>
        <v/>
      </c>
      <c r="F3650">
        <f>IF(D3650="","",IF(E3650&lt;0,"VENCIDO",IF(E3650&lt;=30,"VENCE EM &lt;= 30 DIAS",IF(E3650&lt;=60,"ATENCAO (31-60 DIAS)","OK"))))</f>
        <v/>
      </c>
      <c r="G3650" s="13">
        <f>SUMIFS(Movimentacoes!$G:$G,Movimentacoes!$C:$C,$A3650,Movimentacoes!$E:$E,$C3650,Movimentacoes!$B:$B,"ENTRADA")</f>
        <v/>
      </c>
      <c r="H3650" s="13">
        <f>SUMIFS(Movimentacoes!$G:$G,Movimentacoes!$C:$C,$A3650,Movimentacoes!$E:$E,$C3650,Movimentacoes!$B:$B,"SAIDA_USO")</f>
        <v/>
      </c>
      <c r="I3650" s="13">
        <f>SUMIFS(Movimentacoes!$G:$G,Movimentacoes!$C:$C,$A3650,Movimentacoes!$E:$E,$C3650,Movimentacoes!$B:$B,"SAIDA_DESCARTE")</f>
        <v/>
      </c>
      <c r="J3650" s="13">
        <f>G3650-H3650-I3650</f>
        <v/>
      </c>
      <c r="K3650">
        <f>IF(A3650="","",IF(J3650&lt;=IFERROR(VLOOKUP(A3650,Cadastro_Produtos!$A:$E,5,FALSE),0),"ABAIXO DO MINIMO","OK"))</f>
        <v/>
      </c>
    </row>
    <row r="3651">
      <c r="B3651">
        <f>IFERROR(VLOOKUP(A3651,Cadastro_Produtos!A:B,2,FALSE),"")</f>
        <v/>
      </c>
      <c r="D3651" s="12" t="n"/>
      <c r="E3651" s="13">
        <f>IF(D3651="","",D3651-TODAY())</f>
        <v/>
      </c>
      <c r="F3651">
        <f>IF(D3651="","",IF(E3651&lt;0,"VENCIDO",IF(E3651&lt;=30,"VENCE EM &lt;= 30 DIAS",IF(E3651&lt;=60,"ATENCAO (31-60 DIAS)","OK"))))</f>
        <v/>
      </c>
      <c r="G3651" s="13">
        <f>SUMIFS(Movimentacoes!$G:$G,Movimentacoes!$C:$C,$A3651,Movimentacoes!$E:$E,$C3651,Movimentacoes!$B:$B,"ENTRADA")</f>
        <v/>
      </c>
      <c r="H3651" s="13">
        <f>SUMIFS(Movimentacoes!$G:$G,Movimentacoes!$C:$C,$A3651,Movimentacoes!$E:$E,$C3651,Movimentacoes!$B:$B,"SAIDA_USO")</f>
        <v/>
      </c>
      <c r="I3651" s="13">
        <f>SUMIFS(Movimentacoes!$G:$G,Movimentacoes!$C:$C,$A3651,Movimentacoes!$E:$E,$C3651,Movimentacoes!$B:$B,"SAIDA_DESCARTE")</f>
        <v/>
      </c>
      <c r="J3651" s="13">
        <f>G3651-H3651-I3651</f>
        <v/>
      </c>
      <c r="K3651">
        <f>IF(A3651="","",IF(J3651&lt;=IFERROR(VLOOKUP(A3651,Cadastro_Produtos!$A:$E,5,FALSE),0),"ABAIXO DO MINIMO","OK"))</f>
        <v/>
      </c>
    </row>
    <row r="3652">
      <c r="B3652">
        <f>IFERROR(VLOOKUP(A3652,Cadastro_Produtos!A:B,2,FALSE),"")</f>
        <v/>
      </c>
      <c r="D3652" s="12" t="n"/>
      <c r="E3652" s="13">
        <f>IF(D3652="","",D3652-TODAY())</f>
        <v/>
      </c>
      <c r="F3652">
        <f>IF(D3652="","",IF(E3652&lt;0,"VENCIDO",IF(E3652&lt;=30,"VENCE EM &lt;= 30 DIAS",IF(E3652&lt;=60,"ATENCAO (31-60 DIAS)","OK"))))</f>
        <v/>
      </c>
      <c r="G3652" s="13">
        <f>SUMIFS(Movimentacoes!$G:$G,Movimentacoes!$C:$C,$A3652,Movimentacoes!$E:$E,$C3652,Movimentacoes!$B:$B,"ENTRADA")</f>
        <v/>
      </c>
      <c r="H3652" s="13">
        <f>SUMIFS(Movimentacoes!$G:$G,Movimentacoes!$C:$C,$A3652,Movimentacoes!$E:$E,$C3652,Movimentacoes!$B:$B,"SAIDA_USO")</f>
        <v/>
      </c>
      <c r="I3652" s="13">
        <f>SUMIFS(Movimentacoes!$G:$G,Movimentacoes!$C:$C,$A3652,Movimentacoes!$E:$E,$C3652,Movimentacoes!$B:$B,"SAIDA_DESCARTE")</f>
        <v/>
      </c>
      <c r="J3652" s="13">
        <f>G3652-H3652-I3652</f>
        <v/>
      </c>
      <c r="K3652">
        <f>IF(A3652="","",IF(J3652&lt;=IFERROR(VLOOKUP(A3652,Cadastro_Produtos!$A:$E,5,FALSE),0),"ABAIXO DO MINIMO","OK"))</f>
        <v/>
      </c>
    </row>
    <row r="3653">
      <c r="B3653">
        <f>IFERROR(VLOOKUP(A3653,Cadastro_Produtos!A:B,2,FALSE),"")</f>
        <v/>
      </c>
      <c r="D3653" s="12" t="n"/>
      <c r="E3653" s="13">
        <f>IF(D3653="","",D3653-TODAY())</f>
        <v/>
      </c>
      <c r="F3653">
        <f>IF(D3653="","",IF(E3653&lt;0,"VENCIDO",IF(E3653&lt;=30,"VENCE EM &lt;= 30 DIAS",IF(E3653&lt;=60,"ATENCAO (31-60 DIAS)","OK"))))</f>
        <v/>
      </c>
      <c r="G3653" s="13">
        <f>SUMIFS(Movimentacoes!$G:$G,Movimentacoes!$C:$C,$A3653,Movimentacoes!$E:$E,$C3653,Movimentacoes!$B:$B,"ENTRADA")</f>
        <v/>
      </c>
      <c r="H3653" s="13">
        <f>SUMIFS(Movimentacoes!$G:$G,Movimentacoes!$C:$C,$A3653,Movimentacoes!$E:$E,$C3653,Movimentacoes!$B:$B,"SAIDA_USO")</f>
        <v/>
      </c>
      <c r="I3653" s="13">
        <f>SUMIFS(Movimentacoes!$G:$G,Movimentacoes!$C:$C,$A3653,Movimentacoes!$E:$E,$C3653,Movimentacoes!$B:$B,"SAIDA_DESCARTE")</f>
        <v/>
      </c>
      <c r="J3653" s="13">
        <f>G3653-H3653-I3653</f>
        <v/>
      </c>
      <c r="K3653">
        <f>IF(A3653="","",IF(J3653&lt;=IFERROR(VLOOKUP(A3653,Cadastro_Produtos!$A:$E,5,FALSE),0),"ABAIXO DO MINIMO","OK"))</f>
        <v/>
      </c>
    </row>
    <row r="3654">
      <c r="B3654">
        <f>IFERROR(VLOOKUP(A3654,Cadastro_Produtos!A:B,2,FALSE),"")</f>
        <v/>
      </c>
      <c r="D3654" s="12" t="n"/>
      <c r="E3654" s="13">
        <f>IF(D3654="","",D3654-TODAY())</f>
        <v/>
      </c>
      <c r="F3654">
        <f>IF(D3654="","",IF(E3654&lt;0,"VENCIDO",IF(E3654&lt;=30,"VENCE EM &lt;= 30 DIAS",IF(E3654&lt;=60,"ATENCAO (31-60 DIAS)","OK"))))</f>
        <v/>
      </c>
      <c r="G3654" s="13">
        <f>SUMIFS(Movimentacoes!$G:$G,Movimentacoes!$C:$C,$A3654,Movimentacoes!$E:$E,$C3654,Movimentacoes!$B:$B,"ENTRADA")</f>
        <v/>
      </c>
      <c r="H3654" s="13">
        <f>SUMIFS(Movimentacoes!$G:$G,Movimentacoes!$C:$C,$A3654,Movimentacoes!$E:$E,$C3654,Movimentacoes!$B:$B,"SAIDA_USO")</f>
        <v/>
      </c>
      <c r="I3654" s="13">
        <f>SUMIFS(Movimentacoes!$G:$G,Movimentacoes!$C:$C,$A3654,Movimentacoes!$E:$E,$C3654,Movimentacoes!$B:$B,"SAIDA_DESCARTE")</f>
        <v/>
      </c>
      <c r="J3654" s="13">
        <f>G3654-H3654-I3654</f>
        <v/>
      </c>
      <c r="K3654">
        <f>IF(A3654="","",IF(J3654&lt;=IFERROR(VLOOKUP(A3654,Cadastro_Produtos!$A:$E,5,FALSE),0),"ABAIXO DO MINIMO","OK"))</f>
        <v/>
      </c>
    </row>
    <row r="3655">
      <c r="B3655">
        <f>IFERROR(VLOOKUP(A3655,Cadastro_Produtos!A:B,2,FALSE),"")</f>
        <v/>
      </c>
      <c r="D3655" s="12" t="n"/>
      <c r="E3655" s="13">
        <f>IF(D3655="","",D3655-TODAY())</f>
        <v/>
      </c>
      <c r="F3655">
        <f>IF(D3655="","",IF(E3655&lt;0,"VENCIDO",IF(E3655&lt;=30,"VENCE EM &lt;= 30 DIAS",IF(E3655&lt;=60,"ATENCAO (31-60 DIAS)","OK"))))</f>
        <v/>
      </c>
      <c r="G3655" s="13">
        <f>SUMIFS(Movimentacoes!$G:$G,Movimentacoes!$C:$C,$A3655,Movimentacoes!$E:$E,$C3655,Movimentacoes!$B:$B,"ENTRADA")</f>
        <v/>
      </c>
      <c r="H3655" s="13">
        <f>SUMIFS(Movimentacoes!$G:$G,Movimentacoes!$C:$C,$A3655,Movimentacoes!$E:$E,$C3655,Movimentacoes!$B:$B,"SAIDA_USO")</f>
        <v/>
      </c>
      <c r="I3655" s="13">
        <f>SUMIFS(Movimentacoes!$G:$G,Movimentacoes!$C:$C,$A3655,Movimentacoes!$E:$E,$C3655,Movimentacoes!$B:$B,"SAIDA_DESCARTE")</f>
        <v/>
      </c>
      <c r="J3655" s="13">
        <f>G3655-H3655-I3655</f>
        <v/>
      </c>
      <c r="K3655">
        <f>IF(A3655="","",IF(J3655&lt;=IFERROR(VLOOKUP(A3655,Cadastro_Produtos!$A:$E,5,FALSE),0),"ABAIXO DO MINIMO","OK"))</f>
        <v/>
      </c>
    </row>
    <row r="3656">
      <c r="B3656">
        <f>IFERROR(VLOOKUP(A3656,Cadastro_Produtos!A:B,2,FALSE),"")</f>
        <v/>
      </c>
      <c r="D3656" s="12" t="n"/>
      <c r="E3656" s="13">
        <f>IF(D3656="","",D3656-TODAY())</f>
        <v/>
      </c>
      <c r="F3656">
        <f>IF(D3656="","",IF(E3656&lt;0,"VENCIDO",IF(E3656&lt;=30,"VENCE EM &lt;= 30 DIAS",IF(E3656&lt;=60,"ATENCAO (31-60 DIAS)","OK"))))</f>
        <v/>
      </c>
      <c r="G3656" s="13">
        <f>SUMIFS(Movimentacoes!$G:$G,Movimentacoes!$C:$C,$A3656,Movimentacoes!$E:$E,$C3656,Movimentacoes!$B:$B,"ENTRADA")</f>
        <v/>
      </c>
      <c r="H3656" s="13">
        <f>SUMIFS(Movimentacoes!$G:$G,Movimentacoes!$C:$C,$A3656,Movimentacoes!$E:$E,$C3656,Movimentacoes!$B:$B,"SAIDA_USO")</f>
        <v/>
      </c>
      <c r="I3656" s="13">
        <f>SUMIFS(Movimentacoes!$G:$G,Movimentacoes!$C:$C,$A3656,Movimentacoes!$E:$E,$C3656,Movimentacoes!$B:$B,"SAIDA_DESCARTE")</f>
        <v/>
      </c>
      <c r="J3656" s="13">
        <f>G3656-H3656-I3656</f>
        <v/>
      </c>
      <c r="K3656">
        <f>IF(A3656="","",IF(J3656&lt;=IFERROR(VLOOKUP(A3656,Cadastro_Produtos!$A:$E,5,FALSE),0),"ABAIXO DO MINIMO","OK"))</f>
        <v/>
      </c>
    </row>
    <row r="3657">
      <c r="B3657">
        <f>IFERROR(VLOOKUP(A3657,Cadastro_Produtos!A:B,2,FALSE),"")</f>
        <v/>
      </c>
      <c r="D3657" s="12" t="n"/>
      <c r="E3657" s="13">
        <f>IF(D3657="","",D3657-TODAY())</f>
        <v/>
      </c>
      <c r="F3657">
        <f>IF(D3657="","",IF(E3657&lt;0,"VENCIDO",IF(E3657&lt;=30,"VENCE EM &lt;= 30 DIAS",IF(E3657&lt;=60,"ATENCAO (31-60 DIAS)","OK"))))</f>
        <v/>
      </c>
      <c r="G3657" s="13">
        <f>SUMIFS(Movimentacoes!$G:$G,Movimentacoes!$C:$C,$A3657,Movimentacoes!$E:$E,$C3657,Movimentacoes!$B:$B,"ENTRADA")</f>
        <v/>
      </c>
      <c r="H3657" s="13">
        <f>SUMIFS(Movimentacoes!$G:$G,Movimentacoes!$C:$C,$A3657,Movimentacoes!$E:$E,$C3657,Movimentacoes!$B:$B,"SAIDA_USO")</f>
        <v/>
      </c>
      <c r="I3657" s="13">
        <f>SUMIFS(Movimentacoes!$G:$G,Movimentacoes!$C:$C,$A3657,Movimentacoes!$E:$E,$C3657,Movimentacoes!$B:$B,"SAIDA_DESCARTE")</f>
        <v/>
      </c>
      <c r="J3657" s="13">
        <f>G3657-H3657-I3657</f>
        <v/>
      </c>
      <c r="K3657">
        <f>IF(A3657="","",IF(J3657&lt;=IFERROR(VLOOKUP(A3657,Cadastro_Produtos!$A:$E,5,FALSE),0),"ABAIXO DO MINIMO","OK"))</f>
        <v/>
      </c>
    </row>
    <row r="3658">
      <c r="B3658">
        <f>IFERROR(VLOOKUP(A3658,Cadastro_Produtos!A:B,2,FALSE),"")</f>
        <v/>
      </c>
      <c r="D3658" s="12" t="n"/>
      <c r="E3658" s="13">
        <f>IF(D3658="","",D3658-TODAY())</f>
        <v/>
      </c>
      <c r="F3658">
        <f>IF(D3658="","",IF(E3658&lt;0,"VENCIDO",IF(E3658&lt;=30,"VENCE EM &lt;= 30 DIAS",IF(E3658&lt;=60,"ATENCAO (31-60 DIAS)","OK"))))</f>
        <v/>
      </c>
      <c r="G3658" s="13">
        <f>SUMIFS(Movimentacoes!$G:$G,Movimentacoes!$C:$C,$A3658,Movimentacoes!$E:$E,$C3658,Movimentacoes!$B:$B,"ENTRADA")</f>
        <v/>
      </c>
      <c r="H3658" s="13">
        <f>SUMIFS(Movimentacoes!$G:$G,Movimentacoes!$C:$C,$A3658,Movimentacoes!$E:$E,$C3658,Movimentacoes!$B:$B,"SAIDA_USO")</f>
        <v/>
      </c>
      <c r="I3658" s="13">
        <f>SUMIFS(Movimentacoes!$G:$G,Movimentacoes!$C:$C,$A3658,Movimentacoes!$E:$E,$C3658,Movimentacoes!$B:$B,"SAIDA_DESCARTE")</f>
        <v/>
      </c>
      <c r="J3658" s="13">
        <f>G3658-H3658-I3658</f>
        <v/>
      </c>
      <c r="K3658">
        <f>IF(A3658="","",IF(J3658&lt;=IFERROR(VLOOKUP(A3658,Cadastro_Produtos!$A:$E,5,FALSE),0),"ABAIXO DO MINIMO","OK"))</f>
        <v/>
      </c>
    </row>
    <row r="3659">
      <c r="B3659">
        <f>IFERROR(VLOOKUP(A3659,Cadastro_Produtos!A:B,2,FALSE),"")</f>
        <v/>
      </c>
      <c r="D3659" s="12" t="n"/>
      <c r="E3659" s="13">
        <f>IF(D3659="","",D3659-TODAY())</f>
        <v/>
      </c>
      <c r="F3659">
        <f>IF(D3659="","",IF(E3659&lt;0,"VENCIDO",IF(E3659&lt;=30,"VENCE EM &lt;= 30 DIAS",IF(E3659&lt;=60,"ATENCAO (31-60 DIAS)","OK"))))</f>
        <v/>
      </c>
      <c r="G3659" s="13">
        <f>SUMIFS(Movimentacoes!$G:$G,Movimentacoes!$C:$C,$A3659,Movimentacoes!$E:$E,$C3659,Movimentacoes!$B:$B,"ENTRADA")</f>
        <v/>
      </c>
      <c r="H3659" s="13">
        <f>SUMIFS(Movimentacoes!$G:$G,Movimentacoes!$C:$C,$A3659,Movimentacoes!$E:$E,$C3659,Movimentacoes!$B:$B,"SAIDA_USO")</f>
        <v/>
      </c>
      <c r="I3659" s="13">
        <f>SUMIFS(Movimentacoes!$G:$G,Movimentacoes!$C:$C,$A3659,Movimentacoes!$E:$E,$C3659,Movimentacoes!$B:$B,"SAIDA_DESCARTE")</f>
        <v/>
      </c>
      <c r="J3659" s="13">
        <f>G3659-H3659-I3659</f>
        <v/>
      </c>
      <c r="K3659">
        <f>IF(A3659="","",IF(J3659&lt;=IFERROR(VLOOKUP(A3659,Cadastro_Produtos!$A:$E,5,FALSE),0),"ABAIXO DO MINIMO","OK"))</f>
        <v/>
      </c>
    </row>
    <row r="3660">
      <c r="B3660">
        <f>IFERROR(VLOOKUP(A3660,Cadastro_Produtos!A:B,2,FALSE),"")</f>
        <v/>
      </c>
      <c r="D3660" s="12" t="n"/>
      <c r="E3660" s="13">
        <f>IF(D3660="","",D3660-TODAY())</f>
        <v/>
      </c>
      <c r="F3660">
        <f>IF(D3660="","",IF(E3660&lt;0,"VENCIDO",IF(E3660&lt;=30,"VENCE EM &lt;= 30 DIAS",IF(E3660&lt;=60,"ATENCAO (31-60 DIAS)","OK"))))</f>
        <v/>
      </c>
      <c r="G3660" s="13">
        <f>SUMIFS(Movimentacoes!$G:$G,Movimentacoes!$C:$C,$A3660,Movimentacoes!$E:$E,$C3660,Movimentacoes!$B:$B,"ENTRADA")</f>
        <v/>
      </c>
      <c r="H3660" s="13">
        <f>SUMIFS(Movimentacoes!$G:$G,Movimentacoes!$C:$C,$A3660,Movimentacoes!$E:$E,$C3660,Movimentacoes!$B:$B,"SAIDA_USO")</f>
        <v/>
      </c>
      <c r="I3660" s="13">
        <f>SUMIFS(Movimentacoes!$G:$G,Movimentacoes!$C:$C,$A3660,Movimentacoes!$E:$E,$C3660,Movimentacoes!$B:$B,"SAIDA_DESCARTE")</f>
        <v/>
      </c>
      <c r="J3660" s="13">
        <f>G3660-H3660-I3660</f>
        <v/>
      </c>
      <c r="K3660">
        <f>IF(A3660="","",IF(J3660&lt;=IFERROR(VLOOKUP(A3660,Cadastro_Produtos!$A:$E,5,FALSE),0),"ABAIXO DO MINIMO","OK"))</f>
        <v/>
      </c>
    </row>
    <row r="3661">
      <c r="B3661">
        <f>IFERROR(VLOOKUP(A3661,Cadastro_Produtos!A:B,2,FALSE),"")</f>
        <v/>
      </c>
      <c r="D3661" s="12" t="n"/>
      <c r="E3661" s="13">
        <f>IF(D3661="","",D3661-TODAY())</f>
        <v/>
      </c>
      <c r="F3661">
        <f>IF(D3661="","",IF(E3661&lt;0,"VENCIDO",IF(E3661&lt;=30,"VENCE EM &lt;= 30 DIAS",IF(E3661&lt;=60,"ATENCAO (31-60 DIAS)","OK"))))</f>
        <v/>
      </c>
      <c r="G3661" s="13">
        <f>SUMIFS(Movimentacoes!$G:$G,Movimentacoes!$C:$C,$A3661,Movimentacoes!$E:$E,$C3661,Movimentacoes!$B:$B,"ENTRADA")</f>
        <v/>
      </c>
      <c r="H3661" s="13">
        <f>SUMIFS(Movimentacoes!$G:$G,Movimentacoes!$C:$C,$A3661,Movimentacoes!$E:$E,$C3661,Movimentacoes!$B:$B,"SAIDA_USO")</f>
        <v/>
      </c>
      <c r="I3661" s="13">
        <f>SUMIFS(Movimentacoes!$G:$G,Movimentacoes!$C:$C,$A3661,Movimentacoes!$E:$E,$C3661,Movimentacoes!$B:$B,"SAIDA_DESCARTE")</f>
        <v/>
      </c>
      <c r="J3661" s="13">
        <f>G3661-H3661-I3661</f>
        <v/>
      </c>
      <c r="K3661">
        <f>IF(A3661="","",IF(J3661&lt;=IFERROR(VLOOKUP(A3661,Cadastro_Produtos!$A:$E,5,FALSE),0),"ABAIXO DO MINIMO","OK"))</f>
        <v/>
      </c>
    </row>
    <row r="3662">
      <c r="B3662">
        <f>IFERROR(VLOOKUP(A3662,Cadastro_Produtos!A:B,2,FALSE),"")</f>
        <v/>
      </c>
      <c r="D3662" s="12" t="n"/>
      <c r="E3662" s="13">
        <f>IF(D3662="","",D3662-TODAY())</f>
        <v/>
      </c>
      <c r="F3662">
        <f>IF(D3662="","",IF(E3662&lt;0,"VENCIDO",IF(E3662&lt;=30,"VENCE EM &lt;= 30 DIAS",IF(E3662&lt;=60,"ATENCAO (31-60 DIAS)","OK"))))</f>
        <v/>
      </c>
      <c r="G3662" s="13">
        <f>SUMIFS(Movimentacoes!$G:$G,Movimentacoes!$C:$C,$A3662,Movimentacoes!$E:$E,$C3662,Movimentacoes!$B:$B,"ENTRADA")</f>
        <v/>
      </c>
      <c r="H3662" s="13">
        <f>SUMIFS(Movimentacoes!$G:$G,Movimentacoes!$C:$C,$A3662,Movimentacoes!$E:$E,$C3662,Movimentacoes!$B:$B,"SAIDA_USO")</f>
        <v/>
      </c>
      <c r="I3662" s="13">
        <f>SUMIFS(Movimentacoes!$G:$G,Movimentacoes!$C:$C,$A3662,Movimentacoes!$E:$E,$C3662,Movimentacoes!$B:$B,"SAIDA_DESCARTE")</f>
        <v/>
      </c>
      <c r="J3662" s="13">
        <f>G3662-H3662-I3662</f>
        <v/>
      </c>
      <c r="K3662">
        <f>IF(A3662="","",IF(J3662&lt;=IFERROR(VLOOKUP(A3662,Cadastro_Produtos!$A:$E,5,FALSE),0),"ABAIXO DO MINIMO","OK"))</f>
        <v/>
      </c>
    </row>
    <row r="3663">
      <c r="B3663">
        <f>IFERROR(VLOOKUP(A3663,Cadastro_Produtos!A:B,2,FALSE),"")</f>
        <v/>
      </c>
      <c r="D3663" s="12" t="n"/>
      <c r="E3663" s="13">
        <f>IF(D3663="","",D3663-TODAY())</f>
        <v/>
      </c>
      <c r="F3663">
        <f>IF(D3663="","",IF(E3663&lt;0,"VENCIDO",IF(E3663&lt;=30,"VENCE EM &lt;= 30 DIAS",IF(E3663&lt;=60,"ATENCAO (31-60 DIAS)","OK"))))</f>
        <v/>
      </c>
      <c r="G3663" s="13">
        <f>SUMIFS(Movimentacoes!$G:$G,Movimentacoes!$C:$C,$A3663,Movimentacoes!$E:$E,$C3663,Movimentacoes!$B:$B,"ENTRADA")</f>
        <v/>
      </c>
      <c r="H3663" s="13">
        <f>SUMIFS(Movimentacoes!$G:$G,Movimentacoes!$C:$C,$A3663,Movimentacoes!$E:$E,$C3663,Movimentacoes!$B:$B,"SAIDA_USO")</f>
        <v/>
      </c>
      <c r="I3663" s="13">
        <f>SUMIFS(Movimentacoes!$G:$G,Movimentacoes!$C:$C,$A3663,Movimentacoes!$E:$E,$C3663,Movimentacoes!$B:$B,"SAIDA_DESCARTE")</f>
        <v/>
      </c>
      <c r="J3663" s="13">
        <f>G3663-H3663-I3663</f>
        <v/>
      </c>
      <c r="K3663">
        <f>IF(A3663="","",IF(J3663&lt;=IFERROR(VLOOKUP(A3663,Cadastro_Produtos!$A:$E,5,FALSE),0),"ABAIXO DO MINIMO","OK"))</f>
        <v/>
      </c>
    </row>
    <row r="3664">
      <c r="B3664">
        <f>IFERROR(VLOOKUP(A3664,Cadastro_Produtos!A:B,2,FALSE),"")</f>
        <v/>
      </c>
      <c r="D3664" s="12" t="n"/>
      <c r="E3664" s="13">
        <f>IF(D3664="","",D3664-TODAY())</f>
        <v/>
      </c>
      <c r="F3664">
        <f>IF(D3664="","",IF(E3664&lt;0,"VENCIDO",IF(E3664&lt;=30,"VENCE EM &lt;= 30 DIAS",IF(E3664&lt;=60,"ATENCAO (31-60 DIAS)","OK"))))</f>
        <v/>
      </c>
      <c r="G3664" s="13">
        <f>SUMIFS(Movimentacoes!$G:$G,Movimentacoes!$C:$C,$A3664,Movimentacoes!$E:$E,$C3664,Movimentacoes!$B:$B,"ENTRADA")</f>
        <v/>
      </c>
      <c r="H3664" s="13">
        <f>SUMIFS(Movimentacoes!$G:$G,Movimentacoes!$C:$C,$A3664,Movimentacoes!$E:$E,$C3664,Movimentacoes!$B:$B,"SAIDA_USO")</f>
        <v/>
      </c>
      <c r="I3664" s="13">
        <f>SUMIFS(Movimentacoes!$G:$G,Movimentacoes!$C:$C,$A3664,Movimentacoes!$E:$E,$C3664,Movimentacoes!$B:$B,"SAIDA_DESCARTE")</f>
        <v/>
      </c>
      <c r="J3664" s="13">
        <f>G3664-H3664-I3664</f>
        <v/>
      </c>
      <c r="K3664">
        <f>IF(A3664="","",IF(J3664&lt;=IFERROR(VLOOKUP(A3664,Cadastro_Produtos!$A:$E,5,FALSE),0),"ABAIXO DO MINIMO","OK"))</f>
        <v/>
      </c>
    </row>
    <row r="3665">
      <c r="B3665">
        <f>IFERROR(VLOOKUP(A3665,Cadastro_Produtos!A:B,2,FALSE),"")</f>
        <v/>
      </c>
      <c r="D3665" s="12" t="n"/>
      <c r="E3665" s="13">
        <f>IF(D3665="","",D3665-TODAY())</f>
        <v/>
      </c>
      <c r="F3665">
        <f>IF(D3665="","",IF(E3665&lt;0,"VENCIDO",IF(E3665&lt;=30,"VENCE EM &lt;= 30 DIAS",IF(E3665&lt;=60,"ATENCAO (31-60 DIAS)","OK"))))</f>
        <v/>
      </c>
      <c r="G3665" s="13">
        <f>SUMIFS(Movimentacoes!$G:$G,Movimentacoes!$C:$C,$A3665,Movimentacoes!$E:$E,$C3665,Movimentacoes!$B:$B,"ENTRADA")</f>
        <v/>
      </c>
      <c r="H3665" s="13">
        <f>SUMIFS(Movimentacoes!$G:$G,Movimentacoes!$C:$C,$A3665,Movimentacoes!$E:$E,$C3665,Movimentacoes!$B:$B,"SAIDA_USO")</f>
        <v/>
      </c>
      <c r="I3665" s="13">
        <f>SUMIFS(Movimentacoes!$G:$G,Movimentacoes!$C:$C,$A3665,Movimentacoes!$E:$E,$C3665,Movimentacoes!$B:$B,"SAIDA_DESCARTE")</f>
        <v/>
      </c>
      <c r="J3665" s="13">
        <f>G3665-H3665-I3665</f>
        <v/>
      </c>
      <c r="K3665">
        <f>IF(A3665="","",IF(J3665&lt;=IFERROR(VLOOKUP(A3665,Cadastro_Produtos!$A:$E,5,FALSE),0),"ABAIXO DO MINIMO","OK"))</f>
        <v/>
      </c>
    </row>
    <row r="3666">
      <c r="B3666">
        <f>IFERROR(VLOOKUP(A3666,Cadastro_Produtos!A:B,2,FALSE),"")</f>
        <v/>
      </c>
      <c r="D3666" s="12" t="n"/>
      <c r="E3666" s="13">
        <f>IF(D3666="","",D3666-TODAY())</f>
        <v/>
      </c>
      <c r="F3666">
        <f>IF(D3666="","",IF(E3666&lt;0,"VENCIDO",IF(E3666&lt;=30,"VENCE EM &lt;= 30 DIAS",IF(E3666&lt;=60,"ATENCAO (31-60 DIAS)","OK"))))</f>
        <v/>
      </c>
      <c r="G3666" s="13">
        <f>SUMIFS(Movimentacoes!$G:$G,Movimentacoes!$C:$C,$A3666,Movimentacoes!$E:$E,$C3666,Movimentacoes!$B:$B,"ENTRADA")</f>
        <v/>
      </c>
      <c r="H3666" s="13">
        <f>SUMIFS(Movimentacoes!$G:$G,Movimentacoes!$C:$C,$A3666,Movimentacoes!$E:$E,$C3666,Movimentacoes!$B:$B,"SAIDA_USO")</f>
        <v/>
      </c>
      <c r="I3666" s="13">
        <f>SUMIFS(Movimentacoes!$G:$G,Movimentacoes!$C:$C,$A3666,Movimentacoes!$E:$E,$C3666,Movimentacoes!$B:$B,"SAIDA_DESCARTE")</f>
        <v/>
      </c>
      <c r="J3666" s="13">
        <f>G3666-H3666-I3666</f>
        <v/>
      </c>
      <c r="K3666">
        <f>IF(A3666="","",IF(J3666&lt;=IFERROR(VLOOKUP(A3666,Cadastro_Produtos!$A:$E,5,FALSE),0),"ABAIXO DO MINIMO","OK"))</f>
        <v/>
      </c>
    </row>
    <row r="3667">
      <c r="B3667">
        <f>IFERROR(VLOOKUP(A3667,Cadastro_Produtos!A:B,2,FALSE),"")</f>
        <v/>
      </c>
      <c r="D3667" s="12" t="n"/>
      <c r="E3667" s="13">
        <f>IF(D3667="","",D3667-TODAY())</f>
        <v/>
      </c>
      <c r="F3667">
        <f>IF(D3667="","",IF(E3667&lt;0,"VENCIDO",IF(E3667&lt;=30,"VENCE EM &lt;= 30 DIAS",IF(E3667&lt;=60,"ATENCAO (31-60 DIAS)","OK"))))</f>
        <v/>
      </c>
      <c r="G3667" s="13">
        <f>SUMIFS(Movimentacoes!$G:$G,Movimentacoes!$C:$C,$A3667,Movimentacoes!$E:$E,$C3667,Movimentacoes!$B:$B,"ENTRADA")</f>
        <v/>
      </c>
      <c r="H3667" s="13">
        <f>SUMIFS(Movimentacoes!$G:$G,Movimentacoes!$C:$C,$A3667,Movimentacoes!$E:$E,$C3667,Movimentacoes!$B:$B,"SAIDA_USO")</f>
        <v/>
      </c>
      <c r="I3667" s="13">
        <f>SUMIFS(Movimentacoes!$G:$G,Movimentacoes!$C:$C,$A3667,Movimentacoes!$E:$E,$C3667,Movimentacoes!$B:$B,"SAIDA_DESCARTE")</f>
        <v/>
      </c>
      <c r="J3667" s="13">
        <f>G3667-H3667-I3667</f>
        <v/>
      </c>
      <c r="K3667">
        <f>IF(A3667="","",IF(J3667&lt;=IFERROR(VLOOKUP(A3667,Cadastro_Produtos!$A:$E,5,FALSE),0),"ABAIXO DO MINIMO","OK"))</f>
        <v/>
      </c>
    </row>
    <row r="3668">
      <c r="B3668">
        <f>IFERROR(VLOOKUP(A3668,Cadastro_Produtos!A:B,2,FALSE),"")</f>
        <v/>
      </c>
      <c r="D3668" s="12" t="n"/>
      <c r="E3668" s="13">
        <f>IF(D3668="","",D3668-TODAY())</f>
        <v/>
      </c>
      <c r="F3668">
        <f>IF(D3668="","",IF(E3668&lt;0,"VENCIDO",IF(E3668&lt;=30,"VENCE EM &lt;= 30 DIAS",IF(E3668&lt;=60,"ATENCAO (31-60 DIAS)","OK"))))</f>
        <v/>
      </c>
      <c r="G3668" s="13">
        <f>SUMIFS(Movimentacoes!$G:$G,Movimentacoes!$C:$C,$A3668,Movimentacoes!$E:$E,$C3668,Movimentacoes!$B:$B,"ENTRADA")</f>
        <v/>
      </c>
      <c r="H3668" s="13">
        <f>SUMIFS(Movimentacoes!$G:$G,Movimentacoes!$C:$C,$A3668,Movimentacoes!$E:$E,$C3668,Movimentacoes!$B:$B,"SAIDA_USO")</f>
        <v/>
      </c>
      <c r="I3668" s="13">
        <f>SUMIFS(Movimentacoes!$G:$G,Movimentacoes!$C:$C,$A3668,Movimentacoes!$E:$E,$C3668,Movimentacoes!$B:$B,"SAIDA_DESCARTE")</f>
        <v/>
      </c>
      <c r="J3668" s="13">
        <f>G3668-H3668-I3668</f>
        <v/>
      </c>
      <c r="K3668">
        <f>IF(A3668="","",IF(J3668&lt;=IFERROR(VLOOKUP(A3668,Cadastro_Produtos!$A:$E,5,FALSE),0),"ABAIXO DO MINIMO","OK"))</f>
        <v/>
      </c>
    </row>
    <row r="3669">
      <c r="B3669">
        <f>IFERROR(VLOOKUP(A3669,Cadastro_Produtos!A:B,2,FALSE),"")</f>
        <v/>
      </c>
      <c r="D3669" s="12" t="n"/>
      <c r="E3669" s="13">
        <f>IF(D3669="","",D3669-TODAY())</f>
        <v/>
      </c>
      <c r="F3669">
        <f>IF(D3669="","",IF(E3669&lt;0,"VENCIDO",IF(E3669&lt;=30,"VENCE EM &lt;= 30 DIAS",IF(E3669&lt;=60,"ATENCAO (31-60 DIAS)","OK"))))</f>
        <v/>
      </c>
      <c r="G3669" s="13">
        <f>SUMIFS(Movimentacoes!$G:$G,Movimentacoes!$C:$C,$A3669,Movimentacoes!$E:$E,$C3669,Movimentacoes!$B:$B,"ENTRADA")</f>
        <v/>
      </c>
      <c r="H3669" s="13">
        <f>SUMIFS(Movimentacoes!$G:$G,Movimentacoes!$C:$C,$A3669,Movimentacoes!$E:$E,$C3669,Movimentacoes!$B:$B,"SAIDA_USO")</f>
        <v/>
      </c>
      <c r="I3669" s="13">
        <f>SUMIFS(Movimentacoes!$G:$G,Movimentacoes!$C:$C,$A3669,Movimentacoes!$E:$E,$C3669,Movimentacoes!$B:$B,"SAIDA_DESCARTE")</f>
        <v/>
      </c>
      <c r="J3669" s="13">
        <f>G3669-H3669-I3669</f>
        <v/>
      </c>
      <c r="K3669">
        <f>IF(A3669="","",IF(J3669&lt;=IFERROR(VLOOKUP(A3669,Cadastro_Produtos!$A:$E,5,FALSE),0),"ABAIXO DO MINIMO","OK"))</f>
        <v/>
      </c>
    </row>
    <row r="3670">
      <c r="B3670">
        <f>IFERROR(VLOOKUP(A3670,Cadastro_Produtos!A:B,2,FALSE),"")</f>
        <v/>
      </c>
      <c r="D3670" s="12" t="n"/>
      <c r="E3670" s="13">
        <f>IF(D3670="","",D3670-TODAY())</f>
        <v/>
      </c>
      <c r="F3670">
        <f>IF(D3670="","",IF(E3670&lt;0,"VENCIDO",IF(E3670&lt;=30,"VENCE EM &lt;= 30 DIAS",IF(E3670&lt;=60,"ATENCAO (31-60 DIAS)","OK"))))</f>
        <v/>
      </c>
      <c r="G3670" s="13">
        <f>SUMIFS(Movimentacoes!$G:$G,Movimentacoes!$C:$C,$A3670,Movimentacoes!$E:$E,$C3670,Movimentacoes!$B:$B,"ENTRADA")</f>
        <v/>
      </c>
      <c r="H3670" s="13">
        <f>SUMIFS(Movimentacoes!$G:$G,Movimentacoes!$C:$C,$A3670,Movimentacoes!$E:$E,$C3670,Movimentacoes!$B:$B,"SAIDA_USO")</f>
        <v/>
      </c>
      <c r="I3670" s="13">
        <f>SUMIFS(Movimentacoes!$G:$G,Movimentacoes!$C:$C,$A3670,Movimentacoes!$E:$E,$C3670,Movimentacoes!$B:$B,"SAIDA_DESCARTE")</f>
        <v/>
      </c>
      <c r="J3670" s="13">
        <f>G3670-H3670-I3670</f>
        <v/>
      </c>
      <c r="K3670">
        <f>IF(A3670="","",IF(J3670&lt;=IFERROR(VLOOKUP(A3670,Cadastro_Produtos!$A:$E,5,FALSE),0),"ABAIXO DO MINIMO","OK"))</f>
        <v/>
      </c>
    </row>
    <row r="3671">
      <c r="B3671">
        <f>IFERROR(VLOOKUP(A3671,Cadastro_Produtos!A:B,2,FALSE),"")</f>
        <v/>
      </c>
      <c r="D3671" s="12" t="n"/>
      <c r="E3671" s="13">
        <f>IF(D3671="","",D3671-TODAY())</f>
        <v/>
      </c>
      <c r="F3671">
        <f>IF(D3671="","",IF(E3671&lt;0,"VENCIDO",IF(E3671&lt;=30,"VENCE EM &lt;= 30 DIAS",IF(E3671&lt;=60,"ATENCAO (31-60 DIAS)","OK"))))</f>
        <v/>
      </c>
      <c r="G3671" s="13">
        <f>SUMIFS(Movimentacoes!$G:$G,Movimentacoes!$C:$C,$A3671,Movimentacoes!$E:$E,$C3671,Movimentacoes!$B:$B,"ENTRADA")</f>
        <v/>
      </c>
      <c r="H3671" s="13">
        <f>SUMIFS(Movimentacoes!$G:$G,Movimentacoes!$C:$C,$A3671,Movimentacoes!$E:$E,$C3671,Movimentacoes!$B:$B,"SAIDA_USO")</f>
        <v/>
      </c>
      <c r="I3671" s="13">
        <f>SUMIFS(Movimentacoes!$G:$G,Movimentacoes!$C:$C,$A3671,Movimentacoes!$E:$E,$C3671,Movimentacoes!$B:$B,"SAIDA_DESCARTE")</f>
        <v/>
      </c>
      <c r="J3671" s="13">
        <f>G3671-H3671-I3671</f>
        <v/>
      </c>
      <c r="K3671">
        <f>IF(A3671="","",IF(J3671&lt;=IFERROR(VLOOKUP(A3671,Cadastro_Produtos!$A:$E,5,FALSE),0),"ABAIXO DO MINIMO","OK"))</f>
        <v/>
      </c>
    </row>
    <row r="3672">
      <c r="B3672">
        <f>IFERROR(VLOOKUP(A3672,Cadastro_Produtos!A:B,2,FALSE),"")</f>
        <v/>
      </c>
      <c r="D3672" s="12" t="n"/>
      <c r="E3672" s="13">
        <f>IF(D3672="","",D3672-TODAY())</f>
        <v/>
      </c>
      <c r="F3672">
        <f>IF(D3672="","",IF(E3672&lt;0,"VENCIDO",IF(E3672&lt;=30,"VENCE EM &lt;= 30 DIAS",IF(E3672&lt;=60,"ATENCAO (31-60 DIAS)","OK"))))</f>
        <v/>
      </c>
      <c r="G3672" s="13">
        <f>SUMIFS(Movimentacoes!$G:$G,Movimentacoes!$C:$C,$A3672,Movimentacoes!$E:$E,$C3672,Movimentacoes!$B:$B,"ENTRADA")</f>
        <v/>
      </c>
      <c r="H3672" s="13">
        <f>SUMIFS(Movimentacoes!$G:$G,Movimentacoes!$C:$C,$A3672,Movimentacoes!$E:$E,$C3672,Movimentacoes!$B:$B,"SAIDA_USO")</f>
        <v/>
      </c>
      <c r="I3672" s="13">
        <f>SUMIFS(Movimentacoes!$G:$G,Movimentacoes!$C:$C,$A3672,Movimentacoes!$E:$E,$C3672,Movimentacoes!$B:$B,"SAIDA_DESCARTE")</f>
        <v/>
      </c>
      <c r="J3672" s="13">
        <f>G3672-H3672-I3672</f>
        <v/>
      </c>
      <c r="K3672">
        <f>IF(A3672="","",IF(J3672&lt;=IFERROR(VLOOKUP(A3672,Cadastro_Produtos!$A:$E,5,FALSE),0),"ABAIXO DO MINIMO","OK"))</f>
        <v/>
      </c>
    </row>
    <row r="3673">
      <c r="B3673">
        <f>IFERROR(VLOOKUP(A3673,Cadastro_Produtos!A:B,2,FALSE),"")</f>
        <v/>
      </c>
      <c r="D3673" s="12" t="n"/>
      <c r="E3673" s="13">
        <f>IF(D3673="","",D3673-TODAY())</f>
        <v/>
      </c>
      <c r="F3673">
        <f>IF(D3673="","",IF(E3673&lt;0,"VENCIDO",IF(E3673&lt;=30,"VENCE EM &lt;= 30 DIAS",IF(E3673&lt;=60,"ATENCAO (31-60 DIAS)","OK"))))</f>
        <v/>
      </c>
      <c r="G3673" s="13">
        <f>SUMIFS(Movimentacoes!$G:$G,Movimentacoes!$C:$C,$A3673,Movimentacoes!$E:$E,$C3673,Movimentacoes!$B:$B,"ENTRADA")</f>
        <v/>
      </c>
      <c r="H3673" s="13">
        <f>SUMIFS(Movimentacoes!$G:$G,Movimentacoes!$C:$C,$A3673,Movimentacoes!$E:$E,$C3673,Movimentacoes!$B:$B,"SAIDA_USO")</f>
        <v/>
      </c>
      <c r="I3673" s="13">
        <f>SUMIFS(Movimentacoes!$G:$G,Movimentacoes!$C:$C,$A3673,Movimentacoes!$E:$E,$C3673,Movimentacoes!$B:$B,"SAIDA_DESCARTE")</f>
        <v/>
      </c>
      <c r="J3673" s="13">
        <f>G3673-H3673-I3673</f>
        <v/>
      </c>
      <c r="K3673">
        <f>IF(A3673="","",IF(J3673&lt;=IFERROR(VLOOKUP(A3673,Cadastro_Produtos!$A:$E,5,FALSE),0),"ABAIXO DO MINIMO","OK"))</f>
        <v/>
      </c>
    </row>
    <row r="3674">
      <c r="B3674">
        <f>IFERROR(VLOOKUP(A3674,Cadastro_Produtos!A:B,2,FALSE),"")</f>
        <v/>
      </c>
      <c r="D3674" s="12" t="n"/>
      <c r="E3674" s="13">
        <f>IF(D3674="","",D3674-TODAY())</f>
        <v/>
      </c>
      <c r="F3674">
        <f>IF(D3674="","",IF(E3674&lt;0,"VENCIDO",IF(E3674&lt;=30,"VENCE EM &lt;= 30 DIAS",IF(E3674&lt;=60,"ATENCAO (31-60 DIAS)","OK"))))</f>
        <v/>
      </c>
      <c r="G3674" s="13">
        <f>SUMIFS(Movimentacoes!$G:$G,Movimentacoes!$C:$C,$A3674,Movimentacoes!$E:$E,$C3674,Movimentacoes!$B:$B,"ENTRADA")</f>
        <v/>
      </c>
      <c r="H3674" s="13">
        <f>SUMIFS(Movimentacoes!$G:$G,Movimentacoes!$C:$C,$A3674,Movimentacoes!$E:$E,$C3674,Movimentacoes!$B:$B,"SAIDA_USO")</f>
        <v/>
      </c>
      <c r="I3674" s="13">
        <f>SUMIFS(Movimentacoes!$G:$G,Movimentacoes!$C:$C,$A3674,Movimentacoes!$E:$E,$C3674,Movimentacoes!$B:$B,"SAIDA_DESCARTE")</f>
        <v/>
      </c>
      <c r="J3674" s="13">
        <f>G3674-H3674-I3674</f>
        <v/>
      </c>
      <c r="K3674">
        <f>IF(A3674="","",IF(J3674&lt;=IFERROR(VLOOKUP(A3674,Cadastro_Produtos!$A:$E,5,FALSE),0),"ABAIXO DO MINIMO","OK"))</f>
        <v/>
      </c>
    </row>
    <row r="3675">
      <c r="B3675">
        <f>IFERROR(VLOOKUP(A3675,Cadastro_Produtos!A:B,2,FALSE),"")</f>
        <v/>
      </c>
      <c r="D3675" s="12" t="n"/>
      <c r="E3675" s="13">
        <f>IF(D3675="","",D3675-TODAY())</f>
        <v/>
      </c>
      <c r="F3675">
        <f>IF(D3675="","",IF(E3675&lt;0,"VENCIDO",IF(E3675&lt;=30,"VENCE EM &lt;= 30 DIAS",IF(E3675&lt;=60,"ATENCAO (31-60 DIAS)","OK"))))</f>
        <v/>
      </c>
      <c r="G3675" s="13">
        <f>SUMIFS(Movimentacoes!$G:$G,Movimentacoes!$C:$C,$A3675,Movimentacoes!$E:$E,$C3675,Movimentacoes!$B:$B,"ENTRADA")</f>
        <v/>
      </c>
      <c r="H3675" s="13">
        <f>SUMIFS(Movimentacoes!$G:$G,Movimentacoes!$C:$C,$A3675,Movimentacoes!$E:$E,$C3675,Movimentacoes!$B:$B,"SAIDA_USO")</f>
        <v/>
      </c>
      <c r="I3675" s="13">
        <f>SUMIFS(Movimentacoes!$G:$G,Movimentacoes!$C:$C,$A3675,Movimentacoes!$E:$E,$C3675,Movimentacoes!$B:$B,"SAIDA_DESCARTE")</f>
        <v/>
      </c>
      <c r="J3675" s="13">
        <f>G3675-H3675-I3675</f>
        <v/>
      </c>
      <c r="K3675">
        <f>IF(A3675="","",IF(J3675&lt;=IFERROR(VLOOKUP(A3675,Cadastro_Produtos!$A:$E,5,FALSE),0),"ABAIXO DO MINIMO","OK"))</f>
        <v/>
      </c>
    </row>
    <row r="3676">
      <c r="B3676">
        <f>IFERROR(VLOOKUP(A3676,Cadastro_Produtos!A:B,2,FALSE),"")</f>
        <v/>
      </c>
      <c r="D3676" s="12" t="n"/>
      <c r="E3676" s="13">
        <f>IF(D3676="","",D3676-TODAY())</f>
        <v/>
      </c>
      <c r="F3676">
        <f>IF(D3676="","",IF(E3676&lt;0,"VENCIDO",IF(E3676&lt;=30,"VENCE EM &lt;= 30 DIAS",IF(E3676&lt;=60,"ATENCAO (31-60 DIAS)","OK"))))</f>
        <v/>
      </c>
      <c r="G3676" s="13">
        <f>SUMIFS(Movimentacoes!$G:$G,Movimentacoes!$C:$C,$A3676,Movimentacoes!$E:$E,$C3676,Movimentacoes!$B:$B,"ENTRADA")</f>
        <v/>
      </c>
      <c r="H3676" s="13">
        <f>SUMIFS(Movimentacoes!$G:$G,Movimentacoes!$C:$C,$A3676,Movimentacoes!$E:$E,$C3676,Movimentacoes!$B:$B,"SAIDA_USO")</f>
        <v/>
      </c>
      <c r="I3676" s="13">
        <f>SUMIFS(Movimentacoes!$G:$G,Movimentacoes!$C:$C,$A3676,Movimentacoes!$E:$E,$C3676,Movimentacoes!$B:$B,"SAIDA_DESCARTE")</f>
        <v/>
      </c>
      <c r="J3676" s="13">
        <f>G3676-H3676-I3676</f>
        <v/>
      </c>
      <c r="K3676">
        <f>IF(A3676="","",IF(J3676&lt;=IFERROR(VLOOKUP(A3676,Cadastro_Produtos!$A:$E,5,FALSE),0),"ABAIXO DO MINIMO","OK"))</f>
        <v/>
      </c>
    </row>
    <row r="3677">
      <c r="B3677">
        <f>IFERROR(VLOOKUP(A3677,Cadastro_Produtos!A:B,2,FALSE),"")</f>
        <v/>
      </c>
      <c r="D3677" s="12" t="n"/>
      <c r="E3677" s="13">
        <f>IF(D3677="","",D3677-TODAY())</f>
        <v/>
      </c>
      <c r="F3677">
        <f>IF(D3677="","",IF(E3677&lt;0,"VENCIDO",IF(E3677&lt;=30,"VENCE EM &lt;= 30 DIAS",IF(E3677&lt;=60,"ATENCAO (31-60 DIAS)","OK"))))</f>
        <v/>
      </c>
      <c r="G3677" s="13">
        <f>SUMIFS(Movimentacoes!$G:$G,Movimentacoes!$C:$C,$A3677,Movimentacoes!$E:$E,$C3677,Movimentacoes!$B:$B,"ENTRADA")</f>
        <v/>
      </c>
      <c r="H3677" s="13">
        <f>SUMIFS(Movimentacoes!$G:$G,Movimentacoes!$C:$C,$A3677,Movimentacoes!$E:$E,$C3677,Movimentacoes!$B:$B,"SAIDA_USO")</f>
        <v/>
      </c>
      <c r="I3677" s="13">
        <f>SUMIFS(Movimentacoes!$G:$G,Movimentacoes!$C:$C,$A3677,Movimentacoes!$E:$E,$C3677,Movimentacoes!$B:$B,"SAIDA_DESCARTE")</f>
        <v/>
      </c>
      <c r="J3677" s="13">
        <f>G3677-H3677-I3677</f>
        <v/>
      </c>
      <c r="K3677">
        <f>IF(A3677="","",IF(J3677&lt;=IFERROR(VLOOKUP(A3677,Cadastro_Produtos!$A:$E,5,FALSE),0),"ABAIXO DO MINIMO","OK"))</f>
        <v/>
      </c>
    </row>
    <row r="3678">
      <c r="B3678">
        <f>IFERROR(VLOOKUP(A3678,Cadastro_Produtos!A:B,2,FALSE),"")</f>
        <v/>
      </c>
      <c r="D3678" s="12" t="n"/>
      <c r="E3678" s="13">
        <f>IF(D3678="","",D3678-TODAY())</f>
        <v/>
      </c>
      <c r="F3678">
        <f>IF(D3678="","",IF(E3678&lt;0,"VENCIDO",IF(E3678&lt;=30,"VENCE EM &lt;= 30 DIAS",IF(E3678&lt;=60,"ATENCAO (31-60 DIAS)","OK"))))</f>
        <v/>
      </c>
      <c r="G3678" s="13">
        <f>SUMIFS(Movimentacoes!$G:$G,Movimentacoes!$C:$C,$A3678,Movimentacoes!$E:$E,$C3678,Movimentacoes!$B:$B,"ENTRADA")</f>
        <v/>
      </c>
      <c r="H3678" s="13">
        <f>SUMIFS(Movimentacoes!$G:$G,Movimentacoes!$C:$C,$A3678,Movimentacoes!$E:$E,$C3678,Movimentacoes!$B:$B,"SAIDA_USO")</f>
        <v/>
      </c>
      <c r="I3678" s="13">
        <f>SUMIFS(Movimentacoes!$G:$G,Movimentacoes!$C:$C,$A3678,Movimentacoes!$E:$E,$C3678,Movimentacoes!$B:$B,"SAIDA_DESCARTE")</f>
        <v/>
      </c>
      <c r="J3678" s="13">
        <f>G3678-H3678-I3678</f>
        <v/>
      </c>
      <c r="K3678">
        <f>IF(A3678="","",IF(J3678&lt;=IFERROR(VLOOKUP(A3678,Cadastro_Produtos!$A:$E,5,FALSE),0),"ABAIXO DO MINIMO","OK"))</f>
        <v/>
      </c>
    </row>
    <row r="3679">
      <c r="B3679">
        <f>IFERROR(VLOOKUP(A3679,Cadastro_Produtos!A:B,2,FALSE),"")</f>
        <v/>
      </c>
      <c r="D3679" s="12" t="n"/>
      <c r="E3679" s="13">
        <f>IF(D3679="","",D3679-TODAY())</f>
        <v/>
      </c>
      <c r="F3679">
        <f>IF(D3679="","",IF(E3679&lt;0,"VENCIDO",IF(E3679&lt;=30,"VENCE EM &lt;= 30 DIAS",IF(E3679&lt;=60,"ATENCAO (31-60 DIAS)","OK"))))</f>
        <v/>
      </c>
      <c r="G3679" s="13">
        <f>SUMIFS(Movimentacoes!$G:$G,Movimentacoes!$C:$C,$A3679,Movimentacoes!$E:$E,$C3679,Movimentacoes!$B:$B,"ENTRADA")</f>
        <v/>
      </c>
      <c r="H3679" s="13">
        <f>SUMIFS(Movimentacoes!$G:$G,Movimentacoes!$C:$C,$A3679,Movimentacoes!$E:$E,$C3679,Movimentacoes!$B:$B,"SAIDA_USO")</f>
        <v/>
      </c>
      <c r="I3679" s="13">
        <f>SUMIFS(Movimentacoes!$G:$G,Movimentacoes!$C:$C,$A3679,Movimentacoes!$E:$E,$C3679,Movimentacoes!$B:$B,"SAIDA_DESCARTE")</f>
        <v/>
      </c>
      <c r="J3679" s="13">
        <f>G3679-H3679-I3679</f>
        <v/>
      </c>
      <c r="K3679">
        <f>IF(A3679="","",IF(J3679&lt;=IFERROR(VLOOKUP(A3679,Cadastro_Produtos!$A:$E,5,FALSE),0),"ABAIXO DO MINIMO","OK"))</f>
        <v/>
      </c>
    </row>
    <row r="3680">
      <c r="B3680">
        <f>IFERROR(VLOOKUP(A3680,Cadastro_Produtos!A:B,2,FALSE),"")</f>
        <v/>
      </c>
      <c r="D3680" s="12" t="n"/>
      <c r="E3680" s="13">
        <f>IF(D3680="","",D3680-TODAY())</f>
        <v/>
      </c>
      <c r="F3680">
        <f>IF(D3680="","",IF(E3680&lt;0,"VENCIDO",IF(E3680&lt;=30,"VENCE EM &lt;= 30 DIAS",IF(E3680&lt;=60,"ATENCAO (31-60 DIAS)","OK"))))</f>
        <v/>
      </c>
      <c r="G3680" s="13">
        <f>SUMIFS(Movimentacoes!$G:$G,Movimentacoes!$C:$C,$A3680,Movimentacoes!$E:$E,$C3680,Movimentacoes!$B:$B,"ENTRADA")</f>
        <v/>
      </c>
      <c r="H3680" s="13">
        <f>SUMIFS(Movimentacoes!$G:$G,Movimentacoes!$C:$C,$A3680,Movimentacoes!$E:$E,$C3680,Movimentacoes!$B:$B,"SAIDA_USO")</f>
        <v/>
      </c>
      <c r="I3680" s="13">
        <f>SUMIFS(Movimentacoes!$G:$G,Movimentacoes!$C:$C,$A3680,Movimentacoes!$E:$E,$C3680,Movimentacoes!$B:$B,"SAIDA_DESCARTE")</f>
        <v/>
      </c>
      <c r="J3680" s="13">
        <f>G3680-H3680-I3680</f>
        <v/>
      </c>
      <c r="K3680">
        <f>IF(A3680="","",IF(J3680&lt;=IFERROR(VLOOKUP(A3680,Cadastro_Produtos!$A:$E,5,FALSE),0),"ABAIXO DO MINIMO","OK"))</f>
        <v/>
      </c>
    </row>
    <row r="3681">
      <c r="B3681">
        <f>IFERROR(VLOOKUP(A3681,Cadastro_Produtos!A:B,2,FALSE),"")</f>
        <v/>
      </c>
      <c r="D3681" s="12" t="n"/>
      <c r="E3681" s="13">
        <f>IF(D3681="","",D3681-TODAY())</f>
        <v/>
      </c>
      <c r="F3681">
        <f>IF(D3681="","",IF(E3681&lt;0,"VENCIDO",IF(E3681&lt;=30,"VENCE EM &lt;= 30 DIAS",IF(E3681&lt;=60,"ATENCAO (31-60 DIAS)","OK"))))</f>
        <v/>
      </c>
      <c r="G3681" s="13">
        <f>SUMIFS(Movimentacoes!$G:$G,Movimentacoes!$C:$C,$A3681,Movimentacoes!$E:$E,$C3681,Movimentacoes!$B:$B,"ENTRADA")</f>
        <v/>
      </c>
      <c r="H3681" s="13">
        <f>SUMIFS(Movimentacoes!$G:$G,Movimentacoes!$C:$C,$A3681,Movimentacoes!$E:$E,$C3681,Movimentacoes!$B:$B,"SAIDA_USO")</f>
        <v/>
      </c>
      <c r="I3681" s="13">
        <f>SUMIFS(Movimentacoes!$G:$G,Movimentacoes!$C:$C,$A3681,Movimentacoes!$E:$E,$C3681,Movimentacoes!$B:$B,"SAIDA_DESCARTE")</f>
        <v/>
      </c>
      <c r="J3681" s="13">
        <f>G3681-H3681-I3681</f>
        <v/>
      </c>
      <c r="K3681">
        <f>IF(A3681="","",IF(J3681&lt;=IFERROR(VLOOKUP(A3681,Cadastro_Produtos!$A:$E,5,FALSE),0),"ABAIXO DO MINIMO","OK"))</f>
        <v/>
      </c>
    </row>
    <row r="3682">
      <c r="B3682">
        <f>IFERROR(VLOOKUP(A3682,Cadastro_Produtos!A:B,2,FALSE),"")</f>
        <v/>
      </c>
      <c r="D3682" s="12" t="n"/>
      <c r="E3682" s="13">
        <f>IF(D3682="","",D3682-TODAY())</f>
        <v/>
      </c>
      <c r="F3682">
        <f>IF(D3682="","",IF(E3682&lt;0,"VENCIDO",IF(E3682&lt;=30,"VENCE EM &lt;= 30 DIAS",IF(E3682&lt;=60,"ATENCAO (31-60 DIAS)","OK"))))</f>
        <v/>
      </c>
      <c r="G3682" s="13">
        <f>SUMIFS(Movimentacoes!$G:$G,Movimentacoes!$C:$C,$A3682,Movimentacoes!$E:$E,$C3682,Movimentacoes!$B:$B,"ENTRADA")</f>
        <v/>
      </c>
      <c r="H3682" s="13">
        <f>SUMIFS(Movimentacoes!$G:$G,Movimentacoes!$C:$C,$A3682,Movimentacoes!$E:$E,$C3682,Movimentacoes!$B:$B,"SAIDA_USO")</f>
        <v/>
      </c>
      <c r="I3682" s="13">
        <f>SUMIFS(Movimentacoes!$G:$G,Movimentacoes!$C:$C,$A3682,Movimentacoes!$E:$E,$C3682,Movimentacoes!$B:$B,"SAIDA_DESCARTE")</f>
        <v/>
      </c>
      <c r="J3682" s="13">
        <f>G3682-H3682-I3682</f>
        <v/>
      </c>
      <c r="K3682">
        <f>IF(A3682="","",IF(J3682&lt;=IFERROR(VLOOKUP(A3682,Cadastro_Produtos!$A:$E,5,FALSE),0),"ABAIXO DO MINIMO","OK"))</f>
        <v/>
      </c>
    </row>
    <row r="3683">
      <c r="B3683">
        <f>IFERROR(VLOOKUP(A3683,Cadastro_Produtos!A:B,2,FALSE),"")</f>
        <v/>
      </c>
      <c r="D3683" s="12" t="n"/>
      <c r="E3683" s="13">
        <f>IF(D3683="","",D3683-TODAY())</f>
        <v/>
      </c>
      <c r="F3683">
        <f>IF(D3683="","",IF(E3683&lt;0,"VENCIDO",IF(E3683&lt;=30,"VENCE EM &lt;= 30 DIAS",IF(E3683&lt;=60,"ATENCAO (31-60 DIAS)","OK"))))</f>
        <v/>
      </c>
      <c r="G3683" s="13">
        <f>SUMIFS(Movimentacoes!$G:$G,Movimentacoes!$C:$C,$A3683,Movimentacoes!$E:$E,$C3683,Movimentacoes!$B:$B,"ENTRADA")</f>
        <v/>
      </c>
      <c r="H3683" s="13">
        <f>SUMIFS(Movimentacoes!$G:$G,Movimentacoes!$C:$C,$A3683,Movimentacoes!$E:$E,$C3683,Movimentacoes!$B:$B,"SAIDA_USO")</f>
        <v/>
      </c>
      <c r="I3683" s="13">
        <f>SUMIFS(Movimentacoes!$G:$G,Movimentacoes!$C:$C,$A3683,Movimentacoes!$E:$E,$C3683,Movimentacoes!$B:$B,"SAIDA_DESCARTE")</f>
        <v/>
      </c>
      <c r="J3683" s="13">
        <f>G3683-H3683-I3683</f>
        <v/>
      </c>
      <c r="K3683">
        <f>IF(A3683="","",IF(J3683&lt;=IFERROR(VLOOKUP(A3683,Cadastro_Produtos!$A:$E,5,FALSE),0),"ABAIXO DO MINIMO","OK"))</f>
        <v/>
      </c>
    </row>
    <row r="3684">
      <c r="B3684">
        <f>IFERROR(VLOOKUP(A3684,Cadastro_Produtos!A:B,2,FALSE),"")</f>
        <v/>
      </c>
      <c r="D3684" s="12" t="n"/>
      <c r="E3684" s="13">
        <f>IF(D3684="","",D3684-TODAY())</f>
        <v/>
      </c>
      <c r="F3684">
        <f>IF(D3684="","",IF(E3684&lt;0,"VENCIDO",IF(E3684&lt;=30,"VENCE EM &lt;= 30 DIAS",IF(E3684&lt;=60,"ATENCAO (31-60 DIAS)","OK"))))</f>
        <v/>
      </c>
      <c r="G3684" s="13">
        <f>SUMIFS(Movimentacoes!$G:$G,Movimentacoes!$C:$C,$A3684,Movimentacoes!$E:$E,$C3684,Movimentacoes!$B:$B,"ENTRADA")</f>
        <v/>
      </c>
      <c r="H3684" s="13">
        <f>SUMIFS(Movimentacoes!$G:$G,Movimentacoes!$C:$C,$A3684,Movimentacoes!$E:$E,$C3684,Movimentacoes!$B:$B,"SAIDA_USO")</f>
        <v/>
      </c>
      <c r="I3684" s="13">
        <f>SUMIFS(Movimentacoes!$G:$G,Movimentacoes!$C:$C,$A3684,Movimentacoes!$E:$E,$C3684,Movimentacoes!$B:$B,"SAIDA_DESCARTE")</f>
        <v/>
      </c>
      <c r="J3684" s="13">
        <f>G3684-H3684-I3684</f>
        <v/>
      </c>
      <c r="K3684">
        <f>IF(A3684="","",IF(J3684&lt;=IFERROR(VLOOKUP(A3684,Cadastro_Produtos!$A:$E,5,FALSE),0),"ABAIXO DO MINIMO","OK"))</f>
        <v/>
      </c>
    </row>
    <row r="3685">
      <c r="B3685">
        <f>IFERROR(VLOOKUP(A3685,Cadastro_Produtos!A:B,2,FALSE),"")</f>
        <v/>
      </c>
      <c r="D3685" s="12" t="n"/>
      <c r="E3685" s="13">
        <f>IF(D3685="","",D3685-TODAY())</f>
        <v/>
      </c>
      <c r="F3685">
        <f>IF(D3685="","",IF(E3685&lt;0,"VENCIDO",IF(E3685&lt;=30,"VENCE EM &lt;= 30 DIAS",IF(E3685&lt;=60,"ATENCAO (31-60 DIAS)","OK"))))</f>
        <v/>
      </c>
      <c r="G3685" s="13">
        <f>SUMIFS(Movimentacoes!$G:$G,Movimentacoes!$C:$C,$A3685,Movimentacoes!$E:$E,$C3685,Movimentacoes!$B:$B,"ENTRADA")</f>
        <v/>
      </c>
      <c r="H3685" s="13">
        <f>SUMIFS(Movimentacoes!$G:$G,Movimentacoes!$C:$C,$A3685,Movimentacoes!$E:$E,$C3685,Movimentacoes!$B:$B,"SAIDA_USO")</f>
        <v/>
      </c>
      <c r="I3685" s="13">
        <f>SUMIFS(Movimentacoes!$G:$G,Movimentacoes!$C:$C,$A3685,Movimentacoes!$E:$E,$C3685,Movimentacoes!$B:$B,"SAIDA_DESCARTE")</f>
        <v/>
      </c>
      <c r="J3685" s="13">
        <f>G3685-H3685-I3685</f>
        <v/>
      </c>
      <c r="K3685">
        <f>IF(A3685="","",IF(J3685&lt;=IFERROR(VLOOKUP(A3685,Cadastro_Produtos!$A:$E,5,FALSE),0),"ABAIXO DO MINIMO","OK"))</f>
        <v/>
      </c>
    </row>
    <row r="3686">
      <c r="B3686">
        <f>IFERROR(VLOOKUP(A3686,Cadastro_Produtos!A:B,2,FALSE),"")</f>
        <v/>
      </c>
      <c r="D3686" s="12" t="n"/>
      <c r="E3686" s="13">
        <f>IF(D3686="","",D3686-TODAY())</f>
        <v/>
      </c>
      <c r="F3686">
        <f>IF(D3686="","",IF(E3686&lt;0,"VENCIDO",IF(E3686&lt;=30,"VENCE EM &lt;= 30 DIAS",IF(E3686&lt;=60,"ATENCAO (31-60 DIAS)","OK"))))</f>
        <v/>
      </c>
      <c r="G3686" s="13">
        <f>SUMIFS(Movimentacoes!$G:$G,Movimentacoes!$C:$C,$A3686,Movimentacoes!$E:$E,$C3686,Movimentacoes!$B:$B,"ENTRADA")</f>
        <v/>
      </c>
      <c r="H3686" s="13">
        <f>SUMIFS(Movimentacoes!$G:$G,Movimentacoes!$C:$C,$A3686,Movimentacoes!$E:$E,$C3686,Movimentacoes!$B:$B,"SAIDA_USO")</f>
        <v/>
      </c>
      <c r="I3686" s="13">
        <f>SUMIFS(Movimentacoes!$G:$G,Movimentacoes!$C:$C,$A3686,Movimentacoes!$E:$E,$C3686,Movimentacoes!$B:$B,"SAIDA_DESCARTE")</f>
        <v/>
      </c>
      <c r="J3686" s="13">
        <f>G3686-H3686-I3686</f>
        <v/>
      </c>
      <c r="K3686">
        <f>IF(A3686="","",IF(J3686&lt;=IFERROR(VLOOKUP(A3686,Cadastro_Produtos!$A:$E,5,FALSE),0),"ABAIXO DO MINIMO","OK"))</f>
        <v/>
      </c>
    </row>
    <row r="3687">
      <c r="B3687">
        <f>IFERROR(VLOOKUP(A3687,Cadastro_Produtos!A:B,2,FALSE),"")</f>
        <v/>
      </c>
      <c r="D3687" s="12" t="n"/>
      <c r="E3687" s="13">
        <f>IF(D3687="","",D3687-TODAY())</f>
        <v/>
      </c>
      <c r="F3687">
        <f>IF(D3687="","",IF(E3687&lt;0,"VENCIDO",IF(E3687&lt;=30,"VENCE EM &lt;= 30 DIAS",IF(E3687&lt;=60,"ATENCAO (31-60 DIAS)","OK"))))</f>
        <v/>
      </c>
      <c r="G3687" s="13">
        <f>SUMIFS(Movimentacoes!$G:$G,Movimentacoes!$C:$C,$A3687,Movimentacoes!$E:$E,$C3687,Movimentacoes!$B:$B,"ENTRADA")</f>
        <v/>
      </c>
      <c r="H3687" s="13">
        <f>SUMIFS(Movimentacoes!$G:$G,Movimentacoes!$C:$C,$A3687,Movimentacoes!$E:$E,$C3687,Movimentacoes!$B:$B,"SAIDA_USO")</f>
        <v/>
      </c>
      <c r="I3687" s="13">
        <f>SUMIFS(Movimentacoes!$G:$G,Movimentacoes!$C:$C,$A3687,Movimentacoes!$E:$E,$C3687,Movimentacoes!$B:$B,"SAIDA_DESCARTE")</f>
        <v/>
      </c>
      <c r="J3687" s="13">
        <f>G3687-H3687-I3687</f>
        <v/>
      </c>
      <c r="K3687">
        <f>IF(A3687="","",IF(J3687&lt;=IFERROR(VLOOKUP(A3687,Cadastro_Produtos!$A:$E,5,FALSE),0),"ABAIXO DO MINIMO","OK"))</f>
        <v/>
      </c>
    </row>
    <row r="3688">
      <c r="B3688">
        <f>IFERROR(VLOOKUP(A3688,Cadastro_Produtos!A:B,2,FALSE),"")</f>
        <v/>
      </c>
      <c r="D3688" s="12" t="n"/>
      <c r="E3688" s="13">
        <f>IF(D3688="","",D3688-TODAY())</f>
        <v/>
      </c>
      <c r="F3688">
        <f>IF(D3688="","",IF(E3688&lt;0,"VENCIDO",IF(E3688&lt;=30,"VENCE EM &lt;= 30 DIAS",IF(E3688&lt;=60,"ATENCAO (31-60 DIAS)","OK"))))</f>
        <v/>
      </c>
      <c r="G3688" s="13">
        <f>SUMIFS(Movimentacoes!$G:$G,Movimentacoes!$C:$C,$A3688,Movimentacoes!$E:$E,$C3688,Movimentacoes!$B:$B,"ENTRADA")</f>
        <v/>
      </c>
      <c r="H3688" s="13">
        <f>SUMIFS(Movimentacoes!$G:$G,Movimentacoes!$C:$C,$A3688,Movimentacoes!$E:$E,$C3688,Movimentacoes!$B:$B,"SAIDA_USO")</f>
        <v/>
      </c>
      <c r="I3688" s="13">
        <f>SUMIFS(Movimentacoes!$G:$G,Movimentacoes!$C:$C,$A3688,Movimentacoes!$E:$E,$C3688,Movimentacoes!$B:$B,"SAIDA_DESCARTE")</f>
        <v/>
      </c>
      <c r="J3688" s="13">
        <f>G3688-H3688-I3688</f>
        <v/>
      </c>
      <c r="K3688">
        <f>IF(A3688="","",IF(J3688&lt;=IFERROR(VLOOKUP(A3688,Cadastro_Produtos!$A:$E,5,FALSE),0),"ABAIXO DO MINIMO","OK"))</f>
        <v/>
      </c>
    </row>
    <row r="3689">
      <c r="B3689">
        <f>IFERROR(VLOOKUP(A3689,Cadastro_Produtos!A:B,2,FALSE),"")</f>
        <v/>
      </c>
      <c r="D3689" s="12" t="n"/>
      <c r="E3689" s="13">
        <f>IF(D3689="","",D3689-TODAY())</f>
        <v/>
      </c>
      <c r="F3689">
        <f>IF(D3689="","",IF(E3689&lt;0,"VENCIDO",IF(E3689&lt;=30,"VENCE EM &lt;= 30 DIAS",IF(E3689&lt;=60,"ATENCAO (31-60 DIAS)","OK"))))</f>
        <v/>
      </c>
      <c r="G3689" s="13">
        <f>SUMIFS(Movimentacoes!$G:$G,Movimentacoes!$C:$C,$A3689,Movimentacoes!$E:$E,$C3689,Movimentacoes!$B:$B,"ENTRADA")</f>
        <v/>
      </c>
      <c r="H3689" s="13">
        <f>SUMIFS(Movimentacoes!$G:$G,Movimentacoes!$C:$C,$A3689,Movimentacoes!$E:$E,$C3689,Movimentacoes!$B:$B,"SAIDA_USO")</f>
        <v/>
      </c>
      <c r="I3689" s="13">
        <f>SUMIFS(Movimentacoes!$G:$G,Movimentacoes!$C:$C,$A3689,Movimentacoes!$E:$E,$C3689,Movimentacoes!$B:$B,"SAIDA_DESCARTE")</f>
        <v/>
      </c>
      <c r="J3689" s="13">
        <f>G3689-H3689-I3689</f>
        <v/>
      </c>
      <c r="K3689">
        <f>IF(A3689="","",IF(J3689&lt;=IFERROR(VLOOKUP(A3689,Cadastro_Produtos!$A:$E,5,FALSE),0),"ABAIXO DO MINIMO","OK"))</f>
        <v/>
      </c>
    </row>
    <row r="3690">
      <c r="B3690">
        <f>IFERROR(VLOOKUP(A3690,Cadastro_Produtos!A:B,2,FALSE),"")</f>
        <v/>
      </c>
      <c r="D3690" s="12" t="n"/>
      <c r="E3690" s="13">
        <f>IF(D3690="","",D3690-TODAY())</f>
        <v/>
      </c>
      <c r="F3690">
        <f>IF(D3690="","",IF(E3690&lt;0,"VENCIDO",IF(E3690&lt;=30,"VENCE EM &lt;= 30 DIAS",IF(E3690&lt;=60,"ATENCAO (31-60 DIAS)","OK"))))</f>
        <v/>
      </c>
      <c r="G3690" s="13">
        <f>SUMIFS(Movimentacoes!$G:$G,Movimentacoes!$C:$C,$A3690,Movimentacoes!$E:$E,$C3690,Movimentacoes!$B:$B,"ENTRADA")</f>
        <v/>
      </c>
      <c r="H3690" s="13">
        <f>SUMIFS(Movimentacoes!$G:$G,Movimentacoes!$C:$C,$A3690,Movimentacoes!$E:$E,$C3690,Movimentacoes!$B:$B,"SAIDA_USO")</f>
        <v/>
      </c>
      <c r="I3690" s="13">
        <f>SUMIFS(Movimentacoes!$G:$G,Movimentacoes!$C:$C,$A3690,Movimentacoes!$E:$E,$C3690,Movimentacoes!$B:$B,"SAIDA_DESCARTE")</f>
        <v/>
      </c>
      <c r="J3690" s="13">
        <f>G3690-H3690-I3690</f>
        <v/>
      </c>
      <c r="K3690">
        <f>IF(A3690="","",IF(J3690&lt;=IFERROR(VLOOKUP(A3690,Cadastro_Produtos!$A:$E,5,FALSE),0),"ABAIXO DO MINIMO","OK"))</f>
        <v/>
      </c>
    </row>
    <row r="3691">
      <c r="B3691">
        <f>IFERROR(VLOOKUP(A3691,Cadastro_Produtos!A:B,2,FALSE),"")</f>
        <v/>
      </c>
      <c r="D3691" s="12" t="n"/>
      <c r="E3691" s="13">
        <f>IF(D3691="","",D3691-TODAY())</f>
        <v/>
      </c>
      <c r="F3691">
        <f>IF(D3691="","",IF(E3691&lt;0,"VENCIDO",IF(E3691&lt;=30,"VENCE EM &lt;= 30 DIAS",IF(E3691&lt;=60,"ATENCAO (31-60 DIAS)","OK"))))</f>
        <v/>
      </c>
      <c r="G3691" s="13">
        <f>SUMIFS(Movimentacoes!$G:$G,Movimentacoes!$C:$C,$A3691,Movimentacoes!$E:$E,$C3691,Movimentacoes!$B:$B,"ENTRADA")</f>
        <v/>
      </c>
      <c r="H3691" s="13">
        <f>SUMIFS(Movimentacoes!$G:$G,Movimentacoes!$C:$C,$A3691,Movimentacoes!$E:$E,$C3691,Movimentacoes!$B:$B,"SAIDA_USO")</f>
        <v/>
      </c>
      <c r="I3691" s="13">
        <f>SUMIFS(Movimentacoes!$G:$G,Movimentacoes!$C:$C,$A3691,Movimentacoes!$E:$E,$C3691,Movimentacoes!$B:$B,"SAIDA_DESCARTE")</f>
        <v/>
      </c>
      <c r="J3691" s="13">
        <f>G3691-H3691-I3691</f>
        <v/>
      </c>
      <c r="K3691">
        <f>IF(A3691="","",IF(J3691&lt;=IFERROR(VLOOKUP(A3691,Cadastro_Produtos!$A:$E,5,FALSE),0),"ABAIXO DO MINIMO","OK"))</f>
        <v/>
      </c>
    </row>
    <row r="3692">
      <c r="B3692">
        <f>IFERROR(VLOOKUP(A3692,Cadastro_Produtos!A:B,2,FALSE),"")</f>
        <v/>
      </c>
      <c r="D3692" s="12" t="n"/>
      <c r="E3692" s="13">
        <f>IF(D3692="","",D3692-TODAY())</f>
        <v/>
      </c>
      <c r="F3692">
        <f>IF(D3692="","",IF(E3692&lt;0,"VENCIDO",IF(E3692&lt;=30,"VENCE EM &lt;= 30 DIAS",IF(E3692&lt;=60,"ATENCAO (31-60 DIAS)","OK"))))</f>
        <v/>
      </c>
      <c r="G3692" s="13">
        <f>SUMIFS(Movimentacoes!$G:$G,Movimentacoes!$C:$C,$A3692,Movimentacoes!$E:$E,$C3692,Movimentacoes!$B:$B,"ENTRADA")</f>
        <v/>
      </c>
      <c r="H3692" s="13">
        <f>SUMIFS(Movimentacoes!$G:$G,Movimentacoes!$C:$C,$A3692,Movimentacoes!$E:$E,$C3692,Movimentacoes!$B:$B,"SAIDA_USO")</f>
        <v/>
      </c>
      <c r="I3692" s="13">
        <f>SUMIFS(Movimentacoes!$G:$G,Movimentacoes!$C:$C,$A3692,Movimentacoes!$E:$E,$C3692,Movimentacoes!$B:$B,"SAIDA_DESCARTE")</f>
        <v/>
      </c>
      <c r="J3692" s="13">
        <f>G3692-H3692-I3692</f>
        <v/>
      </c>
      <c r="K3692">
        <f>IF(A3692="","",IF(J3692&lt;=IFERROR(VLOOKUP(A3692,Cadastro_Produtos!$A:$E,5,FALSE),0),"ABAIXO DO MINIMO","OK"))</f>
        <v/>
      </c>
    </row>
    <row r="3693">
      <c r="B3693">
        <f>IFERROR(VLOOKUP(A3693,Cadastro_Produtos!A:B,2,FALSE),"")</f>
        <v/>
      </c>
      <c r="D3693" s="12" t="n"/>
      <c r="E3693" s="13">
        <f>IF(D3693="","",D3693-TODAY())</f>
        <v/>
      </c>
      <c r="F3693">
        <f>IF(D3693="","",IF(E3693&lt;0,"VENCIDO",IF(E3693&lt;=30,"VENCE EM &lt;= 30 DIAS",IF(E3693&lt;=60,"ATENCAO (31-60 DIAS)","OK"))))</f>
        <v/>
      </c>
      <c r="G3693" s="13">
        <f>SUMIFS(Movimentacoes!$G:$G,Movimentacoes!$C:$C,$A3693,Movimentacoes!$E:$E,$C3693,Movimentacoes!$B:$B,"ENTRADA")</f>
        <v/>
      </c>
      <c r="H3693" s="13">
        <f>SUMIFS(Movimentacoes!$G:$G,Movimentacoes!$C:$C,$A3693,Movimentacoes!$E:$E,$C3693,Movimentacoes!$B:$B,"SAIDA_USO")</f>
        <v/>
      </c>
      <c r="I3693" s="13">
        <f>SUMIFS(Movimentacoes!$G:$G,Movimentacoes!$C:$C,$A3693,Movimentacoes!$E:$E,$C3693,Movimentacoes!$B:$B,"SAIDA_DESCARTE")</f>
        <v/>
      </c>
      <c r="J3693" s="13">
        <f>G3693-H3693-I3693</f>
        <v/>
      </c>
      <c r="K3693">
        <f>IF(A3693="","",IF(J3693&lt;=IFERROR(VLOOKUP(A3693,Cadastro_Produtos!$A:$E,5,FALSE),0),"ABAIXO DO MINIMO","OK"))</f>
        <v/>
      </c>
    </row>
    <row r="3694">
      <c r="B3694">
        <f>IFERROR(VLOOKUP(A3694,Cadastro_Produtos!A:B,2,FALSE),"")</f>
        <v/>
      </c>
      <c r="D3694" s="12" t="n"/>
      <c r="E3694" s="13">
        <f>IF(D3694="","",D3694-TODAY())</f>
        <v/>
      </c>
      <c r="F3694">
        <f>IF(D3694="","",IF(E3694&lt;0,"VENCIDO",IF(E3694&lt;=30,"VENCE EM &lt;= 30 DIAS",IF(E3694&lt;=60,"ATENCAO (31-60 DIAS)","OK"))))</f>
        <v/>
      </c>
      <c r="G3694" s="13">
        <f>SUMIFS(Movimentacoes!$G:$G,Movimentacoes!$C:$C,$A3694,Movimentacoes!$E:$E,$C3694,Movimentacoes!$B:$B,"ENTRADA")</f>
        <v/>
      </c>
      <c r="H3694" s="13">
        <f>SUMIFS(Movimentacoes!$G:$G,Movimentacoes!$C:$C,$A3694,Movimentacoes!$E:$E,$C3694,Movimentacoes!$B:$B,"SAIDA_USO")</f>
        <v/>
      </c>
      <c r="I3694" s="13">
        <f>SUMIFS(Movimentacoes!$G:$G,Movimentacoes!$C:$C,$A3694,Movimentacoes!$E:$E,$C3694,Movimentacoes!$B:$B,"SAIDA_DESCARTE")</f>
        <v/>
      </c>
      <c r="J3694" s="13">
        <f>G3694-H3694-I3694</f>
        <v/>
      </c>
      <c r="K3694">
        <f>IF(A3694="","",IF(J3694&lt;=IFERROR(VLOOKUP(A3694,Cadastro_Produtos!$A:$E,5,FALSE),0),"ABAIXO DO MINIMO","OK"))</f>
        <v/>
      </c>
    </row>
    <row r="3695">
      <c r="B3695">
        <f>IFERROR(VLOOKUP(A3695,Cadastro_Produtos!A:B,2,FALSE),"")</f>
        <v/>
      </c>
      <c r="D3695" s="12" t="n"/>
      <c r="E3695" s="13">
        <f>IF(D3695="","",D3695-TODAY())</f>
        <v/>
      </c>
      <c r="F3695">
        <f>IF(D3695="","",IF(E3695&lt;0,"VENCIDO",IF(E3695&lt;=30,"VENCE EM &lt;= 30 DIAS",IF(E3695&lt;=60,"ATENCAO (31-60 DIAS)","OK"))))</f>
        <v/>
      </c>
      <c r="G3695" s="13">
        <f>SUMIFS(Movimentacoes!$G:$G,Movimentacoes!$C:$C,$A3695,Movimentacoes!$E:$E,$C3695,Movimentacoes!$B:$B,"ENTRADA")</f>
        <v/>
      </c>
      <c r="H3695" s="13">
        <f>SUMIFS(Movimentacoes!$G:$G,Movimentacoes!$C:$C,$A3695,Movimentacoes!$E:$E,$C3695,Movimentacoes!$B:$B,"SAIDA_USO")</f>
        <v/>
      </c>
      <c r="I3695" s="13">
        <f>SUMIFS(Movimentacoes!$G:$G,Movimentacoes!$C:$C,$A3695,Movimentacoes!$E:$E,$C3695,Movimentacoes!$B:$B,"SAIDA_DESCARTE")</f>
        <v/>
      </c>
      <c r="J3695" s="13">
        <f>G3695-H3695-I3695</f>
        <v/>
      </c>
      <c r="K3695">
        <f>IF(A3695="","",IF(J3695&lt;=IFERROR(VLOOKUP(A3695,Cadastro_Produtos!$A:$E,5,FALSE),0),"ABAIXO DO MINIMO","OK"))</f>
        <v/>
      </c>
    </row>
    <row r="3696">
      <c r="B3696">
        <f>IFERROR(VLOOKUP(A3696,Cadastro_Produtos!A:B,2,FALSE),"")</f>
        <v/>
      </c>
      <c r="D3696" s="12" t="n"/>
      <c r="E3696" s="13">
        <f>IF(D3696="","",D3696-TODAY())</f>
        <v/>
      </c>
      <c r="F3696">
        <f>IF(D3696="","",IF(E3696&lt;0,"VENCIDO",IF(E3696&lt;=30,"VENCE EM &lt;= 30 DIAS",IF(E3696&lt;=60,"ATENCAO (31-60 DIAS)","OK"))))</f>
        <v/>
      </c>
      <c r="G3696" s="13">
        <f>SUMIFS(Movimentacoes!$G:$G,Movimentacoes!$C:$C,$A3696,Movimentacoes!$E:$E,$C3696,Movimentacoes!$B:$B,"ENTRADA")</f>
        <v/>
      </c>
      <c r="H3696" s="13">
        <f>SUMIFS(Movimentacoes!$G:$G,Movimentacoes!$C:$C,$A3696,Movimentacoes!$E:$E,$C3696,Movimentacoes!$B:$B,"SAIDA_USO")</f>
        <v/>
      </c>
      <c r="I3696" s="13">
        <f>SUMIFS(Movimentacoes!$G:$G,Movimentacoes!$C:$C,$A3696,Movimentacoes!$E:$E,$C3696,Movimentacoes!$B:$B,"SAIDA_DESCARTE")</f>
        <v/>
      </c>
      <c r="J3696" s="13">
        <f>G3696-H3696-I3696</f>
        <v/>
      </c>
      <c r="K3696">
        <f>IF(A3696="","",IF(J3696&lt;=IFERROR(VLOOKUP(A3696,Cadastro_Produtos!$A:$E,5,FALSE),0),"ABAIXO DO MINIMO","OK"))</f>
        <v/>
      </c>
    </row>
    <row r="3697">
      <c r="B3697">
        <f>IFERROR(VLOOKUP(A3697,Cadastro_Produtos!A:B,2,FALSE),"")</f>
        <v/>
      </c>
      <c r="D3697" s="12" t="n"/>
      <c r="E3697" s="13">
        <f>IF(D3697="","",D3697-TODAY())</f>
        <v/>
      </c>
      <c r="F3697">
        <f>IF(D3697="","",IF(E3697&lt;0,"VENCIDO",IF(E3697&lt;=30,"VENCE EM &lt;= 30 DIAS",IF(E3697&lt;=60,"ATENCAO (31-60 DIAS)","OK"))))</f>
        <v/>
      </c>
      <c r="G3697" s="13">
        <f>SUMIFS(Movimentacoes!$G:$G,Movimentacoes!$C:$C,$A3697,Movimentacoes!$E:$E,$C3697,Movimentacoes!$B:$B,"ENTRADA")</f>
        <v/>
      </c>
      <c r="H3697" s="13">
        <f>SUMIFS(Movimentacoes!$G:$G,Movimentacoes!$C:$C,$A3697,Movimentacoes!$E:$E,$C3697,Movimentacoes!$B:$B,"SAIDA_USO")</f>
        <v/>
      </c>
      <c r="I3697" s="13">
        <f>SUMIFS(Movimentacoes!$G:$G,Movimentacoes!$C:$C,$A3697,Movimentacoes!$E:$E,$C3697,Movimentacoes!$B:$B,"SAIDA_DESCARTE")</f>
        <v/>
      </c>
      <c r="J3697" s="13">
        <f>G3697-H3697-I3697</f>
        <v/>
      </c>
      <c r="K3697">
        <f>IF(A3697="","",IF(J3697&lt;=IFERROR(VLOOKUP(A3697,Cadastro_Produtos!$A:$E,5,FALSE),0),"ABAIXO DO MINIMO","OK"))</f>
        <v/>
      </c>
    </row>
    <row r="3698">
      <c r="B3698">
        <f>IFERROR(VLOOKUP(A3698,Cadastro_Produtos!A:B,2,FALSE),"")</f>
        <v/>
      </c>
      <c r="D3698" s="12" t="n"/>
      <c r="E3698" s="13">
        <f>IF(D3698="","",D3698-TODAY())</f>
        <v/>
      </c>
      <c r="F3698">
        <f>IF(D3698="","",IF(E3698&lt;0,"VENCIDO",IF(E3698&lt;=30,"VENCE EM &lt;= 30 DIAS",IF(E3698&lt;=60,"ATENCAO (31-60 DIAS)","OK"))))</f>
        <v/>
      </c>
      <c r="G3698" s="13">
        <f>SUMIFS(Movimentacoes!$G:$G,Movimentacoes!$C:$C,$A3698,Movimentacoes!$E:$E,$C3698,Movimentacoes!$B:$B,"ENTRADA")</f>
        <v/>
      </c>
      <c r="H3698" s="13">
        <f>SUMIFS(Movimentacoes!$G:$G,Movimentacoes!$C:$C,$A3698,Movimentacoes!$E:$E,$C3698,Movimentacoes!$B:$B,"SAIDA_USO")</f>
        <v/>
      </c>
      <c r="I3698" s="13">
        <f>SUMIFS(Movimentacoes!$G:$G,Movimentacoes!$C:$C,$A3698,Movimentacoes!$E:$E,$C3698,Movimentacoes!$B:$B,"SAIDA_DESCARTE")</f>
        <v/>
      </c>
      <c r="J3698" s="13">
        <f>G3698-H3698-I3698</f>
        <v/>
      </c>
      <c r="K3698">
        <f>IF(A3698="","",IF(J3698&lt;=IFERROR(VLOOKUP(A3698,Cadastro_Produtos!$A:$E,5,FALSE),0),"ABAIXO DO MINIMO","OK"))</f>
        <v/>
      </c>
    </row>
    <row r="3699">
      <c r="B3699">
        <f>IFERROR(VLOOKUP(A3699,Cadastro_Produtos!A:B,2,FALSE),"")</f>
        <v/>
      </c>
      <c r="D3699" s="12" t="n"/>
      <c r="E3699" s="13">
        <f>IF(D3699="","",D3699-TODAY())</f>
        <v/>
      </c>
      <c r="F3699">
        <f>IF(D3699="","",IF(E3699&lt;0,"VENCIDO",IF(E3699&lt;=30,"VENCE EM &lt;= 30 DIAS",IF(E3699&lt;=60,"ATENCAO (31-60 DIAS)","OK"))))</f>
        <v/>
      </c>
      <c r="G3699" s="13">
        <f>SUMIFS(Movimentacoes!$G:$G,Movimentacoes!$C:$C,$A3699,Movimentacoes!$E:$E,$C3699,Movimentacoes!$B:$B,"ENTRADA")</f>
        <v/>
      </c>
      <c r="H3699" s="13">
        <f>SUMIFS(Movimentacoes!$G:$G,Movimentacoes!$C:$C,$A3699,Movimentacoes!$E:$E,$C3699,Movimentacoes!$B:$B,"SAIDA_USO")</f>
        <v/>
      </c>
      <c r="I3699" s="13">
        <f>SUMIFS(Movimentacoes!$G:$G,Movimentacoes!$C:$C,$A3699,Movimentacoes!$E:$E,$C3699,Movimentacoes!$B:$B,"SAIDA_DESCARTE")</f>
        <v/>
      </c>
      <c r="J3699" s="13">
        <f>G3699-H3699-I3699</f>
        <v/>
      </c>
      <c r="K3699">
        <f>IF(A3699="","",IF(J3699&lt;=IFERROR(VLOOKUP(A3699,Cadastro_Produtos!$A:$E,5,FALSE),0),"ABAIXO DO MINIMO","OK"))</f>
        <v/>
      </c>
    </row>
    <row r="3700">
      <c r="B3700">
        <f>IFERROR(VLOOKUP(A3700,Cadastro_Produtos!A:B,2,FALSE),"")</f>
        <v/>
      </c>
      <c r="D3700" s="12" t="n"/>
      <c r="E3700" s="13">
        <f>IF(D3700="","",D3700-TODAY())</f>
        <v/>
      </c>
      <c r="F3700">
        <f>IF(D3700="","",IF(E3700&lt;0,"VENCIDO",IF(E3700&lt;=30,"VENCE EM &lt;= 30 DIAS",IF(E3700&lt;=60,"ATENCAO (31-60 DIAS)","OK"))))</f>
        <v/>
      </c>
      <c r="G3700" s="13">
        <f>SUMIFS(Movimentacoes!$G:$G,Movimentacoes!$C:$C,$A3700,Movimentacoes!$E:$E,$C3700,Movimentacoes!$B:$B,"ENTRADA")</f>
        <v/>
      </c>
      <c r="H3700" s="13">
        <f>SUMIFS(Movimentacoes!$G:$G,Movimentacoes!$C:$C,$A3700,Movimentacoes!$E:$E,$C3700,Movimentacoes!$B:$B,"SAIDA_USO")</f>
        <v/>
      </c>
      <c r="I3700" s="13">
        <f>SUMIFS(Movimentacoes!$G:$G,Movimentacoes!$C:$C,$A3700,Movimentacoes!$E:$E,$C3700,Movimentacoes!$B:$B,"SAIDA_DESCARTE")</f>
        <v/>
      </c>
      <c r="J3700" s="13">
        <f>G3700-H3700-I3700</f>
        <v/>
      </c>
      <c r="K3700">
        <f>IF(A3700="","",IF(J3700&lt;=IFERROR(VLOOKUP(A3700,Cadastro_Produtos!$A:$E,5,FALSE),0),"ABAIXO DO MINIMO","OK"))</f>
        <v/>
      </c>
    </row>
    <row r="3701">
      <c r="B3701">
        <f>IFERROR(VLOOKUP(A3701,Cadastro_Produtos!A:B,2,FALSE),"")</f>
        <v/>
      </c>
      <c r="D3701" s="12" t="n"/>
      <c r="E3701" s="13">
        <f>IF(D3701="","",D3701-TODAY())</f>
        <v/>
      </c>
      <c r="F3701">
        <f>IF(D3701="","",IF(E3701&lt;0,"VENCIDO",IF(E3701&lt;=30,"VENCE EM &lt;= 30 DIAS",IF(E3701&lt;=60,"ATENCAO (31-60 DIAS)","OK"))))</f>
        <v/>
      </c>
      <c r="G3701" s="13">
        <f>SUMIFS(Movimentacoes!$G:$G,Movimentacoes!$C:$C,$A3701,Movimentacoes!$E:$E,$C3701,Movimentacoes!$B:$B,"ENTRADA")</f>
        <v/>
      </c>
      <c r="H3701" s="13">
        <f>SUMIFS(Movimentacoes!$G:$G,Movimentacoes!$C:$C,$A3701,Movimentacoes!$E:$E,$C3701,Movimentacoes!$B:$B,"SAIDA_USO")</f>
        <v/>
      </c>
      <c r="I3701" s="13">
        <f>SUMIFS(Movimentacoes!$G:$G,Movimentacoes!$C:$C,$A3701,Movimentacoes!$E:$E,$C3701,Movimentacoes!$B:$B,"SAIDA_DESCARTE")</f>
        <v/>
      </c>
      <c r="J3701" s="13">
        <f>G3701-H3701-I3701</f>
        <v/>
      </c>
      <c r="K3701">
        <f>IF(A3701="","",IF(J3701&lt;=IFERROR(VLOOKUP(A3701,Cadastro_Produtos!$A:$E,5,FALSE),0),"ABAIXO DO MINIMO","OK"))</f>
        <v/>
      </c>
    </row>
    <row r="3702">
      <c r="B3702">
        <f>IFERROR(VLOOKUP(A3702,Cadastro_Produtos!A:B,2,FALSE),"")</f>
        <v/>
      </c>
      <c r="D3702" s="12" t="n"/>
      <c r="E3702" s="13">
        <f>IF(D3702="","",D3702-TODAY())</f>
        <v/>
      </c>
      <c r="F3702">
        <f>IF(D3702="","",IF(E3702&lt;0,"VENCIDO",IF(E3702&lt;=30,"VENCE EM &lt;= 30 DIAS",IF(E3702&lt;=60,"ATENCAO (31-60 DIAS)","OK"))))</f>
        <v/>
      </c>
      <c r="G3702" s="13">
        <f>SUMIFS(Movimentacoes!$G:$G,Movimentacoes!$C:$C,$A3702,Movimentacoes!$E:$E,$C3702,Movimentacoes!$B:$B,"ENTRADA")</f>
        <v/>
      </c>
      <c r="H3702" s="13">
        <f>SUMIFS(Movimentacoes!$G:$G,Movimentacoes!$C:$C,$A3702,Movimentacoes!$E:$E,$C3702,Movimentacoes!$B:$B,"SAIDA_USO")</f>
        <v/>
      </c>
      <c r="I3702" s="13">
        <f>SUMIFS(Movimentacoes!$G:$G,Movimentacoes!$C:$C,$A3702,Movimentacoes!$E:$E,$C3702,Movimentacoes!$B:$B,"SAIDA_DESCARTE")</f>
        <v/>
      </c>
      <c r="J3702" s="13">
        <f>G3702-H3702-I3702</f>
        <v/>
      </c>
      <c r="K3702">
        <f>IF(A3702="","",IF(J3702&lt;=IFERROR(VLOOKUP(A3702,Cadastro_Produtos!$A:$E,5,FALSE),0),"ABAIXO DO MINIMO","OK"))</f>
        <v/>
      </c>
    </row>
    <row r="3703">
      <c r="B3703">
        <f>IFERROR(VLOOKUP(A3703,Cadastro_Produtos!A:B,2,FALSE),"")</f>
        <v/>
      </c>
      <c r="D3703" s="12" t="n"/>
      <c r="E3703" s="13">
        <f>IF(D3703="","",D3703-TODAY())</f>
        <v/>
      </c>
      <c r="F3703">
        <f>IF(D3703="","",IF(E3703&lt;0,"VENCIDO",IF(E3703&lt;=30,"VENCE EM &lt;= 30 DIAS",IF(E3703&lt;=60,"ATENCAO (31-60 DIAS)","OK"))))</f>
        <v/>
      </c>
      <c r="G3703" s="13">
        <f>SUMIFS(Movimentacoes!$G:$G,Movimentacoes!$C:$C,$A3703,Movimentacoes!$E:$E,$C3703,Movimentacoes!$B:$B,"ENTRADA")</f>
        <v/>
      </c>
      <c r="H3703" s="13">
        <f>SUMIFS(Movimentacoes!$G:$G,Movimentacoes!$C:$C,$A3703,Movimentacoes!$E:$E,$C3703,Movimentacoes!$B:$B,"SAIDA_USO")</f>
        <v/>
      </c>
      <c r="I3703" s="13">
        <f>SUMIFS(Movimentacoes!$G:$G,Movimentacoes!$C:$C,$A3703,Movimentacoes!$E:$E,$C3703,Movimentacoes!$B:$B,"SAIDA_DESCARTE")</f>
        <v/>
      </c>
      <c r="J3703" s="13">
        <f>G3703-H3703-I3703</f>
        <v/>
      </c>
      <c r="K3703">
        <f>IF(A3703="","",IF(J3703&lt;=IFERROR(VLOOKUP(A3703,Cadastro_Produtos!$A:$E,5,FALSE),0),"ABAIXO DO MINIMO","OK"))</f>
        <v/>
      </c>
    </row>
    <row r="3704">
      <c r="B3704">
        <f>IFERROR(VLOOKUP(A3704,Cadastro_Produtos!A:B,2,FALSE),"")</f>
        <v/>
      </c>
      <c r="D3704" s="12" t="n"/>
      <c r="E3704" s="13">
        <f>IF(D3704="","",D3704-TODAY())</f>
        <v/>
      </c>
      <c r="F3704">
        <f>IF(D3704="","",IF(E3704&lt;0,"VENCIDO",IF(E3704&lt;=30,"VENCE EM &lt;= 30 DIAS",IF(E3704&lt;=60,"ATENCAO (31-60 DIAS)","OK"))))</f>
        <v/>
      </c>
      <c r="G3704" s="13">
        <f>SUMIFS(Movimentacoes!$G:$G,Movimentacoes!$C:$C,$A3704,Movimentacoes!$E:$E,$C3704,Movimentacoes!$B:$B,"ENTRADA")</f>
        <v/>
      </c>
      <c r="H3704" s="13">
        <f>SUMIFS(Movimentacoes!$G:$G,Movimentacoes!$C:$C,$A3704,Movimentacoes!$E:$E,$C3704,Movimentacoes!$B:$B,"SAIDA_USO")</f>
        <v/>
      </c>
      <c r="I3704" s="13">
        <f>SUMIFS(Movimentacoes!$G:$G,Movimentacoes!$C:$C,$A3704,Movimentacoes!$E:$E,$C3704,Movimentacoes!$B:$B,"SAIDA_DESCARTE")</f>
        <v/>
      </c>
      <c r="J3704" s="13">
        <f>G3704-H3704-I3704</f>
        <v/>
      </c>
      <c r="K3704">
        <f>IF(A3704="","",IF(J3704&lt;=IFERROR(VLOOKUP(A3704,Cadastro_Produtos!$A:$E,5,FALSE),0),"ABAIXO DO MINIMO","OK"))</f>
        <v/>
      </c>
    </row>
    <row r="3705">
      <c r="B3705">
        <f>IFERROR(VLOOKUP(A3705,Cadastro_Produtos!A:B,2,FALSE),"")</f>
        <v/>
      </c>
      <c r="D3705" s="12" t="n"/>
      <c r="E3705" s="13">
        <f>IF(D3705="","",D3705-TODAY())</f>
        <v/>
      </c>
      <c r="F3705">
        <f>IF(D3705="","",IF(E3705&lt;0,"VENCIDO",IF(E3705&lt;=30,"VENCE EM &lt;= 30 DIAS",IF(E3705&lt;=60,"ATENCAO (31-60 DIAS)","OK"))))</f>
        <v/>
      </c>
      <c r="G3705" s="13">
        <f>SUMIFS(Movimentacoes!$G:$G,Movimentacoes!$C:$C,$A3705,Movimentacoes!$E:$E,$C3705,Movimentacoes!$B:$B,"ENTRADA")</f>
        <v/>
      </c>
      <c r="H3705" s="13">
        <f>SUMIFS(Movimentacoes!$G:$G,Movimentacoes!$C:$C,$A3705,Movimentacoes!$E:$E,$C3705,Movimentacoes!$B:$B,"SAIDA_USO")</f>
        <v/>
      </c>
      <c r="I3705" s="13">
        <f>SUMIFS(Movimentacoes!$G:$G,Movimentacoes!$C:$C,$A3705,Movimentacoes!$E:$E,$C3705,Movimentacoes!$B:$B,"SAIDA_DESCARTE")</f>
        <v/>
      </c>
      <c r="J3705" s="13">
        <f>G3705-H3705-I3705</f>
        <v/>
      </c>
      <c r="K3705">
        <f>IF(A3705="","",IF(J3705&lt;=IFERROR(VLOOKUP(A3705,Cadastro_Produtos!$A:$E,5,FALSE),0),"ABAIXO DO MINIMO","OK"))</f>
        <v/>
      </c>
    </row>
    <row r="3706">
      <c r="B3706">
        <f>IFERROR(VLOOKUP(A3706,Cadastro_Produtos!A:B,2,FALSE),"")</f>
        <v/>
      </c>
      <c r="D3706" s="12" t="n"/>
      <c r="E3706" s="13">
        <f>IF(D3706="","",D3706-TODAY())</f>
        <v/>
      </c>
      <c r="F3706">
        <f>IF(D3706="","",IF(E3706&lt;0,"VENCIDO",IF(E3706&lt;=30,"VENCE EM &lt;= 30 DIAS",IF(E3706&lt;=60,"ATENCAO (31-60 DIAS)","OK"))))</f>
        <v/>
      </c>
      <c r="G3706" s="13">
        <f>SUMIFS(Movimentacoes!$G:$G,Movimentacoes!$C:$C,$A3706,Movimentacoes!$E:$E,$C3706,Movimentacoes!$B:$B,"ENTRADA")</f>
        <v/>
      </c>
      <c r="H3706" s="13">
        <f>SUMIFS(Movimentacoes!$G:$G,Movimentacoes!$C:$C,$A3706,Movimentacoes!$E:$E,$C3706,Movimentacoes!$B:$B,"SAIDA_USO")</f>
        <v/>
      </c>
      <c r="I3706" s="13">
        <f>SUMIFS(Movimentacoes!$G:$G,Movimentacoes!$C:$C,$A3706,Movimentacoes!$E:$E,$C3706,Movimentacoes!$B:$B,"SAIDA_DESCARTE")</f>
        <v/>
      </c>
      <c r="J3706" s="13">
        <f>G3706-H3706-I3706</f>
        <v/>
      </c>
      <c r="K3706">
        <f>IF(A3706="","",IF(J3706&lt;=IFERROR(VLOOKUP(A3706,Cadastro_Produtos!$A:$E,5,FALSE),0),"ABAIXO DO MINIMO","OK"))</f>
        <v/>
      </c>
    </row>
    <row r="3707">
      <c r="B3707">
        <f>IFERROR(VLOOKUP(A3707,Cadastro_Produtos!A:B,2,FALSE),"")</f>
        <v/>
      </c>
      <c r="D3707" s="12" t="n"/>
      <c r="E3707" s="13">
        <f>IF(D3707="","",D3707-TODAY())</f>
        <v/>
      </c>
      <c r="F3707">
        <f>IF(D3707="","",IF(E3707&lt;0,"VENCIDO",IF(E3707&lt;=30,"VENCE EM &lt;= 30 DIAS",IF(E3707&lt;=60,"ATENCAO (31-60 DIAS)","OK"))))</f>
        <v/>
      </c>
      <c r="G3707" s="13">
        <f>SUMIFS(Movimentacoes!$G:$G,Movimentacoes!$C:$C,$A3707,Movimentacoes!$E:$E,$C3707,Movimentacoes!$B:$B,"ENTRADA")</f>
        <v/>
      </c>
      <c r="H3707" s="13">
        <f>SUMIFS(Movimentacoes!$G:$G,Movimentacoes!$C:$C,$A3707,Movimentacoes!$E:$E,$C3707,Movimentacoes!$B:$B,"SAIDA_USO")</f>
        <v/>
      </c>
      <c r="I3707" s="13">
        <f>SUMIFS(Movimentacoes!$G:$G,Movimentacoes!$C:$C,$A3707,Movimentacoes!$E:$E,$C3707,Movimentacoes!$B:$B,"SAIDA_DESCARTE")</f>
        <v/>
      </c>
      <c r="J3707" s="13">
        <f>G3707-H3707-I3707</f>
        <v/>
      </c>
      <c r="K3707">
        <f>IF(A3707="","",IF(J3707&lt;=IFERROR(VLOOKUP(A3707,Cadastro_Produtos!$A:$E,5,FALSE),0),"ABAIXO DO MINIMO","OK"))</f>
        <v/>
      </c>
    </row>
    <row r="3708">
      <c r="B3708">
        <f>IFERROR(VLOOKUP(A3708,Cadastro_Produtos!A:B,2,FALSE),"")</f>
        <v/>
      </c>
      <c r="D3708" s="12" t="n"/>
      <c r="E3708" s="13">
        <f>IF(D3708="","",D3708-TODAY())</f>
        <v/>
      </c>
      <c r="F3708">
        <f>IF(D3708="","",IF(E3708&lt;0,"VENCIDO",IF(E3708&lt;=30,"VENCE EM &lt;= 30 DIAS",IF(E3708&lt;=60,"ATENCAO (31-60 DIAS)","OK"))))</f>
        <v/>
      </c>
      <c r="G3708" s="13">
        <f>SUMIFS(Movimentacoes!$G:$G,Movimentacoes!$C:$C,$A3708,Movimentacoes!$E:$E,$C3708,Movimentacoes!$B:$B,"ENTRADA")</f>
        <v/>
      </c>
      <c r="H3708" s="13">
        <f>SUMIFS(Movimentacoes!$G:$G,Movimentacoes!$C:$C,$A3708,Movimentacoes!$E:$E,$C3708,Movimentacoes!$B:$B,"SAIDA_USO")</f>
        <v/>
      </c>
      <c r="I3708" s="13">
        <f>SUMIFS(Movimentacoes!$G:$G,Movimentacoes!$C:$C,$A3708,Movimentacoes!$E:$E,$C3708,Movimentacoes!$B:$B,"SAIDA_DESCARTE")</f>
        <v/>
      </c>
      <c r="J3708" s="13">
        <f>G3708-H3708-I3708</f>
        <v/>
      </c>
      <c r="K3708">
        <f>IF(A3708="","",IF(J3708&lt;=IFERROR(VLOOKUP(A3708,Cadastro_Produtos!$A:$E,5,FALSE),0),"ABAIXO DO MINIMO","OK"))</f>
        <v/>
      </c>
    </row>
    <row r="3709">
      <c r="B3709">
        <f>IFERROR(VLOOKUP(A3709,Cadastro_Produtos!A:B,2,FALSE),"")</f>
        <v/>
      </c>
      <c r="D3709" s="12" t="n"/>
      <c r="E3709" s="13">
        <f>IF(D3709="","",D3709-TODAY())</f>
        <v/>
      </c>
      <c r="F3709">
        <f>IF(D3709="","",IF(E3709&lt;0,"VENCIDO",IF(E3709&lt;=30,"VENCE EM &lt;= 30 DIAS",IF(E3709&lt;=60,"ATENCAO (31-60 DIAS)","OK"))))</f>
        <v/>
      </c>
      <c r="G3709" s="13">
        <f>SUMIFS(Movimentacoes!$G:$G,Movimentacoes!$C:$C,$A3709,Movimentacoes!$E:$E,$C3709,Movimentacoes!$B:$B,"ENTRADA")</f>
        <v/>
      </c>
      <c r="H3709" s="13">
        <f>SUMIFS(Movimentacoes!$G:$G,Movimentacoes!$C:$C,$A3709,Movimentacoes!$E:$E,$C3709,Movimentacoes!$B:$B,"SAIDA_USO")</f>
        <v/>
      </c>
      <c r="I3709" s="13">
        <f>SUMIFS(Movimentacoes!$G:$G,Movimentacoes!$C:$C,$A3709,Movimentacoes!$E:$E,$C3709,Movimentacoes!$B:$B,"SAIDA_DESCARTE")</f>
        <v/>
      </c>
      <c r="J3709" s="13">
        <f>G3709-H3709-I3709</f>
        <v/>
      </c>
      <c r="K3709">
        <f>IF(A3709="","",IF(J3709&lt;=IFERROR(VLOOKUP(A3709,Cadastro_Produtos!$A:$E,5,FALSE),0),"ABAIXO DO MINIMO","OK"))</f>
        <v/>
      </c>
    </row>
    <row r="3710">
      <c r="B3710">
        <f>IFERROR(VLOOKUP(A3710,Cadastro_Produtos!A:B,2,FALSE),"")</f>
        <v/>
      </c>
      <c r="D3710" s="12" t="n"/>
      <c r="E3710" s="13">
        <f>IF(D3710="","",D3710-TODAY())</f>
        <v/>
      </c>
      <c r="F3710">
        <f>IF(D3710="","",IF(E3710&lt;0,"VENCIDO",IF(E3710&lt;=30,"VENCE EM &lt;= 30 DIAS",IF(E3710&lt;=60,"ATENCAO (31-60 DIAS)","OK"))))</f>
        <v/>
      </c>
      <c r="G3710" s="13">
        <f>SUMIFS(Movimentacoes!$G:$G,Movimentacoes!$C:$C,$A3710,Movimentacoes!$E:$E,$C3710,Movimentacoes!$B:$B,"ENTRADA")</f>
        <v/>
      </c>
      <c r="H3710" s="13">
        <f>SUMIFS(Movimentacoes!$G:$G,Movimentacoes!$C:$C,$A3710,Movimentacoes!$E:$E,$C3710,Movimentacoes!$B:$B,"SAIDA_USO")</f>
        <v/>
      </c>
      <c r="I3710" s="13">
        <f>SUMIFS(Movimentacoes!$G:$G,Movimentacoes!$C:$C,$A3710,Movimentacoes!$E:$E,$C3710,Movimentacoes!$B:$B,"SAIDA_DESCARTE")</f>
        <v/>
      </c>
      <c r="J3710" s="13">
        <f>G3710-H3710-I3710</f>
        <v/>
      </c>
      <c r="K3710">
        <f>IF(A3710="","",IF(J3710&lt;=IFERROR(VLOOKUP(A3710,Cadastro_Produtos!$A:$E,5,FALSE),0),"ABAIXO DO MINIMO","OK"))</f>
        <v/>
      </c>
    </row>
    <row r="3711">
      <c r="B3711">
        <f>IFERROR(VLOOKUP(A3711,Cadastro_Produtos!A:B,2,FALSE),"")</f>
        <v/>
      </c>
      <c r="D3711" s="12" t="n"/>
      <c r="E3711" s="13">
        <f>IF(D3711="","",D3711-TODAY())</f>
        <v/>
      </c>
      <c r="F3711">
        <f>IF(D3711="","",IF(E3711&lt;0,"VENCIDO",IF(E3711&lt;=30,"VENCE EM &lt;= 30 DIAS",IF(E3711&lt;=60,"ATENCAO (31-60 DIAS)","OK"))))</f>
        <v/>
      </c>
      <c r="G3711" s="13">
        <f>SUMIFS(Movimentacoes!$G:$G,Movimentacoes!$C:$C,$A3711,Movimentacoes!$E:$E,$C3711,Movimentacoes!$B:$B,"ENTRADA")</f>
        <v/>
      </c>
      <c r="H3711" s="13">
        <f>SUMIFS(Movimentacoes!$G:$G,Movimentacoes!$C:$C,$A3711,Movimentacoes!$E:$E,$C3711,Movimentacoes!$B:$B,"SAIDA_USO")</f>
        <v/>
      </c>
      <c r="I3711" s="13">
        <f>SUMIFS(Movimentacoes!$G:$G,Movimentacoes!$C:$C,$A3711,Movimentacoes!$E:$E,$C3711,Movimentacoes!$B:$B,"SAIDA_DESCARTE")</f>
        <v/>
      </c>
      <c r="J3711" s="13">
        <f>G3711-H3711-I3711</f>
        <v/>
      </c>
      <c r="K3711">
        <f>IF(A3711="","",IF(J3711&lt;=IFERROR(VLOOKUP(A3711,Cadastro_Produtos!$A:$E,5,FALSE),0),"ABAIXO DO MINIMO","OK"))</f>
        <v/>
      </c>
    </row>
    <row r="3712">
      <c r="B3712">
        <f>IFERROR(VLOOKUP(A3712,Cadastro_Produtos!A:B,2,FALSE),"")</f>
        <v/>
      </c>
      <c r="D3712" s="12" t="n"/>
      <c r="E3712" s="13">
        <f>IF(D3712="","",D3712-TODAY())</f>
        <v/>
      </c>
      <c r="F3712">
        <f>IF(D3712="","",IF(E3712&lt;0,"VENCIDO",IF(E3712&lt;=30,"VENCE EM &lt;= 30 DIAS",IF(E3712&lt;=60,"ATENCAO (31-60 DIAS)","OK"))))</f>
        <v/>
      </c>
      <c r="G3712" s="13">
        <f>SUMIFS(Movimentacoes!$G:$G,Movimentacoes!$C:$C,$A3712,Movimentacoes!$E:$E,$C3712,Movimentacoes!$B:$B,"ENTRADA")</f>
        <v/>
      </c>
      <c r="H3712" s="13">
        <f>SUMIFS(Movimentacoes!$G:$G,Movimentacoes!$C:$C,$A3712,Movimentacoes!$E:$E,$C3712,Movimentacoes!$B:$B,"SAIDA_USO")</f>
        <v/>
      </c>
      <c r="I3712" s="13">
        <f>SUMIFS(Movimentacoes!$G:$G,Movimentacoes!$C:$C,$A3712,Movimentacoes!$E:$E,$C3712,Movimentacoes!$B:$B,"SAIDA_DESCARTE")</f>
        <v/>
      </c>
      <c r="J3712" s="13">
        <f>G3712-H3712-I3712</f>
        <v/>
      </c>
      <c r="K3712">
        <f>IF(A3712="","",IF(J3712&lt;=IFERROR(VLOOKUP(A3712,Cadastro_Produtos!$A:$E,5,FALSE),0),"ABAIXO DO MINIMO","OK"))</f>
        <v/>
      </c>
    </row>
    <row r="3713">
      <c r="B3713">
        <f>IFERROR(VLOOKUP(A3713,Cadastro_Produtos!A:B,2,FALSE),"")</f>
        <v/>
      </c>
      <c r="D3713" s="12" t="n"/>
      <c r="E3713" s="13">
        <f>IF(D3713="","",D3713-TODAY())</f>
        <v/>
      </c>
      <c r="F3713">
        <f>IF(D3713="","",IF(E3713&lt;0,"VENCIDO",IF(E3713&lt;=30,"VENCE EM &lt;= 30 DIAS",IF(E3713&lt;=60,"ATENCAO (31-60 DIAS)","OK"))))</f>
        <v/>
      </c>
      <c r="G3713" s="13">
        <f>SUMIFS(Movimentacoes!$G:$G,Movimentacoes!$C:$C,$A3713,Movimentacoes!$E:$E,$C3713,Movimentacoes!$B:$B,"ENTRADA")</f>
        <v/>
      </c>
      <c r="H3713" s="13">
        <f>SUMIFS(Movimentacoes!$G:$G,Movimentacoes!$C:$C,$A3713,Movimentacoes!$E:$E,$C3713,Movimentacoes!$B:$B,"SAIDA_USO")</f>
        <v/>
      </c>
      <c r="I3713" s="13">
        <f>SUMIFS(Movimentacoes!$G:$G,Movimentacoes!$C:$C,$A3713,Movimentacoes!$E:$E,$C3713,Movimentacoes!$B:$B,"SAIDA_DESCARTE")</f>
        <v/>
      </c>
      <c r="J3713" s="13">
        <f>G3713-H3713-I3713</f>
        <v/>
      </c>
      <c r="K3713">
        <f>IF(A3713="","",IF(J3713&lt;=IFERROR(VLOOKUP(A3713,Cadastro_Produtos!$A:$E,5,FALSE),0),"ABAIXO DO MINIMO","OK"))</f>
        <v/>
      </c>
    </row>
    <row r="3714">
      <c r="B3714">
        <f>IFERROR(VLOOKUP(A3714,Cadastro_Produtos!A:B,2,FALSE),"")</f>
        <v/>
      </c>
      <c r="D3714" s="12" t="n"/>
      <c r="E3714" s="13">
        <f>IF(D3714="","",D3714-TODAY())</f>
        <v/>
      </c>
      <c r="F3714">
        <f>IF(D3714="","",IF(E3714&lt;0,"VENCIDO",IF(E3714&lt;=30,"VENCE EM &lt;= 30 DIAS",IF(E3714&lt;=60,"ATENCAO (31-60 DIAS)","OK"))))</f>
        <v/>
      </c>
      <c r="G3714" s="13">
        <f>SUMIFS(Movimentacoes!$G:$G,Movimentacoes!$C:$C,$A3714,Movimentacoes!$E:$E,$C3714,Movimentacoes!$B:$B,"ENTRADA")</f>
        <v/>
      </c>
      <c r="H3714" s="13">
        <f>SUMIFS(Movimentacoes!$G:$G,Movimentacoes!$C:$C,$A3714,Movimentacoes!$E:$E,$C3714,Movimentacoes!$B:$B,"SAIDA_USO")</f>
        <v/>
      </c>
      <c r="I3714" s="13">
        <f>SUMIFS(Movimentacoes!$G:$G,Movimentacoes!$C:$C,$A3714,Movimentacoes!$E:$E,$C3714,Movimentacoes!$B:$B,"SAIDA_DESCARTE")</f>
        <v/>
      </c>
      <c r="J3714" s="13">
        <f>G3714-H3714-I3714</f>
        <v/>
      </c>
      <c r="K3714">
        <f>IF(A3714="","",IF(J3714&lt;=IFERROR(VLOOKUP(A3714,Cadastro_Produtos!$A:$E,5,FALSE),0),"ABAIXO DO MINIMO","OK"))</f>
        <v/>
      </c>
    </row>
    <row r="3715">
      <c r="B3715">
        <f>IFERROR(VLOOKUP(A3715,Cadastro_Produtos!A:B,2,FALSE),"")</f>
        <v/>
      </c>
      <c r="D3715" s="12" t="n"/>
      <c r="E3715" s="13">
        <f>IF(D3715="","",D3715-TODAY())</f>
        <v/>
      </c>
      <c r="F3715">
        <f>IF(D3715="","",IF(E3715&lt;0,"VENCIDO",IF(E3715&lt;=30,"VENCE EM &lt;= 30 DIAS",IF(E3715&lt;=60,"ATENCAO (31-60 DIAS)","OK"))))</f>
        <v/>
      </c>
      <c r="G3715" s="13">
        <f>SUMIFS(Movimentacoes!$G:$G,Movimentacoes!$C:$C,$A3715,Movimentacoes!$E:$E,$C3715,Movimentacoes!$B:$B,"ENTRADA")</f>
        <v/>
      </c>
      <c r="H3715" s="13">
        <f>SUMIFS(Movimentacoes!$G:$G,Movimentacoes!$C:$C,$A3715,Movimentacoes!$E:$E,$C3715,Movimentacoes!$B:$B,"SAIDA_USO")</f>
        <v/>
      </c>
      <c r="I3715" s="13">
        <f>SUMIFS(Movimentacoes!$G:$G,Movimentacoes!$C:$C,$A3715,Movimentacoes!$E:$E,$C3715,Movimentacoes!$B:$B,"SAIDA_DESCARTE")</f>
        <v/>
      </c>
      <c r="J3715" s="13">
        <f>G3715-H3715-I3715</f>
        <v/>
      </c>
      <c r="K3715">
        <f>IF(A3715="","",IF(J3715&lt;=IFERROR(VLOOKUP(A3715,Cadastro_Produtos!$A:$E,5,FALSE),0),"ABAIXO DO MINIMO","OK"))</f>
        <v/>
      </c>
    </row>
    <row r="3716">
      <c r="B3716">
        <f>IFERROR(VLOOKUP(A3716,Cadastro_Produtos!A:B,2,FALSE),"")</f>
        <v/>
      </c>
      <c r="D3716" s="12" t="n"/>
      <c r="E3716" s="13">
        <f>IF(D3716="","",D3716-TODAY())</f>
        <v/>
      </c>
      <c r="F3716">
        <f>IF(D3716="","",IF(E3716&lt;0,"VENCIDO",IF(E3716&lt;=30,"VENCE EM &lt;= 30 DIAS",IF(E3716&lt;=60,"ATENCAO (31-60 DIAS)","OK"))))</f>
        <v/>
      </c>
      <c r="G3716" s="13">
        <f>SUMIFS(Movimentacoes!$G:$G,Movimentacoes!$C:$C,$A3716,Movimentacoes!$E:$E,$C3716,Movimentacoes!$B:$B,"ENTRADA")</f>
        <v/>
      </c>
      <c r="H3716" s="13">
        <f>SUMIFS(Movimentacoes!$G:$G,Movimentacoes!$C:$C,$A3716,Movimentacoes!$E:$E,$C3716,Movimentacoes!$B:$B,"SAIDA_USO")</f>
        <v/>
      </c>
      <c r="I3716" s="13">
        <f>SUMIFS(Movimentacoes!$G:$G,Movimentacoes!$C:$C,$A3716,Movimentacoes!$E:$E,$C3716,Movimentacoes!$B:$B,"SAIDA_DESCARTE")</f>
        <v/>
      </c>
      <c r="J3716" s="13">
        <f>G3716-H3716-I3716</f>
        <v/>
      </c>
      <c r="K3716">
        <f>IF(A3716="","",IF(J3716&lt;=IFERROR(VLOOKUP(A3716,Cadastro_Produtos!$A:$E,5,FALSE),0),"ABAIXO DO MINIMO","OK"))</f>
        <v/>
      </c>
    </row>
    <row r="3717">
      <c r="B3717">
        <f>IFERROR(VLOOKUP(A3717,Cadastro_Produtos!A:B,2,FALSE),"")</f>
        <v/>
      </c>
      <c r="D3717" s="12" t="n"/>
      <c r="E3717" s="13">
        <f>IF(D3717="","",D3717-TODAY())</f>
        <v/>
      </c>
      <c r="F3717">
        <f>IF(D3717="","",IF(E3717&lt;0,"VENCIDO",IF(E3717&lt;=30,"VENCE EM &lt;= 30 DIAS",IF(E3717&lt;=60,"ATENCAO (31-60 DIAS)","OK"))))</f>
        <v/>
      </c>
      <c r="G3717" s="13">
        <f>SUMIFS(Movimentacoes!$G:$G,Movimentacoes!$C:$C,$A3717,Movimentacoes!$E:$E,$C3717,Movimentacoes!$B:$B,"ENTRADA")</f>
        <v/>
      </c>
      <c r="H3717" s="13">
        <f>SUMIFS(Movimentacoes!$G:$G,Movimentacoes!$C:$C,$A3717,Movimentacoes!$E:$E,$C3717,Movimentacoes!$B:$B,"SAIDA_USO")</f>
        <v/>
      </c>
      <c r="I3717" s="13">
        <f>SUMIFS(Movimentacoes!$G:$G,Movimentacoes!$C:$C,$A3717,Movimentacoes!$E:$E,$C3717,Movimentacoes!$B:$B,"SAIDA_DESCARTE")</f>
        <v/>
      </c>
      <c r="J3717" s="13">
        <f>G3717-H3717-I3717</f>
        <v/>
      </c>
      <c r="K3717">
        <f>IF(A3717="","",IF(J3717&lt;=IFERROR(VLOOKUP(A3717,Cadastro_Produtos!$A:$E,5,FALSE),0),"ABAIXO DO MINIMO","OK"))</f>
        <v/>
      </c>
    </row>
    <row r="3718">
      <c r="B3718">
        <f>IFERROR(VLOOKUP(A3718,Cadastro_Produtos!A:B,2,FALSE),"")</f>
        <v/>
      </c>
      <c r="D3718" s="12" t="n"/>
      <c r="E3718" s="13">
        <f>IF(D3718="","",D3718-TODAY())</f>
        <v/>
      </c>
      <c r="F3718">
        <f>IF(D3718="","",IF(E3718&lt;0,"VENCIDO",IF(E3718&lt;=30,"VENCE EM &lt;= 30 DIAS",IF(E3718&lt;=60,"ATENCAO (31-60 DIAS)","OK"))))</f>
        <v/>
      </c>
      <c r="G3718" s="13">
        <f>SUMIFS(Movimentacoes!$G:$G,Movimentacoes!$C:$C,$A3718,Movimentacoes!$E:$E,$C3718,Movimentacoes!$B:$B,"ENTRADA")</f>
        <v/>
      </c>
      <c r="H3718" s="13">
        <f>SUMIFS(Movimentacoes!$G:$G,Movimentacoes!$C:$C,$A3718,Movimentacoes!$E:$E,$C3718,Movimentacoes!$B:$B,"SAIDA_USO")</f>
        <v/>
      </c>
      <c r="I3718" s="13">
        <f>SUMIFS(Movimentacoes!$G:$G,Movimentacoes!$C:$C,$A3718,Movimentacoes!$E:$E,$C3718,Movimentacoes!$B:$B,"SAIDA_DESCARTE")</f>
        <v/>
      </c>
      <c r="J3718" s="13">
        <f>G3718-H3718-I3718</f>
        <v/>
      </c>
      <c r="K3718">
        <f>IF(A3718="","",IF(J3718&lt;=IFERROR(VLOOKUP(A3718,Cadastro_Produtos!$A:$E,5,FALSE),0),"ABAIXO DO MINIMO","OK"))</f>
        <v/>
      </c>
    </row>
    <row r="3719">
      <c r="B3719">
        <f>IFERROR(VLOOKUP(A3719,Cadastro_Produtos!A:B,2,FALSE),"")</f>
        <v/>
      </c>
      <c r="D3719" s="12" t="n"/>
      <c r="E3719" s="13">
        <f>IF(D3719="","",D3719-TODAY())</f>
        <v/>
      </c>
      <c r="F3719">
        <f>IF(D3719="","",IF(E3719&lt;0,"VENCIDO",IF(E3719&lt;=30,"VENCE EM &lt;= 30 DIAS",IF(E3719&lt;=60,"ATENCAO (31-60 DIAS)","OK"))))</f>
        <v/>
      </c>
      <c r="G3719" s="13">
        <f>SUMIFS(Movimentacoes!$G:$G,Movimentacoes!$C:$C,$A3719,Movimentacoes!$E:$E,$C3719,Movimentacoes!$B:$B,"ENTRADA")</f>
        <v/>
      </c>
      <c r="H3719" s="13">
        <f>SUMIFS(Movimentacoes!$G:$G,Movimentacoes!$C:$C,$A3719,Movimentacoes!$E:$E,$C3719,Movimentacoes!$B:$B,"SAIDA_USO")</f>
        <v/>
      </c>
      <c r="I3719" s="13">
        <f>SUMIFS(Movimentacoes!$G:$G,Movimentacoes!$C:$C,$A3719,Movimentacoes!$E:$E,$C3719,Movimentacoes!$B:$B,"SAIDA_DESCARTE")</f>
        <v/>
      </c>
      <c r="J3719" s="13">
        <f>G3719-H3719-I3719</f>
        <v/>
      </c>
      <c r="K3719">
        <f>IF(A3719="","",IF(J3719&lt;=IFERROR(VLOOKUP(A3719,Cadastro_Produtos!$A:$E,5,FALSE),0),"ABAIXO DO MINIMO","OK"))</f>
        <v/>
      </c>
    </row>
    <row r="3720">
      <c r="B3720">
        <f>IFERROR(VLOOKUP(A3720,Cadastro_Produtos!A:B,2,FALSE),"")</f>
        <v/>
      </c>
      <c r="D3720" s="12" t="n"/>
      <c r="E3720" s="13">
        <f>IF(D3720="","",D3720-TODAY())</f>
        <v/>
      </c>
      <c r="F3720">
        <f>IF(D3720="","",IF(E3720&lt;0,"VENCIDO",IF(E3720&lt;=30,"VENCE EM &lt;= 30 DIAS",IF(E3720&lt;=60,"ATENCAO (31-60 DIAS)","OK"))))</f>
        <v/>
      </c>
      <c r="G3720" s="13">
        <f>SUMIFS(Movimentacoes!$G:$G,Movimentacoes!$C:$C,$A3720,Movimentacoes!$E:$E,$C3720,Movimentacoes!$B:$B,"ENTRADA")</f>
        <v/>
      </c>
      <c r="H3720" s="13">
        <f>SUMIFS(Movimentacoes!$G:$G,Movimentacoes!$C:$C,$A3720,Movimentacoes!$E:$E,$C3720,Movimentacoes!$B:$B,"SAIDA_USO")</f>
        <v/>
      </c>
      <c r="I3720" s="13">
        <f>SUMIFS(Movimentacoes!$G:$G,Movimentacoes!$C:$C,$A3720,Movimentacoes!$E:$E,$C3720,Movimentacoes!$B:$B,"SAIDA_DESCARTE")</f>
        <v/>
      </c>
      <c r="J3720" s="13">
        <f>G3720-H3720-I3720</f>
        <v/>
      </c>
      <c r="K3720">
        <f>IF(A3720="","",IF(J3720&lt;=IFERROR(VLOOKUP(A3720,Cadastro_Produtos!$A:$E,5,FALSE),0),"ABAIXO DO MINIMO","OK"))</f>
        <v/>
      </c>
    </row>
    <row r="3721">
      <c r="B3721">
        <f>IFERROR(VLOOKUP(A3721,Cadastro_Produtos!A:B,2,FALSE),"")</f>
        <v/>
      </c>
      <c r="D3721" s="12" t="n"/>
      <c r="E3721" s="13">
        <f>IF(D3721="","",D3721-TODAY())</f>
        <v/>
      </c>
      <c r="F3721">
        <f>IF(D3721="","",IF(E3721&lt;0,"VENCIDO",IF(E3721&lt;=30,"VENCE EM &lt;= 30 DIAS",IF(E3721&lt;=60,"ATENCAO (31-60 DIAS)","OK"))))</f>
        <v/>
      </c>
      <c r="G3721" s="13">
        <f>SUMIFS(Movimentacoes!$G:$G,Movimentacoes!$C:$C,$A3721,Movimentacoes!$E:$E,$C3721,Movimentacoes!$B:$B,"ENTRADA")</f>
        <v/>
      </c>
      <c r="H3721" s="13">
        <f>SUMIFS(Movimentacoes!$G:$G,Movimentacoes!$C:$C,$A3721,Movimentacoes!$E:$E,$C3721,Movimentacoes!$B:$B,"SAIDA_USO")</f>
        <v/>
      </c>
      <c r="I3721" s="13">
        <f>SUMIFS(Movimentacoes!$G:$G,Movimentacoes!$C:$C,$A3721,Movimentacoes!$E:$E,$C3721,Movimentacoes!$B:$B,"SAIDA_DESCARTE")</f>
        <v/>
      </c>
      <c r="J3721" s="13">
        <f>G3721-H3721-I3721</f>
        <v/>
      </c>
      <c r="K3721">
        <f>IF(A3721="","",IF(J3721&lt;=IFERROR(VLOOKUP(A3721,Cadastro_Produtos!$A:$E,5,FALSE),0),"ABAIXO DO MINIMO","OK"))</f>
        <v/>
      </c>
    </row>
    <row r="3722">
      <c r="B3722">
        <f>IFERROR(VLOOKUP(A3722,Cadastro_Produtos!A:B,2,FALSE),"")</f>
        <v/>
      </c>
      <c r="D3722" s="12" t="n"/>
      <c r="E3722" s="13">
        <f>IF(D3722="","",D3722-TODAY())</f>
        <v/>
      </c>
      <c r="F3722">
        <f>IF(D3722="","",IF(E3722&lt;0,"VENCIDO",IF(E3722&lt;=30,"VENCE EM &lt;= 30 DIAS",IF(E3722&lt;=60,"ATENCAO (31-60 DIAS)","OK"))))</f>
        <v/>
      </c>
      <c r="G3722" s="13">
        <f>SUMIFS(Movimentacoes!$G:$G,Movimentacoes!$C:$C,$A3722,Movimentacoes!$E:$E,$C3722,Movimentacoes!$B:$B,"ENTRADA")</f>
        <v/>
      </c>
      <c r="H3722" s="13">
        <f>SUMIFS(Movimentacoes!$G:$G,Movimentacoes!$C:$C,$A3722,Movimentacoes!$E:$E,$C3722,Movimentacoes!$B:$B,"SAIDA_USO")</f>
        <v/>
      </c>
      <c r="I3722" s="13">
        <f>SUMIFS(Movimentacoes!$G:$G,Movimentacoes!$C:$C,$A3722,Movimentacoes!$E:$E,$C3722,Movimentacoes!$B:$B,"SAIDA_DESCARTE")</f>
        <v/>
      </c>
      <c r="J3722" s="13">
        <f>G3722-H3722-I3722</f>
        <v/>
      </c>
      <c r="K3722">
        <f>IF(A3722="","",IF(J3722&lt;=IFERROR(VLOOKUP(A3722,Cadastro_Produtos!$A:$E,5,FALSE),0),"ABAIXO DO MINIMO","OK"))</f>
        <v/>
      </c>
    </row>
    <row r="3723">
      <c r="B3723">
        <f>IFERROR(VLOOKUP(A3723,Cadastro_Produtos!A:B,2,FALSE),"")</f>
        <v/>
      </c>
      <c r="D3723" s="12" t="n"/>
      <c r="E3723" s="13">
        <f>IF(D3723="","",D3723-TODAY())</f>
        <v/>
      </c>
      <c r="F3723">
        <f>IF(D3723="","",IF(E3723&lt;0,"VENCIDO",IF(E3723&lt;=30,"VENCE EM &lt;= 30 DIAS",IF(E3723&lt;=60,"ATENCAO (31-60 DIAS)","OK"))))</f>
        <v/>
      </c>
      <c r="G3723" s="13">
        <f>SUMIFS(Movimentacoes!$G:$G,Movimentacoes!$C:$C,$A3723,Movimentacoes!$E:$E,$C3723,Movimentacoes!$B:$B,"ENTRADA")</f>
        <v/>
      </c>
      <c r="H3723" s="13">
        <f>SUMIFS(Movimentacoes!$G:$G,Movimentacoes!$C:$C,$A3723,Movimentacoes!$E:$E,$C3723,Movimentacoes!$B:$B,"SAIDA_USO")</f>
        <v/>
      </c>
      <c r="I3723" s="13">
        <f>SUMIFS(Movimentacoes!$G:$G,Movimentacoes!$C:$C,$A3723,Movimentacoes!$E:$E,$C3723,Movimentacoes!$B:$B,"SAIDA_DESCARTE")</f>
        <v/>
      </c>
      <c r="J3723" s="13">
        <f>G3723-H3723-I3723</f>
        <v/>
      </c>
      <c r="K3723">
        <f>IF(A3723="","",IF(J3723&lt;=IFERROR(VLOOKUP(A3723,Cadastro_Produtos!$A:$E,5,FALSE),0),"ABAIXO DO MINIMO","OK"))</f>
        <v/>
      </c>
    </row>
    <row r="3724">
      <c r="B3724">
        <f>IFERROR(VLOOKUP(A3724,Cadastro_Produtos!A:B,2,FALSE),"")</f>
        <v/>
      </c>
      <c r="D3724" s="12" t="n"/>
      <c r="E3724" s="13">
        <f>IF(D3724="","",D3724-TODAY())</f>
        <v/>
      </c>
      <c r="F3724">
        <f>IF(D3724="","",IF(E3724&lt;0,"VENCIDO",IF(E3724&lt;=30,"VENCE EM &lt;= 30 DIAS",IF(E3724&lt;=60,"ATENCAO (31-60 DIAS)","OK"))))</f>
        <v/>
      </c>
      <c r="G3724" s="13">
        <f>SUMIFS(Movimentacoes!$G:$G,Movimentacoes!$C:$C,$A3724,Movimentacoes!$E:$E,$C3724,Movimentacoes!$B:$B,"ENTRADA")</f>
        <v/>
      </c>
      <c r="H3724" s="13">
        <f>SUMIFS(Movimentacoes!$G:$G,Movimentacoes!$C:$C,$A3724,Movimentacoes!$E:$E,$C3724,Movimentacoes!$B:$B,"SAIDA_USO")</f>
        <v/>
      </c>
      <c r="I3724" s="13">
        <f>SUMIFS(Movimentacoes!$G:$G,Movimentacoes!$C:$C,$A3724,Movimentacoes!$E:$E,$C3724,Movimentacoes!$B:$B,"SAIDA_DESCARTE")</f>
        <v/>
      </c>
      <c r="J3724" s="13">
        <f>G3724-H3724-I3724</f>
        <v/>
      </c>
      <c r="K3724">
        <f>IF(A3724="","",IF(J3724&lt;=IFERROR(VLOOKUP(A3724,Cadastro_Produtos!$A:$E,5,FALSE),0),"ABAIXO DO MINIMO","OK"))</f>
        <v/>
      </c>
    </row>
    <row r="3725">
      <c r="B3725">
        <f>IFERROR(VLOOKUP(A3725,Cadastro_Produtos!A:B,2,FALSE),"")</f>
        <v/>
      </c>
      <c r="D3725" s="12" t="n"/>
      <c r="E3725" s="13">
        <f>IF(D3725="","",D3725-TODAY())</f>
        <v/>
      </c>
      <c r="F3725">
        <f>IF(D3725="","",IF(E3725&lt;0,"VENCIDO",IF(E3725&lt;=30,"VENCE EM &lt;= 30 DIAS",IF(E3725&lt;=60,"ATENCAO (31-60 DIAS)","OK"))))</f>
        <v/>
      </c>
      <c r="G3725" s="13">
        <f>SUMIFS(Movimentacoes!$G:$G,Movimentacoes!$C:$C,$A3725,Movimentacoes!$E:$E,$C3725,Movimentacoes!$B:$B,"ENTRADA")</f>
        <v/>
      </c>
      <c r="H3725" s="13">
        <f>SUMIFS(Movimentacoes!$G:$G,Movimentacoes!$C:$C,$A3725,Movimentacoes!$E:$E,$C3725,Movimentacoes!$B:$B,"SAIDA_USO")</f>
        <v/>
      </c>
      <c r="I3725" s="13">
        <f>SUMIFS(Movimentacoes!$G:$G,Movimentacoes!$C:$C,$A3725,Movimentacoes!$E:$E,$C3725,Movimentacoes!$B:$B,"SAIDA_DESCARTE")</f>
        <v/>
      </c>
      <c r="J3725" s="13">
        <f>G3725-H3725-I3725</f>
        <v/>
      </c>
      <c r="K3725">
        <f>IF(A3725="","",IF(J3725&lt;=IFERROR(VLOOKUP(A3725,Cadastro_Produtos!$A:$E,5,FALSE),0),"ABAIXO DO MINIMO","OK"))</f>
        <v/>
      </c>
    </row>
    <row r="3726">
      <c r="B3726">
        <f>IFERROR(VLOOKUP(A3726,Cadastro_Produtos!A:B,2,FALSE),"")</f>
        <v/>
      </c>
      <c r="D3726" s="12" t="n"/>
      <c r="E3726" s="13">
        <f>IF(D3726="","",D3726-TODAY())</f>
        <v/>
      </c>
      <c r="F3726">
        <f>IF(D3726="","",IF(E3726&lt;0,"VENCIDO",IF(E3726&lt;=30,"VENCE EM &lt;= 30 DIAS",IF(E3726&lt;=60,"ATENCAO (31-60 DIAS)","OK"))))</f>
        <v/>
      </c>
      <c r="G3726" s="13">
        <f>SUMIFS(Movimentacoes!$G:$G,Movimentacoes!$C:$C,$A3726,Movimentacoes!$E:$E,$C3726,Movimentacoes!$B:$B,"ENTRADA")</f>
        <v/>
      </c>
      <c r="H3726" s="13">
        <f>SUMIFS(Movimentacoes!$G:$G,Movimentacoes!$C:$C,$A3726,Movimentacoes!$E:$E,$C3726,Movimentacoes!$B:$B,"SAIDA_USO")</f>
        <v/>
      </c>
      <c r="I3726" s="13">
        <f>SUMIFS(Movimentacoes!$G:$G,Movimentacoes!$C:$C,$A3726,Movimentacoes!$E:$E,$C3726,Movimentacoes!$B:$B,"SAIDA_DESCARTE")</f>
        <v/>
      </c>
      <c r="J3726" s="13">
        <f>G3726-H3726-I3726</f>
        <v/>
      </c>
      <c r="K3726">
        <f>IF(A3726="","",IF(J3726&lt;=IFERROR(VLOOKUP(A3726,Cadastro_Produtos!$A:$E,5,FALSE),0),"ABAIXO DO MINIMO","OK"))</f>
        <v/>
      </c>
    </row>
    <row r="3727">
      <c r="B3727">
        <f>IFERROR(VLOOKUP(A3727,Cadastro_Produtos!A:B,2,FALSE),"")</f>
        <v/>
      </c>
      <c r="D3727" s="12" t="n"/>
      <c r="E3727" s="13">
        <f>IF(D3727="","",D3727-TODAY())</f>
        <v/>
      </c>
      <c r="F3727">
        <f>IF(D3727="","",IF(E3727&lt;0,"VENCIDO",IF(E3727&lt;=30,"VENCE EM &lt;= 30 DIAS",IF(E3727&lt;=60,"ATENCAO (31-60 DIAS)","OK"))))</f>
        <v/>
      </c>
      <c r="G3727" s="13">
        <f>SUMIFS(Movimentacoes!$G:$G,Movimentacoes!$C:$C,$A3727,Movimentacoes!$E:$E,$C3727,Movimentacoes!$B:$B,"ENTRADA")</f>
        <v/>
      </c>
      <c r="H3727" s="13">
        <f>SUMIFS(Movimentacoes!$G:$G,Movimentacoes!$C:$C,$A3727,Movimentacoes!$E:$E,$C3727,Movimentacoes!$B:$B,"SAIDA_USO")</f>
        <v/>
      </c>
      <c r="I3727" s="13">
        <f>SUMIFS(Movimentacoes!$G:$G,Movimentacoes!$C:$C,$A3727,Movimentacoes!$E:$E,$C3727,Movimentacoes!$B:$B,"SAIDA_DESCARTE")</f>
        <v/>
      </c>
      <c r="J3727" s="13">
        <f>G3727-H3727-I3727</f>
        <v/>
      </c>
      <c r="K3727">
        <f>IF(A3727="","",IF(J3727&lt;=IFERROR(VLOOKUP(A3727,Cadastro_Produtos!$A:$E,5,FALSE),0),"ABAIXO DO MINIMO","OK"))</f>
        <v/>
      </c>
    </row>
    <row r="3728">
      <c r="B3728">
        <f>IFERROR(VLOOKUP(A3728,Cadastro_Produtos!A:B,2,FALSE),"")</f>
        <v/>
      </c>
      <c r="D3728" s="12" t="n"/>
      <c r="E3728" s="13">
        <f>IF(D3728="","",D3728-TODAY())</f>
        <v/>
      </c>
      <c r="F3728">
        <f>IF(D3728="","",IF(E3728&lt;0,"VENCIDO",IF(E3728&lt;=30,"VENCE EM &lt;= 30 DIAS",IF(E3728&lt;=60,"ATENCAO (31-60 DIAS)","OK"))))</f>
        <v/>
      </c>
      <c r="G3728" s="13">
        <f>SUMIFS(Movimentacoes!$G:$G,Movimentacoes!$C:$C,$A3728,Movimentacoes!$E:$E,$C3728,Movimentacoes!$B:$B,"ENTRADA")</f>
        <v/>
      </c>
      <c r="H3728" s="13">
        <f>SUMIFS(Movimentacoes!$G:$G,Movimentacoes!$C:$C,$A3728,Movimentacoes!$E:$E,$C3728,Movimentacoes!$B:$B,"SAIDA_USO")</f>
        <v/>
      </c>
      <c r="I3728" s="13">
        <f>SUMIFS(Movimentacoes!$G:$G,Movimentacoes!$C:$C,$A3728,Movimentacoes!$E:$E,$C3728,Movimentacoes!$B:$B,"SAIDA_DESCARTE")</f>
        <v/>
      </c>
      <c r="J3728" s="13">
        <f>G3728-H3728-I3728</f>
        <v/>
      </c>
      <c r="K3728">
        <f>IF(A3728="","",IF(J3728&lt;=IFERROR(VLOOKUP(A3728,Cadastro_Produtos!$A:$E,5,FALSE),0),"ABAIXO DO MINIMO","OK"))</f>
        <v/>
      </c>
    </row>
    <row r="3729">
      <c r="B3729">
        <f>IFERROR(VLOOKUP(A3729,Cadastro_Produtos!A:B,2,FALSE),"")</f>
        <v/>
      </c>
      <c r="D3729" s="12" t="n"/>
      <c r="E3729" s="13">
        <f>IF(D3729="","",D3729-TODAY())</f>
        <v/>
      </c>
      <c r="F3729">
        <f>IF(D3729="","",IF(E3729&lt;0,"VENCIDO",IF(E3729&lt;=30,"VENCE EM &lt;= 30 DIAS",IF(E3729&lt;=60,"ATENCAO (31-60 DIAS)","OK"))))</f>
        <v/>
      </c>
      <c r="G3729" s="13">
        <f>SUMIFS(Movimentacoes!$G:$G,Movimentacoes!$C:$C,$A3729,Movimentacoes!$E:$E,$C3729,Movimentacoes!$B:$B,"ENTRADA")</f>
        <v/>
      </c>
      <c r="H3729" s="13">
        <f>SUMIFS(Movimentacoes!$G:$G,Movimentacoes!$C:$C,$A3729,Movimentacoes!$E:$E,$C3729,Movimentacoes!$B:$B,"SAIDA_USO")</f>
        <v/>
      </c>
      <c r="I3729" s="13">
        <f>SUMIFS(Movimentacoes!$G:$G,Movimentacoes!$C:$C,$A3729,Movimentacoes!$E:$E,$C3729,Movimentacoes!$B:$B,"SAIDA_DESCARTE")</f>
        <v/>
      </c>
      <c r="J3729" s="13">
        <f>G3729-H3729-I3729</f>
        <v/>
      </c>
      <c r="K3729">
        <f>IF(A3729="","",IF(J3729&lt;=IFERROR(VLOOKUP(A3729,Cadastro_Produtos!$A:$E,5,FALSE),0),"ABAIXO DO MINIMO","OK"))</f>
        <v/>
      </c>
    </row>
    <row r="3730">
      <c r="B3730">
        <f>IFERROR(VLOOKUP(A3730,Cadastro_Produtos!A:B,2,FALSE),"")</f>
        <v/>
      </c>
      <c r="D3730" s="12" t="n"/>
      <c r="E3730" s="13">
        <f>IF(D3730="","",D3730-TODAY())</f>
        <v/>
      </c>
      <c r="F3730">
        <f>IF(D3730="","",IF(E3730&lt;0,"VENCIDO",IF(E3730&lt;=30,"VENCE EM &lt;= 30 DIAS",IF(E3730&lt;=60,"ATENCAO (31-60 DIAS)","OK"))))</f>
        <v/>
      </c>
      <c r="G3730" s="13">
        <f>SUMIFS(Movimentacoes!$G:$G,Movimentacoes!$C:$C,$A3730,Movimentacoes!$E:$E,$C3730,Movimentacoes!$B:$B,"ENTRADA")</f>
        <v/>
      </c>
      <c r="H3730" s="13">
        <f>SUMIFS(Movimentacoes!$G:$G,Movimentacoes!$C:$C,$A3730,Movimentacoes!$E:$E,$C3730,Movimentacoes!$B:$B,"SAIDA_USO")</f>
        <v/>
      </c>
      <c r="I3730" s="13">
        <f>SUMIFS(Movimentacoes!$G:$G,Movimentacoes!$C:$C,$A3730,Movimentacoes!$E:$E,$C3730,Movimentacoes!$B:$B,"SAIDA_DESCARTE")</f>
        <v/>
      </c>
      <c r="J3730" s="13">
        <f>G3730-H3730-I3730</f>
        <v/>
      </c>
      <c r="K3730">
        <f>IF(A3730="","",IF(J3730&lt;=IFERROR(VLOOKUP(A3730,Cadastro_Produtos!$A:$E,5,FALSE),0),"ABAIXO DO MINIMO","OK"))</f>
        <v/>
      </c>
    </row>
    <row r="3731">
      <c r="B3731">
        <f>IFERROR(VLOOKUP(A3731,Cadastro_Produtos!A:B,2,FALSE),"")</f>
        <v/>
      </c>
      <c r="D3731" s="12" t="n"/>
      <c r="E3731" s="13">
        <f>IF(D3731="","",D3731-TODAY())</f>
        <v/>
      </c>
      <c r="F3731">
        <f>IF(D3731="","",IF(E3731&lt;0,"VENCIDO",IF(E3731&lt;=30,"VENCE EM &lt;= 30 DIAS",IF(E3731&lt;=60,"ATENCAO (31-60 DIAS)","OK"))))</f>
        <v/>
      </c>
      <c r="G3731" s="13">
        <f>SUMIFS(Movimentacoes!$G:$G,Movimentacoes!$C:$C,$A3731,Movimentacoes!$E:$E,$C3731,Movimentacoes!$B:$B,"ENTRADA")</f>
        <v/>
      </c>
      <c r="H3731" s="13">
        <f>SUMIFS(Movimentacoes!$G:$G,Movimentacoes!$C:$C,$A3731,Movimentacoes!$E:$E,$C3731,Movimentacoes!$B:$B,"SAIDA_USO")</f>
        <v/>
      </c>
      <c r="I3731" s="13">
        <f>SUMIFS(Movimentacoes!$G:$G,Movimentacoes!$C:$C,$A3731,Movimentacoes!$E:$E,$C3731,Movimentacoes!$B:$B,"SAIDA_DESCARTE")</f>
        <v/>
      </c>
      <c r="J3731" s="13">
        <f>G3731-H3731-I3731</f>
        <v/>
      </c>
      <c r="K3731">
        <f>IF(A3731="","",IF(J3731&lt;=IFERROR(VLOOKUP(A3731,Cadastro_Produtos!$A:$E,5,FALSE),0),"ABAIXO DO MINIMO","OK"))</f>
        <v/>
      </c>
    </row>
    <row r="3732">
      <c r="B3732">
        <f>IFERROR(VLOOKUP(A3732,Cadastro_Produtos!A:B,2,FALSE),"")</f>
        <v/>
      </c>
      <c r="D3732" s="12" t="n"/>
      <c r="E3732" s="13">
        <f>IF(D3732="","",D3732-TODAY())</f>
        <v/>
      </c>
      <c r="F3732">
        <f>IF(D3732="","",IF(E3732&lt;0,"VENCIDO",IF(E3732&lt;=30,"VENCE EM &lt;= 30 DIAS",IF(E3732&lt;=60,"ATENCAO (31-60 DIAS)","OK"))))</f>
        <v/>
      </c>
      <c r="G3732" s="13">
        <f>SUMIFS(Movimentacoes!$G:$G,Movimentacoes!$C:$C,$A3732,Movimentacoes!$E:$E,$C3732,Movimentacoes!$B:$B,"ENTRADA")</f>
        <v/>
      </c>
      <c r="H3732" s="13">
        <f>SUMIFS(Movimentacoes!$G:$G,Movimentacoes!$C:$C,$A3732,Movimentacoes!$E:$E,$C3732,Movimentacoes!$B:$B,"SAIDA_USO")</f>
        <v/>
      </c>
      <c r="I3732" s="13">
        <f>SUMIFS(Movimentacoes!$G:$G,Movimentacoes!$C:$C,$A3732,Movimentacoes!$E:$E,$C3732,Movimentacoes!$B:$B,"SAIDA_DESCARTE")</f>
        <v/>
      </c>
      <c r="J3732" s="13">
        <f>G3732-H3732-I3732</f>
        <v/>
      </c>
      <c r="K3732">
        <f>IF(A3732="","",IF(J3732&lt;=IFERROR(VLOOKUP(A3732,Cadastro_Produtos!$A:$E,5,FALSE),0),"ABAIXO DO MINIMO","OK"))</f>
        <v/>
      </c>
    </row>
    <row r="3733">
      <c r="B3733">
        <f>IFERROR(VLOOKUP(A3733,Cadastro_Produtos!A:B,2,FALSE),"")</f>
        <v/>
      </c>
      <c r="D3733" s="12" t="n"/>
      <c r="E3733" s="13">
        <f>IF(D3733="","",D3733-TODAY())</f>
        <v/>
      </c>
      <c r="F3733">
        <f>IF(D3733="","",IF(E3733&lt;0,"VENCIDO",IF(E3733&lt;=30,"VENCE EM &lt;= 30 DIAS",IF(E3733&lt;=60,"ATENCAO (31-60 DIAS)","OK"))))</f>
        <v/>
      </c>
      <c r="G3733" s="13">
        <f>SUMIFS(Movimentacoes!$G:$G,Movimentacoes!$C:$C,$A3733,Movimentacoes!$E:$E,$C3733,Movimentacoes!$B:$B,"ENTRADA")</f>
        <v/>
      </c>
      <c r="H3733" s="13">
        <f>SUMIFS(Movimentacoes!$G:$G,Movimentacoes!$C:$C,$A3733,Movimentacoes!$E:$E,$C3733,Movimentacoes!$B:$B,"SAIDA_USO")</f>
        <v/>
      </c>
      <c r="I3733" s="13">
        <f>SUMIFS(Movimentacoes!$G:$G,Movimentacoes!$C:$C,$A3733,Movimentacoes!$E:$E,$C3733,Movimentacoes!$B:$B,"SAIDA_DESCARTE")</f>
        <v/>
      </c>
      <c r="J3733" s="13">
        <f>G3733-H3733-I3733</f>
        <v/>
      </c>
      <c r="K3733">
        <f>IF(A3733="","",IF(J3733&lt;=IFERROR(VLOOKUP(A3733,Cadastro_Produtos!$A:$E,5,FALSE),0),"ABAIXO DO MINIMO","OK"))</f>
        <v/>
      </c>
    </row>
    <row r="3734">
      <c r="B3734">
        <f>IFERROR(VLOOKUP(A3734,Cadastro_Produtos!A:B,2,FALSE),"")</f>
        <v/>
      </c>
      <c r="D3734" s="12" t="n"/>
      <c r="E3734" s="13">
        <f>IF(D3734="","",D3734-TODAY())</f>
        <v/>
      </c>
      <c r="F3734">
        <f>IF(D3734="","",IF(E3734&lt;0,"VENCIDO",IF(E3734&lt;=30,"VENCE EM &lt;= 30 DIAS",IF(E3734&lt;=60,"ATENCAO (31-60 DIAS)","OK"))))</f>
        <v/>
      </c>
      <c r="G3734" s="13">
        <f>SUMIFS(Movimentacoes!$G:$G,Movimentacoes!$C:$C,$A3734,Movimentacoes!$E:$E,$C3734,Movimentacoes!$B:$B,"ENTRADA")</f>
        <v/>
      </c>
      <c r="H3734" s="13">
        <f>SUMIFS(Movimentacoes!$G:$G,Movimentacoes!$C:$C,$A3734,Movimentacoes!$E:$E,$C3734,Movimentacoes!$B:$B,"SAIDA_USO")</f>
        <v/>
      </c>
      <c r="I3734" s="13">
        <f>SUMIFS(Movimentacoes!$G:$G,Movimentacoes!$C:$C,$A3734,Movimentacoes!$E:$E,$C3734,Movimentacoes!$B:$B,"SAIDA_DESCARTE")</f>
        <v/>
      </c>
      <c r="J3734" s="13">
        <f>G3734-H3734-I3734</f>
        <v/>
      </c>
      <c r="K3734">
        <f>IF(A3734="","",IF(J3734&lt;=IFERROR(VLOOKUP(A3734,Cadastro_Produtos!$A:$E,5,FALSE),0),"ABAIXO DO MINIMO","OK"))</f>
        <v/>
      </c>
    </row>
    <row r="3735">
      <c r="B3735">
        <f>IFERROR(VLOOKUP(A3735,Cadastro_Produtos!A:B,2,FALSE),"")</f>
        <v/>
      </c>
      <c r="D3735" s="12" t="n"/>
      <c r="E3735" s="13">
        <f>IF(D3735="","",D3735-TODAY())</f>
        <v/>
      </c>
      <c r="F3735">
        <f>IF(D3735="","",IF(E3735&lt;0,"VENCIDO",IF(E3735&lt;=30,"VENCE EM &lt;= 30 DIAS",IF(E3735&lt;=60,"ATENCAO (31-60 DIAS)","OK"))))</f>
        <v/>
      </c>
      <c r="G3735" s="13">
        <f>SUMIFS(Movimentacoes!$G:$G,Movimentacoes!$C:$C,$A3735,Movimentacoes!$E:$E,$C3735,Movimentacoes!$B:$B,"ENTRADA")</f>
        <v/>
      </c>
      <c r="H3735" s="13">
        <f>SUMIFS(Movimentacoes!$G:$G,Movimentacoes!$C:$C,$A3735,Movimentacoes!$E:$E,$C3735,Movimentacoes!$B:$B,"SAIDA_USO")</f>
        <v/>
      </c>
      <c r="I3735" s="13">
        <f>SUMIFS(Movimentacoes!$G:$G,Movimentacoes!$C:$C,$A3735,Movimentacoes!$E:$E,$C3735,Movimentacoes!$B:$B,"SAIDA_DESCARTE")</f>
        <v/>
      </c>
      <c r="J3735" s="13">
        <f>G3735-H3735-I3735</f>
        <v/>
      </c>
      <c r="K3735">
        <f>IF(A3735="","",IF(J3735&lt;=IFERROR(VLOOKUP(A3735,Cadastro_Produtos!$A:$E,5,FALSE),0),"ABAIXO DO MINIMO","OK"))</f>
        <v/>
      </c>
    </row>
    <row r="3736">
      <c r="B3736">
        <f>IFERROR(VLOOKUP(A3736,Cadastro_Produtos!A:B,2,FALSE),"")</f>
        <v/>
      </c>
      <c r="D3736" s="12" t="n"/>
      <c r="E3736" s="13">
        <f>IF(D3736="","",D3736-TODAY())</f>
        <v/>
      </c>
      <c r="F3736">
        <f>IF(D3736="","",IF(E3736&lt;0,"VENCIDO",IF(E3736&lt;=30,"VENCE EM &lt;= 30 DIAS",IF(E3736&lt;=60,"ATENCAO (31-60 DIAS)","OK"))))</f>
        <v/>
      </c>
      <c r="G3736" s="13">
        <f>SUMIFS(Movimentacoes!$G:$G,Movimentacoes!$C:$C,$A3736,Movimentacoes!$E:$E,$C3736,Movimentacoes!$B:$B,"ENTRADA")</f>
        <v/>
      </c>
      <c r="H3736" s="13">
        <f>SUMIFS(Movimentacoes!$G:$G,Movimentacoes!$C:$C,$A3736,Movimentacoes!$E:$E,$C3736,Movimentacoes!$B:$B,"SAIDA_USO")</f>
        <v/>
      </c>
      <c r="I3736" s="13">
        <f>SUMIFS(Movimentacoes!$G:$G,Movimentacoes!$C:$C,$A3736,Movimentacoes!$E:$E,$C3736,Movimentacoes!$B:$B,"SAIDA_DESCARTE")</f>
        <v/>
      </c>
      <c r="J3736" s="13">
        <f>G3736-H3736-I3736</f>
        <v/>
      </c>
      <c r="K3736">
        <f>IF(A3736="","",IF(J3736&lt;=IFERROR(VLOOKUP(A3736,Cadastro_Produtos!$A:$E,5,FALSE),0),"ABAIXO DO MINIMO","OK"))</f>
        <v/>
      </c>
    </row>
    <row r="3737">
      <c r="B3737">
        <f>IFERROR(VLOOKUP(A3737,Cadastro_Produtos!A:B,2,FALSE),"")</f>
        <v/>
      </c>
      <c r="D3737" s="12" t="n"/>
      <c r="E3737" s="13">
        <f>IF(D3737="","",D3737-TODAY())</f>
        <v/>
      </c>
      <c r="F3737">
        <f>IF(D3737="","",IF(E3737&lt;0,"VENCIDO",IF(E3737&lt;=30,"VENCE EM &lt;= 30 DIAS",IF(E3737&lt;=60,"ATENCAO (31-60 DIAS)","OK"))))</f>
        <v/>
      </c>
      <c r="G3737" s="13">
        <f>SUMIFS(Movimentacoes!$G:$G,Movimentacoes!$C:$C,$A3737,Movimentacoes!$E:$E,$C3737,Movimentacoes!$B:$B,"ENTRADA")</f>
        <v/>
      </c>
      <c r="H3737" s="13">
        <f>SUMIFS(Movimentacoes!$G:$G,Movimentacoes!$C:$C,$A3737,Movimentacoes!$E:$E,$C3737,Movimentacoes!$B:$B,"SAIDA_USO")</f>
        <v/>
      </c>
      <c r="I3737" s="13">
        <f>SUMIFS(Movimentacoes!$G:$G,Movimentacoes!$C:$C,$A3737,Movimentacoes!$E:$E,$C3737,Movimentacoes!$B:$B,"SAIDA_DESCARTE")</f>
        <v/>
      </c>
      <c r="J3737" s="13">
        <f>G3737-H3737-I3737</f>
        <v/>
      </c>
      <c r="K3737">
        <f>IF(A3737="","",IF(J3737&lt;=IFERROR(VLOOKUP(A3737,Cadastro_Produtos!$A:$E,5,FALSE),0),"ABAIXO DO MINIMO","OK"))</f>
        <v/>
      </c>
    </row>
    <row r="3738">
      <c r="B3738">
        <f>IFERROR(VLOOKUP(A3738,Cadastro_Produtos!A:B,2,FALSE),"")</f>
        <v/>
      </c>
      <c r="D3738" s="12" t="n"/>
      <c r="E3738" s="13">
        <f>IF(D3738="","",D3738-TODAY())</f>
        <v/>
      </c>
      <c r="F3738">
        <f>IF(D3738="","",IF(E3738&lt;0,"VENCIDO",IF(E3738&lt;=30,"VENCE EM &lt;= 30 DIAS",IF(E3738&lt;=60,"ATENCAO (31-60 DIAS)","OK"))))</f>
        <v/>
      </c>
      <c r="G3738" s="13">
        <f>SUMIFS(Movimentacoes!$G:$G,Movimentacoes!$C:$C,$A3738,Movimentacoes!$E:$E,$C3738,Movimentacoes!$B:$B,"ENTRADA")</f>
        <v/>
      </c>
      <c r="H3738" s="13">
        <f>SUMIFS(Movimentacoes!$G:$G,Movimentacoes!$C:$C,$A3738,Movimentacoes!$E:$E,$C3738,Movimentacoes!$B:$B,"SAIDA_USO")</f>
        <v/>
      </c>
      <c r="I3738" s="13">
        <f>SUMIFS(Movimentacoes!$G:$G,Movimentacoes!$C:$C,$A3738,Movimentacoes!$E:$E,$C3738,Movimentacoes!$B:$B,"SAIDA_DESCARTE")</f>
        <v/>
      </c>
      <c r="J3738" s="13">
        <f>G3738-H3738-I3738</f>
        <v/>
      </c>
      <c r="K3738">
        <f>IF(A3738="","",IF(J3738&lt;=IFERROR(VLOOKUP(A3738,Cadastro_Produtos!$A:$E,5,FALSE),0),"ABAIXO DO MINIMO","OK"))</f>
        <v/>
      </c>
    </row>
    <row r="3739">
      <c r="B3739">
        <f>IFERROR(VLOOKUP(A3739,Cadastro_Produtos!A:B,2,FALSE),"")</f>
        <v/>
      </c>
      <c r="D3739" s="12" t="n"/>
      <c r="E3739" s="13">
        <f>IF(D3739="","",D3739-TODAY())</f>
        <v/>
      </c>
      <c r="F3739">
        <f>IF(D3739="","",IF(E3739&lt;0,"VENCIDO",IF(E3739&lt;=30,"VENCE EM &lt;= 30 DIAS",IF(E3739&lt;=60,"ATENCAO (31-60 DIAS)","OK"))))</f>
        <v/>
      </c>
      <c r="G3739" s="13">
        <f>SUMIFS(Movimentacoes!$G:$G,Movimentacoes!$C:$C,$A3739,Movimentacoes!$E:$E,$C3739,Movimentacoes!$B:$B,"ENTRADA")</f>
        <v/>
      </c>
      <c r="H3739" s="13">
        <f>SUMIFS(Movimentacoes!$G:$G,Movimentacoes!$C:$C,$A3739,Movimentacoes!$E:$E,$C3739,Movimentacoes!$B:$B,"SAIDA_USO")</f>
        <v/>
      </c>
      <c r="I3739" s="13">
        <f>SUMIFS(Movimentacoes!$G:$G,Movimentacoes!$C:$C,$A3739,Movimentacoes!$E:$E,$C3739,Movimentacoes!$B:$B,"SAIDA_DESCARTE")</f>
        <v/>
      </c>
      <c r="J3739" s="13">
        <f>G3739-H3739-I3739</f>
        <v/>
      </c>
      <c r="K3739">
        <f>IF(A3739="","",IF(J3739&lt;=IFERROR(VLOOKUP(A3739,Cadastro_Produtos!$A:$E,5,FALSE),0),"ABAIXO DO MINIMO","OK"))</f>
        <v/>
      </c>
    </row>
    <row r="3740">
      <c r="B3740">
        <f>IFERROR(VLOOKUP(A3740,Cadastro_Produtos!A:B,2,FALSE),"")</f>
        <v/>
      </c>
      <c r="D3740" s="12" t="n"/>
      <c r="E3740" s="13">
        <f>IF(D3740="","",D3740-TODAY())</f>
        <v/>
      </c>
      <c r="F3740">
        <f>IF(D3740="","",IF(E3740&lt;0,"VENCIDO",IF(E3740&lt;=30,"VENCE EM &lt;= 30 DIAS",IF(E3740&lt;=60,"ATENCAO (31-60 DIAS)","OK"))))</f>
        <v/>
      </c>
      <c r="G3740" s="13">
        <f>SUMIFS(Movimentacoes!$G:$G,Movimentacoes!$C:$C,$A3740,Movimentacoes!$E:$E,$C3740,Movimentacoes!$B:$B,"ENTRADA")</f>
        <v/>
      </c>
      <c r="H3740" s="13">
        <f>SUMIFS(Movimentacoes!$G:$G,Movimentacoes!$C:$C,$A3740,Movimentacoes!$E:$E,$C3740,Movimentacoes!$B:$B,"SAIDA_USO")</f>
        <v/>
      </c>
      <c r="I3740" s="13">
        <f>SUMIFS(Movimentacoes!$G:$G,Movimentacoes!$C:$C,$A3740,Movimentacoes!$E:$E,$C3740,Movimentacoes!$B:$B,"SAIDA_DESCARTE")</f>
        <v/>
      </c>
      <c r="J3740" s="13">
        <f>G3740-H3740-I3740</f>
        <v/>
      </c>
      <c r="K3740">
        <f>IF(A3740="","",IF(J3740&lt;=IFERROR(VLOOKUP(A3740,Cadastro_Produtos!$A:$E,5,FALSE),0),"ABAIXO DO MINIMO","OK"))</f>
        <v/>
      </c>
    </row>
    <row r="3741">
      <c r="B3741">
        <f>IFERROR(VLOOKUP(A3741,Cadastro_Produtos!A:B,2,FALSE),"")</f>
        <v/>
      </c>
      <c r="D3741" s="12" t="n"/>
      <c r="E3741" s="13">
        <f>IF(D3741="","",D3741-TODAY())</f>
        <v/>
      </c>
      <c r="F3741">
        <f>IF(D3741="","",IF(E3741&lt;0,"VENCIDO",IF(E3741&lt;=30,"VENCE EM &lt;= 30 DIAS",IF(E3741&lt;=60,"ATENCAO (31-60 DIAS)","OK"))))</f>
        <v/>
      </c>
      <c r="G3741" s="13">
        <f>SUMIFS(Movimentacoes!$G:$G,Movimentacoes!$C:$C,$A3741,Movimentacoes!$E:$E,$C3741,Movimentacoes!$B:$B,"ENTRADA")</f>
        <v/>
      </c>
      <c r="H3741" s="13">
        <f>SUMIFS(Movimentacoes!$G:$G,Movimentacoes!$C:$C,$A3741,Movimentacoes!$E:$E,$C3741,Movimentacoes!$B:$B,"SAIDA_USO")</f>
        <v/>
      </c>
      <c r="I3741" s="13">
        <f>SUMIFS(Movimentacoes!$G:$G,Movimentacoes!$C:$C,$A3741,Movimentacoes!$E:$E,$C3741,Movimentacoes!$B:$B,"SAIDA_DESCARTE")</f>
        <v/>
      </c>
      <c r="J3741" s="13">
        <f>G3741-H3741-I3741</f>
        <v/>
      </c>
      <c r="K3741">
        <f>IF(A3741="","",IF(J3741&lt;=IFERROR(VLOOKUP(A3741,Cadastro_Produtos!$A:$E,5,FALSE),0),"ABAIXO DO MINIMO","OK"))</f>
        <v/>
      </c>
    </row>
    <row r="3742">
      <c r="B3742">
        <f>IFERROR(VLOOKUP(A3742,Cadastro_Produtos!A:B,2,FALSE),"")</f>
        <v/>
      </c>
      <c r="D3742" s="12" t="n"/>
      <c r="E3742" s="13">
        <f>IF(D3742="","",D3742-TODAY())</f>
        <v/>
      </c>
      <c r="F3742">
        <f>IF(D3742="","",IF(E3742&lt;0,"VENCIDO",IF(E3742&lt;=30,"VENCE EM &lt;= 30 DIAS",IF(E3742&lt;=60,"ATENCAO (31-60 DIAS)","OK"))))</f>
        <v/>
      </c>
      <c r="G3742" s="13">
        <f>SUMIFS(Movimentacoes!$G:$G,Movimentacoes!$C:$C,$A3742,Movimentacoes!$E:$E,$C3742,Movimentacoes!$B:$B,"ENTRADA")</f>
        <v/>
      </c>
      <c r="H3742" s="13">
        <f>SUMIFS(Movimentacoes!$G:$G,Movimentacoes!$C:$C,$A3742,Movimentacoes!$E:$E,$C3742,Movimentacoes!$B:$B,"SAIDA_USO")</f>
        <v/>
      </c>
      <c r="I3742" s="13">
        <f>SUMIFS(Movimentacoes!$G:$G,Movimentacoes!$C:$C,$A3742,Movimentacoes!$E:$E,$C3742,Movimentacoes!$B:$B,"SAIDA_DESCARTE")</f>
        <v/>
      </c>
      <c r="J3742" s="13">
        <f>G3742-H3742-I3742</f>
        <v/>
      </c>
      <c r="K3742">
        <f>IF(A3742="","",IF(J3742&lt;=IFERROR(VLOOKUP(A3742,Cadastro_Produtos!$A:$E,5,FALSE),0),"ABAIXO DO MINIMO","OK"))</f>
        <v/>
      </c>
    </row>
    <row r="3743">
      <c r="B3743">
        <f>IFERROR(VLOOKUP(A3743,Cadastro_Produtos!A:B,2,FALSE),"")</f>
        <v/>
      </c>
      <c r="D3743" s="12" t="n"/>
      <c r="E3743" s="13">
        <f>IF(D3743="","",D3743-TODAY())</f>
        <v/>
      </c>
      <c r="F3743">
        <f>IF(D3743="","",IF(E3743&lt;0,"VENCIDO",IF(E3743&lt;=30,"VENCE EM &lt;= 30 DIAS",IF(E3743&lt;=60,"ATENCAO (31-60 DIAS)","OK"))))</f>
        <v/>
      </c>
      <c r="G3743" s="13">
        <f>SUMIFS(Movimentacoes!$G:$G,Movimentacoes!$C:$C,$A3743,Movimentacoes!$E:$E,$C3743,Movimentacoes!$B:$B,"ENTRADA")</f>
        <v/>
      </c>
      <c r="H3743" s="13">
        <f>SUMIFS(Movimentacoes!$G:$G,Movimentacoes!$C:$C,$A3743,Movimentacoes!$E:$E,$C3743,Movimentacoes!$B:$B,"SAIDA_USO")</f>
        <v/>
      </c>
      <c r="I3743" s="13">
        <f>SUMIFS(Movimentacoes!$G:$G,Movimentacoes!$C:$C,$A3743,Movimentacoes!$E:$E,$C3743,Movimentacoes!$B:$B,"SAIDA_DESCARTE")</f>
        <v/>
      </c>
      <c r="J3743" s="13">
        <f>G3743-H3743-I3743</f>
        <v/>
      </c>
      <c r="K3743">
        <f>IF(A3743="","",IF(J3743&lt;=IFERROR(VLOOKUP(A3743,Cadastro_Produtos!$A:$E,5,FALSE),0),"ABAIXO DO MINIMO","OK"))</f>
        <v/>
      </c>
    </row>
    <row r="3744">
      <c r="B3744">
        <f>IFERROR(VLOOKUP(A3744,Cadastro_Produtos!A:B,2,FALSE),"")</f>
        <v/>
      </c>
      <c r="D3744" s="12" t="n"/>
      <c r="E3744" s="13">
        <f>IF(D3744="","",D3744-TODAY())</f>
        <v/>
      </c>
      <c r="F3744">
        <f>IF(D3744="","",IF(E3744&lt;0,"VENCIDO",IF(E3744&lt;=30,"VENCE EM &lt;= 30 DIAS",IF(E3744&lt;=60,"ATENCAO (31-60 DIAS)","OK"))))</f>
        <v/>
      </c>
      <c r="G3744" s="13">
        <f>SUMIFS(Movimentacoes!$G:$G,Movimentacoes!$C:$C,$A3744,Movimentacoes!$E:$E,$C3744,Movimentacoes!$B:$B,"ENTRADA")</f>
        <v/>
      </c>
      <c r="H3744" s="13">
        <f>SUMIFS(Movimentacoes!$G:$G,Movimentacoes!$C:$C,$A3744,Movimentacoes!$E:$E,$C3744,Movimentacoes!$B:$B,"SAIDA_USO")</f>
        <v/>
      </c>
      <c r="I3744" s="13">
        <f>SUMIFS(Movimentacoes!$G:$G,Movimentacoes!$C:$C,$A3744,Movimentacoes!$E:$E,$C3744,Movimentacoes!$B:$B,"SAIDA_DESCARTE")</f>
        <v/>
      </c>
      <c r="J3744" s="13">
        <f>G3744-H3744-I3744</f>
        <v/>
      </c>
      <c r="K3744">
        <f>IF(A3744="","",IF(J3744&lt;=IFERROR(VLOOKUP(A3744,Cadastro_Produtos!$A:$E,5,FALSE),0),"ABAIXO DO MINIMO","OK"))</f>
        <v/>
      </c>
    </row>
    <row r="3745">
      <c r="B3745">
        <f>IFERROR(VLOOKUP(A3745,Cadastro_Produtos!A:B,2,FALSE),"")</f>
        <v/>
      </c>
      <c r="D3745" s="12" t="n"/>
      <c r="E3745" s="13">
        <f>IF(D3745="","",D3745-TODAY())</f>
        <v/>
      </c>
      <c r="F3745">
        <f>IF(D3745="","",IF(E3745&lt;0,"VENCIDO",IF(E3745&lt;=30,"VENCE EM &lt;= 30 DIAS",IF(E3745&lt;=60,"ATENCAO (31-60 DIAS)","OK"))))</f>
        <v/>
      </c>
      <c r="G3745" s="13">
        <f>SUMIFS(Movimentacoes!$G:$G,Movimentacoes!$C:$C,$A3745,Movimentacoes!$E:$E,$C3745,Movimentacoes!$B:$B,"ENTRADA")</f>
        <v/>
      </c>
      <c r="H3745" s="13">
        <f>SUMIFS(Movimentacoes!$G:$G,Movimentacoes!$C:$C,$A3745,Movimentacoes!$E:$E,$C3745,Movimentacoes!$B:$B,"SAIDA_USO")</f>
        <v/>
      </c>
      <c r="I3745" s="13">
        <f>SUMIFS(Movimentacoes!$G:$G,Movimentacoes!$C:$C,$A3745,Movimentacoes!$E:$E,$C3745,Movimentacoes!$B:$B,"SAIDA_DESCARTE")</f>
        <v/>
      </c>
      <c r="J3745" s="13">
        <f>G3745-H3745-I3745</f>
        <v/>
      </c>
      <c r="K3745">
        <f>IF(A3745="","",IF(J3745&lt;=IFERROR(VLOOKUP(A3745,Cadastro_Produtos!$A:$E,5,FALSE),0),"ABAIXO DO MINIMO","OK"))</f>
        <v/>
      </c>
    </row>
    <row r="3746">
      <c r="B3746">
        <f>IFERROR(VLOOKUP(A3746,Cadastro_Produtos!A:B,2,FALSE),"")</f>
        <v/>
      </c>
      <c r="D3746" s="12" t="n"/>
      <c r="E3746" s="13">
        <f>IF(D3746="","",D3746-TODAY())</f>
        <v/>
      </c>
      <c r="F3746">
        <f>IF(D3746="","",IF(E3746&lt;0,"VENCIDO",IF(E3746&lt;=30,"VENCE EM &lt;= 30 DIAS",IF(E3746&lt;=60,"ATENCAO (31-60 DIAS)","OK"))))</f>
        <v/>
      </c>
      <c r="G3746" s="13">
        <f>SUMIFS(Movimentacoes!$G:$G,Movimentacoes!$C:$C,$A3746,Movimentacoes!$E:$E,$C3746,Movimentacoes!$B:$B,"ENTRADA")</f>
        <v/>
      </c>
      <c r="H3746" s="13">
        <f>SUMIFS(Movimentacoes!$G:$G,Movimentacoes!$C:$C,$A3746,Movimentacoes!$E:$E,$C3746,Movimentacoes!$B:$B,"SAIDA_USO")</f>
        <v/>
      </c>
      <c r="I3746" s="13">
        <f>SUMIFS(Movimentacoes!$G:$G,Movimentacoes!$C:$C,$A3746,Movimentacoes!$E:$E,$C3746,Movimentacoes!$B:$B,"SAIDA_DESCARTE")</f>
        <v/>
      </c>
      <c r="J3746" s="13">
        <f>G3746-H3746-I3746</f>
        <v/>
      </c>
      <c r="K3746">
        <f>IF(A3746="","",IF(J3746&lt;=IFERROR(VLOOKUP(A3746,Cadastro_Produtos!$A:$E,5,FALSE),0),"ABAIXO DO MINIMO","OK"))</f>
        <v/>
      </c>
    </row>
    <row r="3747">
      <c r="B3747">
        <f>IFERROR(VLOOKUP(A3747,Cadastro_Produtos!A:B,2,FALSE),"")</f>
        <v/>
      </c>
      <c r="D3747" s="12" t="n"/>
      <c r="E3747" s="13">
        <f>IF(D3747="","",D3747-TODAY())</f>
        <v/>
      </c>
      <c r="F3747">
        <f>IF(D3747="","",IF(E3747&lt;0,"VENCIDO",IF(E3747&lt;=30,"VENCE EM &lt;= 30 DIAS",IF(E3747&lt;=60,"ATENCAO (31-60 DIAS)","OK"))))</f>
        <v/>
      </c>
      <c r="G3747" s="13">
        <f>SUMIFS(Movimentacoes!$G:$G,Movimentacoes!$C:$C,$A3747,Movimentacoes!$E:$E,$C3747,Movimentacoes!$B:$B,"ENTRADA")</f>
        <v/>
      </c>
      <c r="H3747" s="13">
        <f>SUMIFS(Movimentacoes!$G:$G,Movimentacoes!$C:$C,$A3747,Movimentacoes!$E:$E,$C3747,Movimentacoes!$B:$B,"SAIDA_USO")</f>
        <v/>
      </c>
      <c r="I3747" s="13">
        <f>SUMIFS(Movimentacoes!$G:$G,Movimentacoes!$C:$C,$A3747,Movimentacoes!$E:$E,$C3747,Movimentacoes!$B:$B,"SAIDA_DESCARTE")</f>
        <v/>
      </c>
      <c r="J3747" s="13">
        <f>G3747-H3747-I3747</f>
        <v/>
      </c>
      <c r="K3747">
        <f>IF(A3747="","",IF(J3747&lt;=IFERROR(VLOOKUP(A3747,Cadastro_Produtos!$A:$E,5,FALSE),0),"ABAIXO DO MINIMO","OK"))</f>
        <v/>
      </c>
    </row>
    <row r="3748">
      <c r="B3748">
        <f>IFERROR(VLOOKUP(A3748,Cadastro_Produtos!A:B,2,FALSE),"")</f>
        <v/>
      </c>
      <c r="D3748" s="12" t="n"/>
      <c r="E3748" s="13">
        <f>IF(D3748="","",D3748-TODAY())</f>
        <v/>
      </c>
      <c r="F3748">
        <f>IF(D3748="","",IF(E3748&lt;0,"VENCIDO",IF(E3748&lt;=30,"VENCE EM &lt;= 30 DIAS",IF(E3748&lt;=60,"ATENCAO (31-60 DIAS)","OK"))))</f>
        <v/>
      </c>
      <c r="G3748" s="13">
        <f>SUMIFS(Movimentacoes!$G:$G,Movimentacoes!$C:$C,$A3748,Movimentacoes!$E:$E,$C3748,Movimentacoes!$B:$B,"ENTRADA")</f>
        <v/>
      </c>
      <c r="H3748" s="13">
        <f>SUMIFS(Movimentacoes!$G:$G,Movimentacoes!$C:$C,$A3748,Movimentacoes!$E:$E,$C3748,Movimentacoes!$B:$B,"SAIDA_USO")</f>
        <v/>
      </c>
      <c r="I3748" s="13">
        <f>SUMIFS(Movimentacoes!$G:$G,Movimentacoes!$C:$C,$A3748,Movimentacoes!$E:$E,$C3748,Movimentacoes!$B:$B,"SAIDA_DESCARTE")</f>
        <v/>
      </c>
      <c r="J3748" s="13">
        <f>G3748-H3748-I3748</f>
        <v/>
      </c>
      <c r="K3748">
        <f>IF(A3748="","",IF(J3748&lt;=IFERROR(VLOOKUP(A3748,Cadastro_Produtos!$A:$E,5,FALSE),0),"ABAIXO DO MINIMO","OK"))</f>
        <v/>
      </c>
    </row>
    <row r="3749">
      <c r="B3749">
        <f>IFERROR(VLOOKUP(A3749,Cadastro_Produtos!A:B,2,FALSE),"")</f>
        <v/>
      </c>
      <c r="D3749" s="12" t="n"/>
      <c r="E3749" s="13">
        <f>IF(D3749="","",D3749-TODAY())</f>
        <v/>
      </c>
      <c r="F3749">
        <f>IF(D3749="","",IF(E3749&lt;0,"VENCIDO",IF(E3749&lt;=30,"VENCE EM &lt;= 30 DIAS",IF(E3749&lt;=60,"ATENCAO (31-60 DIAS)","OK"))))</f>
        <v/>
      </c>
      <c r="G3749" s="13">
        <f>SUMIFS(Movimentacoes!$G:$G,Movimentacoes!$C:$C,$A3749,Movimentacoes!$E:$E,$C3749,Movimentacoes!$B:$B,"ENTRADA")</f>
        <v/>
      </c>
      <c r="H3749" s="13">
        <f>SUMIFS(Movimentacoes!$G:$G,Movimentacoes!$C:$C,$A3749,Movimentacoes!$E:$E,$C3749,Movimentacoes!$B:$B,"SAIDA_USO")</f>
        <v/>
      </c>
      <c r="I3749" s="13">
        <f>SUMIFS(Movimentacoes!$G:$G,Movimentacoes!$C:$C,$A3749,Movimentacoes!$E:$E,$C3749,Movimentacoes!$B:$B,"SAIDA_DESCARTE")</f>
        <v/>
      </c>
      <c r="J3749" s="13">
        <f>G3749-H3749-I3749</f>
        <v/>
      </c>
      <c r="K3749">
        <f>IF(A3749="","",IF(J3749&lt;=IFERROR(VLOOKUP(A3749,Cadastro_Produtos!$A:$E,5,FALSE),0),"ABAIXO DO MINIMO","OK"))</f>
        <v/>
      </c>
    </row>
    <row r="3750">
      <c r="B3750">
        <f>IFERROR(VLOOKUP(A3750,Cadastro_Produtos!A:B,2,FALSE),"")</f>
        <v/>
      </c>
      <c r="D3750" s="12" t="n"/>
      <c r="E3750" s="13">
        <f>IF(D3750="","",D3750-TODAY())</f>
        <v/>
      </c>
      <c r="F3750">
        <f>IF(D3750="","",IF(E3750&lt;0,"VENCIDO",IF(E3750&lt;=30,"VENCE EM &lt;= 30 DIAS",IF(E3750&lt;=60,"ATENCAO (31-60 DIAS)","OK"))))</f>
        <v/>
      </c>
      <c r="G3750" s="13">
        <f>SUMIFS(Movimentacoes!$G:$G,Movimentacoes!$C:$C,$A3750,Movimentacoes!$E:$E,$C3750,Movimentacoes!$B:$B,"ENTRADA")</f>
        <v/>
      </c>
      <c r="H3750" s="13">
        <f>SUMIFS(Movimentacoes!$G:$G,Movimentacoes!$C:$C,$A3750,Movimentacoes!$E:$E,$C3750,Movimentacoes!$B:$B,"SAIDA_USO")</f>
        <v/>
      </c>
      <c r="I3750" s="13">
        <f>SUMIFS(Movimentacoes!$G:$G,Movimentacoes!$C:$C,$A3750,Movimentacoes!$E:$E,$C3750,Movimentacoes!$B:$B,"SAIDA_DESCARTE")</f>
        <v/>
      </c>
      <c r="J3750" s="13">
        <f>G3750-H3750-I3750</f>
        <v/>
      </c>
      <c r="K3750">
        <f>IF(A3750="","",IF(J3750&lt;=IFERROR(VLOOKUP(A3750,Cadastro_Produtos!$A:$E,5,FALSE),0),"ABAIXO DO MINIMO","OK"))</f>
        <v/>
      </c>
    </row>
    <row r="3751">
      <c r="B3751">
        <f>IFERROR(VLOOKUP(A3751,Cadastro_Produtos!A:B,2,FALSE),"")</f>
        <v/>
      </c>
      <c r="D3751" s="12" t="n"/>
      <c r="E3751" s="13">
        <f>IF(D3751="","",D3751-TODAY())</f>
        <v/>
      </c>
      <c r="F3751">
        <f>IF(D3751="","",IF(E3751&lt;0,"VENCIDO",IF(E3751&lt;=30,"VENCE EM &lt;= 30 DIAS",IF(E3751&lt;=60,"ATENCAO (31-60 DIAS)","OK"))))</f>
        <v/>
      </c>
      <c r="G3751" s="13">
        <f>SUMIFS(Movimentacoes!$G:$G,Movimentacoes!$C:$C,$A3751,Movimentacoes!$E:$E,$C3751,Movimentacoes!$B:$B,"ENTRADA")</f>
        <v/>
      </c>
      <c r="H3751" s="13">
        <f>SUMIFS(Movimentacoes!$G:$G,Movimentacoes!$C:$C,$A3751,Movimentacoes!$E:$E,$C3751,Movimentacoes!$B:$B,"SAIDA_USO")</f>
        <v/>
      </c>
      <c r="I3751" s="13">
        <f>SUMIFS(Movimentacoes!$G:$G,Movimentacoes!$C:$C,$A3751,Movimentacoes!$E:$E,$C3751,Movimentacoes!$B:$B,"SAIDA_DESCARTE")</f>
        <v/>
      </c>
      <c r="J3751" s="13">
        <f>G3751-H3751-I3751</f>
        <v/>
      </c>
      <c r="K3751">
        <f>IF(A3751="","",IF(J3751&lt;=IFERROR(VLOOKUP(A3751,Cadastro_Produtos!$A:$E,5,FALSE),0),"ABAIXO DO MINIMO","OK"))</f>
        <v/>
      </c>
    </row>
    <row r="3752">
      <c r="B3752">
        <f>IFERROR(VLOOKUP(A3752,Cadastro_Produtos!A:B,2,FALSE),"")</f>
        <v/>
      </c>
      <c r="D3752" s="12" t="n"/>
      <c r="E3752" s="13">
        <f>IF(D3752="","",D3752-TODAY())</f>
        <v/>
      </c>
      <c r="F3752">
        <f>IF(D3752="","",IF(E3752&lt;0,"VENCIDO",IF(E3752&lt;=30,"VENCE EM &lt;= 30 DIAS",IF(E3752&lt;=60,"ATENCAO (31-60 DIAS)","OK"))))</f>
        <v/>
      </c>
      <c r="G3752" s="13">
        <f>SUMIFS(Movimentacoes!$G:$G,Movimentacoes!$C:$C,$A3752,Movimentacoes!$E:$E,$C3752,Movimentacoes!$B:$B,"ENTRADA")</f>
        <v/>
      </c>
      <c r="H3752" s="13">
        <f>SUMIFS(Movimentacoes!$G:$G,Movimentacoes!$C:$C,$A3752,Movimentacoes!$E:$E,$C3752,Movimentacoes!$B:$B,"SAIDA_USO")</f>
        <v/>
      </c>
      <c r="I3752" s="13">
        <f>SUMIFS(Movimentacoes!$G:$G,Movimentacoes!$C:$C,$A3752,Movimentacoes!$E:$E,$C3752,Movimentacoes!$B:$B,"SAIDA_DESCARTE")</f>
        <v/>
      </c>
      <c r="J3752" s="13">
        <f>G3752-H3752-I3752</f>
        <v/>
      </c>
      <c r="K3752">
        <f>IF(A3752="","",IF(J3752&lt;=IFERROR(VLOOKUP(A3752,Cadastro_Produtos!$A:$E,5,FALSE),0),"ABAIXO DO MINIMO","OK"))</f>
        <v/>
      </c>
    </row>
    <row r="3753">
      <c r="B3753">
        <f>IFERROR(VLOOKUP(A3753,Cadastro_Produtos!A:B,2,FALSE),"")</f>
        <v/>
      </c>
      <c r="D3753" s="12" t="n"/>
      <c r="E3753" s="13">
        <f>IF(D3753="","",D3753-TODAY())</f>
        <v/>
      </c>
      <c r="F3753">
        <f>IF(D3753="","",IF(E3753&lt;0,"VENCIDO",IF(E3753&lt;=30,"VENCE EM &lt;= 30 DIAS",IF(E3753&lt;=60,"ATENCAO (31-60 DIAS)","OK"))))</f>
        <v/>
      </c>
      <c r="G3753" s="13">
        <f>SUMIFS(Movimentacoes!$G:$G,Movimentacoes!$C:$C,$A3753,Movimentacoes!$E:$E,$C3753,Movimentacoes!$B:$B,"ENTRADA")</f>
        <v/>
      </c>
      <c r="H3753" s="13">
        <f>SUMIFS(Movimentacoes!$G:$G,Movimentacoes!$C:$C,$A3753,Movimentacoes!$E:$E,$C3753,Movimentacoes!$B:$B,"SAIDA_USO")</f>
        <v/>
      </c>
      <c r="I3753" s="13">
        <f>SUMIFS(Movimentacoes!$G:$G,Movimentacoes!$C:$C,$A3753,Movimentacoes!$E:$E,$C3753,Movimentacoes!$B:$B,"SAIDA_DESCARTE")</f>
        <v/>
      </c>
      <c r="J3753" s="13">
        <f>G3753-H3753-I3753</f>
        <v/>
      </c>
      <c r="K3753">
        <f>IF(A3753="","",IF(J3753&lt;=IFERROR(VLOOKUP(A3753,Cadastro_Produtos!$A:$E,5,FALSE),0),"ABAIXO DO MINIMO","OK"))</f>
        <v/>
      </c>
    </row>
    <row r="3754">
      <c r="B3754">
        <f>IFERROR(VLOOKUP(A3754,Cadastro_Produtos!A:B,2,FALSE),"")</f>
        <v/>
      </c>
      <c r="D3754" s="12" t="n"/>
      <c r="E3754" s="13">
        <f>IF(D3754="","",D3754-TODAY())</f>
        <v/>
      </c>
      <c r="F3754">
        <f>IF(D3754="","",IF(E3754&lt;0,"VENCIDO",IF(E3754&lt;=30,"VENCE EM &lt;= 30 DIAS",IF(E3754&lt;=60,"ATENCAO (31-60 DIAS)","OK"))))</f>
        <v/>
      </c>
      <c r="G3754" s="13">
        <f>SUMIFS(Movimentacoes!$G:$G,Movimentacoes!$C:$C,$A3754,Movimentacoes!$E:$E,$C3754,Movimentacoes!$B:$B,"ENTRADA")</f>
        <v/>
      </c>
      <c r="H3754" s="13">
        <f>SUMIFS(Movimentacoes!$G:$G,Movimentacoes!$C:$C,$A3754,Movimentacoes!$E:$E,$C3754,Movimentacoes!$B:$B,"SAIDA_USO")</f>
        <v/>
      </c>
      <c r="I3754" s="13">
        <f>SUMIFS(Movimentacoes!$G:$G,Movimentacoes!$C:$C,$A3754,Movimentacoes!$E:$E,$C3754,Movimentacoes!$B:$B,"SAIDA_DESCARTE")</f>
        <v/>
      </c>
      <c r="J3754" s="13">
        <f>G3754-H3754-I3754</f>
        <v/>
      </c>
      <c r="K3754">
        <f>IF(A3754="","",IF(J3754&lt;=IFERROR(VLOOKUP(A3754,Cadastro_Produtos!$A:$E,5,FALSE),0),"ABAIXO DO MINIMO","OK"))</f>
        <v/>
      </c>
    </row>
    <row r="3755">
      <c r="B3755">
        <f>IFERROR(VLOOKUP(A3755,Cadastro_Produtos!A:B,2,FALSE),"")</f>
        <v/>
      </c>
      <c r="D3755" s="12" t="n"/>
      <c r="E3755" s="13">
        <f>IF(D3755="","",D3755-TODAY())</f>
        <v/>
      </c>
      <c r="F3755">
        <f>IF(D3755="","",IF(E3755&lt;0,"VENCIDO",IF(E3755&lt;=30,"VENCE EM &lt;= 30 DIAS",IF(E3755&lt;=60,"ATENCAO (31-60 DIAS)","OK"))))</f>
        <v/>
      </c>
      <c r="G3755" s="13">
        <f>SUMIFS(Movimentacoes!$G:$G,Movimentacoes!$C:$C,$A3755,Movimentacoes!$E:$E,$C3755,Movimentacoes!$B:$B,"ENTRADA")</f>
        <v/>
      </c>
      <c r="H3755" s="13">
        <f>SUMIFS(Movimentacoes!$G:$G,Movimentacoes!$C:$C,$A3755,Movimentacoes!$E:$E,$C3755,Movimentacoes!$B:$B,"SAIDA_USO")</f>
        <v/>
      </c>
      <c r="I3755" s="13">
        <f>SUMIFS(Movimentacoes!$G:$G,Movimentacoes!$C:$C,$A3755,Movimentacoes!$E:$E,$C3755,Movimentacoes!$B:$B,"SAIDA_DESCARTE")</f>
        <v/>
      </c>
      <c r="J3755" s="13">
        <f>G3755-H3755-I3755</f>
        <v/>
      </c>
      <c r="K3755">
        <f>IF(A3755="","",IF(J3755&lt;=IFERROR(VLOOKUP(A3755,Cadastro_Produtos!$A:$E,5,FALSE),0),"ABAIXO DO MINIMO","OK"))</f>
        <v/>
      </c>
    </row>
    <row r="3756">
      <c r="B3756">
        <f>IFERROR(VLOOKUP(A3756,Cadastro_Produtos!A:B,2,FALSE),"")</f>
        <v/>
      </c>
      <c r="D3756" s="12" t="n"/>
      <c r="E3756" s="13">
        <f>IF(D3756="","",D3756-TODAY())</f>
        <v/>
      </c>
      <c r="F3756">
        <f>IF(D3756="","",IF(E3756&lt;0,"VENCIDO",IF(E3756&lt;=30,"VENCE EM &lt;= 30 DIAS",IF(E3756&lt;=60,"ATENCAO (31-60 DIAS)","OK"))))</f>
        <v/>
      </c>
      <c r="G3756" s="13">
        <f>SUMIFS(Movimentacoes!$G:$G,Movimentacoes!$C:$C,$A3756,Movimentacoes!$E:$E,$C3756,Movimentacoes!$B:$B,"ENTRADA")</f>
        <v/>
      </c>
      <c r="H3756" s="13">
        <f>SUMIFS(Movimentacoes!$G:$G,Movimentacoes!$C:$C,$A3756,Movimentacoes!$E:$E,$C3756,Movimentacoes!$B:$B,"SAIDA_USO")</f>
        <v/>
      </c>
      <c r="I3756" s="13">
        <f>SUMIFS(Movimentacoes!$G:$G,Movimentacoes!$C:$C,$A3756,Movimentacoes!$E:$E,$C3756,Movimentacoes!$B:$B,"SAIDA_DESCARTE")</f>
        <v/>
      </c>
      <c r="J3756" s="13">
        <f>G3756-H3756-I3756</f>
        <v/>
      </c>
      <c r="K3756">
        <f>IF(A3756="","",IF(J3756&lt;=IFERROR(VLOOKUP(A3756,Cadastro_Produtos!$A:$E,5,FALSE),0),"ABAIXO DO MINIMO","OK"))</f>
        <v/>
      </c>
    </row>
    <row r="3757">
      <c r="B3757">
        <f>IFERROR(VLOOKUP(A3757,Cadastro_Produtos!A:B,2,FALSE),"")</f>
        <v/>
      </c>
      <c r="D3757" s="12" t="n"/>
      <c r="E3757" s="13">
        <f>IF(D3757="","",D3757-TODAY())</f>
        <v/>
      </c>
      <c r="F3757">
        <f>IF(D3757="","",IF(E3757&lt;0,"VENCIDO",IF(E3757&lt;=30,"VENCE EM &lt;= 30 DIAS",IF(E3757&lt;=60,"ATENCAO (31-60 DIAS)","OK"))))</f>
        <v/>
      </c>
      <c r="G3757" s="13">
        <f>SUMIFS(Movimentacoes!$G:$G,Movimentacoes!$C:$C,$A3757,Movimentacoes!$E:$E,$C3757,Movimentacoes!$B:$B,"ENTRADA")</f>
        <v/>
      </c>
      <c r="H3757" s="13">
        <f>SUMIFS(Movimentacoes!$G:$G,Movimentacoes!$C:$C,$A3757,Movimentacoes!$E:$E,$C3757,Movimentacoes!$B:$B,"SAIDA_USO")</f>
        <v/>
      </c>
      <c r="I3757" s="13">
        <f>SUMIFS(Movimentacoes!$G:$G,Movimentacoes!$C:$C,$A3757,Movimentacoes!$E:$E,$C3757,Movimentacoes!$B:$B,"SAIDA_DESCARTE")</f>
        <v/>
      </c>
      <c r="J3757" s="13">
        <f>G3757-H3757-I3757</f>
        <v/>
      </c>
      <c r="K3757">
        <f>IF(A3757="","",IF(J3757&lt;=IFERROR(VLOOKUP(A3757,Cadastro_Produtos!$A:$E,5,FALSE),0),"ABAIXO DO MINIMO","OK"))</f>
        <v/>
      </c>
    </row>
    <row r="3758">
      <c r="B3758">
        <f>IFERROR(VLOOKUP(A3758,Cadastro_Produtos!A:B,2,FALSE),"")</f>
        <v/>
      </c>
      <c r="D3758" s="12" t="n"/>
      <c r="E3758" s="13">
        <f>IF(D3758="","",D3758-TODAY())</f>
        <v/>
      </c>
      <c r="F3758">
        <f>IF(D3758="","",IF(E3758&lt;0,"VENCIDO",IF(E3758&lt;=30,"VENCE EM &lt;= 30 DIAS",IF(E3758&lt;=60,"ATENCAO (31-60 DIAS)","OK"))))</f>
        <v/>
      </c>
      <c r="G3758" s="13">
        <f>SUMIFS(Movimentacoes!$G:$G,Movimentacoes!$C:$C,$A3758,Movimentacoes!$E:$E,$C3758,Movimentacoes!$B:$B,"ENTRADA")</f>
        <v/>
      </c>
      <c r="H3758" s="13">
        <f>SUMIFS(Movimentacoes!$G:$G,Movimentacoes!$C:$C,$A3758,Movimentacoes!$E:$E,$C3758,Movimentacoes!$B:$B,"SAIDA_USO")</f>
        <v/>
      </c>
      <c r="I3758" s="13">
        <f>SUMIFS(Movimentacoes!$G:$G,Movimentacoes!$C:$C,$A3758,Movimentacoes!$E:$E,$C3758,Movimentacoes!$B:$B,"SAIDA_DESCARTE")</f>
        <v/>
      </c>
      <c r="J3758" s="13">
        <f>G3758-H3758-I3758</f>
        <v/>
      </c>
      <c r="K3758">
        <f>IF(A3758="","",IF(J3758&lt;=IFERROR(VLOOKUP(A3758,Cadastro_Produtos!$A:$E,5,FALSE),0),"ABAIXO DO MINIMO","OK"))</f>
        <v/>
      </c>
    </row>
    <row r="3759">
      <c r="B3759">
        <f>IFERROR(VLOOKUP(A3759,Cadastro_Produtos!A:B,2,FALSE),"")</f>
        <v/>
      </c>
      <c r="D3759" s="12" t="n"/>
      <c r="E3759" s="13">
        <f>IF(D3759="","",D3759-TODAY())</f>
        <v/>
      </c>
      <c r="F3759">
        <f>IF(D3759="","",IF(E3759&lt;0,"VENCIDO",IF(E3759&lt;=30,"VENCE EM &lt;= 30 DIAS",IF(E3759&lt;=60,"ATENCAO (31-60 DIAS)","OK"))))</f>
        <v/>
      </c>
      <c r="G3759" s="13">
        <f>SUMIFS(Movimentacoes!$G:$G,Movimentacoes!$C:$C,$A3759,Movimentacoes!$E:$E,$C3759,Movimentacoes!$B:$B,"ENTRADA")</f>
        <v/>
      </c>
      <c r="H3759" s="13">
        <f>SUMIFS(Movimentacoes!$G:$G,Movimentacoes!$C:$C,$A3759,Movimentacoes!$E:$E,$C3759,Movimentacoes!$B:$B,"SAIDA_USO")</f>
        <v/>
      </c>
      <c r="I3759" s="13">
        <f>SUMIFS(Movimentacoes!$G:$G,Movimentacoes!$C:$C,$A3759,Movimentacoes!$E:$E,$C3759,Movimentacoes!$B:$B,"SAIDA_DESCARTE")</f>
        <v/>
      </c>
      <c r="J3759" s="13">
        <f>G3759-H3759-I3759</f>
        <v/>
      </c>
      <c r="K3759">
        <f>IF(A3759="","",IF(J3759&lt;=IFERROR(VLOOKUP(A3759,Cadastro_Produtos!$A:$E,5,FALSE),0),"ABAIXO DO MINIMO","OK"))</f>
        <v/>
      </c>
    </row>
    <row r="3760">
      <c r="B3760">
        <f>IFERROR(VLOOKUP(A3760,Cadastro_Produtos!A:B,2,FALSE),"")</f>
        <v/>
      </c>
      <c r="D3760" s="12" t="n"/>
      <c r="E3760" s="13">
        <f>IF(D3760="","",D3760-TODAY())</f>
        <v/>
      </c>
      <c r="F3760">
        <f>IF(D3760="","",IF(E3760&lt;0,"VENCIDO",IF(E3760&lt;=30,"VENCE EM &lt;= 30 DIAS",IF(E3760&lt;=60,"ATENCAO (31-60 DIAS)","OK"))))</f>
        <v/>
      </c>
      <c r="G3760" s="13">
        <f>SUMIFS(Movimentacoes!$G:$G,Movimentacoes!$C:$C,$A3760,Movimentacoes!$E:$E,$C3760,Movimentacoes!$B:$B,"ENTRADA")</f>
        <v/>
      </c>
      <c r="H3760" s="13">
        <f>SUMIFS(Movimentacoes!$G:$G,Movimentacoes!$C:$C,$A3760,Movimentacoes!$E:$E,$C3760,Movimentacoes!$B:$B,"SAIDA_USO")</f>
        <v/>
      </c>
      <c r="I3760" s="13">
        <f>SUMIFS(Movimentacoes!$G:$G,Movimentacoes!$C:$C,$A3760,Movimentacoes!$E:$E,$C3760,Movimentacoes!$B:$B,"SAIDA_DESCARTE")</f>
        <v/>
      </c>
      <c r="J3760" s="13">
        <f>G3760-H3760-I3760</f>
        <v/>
      </c>
      <c r="K3760">
        <f>IF(A3760="","",IF(J3760&lt;=IFERROR(VLOOKUP(A3760,Cadastro_Produtos!$A:$E,5,FALSE),0),"ABAIXO DO MINIMO","OK"))</f>
        <v/>
      </c>
    </row>
    <row r="3761">
      <c r="B3761">
        <f>IFERROR(VLOOKUP(A3761,Cadastro_Produtos!A:B,2,FALSE),"")</f>
        <v/>
      </c>
      <c r="D3761" s="12" t="n"/>
      <c r="E3761" s="13">
        <f>IF(D3761="","",D3761-TODAY())</f>
        <v/>
      </c>
      <c r="F3761">
        <f>IF(D3761="","",IF(E3761&lt;0,"VENCIDO",IF(E3761&lt;=30,"VENCE EM &lt;= 30 DIAS",IF(E3761&lt;=60,"ATENCAO (31-60 DIAS)","OK"))))</f>
        <v/>
      </c>
      <c r="G3761" s="13">
        <f>SUMIFS(Movimentacoes!$G:$G,Movimentacoes!$C:$C,$A3761,Movimentacoes!$E:$E,$C3761,Movimentacoes!$B:$B,"ENTRADA")</f>
        <v/>
      </c>
      <c r="H3761" s="13">
        <f>SUMIFS(Movimentacoes!$G:$G,Movimentacoes!$C:$C,$A3761,Movimentacoes!$E:$E,$C3761,Movimentacoes!$B:$B,"SAIDA_USO")</f>
        <v/>
      </c>
      <c r="I3761" s="13">
        <f>SUMIFS(Movimentacoes!$G:$G,Movimentacoes!$C:$C,$A3761,Movimentacoes!$E:$E,$C3761,Movimentacoes!$B:$B,"SAIDA_DESCARTE")</f>
        <v/>
      </c>
      <c r="J3761" s="13">
        <f>G3761-H3761-I3761</f>
        <v/>
      </c>
      <c r="K3761">
        <f>IF(A3761="","",IF(J3761&lt;=IFERROR(VLOOKUP(A3761,Cadastro_Produtos!$A:$E,5,FALSE),0),"ABAIXO DO MINIMO","OK"))</f>
        <v/>
      </c>
    </row>
    <row r="3762">
      <c r="B3762">
        <f>IFERROR(VLOOKUP(A3762,Cadastro_Produtos!A:B,2,FALSE),"")</f>
        <v/>
      </c>
      <c r="D3762" s="12" t="n"/>
      <c r="E3762" s="13">
        <f>IF(D3762="","",D3762-TODAY())</f>
        <v/>
      </c>
      <c r="F3762">
        <f>IF(D3762="","",IF(E3762&lt;0,"VENCIDO",IF(E3762&lt;=30,"VENCE EM &lt;= 30 DIAS",IF(E3762&lt;=60,"ATENCAO (31-60 DIAS)","OK"))))</f>
        <v/>
      </c>
      <c r="G3762" s="13">
        <f>SUMIFS(Movimentacoes!$G:$G,Movimentacoes!$C:$C,$A3762,Movimentacoes!$E:$E,$C3762,Movimentacoes!$B:$B,"ENTRADA")</f>
        <v/>
      </c>
      <c r="H3762" s="13">
        <f>SUMIFS(Movimentacoes!$G:$G,Movimentacoes!$C:$C,$A3762,Movimentacoes!$E:$E,$C3762,Movimentacoes!$B:$B,"SAIDA_USO")</f>
        <v/>
      </c>
      <c r="I3762" s="13">
        <f>SUMIFS(Movimentacoes!$G:$G,Movimentacoes!$C:$C,$A3762,Movimentacoes!$E:$E,$C3762,Movimentacoes!$B:$B,"SAIDA_DESCARTE")</f>
        <v/>
      </c>
      <c r="J3762" s="13">
        <f>G3762-H3762-I3762</f>
        <v/>
      </c>
      <c r="K3762">
        <f>IF(A3762="","",IF(J3762&lt;=IFERROR(VLOOKUP(A3762,Cadastro_Produtos!$A:$E,5,FALSE),0),"ABAIXO DO MINIMO","OK"))</f>
        <v/>
      </c>
    </row>
    <row r="3763">
      <c r="B3763">
        <f>IFERROR(VLOOKUP(A3763,Cadastro_Produtos!A:B,2,FALSE),"")</f>
        <v/>
      </c>
      <c r="D3763" s="12" t="n"/>
      <c r="E3763" s="13">
        <f>IF(D3763="","",D3763-TODAY())</f>
        <v/>
      </c>
      <c r="F3763">
        <f>IF(D3763="","",IF(E3763&lt;0,"VENCIDO",IF(E3763&lt;=30,"VENCE EM &lt;= 30 DIAS",IF(E3763&lt;=60,"ATENCAO (31-60 DIAS)","OK"))))</f>
        <v/>
      </c>
      <c r="G3763" s="13">
        <f>SUMIFS(Movimentacoes!$G:$G,Movimentacoes!$C:$C,$A3763,Movimentacoes!$E:$E,$C3763,Movimentacoes!$B:$B,"ENTRADA")</f>
        <v/>
      </c>
      <c r="H3763" s="13">
        <f>SUMIFS(Movimentacoes!$G:$G,Movimentacoes!$C:$C,$A3763,Movimentacoes!$E:$E,$C3763,Movimentacoes!$B:$B,"SAIDA_USO")</f>
        <v/>
      </c>
      <c r="I3763" s="13">
        <f>SUMIFS(Movimentacoes!$G:$G,Movimentacoes!$C:$C,$A3763,Movimentacoes!$E:$E,$C3763,Movimentacoes!$B:$B,"SAIDA_DESCARTE")</f>
        <v/>
      </c>
      <c r="J3763" s="13">
        <f>G3763-H3763-I3763</f>
        <v/>
      </c>
      <c r="K3763">
        <f>IF(A3763="","",IF(J3763&lt;=IFERROR(VLOOKUP(A3763,Cadastro_Produtos!$A:$E,5,FALSE),0),"ABAIXO DO MINIMO","OK"))</f>
        <v/>
      </c>
    </row>
    <row r="3764">
      <c r="B3764">
        <f>IFERROR(VLOOKUP(A3764,Cadastro_Produtos!A:B,2,FALSE),"")</f>
        <v/>
      </c>
      <c r="D3764" s="12" t="n"/>
      <c r="E3764" s="13">
        <f>IF(D3764="","",D3764-TODAY())</f>
        <v/>
      </c>
      <c r="F3764">
        <f>IF(D3764="","",IF(E3764&lt;0,"VENCIDO",IF(E3764&lt;=30,"VENCE EM &lt;= 30 DIAS",IF(E3764&lt;=60,"ATENCAO (31-60 DIAS)","OK"))))</f>
        <v/>
      </c>
      <c r="G3764" s="13">
        <f>SUMIFS(Movimentacoes!$G:$G,Movimentacoes!$C:$C,$A3764,Movimentacoes!$E:$E,$C3764,Movimentacoes!$B:$B,"ENTRADA")</f>
        <v/>
      </c>
      <c r="H3764" s="13">
        <f>SUMIFS(Movimentacoes!$G:$G,Movimentacoes!$C:$C,$A3764,Movimentacoes!$E:$E,$C3764,Movimentacoes!$B:$B,"SAIDA_USO")</f>
        <v/>
      </c>
      <c r="I3764" s="13">
        <f>SUMIFS(Movimentacoes!$G:$G,Movimentacoes!$C:$C,$A3764,Movimentacoes!$E:$E,$C3764,Movimentacoes!$B:$B,"SAIDA_DESCARTE")</f>
        <v/>
      </c>
      <c r="J3764" s="13">
        <f>G3764-H3764-I3764</f>
        <v/>
      </c>
      <c r="K3764">
        <f>IF(A3764="","",IF(J3764&lt;=IFERROR(VLOOKUP(A3764,Cadastro_Produtos!$A:$E,5,FALSE),0),"ABAIXO DO MINIMO","OK"))</f>
        <v/>
      </c>
    </row>
    <row r="3765">
      <c r="B3765">
        <f>IFERROR(VLOOKUP(A3765,Cadastro_Produtos!A:B,2,FALSE),"")</f>
        <v/>
      </c>
      <c r="D3765" s="12" t="n"/>
      <c r="E3765" s="13">
        <f>IF(D3765="","",D3765-TODAY())</f>
        <v/>
      </c>
      <c r="F3765">
        <f>IF(D3765="","",IF(E3765&lt;0,"VENCIDO",IF(E3765&lt;=30,"VENCE EM &lt;= 30 DIAS",IF(E3765&lt;=60,"ATENCAO (31-60 DIAS)","OK"))))</f>
        <v/>
      </c>
      <c r="G3765" s="13">
        <f>SUMIFS(Movimentacoes!$G:$G,Movimentacoes!$C:$C,$A3765,Movimentacoes!$E:$E,$C3765,Movimentacoes!$B:$B,"ENTRADA")</f>
        <v/>
      </c>
      <c r="H3765" s="13">
        <f>SUMIFS(Movimentacoes!$G:$G,Movimentacoes!$C:$C,$A3765,Movimentacoes!$E:$E,$C3765,Movimentacoes!$B:$B,"SAIDA_USO")</f>
        <v/>
      </c>
      <c r="I3765" s="13">
        <f>SUMIFS(Movimentacoes!$G:$G,Movimentacoes!$C:$C,$A3765,Movimentacoes!$E:$E,$C3765,Movimentacoes!$B:$B,"SAIDA_DESCARTE")</f>
        <v/>
      </c>
      <c r="J3765" s="13">
        <f>G3765-H3765-I3765</f>
        <v/>
      </c>
      <c r="K3765">
        <f>IF(A3765="","",IF(J3765&lt;=IFERROR(VLOOKUP(A3765,Cadastro_Produtos!$A:$E,5,FALSE),0),"ABAIXO DO MINIMO","OK"))</f>
        <v/>
      </c>
    </row>
    <row r="3766">
      <c r="B3766">
        <f>IFERROR(VLOOKUP(A3766,Cadastro_Produtos!A:B,2,FALSE),"")</f>
        <v/>
      </c>
      <c r="D3766" s="12" t="n"/>
      <c r="E3766" s="13">
        <f>IF(D3766="","",D3766-TODAY())</f>
        <v/>
      </c>
      <c r="F3766">
        <f>IF(D3766="","",IF(E3766&lt;0,"VENCIDO",IF(E3766&lt;=30,"VENCE EM &lt;= 30 DIAS",IF(E3766&lt;=60,"ATENCAO (31-60 DIAS)","OK"))))</f>
        <v/>
      </c>
      <c r="G3766" s="13">
        <f>SUMIFS(Movimentacoes!$G:$G,Movimentacoes!$C:$C,$A3766,Movimentacoes!$E:$E,$C3766,Movimentacoes!$B:$B,"ENTRADA")</f>
        <v/>
      </c>
      <c r="H3766" s="13">
        <f>SUMIFS(Movimentacoes!$G:$G,Movimentacoes!$C:$C,$A3766,Movimentacoes!$E:$E,$C3766,Movimentacoes!$B:$B,"SAIDA_USO")</f>
        <v/>
      </c>
      <c r="I3766" s="13">
        <f>SUMIFS(Movimentacoes!$G:$G,Movimentacoes!$C:$C,$A3766,Movimentacoes!$E:$E,$C3766,Movimentacoes!$B:$B,"SAIDA_DESCARTE")</f>
        <v/>
      </c>
      <c r="J3766" s="13">
        <f>G3766-H3766-I3766</f>
        <v/>
      </c>
      <c r="K3766">
        <f>IF(A3766="","",IF(J3766&lt;=IFERROR(VLOOKUP(A3766,Cadastro_Produtos!$A:$E,5,FALSE),0),"ABAIXO DO MINIMO","OK"))</f>
        <v/>
      </c>
    </row>
    <row r="3767">
      <c r="B3767">
        <f>IFERROR(VLOOKUP(A3767,Cadastro_Produtos!A:B,2,FALSE),"")</f>
        <v/>
      </c>
      <c r="D3767" s="12" t="n"/>
      <c r="E3767" s="13">
        <f>IF(D3767="","",D3767-TODAY())</f>
        <v/>
      </c>
      <c r="F3767">
        <f>IF(D3767="","",IF(E3767&lt;0,"VENCIDO",IF(E3767&lt;=30,"VENCE EM &lt;= 30 DIAS",IF(E3767&lt;=60,"ATENCAO (31-60 DIAS)","OK"))))</f>
        <v/>
      </c>
      <c r="G3767" s="13">
        <f>SUMIFS(Movimentacoes!$G:$G,Movimentacoes!$C:$C,$A3767,Movimentacoes!$E:$E,$C3767,Movimentacoes!$B:$B,"ENTRADA")</f>
        <v/>
      </c>
      <c r="H3767" s="13">
        <f>SUMIFS(Movimentacoes!$G:$G,Movimentacoes!$C:$C,$A3767,Movimentacoes!$E:$E,$C3767,Movimentacoes!$B:$B,"SAIDA_USO")</f>
        <v/>
      </c>
      <c r="I3767" s="13">
        <f>SUMIFS(Movimentacoes!$G:$G,Movimentacoes!$C:$C,$A3767,Movimentacoes!$E:$E,$C3767,Movimentacoes!$B:$B,"SAIDA_DESCARTE")</f>
        <v/>
      </c>
      <c r="J3767" s="13">
        <f>G3767-H3767-I3767</f>
        <v/>
      </c>
      <c r="K3767">
        <f>IF(A3767="","",IF(J3767&lt;=IFERROR(VLOOKUP(A3767,Cadastro_Produtos!$A:$E,5,FALSE),0),"ABAIXO DO MINIMO","OK"))</f>
        <v/>
      </c>
    </row>
    <row r="3768">
      <c r="B3768">
        <f>IFERROR(VLOOKUP(A3768,Cadastro_Produtos!A:B,2,FALSE),"")</f>
        <v/>
      </c>
      <c r="D3768" s="12" t="n"/>
      <c r="E3768" s="13">
        <f>IF(D3768="","",D3768-TODAY())</f>
        <v/>
      </c>
      <c r="F3768">
        <f>IF(D3768="","",IF(E3768&lt;0,"VENCIDO",IF(E3768&lt;=30,"VENCE EM &lt;= 30 DIAS",IF(E3768&lt;=60,"ATENCAO (31-60 DIAS)","OK"))))</f>
        <v/>
      </c>
      <c r="G3768" s="13">
        <f>SUMIFS(Movimentacoes!$G:$G,Movimentacoes!$C:$C,$A3768,Movimentacoes!$E:$E,$C3768,Movimentacoes!$B:$B,"ENTRADA")</f>
        <v/>
      </c>
      <c r="H3768" s="13">
        <f>SUMIFS(Movimentacoes!$G:$G,Movimentacoes!$C:$C,$A3768,Movimentacoes!$E:$E,$C3768,Movimentacoes!$B:$B,"SAIDA_USO")</f>
        <v/>
      </c>
      <c r="I3768" s="13">
        <f>SUMIFS(Movimentacoes!$G:$G,Movimentacoes!$C:$C,$A3768,Movimentacoes!$E:$E,$C3768,Movimentacoes!$B:$B,"SAIDA_DESCARTE")</f>
        <v/>
      </c>
      <c r="J3768" s="13">
        <f>G3768-H3768-I3768</f>
        <v/>
      </c>
      <c r="K3768">
        <f>IF(A3768="","",IF(J3768&lt;=IFERROR(VLOOKUP(A3768,Cadastro_Produtos!$A:$E,5,FALSE),0),"ABAIXO DO MINIMO","OK"))</f>
        <v/>
      </c>
    </row>
    <row r="3769">
      <c r="B3769">
        <f>IFERROR(VLOOKUP(A3769,Cadastro_Produtos!A:B,2,FALSE),"")</f>
        <v/>
      </c>
      <c r="D3769" s="12" t="n"/>
      <c r="E3769" s="13">
        <f>IF(D3769="","",D3769-TODAY())</f>
        <v/>
      </c>
      <c r="F3769">
        <f>IF(D3769="","",IF(E3769&lt;0,"VENCIDO",IF(E3769&lt;=30,"VENCE EM &lt;= 30 DIAS",IF(E3769&lt;=60,"ATENCAO (31-60 DIAS)","OK"))))</f>
        <v/>
      </c>
      <c r="G3769" s="13">
        <f>SUMIFS(Movimentacoes!$G:$G,Movimentacoes!$C:$C,$A3769,Movimentacoes!$E:$E,$C3769,Movimentacoes!$B:$B,"ENTRADA")</f>
        <v/>
      </c>
      <c r="H3769" s="13">
        <f>SUMIFS(Movimentacoes!$G:$G,Movimentacoes!$C:$C,$A3769,Movimentacoes!$E:$E,$C3769,Movimentacoes!$B:$B,"SAIDA_USO")</f>
        <v/>
      </c>
      <c r="I3769" s="13">
        <f>SUMIFS(Movimentacoes!$G:$G,Movimentacoes!$C:$C,$A3769,Movimentacoes!$E:$E,$C3769,Movimentacoes!$B:$B,"SAIDA_DESCARTE")</f>
        <v/>
      </c>
      <c r="J3769" s="13">
        <f>G3769-H3769-I3769</f>
        <v/>
      </c>
      <c r="K3769">
        <f>IF(A3769="","",IF(J3769&lt;=IFERROR(VLOOKUP(A3769,Cadastro_Produtos!$A:$E,5,FALSE),0),"ABAIXO DO MINIMO","OK"))</f>
        <v/>
      </c>
    </row>
    <row r="3770">
      <c r="B3770">
        <f>IFERROR(VLOOKUP(A3770,Cadastro_Produtos!A:B,2,FALSE),"")</f>
        <v/>
      </c>
      <c r="D3770" s="12" t="n"/>
      <c r="E3770" s="13">
        <f>IF(D3770="","",D3770-TODAY())</f>
        <v/>
      </c>
      <c r="F3770">
        <f>IF(D3770="","",IF(E3770&lt;0,"VENCIDO",IF(E3770&lt;=30,"VENCE EM &lt;= 30 DIAS",IF(E3770&lt;=60,"ATENCAO (31-60 DIAS)","OK"))))</f>
        <v/>
      </c>
      <c r="G3770" s="13">
        <f>SUMIFS(Movimentacoes!$G:$G,Movimentacoes!$C:$C,$A3770,Movimentacoes!$E:$E,$C3770,Movimentacoes!$B:$B,"ENTRADA")</f>
        <v/>
      </c>
      <c r="H3770" s="13">
        <f>SUMIFS(Movimentacoes!$G:$G,Movimentacoes!$C:$C,$A3770,Movimentacoes!$E:$E,$C3770,Movimentacoes!$B:$B,"SAIDA_USO")</f>
        <v/>
      </c>
      <c r="I3770" s="13">
        <f>SUMIFS(Movimentacoes!$G:$G,Movimentacoes!$C:$C,$A3770,Movimentacoes!$E:$E,$C3770,Movimentacoes!$B:$B,"SAIDA_DESCARTE")</f>
        <v/>
      </c>
      <c r="J3770" s="13">
        <f>G3770-H3770-I3770</f>
        <v/>
      </c>
      <c r="K3770">
        <f>IF(A3770="","",IF(J3770&lt;=IFERROR(VLOOKUP(A3770,Cadastro_Produtos!$A:$E,5,FALSE),0),"ABAIXO DO MINIMO","OK"))</f>
        <v/>
      </c>
    </row>
    <row r="3771">
      <c r="B3771">
        <f>IFERROR(VLOOKUP(A3771,Cadastro_Produtos!A:B,2,FALSE),"")</f>
        <v/>
      </c>
      <c r="D3771" s="12" t="n"/>
      <c r="E3771" s="13">
        <f>IF(D3771="","",D3771-TODAY())</f>
        <v/>
      </c>
      <c r="F3771">
        <f>IF(D3771="","",IF(E3771&lt;0,"VENCIDO",IF(E3771&lt;=30,"VENCE EM &lt;= 30 DIAS",IF(E3771&lt;=60,"ATENCAO (31-60 DIAS)","OK"))))</f>
        <v/>
      </c>
      <c r="G3771" s="13">
        <f>SUMIFS(Movimentacoes!$G:$G,Movimentacoes!$C:$C,$A3771,Movimentacoes!$E:$E,$C3771,Movimentacoes!$B:$B,"ENTRADA")</f>
        <v/>
      </c>
      <c r="H3771" s="13">
        <f>SUMIFS(Movimentacoes!$G:$G,Movimentacoes!$C:$C,$A3771,Movimentacoes!$E:$E,$C3771,Movimentacoes!$B:$B,"SAIDA_USO")</f>
        <v/>
      </c>
      <c r="I3771" s="13">
        <f>SUMIFS(Movimentacoes!$G:$G,Movimentacoes!$C:$C,$A3771,Movimentacoes!$E:$E,$C3771,Movimentacoes!$B:$B,"SAIDA_DESCARTE")</f>
        <v/>
      </c>
      <c r="J3771" s="13">
        <f>G3771-H3771-I3771</f>
        <v/>
      </c>
      <c r="K3771">
        <f>IF(A3771="","",IF(J3771&lt;=IFERROR(VLOOKUP(A3771,Cadastro_Produtos!$A:$E,5,FALSE),0),"ABAIXO DO MINIMO","OK"))</f>
        <v/>
      </c>
    </row>
    <row r="3772">
      <c r="B3772">
        <f>IFERROR(VLOOKUP(A3772,Cadastro_Produtos!A:B,2,FALSE),"")</f>
        <v/>
      </c>
      <c r="D3772" s="12" t="n"/>
      <c r="E3772" s="13">
        <f>IF(D3772="","",D3772-TODAY())</f>
        <v/>
      </c>
      <c r="F3772">
        <f>IF(D3772="","",IF(E3772&lt;0,"VENCIDO",IF(E3772&lt;=30,"VENCE EM &lt;= 30 DIAS",IF(E3772&lt;=60,"ATENCAO (31-60 DIAS)","OK"))))</f>
        <v/>
      </c>
      <c r="G3772" s="13">
        <f>SUMIFS(Movimentacoes!$G:$G,Movimentacoes!$C:$C,$A3772,Movimentacoes!$E:$E,$C3772,Movimentacoes!$B:$B,"ENTRADA")</f>
        <v/>
      </c>
      <c r="H3772" s="13">
        <f>SUMIFS(Movimentacoes!$G:$G,Movimentacoes!$C:$C,$A3772,Movimentacoes!$E:$E,$C3772,Movimentacoes!$B:$B,"SAIDA_USO")</f>
        <v/>
      </c>
      <c r="I3772" s="13">
        <f>SUMIFS(Movimentacoes!$G:$G,Movimentacoes!$C:$C,$A3772,Movimentacoes!$E:$E,$C3772,Movimentacoes!$B:$B,"SAIDA_DESCARTE")</f>
        <v/>
      </c>
      <c r="J3772" s="13">
        <f>G3772-H3772-I3772</f>
        <v/>
      </c>
      <c r="K3772">
        <f>IF(A3772="","",IF(J3772&lt;=IFERROR(VLOOKUP(A3772,Cadastro_Produtos!$A:$E,5,FALSE),0),"ABAIXO DO MINIMO","OK"))</f>
        <v/>
      </c>
    </row>
    <row r="3773">
      <c r="B3773">
        <f>IFERROR(VLOOKUP(A3773,Cadastro_Produtos!A:B,2,FALSE),"")</f>
        <v/>
      </c>
      <c r="D3773" s="12" t="n"/>
      <c r="E3773" s="13">
        <f>IF(D3773="","",D3773-TODAY())</f>
        <v/>
      </c>
      <c r="F3773">
        <f>IF(D3773="","",IF(E3773&lt;0,"VENCIDO",IF(E3773&lt;=30,"VENCE EM &lt;= 30 DIAS",IF(E3773&lt;=60,"ATENCAO (31-60 DIAS)","OK"))))</f>
        <v/>
      </c>
      <c r="G3773" s="13">
        <f>SUMIFS(Movimentacoes!$G:$G,Movimentacoes!$C:$C,$A3773,Movimentacoes!$E:$E,$C3773,Movimentacoes!$B:$B,"ENTRADA")</f>
        <v/>
      </c>
      <c r="H3773" s="13">
        <f>SUMIFS(Movimentacoes!$G:$G,Movimentacoes!$C:$C,$A3773,Movimentacoes!$E:$E,$C3773,Movimentacoes!$B:$B,"SAIDA_USO")</f>
        <v/>
      </c>
      <c r="I3773" s="13">
        <f>SUMIFS(Movimentacoes!$G:$G,Movimentacoes!$C:$C,$A3773,Movimentacoes!$E:$E,$C3773,Movimentacoes!$B:$B,"SAIDA_DESCARTE")</f>
        <v/>
      </c>
      <c r="J3773" s="13">
        <f>G3773-H3773-I3773</f>
        <v/>
      </c>
      <c r="K3773">
        <f>IF(A3773="","",IF(J3773&lt;=IFERROR(VLOOKUP(A3773,Cadastro_Produtos!$A:$E,5,FALSE),0),"ABAIXO DO MINIMO","OK"))</f>
        <v/>
      </c>
    </row>
    <row r="3774">
      <c r="B3774">
        <f>IFERROR(VLOOKUP(A3774,Cadastro_Produtos!A:B,2,FALSE),"")</f>
        <v/>
      </c>
      <c r="D3774" s="12" t="n"/>
      <c r="E3774" s="13">
        <f>IF(D3774="","",D3774-TODAY())</f>
        <v/>
      </c>
      <c r="F3774">
        <f>IF(D3774="","",IF(E3774&lt;0,"VENCIDO",IF(E3774&lt;=30,"VENCE EM &lt;= 30 DIAS",IF(E3774&lt;=60,"ATENCAO (31-60 DIAS)","OK"))))</f>
        <v/>
      </c>
      <c r="G3774" s="13">
        <f>SUMIFS(Movimentacoes!$G:$G,Movimentacoes!$C:$C,$A3774,Movimentacoes!$E:$E,$C3774,Movimentacoes!$B:$B,"ENTRADA")</f>
        <v/>
      </c>
      <c r="H3774" s="13">
        <f>SUMIFS(Movimentacoes!$G:$G,Movimentacoes!$C:$C,$A3774,Movimentacoes!$E:$E,$C3774,Movimentacoes!$B:$B,"SAIDA_USO")</f>
        <v/>
      </c>
      <c r="I3774" s="13">
        <f>SUMIFS(Movimentacoes!$G:$G,Movimentacoes!$C:$C,$A3774,Movimentacoes!$E:$E,$C3774,Movimentacoes!$B:$B,"SAIDA_DESCARTE")</f>
        <v/>
      </c>
      <c r="J3774" s="13">
        <f>G3774-H3774-I3774</f>
        <v/>
      </c>
      <c r="K3774">
        <f>IF(A3774="","",IF(J3774&lt;=IFERROR(VLOOKUP(A3774,Cadastro_Produtos!$A:$E,5,FALSE),0),"ABAIXO DO MINIMO","OK"))</f>
        <v/>
      </c>
    </row>
    <row r="3775">
      <c r="B3775">
        <f>IFERROR(VLOOKUP(A3775,Cadastro_Produtos!A:B,2,FALSE),"")</f>
        <v/>
      </c>
      <c r="D3775" s="12" t="n"/>
      <c r="E3775" s="13">
        <f>IF(D3775="","",D3775-TODAY())</f>
        <v/>
      </c>
      <c r="F3775">
        <f>IF(D3775="","",IF(E3775&lt;0,"VENCIDO",IF(E3775&lt;=30,"VENCE EM &lt;= 30 DIAS",IF(E3775&lt;=60,"ATENCAO (31-60 DIAS)","OK"))))</f>
        <v/>
      </c>
      <c r="G3775" s="13">
        <f>SUMIFS(Movimentacoes!$G:$G,Movimentacoes!$C:$C,$A3775,Movimentacoes!$E:$E,$C3775,Movimentacoes!$B:$B,"ENTRADA")</f>
        <v/>
      </c>
      <c r="H3775" s="13">
        <f>SUMIFS(Movimentacoes!$G:$G,Movimentacoes!$C:$C,$A3775,Movimentacoes!$E:$E,$C3775,Movimentacoes!$B:$B,"SAIDA_USO")</f>
        <v/>
      </c>
      <c r="I3775" s="13">
        <f>SUMIFS(Movimentacoes!$G:$G,Movimentacoes!$C:$C,$A3775,Movimentacoes!$E:$E,$C3775,Movimentacoes!$B:$B,"SAIDA_DESCARTE")</f>
        <v/>
      </c>
      <c r="J3775" s="13">
        <f>G3775-H3775-I3775</f>
        <v/>
      </c>
      <c r="K3775">
        <f>IF(A3775="","",IF(J3775&lt;=IFERROR(VLOOKUP(A3775,Cadastro_Produtos!$A:$E,5,FALSE),0),"ABAIXO DO MINIMO","OK"))</f>
        <v/>
      </c>
    </row>
    <row r="3776">
      <c r="B3776">
        <f>IFERROR(VLOOKUP(A3776,Cadastro_Produtos!A:B,2,FALSE),"")</f>
        <v/>
      </c>
      <c r="D3776" s="12" t="n"/>
      <c r="E3776" s="13">
        <f>IF(D3776="","",D3776-TODAY())</f>
        <v/>
      </c>
      <c r="F3776">
        <f>IF(D3776="","",IF(E3776&lt;0,"VENCIDO",IF(E3776&lt;=30,"VENCE EM &lt;= 30 DIAS",IF(E3776&lt;=60,"ATENCAO (31-60 DIAS)","OK"))))</f>
        <v/>
      </c>
      <c r="G3776" s="13">
        <f>SUMIFS(Movimentacoes!$G:$G,Movimentacoes!$C:$C,$A3776,Movimentacoes!$E:$E,$C3776,Movimentacoes!$B:$B,"ENTRADA")</f>
        <v/>
      </c>
      <c r="H3776" s="13">
        <f>SUMIFS(Movimentacoes!$G:$G,Movimentacoes!$C:$C,$A3776,Movimentacoes!$E:$E,$C3776,Movimentacoes!$B:$B,"SAIDA_USO")</f>
        <v/>
      </c>
      <c r="I3776" s="13">
        <f>SUMIFS(Movimentacoes!$G:$G,Movimentacoes!$C:$C,$A3776,Movimentacoes!$E:$E,$C3776,Movimentacoes!$B:$B,"SAIDA_DESCARTE")</f>
        <v/>
      </c>
      <c r="J3776" s="13">
        <f>G3776-H3776-I3776</f>
        <v/>
      </c>
      <c r="K3776">
        <f>IF(A3776="","",IF(J3776&lt;=IFERROR(VLOOKUP(A3776,Cadastro_Produtos!$A:$E,5,FALSE),0),"ABAIXO DO MINIMO","OK"))</f>
        <v/>
      </c>
    </row>
    <row r="3777">
      <c r="B3777">
        <f>IFERROR(VLOOKUP(A3777,Cadastro_Produtos!A:B,2,FALSE),"")</f>
        <v/>
      </c>
      <c r="D3777" s="12" t="n"/>
      <c r="E3777" s="13">
        <f>IF(D3777="","",D3777-TODAY())</f>
        <v/>
      </c>
      <c r="F3777">
        <f>IF(D3777="","",IF(E3777&lt;0,"VENCIDO",IF(E3777&lt;=30,"VENCE EM &lt;= 30 DIAS",IF(E3777&lt;=60,"ATENCAO (31-60 DIAS)","OK"))))</f>
        <v/>
      </c>
      <c r="G3777" s="13">
        <f>SUMIFS(Movimentacoes!$G:$G,Movimentacoes!$C:$C,$A3777,Movimentacoes!$E:$E,$C3777,Movimentacoes!$B:$B,"ENTRADA")</f>
        <v/>
      </c>
      <c r="H3777" s="13">
        <f>SUMIFS(Movimentacoes!$G:$G,Movimentacoes!$C:$C,$A3777,Movimentacoes!$E:$E,$C3777,Movimentacoes!$B:$B,"SAIDA_USO")</f>
        <v/>
      </c>
      <c r="I3777" s="13">
        <f>SUMIFS(Movimentacoes!$G:$G,Movimentacoes!$C:$C,$A3777,Movimentacoes!$E:$E,$C3777,Movimentacoes!$B:$B,"SAIDA_DESCARTE")</f>
        <v/>
      </c>
      <c r="J3777" s="13">
        <f>G3777-H3777-I3777</f>
        <v/>
      </c>
      <c r="K3777">
        <f>IF(A3777="","",IF(J3777&lt;=IFERROR(VLOOKUP(A3777,Cadastro_Produtos!$A:$E,5,FALSE),0),"ABAIXO DO MINIMO","OK"))</f>
        <v/>
      </c>
    </row>
    <row r="3778">
      <c r="B3778">
        <f>IFERROR(VLOOKUP(A3778,Cadastro_Produtos!A:B,2,FALSE),"")</f>
        <v/>
      </c>
      <c r="D3778" s="12" t="n"/>
      <c r="E3778" s="13">
        <f>IF(D3778="","",D3778-TODAY())</f>
        <v/>
      </c>
      <c r="F3778">
        <f>IF(D3778="","",IF(E3778&lt;0,"VENCIDO",IF(E3778&lt;=30,"VENCE EM &lt;= 30 DIAS",IF(E3778&lt;=60,"ATENCAO (31-60 DIAS)","OK"))))</f>
        <v/>
      </c>
      <c r="G3778" s="13">
        <f>SUMIFS(Movimentacoes!$G:$G,Movimentacoes!$C:$C,$A3778,Movimentacoes!$E:$E,$C3778,Movimentacoes!$B:$B,"ENTRADA")</f>
        <v/>
      </c>
      <c r="H3778" s="13">
        <f>SUMIFS(Movimentacoes!$G:$G,Movimentacoes!$C:$C,$A3778,Movimentacoes!$E:$E,$C3778,Movimentacoes!$B:$B,"SAIDA_USO")</f>
        <v/>
      </c>
      <c r="I3778" s="13">
        <f>SUMIFS(Movimentacoes!$G:$G,Movimentacoes!$C:$C,$A3778,Movimentacoes!$E:$E,$C3778,Movimentacoes!$B:$B,"SAIDA_DESCARTE")</f>
        <v/>
      </c>
      <c r="J3778" s="13">
        <f>G3778-H3778-I3778</f>
        <v/>
      </c>
      <c r="K3778">
        <f>IF(A3778="","",IF(J3778&lt;=IFERROR(VLOOKUP(A3778,Cadastro_Produtos!$A:$E,5,FALSE),0),"ABAIXO DO MINIMO","OK"))</f>
        <v/>
      </c>
    </row>
    <row r="3779">
      <c r="B3779">
        <f>IFERROR(VLOOKUP(A3779,Cadastro_Produtos!A:B,2,FALSE),"")</f>
        <v/>
      </c>
      <c r="D3779" s="12" t="n"/>
      <c r="E3779" s="13">
        <f>IF(D3779="","",D3779-TODAY())</f>
        <v/>
      </c>
      <c r="F3779">
        <f>IF(D3779="","",IF(E3779&lt;0,"VENCIDO",IF(E3779&lt;=30,"VENCE EM &lt;= 30 DIAS",IF(E3779&lt;=60,"ATENCAO (31-60 DIAS)","OK"))))</f>
        <v/>
      </c>
      <c r="G3779" s="13">
        <f>SUMIFS(Movimentacoes!$G:$G,Movimentacoes!$C:$C,$A3779,Movimentacoes!$E:$E,$C3779,Movimentacoes!$B:$B,"ENTRADA")</f>
        <v/>
      </c>
      <c r="H3779" s="13">
        <f>SUMIFS(Movimentacoes!$G:$G,Movimentacoes!$C:$C,$A3779,Movimentacoes!$E:$E,$C3779,Movimentacoes!$B:$B,"SAIDA_USO")</f>
        <v/>
      </c>
      <c r="I3779" s="13">
        <f>SUMIFS(Movimentacoes!$G:$G,Movimentacoes!$C:$C,$A3779,Movimentacoes!$E:$E,$C3779,Movimentacoes!$B:$B,"SAIDA_DESCARTE")</f>
        <v/>
      </c>
      <c r="J3779" s="13">
        <f>G3779-H3779-I3779</f>
        <v/>
      </c>
      <c r="K3779">
        <f>IF(A3779="","",IF(J3779&lt;=IFERROR(VLOOKUP(A3779,Cadastro_Produtos!$A:$E,5,FALSE),0),"ABAIXO DO MINIMO","OK"))</f>
        <v/>
      </c>
    </row>
    <row r="3780">
      <c r="B3780">
        <f>IFERROR(VLOOKUP(A3780,Cadastro_Produtos!A:B,2,FALSE),"")</f>
        <v/>
      </c>
      <c r="D3780" s="12" t="n"/>
      <c r="E3780" s="13">
        <f>IF(D3780="","",D3780-TODAY())</f>
        <v/>
      </c>
      <c r="F3780">
        <f>IF(D3780="","",IF(E3780&lt;0,"VENCIDO",IF(E3780&lt;=30,"VENCE EM &lt;= 30 DIAS",IF(E3780&lt;=60,"ATENCAO (31-60 DIAS)","OK"))))</f>
        <v/>
      </c>
      <c r="G3780" s="13">
        <f>SUMIFS(Movimentacoes!$G:$G,Movimentacoes!$C:$C,$A3780,Movimentacoes!$E:$E,$C3780,Movimentacoes!$B:$B,"ENTRADA")</f>
        <v/>
      </c>
      <c r="H3780" s="13">
        <f>SUMIFS(Movimentacoes!$G:$G,Movimentacoes!$C:$C,$A3780,Movimentacoes!$E:$E,$C3780,Movimentacoes!$B:$B,"SAIDA_USO")</f>
        <v/>
      </c>
      <c r="I3780" s="13">
        <f>SUMIFS(Movimentacoes!$G:$G,Movimentacoes!$C:$C,$A3780,Movimentacoes!$E:$E,$C3780,Movimentacoes!$B:$B,"SAIDA_DESCARTE")</f>
        <v/>
      </c>
      <c r="J3780" s="13">
        <f>G3780-H3780-I3780</f>
        <v/>
      </c>
      <c r="K3780">
        <f>IF(A3780="","",IF(J3780&lt;=IFERROR(VLOOKUP(A3780,Cadastro_Produtos!$A:$E,5,FALSE),0),"ABAIXO DO MINIMO","OK"))</f>
        <v/>
      </c>
    </row>
    <row r="3781">
      <c r="B3781">
        <f>IFERROR(VLOOKUP(A3781,Cadastro_Produtos!A:B,2,FALSE),"")</f>
        <v/>
      </c>
      <c r="D3781" s="12" t="n"/>
      <c r="E3781" s="13">
        <f>IF(D3781="","",D3781-TODAY())</f>
        <v/>
      </c>
      <c r="F3781">
        <f>IF(D3781="","",IF(E3781&lt;0,"VENCIDO",IF(E3781&lt;=30,"VENCE EM &lt;= 30 DIAS",IF(E3781&lt;=60,"ATENCAO (31-60 DIAS)","OK"))))</f>
        <v/>
      </c>
      <c r="G3781" s="13">
        <f>SUMIFS(Movimentacoes!$G:$G,Movimentacoes!$C:$C,$A3781,Movimentacoes!$E:$E,$C3781,Movimentacoes!$B:$B,"ENTRADA")</f>
        <v/>
      </c>
      <c r="H3781" s="13">
        <f>SUMIFS(Movimentacoes!$G:$G,Movimentacoes!$C:$C,$A3781,Movimentacoes!$E:$E,$C3781,Movimentacoes!$B:$B,"SAIDA_USO")</f>
        <v/>
      </c>
      <c r="I3781" s="13">
        <f>SUMIFS(Movimentacoes!$G:$G,Movimentacoes!$C:$C,$A3781,Movimentacoes!$E:$E,$C3781,Movimentacoes!$B:$B,"SAIDA_DESCARTE")</f>
        <v/>
      </c>
      <c r="J3781" s="13">
        <f>G3781-H3781-I3781</f>
        <v/>
      </c>
      <c r="K3781">
        <f>IF(A3781="","",IF(J3781&lt;=IFERROR(VLOOKUP(A3781,Cadastro_Produtos!$A:$E,5,FALSE),0),"ABAIXO DO MINIMO","OK"))</f>
        <v/>
      </c>
    </row>
    <row r="3782">
      <c r="B3782">
        <f>IFERROR(VLOOKUP(A3782,Cadastro_Produtos!A:B,2,FALSE),"")</f>
        <v/>
      </c>
      <c r="D3782" s="12" t="n"/>
      <c r="E3782" s="13">
        <f>IF(D3782="","",D3782-TODAY())</f>
        <v/>
      </c>
      <c r="F3782">
        <f>IF(D3782="","",IF(E3782&lt;0,"VENCIDO",IF(E3782&lt;=30,"VENCE EM &lt;= 30 DIAS",IF(E3782&lt;=60,"ATENCAO (31-60 DIAS)","OK"))))</f>
        <v/>
      </c>
      <c r="G3782" s="13">
        <f>SUMIFS(Movimentacoes!$G:$G,Movimentacoes!$C:$C,$A3782,Movimentacoes!$E:$E,$C3782,Movimentacoes!$B:$B,"ENTRADA")</f>
        <v/>
      </c>
      <c r="H3782" s="13">
        <f>SUMIFS(Movimentacoes!$G:$G,Movimentacoes!$C:$C,$A3782,Movimentacoes!$E:$E,$C3782,Movimentacoes!$B:$B,"SAIDA_USO")</f>
        <v/>
      </c>
      <c r="I3782" s="13">
        <f>SUMIFS(Movimentacoes!$G:$G,Movimentacoes!$C:$C,$A3782,Movimentacoes!$E:$E,$C3782,Movimentacoes!$B:$B,"SAIDA_DESCARTE")</f>
        <v/>
      </c>
      <c r="J3782" s="13">
        <f>G3782-H3782-I3782</f>
        <v/>
      </c>
      <c r="K3782">
        <f>IF(A3782="","",IF(J3782&lt;=IFERROR(VLOOKUP(A3782,Cadastro_Produtos!$A:$E,5,FALSE),0),"ABAIXO DO MINIMO","OK"))</f>
        <v/>
      </c>
    </row>
    <row r="3783">
      <c r="B3783">
        <f>IFERROR(VLOOKUP(A3783,Cadastro_Produtos!A:B,2,FALSE),"")</f>
        <v/>
      </c>
      <c r="D3783" s="12" t="n"/>
      <c r="E3783" s="13">
        <f>IF(D3783="","",D3783-TODAY())</f>
        <v/>
      </c>
      <c r="F3783">
        <f>IF(D3783="","",IF(E3783&lt;0,"VENCIDO",IF(E3783&lt;=30,"VENCE EM &lt;= 30 DIAS",IF(E3783&lt;=60,"ATENCAO (31-60 DIAS)","OK"))))</f>
        <v/>
      </c>
      <c r="G3783" s="13">
        <f>SUMIFS(Movimentacoes!$G:$G,Movimentacoes!$C:$C,$A3783,Movimentacoes!$E:$E,$C3783,Movimentacoes!$B:$B,"ENTRADA")</f>
        <v/>
      </c>
      <c r="H3783" s="13">
        <f>SUMIFS(Movimentacoes!$G:$G,Movimentacoes!$C:$C,$A3783,Movimentacoes!$E:$E,$C3783,Movimentacoes!$B:$B,"SAIDA_USO")</f>
        <v/>
      </c>
      <c r="I3783" s="13">
        <f>SUMIFS(Movimentacoes!$G:$G,Movimentacoes!$C:$C,$A3783,Movimentacoes!$E:$E,$C3783,Movimentacoes!$B:$B,"SAIDA_DESCARTE")</f>
        <v/>
      </c>
      <c r="J3783" s="13">
        <f>G3783-H3783-I3783</f>
        <v/>
      </c>
      <c r="K3783">
        <f>IF(A3783="","",IF(J3783&lt;=IFERROR(VLOOKUP(A3783,Cadastro_Produtos!$A:$E,5,FALSE),0),"ABAIXO DO MINIMO","OK"))</f>
        <v/>
      </c>
    </row>
    <row r="3784">
      <c r="B3784">
        <f>IFERROR(VLOOKUP(A3784,Cadastro_Produtos!A:B,2,FALSE),"")</f>
        <v/>
      </c>
      <c r="D3784" s="12" t="n"/>
      <c r="E3784" s="13">
        <f>IF(D3784="","",D3784-TODAY())</f>
        <v/>
      </c>
      <c r="F3784">
        <f>IF(D3784="","",IF(E3784&lt;0,"VENCIDO",IF(E3784&lt;=30,"VENCE EM &lt;= 30 DIAS",IF(E3784&lt;=60,"ATENCAO (31-60 DIAS)","OK"))))</f>
        <v/>
      </c>
      <c r="G3784" s="13">
        <f>SUMIFS(Movimentacoes!$G:$G,Movimentacoes!$C:$C,$A3784,Movimentacoes!$E:$E,$C3784,Movimentacoes!$B:$B,"ENTRADA")</f>
        <v/>
      </c>
      <c r="H3784" s="13">
        <f>SUMIFS(Movimentacoes!$G:$G,Movimentacoes!$C:$C,$A3784,Movimentacoes!$E:$E,$C3784,Movimentacoes!$B:$B,"SAIDA_USO")</f>
        <v/>
      </c>
      <c r="I3784" s="13">
        <f>SUMIFS(Movimentacoes!$G:$G,Movimentacoes!$C:$C,$A3784,Movimentacoes!$E:$E,$C3784,Movimentacoes!$B:$B,"SAIDA_DESCARTE")</f>
        <v/>
      </c>
      <c r="J3784" s="13">
        <f>G3784-H3784-I3784</f>
        <v/>
      </c>
      <c r="K3784">
        <f>IF(A3784="","",IF(J3784&lt;=IFERROR(VLOOKUP(A3784,Cadastro_Produtos!$A:$E,5,FALSE),0),"ABAIXO DO MINIMO","OK"))</f>
        <v/>
      </c>
    </row>
    <row r="3785">
      <c r="B3785">
        <f>IFERROR(VLOOKUP(A3785,Cadastro_Produtos!A:B,2,FALSE),"")</f>
        <v/>
      </c>
      <c r="D3785" s="12" t="n"/>
      <c r="E3785" s="13">
        <f>IF(D3785="","",D3785-TODAY())</f>
        <v/>
      </c>
      <c r="F3785">
        <f>IF(D3785="","",IF(E3785&lt;0,"VENCIDO",IF(E3785&lt;=30,"VENCE EM &lt;= 30 DIAS",IF(E3785&lt;=60,"ATENCAO (31-60 DIAS)","OK"))))</f>
        <v/>
      </c>
      <c r="G3785" s="13">
        <f>SUMIFS(Movimentacoes!$G:$G,Movimentacoes!$C:$C,$A3785,Movimentacoes!$E:$E,$C3785,Movimentacoes!$B:$B,"ENTRADA")</f>
        <v/>
      </c>
      <c r="H3785" s="13">
        <f>SUMIFS(Movimentacoes!$G:$G,Movimentacoes!$C:$C,$A3785,Movimentacoes!$E:$E,$C3785,Movimentacoes!$B:$B,"SAIDA_USO")</f>
        <v/>
      </c>
      <c r="I3785" s="13">
        <f>SUMIFS(Movimentacoes!$G:$G,Movimentacoes!$C:$C,$A3785,Movimentacoes!$E:$E,$C3785,Movimentacoes!$B:$B,"SAIDA_DESCARTE")</f>
        <v/>
      </c>
      <c r="J3785" s="13">
        <f>G3785-H3785-I3785</f>
        <v/>
      </c>
      <c r="K3785">
        <f>IF(A3785="","",IF(J3785&lt;=IFERROR(VLOOKUP(A3785,Cadastro_Produtos!$A:$E,5,FALSE),0),"ABAIXO DO MINIMO","OK"))</f>
        <v/>
      </c>
    </row>
    <row r="3786">
      <c r="B3786">
        <f>IFERROR(VLOOKUP(A3786,Cadastro_Produtos!A:B,2,FALSE),"")</f>
        <v/>
      </c>
      <c r="D3786" s="12" t="n"/>
      <c r="E3786" s="13">
        <f>IF(D3786="","",D3786-TODAY())</f>
        <v/>
      </c>
      <c r="F3786">
        <f>IF(D3786="","",IF(E3786&lt;0,"VENCIDO",IF(E3786&lt;=30,"VENCE EM &lt;= 30 DIAS",IF(E3786&lt;=60,"ATENCAO (31-60 DIAS)","OK"))))</f>
        <v/>
      </c>
      <c r="G3786" s="13">
        <f>SUMIFS(Movimentacoes!$G:$G,Movimentacoes!$C:$C,$A3786,Movimentacoes!$E:$E,$C3786,Movimentacoes!$B:$B,"ENTRADA")</f>
        <v/>
      </c>
      <c r="H3786" s="13">
        <f>SUMIFS(Movimentacoes!$G:$G,Movimentacoes!$C:$C,$A3786,Movimentacoes!$E:$E,$C3786,Movimentacoes!$B:$B,"SAIDA_USO")</f>
        <v/>
      </c>
      <c r="I3786" s="13">
        <f>SUMIFS(Movimentacoes!$G:$G,Movimentacoes!$C:$C,$A3786,Movimentacoes!$E:$E,$C3786,Movimentacoes!$B:$B,"SAIDA_DESCARTE")</f>
        <v/>
      </c>
      <c r="J3786" s="13">
        <f>G3786-H3786-I3786</f>
        <v/>
      </c>
      <c r="K3786">
        <f>IF(A3786="","",IF(J3786&lt;=IFERROR(VLOOKUP(A3786,Cadastro_Produtos!$A:$E,5,FALSE),0),"ABAIXO DO MINIMO","OK"))</f>
        <v/>
      </c>
    </row>
    <row r="3787">
      <c r="B3787">
        <f>IFERROR(VLOOKUP(A3787,Cadastro_Produtos!A:B,2,FALSE),"")</f>
        <v/>
      </c>
      <c r="D3787" s="12" t="n"/>
      <c r="E3787" s="13">
        <f>IF(D3787="","",D3787-TODAY())</f>
        <v/>
      </c>
      <c r="F3787">
        <f>IF(D3787="","",IF(E3787&lt;0,"VENCIDO",IF(E3787&lt;=30,"VENCE EM &lt;= 30 DIAS",IF(E3787&lt;=60,"ATENCAO (31-60 DIAS)","OK"))))</f>
        <v/>
      </c>
      <c r="G3787" s="13">
        <f>SUMIFS(Movimentacoes!$G:$G,Movimentacoes!$C:$C,$A3787,Movimentacoes!$E:$E,$C3787,Movimentacoes!$B:$B,"ENTRADA")</f>
        <v/>
      </c>
      <c r="H3787" s="13">
        <f>SUMIFS(Movimentacoes!$G:$G,Movimentacoes!$C:$C,$A3787,Movimentacoes!$E:$E,$C3787,Movimentacoes!$B:$B,"SAIDA_USO")</f>
        <v/>
      </c>
      <c r="I3787" s="13">
        <f>SUMIFS(Movimentacoes!$G:$G,Movimentacoes!$C:$C,$A3787,Movimentacoes!$E:$E,$C3787,Movimentacoes!$B:$B,"SAIDA_DESCARTE")</f>
        <v/>
      </c>
      <c r="J3787" s="13">
        <f>G3787-H3787-I3787</f>
        <v/>
      </c>
      <c r="K3787">
        <f>IF(A3787="","",IF(J3787&lt;=IFERROR(VLOOKUP(A3787,Cadastro_Produtos!$A:$E,5,FALSE),0),"ABAIXO DO MINIMO","OK"))</f>
        <v/>
      </c>
    </row>
    <row r="3788">
      <c r="B3788">
        <f>IFERROR(VLOOKUP(A3788,Cadastro_Produtos!A:B,2,FALSE),"")</f>
        <v/>
      </c>
      <c r="D3788" s="12" t="n"/>
      <c r="E3788" s="13">
        <f>IF(D3788="","",D3788-TODAY())</f>
        <v/>
      </c>
      <c r="F3788">
        <f>IF(D3788="","",IF(E3788&lt;0,"VENCIDO",IF(E3788&lt;=30,"VENCE EM &lt;= 30 DIAS",IF(E3788&lt;=60,"ATENCAO (31-60 DIAS)","OK"))))</f>
        <v/>
      </c>
      <c r="G3788" s="13">
        <f>SUMIFS(Movimentacoes!$G:$G,Movimentacoes!$C:$C,$A3788,Movimentacoes!$E:$E,$C3788,Movimentacoes!$B:$B,"ENTRADA")</f>
        <v/>
      </c>
      <c r="H3788" s="13">
        <f>SUMIFS(Movimentacoes!$G:$G,Movimentacoes!$C:$C,$A3788,Movimentacoes!$E:$E,$C3788,Movimentacoes!$B:$B,"SAIDA_USO")</f>
        <v/>
      </c>
      <c r="I3788" s="13">
        <f>SUMIFS(Movimentacoes!$G:$G,Movimentacoes!$C:$C,$A3788,Movimentacoes!$E:$E,$C3788,Movimentacoes!$B:$B,"SAIDA_DESCARTE")</f>
        <v/>
      </c>
      <c r="J3788" s="13">
        <f>G3788-H3788-I3788</f>
        <v/>
      </c>
      <c r="K3788">
        <f>IF(A3788="","",IF(J3788&lt;=IFERROR(VLOOKUP(A3788,Cadastro_Produtos!$A:$E,5,FALSE),0),"ABAIXO DO MINIMO","OK"))</f>
        <v/>
      </c>
    </row>
    <row r="3789">
      <c r="B3789">
        <f>IFERROR(VLOOKUP(A3789,Cadastro_Produtos!A:B,2,FALSE),"")</f>
        <v/>
      </c>
      <c r="D3789" s="12" t="n"/>
      <c r="E3789" s="13">
        <f>IF(D3789="","",D3789-TODAY())</f>
        <v/>
      </c>
      <c r="F3789">
        <f>IF(D3789="","",IF(E3789&lt;0,"VENCIDO",IF(E3789&lt;=30,"VENCE EM &lt;= 30 DIAS",IF(E3789&lt;=60,"ATENCAO (31-60 DIAS)","OK"))))</f>
        <v/>
      </c>
      <c r="G3789" s="13">
        <f>SUMIFS(Movimentacoes!$G:$G,Movimentacoes!$C:$C,$A3789,Movimentacoes!$E:$E,$C3789,Movimentacoes!$B:$B,"ENTRADA")</f>
        <v/>
      </c>
      <c r="H3789" s="13">
        <f>SUMIFS(Movimentacoes!$G:$G,Movimentacoes!$C:$C,$A3789,Movimentacoes!$E:$E,$C3789,Movimentacoes!$B:$B,"SAIDA_USO")</f>
        <v/>
      </c>
      <c r="I3789" s="13">
        <f>SUMIFS(Movimentacoes!$G:$G,Movimentacoes!$C:$C,$A3789,Movimentacoes!$E:$E,$C3789,Movimentacoes!$B:$B,"SAIDA_DESCARTE")</f>
        <v/>
      </c>
      <c r="J3789" s="13">
        <f>G3789-H3789-I3789</f>
        <v/>
      </c>
      <c r="K3789">
        <f>IF(A3789="","",IF(J3789&lt;=IFERROR(VLOOKUP(A3789,Cadastro_Produtos!$A:$E,5,FALSE),0),"ABAIXO DO MINIMO","OK"))</f>
        <v/>
      </c>
    </row>
    <row r="3790">
      <c r="B3790">
        <f>IFERROR(VLOOKUP(A3790,Cadastro_Produtos!A:B,2,FALSE),"")</f>
        <v/>
      </c>
      <c r="D3790" s="12" t="n"/>
      <c r="E3790" s="13">
        <f>IF(D3790="","",D3790-TODAY())</f>
        <v/>
      </c>
      <c r="F3790">
        <f>IF(D3790="","",IF(E3790&lt;0,"VENCIDO",IF(E3790&lt;=30,"VENCE EM &lt;= 30 DIAS",IF(E3790&lt;=60,"ATENCAO (31-60 DIAS)","OK"))))</f>
        <v/>
      </c>
      <c r="G3790" s="13">
        <f>SUMIFS(Movimentacoes!$G:$G,Movimentacoes!$C:$C,$A3790,Movimentacoes!$E:$E,$C3790,Movimentacoes!$B:$B,"ENTRADA")</f>
        <v/>
      </c>
      <c r="H3790" s="13">
        <f>SUMIFS(Movimentacoes!$G:$G,Movimentacoes!$C:$C,$A3790,Movimentacoes!$E:$E,$C3790,Movimentacoes!$B:$B,"SAIDA_USO")</f>
        <v/>
      </c>
      <c r="I3790" s="13">
        <f>SUMIFS(Movimentacoes!$G:$G,Movimentacoes!$C:$C,$A3790,Movimentacoes!$E:$E,$C3790,Movimentacoes!$B:$B,"SAIDA_DESCARTE")</f>
        <v/>
      </c>
      <c r="J3790" s="13">
        <f>G3790-H3790-I3790</f>
        <v/>
      </c>
      <c r="K3790">
        <f>IF(A3790="","",IF(J3790&lt;=IFERROR(VLOOKUP(A3790,Cadastro_Produtos!$A:$E,5,FALSE),0),"ABAIXO DO MINIMO","OK"))</f>
        <v/>
      </c>
    </row>
    <row r="3791">
      <c r="B3791">
        <f>IFERROR(VLOOKUP(A3791,Cadastro_Produtos!A:B,2,FALSE),"")</f>
        <v/>
      </c>
      <c r="D3791" s="12" t="n"/>
      <c r="E3791" s="13">
        <f>IF(D3791="","",D3791-TODAY())</f>
        <v/>
      </c>
      <c r="F3791">
        <f>IF(D3791="","",IF(E3791&lt;0,"VENCIDO",IF(E3791&lt;=30,"VENCE EM &lt;= 30 DIAS",IF(E3791&lt;=60,"ATENCAO (31-60 DIAS)","OK"))))</f>
        <v/>
      </c>
      <c r="G3791" s="13">
        <f>SUMIFS(Movimentacoes!$G:$G,Movimentacoes!$C:$C,$A3791,Movimentacoes!$E:$E,$C3791,Movimentacoes!$B:$B,"ENTRADA")</f>
        <v/>
      </c>
      <c r="H3791" s="13">
        <f>SUMIFS(Movimentacoes!$G:$G,Movimentacoes!$C:$C,$A3791,Movimentacoes!$E:$E,$C3791,Movimentacoes!$B:$B,"SAIDA_USO")</f>
        <v/>
      </c>
      <c r="I3791" s="13">
        <f>SUMIFS(Movimentacoes!$G:$G,Movimentacoes!$C:$C,$A3791,Movimentacoes!$E:$E,$C3791,Movimentacoes!$B:$B,"SAIDA_DESCARTE")</f>
        <v/>
      </c>
      <c r="J3791" s="13">
        <f>G3791-H3791-I3791</f>
        <v/>
      </c>
      <c r="K3791">
        <f>IF(A3791="","",IF(J3791&lt;=IFERROR(VLOOKUP(A3791,Cadastro_Produtos!$A:$E,5,FALSE),0),"ABAIXO DO MINIMO","OK"))</f>
        <v/>
      </c>
    </row>
    <row r="3792">
      <c r="B3792">
        <f>IFERROR(VLOOKUP(A3792,Cadastro_Produtos!A:B,2,FALSE),"")</f>
        <v/>
      </c>
      <c r="D3792" s="12" t="n"/>
      <c r="E3792" s="13">
        <f>IF(D3792="","",D3792-TODAY())</f>
        <v/>
      </c>
      <c r="F3792">
        <f>IF(D3792="","",IF(E3792&lt;0,"VENCIDO",IF(E3792&lt;=30,"VENCE EM &lt;= 30 DIAS",IF(E3792&lt;=60,"ATENCAO (31-60 DIAS)","OK"))))</f>
        <v/>
      </c>
      <c r="G3792" s="13">
        <f>SUMIFS(Movimentacoes!$G:$G,Movimentacoes!$C:$C,$A3792,Movimentacoes!$E:$E,$C3792,Movimentacoes!$B:$B,"ENTRADA")</f>
        <v/>
      </c>
      <c r="H3792" s="13">
        <f>SUMIFS(Movimentacoes!$G:$G,Movimentacoes!$C:$C,$A3792,Movimentacoes!$E:$E,$C3792,Movimentacoes!$B:$B,"SAIDA_USO")</f>
        <v/>
      </c>
      <c r="I3792" s="13">
        <f>SUMIFS(Movimentacoes!$G:$G,Movimentacoes!$C:$C,$A3792,Movimentacoes!$E:$E,$C3792,Movimentacoes!$B:$B,"SAIDA_DESCARTE")</f>
        <v/>
      </c>
      <c r="J3792" s="13">
        <f>G3792-H3792-I3792</f>
        <v/>
      </c>
      <c r="K3792">
        <f>IF(A3792="","",IF(J3792&lt;=IFERROR(VLOOKUP(A3792,Cadastro_Produtos!$A:$E,5,FALSE),0),"ABAIXO DO MINIMO","OK"))</f>
        <v/>
      </c>
    </row>
    <row r="3793">
      <c r="B3793">
        <f>IFERROR(VLOOKUP(A3793,Cadastro_Produtos!A:B,2,FALSE),"")</f>
        <v/>
      </c>
      <c r="D3793" s="12" t="n"/>
      <c r="E3793" s="13">
        <f>IF(D3793="","",D3793-TODAY())</f>
        <v/>
      </c>
      <c r="F3793">
        <f>IF(D3793="","",IF(E3793&lt;0,"VENCIDO",IF(E3793&lt;=30,"VENCE EM &lt;= 30 DIAS",IF(E3793&lt;=60,"ATENCAO (31-60 DIAS)","OK"))))</f>
        <v/>
      </c>
      <c r="G3793" s="13">
        <f>SUMIFS(Movimentacoes!$G:$G,Movimentacoes!$C:$C,$A3793,Movimentacoes!$E:$E,$C3793,Movimentacoes!$B:$B,"ENTRADA")</f>
        <v/>
      </c>
      <c r="H3793" s="13">
        <f>SUMIFS(Movimentacoes!$G:$G,Movimentacoes!$C:$C,$A3793,Movimentacoes!$E:$E,$C3793,Movimentacoes!$B:$B,"SAIDA_USO")</f>
        <v/>
      </c>
      <c r="I3793" s="13">
        <f>SUMIFS(Movimentacoes!$G:$G,Movimentacoes!$C:$C,$A3793,Movimentacoes!$E:$E,$C3793,Movimentacoes!$B:$B,"SAIDA_DESCARTE")</f>
        <v/>
      </c>
      <c r="J3793" s="13">
        <f>G3793-H3793-I3793</f>
        <v/>
      </c>
      <c r="K3793">
        <f>IF(A3793="","",IF(J3793&lt;=IFERROR(VLOOKUP(A3793,Cadastro_Produtos!$A:$E,5,FALSE),0),"ABAIXO DO MINIMO","OK"))</f>
        <v/>
      </c>
    </row>
    <row r="3794">
      <c r="B3794">
        <f>IFERROR(VLOOKUP(A3794,Cadastro_Produtos!A:B,2,FALSE),"")</f>
        <v/>
      </c>
      <c r="D3794" s="12" t="n"/>
      <c r="E3794" s="13">
        <f>IF(D3794="","",D3794-TODAY())</f>
        <v/>
      </c>
      <c r="F3794">
        <f>IF(D3794="","",IF(E3794&lt;0,"VENCIDO",IF(E3794&lt;=30,"VENCE EM &lt;= 30 DIAS",IF(E3794&lt;=60,"ATENCAO (31-60 DIAS)","OK"))))</f>
        <v/>
      </c>
      <c r="G3794" s="13">
        <f>SUMIFS(Movimentacoes!$G:$G,Movimentacoes!$C:$C,$A3794,Movimentacoes!$E:$E,$C3794,Movimentacoes!$B:$B,"ENTRADA")</f>
        <v/>
      </c>
      <c r="H3794" s="13">
        <f>SUMIFS(Movimentacoes!$G:$G,Movimentacoes!$C:$C,$A3794,Movimentacoes!$E:$E,$C3794,Movimentacoes!$B:$B,"SAIDA_USO")</f>
        <v/>
      </c>
      <c r="I3794" s="13">
        <f>SUMIFS(Movimentacoes!$G:$G,Movimentacoes!$C:$C,$A3794,Movimentacoes!$E:$E,$C3794,Movimentacoes!$B:$B,"SAIDA_DESCARTE")</f>
        <v/>
      </c>
      <c r="J3794" s="13">
        <f>G3794-H3794-I3794</f>
        <v/>
      </c>
      <c r="K3794">
        <f>IF(A3794="","",IF(J3794&lt;=IFERROR(VLOOKUP(A3794,Cadastro_Produtos!$A:$E,5,FALSE),0),"ABAIXO DO MINIMO","OK"))</f>
        <v/>
      </c>
    </row>
    <row r="3795">
      <c r="B3795">
        <f>IFERROR(VLOOKUP(A3795,Cadastro_Produtos!A:B,2,FALSE),"")</f>
        <v/>
      </c>
      <c r="D3795" s="12" t="n"/>
      <c r="E3795" s="13">
        <f>IF(D3795="","",D3795-TODAY())</f>
        <v/>
      </c>
      <c r="F3795">
        <f>IF(D3795="","",IF(E3795&lt;0,"VENCIDO",IF(E3795&lt;=30,"VENCE EM &lt;= 30 DIAS",IF(E3795&lt;=60,"ATENCAO (31-60 DIAS)","OK"))))</f>
        <v/>
      </c>
      <c r="G3795" s="13">
        <f>SUMIFS(Movimentacoes!$G:$G,Movimentacoes!$C:$C,$A3795,Movimentacoes!$E:$E,$C3795,Movimentacoes!$B:$B,"ENTRADA")</f>
        <v/>
      </c>
      <c r="H3795" s="13">
        <f>SUMIFS(Movimentacoes!$G:$G,Movimentacoes!$C:$C,$A3795,Movimentacoes!$E:$E,$C3795,Movimentacoes!$B:$B,"SAIDA_USO")</f>
        <v/>
      </c>
      <c r="I3795" s="13">
        <f>SUMIFS(Movimentacoes!$G:$G,Movimentacoes!$C:$C,$A3795,Movimentacoes!$E:$E,$C3795,Movimentacoes!$B:$B,"SAIDA_DESCARTE")</f>
        <v/>
      </c>
      <c r="J3795" s="13">
        <f>G3795-H3795-I3795</f>
        <v/>
      </c>
      <c r="K3795">
        <f>IF(A3795="","",IF(J3795&lt;=IFERROR(VLOOKUP(A3795,Cadastro_Produtos!$A:$E,5,FALSE),0),"ABAIXO DO MINIMO","OK"))</f>
        <v/>
      </c>
    </row>
    <row r="3796">
      <c r="B3796">
        <f>IFERROR(VLOOKUP(A3796,Cadastro_Produtos!A:B,2,FALSE),"")</f>
        <v/>
      </c>
      <c r="D3796" s="12" t="n"/>
      <c r="E3796" s="13">
        <f>IF(D3796="","",D3796-TODAY())</f>
        <v/>
      </c>
      <c r="F3796">
        <f>IF(D3796="","",IF(E3796&lt;0,"VENCIDO",IF(E3796&lt;=30,"VENCE EM &lt;= 30 DIAS",IF(E3796&lt;=60,"ATENCAO (31-60 DIAS)","OK"))))</f>
        <v/>
      </c>
      <c r="G3796" s="13">
        <f>SUMIFS(Movimentacoes!$G:$G,Movimentacoes!$C:$C,$A3796,Movimentacoes!$E:$E,$C3796,Movimentacoes!$B:$B,"ENTRADA")</f>
        <v/>
      </c>
      <c r="H3796" s="13">
        <f>SUMIFS(Movimentacoes!$G:$G,Movimentacoes!$C:$C,$A3796,Movimentacoes!$E:$E,$C3796,Movimentacoes!$B:$B,"SAIDA_USO")</f>
        <v/>
      </c>
      <c r="I3796" s="13">
        <f>SUMIFS(Movimentacoes!$G:$G,Movimentacoes!$C:$C,$A3796,Movimentacoes!$E:$E,$C3796,Movimentacoes!$B:$B,"SAIDA_DESCARTE")</f>
        <v/>
      </c>
      <c r="J3796" s="13">
        <f>G3796-H3796-I3796</f>
        <v/>
      </c>
      <c r="K3796">
        <f>IF(A3796="","",IF(J3796&lt;=IFERROR(VLOOKUP(A3796,Cadastro_Produtos!$A:$E,5,FALSE),0),"ABAIXO DO MINIMO","OK"))</f>
        <v/>
      </c>
    </row>
    <row r="3797">
      <c r="B3797">
        <f>IFERROR(VLOOKUP(A3797,Cadastro_Produtos!A:B,2,FALSE),"")</f>
        <v/>
      </c>
      <c r="D3797" s="12" t="n"/>
      <c r="E3797" s="13">
        <f>IF(D3797="","",D3797-TODAY())</f>
        <v/>
      </c>
      <c r="F3797">
        <f>IF(D3797="","",IF(E3797&lt;0,"VENCIDO",IF(E3797&lt;=30,"VENCE EM &lt;= 30 DIAS",IF(E3797&lt;=60,"ATENCAO (31-60 DIAS)","OK"))))</f>
        <v/>
      </c>
      <c r="G3797" s="13">
        <f>SUMIFS(Movimentacoes!$G:$G,Movimentacoes!$C:$C,$A3797,Movimentacoes!$E:$E,$C3797,Movimentacoes!$B:$B,"ENTRADA")</f>
        <v/>
      </c>
      <c r="H3797" s="13">
        <f>SUMIFS(Movimentacoes!$G:$G,Movimentacoes!$C:$C,$A3797,Movimentacoes!$E:$E,$C3797,Movimentacoes!$B:$B,"SAIDA_USO")</f>
        <v/>
      </c>
      <c r="I3797" s="13">
        <f>SUMIFS(Movimentacoes!$G:$G,Movimentacoes!$C:$C,$A3797,Movimentacoes!$E:$E,$C3797,Movimentacoes!$B:$B,"SAIDA_DESCARTE")</f>
        <v/>
      </c>
      <c r="J3797" s="13">
        <f>G3797-H3797-I3797</f>
        <v/>
      </c>
      <c r="K3797">
        <f>IF(A3797="","",IF(J3797&lt;=IFERROR(VLOOKUP(A3797,Cadastro_Produtos!$A:$E,5,FALSE),0),"ABAIXO DO MINIMO","OK"))</f>
        <v/>
      </c>
    </row>
    <row r="3798">
      <c r="B3798">
        <f>IFERROR(VLOOKUP(A3798,Cadastro_Produtos!A:B,2,FALSE),"")</f>
        <v/>
      </c>
      <c r="D3798" s="12" t="n"/>
      <c r="E3798" s="13">
        <f>IF(D3798="","",D3798-TODAY())</f>
        <v/>
      </c>
      <c r="F3798">
        <f>IF(D3798="","",IF(E3798&lt;0,"VENCIDO",IF(E3798&lt;=30,"VENCE EM &lt;= 30 DIAS",IF(E3798&lt;=60,"ATENCAO (31-60 DIAS)","OK"))))</f>
        <v/>
      </c>
      <c r="G3798" s="13">
        <f>SUMIFS(Movimentacoes!$G:$G,Movimentacoes!$C:$C,$A3798,Movimentacoes!$E:$E,$C3798,Movimentacoes!$B:$B,"ENTRADA")</f>
        <v/>
      </c>
      <c r="H3798" s="13">
        <f>SUMIFS(Movimentacoes!$G:$G,Movimentacoes!$C:$C,$A3798,Movimentacoes!$E:$E,$C3798,Movimentacoes!$B:$B,"SAIDA_USO")</f>
        <v/>
      </c>
      <c r="I3798" s="13">
        <f>SUMIFS(Movimentacoes!$G:$G,Movimentacoes!$C:$C,$A3798,Movimentacoes!$E:$E,$C3798,Movimentacoes!$B:$B,"SAIDA_DESCARTE")</f>
        <v/>
      </c>
      <c r="J3798" s="13">
        <f>G3798-H3798-I3798</f>
        <v/>
      </c>
      <c r="K3798">
        <f>IF(A3798="","",IF(J3798&lt;=IFERROR(VLOOKUP(A3798,Cadastro_Produtos!$A:$E,5,FALSE),0),"ABAIXO DO MINIMO","OK"))</f>
        <v/>
      </c>
    </row>
    <row r="3799">
      <c r="B3799">
        <f>IFERROR(VLOOKUP(A3799,Cadastro_Produtos!A:B,2,FALSE),"")</f>
        <v/>
      </c>
      <c r="D3799" s="12" t="n"/>
      <c r="E3799" s="13">
        <f>IF(D3799="","",D3799-TODAY())</f>
        <v/>
      </c>
      <c r="F3799">
        <f>IF(D3799="","",IF(E3799&lt;0,"VENCIDO",IF(E3799&lt;=30,"VENCE EM &lt;= 30 DIAS",IF(E3799&lt;=60,"ATENCAO (31-60 DIAS)","OK"))))</f>
        <v/>
      </c>
      <c r="G3799" s="13">
        <f>SUMIFS(Movimentacoes!$G:$G,Movimentacoes!$C:$C,$A3799,Movimentacoes!$E:$E,$C3799,Movimentacoes!$B:$B,"ENTRADA")</f>
        <v/>
      </c>
      <c r="H3799" s="13">
        <f>SUMIFS(Movimentacoes!$G:$G,Movimentacoes!$C:$C,$A3799,Movimentacoes!$E:$E,$C3799,Movimentacoes!$B:$B,"SAIDA_USO")</f>
        <v/>
      </c>
      <c r="I3799" s="13">
        <f>SUMIFS(Movimentacoes!$G:$G,Movimentacoes!$C:$C,$A3799,Movimentacoes!$E:$E,$C3799,Movimentacoes!$B:$B,"SAIDA_DESCARTE")</f>
        <v/>
      </c>
      <c r="J3799" s="13">
        <f>G3799-H3799-I3799</f>
        <v/>
      </c>
      <c r="K3799">
        <f>IF(A3799="","",IF(J3799&lt;=IFERROR(VLOOKUP(A3799,Cadastro_Produtos!$A:$E,5,FALSE),0),"ABAIXO DO MINIMO","OK"))</f>
        <v/>
      </c>
    </row>
    <row r="3800">
      <c r="B3800">
        <f>IFERROR(VLOOKUP(A3800,Cadastro_Produtos!A:B,2,FALSE),"")</f>
        <v/>
      </c>
      <c r="D3800" s="12" t="n"/>
      <c r="E3800" s="13">
        <f>IF(D3800="","",D3800-TODAY())</f>
        <v/>
      </c>
      <c r="F3800">
        <f>IF(D3800="","",IF(E3800&lt;0,"VENCIDO",IF(E3800&lt;=30,"VENCE EM &lt;= 30 DIAS",IF(E3800&lt;=60,"ATENCAO (31-60 DIAS)","OK"))))</f>
        <v/>
      </c>
      <c r="G3800" s="13">
        <f>SUMIFS(Movimentacoes!$G:$G,Movimentacoes!$C:$C,$A3800,Movimentacoes!$E:$E,$C3800,Movimentacoes!$B:$B,"ENTRADA")</f>
        <v/>
      </c>
      <c r="H3800" s="13">
        <f>SUMIFS(Movimentacoes!$G:$G,Movimentacoes!$C:$C,$A3800,Movimentacoes!$E:$E,$C3800,Movimentacoes!$B:$B,"SAIDA_USO")</f>
        <v/>
      </c>
      <c r="I3800" s="13">
        <f>SUMIFS(Movimentacoes!$G:$G,Movimentacoes!$C:$C,$A3800,Movimentacoes!$E:$E,$C3800,Movimentacoes!$B:$B,"SAIDA_DESCARTE")</f>
        <v/>
      </c>
      <c r="J3800" s="13">
        <f>G3800-H3800-I3800</f>
        <v/>
      </c>
      <c r="K3800">
        <f>IF(A3800="","",IF(J3800&lt;=IFERROR(VLOOKUP(A3800,Cadastro_Produtos!$A:$E,5,FALSE),0),"ABAIXO DO MINIMO","OK"))</f>
        <v/>
      </c>
    </row>
    <row r="3801">
      <c r="B3801">
        <f>IFERROR(VLOOKUP(A3801,Cadastro_Produtos!A:B,2,FALSE),"")</f>
        <v/>
      </c>
      <c r="D3801" s="12" t="n"/>
      <c r="E3801" s="13">
        <f>IF(D3801="","",D3801-TODAY())</f>
        <v/>
      </c>
      <c r="F3801">
        <f>IF(D3801="","",IF(E3801&lt;0,"VENCIDO",IF(E3801&lt;=30,"VENCE EM &lt;= 30 DIAS",IF(E3801&lt;=60,"ATENCAO (31-60 DIAS)","OK"))))</f>
        <v/>
      </c>
      <c r="G3801" s="13">
        <f>SUMIFS(Movimentacoes!$G:$G,Movimentacoes!$C:$C,$A3801,Movimentacoes!$E:$E,$C3801,Movimentacoes!$B:$B,"ENTRADA")</f>
        <v/>
      </c>
      <c r="H3801" s="13">
        <f>SUMIFS(Movimentacoes!$G:$G,Movimentacoes!$C:$C,$A3801,Movimentacoes!$E:$E,$C3801,Movimentacoes!$B:$B,"SAIDA_USO")</f>
        <v/>
      </c>
      <c r="I3801" s="13">
        <f>SUMIFS(Movimentacoes!$G:$G,Movimentacoes!$C:$C,$A3801,Movimentacoes!$E:$E,$C3801,Movimentacoes!$B:$B,"SAIDA_DESCARTE")</f>
        <v/>
      </c>
      <c r="J3801" s="13">
        <f>G3801-H3801-I3801</f>
        <v/>
      </c>
      <c r="K3801">
        <f>IF(A3801="","",IF(J3801&lt;=IFERROR(VLOOKUP(A3801,Cadastro_Produtos!$A:$E,5,FALSE),0),"ABAIXO DO MINIMO","OK"))</f>
        <v/>
      </c>
    </row>
    <row r="3802">
      <c r="B3802">
        <f>IFERROR(VLOOKUP(A3802,Cadastro_Produtos!A:B,2,FALSE),"")</f>
        <v/>
      </c>
      <c r="D3802" s="12" t="n"/>
      <c r="E3802" s="13">
        <f>IF(D3802="","",D3802-TODAY())</f>
        <v/>
      </c>
      <c r="F3802">
        <f>IF(D3802="","",IF(E3802&lt;0,"VENCIDO",IF(E3802&lt;=30,"VENCE EM &lt;= 30 DIAS",IF(E3802&lt;=60,"ATENCAO (31-60 DIAS)","OK"))))</f>
        <v/>
      </c>
      <c r="G3802" s="13">
        <f>SUMIFS(Movimentacoes!$G:$G,Movimentacoes!$C:$C,$A3802,Movimentacoes!$E:$E,$C3802,Movimentacoes!$B:$B,"ENTRADA")</f>
        <v/>
      </c>
      <c r="H3802" s="13">
        <f>SUMIFS(Movimentacoes!$G:$G,Movimentacoes!$C:$C,$A3802,Movimentacoes!$E:$E,$C3802,Movimentacoes!$B:$B,"SAIDA_USO")</f>
        <v/>
      </c>
      <c r="I3802" s="13">
        <f>SUMIFS(Movimentacoes!$G:$G,Movimentacoes!$C:$C,$A3802,Movimentacoes!$E:$E,$C3802,Movimentacoes!$B:$B,"SAIDA_DESCARTE")</f>
        <v/>
      </c>
      <c r="J3802" s="13">
        <f>G3802-H3802-I3802</f>
        <v/>
      </c>
      <c r="K3802">
        <f>IF(A3802="","",IF(J3802&lt;=IFERROR(VLOOKUP(A3802,Cadastro_Produtos!$A:$E,5,FALSE),0),"ABAIXO DO MINIMO","OK"))</f>
        <v/>
      </c>
    </row>
    <row r="3803">
      <c r="B3803">
        <f>IFERROR(VLOOKUP(A3803,Cadastro_Produtos!A:B,2,FALSE),"")</f>
        <v/>
      </c>
      <c r="D3803" s="12" t="n"/>
      <c r="E3803" s="13">
        <f>IF(D3803="","",D3803-TODAY())</f>
        <v/>
      </c>
      <c r="F3803">
        <f>IF(D3803="","",IF(E3803&lt;0,"VENCIDO",IF(E3803&lt;=30,"VENCE EM &lt;= 30 DIAS",IF(E3803&lt;=60,"ATENCAO (31-60 DIAS)","OK"))))</f>
        <v/>
      </c>
      <c r="G3803" s="13">
        <f>SUMIFS(Movimentacoes!$G:$G,Movimentacoes!$C:$C,$A3803,Movimentacoes!$E:$E,$C3803,Movimentacoes!$B:$B,"ENTRADA")</f>
        <v/>
      </c>
      <c r="H3803" s="13">
        <f>SUMIFS(Movimentacoes!$G:$G,Movimentacoes!$C:$C,$A3803,Movimentacoes!$E:$E,$C3803,Movimentacoes!$B:$B,"SAIDA_USO")</f>
        <v/>
      </c>
      <c r="I3803" s="13">
        <f>SUMIFS(Movimentacoes!$G:$G,Movimentacoes!$C:$C,$A3803,Movimentacoes!$E:$E,$C3803,Movimentacoes!$B:$B,"SAIDA_DESCARTE")</f>
        <v/>
      </c>
      <c r="J3803" s="13">
        <f>G3803-H3803-I3803</f>
        <v/>
      </c>
      <c r="K3803">
        <f>IF(A3803="","",IF(J3803&lt;=IFERROR(VLOOKUP(A3803,Cadastro_Produtos!$A:$E,5,FALSE),0),"ABAIXO DO MINIMO","OK"))</f>
        <v/>
      </c>
    </row>
    <row r="3804">
      <c r="B3804">
        <f>IFERROR(VLOOKUP(A3804,Cadastro_Produtos!A:B,2,FALSE),"")</f>
        <v/>
      </c>
      <c r="D3804" s="12" t="n"/>
      <c r="E3804" s="13">
        <f>IF(D3804="","",D3804-TODAY())</f>
        <v/>
      </c>
      <c r="F3804">
        <f>IF(D3804="","",IF(E3804&lt;0,"VENCIDO",IF(E3804&lt;=30,"VENCE EM &lt;= 30 DIAS",IF(E3804&lt;=60,"ATENCAO (31-60 DIAS)","OK"))))</f>
        <v/>
      </c>
      <c r="G3804" s="13">
        <f>SUMIFS(Movimentacoes!$G:$G,Movimentacoes!$C:$C,$A3804,Movimentacoes!$E:$E,$C3804,Movimentacoes!$B:$B,"ENTRADA")</f>
        <v/>
      </c>
      <c r="H3804" s="13">
        <f>SUMIFS(Movimentacoes!$G:$G,Movimentacoes!$C:$C,$A3804,Movimentacoes!$E:$E,$C3804,Movimentacoes!$B:$B,"SAIDA_USO")</f>
        <v/>
      </c>
      <c r="I3804" s="13">
        <f>SUMIFS(Movimentacoes!$G:$G,Movimentacoes!$C:$C,$A3804,Movimentacoes!$E:$E,$C3804,Movimentacoes!$B:$B,"SAIDA_DESCARTE")</f>
        <v/>
      </c>
      <c r="J3804" s="13">
        <f>G3804-H3804-I3804</f>
        <v/>
      </c>
      <c r="K3804">
        <f>IF(A3804="","",IF(J3804&lt;=IFERROR(VLOOKUP(A3804,Cadastro_Produtos!$A:$E,5,FALSE),0),"ABAIXO DO MINIMO","OK"))</f>
        <v/>
      </c>
    </row>
    <row r="3805">
      <c r="B3805">
        <f>IFERROR(VLOOKUP(A3805,Cadastro_Produtos!A:B,2,FALSE),"")</f>
        <v/>
      </c>
      <c r="D3805" s="12" t="n"/>
      <c r="E3805" s="13">
        <f>IF(D3805="","",D3805-TODAY())</f>
        <v/>
      </c>
      <c r="F3805">
        <f>IF(D3805="","",IF(E3805&lt;0,"VENCIDO",IF(E3805&lt;=30,"VENCE EM &lt;= 30 DIAS",IF(E3805&lt;=60,"ATENCAO (31-60 DIAS)","OK"))))</f>
        <v/>
      </c>
      <c r="G3805" s="13">
        <f>SUMIFS(Movimentacoes!$G:$G,Movimentacoes!$C:$C,$A3805,Movimentacoes!$E:$E,$C3805,Movimentacoes!$B:$B,"ENTRADA")</f>
        <v/>
      </c>
      <c r="H3805" s="13">
        <f>SUMIFS(Movimentacoes!$G:$G,Movimentacoes!$C:$C,$A3805,Movimentacoes!$E:$E,$C3805,Movimentacoes!$B:$B,"SAIDA_USO")</f>
        <v/>
      </c>
      <c r="I3805" s="13">
        <f>SUMIFS(Movimentacoes!$G:$G,Movimentacoes!$C:$C,$A3805,Movimentacoes!$E:$E,$C3805,Movimentacoes!$B:$B,"SAIDA_DESCARTE")</f>
        <v/>
      </c>
      <c r="J3805" s="13">
        <f>G3805-H3805-I3805</f>
        <v/>
      </c>
      <c r="K3805">
        <f>IF(A3805="","",IF(J3805&lt;=IFERROR(VLOOKUP(A3805,Cadastro_Produtos!$A:$E,5,FALSE),0),"ABAIXO DO MINIMO","OK"))</f>
        <v/>
      </c>
    </row>
    <row r="3806">
      <c r="B3806">
        <f>IFERROR(VLOOKUP(A3806,Cadastro_Produtos!A:B,2,FALSE),"")</f>
        <v/>
      </c>
      <c r="D3806" s="12" t="n"/>
      <c r="E3806" s="13">
        <f>IF(D3806="","",D3806-TODAY())</f>
        <v/>
      </c>
      <c r="F3806">
        <f>IF(D3806="","",IF(E3806&lt;0,"VENCIDO",IF(E3806&lt;=30,"VENCE EM &lt;= 30 DIAS",IF(E3806&lt;=60,"ATENCAO (31-60 DIAS)","OK"))))</f>
        <v/>
      </c>
      <c r="G3806" s="13">
        <f>SUMIFS(Movimentacoes!$G:$G,Movimentacoes!$C:$C,$A3806,Movimentacoes!$E:$E,$C3806,Movimentacoes!$B:$B,"ENTRADA")</f>
        <v/>
      </c>
      <c r="H3806" s="13">
        <f>SUMIFS(Movimentacoes!$G:$G,Movimentacoes!$C:$C,$A3806,Movimentacoes!$E:$E,$C3806,Movimentacoes!$B:$B,"SAIDA_USO")</f>
        <v/>
      </c>
      <c r="I3806" s="13">
        <f>SUMIFS(Movimentacoes!$G:$G,Movimentacoes!$C:$C,$A3806,Movimentacoes!$E:$E,$C3806,Movimentacoes!$B:$B,"SAIDA_DESCARTE")</f>
        <v/>
      </c>
      <c r="J3806" s="13">
        <f>G3806-H3806-I3806</f>
        <v/>
      </c>
      <c r="K3806">
        <f>IF(A3806="","",IF(J3806&lt;=IFERROR(VLOOKUP(A3806,Cadastro_Produtos!$A:$E,5,FALSE),0),"ABAIXO DO MINIMO","OK"))</f>
        <v/>
      </c>
    </row>
    <row r="3807">
      <c r="B3807">
        <f>IFERROR(VLOOKUP(A3807,Cadastro_Produtos!A:B,2,FALSE),"")</f>
        <v/>
      </c>
      <c r="D3807" s="12" t="n"/>
      <c r="E3807" s="13">
        <f>IF(D3807="","",D3807-TODAY())</f>
        <v/>
      </c>
      <c r="F3807">
        <f>IF(D3807="","",IF(E3807&lt;0,"VENCIDO",IF(E3807&lt;=30,"VENCE EM &lt;= 30 DIAS",IF(E3807&lt;=60,"ATENCAO (31-60 DIAS)","OK"))))</f>
        <v/>
      </c>
      <c r="G3807" s="13">
        <f>SUMIFS(Movimentacoes!$G:$G,Movimentacoes!$C:$C,$A3807,Movimentacoes!$E:$E,$C3807,Movimentacoes!$B:$B,"ENTRADA")</f>
        <v/>
      </c>
      <c r="H3807" s="13">
        <f>SUMIFS(Movimentacoes!$G:$G,Movimentacoes!$C:$C,$A3807,Movimentacoes!$E:$E,$C3807,Movimentacoes!$B:$B,"SAIDA_USO")</f>
        <v/>
      </c>
      <c r="I3807" s="13">
        <f>SUMIFS(Movimentacoes!$G:$G,Movimentacoes!$C:$C,$A3807,Movimentacoes!$E:$E,$C3807,Movimentacoes!$B:$B,"SAIDA_DESCARTE")</f>
        <v/>
      </c>
      <c r="J3807" s="13">
        <f>G3807-H3807-I3807</f>
        <v/>
      </c>
      <c r="K3807">
        <f>IF(A3807="","",IF(J3807&lt;=IFERROR(VLOOKUP(A3807,Cadastro_Produtos!$A:$E,5,FALSE),0),"ABAIXO DO MINIMO","OK"))</f>
        <v/>
      </c>
    </row>
    <row r="3808">
      <c r="B3808">
        <f>IFERROR(VLOOKUP(A3808,Cadastro_Produtos!A:B,2,FALSE),"")</f>
        <v/>
      </c>
      <c r="D3808" s="12" t="n"/>
      <c r="E3808" s="13">
        <f>IF(D3808="","",D3808-TODAY())</f>
        <v/>
      </c>
      <c r="F3808">
        <f>IF(D3808="","",IF(E3808&lt;0,"VENCIDO",IF(E3808&lt;=30,"VENCE EM &lt;= 30 DIAS",IF(E3808&lt;=60,"ATENCAO (31-60 DIAS)","OK"))))</f>
        <v/>
      </c>
      <c r="G3808" s="13">
        <f>SUMIFS(Movimentacoes!$G:$G,Movimentacoes!$C:$C,$A3808,Movimentacoes!$E:$E,$C3808,Movimentacoes!$B:$B,"ENTRADA")</f>
        <v/>
      </c>
      <c r="H3808" s="13">
        <f>SUMIFS(Movimentacoes!$G:$G,Movimentacoes!$C:$C,$A3808,Movimentacoes!$E:$E,$C3808,Movimentacoes!$B:$B,"SAIDA_USO")</f>
        <v/>
      </c>
      <c r="I3808" s="13">
        <f>SUMIFS(Movimentacoes!$G:$G,Movimentacoes!$C:$C,$A3808,Movimentacoes!$E:$E,$C3808,Movimentacoes!$B:$B,"SAIDA_DESCARTE")</f>
        <v/>
      </c>
      <c r="J3808" s="13">
        <f>G3808-H3808-I3808</f>
        <v/>
      </c>
      <c r="K3808">
        <f>IF(A3808="","",IF(J3808&lt;=IFERROR(VLOOKUP(A3808,Cadastro_Produtos!$A:$E,5,FALSE),0),"ABAIXO DO MINIMO","OK"))</f>
        <v/>
      </c>
    </row>
    <row r="3809">
      <c r="B3809">
        <f>IFERROR(VLOOKUP(A3809,Cadastro_Produtos!A:B,2,FALSE),"")</f>
        <v/>
      </c>
      <c r="D3809" s="12" t="n"/>
      <c r="E3809" s="13">
        <f>IF(D3809="","",D3809-TODAY())</f>
        <v/>
      </c>
      <c r="F3809">
        <f>IF(D3809="","",IF(E3809&lt;0,"VENCIDO",IF(E3809&lt;=30,"VENCE EM &lt;= 30 DIAS",IF(E3809&lt;=60,"ATENCAO (31-60 DIAS)","OK"))))</f>
        <v/>
      </c>
      <c r="G3809" s="13">
        <f>SUMIFS(Movimentacoes!$G:$G,Movimentacoes!$C:$C,$A3809,Movimentacoes!$E:$E,$C3809,Movimentacoes!$B:$B,"ENTRADA")</f>
        <v/>
      </c>
      <c r="H3809" s="13">
        <f>SUMIFS(Movimentacoes!$G:$G,Movimentacoes!$C:$C,$A3809,Movimentacoes!$E:$E,$C3809,Movimentacoes!$B:$B,"SAIDA_USO")</f>
        <v/>
      </c>
      <c r="I3809" s="13">
        <f>SUMIFS(Movimentacoes!$G:$G,Movimentacoes!$C:$C,$A3809,Movimentacoes!$E:$E,$C3809,Movimentacoes!$B:$B,"SAIDA_DESCARTE")</f>
        <v/>
      </c>
      <c r="J3809" s="13">
        <f>G3809-H3809-I3809</f>
        <v/>
      </c>
      <c r="K3809">
        <f>IF(A3809="","",IF(J3809&lt;=IFERROR(VLOOKUP(A3809,Cadastro_Produtos!$A:$E,5,FALSE),0),"ABAIXO DO MINIMO","OK"))</f>
        <v/>
      </c>
    </row>
    <row r="3810">
      <c r="B3810">
        <f>IFERROR(VLOOKUP(A3810,Cadastro_Produtos!A:B,2,FALSE),"")</f>
        <v/>
      </c>
      <c r="D3810" s="12" t="n"/>
      <c r="E3810" s="13">
        <f>IF(D3810="","",D3810-TODAY())</f>
        <v/>
      </c>
      <c r="F3810">
        <f>IF(D3810="","",IF(E3810&lt;0,"VENCIDO",IF(E3810&lt;=30,"VENCE EM &lt;= 30 DIAS",IF(E3810&lt;=60,"ATENCAO (31-60 DIAS)","OK"))))</f>
        <v/>
      </c>
      <c r="G3810" s="13">
        <f>SUMIFS(Movimentacoes!$G:$G,Movimentacoes!$C:$C,$A3810,Movimentacoes!$E:$E,$C3810,Movimentacoes!$B:$B,"ENTRADA")</f>
        <v/>
      </c>
      <c r="H3810" s="13">
        <f>SUMIFS(Movimentacoes!$G:$G,Movimentacoes!$C:$C,$A3810,Movimentacoes!$E:$E,$C3810,Movimentacoes!$B:$B,"SAIDA_USO")</f>
        <v/>
      </c>
      <c r="I3810" s="13">
        <f>SUMIFS(Movimentacoes!$G:$G,Movimentacoes!$C:$C,$A3810,Movimentacoes!$E:$E,$C3810,Movimentacoes!$B:$B,"SAIDA_DESCARTE")</f>
        <v/>
      </c>
      <c r="J3810" s="13">
        <f>G3810-H3810-I3810</f>
        <v/>
      </c>
      <c r="K3810">
        <f>IF(A3810="","",IF(J3810&lt;=IFERROR(VLOOKUP(A3810,Cadastro_Produtos!$A:$E,5,FALSE),0),"ABAIXO DO MINIMO","OK"))</f>
        <v/>
      </c>
    </row>
    <row r="3811">
      <c r="B3811">
        <f>IFERROR(VLOOKUP(A3811,Cadastro_Produtos!A:B,2,FALSE),"")</f>
        <v/>
      </c>
      <c r="D3811" s="12" t="n"/>
      <c r="E3811" s="13">
        <f>IF(D3811="","",D3811-TODAY())</f>
        <v/>
      </c>
      <c r="F3811">
        <f>IF(D3811="","",IF(E3811&lt;0,"VENCIDO",IF(E3811&lt;=30,"VENCE EM &lt;= 30 DIAS",IF(E3811&lt;=60,"ATENCAO (31-60 DIAS)","OK"))))</f>
        <v/>
      </c>
      <c r="G3811" s="13">
        <f>SUMIFS(Movimentacoes!$G:$G,Movimentacoes!$C:$C,$A3811,Movimentacoes!$E:$E,$C3811,Movimentacoes!$B:$B,"ENTRADA")</f>
        <v/>
      </c>
      <c r="H3811" s="13">
        <f>SUMIFS(Movimentacoes!$G:$G,Movimentacoes!$C:$C,$A3811,Movimentacoes!$E:$E,$C3811,Movimentacoes!$B:$B,"SAIDA_USO")</f>
        <v/>
      </c>
      <c r="I3811" s="13">
        <f>SUMIFS(Movimentacoes!$G:$G,Movimentacoes!$C:$C,$A3811,Movimentacoes!$E:$E,$C3811,Movimentacoes!$B:$B,"SAIDA_DESCARTE")</f>
        <v/>
      </c>
      <c r="J3811" s="13">
        <f>G3811-H3811-I3811</f>
        <v/>
      </c>
      <c r="K3811">
        <f>IF(A3811="","",IF(J3811&lt;=IFERROR(VLOOKUP(A3811,Cadastro_Produtos!$A:$E,5,FALSE),0),"ABAIXO DO MINIMO","OK"))</f>
        <v/>
      </c>
    </row>
    <row r="3812">
      <c r="B3812">
        <f>IFERROR(VLOOKUP(A3812,Cadastro_Produtos!A:B,2,FALSE),"")</f>
        <v/>
      </c>
      <c r="D3812" s="12" t="n"/>
      <c r="E3812" s="13">
        <f>IF(D3812="","",D3812-TODAY())</f>
        <v/>
      </c>
      <c r="F3812">
        <f>IF(D3812="","",IF(E3812&lt;0,"VENCIDO",IF(E3812&lt;=30,"VENCE EM &lt;= 30 DIAS",IF(E3812&lt;=60,"ATENCAO (31-60 DIAS)","OK"))))</f>
        <v/>
      </c>
      <c r="G3812" s="13">
        <f>SUMIFS(Movimentacoes!$G:$G,Movimentacoes!$C:$C,$A3812,Movimentacoes!$E:$E,$C3812,Movimentacoes!$B:$B,"ENTRADA")</f>
        <v/>
      </c>
      <c r="H3812" s="13">
        <f>SUMIFS(Movimentacoes!$G:$G,Movimentacoes!$C:$C,$A3812,Movimentacoes!$E:$E,$C3812,Movimentacoes!$B:$B,"SAIDA_USO")</f>
        <v/>
      </c>
      <c r="I3812" s="13">
        <f>SUMIFS(Movimentacoes!$G:$G,Movimentacoes!$C:$C,$A3812,Movimentacoes!$E:$E,$C3812,Movimentacoes!$B:$B,"SAIDA_DESCARTE")</f>
        <v/>
      </c>
      <c r="J3812" s="13">
        <f>G3812-H3812-I3812</f>
        <v/>
      </c>
      <c r="K3812">
        <f>IF(A3812="","",IF(J3812&lt;=IFERROR(VLOOKUP(A3812,Cadastro_Produtos!$A:$E,5,FALSE),0),"ABAIXO DO MINIMO","OK"))</f>
        <v/>
      </c>
    </row>
    <row r="3813">
      <c r="B3813">
        <f>IFERROR(VLOOKUP(A3813,Cadastro_Produtos!A:B,2,FALSE),"")</f>
        <v/>
      </c>
      <c r="D3813" s="12" t="n"/>
      <c r="E3813" s="13">
        <f>IF(D3813="","",D3813-TODAY())</f>
        <v/>
      </c>
      <c r="F3813">
        <f>IF(D3813="","",IF(E3813&lt;0,"VENCIDO",IF(E3813&lt;=30,"VENCE EM &lt;= 30 DIAS",IF(E3813&lt;=60,"ATENCAO (31-60 DIAS)","OK"))))</f>
        <v/>
      </c>
      <c r="G3813" s="13">
        <f>SUMIFS(Movimentacoes!$G:$G,Movimentacoes!$C:$C,$A3813,Movimentacoes!$E:$E,$C3813,Movimentacoes!$B:$B,"ENTRADA")</f>
        <v/>
      </c>
      <c r="H3813" s="13">
        <f>SUMIFS(Movimentacoes!$G:$G,Movimentacoes!$C:$C,$A3813,Movimentacoes!$E:$E,$C3813,Movimentacoes!$B:$B,"SAIDA_USO")</f>
        <v/>
      </c>
      <c r="I3813" s="13">
        <f>SUMIFS(Movimentacoes!$G:$G,Movimentacoes!$C:$C,$A3813,Movimentacoes!$E:$E,$C3813,Movimentacoes!$B:$B,"SAIDA_DESCARTE")</f>
        <v/>
      </c>
      <c r="J3813" s="13">
        <f>G3813-H3813-I3813</f>
        <v/>
      </c>
      <c r="K3813">
        <f>IF(A3813="","",IF(J3813&lt;=IFERROR(VLOOKUP(A3813,Cadastro_Produtos!$A:$E,5,FALSE),0),"ABAIXO DO MINIMO","OK"))</f>
        <v/>
      </c>
    </row>
    <row r="3814">
      <c r="B3814">
        <f>IFERROR(VLOOKUP(A3814,Cadastro_Produtos!A:B,2,FALSE),"")</f>
        <v/>
      </c>
      <c r="D3814" s="12" t="n"/>
      <c r="E3814" s="13">
        <f>IF(D3814="","",D3814-TODAY())</f>
        <v/>
      </c>
      <c r="F3814">
        <f>IF(D3814="","",IF(E3814&lt;0,"VENCIDO",IF(E3814&lt;=30,"VENCE EM &lt;= 30 DIAS",IF(E3814&lt;=60,"ATENCAO (31-60 DIAS)","OK"))))</f>
        <v/>
      </c>
      <c r="G3814" s="13">
        <f>SUMIFS(Movimentacoes!$G:$G,Movimentacoes!$C:$C,$A3814,Movimentacoes!$E:$E,$C3814,Movimentacoes!$B:$B,"ENTRADA")</f>
        <v/>
      </c>
      <c r="H3814" s="13">
        <f>SUMIFS(Movimentacoes!$G:$G,Movimentacoes!$C:$C,$A3814,Movimentacoes!$E:$E,$C3814,Movimentacoes!$B:$B,"SAIDA_USO")</f>
        <v/>
      </c>
      <c r="I3814" s="13">
        <f>SUMIFS(Movimentacoes!$G:$G,Movimentacoes!$C:$C,$A3814,Movimentacoes!$E:$E,$C3814,Movimentacoes!$B:$B,"SAIDA_DESCARTE")</f>
        <v/>
      </c>
      <c r="J3814" s="13">
        <f>G3814-H3814-I3814</f>
        <v/>
      </c>
      <c r="K3814">
        <f>IF(A3814="","",IF(J3814&lt;=IFERROR(VLOOKUP(A3814,Cadastro_Produtos!$A:$E,5,FALSE),0),"ABAIXO DO MINIMO","OK"))</f>
        <v/>
      </c>
    </row>
    <row r="3815">
      <c r="B3815">
        <f>IFERROR(VLOOKUP(A3815,Cadastro_Produtos!A:B,2,FALSE),"")</f>
        <v/>
      </c>
      <c r="D3815" s="12" t="n"/>
      <c r="E3815" s="13">
        <f>IF(D3815="","",D3815-TODAY())</f>
        <v/>
      </c>
      <c r="F3815">
        <f>IF(D3815="","",IF(E3815&lt;0,"VENCIDO",IF(E3815&lt;=30,"VENCE EM &lt;= 30 DIAS",IF(E3815&lt;=60,"ATENCAO (31-60 DIAS)","OK"))))</f>
        <v/>
      </c>
      <c r="G3815" s="13">
        <f>SUMIFS(Movimentacoes!$G:$G,Movimentacoes!$C:$C,$A3815,Movimentacoes!$E:$E,$C3815,Movimentacoes!$B:$B,"ENTRADA")</f>
        <v/>
      </c>
      <c r="H3815" s="13">
        <f>SUMIFS(Movimentacoes!$G:$G,Movimentacoes!$C:$C,$A3815,Movimentacoes!$E:$E,$C3815,Movimentacoes!$B:$B,"SAIDA_USO")</f>
        <v/>
      </c>
      <c r="I3815" s="13">
        <f>SUMIFS(Movimentacoes!$G:$G,Movimentacoes!$C:$C,$A3815,Movimentacoes!$E:$E,$C3815,Movimentacoes!$B:$B,"SAIDA_DESCARTE")</f>
        <v/>
      </c>
      <c r="J3815" s="13">
        <f>G3815-H3815-I3815</f>
        <v/>
      </c>
      <c r="K3815">
        <f>IF(A3815="","",IF(J3815&lt;=IFERROR(VLOOKUP(A3815,Cadastro_Produtos!$A:$E,5,FALSE),0),"ABAIXO DO MINIMO","OK"))</f>
        <v/>
      </c>
    </row>
    <row r="3816">
      <c r="B3816">
        <f>IFERROR(VLOOKUP(A3816,Cadastro_Produtos!A:B,2,FALSE),"")</f>
        <v/>
      </c>
      <c r="D3816" s="12" t="n"/>
      <c r="E3816" s="13">
        <f>IF(D3816="","",D3816-TODAY())</f>
        <v/>
      </c>
      <c r="F3816">
        <f>IF(D3816="","",IF(E3816&lt;0,"VENCIDO",IF(E3816&lt;=30,"VENCE EM &lt;= 30 DIAS",IF(E3816&lt;=60,"ATENCAO (31-60 DIAS)","OK"))))</f>
        <v/>
      </c>
      <c r="G3816" s="13">
        <f>SUMIFS(Movimentacoes!$G:$G,Movimentacoes!$C:$C,$A3816,Movimentacoes!$E:$E,$C3816,Movimentacoes!$B:$B,"ENTRADA")</f>
        <v/>
      </c>
      <c r="H3816" s="13">
        <f>SUMIFS(Movimentacoes!$G:$G,Movimentacoes!$C:$C,$A3816,Movimentacoes!$E:$E,$C3816,Movimentacoes!$B:$B,"SAIDA_USO")</f>
        <v/>
      </c>
      <c r="I3816" s="13">
        <f>SUMIFS(Movimentacoes!$G:$G,Movimentacoes!$C:$C,$A3816,Movimentacoes!$E:$E,$C3816,Movimentacoes!$B:$B,"SAIDA_DESCARTE")</f>
        <v/>
      </c>
      <c r="J3816" s="13">
        <f>G3816-H3816-I3816</f>
        <v/>
      </c>
      <c r="K3816">
        <f>IF(A3816="","",IF(J3816&lt;=IFERROR(VLOOKUP(A3816,Cadastro_Produtos!$A:$E,5,FALSE),0),"ABAIXO DO MINIMO","OK"))</f>
        <v/>
      </c>
    </row>
    <row r="3817">
      <c r="B3817">
        <f>IFERROR(VLOOKUP(A3817,Cadastro_Produtos!A:B,2,FALSE),"")</f>
        <v/>
      </c>
      <c r="D3817" s="12" t="n"/>
      <c r="E3817" s="13">
        <f>IF(D3817="","",D3817-TODAY())</f>
        <v/>
      </c>
      <c r="F3817">
        <f>IF(D3817="","",IF(E3817&lt;0,"VENCIDO",IF(E3817&lt;=30,"VENCE EM &lt;= 30 DIAS",IF(E3817&lt;=60,"ATENCAO (31-60 DIAS)","OK"))))</f>
        <v/>
      </c>
      <c r="G3817" s="13">
        <f>SUMIFS(Movimentacoes!$G:$G,Movimentacoes!$C:$C,$A3817,Movimentacoes!$E:$E,$C3817,Movimentacoes!$B:$B,"ENTRADA")</f>
        <v/>
      </c>
      <c r="H3817" s="13">
        <f>SUMIFS(Movimentacoes!$G:$G,Movimentacoes!$C:$C,$A3817,Movimentacoes!$E:$E,$C3817,Movimentacoes!$B:$B,"SAIDA_USO")</f>
        <v/>
      </c>
      <c r="I3817" s="13">
        <f>SUMIFS(Movimentacoes!$G:$G,Movimentacoes!$C:$C,$A3817,Movimentacoes!$E:$E,$C3817,Movimentacoes!$B:$B,"SAIDA_DESCARTE")</f>
        <v/>
      </c>
      <c r="J3817" s="13">
        <f>G3817-H3817-I3817</f>
        <v/>
      </c>
      <c r="K3817">
        <f>IF(A3817="","",IF(J3817&lt;=IFERROR(VLOOKUP(A3817,Cadastro_Produtos!$A:$E,5,FALSE),0),"ABAIXO DO MINIMO","OK"))</f>
        <v/>
      </c>
    </row>
    <row r="3818">
      <c r="B3818">
        <f>IFERROR(VLOOKUP(A3818,Cadastro_Produtos!A:B,2,FALSE),"")</f>
        <v/>
      </c>
      <c r="D3818" s="12" t="n"/>
      <c r="E3818" s="13">
        <f>IF(D3818="","",D3818-TODAY())</f>
        <v/>
      </c>
      <c r="F3818">
        <f>IF(D3818="","",IF(E3818&lt;0,"VENCIDO",IF(E3818&lt;=30,"VENCE EM &lt;= 30 DIAS",IF(E3818&lt;=60,"ATENCAO (31-60 DIAS)","OK"))))</f>
        <v/>
      </c>
      <c r="G3818" s="13">
        <f>SUMIFS(Movimentacoes!$G:$G,Movimentacoes!$C:$C,$A3818,Movimentacoes!$E:$E,$C3818,Movimentacoes!$B:$B,"ENTRADA")</f>
        <v/>
      </c>
      <c r="H3818" s="13">
        <f>SUMIFS(Movimentacoes!$G:$G,Movimentacoes!$C:$C,$A3818,Movimentacoes!$E:$E,$C3818,Movimentacoes!$B:$B,"SAIDA_USO")</f>
        <v/>
      </c>
      <c r="I3818" s="13">
        <f>SUMIFS(Movimentacoes!$G:$G,Movimentacoes!$C:$C,$A3818,Movimentacoes!$E:$E,$C3818,Movimentacoes!$B:$B,"SAIDA_DESCARTE")</f>
        <v/>
      </c>
      <c r="J3818" s="13">
        <f>G3818-H3818-I3818</f>
        <v/>
      </c>
      <c r="K3818">
        <f>IF(A3818="","",IF(J3818&lt;=IFERROR(VLOOKUP(A3818,Cadastro_Produtos!$A:$E,5,FALSE),0),"ABAIXO DO MINIMO","OK"))</f>
        <v/>
      </c>
    </row>
    <row r="3819">
      <c r="B3819">
        <f>IFERROR(VLOOKUP(A3819,Cadastro_Produtos!A:B,2,FALSE),"")</f>
        <v/>
      </c>
      <c r="D3819" s="12" t="n"/>
      <c r="E3819" s="13">
        <f>IF(D3819="","",D3819-TODAY())</f>
        <v/>
      </c>
      <c r="F3819">
        <f>IF(D3819="","",IF(E3819&lt;0,"VENCIDO",IF(E3819&lt;=30,"VENCE EM &lt;= 30 DIAS",IF(E3819&lt;=60,"ATENCAO (31-60 DIAS)","OK"))))</f>
        <v/>
      </c>
      <c r="G3819" s="13">
        <f>SUMIFS(Movimentacoes!$G:$G,Movimentacoes!$C:$C,$A3819,Movimentacoes!$E:$E,$C3819,Movimentacoes!$B:$B,"ENTRADA")</f>
        <v/>
      </c>
      <c r="H3819" s="13">
        <f>SUMIFS(Movimentacoes!$G:$G,Movimentacoes!$C:$C,$A3819,Movimentacoes!$E:$E,$C3819,Movimentacoes!$B:$B,"SAIDA_USO")</f>
        <v/>
      </c>
      <c r="I3819" s="13">
        <f>SUMIFS(Movimentacoes!$G:$G,Movimentacoes!$C:$C,$A3819,Movimentacoes!$E:$E,$C3819,Movimentacoes!$B:$B,"SAIDA_DESCARTE")</f>
        <v/>
      </c>
      <c r="J3819" s="13">
        <f>G3819-H3819-I3819</f>
        <v/>
      </c>
      <c r="K3819">
        <f>IF(A3819="","",IF(J3819&lt;=IFERROR(VLOOKUP(A3819,Cadastro_Produtos!$A:$E,5,FALSE),0),"ABAIXO DO MINIMO","OK"))</f>
        <v/>
      </c>
    </row>
    <row r="3820">
      <c r="B3820">
        <f>IFERROR(VLOOKUP(A3820,Cadastro_Produtos!A:B,2,FALSE),"")</f>
        <v/>
      </c>
      <c r="D3820" s="12" t="n"/>
      <c r="E3820" s="13">
        <f>IF(D3820="","",D3820-TODAY())</f>
        <v/>
      </c>
      <c r="F3820">
        <f>IF(D3820="","",IF(E3820&lt;0,"VENCIDO",IF(E3820&lt;=30,"VENCE EM &lt;= 30 DIAS",IF(E3820&lt;=60,"ATENCAO (31-60 DIAS)","OK"))))</f>
        <v/>
      </c>
      <c r="G3820" s="13">
        <f>SUMIFS(Movimentacoes!$G:$G,Movimentacoes!$C:$C,$A3820,Movimentacoes!$E:$E,$C3820,Movimentacoes!$B:$B,"ENTRADA")</f>
        <v/>
      </c>
      <c r="H3820" s="13">
        <f>SUMIFS(Movimentacoes!$G:$G,Movimentacoes!$C:$C,$A3820,Movimentacoes!$E:$E,$C3820,Movimentacoes!$B:$B,"SAIDA_USO")</f>
        <v/>
      </c>
      <c r="I3820" s="13">
        <f>SUMIFS(Movimentacoes!$G:$G,Movimentacoes!$C:$C,$A3820,Movimentacoes!$E:$E,$C3820,Movimentacoes!$B:$B,"SAIDA_DESCARTE")</f>
        <v/>
      </c>
      <c r="J3820" s="13">
        <f>G3820-H3820-I3820</f>
        <v/>
      </c>
      <c r="K3820">
        <f>IF(A3820="","",IF(J3820&lt;=IFERROR(VLOOKUP(A3820,Cadastro_Produtos!$A:$E,5,FALSE),0),"ABAIXO DO MINIMO","OK"))</f>
        <v/>
      </c>
    </row>
    <row r="3821">
      <c r="B3821">
        <f>IFERROR(VLOOKUP(A3821,Cadastro_Produtos!A:B,2,FALSE),"")</f>
        <v/>
      </c>
      <c r="D3821" s="12" t="n"/>
      <c r="E3821" s="13">
        <f>IF(D3821="","",D3821-TODAY())</f>
        <v/>
      </c>
      <c r="F3821">
        <f>IF(D3821="","",IF(E3821&lt;0,"VENCIDO",IF(E3821&lt;=30,"VENCE EM &lt;= 30 DIAS",IF(E3821&lt;=60,"ATENCAO (31-60 DIAS)","OK"))))</f>
        <v/>
      </c>
      <c r="G3821" s="13">
        <f>SUMIFS(Movimentacoes!$G:$G,Movimentacoes!$C:$C,$A3821,Movimentacoes!$E:$E,$C3821,Movimentacoes!$B:$B,"ENTRADA")</f>
        <v/>
      </c>
      <c r="H3821" s="13">
        <f>SUMIFS(Movimentacoes!$G:$G,Movimentacoes!$C:$C,$A3821,Movimentacoes!$E:$E,$C3821,Movimentacoes!$B:$B,"SAIDA_USO")</f>
        <v/>
      </c>
      <c r="I3821" s="13">
        <f>SUMIFS(Movimentacoes!$G:$G,Movimentacoes!$C:$C,$A3821,Movimentacoes!$E:$E,$C3821,Movimentacoes!$B:$B,"SAIDA_DESCARTE")</f>
        <v/>
      </c>
      <c r="J3821" s="13">
        <f>G3821-H3821-I3821</f>
        <v/>
      </c>
      <c r="K3821">
        <f>IF(A3821="","",IF(J3821&lt;=IFERROR(VLOOKUP(A3821,Cadastro_Produtos!$A:$E,5,FALSE),0),"ABAIXO DO MINIMO","OK"))</f>
        <v/>
      </c>
    </row>
    <row r="3822">
      <c r="B3822">
        <f>IFERROR(VLOOKUP(A3822,Cadastro_Produtos!A:B,2,FALSE),"")</f>
        <v/>
      </c>
      <c r="D3822" s="12" t="n"/>
      <c r="E3822" s="13">
        <f>IF(D3822="","",D3822-TODAY())</f>
        <v/>
      </c>
      <c r="F3822">
        <f>IF(D3822="","",IF(E3822&lt;0,"VENCIDO",IF(E3822&lt;=30,"VENCE EM &lt;= 30 DIAS",IF(E3822&lt;=60,"ATENCAO (31-60 DIAS)","OK"))))</f>
        <v/>
      </c>
      <c r="G3822" s="13">
        <f>SUMIFS(Movimentacoes!$G:$G,Movimentacoes!$C:$C,$A3822,Movimentacoes!$E:$E,$C3822,Movimentacoes!$B:$B,"ENTRADA")</f>
        <v/>
      </c>
      <c r="H3822" s="13">
        <f>SUMIFS(Movimentacoes!$G:$G,Movimentacoes!$C:$C,$A3822,Movimentacoes!$E:$E,$C3822,Movimentacoes!$B:$B,"SAIDA_USO")</f>
        <v/>
      </c>
      <c r="I3822" s="13">
        <f>SUMIFS(Movimentacoes!$G:$G,Movimentacoes!$C:$C,$A3822,Movimentacoes!$E:$E,$C3822,Movimentacoes!$B:$B,"SAIDA_DESCARTE")</f>
        <v/>
      </c>
      <c r="J3822" s="13">
        <f>G3822-H3822-I3822</f>
        <v/>
      </c>
      <c r="K3822">
        <f>IF(A3822="","",IF(J3822&lt;=IFERROR(VLOOKUP(A3822,Cadastro_Produtos!$A:$E,5,FALSE),0),"ABAIXO DO MINIMO","OK"))</f>
        <v/>
      </c>
    </row>
    <row r="3823">
      <c r="B3823">
        <f>IFERROR(VLOOKUP(A3823,Cadastro_Produtos!A:B,2,FALSE),"")</f>
        <v/>
      </c>
      <c r="D3823" s="12" t="n"/>
      <c r="E3823" s="13">
        <f>IF(D3823="","",D3823-TODAY())</f>
        <v/>
      </c>
      <c r="F3823">
        <f>IF(D3823="","",IF(E3823&lt;0,"VENCIDO",IF(E3823&lt;=30,"VENCE EM &lt;= 30 DIAS",IF(E3823&lt;=60,"ATENCAO (31-60 DIAS)","OK"))))</f>
        <v/>
      </c>
      <c r="G3823" s="13">
        <f>SUMIFS(Movimentacoes!$G:$G,Movimentacoes!$C:$C,$A3823,Movimentacoes!$E:$E,$C3823,Movimentacoes!$B:$B,"ENTRADA")</f>
        <v/>
      </c>
      <c r="H3823" s="13">
        <f>SUMIFS(Movimentacoes!$G:$G,Movimentacoes!$C:$C,$A3823,Movimentacoes!$E:$E,$C3823,Movimentacoes!$B:$B,"SAIDA_USO")</f>
        <v/>
      </c>
      <c r="I3823" s="13">
        <f>SUMIFS(Movimentacoes!$G:$G,Movimentacoes!$C:$C,$A3823,Movimentacoes!$E:$E,$C3823,Movimentacoes!$B:$B,"SAIDA_DESCARTE")</f>
        <v/>
      </c>
      <c r="J3823" s="13">
        <f>G3823-H3823-I3823</f>
        <v/>
      </c>
      <c r="K3823">
        <f>IF(A3823="","",IF(J3823&lt;=IFERROR(VLOOKUP(A3823,Cadastro_Produtos!$A:$E,5,FALSE),0),"ABAIXO DO MINIMO","OK"))</f>
        <v/>
      </c>
    </row>
    <row r="3824">
      <c r="B3824">
        <f>IFERROR(VLOOKUP(A3824,Cadastro_Produtos!A:B,2,FALSE),"")</f>
        <v/>
      </c>
      <c r="D3824" s="12" t="n"/>
      <c r="E3824" s="13">
        <f>IF(D3824="","",D3824-TODAY())</f>
        <v/>
      </c>
      <c r="F3824">
        <f>IF(D3824="","",IF(E3824&lt;0,"VENCIDO",IF(E3824&lt;=30,"VENCE EM &lt;= 30 DIAS",IF(E3824&lt;=60,"ATENCAO (31-60 DIAS)","OK"))))</f>
        <v/>
      </c>
      <c r="G3824" s="13">
        <f>SUMIFS(Movimentacoes!$G:$G,Movimentacoes!$C:$C,$A3824,Movimentacoes!$E:$E,$C3824,Movimentacoes!$B:$B,"ENTRADA")</f>
        <v/>
      </c>
      <c r="H3824" s="13">
        <f>SUMIFS(Movimentacoes!$G:$G,Movimentacoes!$C:$C,$A3824,Movimentacoes!$E:$E,$C3824,Movimentacoes!$B:$B,"SAIDA_USO")</f>
        <v/>
      </c>
      <c r="I3824" s="13">
        <f>SUMIFS(Movimentacoes!$G:$G,Movimentacoes!$C:$C,$A3824,Movimentacoes!$E:$E,$C3824,Movimentacoes!$B:$B,"SAIDA_DESCARTE")</f>
        <v/>
      </c>
      <c r="J3824" s="13">
        <f>G3824-H3824-I3824</f>
        <v/>
      </c>
      <c r="K3824">
        <f>IF(A3824="","",IF(J3824&lt;=IFERROR(VLOOKUP(A3824,Cadastro_Produtos!$A:$E,5,FALSE),0),"ABAIXO DO MINIMO","OK"))</f>
        <v/>
      </c>
    </row>
    <row r="3825">
      <c r="B3825">
        <f>IFERROR(VLOOKUP(A3825,Cadastro_Produtos!A:B,2,FALSE),"")</f>
        <v/>
      </c>
      <c r="D3825" s="12" t="n"/>
      <c r="E3825" s="13">
        <f>IF(D3825="","",D3825-TODAY())</f>
        <v/>
      </c>
      <c r="F3825">
        <f>IF(D3825="","",IF(E3825&lt;0,"VENCIDO",IF(E3825&lt;=30,"VENCE EM &lt;= 30 DIAS",IF(E3825&lt;=60,"ATENCAO (31-60 DIAS)","OK"))))</f>
        <v/>
      </c>
      <c r="G3825" s="13">
        <f>SUMIFS(Movimentacoes!$G:$G,Movimentacoes!$C:$C,$A3825,Movimentacoes!$E:$E,$C3825,Movimentacoes!$B:$B,"ENTRADA")</f>
        <v/>
      </c>
      <c r="H3825" s="13">
        <f>SUMIFS(Movimentacoes!$G:$G,Movimentacoes!$C:$C,$A3825,Movimentacoes!$E:$E,$C3825,Movimentacoes!$B:$B,"SAIDA_USO")</f>
        <v/>
      </c>
      <c r="I3825" s="13">
        <f>SUMIFS(Movimentacoes!$G:$G,Movimentacoes!$C:$C,$A3825,Movimentacoes!$E:$E,$C3825,Movimentacoes!$B:$B,"SAIDA_DESCARTE")</f>
        <v/>
      </c>
      <c r="J3825" s="13">
        <f>G3825-H3825-I3825</f>
        <v/>
      </c>
      <c r="K3825">
        <f>IF(A3825="","",IF(J3825&lt;=IFERROR(VLOOKUP(A3825,Cadastro_Produtos!$A:$E,5,FALSE),0),"ABAIXO DO MINIMO","OK"))</f>
        <v/>
      </c>
    </row>
    <row r="3826">
      <c r="B3826">
        <f>IFERROR(VLOOKUP(A3826,Cadastro_Produtos!A:B,2,FALSE),"")</f>
        <v/>
      </c>
      <c r="D3826" s="12" t="n"/>
      <c r="E3826" s="13">
        <f>IF(D3826="","",D3826-TODAY())</f>
        <v/>
      </c>
      <c r="F3826">
        <f>IF(D3826="","",IF(E3826&lt;0,"VENCIDO",IF(E3826&lt;=30,"VENCE EM &lt;= 30 DIAS",IF(E3826&lt;=60,"ATENCAO (31-60 DIAS)","OK"))))</f>
        <v/>
      </c>
      <c r="G3826" s="13">
        <f>SUMIFS(Movimentacoes!$G:$G,Movimentacoes!$C:$C,$A3826,Movimentacoes!$E:$E,$C3826,Movimentacoes!$B:$B,"ENTRADA")</f>
        <v/>
      </c>
      <c r="H3826" s="13">
        <f>SUMIFS(Movimentacoes!$G:$G,Movimentacoes!$C:$C,$A3826,Movimentacoes!$E:$E,$C3826,Movimentacoes!$B:$B,"SAIDA_USO")</f>
        <v/>
      </c>
      <c r="I3826" s="13">
        <f>SUMIFS(Movimentacoes!$G:$G,Movimentacoes!$C:$C,$A3826,Movimentacoes!$E:$E,$C3826,Movimentacoes!$B:$B,"SAIDA_DESCARTE")</f>
        <v/>
      </c>
      <c r="J3826" s="13">
        <f>G3826-H3826-I3826</f>
        <v/>
      </c>
      <c r="K3826">
        <f>IF(A3826="","",IF(J3826&lt;=IFERROR(VLOOKUP(A3826,Cadastro_Produtos!$A:$E,5,FALSE),0),"ABAIXO DO MINIMO","OK"))</f>
        <v/>
      </c>
    </row>
    <row r="3827">
      <c r="B3827">
        <f>IFERROR(VLOOKUP(A3827,Cadastro_Produtos!A:B,2,FALSE),"")</f>
        <v/>
      </c>
      <c r="D3827" s="12" t="n"/>
      <c r="E3827" s="13">
        <f>IF(D3827="","",D3827-TODAY())</f>
        <v/>
      </c>
      <c r="F3827">
        <f>IF(D3827="","",IF(E3827&lt;0,"VENCIDO",IF(E3827&lt;=30,"VENCE EM &lt;= 30 DIAS",IF(E3827&lt;=60,"ATENCAO (31-60 DIAS)","OK"))))</f>
        <v/>
      </c>
      <c r="G3827" s="13">
        <f>SUMIFS(Movimentacoes!$G:$G,Movimentacoes!$C:$C,$A3827,Movimentacoes!$E:$E,$C3827,Movimentacoes!$B:$B,"ENTRADA")</f>
        <v/>
      </c>
      <c r="H3827" s="13">
        <f>SUMIFS(Movimentacoes!$G:$G,Movimentacoes!$C:$C,$A3827,Movimentacoes!$E:$E,$C3827,Movimentacoes!$B:$B,"SAIDA_USO")</f>
        <v/>
      </c>
      <c r="I3827" s="13">
        <f>SUMIFS(Movimentacoes!$G:$G,Movimentacoes!$C:$C,$A3827,Movimentacoes!$E:$E,$C3827,Movimentacoes!$B:$B,"SAIDA_DESCARTE")</f>
        <v/>
      </c>
      <c r="J3827" s="13">
        <f>G3827-H3827-I3827</f>
        <v/>
      </c>
      <c r="K3827">
        <f>IF(A3827="","",IF(J3827&lt;=IFERROR(VLOOKUP(A3827,Cadastro_Produtos!$A:$E,5,FALSE),0),"ABAIXO DO MINIMO","OK"))</f>
        <v/>
      </c>
    </row>
    <row r="3828">
      <c r="B3828">
        <f>IFERROR(VLOOKUP(A3828,Cadastro_Produtos!A:B,2,FALSE),"")</f>
        <v/>
      </c>
      <c r="D3828" s="12" t="n"/>
      <c r="E3828" s="13">
        <f>IF(D3828="","",D3828-TODAY())</f>
        <v/>
      </c>
      <c r="F3828">
        <f>IF(D3828="","",IF(E3828&lt;0,"VENCIDO",IF(E3828&lt;=30,"VENCE EM &lt;= 30 DIAS",IF(E3828&lt;=60,"ATENCAO (31-60 DIAS)","OK"))))</f>
        <v/>
      </c>
      <c r="G3828" s="13">
        <f>SUMIFS(Movimentacoes!$G:$G,Movimentacoes!$C:$C,$A3828,Movimentacoes!$E:$E,$C3828,Movimentacoes!$B:$B,"ENTRADA")</f>
        <v/>
      </c>
      <c r="H3828" s="13">
        <f>SUMIFS(Movimentacoes!$G:$G,Movimentacoes!$C:$C,$A3828,Movimentacoes!$E:$E,$C3828,Movimentacoes!$B:$B,"SAIDA_USO")</f>
        <v/>
      </c>
      <c r="I3828" s="13">
        <f>SUMIFS(Movimentacoes!$G:$G,Movimentacoes!$C:$C,$A3828,Movimentacoes!$E:$E,$C3828,Movimentacoes!$B:$B,"SAIDA_DESCARTE")</f>
        <v/>
      </c>
      <c r="J3828" s="13">
        <f>G3828-H3828-I3828</f>
        <v/>
      </c>
      <c r="K3828">
        <f>IF(A3828="","",IF(J3828&lt;=IFERROR(VLOOKUP(A3828,Cadastro_Produtos!$A:$E,5,FALSE),0),"ABAIXO DO MINIMO","OK"))</f>
        <v/>
      </c>
    </row>
    <row r="3829">
      <c r="B3829">
        <f>IFERROR(VLOOKUP(A3829,Cadastro_Produtos!A:B,2,FALSE),"")</f>
        <v/>
      </c>
      <c r="D3829" s="12" t="n"/>
      <c r="E3829" s="13">
        <f>IF(D3829="","",D3829-TODAY())</f>
        <v/>
      </c>
      <c r="F3829">
        <f>IF(D3829="","",IF(E3829&lt;0,"VENCIDO",IF(E3829&lt;=30,"VENCE EM &lt;= 30 DIAS",IF(E3829&lt;=60,"ATENCAO (31-60 DIAS)","OK"))))</f>
        <v/>
      </c>
      <c r="G3829" s="13">
        <f>SUMIFS(Movimentacoes!$G:$G,Movimentacoes!$C:$C,$A3829,Movimentacoes!$E:$E,$C3829,Movimentacoes!$B:$B,"ENTRADA")</f>
        <v/>
      </c>
      <c r="H3829" s="13">
        <f>SUMIFS(Movimentacoes!$G:$G,Movimentacoes!$C:$C,$A3829,Movimentacoes!$E:$E,$C3829,Movimentacoes!$B:$B,"SAIDA_USO")</f>
        <v/>
      </c>
      <c r="I3829" s="13">
        <f>SUMIFS(Movimentacoes!$G:$G,Movimentacoes!$C:$C,$A3829,Movimentacoes!$E:$E,$C3829,Movimentacoes!$B:$B,"SAIDA_DESCARTE")</f>
        <v/>
      </c>
      <c r="J3829" s="13">
        <f>G3829-H3829-I3829</f>
        <v/>
      </c>
      <c r="K3829">
        <f>IF(A3829="","",IF(J3829&lt;=IFERROR(VLOOKUP(A3829,Cadastro_Produtos!$A:$E,5,FALSE),0),"ABAIXO DO MINIMO","OK"))</f>
        <v/>
      </c>
    </row>
    <row r="3830">
      <c r="B3830">
        <f>IFERROR(VLOOKUP(A3830,Cadastro_Produtos!A:B,2,FALSE),"")</f>
        <v/>
      </c>
      <c r="D3830" s="12" t="n"/>
      <c r="E3830" s="13">
        <f>IF(D3830="","",D3830-TODAY())</f>
        <v/>
      </c>
      <c r="F3830">
        <f>IF(D3830="","",IF(E3830&lt;0,"VENCIDO",IF(E3830&lt;=30,"VENCE EM &lt;= 30 DIAS",IF(E3830&lt;=60,"ATENCAO (31-60 DIAS)","OK"))))</f>
        <v/>
      </c>
      <c r="G3830" s="13">
        <f>SUMIFS(Movimentacoes!$G:$G,Movimentacoes!$C:$C,$A3830,Movimentacoes!$E:$E,$C3830,Movimentacoes!$B:$B,"ENTRADA")</f>
        <v/>
      </c>
      <c r="H3830" s="13">
        <f>SUMIFS(Movimentacoes!$G:$G,Movimentacoes!$C:$C,$A3830,Movimentacoes!$E:$E,$C3830,Movimentacoes!$B:$B,"SAIDA_USO")</f>
        <v/>
      </c>
      <c r="I3830" s="13">
        <f>SUMIFS(Movimentacoes!$G:$G,Movimentacoes!$C:$C,$A3830,Movimentacoes!$E:$E,$C3830,Movimentacoes!$B:$B,"SAIDA_DESCARTE")</f>
        <v/>
      </c>
      <c r="J3830" s="13">
        <f>G3830-H3830-I3830</f>
        <v/>
      </c>
      <c r="K3830">
        <f>IF(A3830="","",IF(J3830&lt;=IFERROR(VLOOKUP(A3830,Cadastro_Produtos!$A:$E,5,FALSE),0),"ABAIXO DO MINIMO","OK"))</f>
        <v/>
      </c>
    </row>
    <row r="3831">
      <c r="B3831">
        <f>IFERROR(VLOOKUP(A3831,Cadastro_Produtos!A:B,2,FALSE),"")</f>
        <v/>
      </c>
      <c r="D3831" s="12" t="n"/>
      <c r="E3831" s="13">
        <f>IF(D3831="","",D3831-TODAY())</f>
        <v/>
      </c>
      <c r="F3831">
        <f>IF(D3831="","",IF(E3831&lt;0,"VENCIDO",IF(E3831&lt;=30,"VENCE EM &lt;= 30 DIAS",IF(E3831&lt;=60,"ATENCAO (31-60 DIAS)","OK"))))</f>
        <v/>
      </c>
      <c r="G3831" s="13">
        <f>SUMIFS(Movimentacoes!$G:$G,Movimentacoes!$C:$C,$A3831,Movimentacoes!$E:$E,$C3831,Movimentacoes!$B:$B,"ENTRADA")</f>
        <v/>
      </c>
      <c r="H3831" s="13">
        <f>SUMIFS(Movimentacoes!$G:$G,Movimentacoes!$C:$C,$A3831,Movimentacoes!$E:$E,$C3831,Movimentacoes!$B:$B,"SAIDA_USO")</f>
        <v/>
      </c>
      <c r="I3831" s="13">
        <f>SUMIFS(Movimentacoes!$G:$G,Movimentacoes!$C:$C,$A3831,Movimentacoes!$E:$E,$C3831,Movimentacoes!$B:$B,"SAIDA_DESCARTE")</f>
        <v/>
      </c>
      <c r="J3831" s="13">
        <f>G3831-H3831-I3831</f>
        <v/>
      </c>
      <c r="K3831">
        <f>IF(A3831="","",IF(J3831&lt;=IFERROR(VLOOKUP(A3831,Cadastro_Produtos!$A:$E,5,FALSE),0),"ABAIXO DO MINIMO","OK"))</f>
        <v/>
      </c>
    </row>
    <row r="3832">
      <c r="B3832">
        <f>IFERROR(VLOOKUP(A3832,Cadastro_Produtos!A:B,2,FALSE),"")</f>
        <v/>
      </c>
      <c r="D3832" s="12" t="n"/>
      <c r="E3832" s="13">
        <f>IF(D3832="","",D3832-TODAY())</f>
        <v/>
      </c>
      <c r="F3832">
        <f>IF(D3832="","",IF(E3832&lt;0,"VENCIDO",IF(E3832&lt;=30,"VENCE EM &lt;= 30 DIAS",IF(E3832&lt;=60,"ATENCAO (31-60 DIAS)","OK"))))</f>
        <v/>
      </c>
      <c r="G3832" s="13">
        <f>SUMIFS(Movimentacoes!$G:$G,Movimentacoes!$C:$C,$A3832,Movimentacoes!$E:$E,$C3832,Movimentacoes!$B:$B,"ENTRADA")</f>
        <v/>
      </c>
      <c r="H3832" s="13">
        <f>SUMIFS(Movimentacoes!$G:$G,Movimentacoes!$C:$C,$A3832,Movimentacoes!$E:$E,$C3832,Movimentacoes!$B:$B,"SAIDA_USO")</f>
        <v/>
      </c>
      <c r="I3832" s="13">
        <f>SUMIFS(Movimentacoes!$G:$G,Movimentacoes!$C:$C,$A3832,Movimentacoes!$E:$E,$C3832,Movimentacoes!$B:$B,"SAIDA_DESCARTE")</f>
        <v/>
      </c>
      <c r="J3832" s="13">
        <f>G3832-H3832-I3832</f>
        <v/>
      </c>
      <c r="K3832">
        <f>IF(A3832="","",IF(J3832&lt;=IFERROR(VLOOKUP(A3832,Cadastro_Produtos!$A:$E,5,FALSE),0),"ABAIXO DO MINIMO","OK"))</f>
        <v/>
      </c>
    </row>
    <row r="3833">
      <c r="B3833">
        <f>IFERROR(VLOOKUP(A3833,Cadastro_Produtos!A:B,2,FALSE),"")</f>
        <v/>
      </c>
      <c r="D3833" s="12" t="n"/>
      <c r="E3833" s="13">
        <f>IF(D3833="","",D3833-TODAY())</f>
        <v/>
      </c>
      <c r="F3833">
        <f>IF(D3833="","",IF(E3833&lt;0,"VENCIDO",IF(E3833&lt;=30,"VENCE EM &lt;= 30 DIAS",IF(E3833&lt;=60,"ATENCAO (31-60 DIAS)","OK"))))</f>
        <v/>
      </c>
      <c r="G3833" s="13">
        <f>SUMIFS(Movimentacoes!$G:$G,Movimentacoes!$C:$C,$A3833,Movimentacoes!$E:$E,$C3833,Movimentacoes!$B:$B,"ENTRADA")</f>
        <v/>
      </c>
      <c r="H3833" s="13">
        <f>SUMIFS(Movimentacoes!$G:$G,Movimentacoes!$C:$C,$A3833,Movimentacoes!$E:$E,$C3833,Movimentacoes!$B:$B,"SAIDA_USO")</f>
        <v/>
      </c>
      <c r="I3833" s="13">
        <f>SUMIFS(Movimentacoes!$G:$G,Movimentacoes!$C:$C,$A3833,Movimentacoes!$E:$E,$C3833,Movimentacoes!$B:$B,"SAIDA_DESCARTE")</f>
        <v/>
      </c>
      <c r="J3833" s="13">
        <f>G3833-H3833-I3833</f>
        <v/>
      </c>
      <c r="K3833">
        <f>IF(A3833="","",IF(J3833&lt;=IFERROR(VLOOKUP(A3833,Cadastro_Produtos!$A:$E,5,FALSE),0),"ABAIXO DO MINIMO","OK"))</f>
        <v/>
      </c>
    </row>
    <row r="3834">
      <c r="B3834">
        <f>IFERROR(VLOOKUP(A3834,Cadastro_Produtos!A:B,2,FALSE),"")</f>
        <v/>
      </c>
      <c r="D3834" s="12" t="n"/>
      <c r="E3834" s="13">
        <f>IF(D3834="","",D3834-TODAY())</f>
        <v/>
      </c>
      <c r="F3834">
        <f>IF(D3834="","",IF(E3834&lt;0,"VENCIDO",IF(E3834&lt;=30,"VENCE EM &lt;= 30 DIAS",IF(E3834&lt;=60,"ATENCAO (31-60 DIAS)","OK"))))</f>
        <v/>
      </c>
      <c r="G3834" s="13">
        <f>SUMIFS(Movimentacoes!$G:$G,Movimentacoes!$C:$C,$A3834,Movimentacoes!$E:$E,$C3834,Movimentacoes!$B:$B,"ENTRADA")</f>
        <v/>
      </c>
      <c r="H3834" s="13">
        <f>SUMIFS(Movimentacoes!$G:$G,Movimentacoes!$C:$C,$A3834,Movimentacoes!$E:$E,$C3834,Movimentacoes!$B:$B,"SAIDA_USO")</f>
        <v/>
      </c>
      <c r="I3834" s="13">
        <f>SUMIFS(Movimentacoes!$G:$G,Movimentacoes!$C:$C,$A3834,Movimentacoes!$E:$E,$C3834,Movimentacoes!$B:$B,"SAIDA_DESCARTE")</f>
        <v/>
      </c>
      <c r="J3834" s="13">
        <f>G3834-H3834-I3834</f>
        <v/>
      </c>
      <c r="K3834">
        <f>IF(A3834="","",IF(J3834&lt;=IFERROR(VLOOKUP(A3834,Cadastro_Produtos!$A:$E,5,FALSE),0),"ABAIXO DO MINIMO","OK"))</f>
        <v/>
      </c>
    </row>
    <row r="3835">
      <c r="B3835">
        <f>IFERROR(VLOOKUP(A3835,Cadastro_Produtos!A:B,2,FALSE),"")</f>
        <v/>
      </c>
      <c r="D3835" s="12" t="n"/>
      <c r="E3835" s="13">
        <f>IF(D3835="","",D3835-TODAY())</f>
        <v/>
      </c>
      <c r="F3835">
        <f>IF(D3835="","",IF(E3835&lt;0,"VENCIDO",IF(E3835&lt;=30,"VENCE EM &lt;= 30 DIAS",IF(E3835&lt;=60,"ATENCAO (31-60 DIAS)","OK"))))</f>
        <v/>
      </c>
      <c r="G3835" s="13">
        <f>SUMIFS(Movimentacoes!$G:$G,Movimentacoes!$C:$C,$A3835,Movimentacoes!$E:$E,$C3835,Movimentacoes!$B:$B,"ENTRADA")</f>
        <v/>
      </c>
      <c r="H3835" s="13">
        <f>SUMIFS(Movimentacoes!$G:$G,Movimentacoes!$C:$C,$A3835,Movimentacoes!$E:$E,$C3835,Movimentacoes!$B:$B,"SAIDA_USO")</f>
        <v/>
      </c>
      <c r="I3835" s="13">
        <f>SUMIFS(Movimentacoes!$G:$G,Movimentacoes!$C:$C,$A3835,Movimentacoes!$E:$E,$C3835,Movimentacoes!$B:$B,"SAIDA_DESCARTE")</f>
        <v/>
      </c>
      <c r="J3835" s="13">
        <f>G3835-H3835-I3835</f>
        <v/>
      </c>
      <c r="K3835">
        <f>IF(A3835="","",IF(J3835&lt;=IFERROR(VLOOKUP(A3835,Cadastro_Produtos!$A:$E,5,FALSE),0),"ABAIXO DO MINIMO","OK"))</f>
        <v/>
      </c>
    </row>
    <row r="3836">
      <c r="B3836">
        <f>IFERROR(VLOOKUP(A3836,Cadastro_Produtos!A:B,2,FALSE),"")</f>
        <v/>
      </c>
      <c r="D3836" s="12" t="n"/>
      <c r="E3836" s="13">
        <f>IF(D3836="","",D3836-TODAY())</f>
        <v/>
      </c>
      <c r="F3836">
        <f>IF(D3836="","",IF(E3836&lt;0,"VENCIDO",IF(E3836&lt;=30,"VENCE EM &lt;= 30 DIAS",IF(E3836&lt;=60,"ATENCAO (31-60 DIAS)","OK"))))</f>
        <v/>
      </c>
      <c r="G3836" s="13">
        <f>SUMIFS(Movimentacoes!$G:$G,Movimentacoes!$C:$C,$A3836,Movimentacoes!$E:$E,$C3836,Movimentacoes!$B:$B,"ENTRADA")</f>
        <v/>
      </c>
      <c r="H3836" s="13">
        <f>SUMIFS(Movimentacoes!$G:$G,Movimentacoes!$C:$C,$A3836,Movimentacoes!$E:$E,$C3836,Movimentacoes!$B:$B,"SAIDA_USO")</f>
        <v/>
      </c>
      <c r="I3836" s="13">
        <f>SUMIFS(Movimentacoes!$G:$G,Movimentacoes!$C:$C,$A3836,Movimentacoes!$E:$E,$C3836,Movimentacoes!$B:$B,"SAIDA_DESCARTE")</f>
        <v/>
      </c>
      <c r="J3836" s="13">
        <f>G3836-H3836-I3836</f>
        <v/>
      </c>
      <c r="K3836">
        <f>IF(A3836="","",IF(J3836&lt;=IFERROR(VLOOKUP(A3836,Cadastro_Produtos!$A:$E,5,FALSE),0),"ABAIXO DO MINIMO","OK"))</f>
        <v/>
      </c>
    </row>
    <row r="3837">
      <c r="B3837">
        <f>IFERROR(VLOOKUP(A3837,Cadastro_Produtos!A:B,2,FALSE),"")</f>
        <v/>
      </c>
      <c r="D3837" s="12" t="n"/>
      <c r="E3837" s="13">
        <f>IF(D3837="","",D3837-TODAY())</f>
        <v/>
      </c>
      <c r="F3837">
        <f>IF(D3837="","",IF(E3837&lt;0,"VENCIDO",IF(E3837&lt;=30,"VENCE EM &lt;= 30 DIAS",IF(E3837&lt;=60,"ATENCAO (31-60 DIAS)","OK"))))</f>
        <v/>
      </c>
      <c r="G3837" s="13">
        <f>SUMIFS(Movimentacoes!$G:$G,Movimentacoes!$C:$C,$A3837,Movimentacoes!$E:$E,$C3837,Movimentacoes!$B:$B,"ENTRADA")</f>
        <v/>
      </c>
      <c r="H3837" s="13">
        <f>SUMIFS(Movimentacoes!$G:$G,Movimentacoes!$C:$C,$A3837,Movimentacoes!$E:$E,$C3837,Movimentacoes!$B:$B,"SAIDA_USO")</f>
        <v/>
      </c>
      <c r="I3837" s="13">
        <f>SUMIFS(Movimentacoes!$G:$G,Movimentacoes!$C:$C,$A3837,Movimentacoes!$E:$E,$C3837,Movimentacoes!$B:$B,"SAIDA_DESCARTE")</f>
        <v/>
      </c>
      <c r="J3837" s="13">
        <f>G3837-H3837-I3837</f>
        <v/>
      </c>
      <c r="K3837">
        <f>IF(A3837="","",IF(J3837&lt;=IFERROR(VLOOKUP(A3837,Cadastro_Produtos!$A:$E,5,FALSE),0),"ABAIXO DO MINIMO","OK"))</f>
        <v/>
      </c>
    </row>
    <row r="3838">
      <c r="B3838">
        <f>IFERROR(VLOOKUP(A3838,Cadastro_Produtos!A:B,2,FALSE),"")</f>
        <v/>
      </c>
      <c r="D3838" s="12" t="n"/>
      <c r="E3838" s="13">
        <f>IF(D3838="","",D3838-TODAY())</f>
        <v/>
      </c>
      <c r="F3838">
        <f>IF(D3838="","",IF(E3838&lt;0,"VENCIDO",IF(E3838&lt;=30,"VENCE EM &lt;= 30 DIAS",IF(E3838&lt;=60,"ATENCAO (31-60 DIAS)","OK"))))</f>
        <v/>
      </c>
      <c r="G3838" s="13">
        <f>SUMIFS(Movimentacoes!$G:$G,Movimentacoes!$C:$C,$A3838,Movimentacoes!$E:$E,$C3838,Movimentacoes!$B:$B,"ENTRADA")</f>
        <v/>
      </c>
      <c r="H3838" s="13">
        <f>SUMIFS(Movimentacoes!$G:$G,Movimentacoes!$C:$C,$A3838,Movimentacoes!$E:$E,$C3838,Movimentacoes!$B:$B,"SAIDA_USO")</f>
        <v/>
      </c>
      <c r="I3838" s="13">
        <f>SUMIFS(Movimentacoes!$G:$G,Movimentacoes!$C:$C,$A3838,Movimentacoes!$E:$E,$C3838,Movimentacoes!$B:$B,"SAIDA_DESCARTE")</f>
        <v/>
      </c>
      <c r="J3838" s="13">
        <f>G3838-H3838-I3838</f>
        <v/>
      </c>
      <c r="K3838">
        <f>IF(A3838="","",IF(J3838&lt;=IFERROR(VLOOKUP(A3838,Cadastro_Produtos!$A:$E,5,FALSE),0),"ABAIXO DO MINIMO","OK"))</f>
        <v/>
      </c>
    </row>
    <row r="3839">
      <c r="B3839">
        <f>IFERROR(VLOOKUP(A3839,Cadastro_Produtos!A:B,2,FALSE),"")</f>
        <v/>
      </c>
      <c r="D3839" s="12" t="n"/>
      <c r="E3839" s="13">
        <f>IF(D3839="","",D3839-TODAY())</f>
        <v/>
      </c>
      <c r="F3839">
        <f>IF(D3839="","",IF(E3839&lt;0,"VENCIDO",IF(E3839&lt;=30,"VENCE EM &lt;= 30 DIAS",IF(E3839&lt;=60,"ATENCAO (31-60 DIAS)","OK"))))</f>
        <v/>
      </c>
      <c r="G3839" s="13">
        <f>SUMIFS(Movimentacoes!$G:$G,Movimentacoes!$C:$C,$A3839,Movimentacoes!$E:$E,$C3839,Movimentacoes!$B:$B,"ENTRADA")</f>
        <v/>
      </c>
      <c r="H3839" s="13">
        <f>SUMIFS(Movimentacoes!$G:$G,Movimentacoes!$C:$C,$A3839,Movimentacoes!$E:$E,$C3839,Movimentacoes!$B:$B,"SAIDA_USO")</f>
        <v/>
      </c>
      <c r="I3839" s="13">
        <f>SUMIFS(Movimentacoes!$G:$G,Movimentacoes!$C:$C,$A3839,Movimentacoes!$E:$E,$C3839,Movimentacoes!$B:$B,"SAIDA_DESCARTE")</f>
        <v/>
      </c>
      <c r="J3839" s="13">
        <f>G3839-H3839-I3839</f>
        <v/>
      </c>
      <c r="K3839">
        <f>IF(A3839="","",IF(J3839&lt;=IFERROR(VLOOKUP(A3839,Cadastro_Produtos!$A:$E,5,FALSE),0),"ABAIXO DO MINIMO","OK"))</f>
        <v/>
      </c>
    </row>
    <row r="3840">
      <c r="B3840">
        <f>IFERROR(VLOOKUP(A3840,Cadastro_Produtos!A:B,2,FALSE),"")</f>
        <v/>
      </c>
      <c r="D3840" s="12" t="n"/>
      <c r="E3840" s="13">
        <f>IF(D3840="","",D3840-TODAY())</f>
        <v/>
      </c>
      <c r="F3840">
        <f>IF(D3840="","",IF(E3840&lt;0,"VENCIDO",IF(E3840&lt;=30,"VENCE EM &lt;= 30 DIAS",IF(E3840&lt;=60,"ATENCAO (31-60 DIAS)","OK"))))</f>
        <v/>
      </c>
      <c r="G3840" s="13">
        <f>SUMIFS(Movimentacoes!$G:$G,Movimentacoes!$C:$C,$A3840,Movimentacoes!$E:$E,$C3840,Movimentacoes!$B:$B,"ENTRADA")</f>
        <v/>
      </c>
      <c r="H3840" s="13">
        <f>SUMIFS(Movimentacoes!$G:$G,Movimentacoes!$C:$C,$A3840,Movimentacoes!$E:$E,$C3840,Movimentacoes!$B:$B,"SAIDA_USO")</f>
        <v/>
      </c>
      <c r="I3840" s="13">
        <f>SUMIFS(Movimentacoes!$G:$G,Movimentacoes!$C:$C,$A3840,Movimentacoes!$E:$E,$C3840,Movimentacoes!$B:$B,"SAIDA_DESCARTE")</f>
        <v/>
      </c>
      <c r="J3840" s="13">
        <f>G3840-H3840-I3840</f>
        <v/>
      </c>
      <c r="K3840">
        <f>IF(A3840="","",IF(J3840&lt;=IFERROR(VLOOKUP(A3840,Cadastro_Produtos!$A:$E,5,FALSE),0),"ABAIXO DO MINIMO","OK"))</f>
        <v/>
      </c>
    </row>
    <row r="3841">
      <c r="B3841">
        <f>IFERROR(VLOOKUP(A3841,Cadastro_Produtos!A:B,2,FALSE),"")</f>
        <v/>
      </c>
      <c r="D3841" s="12" t="n"/>
      <c r="E3841" s="13">
        <f>IF(D3841="","",D3841-TODAY())</f>
        <v/>
      </c>
      <c r="F3841">
        <f>IF(D3841="","",IF(E3841&lt;0,"VENCIDO",IF(E3841&lt;=30,"VENCE EM &lt;= 30 DIAS",IF(E3841&lt;=60,"ATENCAO (31-60 DIAS)","OK"))))</f>
        <v/>
      </c>
      <c r="G3841" s="13">
        <f>SUMIFS(Movimentacoes!$G:$G,Movimentacoes!$C:$C,$A3841,Movimentacoes!$E:$E,$C3841,Movimentacoes!$B:$B,"ENTRADA")</f>
        <v/>
      </c>
      <c r="H3841" s="13">
        <f>SUMIFS(Movimentacoes!$G:$G,Movimentacoes!$C:$C,$A3841,Movimentacoes!$E:$E,$C3841,Movimentacoes!$B:$B,"SAIDA_USO")</f>
        <v/>
      </c>
      <c r="I3841" s="13">
        <f>SUMIFS(Movimentacoes!$G:$G,Movimentacoes!$C:$C,$A3841,Movimentacoes!$E:$E,$C3841,Movimentacoes!$B:$B,"SAIDA_DESCARTE")</f>
        <v/>
      </c>
      <c r="J3841" s="13">
        <f>G3841-H3841-I3841</f>
        <v/>
      </c>
      <c r="K3841">
        <f>IF(A3841="","",IF(J3841&lt;=IFERROR(VLOOKUP(A3841,Cadastro_Produtos!$A:$E,5,FALSE),0),"ABAIXO DO MINIMO","OK"))</f>
        <v/>
      </c>
    </row>
    <row r="3842">
      <c r="B3842">
        <f>IFERROR(VLOOKUP(A3842,Cadastro_Produtos!A:B,2,FALSE),"")</f>
        <v/>
      </c>
      <c r="D3842" s="12" t="n"/>
      <c r="E3842" s="13">
        <f>IF(D3842="","",D3842-TODAY())</f>
        <v/>
      </c>
      <c r="F3842">
        <f>IF(D3842="","",IF(E3842&lt;0,"VENCIDO",IF(E3842&lt;=30,"VENCE EM &lt;= 30 DIAS",IF(E3842&lt;=60,"ATENCAO (31-60 DIAS)","OK"))))</f>
        <v/>
      </c>
      <c r="G3842" s="13">
        <f>SUMIFS(Movimentacoes!$G:$G,Movimentacoes!$C:$C,$A3842,Movimentacoes!$E:$E,$C3842,Movimentacoes!$B:$B,"ENTRADA")</f>
        <v/>
      </c>
      <c r="H3842" s="13">
        <f>SUMIFS(Movimentacoes!$G:$G,Movimentacoes!$C:$C,$A3842,Movimentacoes!$E:$E,$C3842,Movimentacoes!$B:$B,"SAIDA_USO")</f>
        <v/>
      </c>
      <c r="I3842" s="13">
        <f>SUMIFS(Movimentacoes!$G:$G,Movimentacoes!$C:$C,$A3842,Movimentacoes!$E:$E,$C3842,Movimentacoes!$B:$B,"SAIDA_DESCARTE")</f>
        <v/>
      </c>
      <c r="J3842" s="13">
        <f>G3842-H3842-I3842</f>
        <v/>
      </c>
      <c r="K3842">
        <f>IF(A3842="","",IF(J3842&lt;=IFERROR(VLOOKUP(A3842,Cadastro_Produtos!$A:$E,5,FALSE),0),"ABAIXO DO MINIMO","OK"))</f>
        <v/>
      </c>
    </row>
    <row r="3843">
      <c r="B3843">
        <f>IFERROR(VLOOKUP(A3843,Cadastro_Produtos!A:B,2,FALSE),"")</f>
        <v/>
      </c>
      <c r="D3843" s="12" t="n"/>
      <c r="E3843" s="13">
        <f>IF(D3843="","",D3843-TODAY())</f>
        <v/>
      </c>
      <c r="F3843">
        <f>IF(D3843="","",IF(E3843&lt;0,"VENCIDO",IF(E3843&lt;=30,"VENCE EM &lt;= 30 DIAS",IF(E3843&lt;=60,"ATENCAO (31-60 DIAS)","OK"))))</f>
        <v/>
      </c>
      <c r="G3843" s="13">
        <f>SUMIFS(Movimentacoes!$G:$G,Movimentacoes!$C:$C,$A3843,Movimentacoes!$E:$E,$C3843,Movimentacoes!$B:$B,"ENTRADA")</f>
        <v/>
      </c>
      <c r="H3843" s="13">
        <f>SUMIFS(Movimentacoes!$G:$G,Movimentacoes!$C:$C,$A3843,Movimentacoes!$E:$E,$C3843,Movimentacoes!$B:$B,"SAIDA_USO")</f>
        <v/>
      </c>
      <c r="I3843" s="13">
        <f>SUMIFS(Movimentacoes!$G:$G,Movimentacoes!$C:$C,$A3843,Movimentacoes!$E:$E,$C3843,Movimentacoes!$B:$B,"SAIDA_DESCARTE")</f>
        <v/>
      </c>
      <c r="J3843" s="13">
        <f>G3843-H3843-I3843</f>
        <v/>
      </c>
      <c r="K3843">
        <f>IF(A3843="","",IF(J3843&lt;=IFERROR(VLOOKUP(A3843,Cadastro_Produtos!$A:$E,5,FALSE),0),"ABAIXO DO MINIMO","OK"))</f>
        <v/>
      </c>
    </row>
    <row r="3844">
      <c r="B3844">
        <f>IFERROR(VLOOKUP(A3844,Cadastro_Produtos!A:B,2,FALSE),"")</f>
        <v/>
      </c>
      <c r="D3844" s="12" t="n"/>
      <c r="E3844" s="13">
        <f>IF(D3844="","",D3844-TODAY())</f>
        <v/>
      </c>
      <c r="F3844">
        <f>IF(D3844="","",IF(E3844&lt;0,"VENCIDO",IF(E3844&lt;=30,"VENCE EM &lt;= 30 DIAS",IF(E3844&lt;=60,"ATENCAO (31-60 DIAS)","OK"))))</f>
        <v/>
      </c>
      <c r="G3844" s="13">
        <f>SUMIFS(Movimentacoes!$G:$G,Movimentacoes!$C:$C,$A3844,Movimentacoes!$E:$E,$C3844,Movimentacoes!$B:$B,"ENTRADA")</f>
        <v/>
      </c>
      <c r="H3844" s="13">
        <f>SUMIFS(Movimentacoes!$G:$G,Movimentacoes!$C:$C,$A3844,Movimentacoes!$E:$E,$C3844,Movimentacoes!$B:$B,"SAIDA_USO")</f>
        <v/>
      </c>
      <c r="I3844" s="13">
        <f>SUMIFS(Movimentacoes!$G:$G,Movimentacoes!$C:$C,$A3844,Movimentacoes!$E:$E,$C3844,Movimentacoes!$B:$B,"SAIDA_DESCARTE")</f>
        <v/>
      </c>
      <c r="J3844" s="13">
        <f>G3844-H3844-I3844</f>
        <v/>
      </c>
      <c r="K3844">
        <f>IF(A3844="","",IF(J3844&lt;=IFERROR(VLOOKUP(A3844,Cadastro_Produtos!$A:$E,5,FALSE),0),"ABAIXO DO MINIMO","OK"))</f>
        <v/>
      </c>
    </row>
    <row r="3845">
      <c r="B3845">
        <f>IFERROR(VLOOKUP(A3845,Cadastro_Produtos!A:B,2,FALSE),"")</f>
        <v/>
      </c>
      <c r="D3845" s="12" t="n"/>
      <c r="E3845" s="13">
        <f>IF(D3845="","",D3845-TODAY())</f>
        <v/>
      </c>
      <c r="F3845">
        <f>IF(D3845="","",IF(E3845&lt;0,"VENCIDO",IF(E3845&lt;=30,"VENCE EM &lt;= 30 DIAS",IF(E3845&lt;=60,"ATENCAO (31-60 DIAS)","OK"))))</f>
        <v/>
      </c>
      <c r="G3845" s="13">
        <f>SUMIFS(Movimentacoes!$G:$G,Movimentacoes!$C:$C,$A3845,Movimentacoes!$E:$E,$C3845,Movimentacoes!$B:$B,"ENTRADA")</f>
        <v/>
      </c>
      <c r="H3845" s="13">
        <f>SUMIFS(Movimentacoes!$G:$G,Movimentacoes!$C:$C,$A3845,Movimentacoes!$E:$E,$C3845,Movimentacoes!$B:$B,"SAIDA_USO")</f>
        <v/>
      </c>
      <c r="I3845" s="13">
        <f>SUMIFS(Movimentacoes!$G:$G,Movimentacoes!$C:$C,$A3845,Movimentacoes!$E:$E,$C3845,Movimentacoes!$B:$B,"SAIDA_DESCARTE")</f>
        <v/>
      </c>
      <c r="J3845" s="13">
        <f>G3845-H3845-I3845</f>
        <v/>
      </c>
      <c r="K3845">
        <f>IF(A3845="","",IF(J3845&lt;=IFERROR(VLOOKUP(A3845,Cadastro_Produtos!$A:$E,5,FALSE),0),"ABAIXO DO MINIMO","OK"))</f>
        <v/>
      </c>
    </row>
    <row r="3846">
      <c r="B3846">
        <f>IFERROR(VLOOKUP(A3846,Cadastro_Produtos!A:B,2,FALSE),"")</f>
        <v/>
      </c>
      <c r="D3846" s="12" t="n"/>
      <c r="E3846" s="13">
        <f>IF(D3846="","",D3846-TODAY())</f>
        <v/>
      </c>
      <c r="F3846">
        <f>IF(D3846="","",IF(E3846&lt;0,"VENCIDO",IF(E3846&lt;=30,"VENCE EM &lt;= 30 DIAS",IF(E3846&lt;=60,"ATENCAO (31-60 DIAS)","OK"))))</f>
        <v/>
      </c>
      <c r="G3846" s="13">
        <f>SUMIFS(Movimentacoes!$G:$G,Movimentacoes!$C:$C,$A3846,Movimentacoes!$E:$E,$C3846,Movimentacoes!$B:$B,"ENTRADA")</f>
        <v/>
      </c>
      <c r="H3846" s="13">
        <f>SUMIFS(Movimentacoes!$G:$G,Movimentacoes!$C:$C,$A3846,Movimentacoes!$E:$E,$C3846,Movimentacoes!$B:$B,"SAIDA_USO")</f>
        <v/>
      </c>
      <c r="I3846" s="13">
        <f>SUMIFS(Movimentacoes!$G:$G,Movimentacoes!$C:$C,$A3846,Movimentacoes!$E:$E,$C3846,Movimentacoes!$B:$B,"SAIDA_DESCARTE")</f>
        <v/>
      </c>
      <c r="J3846" s="13">
        <f>G3846-H3846-I3846</f>
        <v/>
      </c>
      <c r="K3846">
        <f>IF(A3846="","",IF(J3846&lt;=IFERROR(VLOOKUP(A3846,Cadastro_Produtos!$A:$E,5,FALSE),0),"ABAIXO DO MINIMO","OK"))</f>
        <v/>
      </c>
    </row>
    <row r="3847">
      <c r="B3847">
        <f>IFERROR(VLOOKUP(A3847,Cadastro_Produtos!A:B,2,FALSE),"")</f>
        <v/>
      </c>
      <c r="D3847" s="12" t="n"/>
      <c r="E3847" s="13">
        <f>IF(D3847="","",D3847-TODAY())</f>
        <v/>
      </c>
      <c r="F3847">
        <f>IF(D3847="","",IF(E3847&lt;0,"VENCIDO",IF(E3847&lt;=30,"VENCE EM &lt;= 30 DIAS",IF(E3847&lt;=60,"ATENCAO (31-60 DIAS)","OK"))))</f>
        <v/>
      </c>
      <c r="G3847" s="13">
        <f>SUMIFS(Movimentacoes!$G:$G,Movimentacoes!$C:$C,$A3847,Movimentacoes!$E:$E,$C3847,Movimentacoes!$B:$B,"ENTRADA")</f>
        <v/>
      </c>
      <c r="H3847" s="13">
        <f>SUMIFS(Movimentacoes!$G:$G,Movimentacoes!$C:$C,$A3847,Movimentacoes!$E:$E,$C3847,Movimentacoes!$B:$B,"SAIDA_USO")</f>
        <v/>
      </c>
      <c r="I3847" s="13">
        <f>SUMIFS(Movimentacoes!$G:$G,Movimentacoes!$C:$C,$A3847,Movimentacoes!$E:$E,$C3847,Movimentacoes!$B:$B,"SAIDA_DESCARTE")</f>
        <v/>
      </c>
      <c r="J3847" s="13">
        <f>G3847-H3847-I3847</f>
        <v/>
      </c>
      <c r="K3847">
        <f>IF(A3847="","",IF(J3847&lt;=IFERROR(VLOOKUP(A3847,Cadastro_Produtos!$A:$E,5,FALSE),0),"ABAIXO DO MINIMO","OK"))</f>
        <v/>
      </c>
    </row>
    <row r="3848">
      <c r="B3848">
        <f>IFERROR(VLOOKUP(A3848,Cadastro_Produtos!A:B,2,FALSE),"")</f>
        <v/>
      </c>
      <c r="D3848" s="12" t="n"/>
      <c r="E3848" s="13">
        <f>IF(D3848="","",D3848-TODAY())</f>
        <v/>
      </c>
      <c r="F3848">
        <f>IF(D3848="","",IF(E3848&lt;0,"VENCIDO",IF(E3848&lt;=30,"VENCE EM &lt;= 30 DIAS",IF(E3848&lt;=60,"ATENCAO (31-60 DIAS)","OK"))))</f>
        <v/>
      </c>
      <c r="G3848" s="13">
        <f>SUMIFS(Movimentacoes!$G:$G,Movimentacoes!$C:$C,$A3848,Movimentacoes!$E:$E,$C3848,Movimentacoes!$B:$B,"ENTRADA")</f>
        <v/>
      </c>
      <c r="H3848" s="13">
        <f>SUMIFS(Movimentacoes!$G:$G,Movimentacoes!$C:$C,$A3848,Movimentacoes!$E:$E,$C3848,Movimentacoes!$B:$B,"SAIDA_USO")</f>
        <v/>
      </c>
      <c r="I3848" s="13">
        <f>SUMIFS(Movimentacoes!$G:$G,Movimentacoes!$C:$C,$A3848,Movimentacoes!$E:$E,$C3848,Movimentacoes!$B:$B,"SAIDA_DESCARTE")</f>
        <v/>
      </c>
      <c r="J3848" s="13">
        <f>G3848-H3848-I3848</f>
        <v/>
      </c>
      <c r="K3848">
        <f>IF(A3848="","",IF(J3848&lt;=IFERROR(VLOOKUP(A3848,Cadastro_Produtos!$A:$E,5,FALSE),0),"ABAIXO DO MINIMO","OK"))</f>
        <v/>
      </c>
    </row>
    <row r="3849">
      <c r="B3849">
        <f>IFERROR(VLOOKUP(A3849,Cadastro_Produtos!A:B,2,FALSE),"")</f>
        <v/>
      </c>
      <c r="D3849" s="12" t="n"/>
      <c r="E3849" s="13">
        <f>IF(D3849="","",D3849-TODAY())</f>
        <v/>
      </c>
      <c r="F3849">
        <f>IF(D3849="","",IF(E3849&lt;0,"VENCIDO",IF(E3849&lt;=30,"VENCE EM &lt;= 30 DIAS",IF(E3849&lt;=60,"ATENCAO (31-60 DIAS)","OK"))))</f>
        <v/>
      </c>
      <c r="G3849" s="13">
        <f>SUMIFS(Movimentacoes!$G:$G,Movimentacoes!$C:$C,$A3849,Movimentacoes!$E:$E,$C3849,Movimentacoes!$B:$B,"ENTRADA")</f>
        <v/>
      </c>
      <c r="H3849" s="13">
        <f>SUMIFS(Movimentacoes!$G:$G,Movimentacoes!$C:$C,$A3849,Movimentacoes!$E:$E,$C3849,Movimentacoes!$B:$B,"SAIDA_USO")</f>
        <v/>
      </c>
      <c r="I3849" s="13">
        <f>SUMIFS(Movimentacoes!$G:$G,Movimentacoes!$C:$C,$A3849,Movimentacoes!$E:$E,$C3849,Movimentacoes!$B:$B,"SAIDA_DESCARTE")</f>
        <v/>
      </c>
      <c r="J3849" s="13">
        <f>G3849-H3849-I3849</f>
        <v/>
      </c>
      <c r="K3849">
        <f>IF(A3849="","",IF(J3849&lt;=IFERROR(VLOOKUP(A3849,Cadastro_Produtos!$A:$E,5,FALSE),0),"ABAIXO DO MINIMO","OK"))</f>
        <v/>
      </c>
    </row>
    <row r="3850">
      <c r="B3850">
        <f>IFERROR(VLOOKUP(A3850,Cadastro_Produtos!A:B,2,FALSE),"")</f>
        <v/>
      </c>
      <c r="D3850" s="12" t="n"/>
      <c r="E3850" s="13">
        <f>IF(D3850="","",D3850-TODAY())</f>
        <v/>
      </c>
      <c r="F3850">
        <f>IF(D3850="","",IF(E3850&lt;0,"VENCIDO",IF(E3850&lt;=30,"VENCE EM &lt;= 30 DIAS",IF(E3850&lt;=60,"ATENCAO (31-60 DIAS)","OK"))))</f>
        <v/>
      </c>
      <c r="G3850" s="13">
        <f>SUMIFS(Movimentacoes!$G:$G,Movimentacoes!$C:$C,$A3850,Movimentacoes!$E:$E,$C3850,Movimentacoes!$B:$B,"ENTRADA")</f>
        <v/>
      </c>
      <c r="H3850" s="13">
        <f>SUMIFS(Movimentacoes!$G:$G,Movimentacoes!$C:$C,$A3850,Movimentacoes!$E:$E,$C3850,Movimentacoes!$B:$B,"SAIDA_USO")</f>
        <v/>
      </c>
      <c r="I3850" s="13">
        <f>SUMIFS(Movimentacoes!$G:$G,Movimentacoes!$C:$C,$A3850,Movimentacoes!$E:$E,$C3850,Movimentacoes!$B:$B,"SAIDA_DESCARTE")</f>
        <v/>
      </c>
      <c r="J3850" s="13">
        <f>G3850-H3850-I3850</f>
        <v/>
      </c>
      <c r="K3850">
        <f>IF(A3850="","",IF(J3850&lt;=IFERROR(VLOOKUP(A3850,Cadastro_Produtos!$A:$E,5,FALSE),0),"ABAIXO DO MINIMO","OK"))</f>
        <v/>
      </c>
    </row>
    <row r="3851">
      <c r="B3851">
        <f>IFERROR(VLOOKUP(A3851,Cadastro_Produtos!A:B,2,FALSE),"")</f>
        <v/>
      </c>
      <c r="D3851" s="12" t="n"/>
      <c r="E3851" s="13">
        <f>IF(D3851="","",D3851-TODAY())</f>
        <v/>
      </c>
      <c r="F3851">
        <f>IF(D3851="","",IF(E3851&lt;0,"VENCIDO",IF(E3851&lt;=30,"VENCE EM &lt;= 30 DIAS",IF(E3851&lt;=60,"ATENCAO (31-60 DIAS)","OK"))))</f>
        <v/>
      </c>
      <c r="G3851" s="13">
        <f>SUMIFS(Movimentacoes!$G:$G,Movimentacoes!$C:$C,$A3851,Movimentacoes!$E:$E,$C3851,Movimentacoes!$B:$B,"ENTRADA")</f>
        <v/>
      </c>
      <c r="H3851" s="13">
        <f>SUMIFS(Movimentacoes!$G:$G,Movimentacoes!$C:$C,$A3851,Movimentacoes!$E:$E,$C3851,Movimentacoes!$B:$B,"SAIDA_USO")</f>
        <v/>
      </c>
      <c r="I3851" s="13">
        <f>SUMIFS(Movimentacoes!$G:$G,Movimentacoes!$C:$C,$A3851,Movimentacoes!$E:$E,$C3851,Movimentacoes!$B:$B,"SAIDA_DESCARTE")</f>
        <v/>
      </c>
      <c r="J3851" s="13">
        <f>G3851-H3851-I3851</f>
        <v/>
      </c>
      <c r="K3851">
        <f>IF(A3851="","",IF(J3851&lt;=IFERROR(VLOOKUP(A3851,Cadastro_Produtos!$A:$E,5,FALSE),0),"ABAIXO DO MINIMO","OK"))</f>
        <v/>
      </c>
    </row>
    <row r="3852">
      <c r="B3852">
        <f>IFERROR(VLOOKUP(A3852,Cadastro_Produtos!A:B,2,FALSE),"")</f>
        <v/>
      </c>
      <c r="D3852" s="12" t="n"/>
      <c r="E3852" s="13">
        <f>IF(D3852="","",D3852-TODAY())</f>
        <v/>
      </c>
      <c r="F3852">
        <f>IF(D3852="","",IF(E3852&lt;0,"VENCIDO",IF(E3852&lt;=30,"VENCE EM &lt;= 30 DIAS",IF(E3852&lt;=60,"ATENCAO (31-60 DIAS)","OK"))))</f>
        <v/>
      </c>
      <c r="G3852" s="13">
        <f>SUMIFS(Movimentacoes!$G:$G,Movimentacoes!$C:$C,$A3852,Movimentacoes!$E:$E,$C3852,Movimentacoes!$B:$B,"ENTRADA")</f>
        <v/>
      </c>
      <c r="H3852" s="13">
        <f>SUMIFS(Movimentacoes!$G:$G,Movimentacoes!$C:$C,$A3852,Movimentacoes!$E:$E,$C3852,Movimentacoes!$B:$B,"SAIDA_USO")</f>
        <v/>
      </c>
      <c r="I3852" s="13">
        <f>SUMIFS(Movimentacoes!$G:$G,Movimentacoes!$C:$C,$A3852,Movimentacoes!$E:$E,$C3852,Movimentacoes!$B:$B,"SAIDA_DESCARTE")</f>
        <v/>
      </c>
      <c r="J3852" s="13">
        <f>G3852-H3852-I3852</f>
        <v/>
      </c>
      <c r="K3852">
        <f>IF(A3852="","",IF(J3852&lt;=IFERROR(VLOOKUP(A3852,Cadastro_Produtos!$A:$E,5,FALSE),0),"ABAIXO DO MINIMO","OK"))</f>
        <v/>
      </c>
    </row>
    <row r="3853">
      <c r="B3853">
        <f>IFERROR(VLOOKUP(A3853,Cadastro_Produtos!A:B,2,FALSE),"")</f>
        <v/>
      </c>
      <c r="D3853" s="12" t="n"/>
      <c r="E3853" s="13">
        <f>IF(D3853="","",D3853-TODAY())</f>
        <v/>
      </c>
      <c r="F3853">
        <f>IF(D3853="","",IF(E3853&lt;0,"VENCIDO",IF(E3853&lt;=30,"VENCE EM &lt;= 30 DIAS",IF(E3853&lt;=60,"ATENCAO (31-60 DIAS)","OK"))))</f>
        <v/>
      </c>
      <c r="G3853" s="13">
        <f>SUMIFS(Movimentacoes!$G:$G,Movimentacoes!$C:$C,$A3853,Movimentacoes!$E:$E,$C3853,Movimentacoes!$B:$B,"ENTRADA")</f>
        <v/>
      </c>
      <c r="H3853" s="13">
        <f>SUMIFS(Movimentacoes!$G:$G,Movimentacoes!$C:$C,$A3853,Movimentacoes!$E:$E,$C3853,Movimentacoes!$B:$B,"SAIDA_USO")</f>
        <v/>
      </c>
      <c r="I3853" s="13">
        <f>SUMIFS(Movimentacoes!$G:$G,Movimentacoes!$C:$C,$A3853,Movimentacoes!$E:$E,$C3853,Movimentacoes!$B:$B,"SAIDA_DESCARTE")</f>
        <v/>
      </c>
      <c r="J3853" s="13">
        <f>G3853-H3853-I3853</f>
        <v/>
      </c>
      <c r="K3853">
        <f>IF(A3853="","",IF(J3853&lt;=IFERROR(VLOOKUP(A3853,Cadastro_Produtos!$A:$E,5,FALSE),0),"ABAIXO DO MINIMO","OK"))</f>
        <v/>
      </c>
    </row>
    <row r="3854">
      <c r="B3854">
        <f>IFERROR(VLOOKUP(A3854,Cadastro_Produtos!A:B,2,FALSE),"")</f>
        <v/>
      </c>
      <c r="D3854" s="12" t="n"/>
      <c r="E3854" s="13">
        <f>IF(D3854="","",D3854-TODAY())</f>
        <v/>
      </c>
      <c r="F3854">
        <f>IF(D3854="","",IF(E3854&lt;0,"VENCIDO",IF(E3854&lt;=30,"VENCE EM &lt;= 30 DIAS",IF(E3854&lt;=60,"ATENCAO (31-60 DIAS)","OK"))))</f>
        <v/>
      </c>
      <c r="G3854" s="13">
        <f>SUMIFS(Movimentacoes!$G:$G,Movimentacoes!$C:$C,$A3854,Movimentacoes!$E:$E,$C3854,Movimentacoes!$B:$B,"ENTRADA")</f>
        <v/>
      </c>
      <c r="H3854" s="13">
        <f>SUMIFS(Movimentacoes!$G:$G,Movimentacoes!$C:$C,$A3854,Movimentacoes!$E:$E,$C3854,Movimentacoes!$B:$B,"SAIDA_USO")</f>
        <v/>
      </c>
      <c r="I3854" s="13">
        <f>SUMIFS(Movimentacoes!$G:$G,Movimentacoes!$C:$C,$A3854,Movimentacoes!$E:$E,$C3854,Movimentacoes!$B:$B,"SAIDA_DESCARTE")</f>
        <v/>
      </c>
      <c r="J3854" s="13">
        <f>G3854-H3854-I3854</f>
        <v/>
      </c>
      <c r="K3854">
        <f>IF(A3854="","",IF(J3854&lt;=IFERROR(VLOOKUP(A3854,Cadastro_Produtos!$A:$E,5,FALSE),0),"ABAIXO DO MINIMO","OK"))</f>
        <v/>
      </c>
    </row>
    <row r="3855">
      <c r="B3855">
        <f>IFERROR(VLOOKUP(A3855,Cadastro_Produtos!A:B,2,FALSE),"")</f>
        <v/>
      </c>
      <c r="D3855" s="12" t="n"/>
      <c r="E3855" s="13">
        <f>IF(D3855="","",D3855-TODAY())</f>
        <v/>
      </c>
      <c r="F3855">
        <f>IF(D3855="","",IF(E3855&lt;0,"VENCIDO",IF(E3855&lt;=30,"VENCE EM &lt;= 30 DIAS",IF(E3855&lt;=60,"ATENCAO (31-60 DIAS)","OK"))))</f>
        <v/>
      </c>
      <c r="G3855" s="13">
        <f>SUMIFS(Movimentacoes!$G:$G,Movimentacoes!$C:$C,$A3855,Movimentacoes!$E:$E,$C3855,Movimentacoes!$B:$B,"ENTRADA")</f>
        <v/>
      </c>
      <c r="H3855" s="13">
        <f>SUMIFS(Movimentacoes!$G:$G,Movimentacoes!$C:$C,$A3855,Movimentacoes!$E:$E,$C3855,Movimentacoes!$B:$B,"SAIDA_USO")</f>
        <v/>
      </c>
      <c r="I3855" s="13">
        <f>SUMIFS(Movimentacoes!$G:$G,Movimentacoes!$C:$C,$A3855,Movimentacoes!$E:$E,$C3855,Movimentacoes!$B:$B,"SAIDA_DESCARTE")</f>
        <v/>
      </c>
      <c r="J3855" s="13">
        <f>G3855-H3855-I3855</f>
        <v/>
      </c>
      <c r="K3855">
        <f>IF(A3855="","",IF(J3855&lt;=IFERROR(VLOOKUP(A3855,Cadastro_Produtos!$A:$E,5,FALSE),0),"ABAIXO DO MINIMO","OK"))</f>
        <v/>
      </c>
    </row>
    <row r="3856">
      <c r="B3856">
        <f>IFERROR(VLOOKUP(A3856,Cadastro_Produtos!A:B,2,FALSE),"")</f>
        <v/>
      </c>
      <c r="D3856" s="12" t="n"/>
      <c r="E3856" s="13">
        <f>IF(D3856="","",D3856-TODAY())</f>
        <v/>
      </c>
      <c r="F3856">
        <f>IF(D3856="","",IF(E3856&lt;0,"VENCIDO",IF(E3856&lt;=30,"VENCE EM &lt;= 30 DIAS",IF(E3856&lt;=60,"ATENCAO (31-60 DIAS)","OK"))))</f>
        <v/>
      </c>
      <c r="G3856" s="13">
        <f>SUMIFS(Movimentacoes!$G:$G,Movimentacoes!$C:$C,$A3856,Movimentacoes!$E:$E,$C3856,Movimentacoes!$B:$B,"ENTRADA")</f>
        <v/>
      </c>
      <c r="H3856" s="13">
        <f>SUMIFS(Movimentacoes!$G:$G,Movimentacoes!$C:$C,$A3856,Movimentacoes!$E:$E,$C3856,Movimentacoes!$B:$B,"SAIDA_USO")</f>
        <v/>
      </c>
      <c r="I3856" s="13">
        <f>SUMIFS(Movimentacoes!$G:$G,Movimentacoes!$C:$C,$A3856,Movimentacoes!$E:$E,$C3856,Movimentacoes!$B:$B,"SAIDA_DESCARTE")</f>
        <v/>
      </c>
      <c r="J3856" s="13">
        <f>G3856-H3856-I3856</f>
        <v/>
      </c>
      <c r="K3856">
        <f>IF(A3856="","",IF(J3856&lt;=IFERROR(VLOOKUP(A3856,Cadastro_Produtos!$A:$E,5,FALSE),0),"ABAIXO DO MINIMO","OK"))</f>
        <v/>
      </c>
    </row>
    <row r="3857">
      <c r="B3857">
        <f>IFERROR(VLOOKUP(A3857,Cadastro_Produtos!A:B,2,FALSE),"")</f>
        <v/>
      </c>
      <c r="D3857" s="12" t="n"/>
      <c r="E3857" s="13">
        <f>IF(D3857="","",D3857-TODAY())</f>
        <v/>
      </c>
      <c r="F3857">
        <f>IF(D3857="","",IF(E3857&lt;0,"VENCIDO",IF(E3857&lt;=30,"VENCE EM &lt;= 30 DIAS",IF(E3857&lt;=60,"ATENCAO (31-60 DIAS)","OK"))))</f>
        <v/>
      </c>
      <c r="G3857" s="13">
        <f>SUMIFS(Movimentacoes!$G:$G,Movimentacoes!$C:$C,$A3857,Movimentacoes!$E:$E,$C3857,Movimentacoes!$B:$B,"ENTRADA")</f>
        <v/>
      </c>
      <c r="H3857" s="13">
        <f>SUMIFS(Movimentacoes!$G:$G,Movimentacoes!$C:$C,$A3857,Movimentacoes!$E:$E,$C3857,Movimentacoes!$B:$B,"SAIDA_USO")</f>
        <v/>
      </c>
      <c r="I3857" s="13">
        <f>SUMIFS(Movimentacoes!$G:$G,Movimentacoes!$C:$C,$A3857,Movimentacoes!$E:$E,$C3857,Movimentacoes!$B:$B,"SAIDA_DESCARTE")</f>
        <v/>
      </c>
      <c r="J3857" s="13">
        <f>G3857-H3857-I3857</f>
        <v/>
      </c>
      <c r="K3857">
        <f>IF(A3857="","",IF(J3857&lt;=IFERROR(VLOOKUP(A3857,Cadastro_Produtos!$A:$E,5,FALSE),0),"ABAIXO DO MINIMO","OK"))</f>
        <v/>
      </c>
    </row>
    <row r="3858">
      <c r="B3858">
        <f>IFERROR(VLOOKUP(A3858,Cadastro_Produtos!A:B,2,FALSE),"")</f>
        <v/>
      </c>
      <c r="D3858" s="12" t="n"/>
      <c r="E3858" s="13">
        <f>IF(D3858="","",D3858-TODAY())</f>
        <v/>
      </c>
      <c r="F3858">
        <f>IF(D3858="","",IF(E3858&lt;0,"VENCIDO",IF(E3858&lt;=30,"VENCE EM &lt;= 30 DIAS",IF(E3858&lt;=60,"ATENCAO (31-60 DIAS)","OK"))))</f>
        <v/>
      </c>
      <c r="G3858" s="13">
        <f>SUMIFS(Movimentacoes!$G:$G,Movimentacoes!$C:$C,$A3858,Movimentacoes!$E:$E,$C3858,Movimentacoes!$B:$B,"ENTRADA")</f>
        <v/>
      </c>
      <c r="H3858" s="13">
        <f>SUMIFS(Movimentacoes!$G:$G,Movimentacoes!$C:$C,$A3858,Movimentacoes!$E:$E,$C3858,Movimentacoes!$B:$B,"SAIDA_USO")</f>
        <v/>
      </c>
      <c r="I3858" s="13">
        <f>SUMIFS(Movimentacoes!$G:$G,Movimentacoes!$C:$C,$A3858,Movimentacoes!$E:$E,$C3858,Movimentacoes!$B:$B,"SAIDA_DESCARTE")</f>
        <v/>
      </c>
      <c r="J3858" s="13">
        <f>G3858-H3858-I3858</f>
        <v/>
      </c>
      <c r="K3858">
        <f>IF(A3858="","",IF(J3858&lt;=IFERROR(VLOOKUP(A3858,Cadastro_Produtos!$A:$E,5,FALSE),0),"ABAIXO DO MINIMO","OK"))</f>
        <v/>
      </c>
    </row>
    <row r="3859">
      <c r="B3859">
        <f>IFERROR(VLOOKUP(A3859,Cadastro_Produtos!A:B,2,FALSE),"")</f>
        <v/>
      </c>
      <c r="D3859" s="12" t="n"/>
      <c r="E3859" s="13">
        <f>IF(D3859="","",D3859-TODAY())</f>
        <v/>
      </c>
      <c r="F3859">
        <f>IF(D3859="","",IF(E3859&lt;0,"VENCIDO",IF(E3859&lt;=30,"VENCE EM &lt;= 30 DIAS",IF(E3859&lt;=60,"ATENCAO (31-60 DIAS)","OK"))))</f>
        <v/>
      </c>
      <c r="G3859" s="13">
        <f>SUMIFS(Movimentacoes!$G:$G,Movimentacoes!$C:$C,$A3859,Movimentacoes!$E:$E,$C3859,Movimentacoes!$B:$B,"ENTRADA")</f>
        <v/>
      </c>
      <c r="H3859" s="13">
        <f>SUMIFS(Movimentacoes!$G:$G,Movimentacoes!$C:$C,$A3859,Movimentacoes!$E:$E,$C3859,Movimentacoes!$B:$B,"SAIDA_USO")</f>
        <v/>
      </c>
      <c r="I3859" s="13">
        <f>SUMIFS(Movimentacoes!$G:$G,Movimentacoes!$C:$C,$A3859,Movimentacoes!$E:$E,$C3859,Movimentacoes!$B:$B,"SAIDA_DESCARTE")</f>
        <v/>
      </c>
      <c r="J3859" s="13">
        <f>G3859-H3859-I3859</f>
        <v/>
      </c>
      <c r="K3859">
        <f>IF(A3859="","",IF(J3859&lt;=IFERROR(VLOOKUP(A3859,Cadastro_Produtos!$A:$E,5,FALSE),0),"ABAIXO DO MINIMO","OK"))</f>
        <v/>
      </c>
    </row>
    <row r="3860">
      <c r="B3860">
        <f>IFERROR(VLOOKUP(A3860,Cadastro_Produtos!A:B,2,FALSE),"")</f>
        <v/>
      </c>
      <c r="D3860" s="12" t="n"/>
      <c r="E3860" s="13">
        <f>IF(D3860="","",D3860-TODAY())</f>
        <v/>
      </c>
      <c r="F3860">
        <f>IF(D3860="","",IF(E3860&lt;0,"VENCIDO",IF(E3860&lt;=30,"VENCE EM &lt;= 30 DIAS",IF(E3860&lt;=60,"ATENCAO (31-60 DIAS)","OK"))))</f>
        <v/>
      </c>
      <c r="G3860" s="13">
        <f>SUMIFS(Movimentacoes!$G:$G,Movimentacoes!$C:$C,$A3860,Movimentacoes!$E:$E,$C3860,Movimentacoes!$B:$B,"ENTRADA")</f>
        <v/>
      </c>
      <c r="H3860" s="13">
        <f>SUMIFS(Movimentacoes!$G:$G,Movimentacoes!$C:$C,$A3860,Movimentacoes!$E:$E,$C3860,Movimentacoes!$B:$B,"SAIDA_USO")</f>
        <v/>
      </c>
      <c r="I3860" s="13">
        <f>SUMIFS(Movimentacoes!$G:$G,Movimentacoes!$C:$C,$A3860,Movimentacoes!$E:$E,$C3860,Movimentacoes!$B:$B,"SAIDA_DESCARTE")</f>
        <v/>
      </c>
      <c r="J3860" s="13">
        <f>G3860-H3860-I3860</f>
        <v/>
      </c>
      <c r="K3860">
        <f>IF(A3860="","",IF(J3860&lt;=IFERROR(VLOOKUP(A3860,Cadastro_Produtos!$A:$E,5,FALSE),0),"ABAIXO DO MINIMO","OK"))</f>
        <v/>
      </c>
    </row>
    <row r="3861">
      <c r="B3861">
        <f>IFERROR(VLOOKUP(A3861,Cadastro_Produtos!A:B,2,FALSE),"")</f>
        <v/>
      </c>
      <c r="D3861" s="12" t="n"/>
      <c r="E3861" s="13">
        <f>IF(D3861="","",D3861-TODAY())</f>
        <v/>
      </c>
      <c r="F3861">
        <f>IF(D3861="","",IF(E3861&lt;0,"VENCIDO",IF(E3861&lt;=30,"VENCE EM &lt;= 30 DIAS",IF(E3861&lt;=60,"ATENCAO (31-60 DIAS)","OK"))))</f>
        <v/>
      </c>
      <c r="G3861" s="13">
        <f>SUMIFS(Movimentacoes!$G:$G,Movimentacoes!$C:$C,$A3861,Movimentacoes!$E:$E,$C3861,Movimentacoes!$B:$B,"ENTRADA")</f>
        <v/>
      </c>
      <c r="H3861" s="13">
        <f>SUMIFS(Movimentacoes!$G:$G,Movimentacoes!$C:$C,$A3861,Movimentacoes!$E:$E,$C3861,Movimentacoes!$B:$B,"SAIDA_USO")</f>
        <v/>
      </c>
      <c r="I3861" s="13">
        <f>SUMIFS(Movimentacoes!$G:$G,Movimentacoes!$C:$C,$A3861,Movimentacoes!$E:$E,$C3861,Movimentacoes!$B:$B,"SAIDA_DESCARTE")</f>
        <v/>
      </c>
      <c r="J3861" s="13">
        <f>G3861-H3861-I3861</f>
        <v/>
      </c>
      <c r="K3861">
        <f>IF(A3861="","",IF(J3861&lt;=IFERROR(VLOOKUP(A3861,Cadastro_Produtos!$A:$E,5,FALSE),0),"ABAIXO DO MINIMO","OK"))</f>
        <v/>
      </c>
    </row>
    <row r="3862">
      <c r="B3862">
        <f>IFERROR(VLOOKUP(A3862,Cadastro_Produtos!A:B,2,FALSE),"")</f>
        <v/>
      </c>
      <c r="D3862" s="12" t="n"/>
      <c r="E3862" s="13">
        <f>IF(D3862="","",D3862-TODAY())</f>
        <v/>
      </c>
      <c r="F3862">
        <f>IF(D3862="","",IF(E3862&lt;0,"VENCIDO",IF(E3862&lt;=30,"VENCE EM &lt;= 30 DIAS",IF(E3862&lt;=60,"ATENCAO (31-60 DIAS)","OK"))))</f>
        <v/>
      </c>
      <c r="G3862" s="13">
        <f>SUMIFS(Movimentacoes!$G:$G,Movimentacoes!$C:$C,$A3862,Movimentacoes!$E:$E,$C3862,Movimentacoes!$B:$B,"ENTRADA")</f>
        <v/>
      </c>
      <c r="H3862" s="13">
        <f>SUMIFS(Movimentacoes!$G:$G,Movimentacoes!$C:$C,$A3862,Movimentacoes!$E:$E,$C3862,Movimentacoes!$B:$B,"SAIDA_USO")</f>
        <v/>
      </c>
      <c r="I3862" s="13">
        <f>SUMIFS(Movimentacoes!$G:$G,Movimentacoes!$C:$C,$A3862,Movimentacoes!$E:$E,$C3862,Movimentacoes!$B:$B,"SAIDA_DESCARTE")</f>
        <v/>
      </c>
      <c r="J3862" s="13">
        <f>G3862-H3862-I3862</f>
        <v/>
      </c>
      <c r="K3862">
        <f>IF(A3862="","",IF(J3862&lt;=IFERROR(VLOOKUP(A3862,Cadastro_Produtos!$A:$E,5,FALSE),0),"ABAIXO DO MINIMO","OK"))</f>
        <v/>
      </c>
    </row>
    <row r="3863">
      <c r="B3863">
        <f>IFERROR(VLOOKUP(A3863,Cadastro_Produtos!A:B,2,FALSE),"")</f>
        <v/>
      </c>
      <c r="D3863" s="12" t="n"/>
      <c r="E3863" s="13">
        <f>IF(D3863="","",D3863-TODAY())</f>
        <v/>
      </c>
      <c r="F3863">
        <f>IF(D3863="","",IF(E3863&lt;0,"VENCIDO",IF(E3863&lt;=30,"VENCE EM &lt;= 30 DIAS",IF(E3863&lt;=60,"ATENCAO (31-60 DIAS)","OK"))))</f>
        <v/>
      </c>
      <c r="G3863" s="13">
        <f>SUMIFS(Movimentacoes!$G:$G,Movimentacoes!$C:$C,$A3863,Movimentacoes!$E:$E,$C3863,Movimentacoes!$B:$B,"ENTRADA")</f>
        <v/>
      </c>
      <c r="H3863" s="13">
        <f>SUMIFS(Movimentacoes!$G:$G,Movimentacoes!$C:$C,$A3863,Movimentacoes!$E:$E,$C3863,Movimentacoes!$B:$B,"SAIDA_USO")</f>
        <v/>
      </c>
      <c r="I3863" s="13">
        <f>SUMIFS(Movimentacoes!$G:$G,Movimentacoes!$C:$C,$A3863,Movimentacoes!$E:$E,$C3863,Movimentacoes!$B:$B,"SAIDA_DESCARTE")</f>
        <v/>
      </c>
      <c r="J3863" s="13">
        <f>G3863-H3863-I3863</f>
        <v/>
      </c>
      <c r="K3863">
        <f>IF(A3863="","",IF(J3863&lt;=IFERROR(VLOOKUP(A3863,Cadastro_Produtos!$A:$E,5,FALSE),0),"ABAIXO DO MINIMO","OK"))</f>
        <v/>
      </c>
    </row>
    <row r="3864">
      <c r="B3864">
        <f>IFERROR(VLOOKUP(A3864,Cadastro_Produtos!A:B,2,FALSE),"")</f>
        <v/>
      </c>
      <c r="D3864" s="12" t="n"/>
      <c r="E3864" s="13">
        <f>IF(D3864="","",D3864-TODAY())</f>
        <v/>
      </c>
      <c r="F3864">
        <f>IF(D3864="","",IF(E3864&lt;0,"VENCIDO",IF(E3864&lt;=30,"VENCE EM &lt;= 30 DIAS",IF(E3864&lt;=60,"ATENCAO (31-60 DIAS)","OK"))))</f>
        <v/>
      </c>
      <c r="G3864" s="13">
        <f>SUMIFS(Movimentacoes!$G:$G,Movimentacoes!$C:$C,$A3864,Movimentacoes!$E:$E,$C3864,Movimentacoes!$B:$B,"ENTRADA")</f>
        <v/>
      </c>
      <c r="H3864" s="13">
        <f>SUMIFS(Movimentacoes!$G:$G,Movimentacoes!$C:$C,$A3864,Movimentacoes!$E:$E,$C3864,Movimentacoes!$B:$B,"SAIDA_USO")</f>
        <v/>
      </c>
      <c r="I3864" s="13">
        <f>SUMIFS(Movimentacoes!$G:$G,Movimentacoes!$C:$C,$A3864,Movimentacoes!$E:$E,$C3864,Movimentacoes!$B:$B,"SAIDA_DESCARTE")</f>
        <v/>
      </c>
      <c r="J3864" s="13">
        <f>G3864-H3864-I3864</f>
        <v/>
      </c>
      <c r="K3864">
        <f>IF(A3864="","",IF(J3864&lt;=IFERROR(VLOOKUP(A3864,Cadastro_Produtos!$A:$E,5,FALSE),0),"ABAIXO DO MINIMO","OK"))</f>
        <v/>
      </c>
    </row>
    <row r="3865">
      <c r="B3865">
        <f>IFERROR(VLOOKUP(A3865,Cadastro_Produtos!A:B,2,FALSE),"")</f>
        <v/>
      </c>
      <c r="D3865" s="12" t="n"/>
      <c r="E3865" s="13">
        <f>IF(D3865="","",D3865-TODAY())</f>
        <v/>
      </c>
      <c r="F3865">
        <f>IF(D3865="","",IF(E3865&lt;0,"VENCIDO",IF(E3865&lt;=30,"VENCE EM &lt;= 30 DIAS",IF(E3865&lt;=60,"ATENCAO (31-60 DIAS)","OK"))))</f>
        <v/>
      </c>
      <c r="G3865" s="13">
        <f>SUMIFS(Movimentacoes!$G:$G,Movimentacoes!$C:$C,$A3865,Movimentacoes!$E:$E,$C3865,Movimentacoes!$B:$B,"ENTRADA")</f>
        <v/>
      </c>
      <c r="H3865" s="13">
        <f>SUMIFS(Movimentacoes!$G:$G,Movimentacoes!$C:$C,$A3865,Movimentacoes!$E:$E,$C3865,Movimentacoes!$B:$B,"SAIDA_USO")</f>
        <v/>
      </c>
      <c r="I3865" s="13">
        <f>SUMIFS(Movimentacoes!$G:$G,Movimentacoes!$C:$C,$A3865,Movimentacoes!$E:$E,$C3865,Movimentacoes!$B:$B,"SAIDA_DESCARTE")</f>
        <v/>
      </c>
      <c r="J3865" s="13">
        <f>G3865-H3865-I3865</f>
        <v/>
      </c>
      <c r="K3865">
        <f>IF(A3865="","",IF(J3865&lt;=IFERROR(VLOOKUP(A3865,Cadastro_Produtos!$A:$E,5,FALSE),0),"ABAIXO DO MINIMO","OK"))</f>
        <v/>
      </c>
    </row>
    <row r="3866">
      <c r="B3866">
        <f>IFERROR(VLOOKUP(A3866,Cadastro_Produtos!A:B,2,FALSE),"")</f>
        <v/>
      </c>
      <c r="D3866" s="12" t="n"/>
      <c r="E3866" s="13">
        <f>IF(D3866="","",D3866-TODAY())</f>
        <v/>
      </c>
      <c r="F3866">
        <f>IF(D3866="","",IF(E3866&lt;0,"VENCIDO",IF(E3866&lt;=30,"VENCE EM &lt;= 30 DIAS",IF(E3866&lt;=60,"ATENCAO (31-60 DIAS)","OK"))))</f>
        <v/>
      </c>
      <c r="G3866" s="13">
        <f>SUMIFS(Movimentacoes!$G:$G,Movimentacoes!$C:$C,$A3866,Movimentacoes!$E:$E,$C3866,Movimentacoes!$B:$B,"ENTRADA")</f>
        <v/>
      </c>
      <c r="H3866" s="13">
        <f>SUMIFS(Movimentacoes!$G:$G,Movimentacoes!$C:$C,$A3866,Movimentacoes!$E:$E,$C3866,Movimentacoes!$B:$B,"SAIDA_USO")</f>
        <v/>
      </c>
      <c r="I3866" s="13">
        <f>SUMIFS(Movimentacoes!$G:$G,Movimentacoes!$C:$C,$A3866,Movimentacoes!$E:$E,$C3866,Movimentacoes!$B:$B,"SAIDA_DESCARTE")</f>
        <v/>
      </c>
      <c r="J3866" s="13">
        <f>G3866-H3866-I3866</f>
        <v/>
      </c>
      <c r="K3866">
        <f>IF(A3866="","",IF(J3866&lt;=IFERROR(VLOOKUP(A3866,Cadastro_Produtos!$A:$E,5,FALSE),0),"ABAIXO DO MINIMO","OK"))</f>
        <v/>
      </c>
    </row>
    <row r="3867">
      <c r="B3867">
        <f>IFERROR(VLOOKUP(A3867,Cadastro_Produtos!A:B,2,FALSE),"")</f>
        <v/>
      </c>
      <c r="D3867" s="12" t="n"/>
      <c r="E3867" s="13">
        <f>IF(D3867="","",D3867-TODAY())</f>
        <v/>
      </c>
      <c r="F3867">
        <f>IF(D3867="","",IF(E3867&lt;0,"VENCIDO",IF(E3867&lt;=30,"VENCE EM &lt;= 30 DIAS",IF(E3867&lt;=60,"ATENCAO (31-60 DIAS)","OK"))))</f>
        <v/>
      </c>
      <c r="G3867" s="13">
        <f>SUMIFS(Movimentacoes!$G:$G,Movimentacoes!$C:$C,$A3867,Movimentacoes!$E:$E,$C3867,Movimentacoes!$B:$B,"ENTRADA")</f>
        <v/>
      </c>
      <c r="H3867" s="13">
        <f>SUMIFS(Movimentacoes!$G:$G,Movimentacoes!$C:$C,$A3867,Movimentacoes!$E:$E,$C3867,Movimentacoes!$B:$B,"SAIDA_USO")</f>
        <v/>
      </c>
      <c r="I3867" s="13">
        <f>SUMIFS(Movimentacoes!$G:$G,Movimentacoes!$C:$C,$A3867,Movimentacoes!$E:$E,$C3867,Movimentacoes!$B:$B,"SAIDA_DESCARTE")</f>
        <v/>
      </c>
      <c r="J3867" s="13">
        <f>G3867-H3867-I3867</f>
        <v/>
      </c>
      <c r="K3867">
        <f>IF(A3867="","",IF(J3867&lt;=IFERROR(VLOOKUP(A3867,Cadastro_Produtos!$A:$E,5,FALSE),0),"ABAIXO DO MINIMO","OK"))</f>
        <v/>
      </c>
    </row>
    <row r="3868">
      <c r="B3868">
        <f>IFERROR(VLOOKUP(A3868,Cadastro_Produtos!A:B,2,FALSE),"")</f>
        <v/>
      </c>
      <c r="D3868" s="12" t="n"/>
      <c r="E3868" s="13">
        <f>IF(D3868="","",D3868-TODAY())</f>
        <v/>
      </c>
      <c r="F3868">
        <f>IF(D3868="","",IF(E3868&lt;0,"VENCIDO",IF(E3868&lt;=30,"VENCE EM &lt;= 30 DIAS",IF(E3868&lt;=60,"ATENCAO (31-60 DIAS)","OK"))))</f>
        <v/>
      </c>
      <c r="G3868" s="13">
        <f>SUMIFS(Movimentacoes!$G:$G,Movimentacoes!$C:$C,$A3868,Movimentacoes!$E:$E,$C3868,Movimentacoes!$B:$B,"ENTRADA")</f>
        <v/>
      </c>
      <c r="H3868" s="13">
        <f>SUMIFS(Movimentacoes!$G:$G,Movimentacoes!$C:$C,$A3868,Movimentacoes!$E:$E,$C3868,Movimentacoes!$B:$B,"SAIDA_USO")</f>
        <v/>
      </c>
      <c r="I3868" s="13">
        <f>SUMIFS(Movimentacoes!$G:$G,Movimentacoes!$C:$C,$A3868,Movimentacoes!$E:$E,$C3868,Movimentacoes!$B:$B,"SAIDA_DESCARTE")</f>
        <v/>
      </c>
      <c r="J3868" s="13">
        <f>G3868-H3868-I3868</f>
        <v/>
      </c>
      <c r="K3868">
        <f>IF(A3868="","",IF(J3868&lt;=IFERROR(VLOOKUP(A3868,Cadastro_Produtos!$A:$E,5,FALSE),0),"ABAIXO DO MINIMO","OK"))</f>
        <v/>
      </c>
    </row>
    <row r="3869">
      <c r="B3869">
        <f>IFERROR(VLOOKUP(A3869,Cadastro_Produtos!A:B,2,FALSE),"")</f>
        <v/>
      </c>
      <c r="D3869" s="12" t="n"/>
      <c r="E3869" s="13">
        <f>IF(D3869="","",D3869-TODAY())</f>
        <v/>
      </c>
      <c r="F3869">
        <f>IF(D3869="","",IF(E3869&lt;0,"VENCIDO",IF(E3869&lt;=30,"VENCE EM &lt;= 30 DIAS",IF(E3869&lt;=60,"ATENCAO (31-60 DIAS)","OK"))))</f>
        <v/>
      </c>
      <c r="G3869" s="13">
        <f>SUMIFS(Movimentacoes!$G:$G,Movimentacoes!$C:$C,$A3869,Movimentacoes!$E:$E,$C3869,Movimentacoes!$B:$B,"ENTRADA")</f>
        <v/>
      </c>
      <c r="H3869" s="13">
        <f>SUMIFS(Movimentacoes!$G:$G,Movimentacoes!$C:$C,$A3869,Movimentacoes!$E:$E,$C3869,Movimentacoes!$B:$B,"SAIDA_USO")</f>
        <v/>
      </c>
      <c r="I3869" s="13">
        <f>SUMIFS(Movimentacoes!$G:$G,Movimentacoes!$C:$C,$A3869,Movimentacoes!$E:$E,$C3869,Movimentacoes!$B:$B,"SAIDA_DESCARTE")</f>
        <v/>
      </c>
      <c r="J3869" s="13">
        <f>G3869-H3869-I3869</f>
        <v/>
      </c>
      <c r="K3869">
        <f>IF(A3869="","",IF(J3869&lt;=IFERROR(VLOOKUP(A3869,Cadastro_Produtos!$A:$E,5,FALSE),0),"ABAIXO DO MINIMO","OK"))</f>
        <v/>
      </c>
    </row>
    <row r="3870">
      <c r="B3870">
        <f>IFERROR(VLOOKUP(A3870,Cadastro_Produtos!A:B,2,FALSE),"")</f>
        <v/>
      </c>
      <c r="D3870" s="12" t="n"/>
      <c r="E3870" s="13">
        <f>IF(D3870="","",D3870-TODAY())</f>
        <v/>
      </c>
      <c r="F3870">
        <f>IF(D3870="","",IF(E3870&lt;0,"VENCIDO",IF(E3870&lt;=30,"VENCE EM &lt;= 30 DIAS",IF(E3870&lt;=60,"ATENCAO (31-60 DIAS)","OK"))))</f>
        <v/>
      </c>
      <c r="G3870" s="13">
        <f>SUMIFS(Movimentacoes!$G:$G,Movimentacoes!$C:$C,$A3870,Movimentacoes!$E:$E,$C3870,Movimentacoes!$B:$B,"ENTRADA")</f>
        <v/>
      </c>
      <c r="H3870" s="13">
        <f>SUMIFS(Movimentacoes!$G:$G,Movimentacoes!$C:$C,$A3870,Movimentacoes!$E:$E,$C3870,Movimentacoes!$B:$B,"SAIDA_USO")</f>
        <v/>
      </c>
      <c r="I3870" s="13">
        <f>SUMIFS(Movimentacoes!$G:$G,Movimentacoes!$C:$C,$A3870,Movimentacoes!$E:$E,$C3870,Movimentacoes!$B:$B,"SAIDA_DESCARTE")</f>
        <v/>
      </c>
      <c r="J3870" s="13">
        <f>G3870-H3870-I3870</f>
        <v/>
      </c>
      <c r="K3870">
        <f>IF(A3870="","",IF(J3870&lt;=IFERROR(VLOOKUP(A3870,Cadastro_Produtos!$A:$E,5,FALSE),0),"ABAIXO DO MINIMO","OK"))</f>
        <v/>
      </c>
    </row>
    <row r="3871">
      <c r="B3871">
        <f>IFERROR(VLOOKUP(A3871,Cadastro_Produtos!A:B,2,FALSE),"")</f>
        <v/>
      </c>
      <c r="D3871" s="12" t="n"/>
      <c r="E3871" s="13">
        <f>IF(D3871="","",D3871-TODAY())</f>
        <v/>
      </c>
      <c r="F3871">
        <f>IF(D3871="","",IF(E3871&lt;0,"VENCIDO",IF(E3871&lt;=30,"VENCE EM &lt;= 30 DIAS",IF(E3871&lt;=60,"ATENCAO (31-60 DIAS)","OK"))))</f>
        <v/>
      </c>
      <c r="G3871" s="13">
        <f>SUMIFS(Movimentacoes!$G:$G,Movimentacoes!$C:$C,$A3871,Movimentacoes!$E:$E,$C3871,Movimentacoes!$B:$B,"ENTRADA")</f>
        <v/>
      </c>
      <c r="H3871" s="13">
        <f>SUMIFS(Movimentacoes!$G:$G,Movimentacoes!$C:$C,$A3871,Movimentacoes!$E:$E,$C3871,Movimentacoes!$B:$B,"SAIDA_USO")</f>
        <v/>
      </c>
      <c r="I3871" s="13">
        <f>SUMIFS(Movimentacoes!$G:$G,Movimentacoes!$C:$C,$A3871,Movimentacoes!$E:$E,$C3871,Movimentacoes!$B:$B,"SAIDA_DESCARTE")</f>
        <v/>
      </c>
      <c r="J3871" s="13">
        <f>G3871-H3871-I3871</f>
        <v/>
      </c>
      <c r="K3871">
        <f>IF(A3871="","",IF(J3871&lt;=IFERROR(VLOOKUP(A3871,Cadastro_Produtos!$A:$E,5,FALSE),0),"ABAIXO DO MINIMO","OK"))</f>
        <v/>
      </c>
    </row>
    <row r="3872">
      <c r="B3872">
        <f>IFERROR(VLOOKUP(A3872,Cadastro_Produtos!A:B,2,FALSE),"")</f>
        <v/>
      </c>
      <c r="D3872" s="12" t="n"/>
      <c r="E3872" s="13">
        <f>IF(D3872="","",D3872-TODAY())</f>
        <v/>
      </c>
      <c r="F3872">
        <f>IF(D3872="","",IF(E3872&lt;0,"VENCIDO",IF(E3872&lt;=30,"VENCE EM &lt;= 30 DIAS",IF(E3872&lt;=60,"ATENCAO (31-60 DIAS)","OK"))))</f>
        <v/>
      </c>
      <c r="G3872" s="13">
        <f>SUMIFS(Movimentacoes!$G:$G,Movimentacoes!$C:$C,$A3872,Movimentacoes!$E:$E,$C3872,Movimentacoes!$B:$B,"ENTRADA")</f>
        <v/>
      </c>
      <c r="H3872" s="13">
        <f>SUMIFS(Movimentacoes!$G:$G,Movimentacoes!$C:$C,$A3872,Movimentacoes!$E:$E,$C3872,Movimentacoes!$B:$B,"SAIDA_USO")</f>
        <v/>
      </c>
      <c r="I3872" s="13">
        <f>SUMIFS(Movimentacoes!$G:$G,Movimentacoes!$C:$C,$A3872,Movimentacoes!$E:$E,$C3872,Movimentacoes!$B:$B,"SAIDA_DESCARTE")</f>
        <v/>
      </c>
      <c r="J3872" s="13">
        <f>G3872-H3872-I3872</f>
        <v/>
      </c>
      <c r="K3872">
        <f>IF(A3872="","",IF(J3872&lt;=IFERROR(VLOOKUP(A3872,Cadastro_Produtos!$A:$E,5,FALSE),0),"ABAIXO DO MINIMO","OK"))</f>
        <v/>
      </c>
    </row>
    <row r="3873">
      <c r="B3873">
        <f>IFERROR(VLOOKUP(A3873,Cadastro_Produtos!A:B,2,FALSE),"")</f>
        <v/>
      </c>
      <c r="D3873" s="12" t="n"/>
      <c r="E3873" s="13">
        <f>IF(D3873="","",D3873-TODAY())</f>
        <v/>
      </c>
      <c r="F3873">
        <f>IF(D3873="","",IF(E3873&lt;0,"VENCIDO",IF(E3873&lt;=30,"VENCE EM &lt;= 30 DIAS",IF(E3873&lt;=60,"ATENCAO (31-60 DIAS)","OK"))))</f>
        <v/>
      </c>
      <c r="G3873" s="13">
        <f>SUMIFS(Movimentacoes!$G:$G,Movimentacoes!$C:$C,$A3873,Movimentacoes!$E:$E,$C3873,Movimentacoes!$B:$B,"ENTRADA")</f>
        <v/>
      </c>
      <c r="H3873" s="13">
        <f>SUMIFS(Movimentacoes!$G:$G,Movimentacoes!$C:$C,$A3873,Movimentacoes!$E:$E,$C3873,Movimentacoes!$B:$B,"SAIDA_USO")</f>
        <v/>
      </c>
      <c r="I3873" s="13">
        <f>SUMIFS(Movimentacoes!$G:$G,Movimentacoes!$C:$C,$A3873,Movimentacoes!$E:$E,$C3873,Movimentacoes!$B:$B,"SAIDA_DESCARTE")</f>
        <v/>
      </c>
      <c r="J3873" s="13">
        <f>G3873-H3873-I3873</f>
        <v/>
      </c>
      <c r="K3873">
        <f>IF(A3873="","",IF(J3873&lt;=IFERROR(VLOOKUP(A3873,Cadastro_Produtos!$A:$E,5,FALSE),0),"ABAIXO DO MINIMO","OK"))</f>
        <v/>
      </c>
    </row>
    <row r="3874">
      <c r="B3874">
        <f>IFERROR(VLOOKUP(A3874,Cadastro_Produtos!A:B,2,FALSE),"")</f>
        <v/>
      </c>
      <c r="D3874" s="12" t="n"/>
      <c r="E3874" s="13">
        <f>IF(D3874="","",D3874-TODAY())</f>
        <v/>
      </c>
      <c r="F3874">
        <f>IF(D3874="","",IF(E3874&lt;0,"VENCIDO",IF(E3874&lt;=30,"VENCE EM &lt;= 30 DIAS",IF(E3874&lt;=60,"ATENCAO (31-60 DIAS)","OK"))))</f>
        <v/>
      </c>
      <c r="G3874" s="13">
        <f>SUMIFS(Movimentacoes!$G:$G,Movimentacoes!$C:$C,$A3874,Movimentacoes!$E:$E,$C3874,Movimentacoes!$B:$B,"ENTRADA")</f>
        <v/>
      </c>
      <c r="H3874" s="13">
        <f>SUMIFS(Movimentacoes!$G:$G,Movimentacoes!$C:$C,$A3874,Movimentacoes!$E:$E,$C3874,Movimentacoes!$B:$B,"SAIDA_USO")</f>
        <v/>
      </c>
      <c r="I3874" s="13">
        <f>SUMIFS(Movimentacoes!$G:$G,Movimentacoes!$C:$C,$A3874,Movimentacoes!$E:$E,$C3874,Movimentacoes!$B:$B,"SAIDA_DESCARTE")</f>
        <v/>
      </c>
      <c r="J3874" s="13">
        <f>G3874-H3874-I3874</f>
        <v/>
      </c>
      <c r="K3874">
        <f>IF(A3874="","",IF(J3874&lt;=IFERROR(VLOOKUP(A3874,Cadastro_Produtos!$A:$E,5,FALSE),0),"ABAIXO DO MINIMO","OK"))</f>
        <v/>
      </c>
    </row>
    <row r="3875">
      <c r="B3875">
        <f>IFERROR(VLOOKUP(A3875,Cadastro_Produtos!A:B,2,FALSE),"")</f>
        <v/>
      </c>
      <c r="D3875" s="12" t="n"/>
      <c r="E3875" s="13">
        <f>IF(D3875="","",D3875-TODAY())</f>
        <v/>
      </c>
      <c r="F3875">
        <f>IF(D3875="","",IF(E3875&lt;0,"VENCIDO",IF(E3875&lt;=30,"VENCE EM &lt;= 30 DIAS",IF(E3875&lt;=60,"ATENCAO (31-60 DIAS)","OK"))))</f>
        <v/>
      </c>
      <c r="G3875" s="13">
        <f>SUMIFS(Movimentacoes!$G:$G,Movimentacoes!$C:$C,$A3875,Movimentacoes!$E:$E,$C3875,Movimentacoes!$B:$B,"ENTRADA")</f>
        <v/>
      </c>
      <c r="H3875" s="13">
        <f>SUMIFS(Movimentacoes!$G:$G,Movimentacoes!$C:$C,$A3875,Movimentacoes!$E:$E,$C3875,Movimentacoes!$B:$B,"SAIDA_USO")</f>
        <v/>
      </c>
      <c r="I3875" s="13">
        <f>SUMIFS(Movimentacoes!$G:$G,Movimentacoes!$C:$C,$A3875,Movimentacoes!$E:$E,$C3875,Movimentacoes!$B:$B,"SAIDA_DESCARTE")</f>
        <v/>
      </c>
      <c r="J3875" s="13">
        <f>G3875-H3875-I3875</f>
        <v/>
      </c>
      <c r="K3875">
        <f>IF(A3875="","",IF(J3875&lt;=IFERROR(VLOOKUP(A3875,Cadastro_Produtos!$A:$E,5,FALSE),0),"ABAIXO DO MINIMO","OK"))</f>
        <v/>
      </c>
    </row>
    <row r="3876">
      <c r="B3876">
        <f>IFERROR(VLOOKUP(A3876,Cadastro_Produtos!A:B,2,FALSE),"")</f>
        <v/>
      </c>
      <c r="D3876" s="12" t="n"/>
      <c r="E3876" s="13">
        <f>IF(D3876="","",D3876-TODAY())</f>
        <v/>
      </c>
      <c r="F3876">
        <f>IF(D3876="","",IF(E3876&lt;0,"VENCIDO",IF(E3876&lt;=30,"VENCE EM &lt;= 30 DIAS",IF(E3876&lt;=60,"ATENCAO (31-60 DIAS)","OK"))))</f>
        <v/>
      </c>
      <c r="G3876" s="13">
        <f>SUMIFS(Movimentacoes!$G:$G,Movimentacoes!$C:$C,$A3876,Movimentacoes!$E:$E,$C3876,Movimentacoes!$B:$B,"ENTRADA")</f>
        <v/>
      </c>
      <c r="H3876" s="13">
        <f>SUMIFS(Movimentacoes!$G:$G,Movimentacoes!$C:$C,$A3876,Movimentacoes!$E:$E,$C3876,Movimentacoes!$B:$B,"SAIDA_USO")</f>
        <v/>
      </c>
      <c r="I3876" s="13">
        <f>SUMIFS(Movimentacoes!$G:$G,Movimentacoes!$C:$C,$A3876,Movimentacoes!$E:$E,$C3876,Movimentacoes!$B:$B,"SAIDA_DESCARTE")</f>
        <v/>
      </c>
      <c r="J3876" s="13">
        <f>G3876-H3876-I3876</f>
        <v/>
      </c>
      <c r="K3876">
        <f>IF(A3876="","",IF(J3876&lt;=IFERROR(VLOOKUP(A3876,Cadastro_Produtos!$A:$E,5,FALSE),0),"ABAIXO DO MINIMO","OK"))</f>
        <v/>
      </c>
    </row>
    <row r="3877">
      <c r="B3877">
        <f>IFERROR(VLOOKUP(A3877,Cadastro_Produtos!A:B,2,FALSE),"")</f>
        <v/>
      </c>
      <c r="D3877" s="12" t="n"/>
      <c r="E3877" s="13">
        <f>IF(D3877="","",D3877-TODAY())</f>
        <v/>
      </c>
      <c r="F3877">
        <f>IF(D3877="","",IF(E3877&lt;0,"VENCIDO",IF(E3877&lt;=30,"VENCE EM &lt;= 30 DIAS",IF(E3877&lt;=60,"ATENCAO (31-60 DIAS)","OK"))))</f>
        <v/>
      </c>
      <c r="G3877" s="13">
        <f>SUMIFS(Movimentacoes!$G:$G,Movimentacoes!$C:$C,$A3877,Movimentacoes!$E:$E,$C3877,Movimentacoes!$B:$B,"ENTRADA")</f>
        <v/>
      </c>
      <c r="H3877" s="13">
        <f>SUMIFS(Movimentacoes!$G:$G,Movimentacoes!$C:$C,$A3877,Movimentacoes!$E:$E,$C3877,Movimentacoes!$B:$B,"SAIDA_USO")</f>
        <v/>
      </c>
      <c r="I3877" s="13">
        <f>SUMIFS(Movimentacoes!$G:$G,Movimentacoes!$C:$C,$A3877,Movimentacoes!$E:$E,$C3877,Movimentacoes!$B:$B,"SAIDA_DESCARTE")</f>
        <v/>
      </c>
      <c r="J3877" s="13">
        <f>G3877-H3877-I3877</f>
        <v/>
      </c>
      <c r="K3877">
        <f>IF(A3877="","",IF(J3877&lt;=IFERROR(VLOOKUP(A3877,Cadastro_Produtos!$A:$E,5,FALSE),0),"ABAIXO DO MINIMO","OK"))</f>
        <v/>
      </c>
    </row>
    <row r="3878">
      <c r="B3878">
        <f>IFERROR(VLOOKUP(A3878,Cadastro_Produtos!A:B,2,FALSE),"")</f>
        <v/>
      </c>
      <c r="D3878" s="12" t="n"/>
      <c r="E3878" s="13">
        <f>IF(D3878="","",D3878-TODAY())</f>
        <v/>
      </c>
      <c r="F3878">
        <f>IF(D3878="","",IF(E3878&lt;0,"VENCIDO",IF(E3878&lt;=30,"VENCE EM &lt;= 30 DIAS",IF(E3878&lt;=60,"ATENCAO (31-60 DIAS)","OK"))))</f>
        <v/>
      </c>
      <c r="G3878" s="13">
        <f>SUMIFS(Movimentacoes!$G:$G,Movimentacoes!$C:$C,$A3878,Movimentacoes!$E:$E,$C3878,Movimentacoes!$B:$B,"ENTRADA")</f>
        <v/>
      </c>
      <c r="H3878" s="13">
        <f>SUMIFS(Movimentacoes!$G:$G,Movimentacoes!$C:$C,$A3878,Movimentacoes!$E:$E,$C3878,Movimentacoes!$B:$B,"SAIDA_USO")</f>
        <v/>
      </c>
      <c r="I3878" s="13">
        <f>SUMIFS(Movimentacoes!$G:$G,Movimentacoes!$C:$C,$A3878,Movimentacoes!$E:$E,$C3878,Movimentacoes!$B:$B,"SAIDA_DESCARTE")</f>
        <v/>
      </c>
      <c r="J3878" s="13">
        <f>G3878-H3878-I3878</f>
        <v/>
      </c>
      <c r="K3878">
        <f>IF(A3878="","",IF(J3878&lt;=IFERROR(VLOOKUP(A3878,Cadastro_Produtos!$A:$E,5,FALSE),0),"ABAIXO DO MINIMO","OK"))</f>
        <v/>
      </c>
    </row>
    <row r="3879">
      <c r="B3879">
        <f>IFERROR(VLOOKUP(A3879,Cadastro_Produtos!A:B,2,FALSE),"")</f>
        <v/>
      </c>
      <c r="D3879" s="12" t="n"/>
      <c r="E3879" s="13">
        <f>IF(D3879="","",D3879-TODAY())</f>
        <v/>
      </c>
      <c r="F3879">
        <f>IF(D3879="","",IF(E3879&lt;0,"VENCIDO",IF(E3879&lt;=30,"VENCE EM &lt;= 30 DIAS",IF(E3879&lt;=60,"ATENCAO (31-60 DIAS)","OK"))))</f>
        <v/>
      </c>
      <c r="G3879" s="13">
        <f>SUMIFS(Movimentacoes!$G:$G,Movimentacoes!$C:$C,$A3879,Movimentacoes!$E:$E,$C3879,Movimentacoes!$B:$B,"ENTRADA")</f>
        <v/>
      </c>
      <c r="H3879" s="13">
        <f>SUMIFS(Movimentacoes!$G:$G,Movimentacoes!$C:$C,$A3879,Movimentacoes!$E:$E,$C3879,Movimentacoes!$B:$B,"SAIDA_USO")</f>
        <v/>
      </c>
      <c r="I3879" s="13">
        <f>SUMIFS(Movimentacoes!$G:$G,Movimentacoes!$C:$C,$A3879,Movimentacoes!$E:$E,$C3879,Movimentacoes!$B:$B,"SAIDA_DESCARTE")</f>
        <v/>
      </c>
      <c r="J3879" s="13">
        <f>G3879-H3879-I3879</f>
        <v/>
      </c>
      <c r="K3879">
        <f>IF(A3879="","",IF(J3879&lt;=IFERROR(VLOOKUP(A3879,Cadastro_Produtos!$A:$E,5,FALSE),0),"ABAIXO DO MINIMO","OK"))</f>
        <v/>
      </c>
    </row>
    <row r="3880">
      <c r="B3880">
        <f>IFERROR(VLOOKUP(A3880,Cadastro_Produtos!A:B,2,FALSE),"")</f>
        <v/>
      </c>
      <c r="D3880" s="12" t="n"/>
      <c r="E3880" s="13">
        <f>IF(D3880="","",D3880-TODAY())</f>
        <v/>
      </c>
      <c r="F3880">
        <f>IF(D3880="","",IF(E3880&lt;0,"VENCIDO",IF(E3880&lt;=30,"VENCE EM &lt;= 30 DIAS",IF(E3880&lt;=60,"ATENCAO (31-60 DIAS)","OK"))))</f>
        <v/>
      </c>
      <c r="G3880" s="13">
        <f>SUMIFS(Movimentacoes!$G:$G,Movimentacoes!$C:$C,$A3880,Movimentacoes!$E:$E,$C3880,Movimentacoes!$B:$B,"ENTRADA")</f>
        <v/>
      </c>
      <c r="H3880" s="13">
        <f>SUMIFS(Movimentacoes!$G:$G,Movimentacoes!$C:$C,$A3880,Movimentacoes!$E:$E,$C3880,Movimentacoes!$B:$B,"SAIDA_USO")</f>
        <v/>
      </c>
      <c r="I3880" s="13">
        <f>SUMIFS(Movimentacoes!$G:$G,Movimentacoes!$C:$C,$A3880,Movimentacoes!$E:$E,$C3880,Movimentacoes!$B:$B,"SAIDA_DESCARTE")</f>
        <v/>
      </c>
      <c r="J3880" s="13">
        <f>G3880-H3880-I3880</f>
        <v/>
      </c>
      <c r="K3880">
        <f>IF(A3880="","",IF(J3880&lt;=IFERROR(VLOOKUP(A3880,Cadastro_Produtos!$A:$E,5,FALSE),0),"ABAIXO DO MINIMO","OK"))</f>
        <v/>
      </c>
    </row>
    <row r="3881">
      <c r="B3881">
        <f>IFERROR(VLOOKUP(A3881,Cadastro_Produtos!A:B,2,FALSE),"")</f>
        <v/>
      </c>
      <c r="D3881" s="12" t="n"/>
      <c r="E3881" s="13">
        <f>IF(D3881="","",D3881-TODAY())</f>
        <v/>
      </c>
      <c r="F3881">
        <f>IF(D3881="","",IF(E3881&lt;0,"VENCIDO",IF(E3881&lt;=30,"VENCE EM &lt;= 30 DIAS",IF(E3881&lt;=60,"ATENCAO (31-60 DIAS)","OK"))))</f>
        <v/>
      </c>
      <c r="G3881" s="13">
        <f>SUMIFS(Movimentacoes!$G:$G,Movimentacoes!$C:$C,$A3881,Movimentacoes!$E:$E,$C3881,Movimentacoes!$B:$B,"ENTRADA")</f>
        <v/>
      </c>
      <c r="H3881" s="13">
        <f>SUMIFS(Movimentacoes!$G:$G,Movimentacoes!$C:$C,$A3881,Movimentacoes!$E:$E,$C3881,Movimentacoes!$B:$B,"SAIDA_USO")</f>
        <v/>
      </c>
      <c r="I3881" s="13">
        <f>SUMIFS(Movimentacoes!$G:$G,Movimentacoes!$C:$C,$A3881,Movimentacoes!$E:$E,$C3881,Movimentacoes!$B:$B,"SAIDA_DESCARTE")</f>
        <v/>
      </c>
      <c r="J3881" s="13">
        <f>G3881-H3881-I3881</f>
        <v/>
      </c>
      <c r="K3881">
        <f>IF(A3881="","",IF(J3881&lt;=IFERROR(VLOOKUP(A3881,Cadastro_Produtos!$A:$E,5,FALSE),0),"ABAIXO DO MINIMO","OK"))</f>
        <v/>
      </c>
    </row>
    <row r="3882">
      <c r="B3882">
        <f>IFERROR(VLOOKUP(A3882,Cadastro_Produtos!A:B,2,FALSE),"")</f>
        <v/>
      </c>
      <c r="D3882" s="12" t="n"/>
      <c r="E3882" s="13">
        <f>IF(D3882="","",D3882-TODAY())</f>
        <v/>
      </c>
      <c r="F3882">
        <f>IF(D3882="","",IF(E3882&lt;0,"VENCIDO",IF(E3882&lt;=30,"VENCE EM &lt;= 30 DIAS",IF(E3882&lt;=60,"ATENCAO (31-60 DIAS)","OK"))))</f>
        <v/>
      </c>
      <c r="G3882" s="13">
        <f>SUMIFS(Movimentacoes!$G:$G,Movimentacoes!$C:$C,$A3882,Movimentacoes!$E:$E,$C3882,Movimentacoes!$B:$B,"ENTRADA")</f>
        <v/>
      </c>
      <c r="H3882" s="13">
        <f>SUMIFS(Movimentacoes!$G:$G,Movimentacoes!$C:$C,$A3882,Movimentacoes!$E:$E,$C3882,Movimentacoes!$B:$B,"SAIDA_USO")</f>
        <v/>
      </c>
      <c r="I3882" s="13">
        <f>SUMIFS(Movimentacoes!$G:$G,Movimentacoes!$C:$C,$A3882,Movimentacoes!$E:$E,$C3882,Movimentacoes!$B:$B,"SAIDA_DESCARTE")</f>
        <v/>
      </c>
      <c r="J3882" s="13">
        <f>G3882-H3882-I3882</f>
        <v/>
      </c>
      <c r="K3882">
        <f>IF(A3882="","",IF(J3882&lt;=IFERROR(VLOOKUP(A3882,Cadastro_Produtos!$A:$E,5,FALSE),0),"ABAIXO DO MINIMO","OK"))</f>
        <v/>
      </c>
    </row>
    <row r="3883">
      <c r="B3883">
        <f>IFERROR(VLOOKUP(A3883,Cadastro_Produtos!A:B,2,FALSE),"")</f>
        <v/>
      </c>
      <c r="D3883" s="12" t="n"/>
      <c r="E3883" s="13">
        <f>IF(D3883="","",D3883-TODAY())</f>
        <v/>
      </c>
      <c r="F3883">
        <f>IF(D3883="","",IF(E3883&lt;0,"VENCIDO",IF(E3883&lt;=30,"VENCE EM &lt;= 30 DIAS",IF(E3883&lt;=60,"ATENCAO (31-60 DIAS)","OK"))))</f>
        <v/>
      </c>
      <c r="G3883" s="13">
        <f>SUMIFS(Movimentacoes!$G:$G,Movimentacoes!$C:$C,$A3883,Movimentacoes!$E:$E,$C3883,Movimentacoes!$B:$B,"ENTRADA")</f>
        <v/>
      </c>
      <c r="H3883" s="13">
        <f>SUMIFS(Movimentacoes!$G:$G,Movimentacoes!$C:$C,$A3883,Movimentacoes!$E:$E,$C3883,Movimentacoes!$B:$B,"SAIDA_USO")</f>
        <v/>
      </c>
      <c r="I3883" s="13">
        <f>SUMIFS(Movimentacoes!$G:$G,Movimentacoes!$C:$C,$A3883,Movimentacoes!$E:$E,$C3883,Movimentacoes!$B:$B,"SAIDA_DESCARTE")</f>
        <v/>
      </c>
      <c r="J3883" s="13">
        <f>G3883-H3883-I3883</f>
        <v/>
      </c>
      <c r="K3883">
        <f>IF(A3883="","",IF(J3883&lt;=IFERROR(VLOOKUP(A3883,Cadastro_Produtos!$A:$E,5,FALSE),0),"ABAIXO DO MINIMO","OK"))</f>
        <v/>
      </c>
    </row>
    <row r="3884">
      <c r="B3884">
        <f>IFERROR(VLOOKUP(A3884,Cadastro_Produtos!A:B,2,FALSE),"")</f>
        <v/>
      </c>
      <c r="D3884" s="12" t="n"/>
      <c r="E3884" s="13">
        <f>IF(D3884="","",D3884-TODAY())</f>
        <v/>
      </c>
      <c r="F3884">
        <f>IF(D3884="","",IF(E3884&lt;0,"VENCIDO",IF(E3884&lt;=30,"VENCE EM &lt;= 30 DIAS",IF(E3884&lt;=60,"ATENCAO (31-60 DIAS)","OK"))))</f>
        <v/>
      </c>
      <c r="G3884" s="13">
        <f>SUMIFS(Movimentacoes!$G:$G,Movimentacoes!$C:$C,$A3884,Movimentacoes!$E:$E,$C3884,Movimentacoes!$B:$B,"ENTRADA")</f>
        <v/>
      </c>
      <c r="H3884" s="13">
        <f>SUMIFS(Movimentacoes!$G:$G,Movimentacoes!$C:$C,$A3884,Movimentacoes!$E:$E,$C3884,Movimentacoes!$B:$B,"SAIDA_USO")</f>
        <v/>
      </c>
      <c r="I3884" s="13">
        <f>SUMIFS(Movimentacoes!$G:$G,Movimentacoes!$C:$C,$A3884,Movimentacoes!$E:$E,$C3884,Movimentacoes!$B:$B,"SAIDA_DESCARTE")</f>
        <v/>
      </c>
      <c r="J3884" s="13">
        <f>G3884-H3884-I3884</f>
        <v/>
      </c>
      <c r="K3884">
        <f>IF(A3884="","",IF(J3884&lt;=IFERROR(VLOOKUP(A3884,Cadastro_Produtos!$A:$E,5,FALSE),0),"ABAIXO DO MINIMO","OK"))</f>
        <v/>
      </c>
    </row>
    <row r="3885">
      <c r="B3885">
        <f>IFERROR(VLOOKUP(A3885,Cadastro_Produtos!A:B,2,FALSE),"")</f>
        <v/>
      </c>
      <c r="D3885" s="12" t="n"/>
      <c r="E3885" s="13">
        <f>IF(D3885="","",D3885-TODAY())</f>
        <v/>
      </c>
      <c r="F3885">
        <f>IF(D3885="","",IF(E3885&lt;0,"VENCIDO",IF(E3885&lt;=30,"VENCE EM &lt;= 30 DIAS",IF(E3885&lt;=60,"ATENCAO (31-60 DIAS)","OK"))))</f>
        <v/>
      </c>
      <c r="G3885" s="13">
        <f>SUMIFS(Movimentacoes!$G:$G,Movimentacoes!$C:$C,$A3885,Movimentacoes!$E:$E,$C3885,Movimentacoes!$B:$B,"ENTRADA")</f>
        <v/>
      </c>
      <c r="H3885" s="13">
        <f>SUMIFS(Movimentacoes!$G:$G,Movimentacoes!$C:$C,$A3885,Movimentacoes!$E:$E,$C3885,Movimentacoes!$B:$B,"SAIDA_USO")</f>
        <v/>
      </c>
      <c r="I3885" s="13">
        <f>SUMIFS(Movimentacoes!$G:$G,Movimentacoes!$C:$C,$A3885,Movimentacoes!$E:$E,$C3885,Movimentacoes!$B:$B,"SAIDA_DESCARTE")</f>
        <v/>
      </c>
      <c r="J3885" s="13">
        <f>G3885-H3885-I3885</f>
        <v/>
      </c>
      <c r="K3885">
        <f>IF(A3885="","",IF(J3885&lt;=IFERROR(VLOOKUP(A3885,Cadastro_Produtos!$A:$E,5,FALSE),0),"ABAIXO DO MINIMO","OK"))</f>
        <v/>
      </c>
    </row>
    <row r="3886">
      <c r="B3886">
        <f>IFERROR(VLOOKUP(A3886,Cadastro_Produtos!A:B,2,FALSE),"")</f>
        <v/>
      </c>
      <c r="D3886" s="12" t="n"/>
      <c r="E3886" s="13">
        <f>IF(D3886="","",D3886-TODAY())</f>
        <v/>
      </c>
      <c r="F3886">
        <f>IF(D3886="","",IF(E3886&lt;0,"VENCIDO",IF(E3886&lt;=30,"VENCE EM &lt;= 30 DIAS",IF(E3886&lt;=60,"ATENCAO (31-60 DIAS)","OK"))))</f>
        <v/>
      </c>
      <c r="G3886" s="13">
        <f>SUMIFS(Movimentacoes!$G:$G,Movimentacoes!$C:$C,$A3886,Movimentacoes!$E:$E,$C3886,Movimentacoes!$B:$B,"ENTRADA")</f>
        <v/>
      </c>
      <c r="H3886" s="13">
        <f>SUMIFS(Movimentacoes!$G:$G,Movimentacoes!$C:$C,$A3886,Movimentacoes!$E:$E,$C3886,Movimentacoes!$B:$B,"SAIDA_USO")</f>
        <v/>
      </c>
      <c r="I3886" s="13">
        <f>SUMIFS(Movimentacoes!$G:$G,Movimentacoes!$C:$C,$A3886,Movimentacoes!$E:$E,$C3886,Movimentacoes!$B:$B,"SAIDA_DESCARTE")</f>
        <v/>
      </c>
      <c r="J3886" s="13">
        <f>G3886-H3886-I3886</f>
        <v/>
      </c>
      <c r="K3886">
        <f>IF(A3886="","",IF(J3886&lt;=IFERROR(VLOOKUP(A3886,Cadastro_Produtos!$A:$E,5,FALSE),0),"ABAIXO DO MINIMO","OK"))</f>
        <v/>
      </c>
    </row>
    <row r="3887">
      <c r="B3887">
        <f>IFERROR(VLOOKUP(A3887,Cadastro_Produtos!A:B,2,FALSE),"")</f>
        <v/>
      </c>
      <c r="D3887" s="12" t="n"/>
      <c r="E3887" s="13">
        <f>IF(D3887="","",D3887-TODAY())</f>
        <v/>
      </c>
      <c r="F3887">
        <f>IF(D3887="","",IF(E3887&lt;0,"VENCIDO",IF(E3887&lt;=30,"VENCE EM &lt;= 30 DIAS",IF(E3887&lt;=60,"ATENCAO (31-60 DIAS)","OK"))))</f>
        <v/>
      </c>
      <c r="G3887" s="13">
        <f>SUMIFS(Movimentacoes!$G:$G,Movimentacoes!$C:$C,$A3887,Movimentacoes!$E:$E,$C3887,Movimentacoes!$B:$B,"ENTRADA")</f>
        <v/>
      </c>
      <c r="H3887" s="13">
        <f>SUMIFS(Movimentacoes!$G:$G,Movimentacoes!$C:$C,$A3887,Movimentacoes!$E:$E,$C3887,Movimentacoes!$B:$B,"SAIDA_USO")</f>
        <v/>
      </c>
      <c r="I3887" s="13">
        <f>SUMIFS(Movimentacoes!$G:$G,Movimentacoes!$C:$C,$A3887,Movimentacoes!$E:$E,$C3887,Movimentacoes!$B:$B,"SAIDA_DESCARTE")</f>
        <v/>
      </c>
      <c r="J3887" s="13">
        <f>G3887-H3887-I3887</f>
        <v/>
      </c>
      <c r="K3887">
        <f>IF(A3887="","",IF(J3887&lt;=IFERROR(VLOOKUP(A3887,Cadastro_Produtos!$A:$E,5,FALSE),0),"ABAIXO DO MINIMO","OK"))</f>
        <v/>
      </c>
    </row>
    <row r="3888">
      <c r="B3888">
        <f>IFERROR(VLOOKUP(A3888,Cadastro_Produtos!A:B,2,FALSE),"")</f>
        <v/>
      </c>
      <c r="D3888" s="12" t="n"/>
      <c r="E3888" s="13">
        <f>IF(D3888="","",D3888-TODAY())</f>
        <v/>
      </c>
      <c r="F3888">
        <f>IF(D3888="","",IF(E3888&lt;0,"VENCIDO",IF(E3888&lt;=30,"VENCE EM &lt;= 30 DIAS",IF(E3888&lt;=60,"ATENCAO (31-60 DIAS)","OK"))))</f>
        <v/>
      </c>
      <c r="G3888" s="13">
        <f>SUMIFS(Movimentacoes!$G:$G,Movimentacoes!$C:$C,$A3888,Movimentacoes!$E:$E,$C3888,Movimentacoes!$B:$B,"ENTRADA")</f>
        <v/>
      </c>
      <c r="H3888" s="13">
        <f>SUMIFS(Movimentacoes!$G:$G,Movimentacoes!$C:$C,$A3888,Movimentacoes!$E:$E,$C3888,Movimentacoes!$B:$B,"SAIDA_USO")</f>
        <v/>
      </c>
      <c r="I3888" s="13">
        <f>SUMIFS(Movimentacoes!$G:$G,Movimentacoes!$C:$C,$A3888,Movimentacoes!$E:$E,$C3888,Movimentacoes!$B:$B,"SAIDA_DESCARTE")</f>
        <v/>
      </c>
      <c r="J3888" s="13">
        <f>G3888-H3888-I3888</f>
        <v/>
      </c>
      <c r="K3888">
        <f>IF(A3888="","",IF(J3888&lt;=IFERROR(VLOOKUP(A3888,Cadastro_Produtos!$A:$E,5,FALSE),0),"ABAIXO DO MINIMO","OK"))</f>
        <v/>
      </c>
    </row>
    <row r="3889">
      <c r="B3889">
        <f>IFERROR(VLOOKUP(A3889,Cadastro_Produtos!A:B,2,FALSE),"")</f>
        <v/>
      </c>
      <c r="D3889" s="12" t="n"/>
      <c r="E3889" s="13">
        <f>IF(D3889="","",D3889-TODAY())</f>
        <v/>
      </c>
      <c r="F3889">
        <f>IF(D3889="","",IF(E3889&lt;0,"VENCIDO",IF(E3889&lt;=30,"VENCE EM &lt;= 30 DIAS",IF(E3889&lt;=60,"ATENCAO (31-60 DIAS)","OK"))))</f>
        <v/>
      </c>
      <c r="G3889" s="13">
        <f>SUMIFS(Movimentacoes!$G:$G,Movimentacoes!$C:$C,$A3889,Movimentacoes!$E:$E,$C3889,Movimentacoes!$B:$B,"ENTRADA")</f>
        <v/>
      </c>
      <c r="H3889" s="13">
        <f>SUMIFS(Movimentacoes!$G:$G,Movimentacoes!$C:$C,$A3889,Movimentacoes!$E:$E,$C3889,Movimentacoes!$B:$B,"SAIDA_USO")</f>
        <v/>
      </c>
      <c r="I3889" s="13">
        <f>SUMIFS(Movimentacoes!$G:$G,Movimentacoes!$C:$C,$A3889,Movimentacoes!$E:$E,$C3889,Movimentacoes!$B:$B,"SAIDA_DESCARTE")</f>
        <v/>
      </c>
      <c r="J3889" s="13">
        <f>G3889-H3889-I3889</f>
        <v/>
      </c>
      <c r="K3889">
        <f>IF(A3889="","",IF(J3889&lt;=IFERROR(VLOOKUP(A3889,Cadastro_Produtos!$A:$E,5,FALSE),0),"ABAIXO DO MINIMO","OK"))</f>
        <v/>
      </c>
    </row>
    <row r="3890">
      <c r="B3890">
        <f>IFERROR(VLOOKUP(A3890,Cadastro_Produtos!A:B,2,FALSE),"")</f>
        <v/>
      </c>
      <c r="D3890" s="12" t="n"/>
      <c r="E3890" s="13">
        <f>IF(D3890="","",D3890-TODAY())</f>
        <v/>
      </c>
      <c r="F3890">
        <f>IF(D3890="","",IF(E3890&lt;0,"VENCIDO",IF(E3890&lt;=30,"VENCE EM &lt;= 30 DIAS",IF(E3890&lt;=60,"ATENCAO (31-60 DIAS)","OK"))))</f>
        <v/>
      </c>
      <c r="G3890" s="13">
        <f>SUMIFS(Movimentacoes!$G:$G,Movimentacoes!$C:$C,$A3890,Movimentacoes!$E:$E,$C3890,Movimentacoes!$B:$B,"ENTRADA")</f>
        <v/>
      </c>
      <c r="H3890" s="13">
        <f>SUMIFS(Movimentacoes!$G:$G,Movimentacoes!$C:$C,$A3890,Movimentacoes!$E:$E,$C3890,Movimentacoes!$B:$B,"SAIDA_USO")</f>
        <v/>
      </c>
      <c r="I3890" s="13">
        <f>SUMIFS(Movimentacoes!$G:$G,Movimentacoes!$C:$C,$A3890,Movimentacoes!$E:$E,$C3890,Movimentacoes!$B:$B,"SAIDA_DESCARTE")</f>
        <v/>
      </c>
      <c r="J3890" s="13">
        <f>G3890-H3890-I3890</f>
        <v/>
      </c>
      <c r="K3890">
        <f>IF(A3890="","",IF(J3890&lt;=IFERROR(VLOOKUP(A3890,Cadastro_Produtos!$A:$E,5,FALSE),0),"ABAIXO DO MINIMO","OK"))</f>
        <v/>
      </c>
    </row>
    <row r="3891">
      <c r="B3891">
        <f>IFERROR(VLOOKUP(A3891,Cadastro_Produtos!A:B,2,FALSE),"")</f>
        <v/>
      </c>
      <c r="D3891" s="12" t="n"/>
      <c r="E3891" s="13">
        <f>IF(D3891="","",D3891-TODAY())</f>
        <v/>
      </c>
      <c r="F3891">
        <f>IF(D3891="","",IF(E3891&lt;0,"VENCIDO",IF(E3891&lt;=30,"VENCE EM &lt;= 30 DIAS",IF(E3891&lt;=60,"ATENCAO (31-60 DIAS)","OK"))))</f>
        <v/>
      </c>
      <c r="G3891" s="13">
        <f>SUMIFS(Movimentacoes!$G:$G,Movimentacoes!$C:$C,$A3891,Movimentacoes!$E:$E,$C3891,Movimentacoes!$B:$B,"ENTRADA")</f>
        <v/>
      </c>
      <c r="H3891" s="13">
        <f>SUMIFS(Movimentacoes!$G:$G,Movimentacoes!$C:$C,$A3891,Movimentacoes!$E:$E,$C3891,Movimentacoes!$B:$B,"SAIDA_USO")</f>
        <v/>
      </c>
      <c r="I3891" s="13">
        <f>SUMIFS(Movimentacoes!$G:$G,Movimentacoes!$C:$C,$A3891,Movimentacoes!$E:$E,$C3891,Movimentacoes!$B:$B,"SAIDA_DESCARTE")</f>
        <v/>
      </c>
      <c r="J3891" s="13">
        <f>G3891-H3891-I3891</f>
        <v/>
      </c>
      <c r="K3891">
        <f>IF(A3891="","",IF(J3891&lt;=IFERROR(VLOOKUP(A3891,Cadastro_Produtos!$A:$E,5,FALSE),0),"ABAIXO DO MINIMO","OK"))</f>
        <v/>
      </c>
    </row>
    <row r="3892">
      <c r="B3892">
        <f>IFERROR(VLOOKUP(A3892,Cadastro_Produtos!A:B,2,FALSE),"")</f>
        <v/>
      </c>
      <c r="D3892" s="12" t="n"/>
      <c r="E3892" s="13">
        <f>IF(D3892="","",D3892-TODAY())</f>
        <v/>
      </c>
      <c r="F3892">
        <f>IF(D3892="","",IF(E3892&lt;0,"VENCIDO",IF(E3892&lt;=30,"VENCE EM &lt;= 30 DIAS",IF(E3892&lt;=60,"ATENCAO (31-60 DIAS)","OK"))))</f>
        <v/>
      </c>
      <c r="G3892" s="13">
        <f>SUMIFS(Movimentacoes!$G:$G,Movimentacoes!$C:$C,$A3892,Movimentacoes!$E:$E,$C3892,Movimentacoes!$B:$B,"ENTRADA")</f>
        <v/>
      </c>
      <c r="H3892" s="13">
        <f>SUMIFS(Movimentacoes!$G:$G,Movimentacoes!$C:$C,$A3892,Movimentacoes!$E:$E,$C3892,Movimentacoes!$B:$B,"SAIDA_USO")</f>
        <v/>
      </c>
      <c r="I3892" s="13">
        <f>SUMIFS(Movimentacoes!$G:$G,Movimentacoes!$C:$C,$A3892,Movimentacoes!$E:$E,$C3892,Movimentacoes!$B:$B,"SAIDA_DESCARTE")</f>
        <v/>
      </c>
      <c r="J3892" s="13">
        <f>G3892-H3892-I3892</f>
        <v/>
      </c>
      <c r="K3892">
        <f>IF(A3892="","",IF(J3892&lt;=IFERROR(VLOOKUP(A3892,Cadastro_Produtos!$A:$E,5,FALSE),0),"ABAIXO DO MINIMO","OK"))</f>
        <v/>
      </c>
    </row>
    <row r="3893">
      <c r="B3893">
        <f>IFERROR(VLOOKUP(A3893,Cadastro_Produtos!A:B,2,FALSE),"")</f>
        <v/>
      </c>
      <c r="D3893" s="12" t="n"/>
      <c r="E3893" s="13">
        <f>IF(D3893="","",D3893-TODAY())</f>
        <v/>
      </c>
      <c r="F3893">
        <f>IF(D3893="","",IF(E3893&lt;0,"VENCIDO",IF(E3893&lt;=30,"VENCE EM &lt;= 30 DIAS",IF(E3893&lt;=60,"ATENCAO (31-60 DIAS)","OK"))))</f>
        <v/>
      </c>
      <c r="G3893" s="13">
        <f>SUMIFS(Movimentacoes!$G:$G,Movimentacoes!$C:$C,$A3893,Movimentacoes!$E:$E,$C3893,Movimentacoes!$B:$B,"ENTRADA")</f>
        <v/>
      </c>
      <c r="H3893" s="13">
        <f>SUMIFS(Movimentacoes!$G:$G,Movimentacoes!$C:$C,$A3893,Movimentacoes!$E:$E,$C3893,Movimentacoes!$B:$B,"SAIDA_USO")</f>
        <v/>
      </c>
      <c r="I3893" s="13">
        <f>SUMIFS(Movimentacoes!$G:$G,Movimentacoes!$C:$C,$A3893,Movimentacoes!$E:$E,$C3893,Movimentacoes!$B:$B,"SAIDA_DESCARTE")</f>
        <v/>
      </c>
      <c r="J3893" s="13">
        <f>G3893-H3893-I3893</f>
        <v/>
      </c>
      <c r="K3893">
        <f>IF(A3893="","",IF(J3893&lt;=IFERROR(VLOOKUP(A3893,Cadastro_Produtos!$A:$E,5,FALSE),0),"ABAIXO DO MINIMO","OK"))</f>
        <v/>
      </c>
    </row>
    <row r="3894">
      <c r="B3894">
        <f>IFERROR(VLOOKUP(A3894,Cadastro_Produtos!A:B,2,FALSE),"")</f>
        <v/>
      </c>
      <c r="D3894" s="12" t="n"/>
      <c r="E3894" s="13">
        <f>IF(D3894="","",D3894-TODAY())</f>
        <v/>
      </c>
      <c r="F3894">
        <f>IF(D3894="","",IF(E3894&lt;0,"VENCIDO",IF(E3894&lt;=30,"VENCE EM &lt;= 30 DIAS",IF(E3894&lt;=60,"ATENCAO (31-60 DIAS)","OK"))))</f>
        <v/>
      </c>
      <c r="G3894" s="13">
        <f>SUMIFS(Movimentacoes!$G:$G,Movimentacoes!$C:$C,$A3894,Movimentacoes!$E:$E,$C3894,Movimentacoes!$B:$B,"ENTRADA")</f>
        <v/>
      </c>
      <c r="H3894" s="13">
        <f>SUMIFS(Movimentacoes!$G:$G,Movimentacoes!$C:$C,$A3894,Movimentacoes!$E:$E,$C3894,Movimentacoes!$B:$B,"SAIDA_USO")</f>
        <v/>
      </c>
      <c r="I3894" s="13">
        <f>SUMIFS(Movimentacoes!$G:$G,Movimentacoes!$C:$C,$A3894,Movimentacoes!$E:$E,$C3894,Movimentacoes!$B:$B,"SAIDA_DESCARTE")</f>
        <v/>
      </c>
      <c r="J3894" s="13">
        <f>G3894-H3894-I3894</f>
        <v/>
      </c>
      <c r="K3894">
        <f>IF(A3894="","",IF(J3894&lt;=IFERROR(VLOOKUP(A3894,Cadastro_Produtos!$A:$E,5,FALSE),0),"ABAIXO DO MINIMO","OK"))</f>
        <v/>
      </c>
    </row>
    <row r="3895">
      <c r="B3895">
        <f>IFERROR(VLOOKUP(A3895,Cadastro_Produtos!A:B,2,FALSE),"")</f>
        <v/>
      </c>
      <c r="D3895" s="12" t="n"/>
      <c r="E3895" s="13">
        <f>IF(D3895="","",D3895-TODAY())</f>
        <v/>
      </c>
      <c r="F3895">
        <f>IF(D3895="","",IF(E3895&lt;0,"VENCIDO",IF(E3895&lt;=30,"VENCE EM &lt;= 30 DIAS",IF(E3895&lt;=60,"ATENCAO (31-60 DIAS)","OK"))))</f>
        <v/>
      </c>
      <c r="G3895" s="13">
        <f>SUMIFS(Movimentacoes!$G:$G,Movimentacoes!$C:$C,$A3895,Movimentacoes!$E:$E,$C3895,Movimentacoes!$B:$B,"ENTRADA")</f>
        <v/>
      </c>
      <c r="H3895" s="13">
        <f>SUMIFS(Movimentacoes!$G:$G,Movimentacoes!$C:$C,$A3895,Movimentacoes!$E:$E,$C3895,Movimentacoes!$B:$B,"SAIDA_USO")</f>
        <v/>
      </c>
      <c r="I3895" s="13">
        <f>SUMIFS(Movimentacoes!$G:$G,Movimentacoes!$C:$C,$A3895,Movimentacoes!$E:$E,$C3895,Movimentacoes!$B:$B,"SAIDA_DESCARTE")</f>
        <v/>
      </c>
      <c r="J3895" s="13">
        <f>G3895-H3895-I3895</f>
        <v/>
      </c>
      <c r="K3895">
        <f>IF(A3895="","",IF(J3895&lt;=IFERROR(VLOOKUP(A3895,Cadastro_Produtos!$A:$E,5,FALSE),0),"ABAIXO DO MINIMO","OK"))</f>
        <v/>
      </c>
    </row>
    <row r="3896">
      <c r="B3896">
        <f>IFERROR(VLOOKUP(A3896,Cadastro_Produtos!A:B,2,FALSE),"")</f>
        <v/>
      </c>
      <c r="D3896" s="12" t="n"/>
      <c r="E3896" s="13">
        <f>IF(D3896="","",D3896-TODAY())</f>
        <v/>
      </c>
      <c r="F3896">
        <f>IF(D3896="","",IF(E3896&lt;0,"VENCIDO",IF(E3896&lt;=30,"VENCE EM &lt;= 30 DIAS",IF(E3896&lt;=60,"ATENCAO (31-60 DIAS)","OK"))))</f>
        <v/>
      </c>
      <c r="G3896" s="13">
        <f>SUMIFS(Movimentacoes!$G:$G,Movimentacoes!$C:$C,$A3896,Movimentacoes!$E:$E,$C3896,Movimentacoes!$B:$B,"ENTRADA")</f>
        <v/>
      </c>
      <c r="H3896" s="13">
        <f>SUMIFS(Movimentacoes!$G:$G,Movimentacoes!$C:$C,$A3896,Movimentacoes!$E:$E,$C3896,Movimentacoes!$B:$B,"SAIDA_USO")</f>
        <v/>
      </c>
      <c r="I3896" s="13">
        <f>SUMIFS(Movimentacoes!$G:$G,Movimentacoes!$C:$C,$A3896,Movimentacoes!$E:$E,$C3896,Movimentacoes!$B:$B,"SAIDA_DESCARTE")</f>
        <v/>
      </c>
      <c r="J3896" s="13">
        <f>G3896-H3896-I3896</f>
        <v/>
      </c>
      <c r="K3896">
        <f>IF(A3896="","",IF(J3896&lt;=IFERROR(VLOOKUP(A3896,Cadastro_Produtos!$A:$E,5,FALSE),0),"ABAIXO DO MINIMO","OK"))</f>
        <v/>
      </c>
    </row>
    <row r="3897">
      <c r="B3897">
        <f>IFERROR(VLOOKUP(A3897,Cadastro_Produtos!A:B,2,FALSE),"")</f>
        <v/>
      </c>
      <c r="D3897" s="12" t="n"/>
      <c r="E3897" s="13">
        <f>IF(D3897="","",D3897-TODAY())</f>
        <v/>
      </c>
      <c r="F3897">
        <f>IF(D3897="","",IF(E3897&lt;0,"VENCIDO",IF(E3897&lt;=30,"VENCE EM &lt;= 30 DIAS",IF(E3897&lt;=60,"ATENCAO (31-60 DIAS)","OK"))))</f>
        <v/>
      </c>
      <c r="G3897" s="13">
        <f>SUMIFS(Movimentacoes!$G:$G,Movimentacoes!$C:$C,$A3897,Movimentacoes!$E:$E,$C3897,Movimentacoes!$B:$B,"ENTRADA")</f>
        <v/>
      </c>
      <c r="H3897" s="13">
        <f>SUMIFS(Movimentacoes!$G:$G,Movimentacoes!$C:$C,$A3897,Movimentacoes!$E:$E,$C3897,Movimentacoes!$B:$B,"SAIDA_USO")</f>
        <v/>
      </c>
      <c r="I3897" s="13">
        <f>SUMIFS(Movimentacoes!$G:$G,Movimentacoes!$C:$C,$A3897,Movimentacoes!$E:$E,$C3897,Movimentacoes!$B:$B,"SAIDA_DESCARTE")</f>
        <v/>
      </c>
      <c r="J3897" s="13">
        <f>G3897-H3897-I3897</f>
        <v/>
      </c>
      <c r="K3897">
        <f>IF(A3897="","",IF(J3897&lt;=IFERROR(VLOOKUP(A3897,Cadastro_Produtos!$A:$E,5,FALSE),0),"ABAIXO DO MINIMO","OK"))</f>
        <v/>
      </c>
    </row>
    <row r="3898">
      <c r="B3898">
        <f>IFERROR(VLOOKUP(A3898,Cadastro_Produtos!A:B,2,FALSE),"")</f>
        <v/>
      </c>
      <c r="D3898" s="12" t="n"/>
      <c r="E3898" s="13">
        <f>IF(D3898="","",D3898-TODAY())</f>
        <v/>
      </c>
      <c r="F3898">
        <f>IF(D3898="","",IF(E3898&lt;0,"VENCIDO",IF(E3898&lt;=30,"VENCE EM &lt;= 30 DIAS",IF(E3898&lt;=60,"ATENCAO (31-60 DIAS)","OK"))))</f>
        <v/>
      </c>
      <c r="G3898" s="13">
        <f>SUMIFS(Movimentacoes!$G:$G,Movimentacoes!$C:$C,$A3898,Movimentacoes!$E:$E,$C3898,Movimentacoes!$B:$B,"ENTRADA")</f>
        <v/>
      </c>
      <c r="H3898" s="13">
        <f>SUMIFS(Movimentacoes!$G:$G,Movimentacoes!$C:$C,$A3898,Movimentacoes!$E:$E,$C3898,Movimentacoes!$B:$B,"SAIDA_USO")</f>
        <v/>
      </c>
      <c r="I3898" s="13">
        <f>SUMIFS(Movimentacoes!$G:$G,Movimentacoes!$C:$C,$A3898,Movimentacoes!$E:$E,$C3898,Movimentacoes!$B:$B,"SAIDA_DESCARTE")</f>
        <v/>
      </c>
      <c r="J3898" s="13">
        <f>G3898-H3898-I3898</f>
        <v/>
      </c>
      <c r="K3898">
        <f>IF(A3898="","",IF(J3898&lt;=IFERROR(VLOOKUP(A3898,Cadastro_Produtos!$A:$E,5,FALSE),0),"ABAIXO DO MINIMO","OK"))</f>
        <v/>
      </c>
    </row>
    <row r="3899">
      <c r="B3899">
        <f>IFERROR(VLOOKUP(A3899,Cadastro_Produtos!A:B,2,FALSE),"")</f>
        <v/>
      </c>
      <c r="D3899" s="12" t="n"/>
      <c r="E3899" s="13">
        <f>IF(D3899="","",D3899-TODAY())</f>
        <v/>
      </c>
      <c r="F3899">
        <f>IF(D3899="","",IF(E3899&lt;0,"VENCIDO",IF(E3899&lt;=30,"VENCE EM &lt;= 30 DIAS",IF(E3899&lt;=60,"ATENCAO (31-60 DIAS)","OK"))))</f>
        <v/>
      </c>
      <c r="G3899" s="13">
        <f>SUMIFS(Movimentacoes!$G:$G,Movimentacoes!$C:$C,$A3899,Movimentacoes!$E:$E,$C3899,Movimentacoes!$B:$B,"ENTRADA")</f>
        <v/>
      </c>
      <c r="H3899" s="13">
        <f>SUMIFS(Movimentacoes!$G:$G,Movimentacoes!$C:$C,$A3899,Movimentacoes!$E:$E,$C3899,Movimentacoes!$B:$B,"SAIDA_USO")</f>
        <v/>
      </c>
      <c r="I3899" s="13">
        <f>SUMIFS(Movimentacoes!$G:$G,Movimentacoes!$C:$C,$A3899,Movimentacoes!$E:$E,$C3899,Movimentacoes!$B:$B,"SAIDA_DESCARTE")</f>
        <v/>
      </c>
      <c r="J3899" s="13">
        <f>G3899-H3899-I3899</f>
        <v/>
      </c>
      <c r="K3899">
        <f>IF(A3899="","",IF(J3899&lt;=IFERROR(VLOOKUP(A3899,Cadastro_Produtos!$A:$E,5,FALSE),0),"ABAIXO DO MINIMO","OK"))</f>
        <v/>
      </c>
    </row>
    <row r="3900">
      <c r="B3900">
        <f>IFERROR(VLOOKUP(A3900,Cadastro_Produtos!A:B,2,FALSE),"")</f>
        <v/>
      </c>
      <c r="D3900" s="12" t="n"/>
      <c r="E3900" s="13">
        <f>IF(D3900="","",D3900-TODAY())</f>
        <v/>
      </c>
      <c r="F3900">
        <f>IF(D3900="","",IF(E3900&lt;0,"VENCIDO",IF(E3900&lt;=30,"VENCE EM &lt;= 30 DIAS",IF(E3900&lt;=60,"ATENCAO (31-60 DIAS)","OK"))))</f>
        <v/>
      </c>
      <c r="G3900" s="13">
        <f>SUMIFS(Movimentacoes!$G:$G,Movimentacoes!$C:$C,$A3900,Movimentacoes!$E:$E,$C3900,Movimentacoes!$B:$B,"ENTRADA")</f>
        <v/>
      </c>
      <c r="H3900" s="13">
        <f>SUMIFS(Movimentacoes!$G:$G,Movimentacoes!$C:$C,$A3900,Movimentacoes!$E:$E,$C3900,Movimentacoes!$B:$B,"SAIDA_USO")</f>
        <v/>
      </c>
      <c r="I3900" s="13">
        <f>SUMIFS(Movimentacoes!$G:$G,Movimentacoes!$C:$C,$A3900,Movimentacoes!$E:$E,$C3900,Movimentacoes!$B:$B,"SAIDA_DESCARTE")</f>
        <v/>
      </c>
      <c r="J3900" s="13">
        <f>G3900-H3900-I3900</f>
        <v/>
      </c>
      <c r="K3900">
        <f>IF(A3900="","",IF(J3900&lt;=IFERROR(VLOOKUP(A3900,Cadastro_Produtos!$A:$E,5,FALSE),0),"ABAIXO DO MINIMO","OK"))</f>
        <v/>
      </c>
    </row>
    <row r="3901">
      <c r="B3901">
        <f>IFERROR(VLOOKUP(A3901,Cadastro_Produtos!A:B,2,FALSE),"")</f>
        <v/>
      </c>
      <c r="D3901" s="12" t="n"/>
      <c r="E3901" s="13">
        <f>IF(D3901="","",D3901-TODAY())</f>
        <v/>
      </c>
      <c r="F3901">
        <f>IF(D3901="","",IF(E3901&lt;0,"VENCIDO",IF(E3901&lt;=30,"VENCE EM &lt;= 30 DIAS",IF(E3901&lt;=60,"ATENCAO (31-60 DIAS)","OK"))))</f>
        <v/>
      </c>
      <c r="G3901" s="13">
        <f>SUMIFS(Movimentacoes!$G:$G,Movimentacoes!$C:$C,$A3901,Movimentacoes!$E:$E,$C3901,Movimentacoes!$B:$B,"ENTRADA")</f>
        <v/>
      </c>
      <c r="H3901" s="13">
        <f>SUMIFS(Movimentacoes!$G:$G,Movimentacoes!$C:$C,$A3901,Movimentacoes!$E:$E,$C3901,Movimentacoes!$B:$B,"SAIDA_USO")</f>
        <v/>
      </c>
      <c r="I3901" s="13">
        <f>SUMIFS(Movimentacoes!$G:$G,Movimentacoes!$C:$C,$A3901,Movimentacoes!$E:$E,$C3901,Movimentacoes!$B:$B,"SAIDA_DESCARTE")</f>
        <v/>
      </c>
      <c r="J3901" s="13">
        <f>G3901-H3901-I3901</f>
        <v/>
      </c>
      <c r="K3901">
        <f>IF(A3901="","",IF(J3901&lt;=IFERROR(VLOOKUP(A3901,Cadastro_Produtos!$A:$E,5,FALSE),0),"ABAIXO DO MINIMO","OK"))</f>
        <v/>
      </c>
    </row>
    <row r="3902">
      <c r="B3902">
        <f>IFERROR(VLOOKUP(A3902,Cadastro_Produtos!A:B,2,FALSE),"")</f>
        <v/>
      </c>
      <c r="D3902" s="12" t="n"/>
      <c r="E3902" s="13">
        <f>IF(D3902="","",D3902-TODAY())</f>
        <v/>
      </c>
      <c r="F3902">
        <f>IF(D3902="","",IF(E3902&lt;0,"VENCIDO",IF(E3902&lt;=30,"VENCE EM &lt;= 30 DIAS",IF(E3902&lt;=60,"ATENCAO (31-60 DIAS)","OK"))))</f>
        <v/>
      </c>
      <c r="G3902" s="13">
        <f>SUMIFS(Movimentacoes!$G:$G,Movimentacoes!$C:$C,$A3902,Movimentacoes!$E:$E,$C3902,Movimentacoes!$B:$B,"ENTRADA")</f>
        <v/>
      </c>
      <c r="H3902" s="13">
        <f>SUMIFS(Movimentacoes!$G:$G,Movimentacoes!$C:$C,$A3902,Movimentacoes!$E:$E,$C3902,Movimentacoes!$B:$B,"SAIDA_USO")</f>
        <v/>
      </c>
      <c r="I3902" s="13">
        <f>SUMIFS(Movimentacoes!$G:$G,Movimentacoes!$C:$C,$A3902,Movimentacoes!$E:$E,$C3902,Movimentacoes!$B:$B,"SAIDA_DESCARTE")</f>
        <v/>
      </c>
      <c r="J3902" s="13">
        <f>G3902-H3902-I3902</f>
        <v/>
      </c>
      <c r="K3902">
        <f>IF(A3902="","",IF(J3902&lt;=IFERROR(VLOOKUP(A3902,Cadastro_Produtos!$A:$E,5,FALSE),0),"ABAIXO DO MINIMO","OK"))</f>
        <v/>
      </c>
    </row>
    <row r="3903">
      <c r="B3903">
        <f>IFERROR(VLOOKUP(A3903,Cadastro_Produtos!A:B,2,FALSE),"")</f>
        <v/>
      </c>
      <c r="D3903" s="12" t="n"/>
      <c r="E3903" s="13">
        <f>IF(D3903="","",D3903-TODAY())</f>
        <v/>
      </c>
      <c r="F3903">
        <f>IF(D3903="","",IF(E3903&lt;0,"VENCIDO",IF(E3903&lt;=30,"VENCE EM &lt;= 30 DIAS",IF(E3903&lt;=60,"ATENCAO (31-60 DIAS)","OK"))))</f>
        <v/>
      </c>
      <c r="G3903" s="13">
        <f>SUMIFS(Movimentacoes!$G:$G,Movimentacoes!$C:$C,$A3903,Movimentacoes!$E:$E,$C3903,Movimentacoes!$B:$B,"ENTRADA")</f>
        <v/>
      </c>
      <c r="H3903" s="13">
        <f>SUMIFS(Movimentacoes!$G:$G,Movimentacoes!$C:$C,$A3903,Movimentacoes!$E:$E,$C3903,Movimentacoes!$B:$B,"SAIDA_USO")</f>
        <v/>
      </c>
      <c r="I3903" s="13">
        <f>SUMIFS(Movimentacoes!$G:$G,Movimentacoes!$C:$C,$A3903,Movimentacoes!$E:$E,$C3903,Movimentacoes!$B:$B,"SAIDA_DESCARTE")</f>
        <v/>
      </c>
      <c r="J3903" s="13">
        <f>G3903-H3903-I3903</f>
        <v/>
      </c>
      <c r="K3903">
        <f>IF(A3903="","",IF(J3903&lt;=IFERROR(VLOOKUP(A3903,Cadastro_Produtos!$A:$E,5,FALSE),0),"ABAIXO DO MINIMO","OK"))</f>
        <v/>
      </c>
    </row>
    <row r="3904">
      <c r="B3904">
        <f>IFERROR(VLOOKUP(A3904,Cadastro_Produtos!A:B,2,FALSE),"")</f>
        <v/>
      </c>
      <c r="D3904" s="12" t="n"/>
      <c r="E3904" s="13">
        <f>IF(D3904="","",D3904-TODAY())</f>
        <v/>
      </c>
      <c r="F3904">
        <f>IF(D3904="","",IF(E3904&lt;0,"VENCIDO",IF(E3904&lt;=30,"VENCE EM &lt;= 30 DIAS",IF(E3904&lt;=60,"ATENCAO (31-60 DIAS)","OK"))))</f>
        <v/>
      </c>
      <c r="G3904" s="13">
        <f>SUMIFS(Movimentacoes!$G:$G,Movimentacoes!$C:$C,$A3904,Movimentacoes!$E:$E,$C3904,Movimentacoes!$B:$B,"ENTRADA")</f>
        <v/>
      </c>
      <c r="H3904" s="13">
        <f>SUMIFS(Movimentacoes!$G:$G,Movimentacoes!$C:$C,$A3904,Movimentacoes!$E:$E,$C3904,Movimentacoes!$B:$B,"SAIDA_USO")</f>
        <v/>
      </c>
      <c r="I3904" s="13">
        <f>SUMIFS(Movimentacoes!$G:$G,Movimentacoes!$C:$C,$A3904,Movimentacoes!$E:$E,$C3904,Movimentacoes!$B:$B,"SAIDA_DESCARTE")</f>
        <v/>
      </c>
      <c r="J3904" s="13">
        <f>G3904-H3904-I3904</f>
        <v/>
      </c>
      <c r="K3904">
        <f>IF(A3904="","",IF(J3904&lt;=IFERROR(VLOOKUP(A3904,Cadastro_Produtos!$A:$E,5,FALSE),0),"ABAIXO DO MINIMO","OK"))</f>
        <v/>
      </c>
    </row>
    <row r="3905">
      <c r="B3905">
        <f>IFERROR(VLOOKUP(A3905,Cadastro_Produtos!A:B,2,FALSE),"")</f>
        <v/>
      </c>
      <c r="D3905" s="12" t="n"/>
      <c r="E3905" s="13">
        <f>IF(D3905="","",D3905-TODAY())</f>
        <v/>
      </c>
      <c r="F3905">
        <f>IF(D3905="","",IF(E3905&lt;0,"VENCIDO",IF(E3905&lt;=30,"VENCE EM &lt;= 30 DIAS",IF(E3905&lt;=60,"ATENCAO (31-60 DIAS)","OK"))))</f>
        <v/>
      </c>
      <c r="G3905" s="13">
        <f>SUMIFS(Movimentacoes!$G:$G,Movimentacoes!$C:$C,$A3905,Movimentacoes!$E:$E,$C3905,Movimentacoes!$B:$B,"ENTRADA")</f>
        <v/>
      </c>
      <c r="H3905" s="13">
        <f>SUMIFS(Movimentacoes!$G:$G,Movimentacoes!$C:$C,$A3905,Movimentacoes!$E:$E,$C3905,Movimentacoes!$B:$B,"SAIDA_USO")</f>
        <v/>
      </c>
      <c r="I3905" s="13">
        <f>SUMIFS(Movimentacoes!$G:$G,Movimentacoes!$C:$C,$A3905,Movimentacoes!$E:$E,$C3905,Movimentacoes!$B:$B,"SAIDA_DESCARTE")</f>
        <v/>
      </c>
      <c r="J3905" s="13">
        <f>G3905-H3905-I3905</f>
        <v/>
      </c>
      <c r="K3905">
        <f>IF(A3905="","",IF(J3905&lt;=IFERROR(VLOOKUP(A3905,Cadastro_Produtos!$A:$E,5,FALSE),0),"ABAIXO DO MINIMO","OK"))</f>
        <v/>
      </c>
    </row>
    <row r="3906">
      <c r="B3906">
        <f>IFERROR(VLOOKUP(A3906,Cadastro_Produtos!A:B,2,FALSE),"")</f>
        <v/>
      </c>
      <c r="D3906" s="12" t="n"/>
      <c r="E3906" s="13">
        <f>IF(D3906="","",D3906-TODAY())</f>
        <v/>
      </c>
      <c r="F3906">
        <f>IF(D3906="","",IF(E3906&lt;0,"VENCIDO",IF(E3906&lt;=30,"VENCE EM &lt;= 30 DIAS",IF(E3906&lt;=60,"ATENCAO (31-60 DIAS)","OK"))))</f>
        <v/>
      </c>
      <c r="G3906" s="13">
        <f>SUMIFS(Movimentacoes!$G:$G,Movimentacoes!$C:$C,$A3906,Movimentacoes!$E:$E,$C3906,Movimentacoes!$B:$B,"ENTRADA")</f>
        <v/>
      </c>
      <c r="H3906" s="13">
        <f>SUMIFS(Movimentacoes!$G:$G,Movimentacoes!$C:$C,$A3906,Movimentacoes!$E:$E,$C3906,Movimentacoes!$B:$B,"SAIDA_USO")</f>
        <v/>
      </c>
      <c r="I3906" s="13">
        <f>SUMIFS(Movimentacoes!$G:$G,Movimentacoes!$C:$C,$A3906,Movimentacoes!$E:$E,$C3906,Movimentacoes!$B:$B,"SAIDA_DESCARTE")</f>
        <v/>
      </c>
      <c r="J3906" s="13">
        <f>G3906-H3906-I3906</f>
        <v/>
      </c>
      <c r="K3906">
        <f>IF(A3906="","",IF(J3906&lt;=IFERROR(VLOOKUP(A3906,Cadastro_Produtos!$A:$E,5,FALSE),0),"ABAIXO DO MINIMO","OK"))</f>
        <v/>
      </c>
    </row>
    <row r="3907">
      <c r="B3907">
        <f>IFERROR(VLOOKUP(A3907,Cadastro_Produtos!A:B,2,FALSE),"")</f>
        <v/>
      </c>
      <c r="D3907" s="12" t="n"/>
      <c r="E3907" s="13">
        <f>IF(D3907="","",D3907-TODAY())</f>
        <v/>
      </c>
      <c r="F3907">
        <f>IF(D3907="","",IF(E3907&lt;0,"VENCIDO",IF(E3907&lt;=30,"VENCE EM &lt;= 30 DIAS",IF(E3907&lt;=60,"ATENCAO (31-60 DIAS)","OK"))))</f>
        <v/>
      </c>
      <c r="G3907" s="13">
        <f>SUMIFS(Movimentacoes!$G:$G,Movimentacoes!$C:$C,$A3907,Movimentacoes!$E:$E,$C3907,Movimentacoes!$B:$B,"ENTRADA")</f>
        <v/>
      </c>
      <c r="H3907" s="13">
        <f>SUMIFS(Movimentacoes!$G:$G,Movimentacoes!$C:$C,$A3907,Movimentacoes!$E:$E,$C3907,Movimentacoes!$B:$B,"SAIDA_USO")</f>
        <v/>
      </c>
      <c r="I3907" s="13">
        <f>SUMIFS(Movimentacoes!$G:$G,Movimentacoes!$C:$C,$A3907,Movimentacoes!$E:$E,$C3907,Movimentacoes!$B:$B,"SAIDA_DESCARTE")</f>
        <v/>
      </c>
      <c r="J3907" s="13">
        <f>G3907-H3907-I3907</f>
        <v/>
      </c>
      <c r="K3907">
        <f>IF(A3907="","",IF(J3907&lt;=IFERROR(VLOOKUP(A3907,Cadastro_Produtos!$A:$E,5,FALSE),0),"ABAIXO DO MINIMO","OK"))</f>
        <v/>
      </c>
    </row>
    <row r="3908">
      <c r="B3908">
        <f>IFERROR(VLOOKUP(A3908,Cadastro_Produtos!A:B,2,FALSE),"")</f>
        <v/>
      </c>
      <c r="D3908" s="12" t="n"/>
      <c r="E3908" s="13">
        <f>IF(D3908="","",D3908-TODAY())</f>
        <v/>
      </c>
      <c r="F3908">
        <f>IF(D3908="","",IF(E3908&lt;0,"VENCIDO",IF(E3908&lt;=30,"VENCE EM &lt;= 30 DIAS",IF(E3908&lt;=60,"ATENCAO (31-60 DIAS)","OK"))))</f>
        <v/>
      </c>
      <c r="G3908" s="13">
        <f>SUMIFS(Movimentacoes!$G:$G,Movimentacoes!$C:$C,$A3908,Movimentacoes!$E:$E,$C3908,Movimentacoes!$B:$B,"ENTRADA")</f>
        <v/>
      </c>
      <c r="H3908" s="13">
        <f>SUMIFS(Movimentacoes!$G:$G,Movimentacoes!$C:$C,$A3908,Movimentacoes!$E:$E,$C3908,Movimentacoes!$B:$B,"SAIDA_USO")</f>
        <v/>
      </c>
      <c r="I3908" s="13">
        <f>SUMIFS(Movimentacoes!$G:$G,Movimentacoes!$C:$C,$A3908,Movimentacoes!$E:$E,$C3908,Movimentacoes!$B:$B,"SAIDA_DESCARTE")</f>
        <v/>
      </c>
      <c r="J3908" s="13">
        <f>G3908-H3908-I3908</f>
        <v/>
      </c>
      <c r="K3908">
        <f>IF(A3908="","",IF(J3908&lt;=IFERROR(VLOOKUP(A3908,Cadastro_Produtos!$A:$E,5,FALSE),0),"ABAIXO DO MINIMO","OK"))</f>
        <v/>
      </c>
    </row>
    <row r="3909">
      <c r="B3909">
        <f>IFERROR(VLOOKUP(A3909,Cadastro_Produtos!A:B,2,FALSE),"")</f>
        <v/>
      </c>
      <c r="D3909" s="12" t="n"/>
      <c r="E3909" s="13">
        <f>IF(D3909="","",D3909-TODAY())</f>
        <v/>
      </c>
      <c r="F3909">
        <f>IF(D3909="","",IF(E3909&lt;0,"VENCIDO",IF(E3909&lt;=30,"VENCE EM &lt;= 30 DIAS",IF(E3909&lt;=60,"ATENCAO (31-60 DIAS)","OK"))))</f>
        <v/>
      </c>
      <c r="G3909" s="13">
        <f>SUMIFS(Movimentacoes!$G:$G,Movimentacoes!$C:$C,$A3909,Movimentacoes!$E:$E,$C3909,Movimentacoes!$B:$B,"ENTRADA")</f>
        <v/>
      </c>
      <c r="H3909" s="13">
        <f>SUMIFS(Movimentacoes!$G:$G,Movimentacoes!$C:$C,$A3909,Movimentacoes!$E:$E,$C3909,Movimentacoes!$B:$B,"SAIDA_USO")</f>
        <v/>
      </c>
      <c r="I3909" s="13">
        <f>SUMIFS(Movimentacoes!$G:$G,Movimentacoes!$C:$C,$A3909,Movimentacoes!$E:$E,$C3909,Movimentacoes!$B:$B,"SAIDA_DESCARTE")</f>
        <v/>
      </c>
      <c r="J3909" s="13">
        <f>G3909-H3909-I3909</f>
        <v/>
      </c>
      <c r="K3909">
        <f>IF(A3909="","",IF(J3909&lt;=IFERROR(VLOOKUP(A3909,Cadastro_Produtos!$A:$E,5,FALSE),0),"ABAIXO DO MINIMO","OK"))</f>
        <v/>
      </c>
    </row>
    <row r="3910">
      <c r="B3910">
        <f>IFERROR(VLOOKUP(A3910,Cadastro_Produtos!A:B,2,FALSE),"")</f>
        <v/>
      </c>
      <c r="D3910" s="12" t="n"/>
      <c r="E3910" s="13">
        <f>IF(D3910="","",D3910-TODAY())</f>
        <v/>
      </c>
      <c r="F3910">
        <f>IF(D3910="","",IF(E3910&lt;0,"VENCIDO",IF(E3910&lt;=30,"VENCE EM &lt;= 30 DIAS",IF(E3910&lt;=60,"ATENCAO (31-60 DIAS)","OK"))))</f>
        <v/>
      </c>
      <c r="G3910" s="13">
        <f>SUMIFS(Movimentacoes!$G:$G,Movimentacoes!$C:$C,$A3910,Movimentacoes!$E:$E,$C3910,Movimentacoes!$B:$B,"ENTRADA")</f>
        <v/>
      </c>
      <c r="H3910" s="13">
        <f>SUMIFS(Movimentacoes!$G:$G,Movimentacoes!$C:$C,$A3910,Movimentacoes!$E:$E,$C3910,Movimentacoes!$B:$B,"SAIDA_USO")</f>
        <v/>
      </c>
      <c r="I3910" s="13">
        <f>SUMIFS(Movimentacoes!$G:$G,Movimentacoes!$C:$C,$A3910,Movimentacoes!$E:$E,$C3910,Movimentacoes!$B:$B,"SAIDA_DESCARTE")</f>
        <v/>
      </c>
      <c r="J3910" s="13">
        <f>G3910-H3910-I3910</f>
        <v/>
      </c>
      <c r="K3910">
        <f>IF(A3910="","",IF(J3910&lt;=IFERROR(VLOOKUP(A3910,Cadastro_Produtos!$A:$E,5,FALSE),0),"ABAIXO DO MINIMO","OK"))</f>
        <v/>
      </c>
    </row>
    <row r="3911">
      <c r="B3911">
        <f>IFERROR(VLOOKUP(A3911,Cadastro_Produtos!A:B,2,FALSE),"")</f>
        <v/>
      </c>
      <c r="D3911" s="12" t="n"/>
      <c r="E3911" s="13">
        <f>IF(D3911="","",D3911-TODAY())</f>
        <v/>
      </c>
      <c r="F3911">
        <f>IF(D3911="","",IF(E3911&lt;0,"VENCIDO",IF(E3911&lt;=30,"VENCE EM &lt;= 30 DIAS",IF(E3911&lt;=60,"ATENCAO (31-60 DIAS)","OK"))))</f>
        <v/>
      </c>
      <c r="G3911" s="13">
        <f>SUMIFS(Movimentacoes!$G:$G,Movimentacoes!$C:$C,$A3911,Movimentacoes!$E:$E,$C3911,Movimentacoes!$B:$B,"ENTRADA")</f>
        <v/>
      </c>
      <c r="H3911" s="13">
        <f>SUMIFS(Movimentacoes!$G:$G,Movimentacoes!$C:$C,$A3911,Movimentacoes!$E:$E,$C3911,Movimentacoes!$B:$B,"SAIDA_USO")</f>
        <v/>
      </c>
      <c r="I3911" s="13">
        <f>SUMIFS(Movimentacoes!$G:$G,Movimentacoes!$C:$C,$A3911,Movimentacoes!$E:$E,$C3911,Movimentacoes!$B:$B,"SAIDA_DESCARTE")</f>
        <v/>
      </c>
      <c r="J3911" s="13">
        <f>G3911-H3911-I3911</f>
        <v/>
      </c>
      <c r="K3911">
        <f>IF(A3911="","",IF(J3911&lt;=IFERROR(VLOOKUP(A3911,Cadastro_Produtos!$A:$E,5,FALSE),0),"ABAIXO DO MINIMO","OK"))</f>
        <v/>
      </c>
    </row>
    <row r="3912">
      <c r="B3912">
        <f>IFERROR(VLOOKUP(A3912,Cadastro_Produtos!A:B,2,FALSE),"")</f>
        <v/>
      </c>
      <c r="D3912" s="12" t="n"/>
      <c r="E3912" s="13">
        <f>IF(D3912="","",D3912-TODAY())</f>
        <v/>
      </c>
      <c r="F3912">
        <f>IF(D3912="","",IF(E3912&lt;0,"VENCIDO",IF(E3912&lt;=30,"VENCE EM &lt;= 30 DIAS",IF(E3912&lt;=60,"ATENCAO (31-60 DIAS)","OK"))))</f>
        <v/>
      </c>
      <c r="G3912" s="13">
        <f>SUMIFS(Movimentacoes!$G:$G,Movimentacoes!$C:$C,$A3912,Movimentacoes!$E:$E,$C3912,Movimentacoes!$B:$B,"ENTRADA")</f>
        <v/>
      </c>
      <c r="H3912" s="13">
        <f>SUMIFS(Movimentacoes!$G:$G,Movimentacoes!$C:$C,$A3912,Movimentacoes!$E:$E,$C3912,Movimentacoes!$B:$B,"SAIDA_USO")</f>
        <v/>
      </c>
      <c r="I3912" s="13">
        <f>SUMIFS(Movimentacoes!$G:$G,Movimentacoes!$C:$C,$A3912,Movimentacoes!$E:$E,$C3912,Movimentacoes!$B:$B,"SAIDA_DESCARTE")</f>
        <v/>
      </c>
      <c r="J3912" s="13">
        <f>G3912-H3912-I3912</f>
        <v/>
      </c>
      <c r="K3912">
        <f>IF(A3912="","",IF(J3912&lt;=IFERROR(VLOOKUP(A3912,Cadastro_Produtos!$A:$E,5,FALSE),0),"ABAIXO DO MINIMO","OK"))</f>
        <v/>
      </c>
    </row>
    <row r="3913">
      <c r="B3913">
        <f>IFERROR(VLOOKUP(A3913,Cadastro_Produtos!A:B,2,FALSE),"")</f>
        <v/>
      </c>
      <c r="D3913" s="12" t="n"/>
      <c r="E3913" s="13">
        <f>IF(D3913="","",D3913-TODAY())</f>
        <v/>
      </c>
      <c r="F3913">
        <f>IF(D3913="","",IF(E3913&lt;0,"VENCIDO",IF(E3913&lt;=30,"VENCE EM &lt;= 30 DIAS",IF(E3913&lt;=60,"ATENCAO (31-60 DIAS)","OK"))))</f>
        <v/>
      </c>
      <c r="G3913" s="13">
        <f>SUMIFS(Movimentacoes!$G:$G,Movimentacoes!$C:$C,$A3913,Movimentacoes!$E:$E,$C3913,Movimentacoes!$B:$B,"ENTRADA")</f>
        <v/>
      </c>
      <c r="H3913" s="13">
        <f>SUMIFS(Movimentacoes!$G:$G,Movimentacoes!$C:$C,$A3913,Movimentacoes!$E:$E,$C3913,Movimentacoes!$B:$B,"SAIDA_USO")</f>
        <v/>
      </c>
      <c r="I3913" s="13">
        <f>SUMIFS(Movimentacoes!$G:$G,Movimentacoes!$C:$C,$A3913,Movimentacoes!$E:$E,$C3913,Movimentacoes!$B:$B,"SAIDA_DESCARTE")</f>
        <v/>
      </c>
      <c r="J3913" s="13">
        <f>G3913-H3913-I3913</f>
        <v/>
      </c>
      <c r="K3913">
        <f>IF(A3913="","",IF(J3913&lt;=IFERROR(VLOOKUP(A3913,Cadastro_Produtos!$A:$E,5,FALSE),0),"ABAIXO DO MINIMO","OK"))</f>
        <v/>
      </c>
    </row>
    <row r="3914">
      <c r="B3914">
        <f>IFERROR(VLOOKUP(A3914,Cadastro_Produtos!A:B,2,FALSE),"")</f>
        <v/>
      </c>
      <c r="D3914" s="12" t="n"/>
      <c r="E3914" s="13">
        <f>IF(D3914="","",D3914-TODAY())</f>
        <v/>
      </c>
      <c r="F3914">
        <f>IF(D3914="","",IF(E3914&lt;0,"VENCIDO",IF(E3914&lt;=30,"VENCE EM &lt;= 30 DIAS",IF(E3914&lt;=60,"ATENCAO (31-60 DIAS)","OK"))))</f>
        <v/>
      </c>
      <c r="G3914" s="13">
        <f>SUMIFS(Movimentacoes!$G:$G,Movimentacoes!$C:$C,$A3914,Movimentacoes!$E:$E,$C3914,Movimentacoes!$B:$B,"ENTRADA")</f>
        <v/>
      </c>
      <c r="H3914" s="13">
        <f>SUMIFS(Movimentacoes!$G:$G,Movimentacoes!$C:$C,$A3914,Movimentacoes!$E:$E,$C3914,Movimentacoes!$B:$B,"SAIDA_USO")</f>
        <v/>
      </c>
      <c r="I3914" s="13">
        <f>SUMIFS(Movimentacoes!$G:$G,Movimentacoes!$C:$C,$A3914,Movimentacoes!$E:$E,$C3914,Movimentacoes!$B:$B,"SAIDA_DESCARTE")</f>
        <v/>
      </c>
      <c r="J3914" s="13">
        <f>G3914-H3914-I3914</f>
        <v/>
      </c>
      <c r="K3914">
        <f>IF(A3914="","",IF(J3914&lt;=IFERROR(VLOOKUP(A3914,Cadastro_Produtos!$A:$E,5,FALSE),0),"ABAIXO DO MINIMO","OK"))</f>
        <v/>
      </c>
    </row>
    <row r="3915">
      <c r="B3915">
        <f>IFERROR(VLOOKUP(A3915,Cadastro_Produtos!A:B,2,FALSE),"")</f>
        <v/>
      </c>
      <c r="D3915" s="12" t="n"/>
      <c r="E3915" s="13">
        <f>IF(D3915="","",D3915-TODAY())</f>
        <v/>
      </c>
      <c r="F3915">
        <f>IF(D3915="","",IF(E3915&lt;0,"VENCIDO",IF(E3915&lt;=30,"VENCE EM &lt;= 30 DIAS",IF(E3915&lt;=60,"ATENCAO (31-60 DIAS)","OK"))))</f>
        <v/>
      </c>
      <c r="G3915" s="13">
        <f>SUMIFS(Movimentacoes!$G:$G,Movimentacoes!$C:$C,$A3915,Movimentacoes!$E:$E,$C3915,Movimentacoes!$B:$B,"ENTRADA")</f>
        <v/>
      </c>
      <c r="H3915" s="13">
        <f>SUMIFS(Movimentacoes!$G:$G,Movimentacoes!$C:$C,$A3915,Movimentacoes!$E:$E,$C3915,Movimentacoes!$B:$B,"SAIDA_USO")</f>
        <v/>
      </c>
      <c r="I3915" s="13">
        <f>SUMIFS(Movimentacoes!$G:$G,Movimentacoes!$C:$C,$A3915,Movimentacoes!$E:$E,$C3915,Movimentacoes!$B:$B,"SAIDA_DESCARTE")</f>
        <v/>
      </c>
      <c r="J3915" s="13">
        <f>G3915-H3915-I3915</f>
        <v/>
      </c>
      <c r="K3915">
        <f>IF(A3915="","",IF(J3915&lt;=IFERROR(VLOOKUP(A3915,Cadastro_Produtos!$A:$E,5,FALSE),0),"ABAIXO DO MINIMO","OK"))</f>
        <v/>
      </c>
    </row>
    <row r="3916">
      <c r="B3916">
        <f>IFERROR(VLOOKUP(A3916,Cadastro_Produtos!A:B,2,FALSE),"")</f>
        <v/>
      </c>
      <c r="D3916" s="12" t="n"/>
      <c r="E3916" s="13">
        <f>IF(D3916="","",D3916-TODAY())</f>
        <v/>
      </c>
      <c r="F3916">
        <f>IF(D3916="","",IF(E3916&lt;0,"VENCIDO",IF(E3916&lt;=30,"VENCE EM &lt;= 30 DIAS",IF(E3916&lt;=60,"ATENCAO (31-60 DIAS)","OK"))))</f>
        <v/>
      </c>
      <c r="G3916" s="13">
        <f>SUMIFS(Movimentacoes!$G:$G,Movimentacoes!$C:$C,$A3916,Movimentacoes!$E:$E,$C3916,Movimentacoes!$B:$B,"ENTRADA")</f>
        <v/>
      </c>
      <c r="H3916" s="13">
        <f>SUMIFS(Movimentacoes!$G:$G,Movimentacoes!$C:$C,$A3916,Movimentacoes!$E:$E,$C3916,Movimentacoes!$B:$B,"SAIDA_USO")</f>
        <v/>
      </c>
      <c r="I3916" s="13">
        <f>SUMIFS(Movimentacoes!$G:$G,Movimentacoes!$C:$C,$A3916,Movimentacoes!$E:$E,$C3916,Movimentacoes!$B:$B,"SAIDA_DESCARTE")</f>
        <v/>
      </c>
      <c r="J3916" s="13">
        <f>G3916-H3916-I3916</f>
        <v/>
      </c>
      <c r="K3916">
        <f>IF(A3916="","",IF(J3916&lt;=IFERROR(VLOOKUP(A3916,Cadastro_Produtos!$A:$E,5,FALSE),0),"ABAIXO DO MINIMO","OK"))</f>
        <v/>
      </c>
    </row>
    <row r="3917">
      <c r="B3917">
        <f>IFERROR(VLOOKUP(A3917,Cadastro_Produtos!A:B,2,FALSE),"")</f>
        <v/>
      </c>
      <c r="D3917" s="12" t="n"/>
      <c r="E3917" s="13">
        <f>IF(D3917="","",D3917-TODAY())</f>
        <v/>
      </c>
      <c r="F3917">
        <f>IF(D3917="","",IF(E3917&lt;0,"VENCIDO",IF(E3917&lt;=30,"VENCE EM &lt;= 30 DIAS",IF(E3917&lt;=60,"ATENCAO (31-60 DIAS)","OK"))))</f>
        <v/>
      </c>
      <c r="G3917" s="13">
        <f>SUMIFS(Movimentacoes!$G:$G,Movimentacoes!$C:$C,$A3917,Movimentacoes!$E:$E,$C3917,Movimentacoes!$B:$B,"ENTRADA")</f>
        <v/>
      </c>
      <c r="H3917" s="13">
        <f>SUMIFS(Movimentacoes!$G:$G,Movimentacoes!$C:$C,$A3917,Movimentacoes!$E:$E,$C3917,Movimentacoes!$B:$B,"SAIDA_USO")</f>
        <v/>
      </c>
      <c r="I3917" s="13">
        <f>SUMIFS(Movimentacoes!$G:$G,Movimentacoes!$C:$C,$A3917,Movimentacoes!$E:$E,$C3917,Movimentacoes!$B:$B,"SAIDA_DESCARTE")</f>
        <v/>
      </c>
      <c r="J3917" s="13">
        <f>G3917-H3917-I3917</f>
        <v/>
      </c>
      <c r="K3917">
        <f>IF(A3917="","",IF(J3917&lt;=IFERROR(VLOOKUP(A3917,Cadastro_Produtos!$A:$E,5,FALSE),0),"ABAIXO DO MINIMO","OK"))</f>
        <v/>
      </c>
    </row>
    <row r="3918">
      <c r="B3918">
        <f>IFERROR(VLOOKUP(A3918,Cadastro_Produtos!A:B,2,FALSE),"")</f>
        <v/>
      </c>
      <c r="D3918" s="12" t="n"/>
      <c r="E3918" s="13">
        <f>IF(D3918="","",D3918-TODAY())</f>
        <v/>
      </c>
      <c r="F3918">
        <f>IF(D3918="","",IF(E3918&lt;0,"VENCIDO",IF(E3918&lt;=30,"VENCE EM &lt;= 30 DIAS",IF(E3918&lt;=60,"ATENCAO (31-60 DIAS)","OK"))))</f>
        <v/>
      </c>
      <c r="G3918" s="13">
        <f>SUMIFS(Movimentacoes!$G:$G,Movimentacoes!$C:$C,$A3918,Movimentacoes!$E:$E,$C3918,Movimentacoes!$B:$B,"ENTRADA")</f>
        <v/>
      </c>
      <c r="H3918" s="13">
        <f>SUMIFS(Movimentacoes!$G:$G,Movimentacoes!$C:$C,$A3918,Movimentacoes!$E:$E,$C3918,Movimentacoes!$B:$B,"SAIDA_USO")</f>
        <v/>
      </c>
      <c r="I3918" s="13">
        <f>SUMIFS(Movimentacoes!$G:$G,Movimentacoes!$C:$C,$A3918,Movimentacoes!$E:$E,$C3918,Movimentacoes!$B:$B,"SAIDA_DESCARTE")</f>
        <v/>
      </c>
      <c r="J3918" s="13">
        <f>G3918-H3918-I3918</f>
        <v/>
      </c>
      <c r="K3918">
        <f>IF(A3918="","",IF(J3918&lt;=IFERROR(VLOOKUP(A3918,Cadastro_Produtos!$A:$E,5,FALSE),0),"ABAIXO DO MINIMO","OK"))</f>
        <v/>
      </c>
    </row>
    <row r="3919">
      <c r="B3919">
        <f>IFERROR(VLOOKUP(A3919,Cadastro_Produtos!A:B,2,FALSE),"")</f>
        <v/>
      </c>
      <c r="D3919" s="12" t="n"/>
      <c r="E3919" s="13">
        <f>IF(D3919="","",D3919-TODAY())</f>
        <v/>
      </c>
      <c r="F3919">
        <f>IF(D3919="","",IF(E3919&lt;0,"VENCIDO",IF(E3919&lt;=30,"VENCE EM &lt;= 30 DIAS",IF(E3919&lt;=60,"ATENCAO (31-60 DIAS)","OK"))))</f>
        <v/>
      </c>
      <c r="G3919" s="13">
        <f>SUMIFS(Movimentacoes!$G:$G,Movimentacoes!$C:$C,$A3919,Movimentacoes!$E:$E,$C3919,Movimentacoes!$B:$B,"ENTRADA")</f>
        <v/>
      </c>
      <c r="H3919" s="13">
        <f>SUMIFS(Movimentacoes!$G:$G,Movimentacoes!$C:$C,$A3919,Movimentacoes!$E:$E,$C3919,Movimentacoes!$B:$B,"SAIDA_USO")</f>
        <v/>
      </c>
      <c r="I3919" s="13">
        <f>SUMIFS(Movimentacoes!$G:$G,Movimentacoes!$C:$C,$A3919,Movimentacoes!$E:$E,$C3919,Movimentacoes!$B:$B,"SAIDA_DESCARTE")</f>
        <v/>
      </c>
      <c r="J3919" s="13">
        <f>G3919-H3919-I3919</f>
        <v/>
      </c>
      <c r="K3919">
        <f>IF(A3919="","",IF(J3919&lt;=IFERROR(VLOOKUP(A3919,Cadastro_Produtos!$A:$E,5,FALSE),0),"ABAIXO DO MINIMO","OK"))</f>
        <v/>
      </c>
    </row>
    <row r="3920">
      <c r="B3920">
        <f>IFERROR(VLOOKUP(A3920,Cadastro_Produtos!A:B,2,FALSE),"")</f>
        <v/>
      </c>
      <c r="D3920" s="12" t="n"/>
      <c r="E3920" s="13">
        <f>IF(D3920="","",D3920-TODAY())</f>
        <v/>
      </c>
      <c r="F3920">
        <f>IF(D3920="","",IF(E3920&lt;0,"VENCIDO",IF(E3920&lt;=30,"VENCE EM &lt;= 30 DIAS",IF(E3920&lt;=60,"ATENCAO (31-60 DIAS)","OK"))))</f>
        <v/>
      </c>
      <c r="G3920" s="13">
        <f>SUMIFS(Movimentacoes!$G:$G,Movimentacoes!$C:$C,$A3920,Movimentacoes!$E:$E,$C3920,Movimentacoes!$B:$B,"ENTRADA")</f>
        <v/>
      </c>
      <c r="H3920" s="13">
        <f>SUMIFS(Movimentacoes!$G:$G,Movimentacoes!$C:$C,$A3920,Movimentacoes!$E:$E,$C3920,Movimentacoes!$B:$B,"SAIDA_USO")</f>
        <v/>
      </c>
      <c r="I3920" s="13">
        <f>SUMIFS(Movimentacoes!$G:$G,Movimentacoes!$C:$C,$A3920,Movimentacoes!$E:$E,$C3920,Movimentacoes!$B:$B,"SAIDA_DESCARTE")</f>
        <v/>
      </c>
      <c r="J3920" s="13">
        <f>G3920-H3920-I3920</f>
        <v/>
      </c>
      <c r="K3920">
        <f>IF(A3920="","",IF(J3920&lt;=IFERROR(VLOOKUP(A3920,Cadastro_Produtos!$A:$E,5,FALSE),0),"ABAIXO DO MINIMO","OK"))</f>
        <v/>
      </c>
    </row>
    <row r="3921">
      <c r="B3921">
        <f>IFERROR(VLOOKUP(A3921,Cadastro_Produtos!A:B,2,FALSE),"")</f>
        <v/>
      </c>
      <c r="D3921" s="12" t="n"/>
      <c r="E3921" s="13">
        <f>IF(D3921="","",D3921-TODAY())</f>
        <v/>
      </c>
      <c r="F3921">
        <f>IF(D3921="","",IF(E3921&lt;0,"VENCIDO",IF(E3921&lt;=30,"VENCE EM &lt;= 30 DIAS",IF(E3921&lt;=60,"ATENCAO (31-60 DIAS)","OK"))))</f>
        <v/>
      </c>
      <c r="G3921" s="13">
        <f>SUMIFS(Movimentacoes!$G:$G,Movimentacoes!$C:$C,$A3921,Movimentacoes!$E:$E,$C3921,Movimentacoes!$B:$B,"ENTRADA")</f>
        <v/>
      </c>
      <c r="H3921" s="13">
        <f>SUMIFS(Movimentacoes!$G:$G,Movimentacoes!$C:$C,$A3921,Movimentacoes!$E:$E,$C3921,Movimentacoes!$B:$B,"SAIDA_USO")</f>
        <v/>
      </c>
      <c r="I3921" s="13">
        <f>SUMIFS(Movimentacoes!$G:$G,Movimentacoes!$C:$C,$A3921,Movimentacoes!$E:$E,$C3921,Movimentacoes!$B:$B,"SAIDA_DESCARTE")</f>
        <v/>
      </c>
      <c r="J3921" s="13">
        <f>G3921-H3921-I3921</f>
        <v/>
      </c>
      <c r="K3921">
        <f>IF(A3921="","",IF(J3921&lt;=IFERROR(VLOOKUP(A3921,Cadastro_Produtos!$A:$E,5,FALSE),0),"ABAIXO DO MINIMO","OK"))</f>
        <v/>
      </c>
    </row>
    <row r="3922">
      <c r="B3922">
        <f>IFERROR(VLOOKUP(A3922,Cadastro_Produtos!A:B,2,FALSE),"")</f>
        <v/>
      </c>
      <c r="D3922" s="12" t="n"/>
      <c r="E3922" s="13">
        <f>IF(D3922="","",D3922-TODAY())</f>
        <v/>
      </c>
      <c r="F3922">
        <f>IF(D3922="","",IF(E3922&lt;0,"VENCIDO",IF(E3922&lt;=30,"VENCE EM &lt;= 30 DIAS",IF(E3922&lt;=60,"ATENCAO (31-60 DIAS)","OK"))))</f>
        <v/>
      </c>
      <c r="G3922" s="13">
        <f>SUMIFS(Movimentacoes!$G:$G,Movimentacoes!$C:$C,$A3922,Movimentacoes!$E:$E,$C3922,Movimentacoes!$B:$B,"ENTRADA")</f>
        <v/>
      </c>
      <c r="H3922" s="13">
        <f>SUMIFS(Movimentacoes!$G:$G,Movimentacoes!$C:$C,$A3922,Movimentacoes!$E:$E,$C3922,Movimentacoes!$B:$B,"SAIDA_USO")</f>
        <v/>
      </c>
      <c r="I3922" s="13">
        <f>SUMIFS(Movimentacoes!$G:$G,Movimentacoes!$C:$C,$A3922,Movimentacoes!$E:$E,$C3922,Movimentacoes!$B:$B,"SAIDA_DESCARTE")</f>
        <v/>
      </c>
      <c r="J3922" s="13">
        <f>G3922-H3922-I3922</f>
        <v/>
      </c>
      <c r="K3922">
        <f>IF(A3922="","",IF(J3922&lt;=IFERROR(VLOOKUP(A3922,Cadastro_Produtos!$A:$E,5,FALSE),0),"ABAIXO DO MINIMO","OK"))</f>
        <v/>
      </c>
    </row>
    <row r="3923">
      <c r="B3923">
        <f>IFERROR(VLOOKUP(A3923,Cadastro_Produtos!A:B,2,FALSE),"")</f>
        <v/>
      </c>
      <c r="D3923" s="12" t="n"/>
      <c r="E3923" s="13">
        <f>IF(D3923="","",D3923-TODAY())</f>
        <v/>
      </c>
      <c r="F3923">
        <f>IF(D3923="","",IF(E3923&lt;0,"VENCIDO",IF(E3923&lt;=30,"VENCE EM &lt;= 30 DIAS",IF(E3923&lt;=60,"ATENCAO (31-60 DIAS)","OK"))))</f>
        <v/>
      </c>
      <c r="G3923" s="13">
        <f>SUMIFS(Movimentacoes!$G:$G,Movimentacoes!$C:$C,$A3923,Movimentacoes!$E:$E,$C3923,Movimentacoes!$B:$B,"ENTRADA")</f>
        <v/>
      </c>
      <c r="H3923" s="13">
        <f>SUMIFS(Movimentacoes!$G:$G,Movimentacoes!$C:$C,$A3923,Movimentacoes!$E:$E,$C3923,Movimentacoes!$B:$B,"SAIDA_USO")</f>
        <v/>
      </c>
      <c r="I3923" s="13">
        <f>SUMIFS(Movimentacoes!$G:$G,Movimentacoes!$C:$C,$A3923,Movimentacoes!$E:$E,$C3923,Movimentacoes!$B:$B,"SAIDA_DESCARTE")</f>
        <v/>
      </c>
      <c r="J3923" s="13">
        <f>G3923-H3923-I3923</f>
        <v/>
      </c>
      <c r="K3923">
        <f>IF(A3923="","",IF(J3923&lt;=IFERROR(VLOOKUP(A3923,Cadastro_Produtos!$A:$E,5,FALSE),0),"ABAIXO DO MINIMO","OK"))</f>
        <v/>
      </c>
    </row>
    <row r="3924">
      <c r="B3924">
        <f>IFERROR(VLOOKUP(A3924,Cadastro_Produtos!A:B,2,FALSE),"")</f>
        <v/>
      </c>
      <c r="D3924" s="12" t="n"/>
      <c r="E3924" s="13">
        <f>IF(D3924="","",D3924-TODAY())</f>
        <v/>
      </c>
      <c r="F3924">
        <f>IF(D3924="","",IF(E3924&lt;0,"VENCIDO",IF(E3924&lt;=30,"VENCE EM &lt;= 30 DIAS",IF(E3924&lt;=60,"ATENCAO (31-60 DIAS)","OK"))))</f>
        <v/>
      </c>
      <c r="G3924" s="13">
        <f>SUMIFS(Movimentacoes!$G:$G,Movimentacoes!$C:$C,$A3924,Movimentacoes!$E:$E,$C3924,Movimentacoes!$B:$B,"ENTRADA")</f>
        <v/>
      </c>
      <c r="H3924" s="13">
        <f>SUMIFS(Movimentacoes!$G:$G,Movimentacoes!$C:$C,$A3924,Movimentacoes!$E:$E,$C3924,Movimentacoes!$B:$B,"SAIDA_USO")</f>
        <v/>
      </c>
      <c r="I3924" s="13">
        <f>SUMIFS(Movimentacoes!$G:$G,Movimentacoes!$C:$C,$A3924,Movimentacoes!$E:$E,$C3924,Movimentacoes!$B:$B,"SAIDA_DESCARTE")</f>
        <v/>
      </c>
      <c r="J3924" s="13">
        <f>G3924-H3924-I3924</f>
        <v/>
      </c>
      <c r="K3924">
        <f>IF(A3924="","",IF(J3924&lt;=IFERROR(VLOOKUP(A3924,Cadastro_Produtos!$A:$E,5,FALSE),0),"ABAIXO DO MINIMO","OK"))</f>
        <v/>
      </c>
    </row>
    <row r="3925">
      <c r="B3925">
        <f>IFERROR(VLOOKUP(A3925,Cadastro_Produtos!A:B,2,FALSE),"")</f>
        <v/>
      </c>
      <c r="D3925" s="12" t="n"/>
      <c r="E3925" s="13">
        <f>IF(D3925="","",D3925-TODAY())</f>
        <v/>
      </c>
      <c r="F3925">
        <f>IF(D3925="","",IF(E3925&lt;0,"VENCIDO",IF(E3925&lt;=30,"VENCE EM &lt;= 30 DIAS",IF(E3925&lt;=60,"ATENCAO (31-60 DIAS)","OK"))))</f>
        <v/>
      </c>
      <c r="G3925" s="13">
        <f>SUMIFS(Movimentacoes!$G:$G,Movimentacoes!$C:$C,$A3925,Movimentacoes!$E:$E,$C3925,Movimentacoes!$B:$B,"ENTRADA")</f>
        <v/>
      </c>
      <c r="H3925" s="13">
        <f>SUMIFS(Movimentacoes!$G:$G,Movimentacoes!$C:$C,$A3925,Movimentacoes!$E:$E,$C3925,Movimentacoes!$B:$B,"SAIDA_USO")</f>
        <v/>
      </c>
      <c r="I3925" s="13">
        <f>SUMIFS(Movimentacoes!$G:$G,Movimentacoes!$C:$C,$A3925,Movimentacoes!$E:$E,$C3925,Movimentacoes!$B:$B,"SAIDA_DESCARTE")</f>
        <v/>
      </c>
      <c r="J3925" s="13">
        <f>G3925-H3925-I3925</f>
        <v/>
      </c>
      <c r="K3925">
        <f>IF(A3925="","",IF(J3925&lt;=IFERROR(VLOOKUP(A3925,Cadastro_Produtos!$A:$E,5,FALSE),0),"ABAIXO DO MINIMO","OK"))</f>
        <v/>
      </c>
    </row>
    <row r="3926">
      <c r="B3926">
        <f>IFERROR(VLOOKUP(A3926,Cadastro_Produtos!A:B,2,FALSE),"")</f>
        <v/>
      </c>
      <c r="D3926" s="12" t="n"/>
      <c r="E3926" s="13">
        <f>IF(D3926="","",D3926-TODAY())</f>
        <v/>
      </c>
      <c r="F3926">
        <f>IF(D3926="","",IF(E3926&lt;0,"VENCIDO",IF(E3926&lt;=30,"VENCE EM &lt;= 30 DIAS",IF(E3926&lt;=60,"ATENCAO (31-60 DIAS)","OK"))))</f>
        <v/>
      </c>
      <c r="G3926" s="13">
        <f>SUMIFS(Movimentacoes!$G:$G,Movimentacoes!$C:$C,$A3926,Movimentacoes!$E:$E,$C3926,Movimentacoes!$B:$B,"ENTRADA")</f>
        <v/>
      </c>
      <c r="H3926" s="13">
        <f>SUMIFS(Movimentacoes!$G:$G,Movimentacoes!$C:$C,$A3926,Movimentacoes!$E:$E,$C3926,Movimentacoes!$B:$B,"SAIDA_USO")</f>
        <v/>
      </c>
      <c r="I3926" s="13">
        <f>SUMIFS(Movimentacoes!$G:$G,Movimentacoes!$C:$C,$A3926,Movimentacoes!$E:$E,$C3926,Movimentacoes!$B:$B,"SAIDA_DESCARTE")</f>
        <v/>
      </c>
      <c r="J3926" s="13">
        <f>G3926-H3926-I3926</f>
        <v/>
      </c>
      <c r="K3926">
        <f>IF(A3926="","",IF(J3926&lt;=IFERROR(VLOOKUP(A3926,Cadastro_Produtos!$A:$E,5,FALSE),0),"ABAIXO DO MINIMO","OK"))</f>
        <v/>
      </c>
    </row>
    <row r="3927">
      <c r="B3927">
        <f>IFERROR(VLOOKUP(A3927,Cadastro_Produtos!A:B,2,FALSE),"")</f>
        <v/>
      </c>
      <c r="D3927" s="12" t="n"/>
      <c r="E3927" s="13">
        <f>IF(D3927="","",D3927-TODAY())</f>
        <v/>
      </c>
      <c r="F3927">
        <f>IF(D3927="","",IF(E3927&lt;0,"VENCIDO",IF(E3927&lt;=30,"VENCE EM &lt;= 30 DIAS",IF(E3927&lt;=60,"ATENCAO (31-60 DIAS)","OK"))))</f>
        <v/>
      </c>
      <c r="G3927" s="13">
        <f>SUMIFS(Movimentacoes!$G:$G,Movimentacoes!$C:$C,$A3927,Movimentacoes!$E:$E,$C3927,Movimentacoes!$B:$B,"ENTRADA")</f>
        <v/>
      </c>
      <c r="H3927" s="13">
        <f>SUMIFS(Movimentacoes!$G:$G,Movimentacoes!$C:$C,$A3927,Movimentacoes!$E:$E,$C3927,Movimentacoes!$B:$B,"SAIDA_USO")</f>
        <v/>
      </c>
      <c r="I3927" s="13">
        <f>SUMIFS(Movimentacoes!$G:$G,Movimentacoes!$C:$C,$A3927,Movimentacoes!$E:$E,$C3927,Movimentacoes!$B:$B,"SAIDA_DESCARTE")</f>
        <v/>
      </c>
      <c r="J3927" s="13">
        <f>G3927-H3927-I3927</f>
        <v/>
      </c>
      <c r="K3927">
        <f>IF(A3927="","",IF(J3927&lt;=IFERROR(VLOOKUP(A3927,Cadastro_Produtos!$A:$E,5,FALSE),0),"ABAIXO DO MINIMO","OK"))</f>
        <v/>
      </c>
    </row>
    <row r="3928">
      <c r="B3928">
        <f>IFERROR(VLOOKUP(A3928,Cadastro_Produtos!A:B,2,FALSE),"")</f>
        <v/>
      </c>
      <c r="D3928" s="12" t="n"/>
      <c r="E3928" s="13">
        <f>IF(D3928="","",D3928-TODAY())</f>
        <v/>
      </c>
      <c r="F3928">
        <f>IF(D3928="","",IF(E3928&lt;0,"VENCIDO",IF(E3928&lt;=30,"VENCE EM &lt;= 30 DIAS",IF(E3928&lt;=60,"ATENCAO (31-60 DIAS)","OK"))))</f>
        <v/>
      </c>
      <c r="G3928" s="13">
        <f>SUMIFS(Movimentacoes!$G:$G,Movimentacoes!$C:$C,$A3928,Movimentacoes!$E:$E,$C3928,Movimentacoes!$B:$B,"ENTRADA")</f>
        <v/>
      </c>
      <c r="H3928" s="13">
        <f>SUMIFS(Movimentacoes!$G:$G,Movimentacoes!$C:$C,$A3928,Movimentacoes!$E:$E,$C3928,Movimentacoes!$B:$B,"SAIDA_USO")</f>
        <v/>
      </c>
      <c r="I3928" s="13">
        <f>SUMIFS(Movimentacoes!$G:$G,Movimentacoes!$C:$C,$A3928,Movimentacoes!$E:$E,$C3928,Movimentacoes!$B:$B,"SAIDA_DESCARTE")</f>
        <v/>
      </c>
      <c r="J3928" s="13">
        <f>G3928-H3928-I3928</f>
        <v/>
      </c>
      <c r="K3928">
        <f>IF(A3928="","",IF(J3928&lt;=IFERROR(VLOOKUP(A3928,Cadastro_Produtos!$A:$E,5,FALSE),0),"ABAIXO DO MINIMO","OK"))</f>
        <v/>
      </c>
    </row>
    <row r="3929">
      <c r="B3929">
        <f>IFERROR(VLOOKUP(A3929,Cadastro_Produtos!A:B,2,FALSE),"")</f>
        <v/>
      </c>
      <c r="D3929" s="12" t="n"/>
      <c r="E3929" s="13">
        <f>IF(D3929="","",D3929-TODAY())</f>
        <v/>
      </c>
      <c r="F3929">
        <f>IF(D3929="","",IF(E3929&lt;0,"VENCIDO",IF(E3929&lt;=30,"VENCE EM &lt;= 30 DIAS",IF(E3929&lt;=60,"ATENCAO (31-60 DIAS)","OK"))))</f>
        <v/>
      </c>
      <c r="G3929" s="13">
        <f>SUMIFS(Movimentacoes!$G:$G,Movimentacoes!$C:$C,$A3929,Movimentacoes!$E:$E,$C3929,Movimentacoes!$B:$B,"ENTRADA")</f>
        <v/>
      </c>
      <c r="H3929" s="13">
        <f>SUMIFS(Movimentacoes!$G:$G,Movimentacoes!$C:$C,$A3929,Movimentacoes!$E:$E,$C3929,Movimentacoes!$B:$B,"SAIDA_USO")</f>
        <v/>
      </c>
      <c r="I3929" s="13">
        <f>SUMIFS(Movimentacoes!$G:$G,Movimentacoes!$C:$C,$A3929,Movimentacoes!$E:$E,$C3929,Movimentacoes!$B:$B,"SAIDA_DESCARTE")</f>
        <v/>
      </c>
      <c r="J3929" s="13">
        <f>G3929-H3929-I3929</f>
        <v/>
      </c>
      <c r="K3929">
        <f>IF(A3929="","",IF(J3929&lt;=IFERROR(VLOOKUP(A3929,Cadastro_Produtos!$A:$E,5,FALSE),0),"ABAIXO DO MINIMO","OK"))</f>
        <v/>
      </c>
    </row>
    <row r="3930">
      <c r="B3930">
        <f>IFERROR(VLOOKUP(A3930,Cadastro_Produtos!A:B,2,FALSE),"")</f>
        <v/>
      </c>
      <c r="D3930" s="12" t="n"/>
      <c r="E3930" s="13">
        <f>IF(D3930="","",D3930-TODAY())</f>
        <v/>
      </c>
      <c r="F3930">
        <f>IF(D3930="","",IF(E3930&lt;0,"VENCIDO",IF(E3930&lt;=30,"VENCE EM &lt;= 30 DIAS",IF(E3930&lt;=60,"ATENCAO (31-60 DIAS)","OK"))))</f>
        <v/>
      </c>
      <c r="G3930" s="13">
        <f>SUMIFS(Movimentacoes!$G:$G,Movimentacoes!$C:$C,$A3930,Movimentacoes!$E:$E,$C3930,Movimentacoes!$B:$B,"ENTRADA")</f>
        <v/>
      </c>
      <c r="H3930" s="13">
        <f>SUMIFS(Movimentacoes!$G:$G,Movimentacoes!$C:$C,$A3930,Movimentacoes!$E:$E,$C3930,Movimentacoes!$B:$B,"SAIDA_USO")</f>
        <v/>
      </c>
      <c r="I3930" s="13">
        <f>SUMIFS(Movimentacoes!$G:$G,Movimentacoes!$C:$C,$A3930,Movimentacoes!$E:$E,$C3930,Movimentacoes!$B:$B,"SAIDA_DESCARTE")</f>
        <v/>
      </c>
      <c r="J3930" s="13">
        <f>G3930-H3930-I3930</f>
        <v/>
      </c>
      <c r="K3930">
        <f>IF(A3930="","",IF(J3930&lt;=IFERROR(VLOOKUP(A3930,Cadastro_Produtos!$A:$E,5,FALSE),0),"ABAIXO DO MINIMO","OK"))</f>
        <v/>
      </c>
    </row>
    <row r="3931">
      <c r="B3931">
        <f>IFERROR(VLOOKUP(A3931,Cadastro_Produtos!A:B,2,FALSE),"")</f>
        <v/>
      </c>
      <c r="D3931" s="12" t="n"/>
      <c r="E3931" s="13">
        <f>IF(D3931="","",D3931-TODAY())</f>
        <v/>
      </c>
      <c r="F3931">
        <f>IF(D3931="","",IF(E3931&lt;0,"VENCIDO",IF(E3931&lt;=30,"VENCE EM &lt;= 30 DIAS",IF(E3931&lt;=60,"ATENCAO (31-60 DIAS)","OK"))))</f>
        <v/>
      </c>
      <c r="G3931" s="13">
        <f>SUMIFS(Movimentacoes!$G:$G,Movimentacoes!$C:$C,$A3931,Movimentacoes!$E:$E,$C3931,Movimentacoes!$B:$B,"ENTRADA")</f>
        <v/>
      </c>
      <c r="H3931" s="13">
        <f>SUMIFS(Movimentacoes!$G:$G,Movimentacoes!$C:$C,$A3931,Movimentacoes!$E:$E,$C3931,Movimentacoes!$B:$B,"SAIDA_USO")</f>
        <v/>
      </c>
      <c r="I3931" s="13">
        <f>SUMIFS(Movimentacoes!$G:$G,Movimentacoes!$C:$C,$A3931,Movimentacoes!$E:$E,$C3931,Movimentacoes!$B:$B,"SAIDA_DESCARTE")</f>
        <v/>
      </c>
      <c r="J3931" s="13">
        <f>G3931-H3931-I3931</f>
        <v/>
      </c>
      <c r="K3931">
        <f>IF(A3931="","",IF(J3931&lt;=IFERROR(VLOOKUP(A3931,Cadastro_Produtos!$A:$E,5,FALSE),0),"ABAIXO DO MINIMO","OK"))</f>
        <v/>
      </c>
    </row>
    <row r="3932">
      <c r="B3932">
        <f>IFERROR(VLOOKUP(A3932,Cadastro_Produtos!A:B,2,FALSE),"")</f>
        <v/>
      </c>
      <c r="D3932" s="12" t="n"/>
      <c r="E3932" s="13">
        <f>IF(D3932="","",D3932-TODAY())</f>
        <v/>
      </c>
      <c r="F3932">
        <f>IF(D3932="","",IF(E3932&lt;0,"VENCIDO",IF(E3932&lt;=30,"VENCE EM &lt;= 30 DIAS",IF(E3932&lt;=60,"ATENCAO (31-60 DIAS)","OK"))))</f>
        <v/>
      </c>
      <c r="G3932" s="13">
        <f>SUMIFS(Movimentacoes!$G:$G,Movimentacoes!$C:$C,$A3932,Movimentacoes!$E:$E,$C3932,Movimentacoes!$B:$B,"ENTRADA")</f>
        <v/>
      </c>
      <c r="H3932" s="13">
        <f>SUMIFS(Movimentacoes!$G:$G,Movimentacoes!$C:$C,$A3932,Movimentacoes!$E:$E,$C3932,Movimentacoes!$B:$B,"SAIDA_USO")</f>
        <v/>
      </c>
      <c r="I3932" s="13">
        <f>SUMIFS(Movimentacoes!$G:$G,Movimentacoes!$C:$C,$A3932,Movimentacoes!$E:$E,$C3932,Movimentacoes!$B:$B,"SAIDA_DESCARTE")</f>
        <v/>
      </c>
      <c r="J3932" s="13">
        <f>G3932-H3932-I3932</f>
        <v/>
      </c>
      <c r="K3932">
        <f>IF(A3932="","",IF(J3932&lt;=IFERROR(VLOOKUP(A3932,Cadastro_Produtos!$A:$E,5,FALSE),0),"ABAIXO DO MINIMO","OK"))</f>
        <v/>
      </c>
    </row>
    <row r="3933">
      <c r="B3933">
        <f>IFERROR(VLOOKUP(A3933,Cadastro_Produtos!A:B,2,FALSE),"")</f>
        <v/>
      </c>
      <c r="D3933" s="12" t="n"/>
      <c r="E3933" s="13">
        <f>IF(D3933="","",D3933-TODAY())</f>
        <v/>
      </c>
      <c r="F3933">
        <f>IF(D3933="","",IF(E3933&lt;0,"VENCIDO",IF(E3933&lt;=30,"VENCE EM &lt;= 30 DIAS",IF(E3933&lt;=60,"ATENCAO (31-60 DIAS)","OK"))))</f>
        <v/>
      </c>
      <c r="G3933" s="13">
        <f>SUMIFS(Movimentacoes!$G:$G,Movimentacoes!$C:$C,$A3933,Movimentacoes!$E:$E,$C3933,Movimentacoes!$B:$B,"ENTRADA")</f>
        <v/>
      </c>
      <c r="H3933" s="13">
        <f>SUMIFS(Movimentacoes!$G:$G,Movimentacoes!$C:$C,$A3933,Movimentacoes!$E:$E,$C3933,Movimentacoes!$B:$B,"SAIDA_USO")</f>
        <v/>
      </c>
      <c r="I3933" s="13">
        <f>SUMIFS(Movimentacoes!$G:$G,Movimentacoes!$C:$C,$A3933,Movimentacoes!$E:$E,$C3933,Movimentacoes!$B:$B,"SAIDA_DESCARTE")</f>
        <v/>
      </c>
      <c r="J3933" s="13">
        <f>G3933-H3933-I3933</f>
        <v/>
      </c>
      <c r="K3933">
        <f>IF(A3933="","",IF(J3933&lt;=IFERROR(VLOOKUP(A3933,Cadastro_Produtos!$A:$E,5,FALSE),0),"ABAIXO DO MINIMO","OK"))</f>
        <v/>
      </c>
    </row>
    <row r="3934">
      <c r="B3934">
        <f>IFERROR(VLOOKUP(A3934,Cadastro_Produtos!A:B,2,FALSE),"")</f>
        <v/>
      </c>
      <c r="D3934" s="12" t="n"/>
      <c r="E3934" s="13">
        <f>IF(D3934="","",D3934-TODAY())</f>
        <v/>
      </c>
      <c r="F3934">
        <f>IF(D3934="","",IF(E3934&lt;0,"VENCIDO",IF(E3934&lt;=30,"VENCE EM &lt;= 30 DIAS",IF(E3934&lt;=60,"ATENCAO (31-60 DIAS)","OK"))))</f>
        <v/>
      </c>
      <c r="G3934" s="13">
        <f>SUMIFS(Movimentacoes!$G:$G,Movimentacoes!$C:$C,$A3934,Movimentacoes!$E:$E,$C3934,Movimentacoes!$B:$B,"ENTRADA")</f>
        <v/>
      </c>
      <c r="H3934" s="13">
        <f>SUMIFS(Movimentacoes!$G:$G,Movimentacoes!$C:$C,$A3934,Movimentacoes!$E:$E,$C3934,Movimentacoes!$B:$B,"SAIDA_USO")</f>
        <v/>
      </c>
      <c r="I3934" s="13">
        <f>SUMIFS(Movimentacoes!$G:$G,Movimentacoes!$C:$C,$A3934,Movimentacoes!$E:$E,$C3934,Movimentacoes!$B:$B,"SAIDA_DESCARTE")</f>
        <v/>
      </c>
      <c r="J3934" s="13">
        <f>G3934-H3934-I3934</f>
        <v/>
      </c>
      <c r="K3934">
        <f>IF(A3934="","",IF(J3934&lt;=IFERROR(VLOOKUP(A3934,Cadastro_Produtos!$A:$E,5,FALSE),0),"ABAIXO DO MINIMO","OK"))</f>
        <v/>
      </c>
    </row>
    <row r="3935">
      <c r="B3935">
        <f>IFERROR(VLOOKUP(A3935,Cadastro_Produtos!A:B,2,FALSE),"")</f>
        <v/>
      </c>
      <c r="D3935" s="12" t="n"/>
      <c r="E3935" s="13">
        <f>IF(D3935="","",D3935-TODAY())</f>
        <v/>
      </c>
      <c r="F3935">
        <f>IF(D3935="","",IF(E3935&lt;0,"VENCIDO",IF(E3935&lt;=30,"VENCE EM &lt;= 30 DIAS",IF(E3935&lt;=60,"ATENCAO (31-60 DIAS)","OK"))))</f>
        <v/>
      </c>
      <c r="G3935" s="13">
        <f>SUMIFS(Movimentacoes!$G:$G,Movimentacoes!$C:$C,$A3935,Movimentacoes!$E:$E,$C3935,Movimentacoes!$B:$B,"ENTRADA")</f>
        <v/>
      </c>
      <c r="H3935" s="13">
        <f>SUMIFS(Movimentacoes!$G:$G,Movimentacoes!$C:$C,$A3935,Movimentacoes!$E:$E,$C3935,Movimentacoes!$B:$B,"SAIDA_USO")</f>
        <v/>
      </c>
      <c r="I3935" s="13">
        <f>SUMIFS(Movimentacoes!$G:$G,Movimentacoes!$C:$C,$A3935,Movimentacoes!$E:$E,$C3935,Movimentacoes!$B:$B,"SAIDA_DESCARTE")</f>
        <v/>
      </c>
      <c r="J3935" s="13">
        <f>G3935-H3935-I3935</f>
        <v/>
      </c>
      <c r="K3935">
        <f>IF(A3935="","",IF(J3935&lt;=IFERROR(VLOOKUP(A3935,Cadastro_Produtos!$A:$E,5,FALSE),0),"ABAIXO DO MINIMO","OK"))</f>
        <v/>
      </c>
    </row>
    <row r="3936">
      <c r="B3936">
        <f>IFERROR(VLOOKUP(A3936,Cadastro_Produtos!A:B,2,FALSE),"")</f>
        <v/>
      </c>
      <c r="D3936" s="12" t="n"/>
      <c r="E3936" s="13">
        <f>IF(D3936="","",D3936-TODAY())</f>
        <v/>
      </c>
      <c r="F3936">
        <f>IF(D3936="","",IF(E3936&lt;0,"VENCIDO",IF(E3936&lt;=30,"VENCE EM &lt;= 30 DIAS",IF(E3936&lt;=60,"ATENCAO (31-60 DIAS)","OK"))))</f>
        <v/>
      </c>
      <c r="G3936" s="13">
        <f>SUMIFS(Movimentacoes!$G:$G,Movimentacoes!$C:$C,$A3936,Movimentacoes!$E:$E,$C3936,Movimentacoes!$B:$B,"ENTRADA")</f>
        <v/>
      </c>
      <c r="H3936" s="13">
        <f>SUMIFS(Movimentacoes!$G:$G,Movimentacoes!$C:$C,$A3936,Movimentacoes!$E:$E,$C3936,Movimentacoes!$B:$B,"SAIDA_USO")</f>
        <v/>
      </c>
      <c r="I3936" s="13">
        <f>SUMIFS(Movimentacoes!$G:$G,Movimentacoes!$C:$C,$A3936,Movimentacoes!$E:$E,$C3936,Movimentacoes!$B:$B,"SAIDA_DESCARTE")</f>
        <v/>
      </c>
      <c r="J3936" s="13">
        <f>G3936-H3936-I3936</f>
        <v/>
      </c>
      <c r="K3936">
        <f>IF(A3936="","",IF(J3936&lt;=IFERROR(VLOOKUP(A3936,Cadastro_Produtos!$A:$E,5,FALSE),0),"ABAIXO DO MINIMO","OK"))</f>
        <v/>
      </c>
    </row>
    <row r="3937">
      <c r="B3937">
        <f>IFERROR(VLOOKUP(A3937,Cadastro_Produtos!A:B,2,FALSE),"")</f>
        <v/>
      </c>
      <c r="D3937" s="12" t="n"/>
      <c r="E3937" s="13">
        <f>IF(D3937="","",D3937-TODAY())</f>
        <v/>
      </c>
      <c r="F3937">
        <f>IF(D3937="","",IF(E3937&lt;0,"VENCIDO",IF(E3937&lt;=30,"VENCE EM &lt;= 30 DIAS",IF(E3937&lt;=60,"ATENCAO (31-60 DIAS)","OK"))))</f>
        <v/>
      </c>
      <c r="G3937" s="13">
        <f>SUMIFS(Movimentacoes!$G:$G,Movimentacoes!$C:$C,$A3937,Movimentacoes!$E:$E,$C3937,Movimentacoes!$B:$B,"ENTRADA")</f>
        <v/>
      </c>
      <c r="H3937" s="13">
        <f>SUMIFS(Movimentacoes!$G:$G,Movimentacoes!$C:$C,$A3937,Movimentacoes!$E:$E,$C3937,Movimentacoes!$B:$B,"SAIDA_USO")</f>
        <v/>
      </c>
      <c r="I3937" s="13">
        <f>SUMIFS(Movimentacoes!$G:$G,Movimentacoes!$C:$C,$A3937,Movimentacoes!$E:$E,$C3937,Movimentacoes!$B:$B,"SAIDA_DESCARTE")</f>
        <v/>
      </c>
      <c r="J3937" s="13">
        <f>G3937-H3937-I3937</f>
        <v/>
      </c>
      <c r="K3937">
        <f>IF(A3937="","",IF(J3937&lt;=IFERROR(VLOOKUP(A3937,Cadastro_Produtos!$A:$E,5,FALSE),0),"ABAIXO DO MINIMO","OK"))</f>
        <v/>
      </c>
    </row>
    <row r="3938">
      <c r="B3938">
        <f>IFERROR(VLOOKUP(A3938,Cadastro_Produtos!A:B,2,FALSE),"")</f>
        <v/>
      </c>
      <c r="D3938" s="12" t="n"/>
      <c r="E3938" s="13">
        <f>IF(D3938="","",D3938-TODAY())</f>
        <v/>
      </c>
      <c r="F3938">
        <f>IF(D3938="","",IF(E3938&lt;0,"VENCIDO",IF(E3938&lt;=30,"VENCE EM &lt;= 30 DIAS",IF(E3938&lt;=60,"ATENCAO (31-60 DIAS)","OK"))))</f>
        <v/>
      </c>
      <c r="G3938" s="13">
        <f>SUMIFS(Movimentacoes!$G:$G,Movimentacoes!$C:$C,$A3938,Movimentacoes!$E:$E,$C3938,Movimentacoes!$B:$B,"ENTRADA")</f>
        <v/>
      </c>
      <c r="H3938" s="13">
        <f>SUMIFS(Movimentacoes!$G:$G,Movimentacoes!$C:$C,$A3938,Movimentacoes!$E:$E,$C3938,Movimentacoes!$B:$B,"SAIDA_USO")</f>
        <v/>
      </c>
      <c r="I3938" s="13">
        <f>SUMIFS(Movimentacoes!$G:$G,Movimentacoes!$C:$C,$A3938,Movimentacoes!$E:$E,$C3938,Movimentacoes!$B:$B,"SAIDA_DESCARTE")</f>
        <v/>
      </c>
      <c r="J3938" s="13">
        <f>G3938-H3938-I3938</f>
        <v/>
      </c>
      <c r="K3938">
        <f>IF(A3938="","",IF(J3938&lt;=IFERROR(VLOOKUP(A3938,Cadastro_Produtos!$A:$E,5,FALSE),0),"ABAIXO DO MINIMO","OK"))</f>
        <v/>
      </c>
    </row>
    <row r="3939">
      <c r="B3939">
        <f>IFERROR(VLOOKUP(A3939,Cadastro_Produtos!A:B,2,FALSE),"")</f>
        <v/>
      </c>
      <c r="D3939" s="12" t="n"/>
      <c r="E3939" s="13">
        <f>IF(D3939="","",D3939-TODAY())</f>
        <v/>
      </c>
      <c r="F3939">
        <f>IF(D3939="","",IF(E3939&lt;0,"VENCIDO",IF(E3939&lt;=30,"VENCE EM &lt;= 30 DIAS",IF(E3939&lt;=60,"ATENCAO (31-60 DIAS)","OK"))))</f>
        <v/>
      </c>
      <c r="G3939" s="13">
        <f>SUMIFS(Movimentacoes!$G:$G,Movimentacoes!$C:$C,$A3939,Movimentacoes!$E:$E,$C3939,Movimentacoes!$B:$B,"ENTRADA")</f>
        <v/>
      </c>
      <c r="H3939" s="13">
        <f>SUMIFS(Movimentacoes!$G:$G,Movimentacoes!$C:$C,$A3939,Movimentacoes!$E:$E,$C3939,Movimentacoes!$B:$B,"SAIDA_USO")</f>
        <v/>
      </c>
      <c r="I3939" s="13">
        <f>SUMIFS(Movimentacoes!$G:$G,Movimentacoes!$C:$C,$A3939,Movimentacoes!$E:$E,$C3939,Movimentacoes!$B:$B,"SAIDA_DESCARTE")</f>
        <v/>
      </c>
      <c r="J3939" s="13">
        <f>G3939-H3939-I3939</f>
        <v/>
      </c>
      <c r="K3939">
        <f>IF(A3939="","",IF(J3939&lt;=IFERROR(VLOOKUP(A3939,Cadastro_Produtos!$A:$E,5,FALSE),0),"ABAIXO DO MINIMO","OK"))</f>
        <v/>
      </c>
    </row>
    <row r="3940">
      <c r="B3940">
        <f>IFERROR(VLOOKUP(A3940,Cadastro_Produtos!A:B,2,FALSE),"")</f>
        <v/>
      </c>
      <c r="D3940" s="12" t="n"/>
      <c r="E3940" s="13">
        <f>IF(D3940="","",D3940-TODAY())</f>
        <v/>
      </c>
      <c r="F3940">
        <f>IF(D3940="","",IF(E3940&lt;0,"VENCIDO",IF(E3940&lt;=30,"VENCE EM &lt;= 30 DIAS",IF(E3940&lt;=60,"ATENCAO (31-60 DIAS)","OK"))))</f>
        <v/>
      </c>
      <c r="G3940" s="13">
        <f>SUMIFS(Movimentacoes!$G:$G,Movimentacoes!$C:$C,$A3940,Movimentacoes!$E:$E,$C3940,Movimentacoes!$B:$B,"ENTRADA")</f>
        <v/>
      </c>
      <c r="H3940" s="13">
        <f>SUMIFS(Movimentacoes!$G:$G,Movimentacoes!$C:$C,$A3940,Movimentacoes!$E:$E,$C3940,Movimentacoes!$B:$B,"SAIDA_USO")</f>
        <v/>
      </c>
      <c r="I3940" s="13">
        <f>SUMIFS(Movimentacoes!$G:$G,Movimentacoes!$C:$C,$A3940,Movimentacoes!$E:$E,$C3940,Movimentacoes!$B:$B,"SAIDA_DESCARTE")</f>
        <v/>
      </c>
      <c r="J3940" s="13">
        <f>G3940-H3940-I3940</f>
        <v/>
      </c>
      <c r="K3940">
        <f>IF(A3940="","",IF(J3940&lt;=IFERROR(VLOOKUP(A3940,Cadastro_Produtos!$A:$E,5,FALSE),0),"ABAIXO DO MINIMO","OK"))</f>
        <v/>
      </c>
    </row>
    <row r="3941">
      <c r="B3941">
        <f>IFERROR(VLOOKUP(A3941,Cadastro_Produtos!A:B,2,FALSE),"")</f>
        <v/>
      </c>
      <c r="D3941" s="12" t="n"/>
      <c r="E3941" s="13">
        <f>IF(D3941="","",D3941-TODAY())</f>
        <v/>
      </c>
      <c r="F3941">
        <f>IF(D3941="","",IF(E3941&lt;0,"VENCIDO",IF(E3941&lt;=30,"VENCE EM &lt;= 30 DIAS",IF(E3941&lt;=60,"ATENCAO (31-60 DIAS)","OK"))))</f>
        <v/>
      </c>
      <c r="G3941" s="13">
        <f>SUMIFS(Movimentacoes!$G:$G,Movimentacoes!$C:$C,$A3941,Movimentacoes!$E:$E,$C3941,Movimentacoes!$B:$B,"ENTRADA")</f>
        <v/>
      </c>
      <c r="H3941" s="13">
        <f>SUMIFS(Movimentacoes!$G:$G,Movimentacoes!$C:$C,$A3941,Movimentacoes!$E:$E,$C3941,Movimentacoes!$B:$B,"SAIDA_USO")</f>
        <v/>
      </c>
      <c r="I3941" s="13">
        <f>SUMIFS(Movimentacoes!$G:$G,Movimentacoes!$C:$C,$A3941,Movimentacoes!$E:$E,$C3941,Movimentacoes!$B:$B,"SAIDA_DESCARTE")</f>
        <v/>
      </c>
      <c r="J3941" s="13">
        <f>G3941-H3941-I3941</f>
        <v/>
      </c>
      <c r="K3941">
        <f>IF(A3941="","",IF(J3941&lt;=IFERROR(VLOOKUP(A3941,Cadastro_Produtos!$A:$E,5,FALSE),0),"ABAIXO DO MINIMO","OK"))</f>
        <v/>
      </c>
    </row>
    <row r="3942">
      <c r="B3942">
        <f>IFERROR(VLOOKUP(A3942,Cadastro_Produtos!A:B,2,FALSE),"")</f>
        <v/>
      </c>
      <c r="D3942" s="12" t="n"/>
      <c r="E3942" s="13">
        <f>IF(D3942="","",D3942-TODAY())</f>
        <v/>
      </c>
      <c r="F3942">
        <f>IF(D3942="","",IF(E3942&lt;0,"VENCIDO",IF(E3942&lt;=30,"VENCE EM &lt;= 30 DIAS",IF(E3942&lt;=60,"ATENCAO (31-60 DIAS)","OK"))))</f>
        <v/>
      </c>
      <c r="G3942" s="13">
        <f>SUMIFS(Movimentacoes!$G:$G,Movimentacoes!$C:$C,$A3942,Movimentacoes!$E:$E,$C3942,Movimentacoes!$B:$B,"ENTRADA")</f>
        <v/>
      </c>
      <c r="H3942" s="13">
        <f>SUMIFS(Movimentacoes!$G:$G,Movimentacoes!$C:$C,$A3942,Movimentacoes!$E:$E,$C3942,Movimentacoes!$B:$B,"SAIDA_USO")</f>
        <v/>
      </c>
      <c r="I3942" s="13">
        <f>SUMIFS(Movimentacoes!$G:$G,Movimentacoes!$C:$C,$A3942,Movimentacoes!$E:$E,$C3942,Movimentacoes!$B:$B,"SAIDA_DESCARTE")</f>
        <v/>
      </c>
      <c r="J3942" s="13">
        <f>G3942-H3942-I3942</f>
        <v/>
      </c>
      <c r="K3942">
        <f>IF(A3942="","",IF(J3942&lt;=IFERROR(VLOOKUP(A3942,Cadastro_Produtos!$A:$E,5,FALSE),0),"ABAIXO DO MINIMO","OK"))</f>
        <v/>
      </c>
    </row>
    <row r="3943">
      <c r="B3943">
        <f>IFERROR(VLOOKUP(A3943,Cadastro_Produtos!A:B,2,FALSE),"")</f>
        <v/>
      </c>
      <c r="D3943" s="12" t="n"/>
      <c r="E3943" s="13">
        <f>IF(D3943="","",D3943-TODAY())</f>
        <v/>
      </c>
      <c r="F3943">
        <f>IF(D3943="","",IF(E3943&lt;0,"VENCIDO",IF(E3943&lt;=30,"VENCE EM &lt;= 30 DIAS",IF(E3943&lt;=60,"ATENCAO (31-60 DIAS)","OK"))))</f>
        <v/>
      </c>
      <c r="G3943" s="13">
        <f>SUMIFS(Movimentacoes!$G:$G,Movimentacoes!$C:$C,$A3943,Movimentacoes!$E:$E,$C3943,Movimentacoes!$B:$B,"ENTRADA")</f>
        <v/>
      </c>
      <c r="H3943" s="13">
        <f>SUMIFS(Movimentacoes!$G:$G,Movimentacoes!$C:$C,$A3943,Movimentacoes!$E:$E,$C3943,Movimentacoes!$B:$B,"SAIDA_USO")</f>
        <v/>
      </c>
      <c r="I3943" s="13">
        <f>SUMIFS(Movimentacoes!$G:$G,Movimentacoes!$C:$C,$A3943,Movimentacoes!$E:$E,$C3943,Movimentacoes!$B:$B,"SAIDA_DESCARTE")</f>
        <v/>
      </c>
      <c r="J3943" s="13">
        <f>G3943-H3943-I3943</f>
        <v/>
      </c>
      <c r="K3943">
        <f>IF(A3943="","",IF(J3943&lt;=IFERROR(VLOOKUP(A3943,Cadastro_Produtos!$A:$E,5,FALSE),0),"ABAIXO DO MINIMO","OK"))</f>
        <v/>
      </c>
    </row>
    <row r="3944">
      <c r="B3944">
        <f>IFERROR(VLOOKUP(A3944,Cadastro_Produtos!A:B,2,FALSE),"")</f>
        <v/>
      </c>
      <c r="D3944" s="12" t="n"/>
      <c r="E3944" s="13">
        <f>IF(D3944="","",D3944-TODAY())</f>
        <v/>
      </c>
      <c r="F3944">
        <f>IF(D3944="","",IF(E3944&lt;0,"VENCIDO",IF(E3944&lt;=30,"VENCE EM &lt;= 30 DIAS",IF(E3944&lt;=60,"ATENCAO (31-60 DIAS)","OK"))))</f>
        <v/>
      </c>
      <c r="G3944" s="13">
        <f>SUMIFS(Movimentacoes!$G:$G,Movimentacoes!$C:$C,$A3944,Movimentacoes!$E:$E,$C3944,Movimentacoes!$B:$B,"ENTRADA")</f>
        <v/>
      </c>
      <c r="H3944" s="13">
        <f>SUMIFS(Movimentacoes!$G:$G,Movimentacoes!$C:$C,$A3944,Movimentacoes!$E:$E,$C3944,Movimentacoes!$B:$B,"SAIDA_USO")</f>
        <v/>
      </c>
      <c r="I3944" s="13">
        <f>SUMIFS(Movimentacoes!$G:$G,Movimentacoes!$C:$C,$A3944,Movimentacoes!$E:$E,$C3944,Movimentacoes!$B:$B,"SAIDA_DESCARTE")</f>
        <v/>
      </c>
      <c r="J3944" s="13">
        <f>G3944-H3944-I3944</f>
        <v/>
      </c>
      <c r="K3944">
        <f>IF(A3944="","",IF(J3944&lt;=IFERROR(VLOOKUP(A3944,Cadastro_Produtos!$A:$E,5,FALSE),0),"ABAIXO DO MINIMO","OK"))</f>
        <v/>
      </c>
    </row>
    <row r="3945">
      <c r="B3945">
        <f>IFERROR(VLOOKUP(A3945,Cadastro_Produtos!A:B,2,FALSE),"")</f>
        <v/>
      </c>
      <c r="D3945" s="12" t="n"/>
      <c r="E3945" s="13">
        <f>IF(D3945="","",D3945-TODAY())</f>
        <v/>
      </c>
      <c r="F3945">
        <f>IF(D3945="","",IF(E3945&lt;0,"VENCIDO",IF(E3945&lt;=30,"VENCE EM &lt;= 30 DIAS",IF(E3945&lt;=60,"ATENCAO (31-60 DIAS)","OK"))))</f>
        <v/>
      </c>
      <c r="G3945" s="13">
        <f>SUMIFS(Movimentacoes!$G:$G,Movimentacoes!$C:$C,$A3945,Movimentacoes!$E:$E,$C3945,Movimentacoes!$B:$B,"ENTRADA")</f>
        <v/>
      </c>
      <c r="H3945" s="13">
        <f>SUMIFS(Movimentacoes!$G:$G,Movimentacoes!$C:$C,$A3945,Movimentacoes!$E:$E,$C3945,Movimentacoes!$B:$B,"SAIDA_USO")</f>
        <v/>
      </c>
      <c r="I3945" s="13">
        <f>SUMIFS(Movimentacoes!$G:$G,Movimentacoes!$C:$C,$A3945,Movimentacoes!$E:$E,$C3945,Movimentacoes!$B:$B,"SAIDA_DESCARTE")</f>
        <v/>
      </c>
      <c r="J3945" s="13">
        <f>G3945-H3945-I3945</f>
        <v/>
      </c>
      <c r="K3945">
        <f>IF(A3945="","",IF(J3945&lt;=IFERROR(VLOOKUP(A3945,Cadastro_Produtos!$A:$E,5,FALSE),0),"ABAIXO DO MINIMO","OK"))</f>
        <v/>
      </c>
    </row>
    <row r="3946">
      <c r="B3946">
        <f>IFERROR(VLOOKUP(A3946,Cadastro_Produtos!A:B,2,FALSE),"")</f>
        <v/>
      </c>
      <c r="D3946" s="12" t="n"/>
      <c r="E3946" s="13">
        <f>IF(D3946="","",D3946-TODAY())</f>
        <v/>
      </c>
      <c r="F3946">
        <f>IF(D3946="","",IF(E3946&lt;0,"VENCIDO",IF(E3946&lt;=30,"VENCE EM &lt;= 30 DIAS",IF(E3946&lt;=60,"ATENCAO (31-60 DIAS)","OK"))))</f>
        <v/>
      </c>
      <c r="G3946" s="13">
        <f>SUMIFS(Movimentacoes!$G:$G,Movimentacoes!$C:$C,$A3946,Movimentacoes!$E:$E,$C3946,Movimentacoes!$B:$B,"ENTRADA")</f>
        <v/>
      </c>
      <c r="H3946" s="13">
        <f>SUMIFS(Movimentacoes!$G:$G,Movimentacoes!$C:$C,$A3946,Movimentacoes!$E:$E,$C3946,Movimentacoes!$B:$B,"SAIDA_USO")</f>
        <v/>
      </c>
      <c r="I3946" s="13">
        <f>SUMIFS(Movimentacoes!$G:$G,Movimentacoes!$C:$C,$A3946,Movimentacoes!$E:$E,$C3946,Movimentacoes!$B:$B,"SAIDA_DESCARTE")</f>
        <v/>
      </c>
      <c r="J3946" s="13">
        <f>G3946-H3946-I3946</f>
        <v/>
      </c>
      <c r="K3946">
        <f>IF(A3946="","",IF(J3946&lt;=IFERROR(VLOOKUP(A3946,Cadastro_Produtos!$A:$E,5,FALSE),0),"ABAIXO DO MINIMO","OK"))</f>
        <v/>
      </c>
    </row>
    <row r="3947">
      <c r="B3947">
        <f>IFERROR(VLOOKUP(A3947,Cadastro_Produtos!A:B,2,FALSE),"")</f>
        <v/>
      </c>
      <c r="D3947" s="12" t="n"/>
      <c r="E3947" s="13">
        <f>IF(D3947="","",D3947-TODAY())</f>
        <v/>
      </c>
      <c r="F3947">
        <f>IF(D3947="","",IF(E3947&lt;0,"VENCIDO",IF(E3947&lt;=30,"VENCE EM &lt;= 30 DIAS",IF(E3947&lt;=60,"ATENCAO (31-60 DIAS)","OK"))))</f>
        <v/>
      </c>
      <c r="G3947" s="13">
        <f>SUMIFS(Movimentacoes!$G:$G,Movimentacoes!$C:$C,$A3947,Movimentacoes!$E:$E,$C3947,Movimentacoes!$B:$B,"ENTRADA")</f>
        <v/>
      </c>
      <c r="H3947" s="13">
        <f>SUMIFS(Movimentacoes!$G:$G,Movimentacoes!$C:$C,$A3947,Movimentacoes!$E:$E,$C3947,Movimentacoes!$B:$B,"SAIDA_USO")</f>
        <v/>
      </c>
      <c r="I3947" s="13">
        <f>SUMIFS(Movimentacoes!$G:$G,Movimentacoes!$C:$C,$A3947,Movimentacoes!$E:$E,$C3947,Movimentacoes!$B:$B,"SAIDA_DESCARTE")</f>
        <v/>
      </c>
      <c r="J3947" s="13">
        <f>G3947-H3947-I3947</f>
        <v/>
      </c>
      <c r="K3947">
        <f>IF(A3947="","",IF(J3947&lt;=IFERROR(VLOOKUP(A3947,Cadastro_Produtos!$A:$E,5,FALSE),0),"ABAIXO DO MINIMO","OK"))</f>
        <v/>
      </c>
    </row>
    <row r="3948">
      <c r="B3948">
        <f>IFERROR(VLOOKUP(A3948,Cadastro_Produtos!A:B,2,FALSE),"")</f>
        <v/>
      </c>
      <c r="D3948" s="12" t="n"/>
      <c r="E3948" s="13">
        <f>IF(D3948="","",D3948-TODAY())</f>
        <v/>
      </c>
      <c r="F3948">
        <f>IF(D3948="","",IF(E3948&lt;0,"VENCIDO",IF(E3948&lt;=30,"VENCE EM &lt;= 30 DIAS",IF(E3948&lt;=60,"ATENCAO (31-60 DIAS)","OK"))))</f>
        <v/>
      </c>
      <c r="G3948" s="13">
        <f>SUMIFS(Movimentacoes!$G:$G,Movimentacoes!$C:$C,$A3948,Movimentacoes!$E:$E,$C3948,Movimentacoes!$B:$B,"ENTRADA")</f>
        <v/>
      </c>
      <c r="H3948" s="13">
        <f>SUMIFS(Movimentacoes!$G:$G,Movimentacoes!$C:$C,$A3948,Movimentacoes!$E:$E,$C3948,Movimentacoes!$B:$B,"SAIDA_USO")</f>
        <v/>
      </c>
      <c r="I3948" s="13">
        <f>SUMIFS(Movimentacoes!$G:$G,Movimentacoes!$C:$C,$A3948,Movimentacoes!$E:$E,$C3948,Movimentacoes!$B:$B,"SAIDA_DESCARTE")</f>
        <v/>
      </c>
      <c r="J3948" s="13">
        <f>G3948-H3948-I3948</f>
        <v/>
      </c>
      <c r="K3948">
        <f>IF(A3948="","",IF(J3948&lt;=IFERROR(VLOOKUP(A3948,Cadastro_Produtos!$A:$E,5,FALSE),0),"ABAIXO DO MINIMO","OK"))</f>
        <v/>
      </c>
    </row>
    <row r="3949">
      <c r="B3949">
        <f>IFERROR(VLOOKUP(A3949,Cadastro_Produtos!A:B,2,FALSE),"")</f>
        <v/>
      </c>
      <c r="D3949" s="12" t="n"/>
      <c r="E3949" s="13">
        <f>IF(D3949="","",D3949-TODAY())</f>
        <v/>
      </c>
      <c r="F3949">
        <f>IF(D3949="","",IF(E3949&lt;0,"VENCIDO",IF(E3949&lt;=30,"VENCE EM &lt;= 30 DIAS",IF(E3949&lt;=60,"ATENCAO (31-60 DIAS)","OK"))))</f>
        <v/>
      </c>
      <c r="G3949" s="13">
        <f>SUMIFS(Movimentacoes!$G:$G,Movimentacoes!$C:$C,$A3949,Movimentacoes!$E:$E,$C3949,Movimentacoes!$B:$B,"ENTRADA")</f>
        <v/>
      </c>
      <c r="H3949" s="13">
        <f>SUMIFS(Movimentacoes!$G:$G,Movimentacoes!$C:$C,$A3949,Movimentacoes!$E:$E,$C3949,Movimentacoes!$B:$B,"SAIDA_USO")</f>
        <v/>
      </c>
      <c r="I3949" s="13">
        <f>SUMIFS(Movimentacoes!$G:$G,Movimentacoes!$C:$C,$A3949,Movimentacoes!$E:$E,$C3949,Movimentacoes!$B:$B,"SAIDA_DESCARTE")</f>
        <v/>
      </c>
      <c r="J3949" s="13">
        <f>G3949-H3949-I3949</f>
        <v/>
      </c>
      <c r="K3949">
        <f>IF(A3949="","",IF(J3949&lt;=IFERROR(VLOOKUP(A3949,Cadastro_Produtos!$A:$E,5,FALSE),0),"ABAIXO DO MINIMO","OK"))</f>
        <v/>
      </c>
    </row>
    <row r="3950">
      <c r="B3950">
        <f>IFERROR(VLOOKUP(A3950,Cadastro_Produtos!A:B,2,FALSE),"")</f>
        <v/>
      </c>
      <c r="D3950" s="12" t="n"/>
      <c r="E3950" s="13">
        <f>IF(D3950="","",D3950-TODAY())</f>
        <v/>
      </c>
      <c r="F3950">
        <f>IF(D3950="","",IF(E3950&lt;0,"VENCIDO",IF(E3950&lt;=30,"VENCE EM &lt;= 30 DIAS",IF(E3950&lt;=60,"ATENCAO (31-60 DIAS)","OK"))))</f>
        <v/>
      </c>
      <c r="G3950" s="13">
        <f>SUMIFS(Movimentacoes!$G:$G,Movimentacoes!$C:$C,$A3950,Movimentacoes!$E:$E,$C3950,Movimentacoes!$B:$B,"ENTRADA")</f>
        <v/>
      </c>
      <c r="H3950" s="13">
        <f>SUMIFS(Movimentacoes!$G:$G,Movimentacoes!$C:$C,$A3950,Movimentacoes!$E:$E,$C3950,Movimentacoes!$B:$B,"SAIDA_USO")</f>
        <v/>
      </c>
      <c r="I3950" s="13">
        <f>SUMIFS(Movimentacoes!$G:$G,Movimentacoes!$C:$C,$A3950,Movimentacoes!$E:$E,$C3950,Movimentacoes!$B:$B,"SAIDA_DESCARTE")</f>
        <v/>
      </c>
      <c r="J3950" s="13">
        <f>G3950-H3950-I3950</f>
        <v/>
      </c>
      <c r="K3950">
        <f>IF(A3950="","",IF(J3950&lt;=IFERROR(VLOOKUP(A3950,Cadastro_Produtos!$A:$E,5,FALSE),0),"ABAIXO DO MINIMO","OK"))</f>
        <v/>
      </c>
    </row>
    <row r="3951">
      <c r="B3951">
        <f>IFERROR(VLOOKUP(A3951,Cadastro_Produtos!A:B,2,FALSE),"")</f>
        <v/>
      </c>
      <c r="D3951" s="12" t="n"/>
      <c r="E3951" s="13">
        <f>IF(D3951="","",D3951-TODAY())</f>
        <v/>
      </c>
      <c r="F3951">
        <f>IF(D3951="","",IF(E3951&lt;0,"VENCIDO",IF(E3951&lt;=30,"VENCE EM &lt;= 30 DIAS",IF(E3951&lt;=60,"ATENCAO (31-60 DIAS)","OK"))))</f>
        <v/>
      </c>
      <c r="G3951" s="13">
        <f>SUMIFS(Movimentacoes!$G:$G,Movimentacoes!$C:$C,$A3951,Movimentacoes!$E:$E,$C3951,Movimentacoes!$B:$B,"ENTRADA")</f>
        <v/>
      </c>
      <c r="H3951" s="13">
        <f>SUMIFS(Movimentacoes!$G:$G,Movimentacoes!$C:$C,$A3951,Movimentacoes!$E:$E,$C3951,Movimentacoes!$B:$B,"SAIDA_USO")</f>
        <v/>
      </c>
      <c r="I3951" s="13">
        <f>SUMIFS(Movimentacoes!$G:$G,Movimentacoes!$C:$C,$A3951,Movimentacoes!$E:$E,$C3951,Movimentacoes!$B:$B,"SAIDA_DESCARTE")</f>
        <v/>
      </c>
      <c r="J3951" s="13">
        <f>G3951-H3951-I3951</f>
        <v/>
      </c>
      <c r="K3951">
        <f>IF(A3951="","",IF(J3951&lt;=IFERROR(VLOOKUP(A3951,Cadastro_Produtos!$A:$E,5,FALSE),0),"ABAIXO DO MINIMO","OK"))</f>
        <v/>
      </c>
    </row>
    <row r="3952">
      <c r="B3952">
        <f>IFERROR(VLOOKUP(A3952,Cadastro_Produtos!A:B,2,FALSE),"")</f>
        <v/>
      </c>
      <c r="D3952" s="12" t="n"/>
      <c r="E3952" s="13">
        <f>IF(D3952="","",D3952-TODAY())</f>
        <v/>
      </c>
      <c r="F3952">
        <f>IF(D3952="","",IF(E3952&lt;0,"VENCIDO",IF(E3952&lt;=30,"VENCE EM &lt;= 30 DIAS",IF(E3952&lt;=60,"ATENCAO (31-60 DIAS)","OK"))))</f>
        <v/>
      </c>
      <c r="G3952" s="13">
        <f>SUMIFS(Movimentacoes!$G:$G,Movimentacoes!$C:$C,$A3952,Movimentacoes!$E:$E,$C3952,Movimentacoes!$B:$B,"ENTRADA")</f>
        <v/>
      </c>
      <c r="H3952" s="13">
        <f>SUMIFS(Movimentacoes!$G:$G,Movimentacoes!$C:$C,$A3952,Movimentacoes!$E:$E,$C3952,Movimentacoes!$B:$B,"SAIDA_USO")</f>
        <v/>
      </c>
      <c r="I3952" s="13">
        <f>SUMIFS(Movimentacoes!$G:$G,Movimentacoes!$C:$C,$A3952,Movimentacoes!$E:$E,$C3952,Movimentacoes!$B:$B,"SAIDA_DESCARTE")</f>
        <v/>
      </c>
      <c r="J3952" s="13">
        <f>G3952-H3952-I3952</f>
        <v/>
      </c>
      <c r="K3952">
        <f>IF(A3952="","",IF(J3952&lt;=IFERROR(VLOOKUP(A3952,Cadastro_Produtos!$A:$E,5,FALSE),0),"ABAIXO DO MINIMO","OK"))</f>
        <v/>
      </c>
    </row>
    <row r="3953">
      <c r="B3953">
        <f>IFERROR(VLOOKUP(A3953,Cadastro_Produtos!A:B,2,FALSE),"")</f>
        <v/>
      </c>
      <c r="D3953" s="12" t="n"/>
      <c r="E3953" s="13">
        <f>IF(D3953="","",D3953-TODAY())</f>
        <v/>
      </c>
      <c r="F3953">
        <f>IF(D3953="","",IF(E3953&lt;0,"VENCIDO",IF(E3953&lt;=30,"VENCE EM &lt;= 30 DIAS",IF(E3953&lt;=60,"ATENCAO (31-60 DIAS)","OK"))))</f>
        <v/>
      </c>
      <c r="G3953" s="13">
        <f>SUMIFS(Movimentacoes!$G:$G,Movimentacoes!$C:$C,$A3953,Movimentacoes!$E:$E,$C3953,Movimentacoes!$B:$B,"ENTRADA")</f>
        <v/>
      </c>
      <c r="H3953" s="13">
        <f>SUMIFS(Movimentacoes!$G:$G,Movimentacoes!$C:$C,$A3953,Movimentacoes!$E:$E,$C3953,Movimentacoes!$B:$B,"SAIDA_USO")</f>
        <v/>
      </c>
      <c r="I3953" s="13">
        <f>SUMIFS(Movimentacoes!$G:$G,Movimentacoes!$C:$C,$A3953,Movimentacoes!$E:$E,$C3953,Movimentacoes!$B:$B,"SAIDA_DESCARTE")</f>
        <v/>
      </c>
      <c r="J3953" s="13">
        <f>G3953-H3953-I3953</f>
        <v/>
      </c>
      <c r="K3953">
        <f>IF(A3953="","",IF(J3953&lt;=IFERROR(VLOOKUP(A3953,Cadastro_Produtos!$A:$E,5,FALSE),0),"ABAIXO DO MINIMO","OK"))</f>
        <v/>
      </c>
    </row>
    <row r="3954">
      <c r="B3954">
        <f>IFERROR(VLOOKUP(A3954,Cadastro_Produtos!A:B,2,FALSE),"")</f>
        <v/>
      </c>
      <c r="D3954" s="12" t="n"/>
      <c r="E3954" s="13">
        <f>IF(D3954="","",D3954-TODAY())</f>
        <v/>
      </c>
      <c r="F3954">
        <f>IF(D3954="","",IF(E3954&lt;0,"VENCIDO",IF(E3954&lt;=30,"VENCE EM &lt;= 30 DIAS",IF(E3954&lt;=60,"ATENCAO (31-60 DIAS)","OK"))))</f>
        <v/>
      </c>
      <c r="G3954" s="13">
        <f>SUMIFS(Movimentacoes!$G:$G,Movimentacoes!$C:$C,$A3954,Movimentacoes!$E:$E,$C3954,Movimentacoes!$B:$B,"ENTRADA")</f>
        <v/>
      </c>
      <c r="H3954" s="13">
        <f>SUMIFS(Movimentacoes!$G:$G,Movimentacoes!$C:$C,$A3954,Movimentacoes!$E:$E,$C3954,Movimentacoes!$B:$B,"SAIDA_USO")</f>
        <v/>
      </c>
      <c r="I3954" s="13">
        <f>SUMIFS(Movimentacoes!$G:$G,Movimentacoes!$C:$C,$A3954,Movimentacoes!$E:$E,$C3954,Movimentacoes!$B:$B,"SAIDA_DESCARTE")</f>
        <v/>
      </c>
      <c r="J3954" s="13">
        <f>G3954-H3954-I3954</f>
        <v/>
      </c>
      <c r="K3954">
        <f>IF(A3954="","",IF(J3954&lt;=IFERROR(VLOOKUP(A3954,Cadastro_Produtos!$A:$E,5,FALSE),0),"ABAIXO DO MINIMO","OK"))</f>
        <v/>
      </c>
    </row>
    <row r="3955">
      <c r="B3955">
        <f>IFERROR(VLOOKUP(A3955,Cadastro_Produtos!A:B,2,FALSE),"")</f>
        <v/>
      </c>
      <c r="D3955" s="12" t="n"/>
      <c r="E3955" s="13">
        <f>IF(D3955="","",D3955-TODAY())</f>
        <v/>
      </c>
      <c r="F3955">
        <f>IF(D3955="","",IF(E3955&lt;0,"VENCIDO",IF(E3955&lt;=30,"VENCE EM &lt;= 30 DIAS",IF(E3955&lt;=60,"ATENCAO (31-60 DIAS)","OK"))))</f>
        <v/>
      </c>
      <c r="G3955" s="13">
        <f>SUMIFS(Movimentacoes!$G:$G,Movimentacoes!$C:$C,$A3955,Movimentacoes!$E:$E,$C3955,Movimentacoes!$B:$B,"ENTRADA")</f>
        <v/>
      </c>
      <c r="H3955" s="13">
        <f>SUMIFS(Movimentacoes!$G:$G,Movimentacoes!$C:$C,$A3955,Movimentacoes!$E:$E,$C3955,Movimentacoes!$B:$B,"SAIDA_USO")</f>
        <v/>
      </c>
      <c r="I3955" s="13">
        <f>SUMIFS(Movimentacoes!$G:$G,Movimentacoes!$C:$C,$A3955,Movimentacoes!$E:$E,$C3955,Movimentacoes!$B:$B,"SAIDA_DESCARTE")</f>
        <v/>
      </c>
      <c r="J3955" s="13">
        <f>G3955-H3955-I3955</f>
        <v/>
      </c>
      <c r="K3955">
        <f>IF(A3955="","",IF(J3955&lt;=IFERROR(VLOOKUP(A3955,Cadastro_Produtos!$A:$E,5,FALSE),0),"ABAIXO DO MINIMO","OK"))</f>
        <v/>
      </c>
    </row>
    <row r="3956">
      <c r="B3956">
        <f>IFERROR(VLOOKUP(A3956,Cadastro_Produtos!A:B,2,FALSE),"")</f>
        <v/>
      </c>
      <c r="D3956" s="12" t="n"/>
      <c r="E3956" s="13">
        <f>IF(D3956="","",D3956-TODAY())</f>
        <v/>
      </c>
      <c r="F3956">
        <f>IF(D3956="","",IF(E3956&lt;0,"VENCIDO",IF(E3956&lt;=30,"VENCE EM &lt;= 30 DIAS",IF(E3956&lt;=60,"ATENCAO (31-60 DIAS)","OK"))))</f>
        <v/>
      </c>
      <c r="G3956" s="13">
        <f>SUMIFS(Movimentacoes!$G:$G,Movimentacoes!$C:$C,$A3956,Movimentacoes!$E:$E,$C3956,Movimentacoes!$B:$B,"ENTRADA")</f>
        <v/>
      </c>
      <c r="H3956" s="13">
        <f>SUMIFS(Movimentacoes!$G:$G,Movimentacoes!$C:$C,$A3956,Movimentacoes!$E:$E,$C3956,Movimentacoes!$B:$B,"SAIDA_USO")</f>
        <v/>
      </c>
      <c r="I3956" s="13">
        <f>SUMIFS(Movimentacoes!$G:$G,Movimentacoes!$C:$C,$A3956,Movimentacoes!$E:$E,$C3956,Movimentacoes!$B:$B,"SAIDA_DESCARTE")</f>
        <v/>
      </c>
      <c r="J3956" s="13">
        <f>G3956-H3956-I3956</f>
        <v/>
      </c>
      <c r="K3956">
        <f>IF(A3956="","",IF(J3956&lt;=IFERROR(VLOOKUP(A3956,Cadastro_Produtos!$A:$E,5,FALSE),0),"ABAIXO DO MINIMO","OK"))</f>
        <v/>
      </c>
    </row>
    <row r="3957">
      <c r="B3957">
        <f>IFERROR(VLOOKUP(A3957,Cadastro_Produtos!A:B,2,FALSE),"")</f>
        <v/>
      </c>
      <c r="D3957" s="12" t="n"/>
      <c r="E3957" s="13">
        <f>IF(D3957="","",D3957-TODAY())</f>
        <v/>
      </c>
      <c r="F3957">
        <f>IF(D3957="","",IF(E3957&lt;0,"VENCIDO",IF(E3957&lt;=30,"VENCE EM &lt;= 30 DIAS",IF(E3957&lt;=60,"ATENCAO (31-60 DIAS)","OK"))))</f>
        <v/>
      </c>
      <c r="G3957" s="13">
        <f>SUMIFS(Movimentacoes!$G:$G,Movimentacoes!$C:$C,$A3957,Movimentacoes!$E:$E,$C3957,Movimentacoes!$B:$B,"ENTRADA")</f>
        <v/>
      </c>
      <c r="H3957" s="13">
        <f>SUMIFS(Movimentacoes!$G:$G,Movimentacoes!$C:$C,$A3957,Movimentacoes!$E:$E,$C3957,Movimentacoes!$B:$B,"SAIDA_USO")</f>
        <v/>
      </c>
      <c r="I3957" s="13">
        <f>SUMIFS(Movimentacoes!$G:$G,Movimentacoes!$C:$C,$A3957,Movimentacoes!$E:$E,$C3957,Movimentacoes!$B:$B,"SAIDA_DESCARTE")</f>
        <v/>
      </c>
      <c r="J3957" s="13">
        <f>G3957-H3957-I3957</f>
        <v/>
      </c>
      <c r="K3957">
        <f>IF(A3957="","",IF(J3957&lt;=IFERROR(VLOOKUP(A3957,Cadastro_Produtos!$A:$E,5,FALSE),0),"ABAIXO DO MINIMO","OK"))</f>
        <v/>
      </c>
    </row>
    <row r="3958">
      <c r="B3958">
        <f>IFERROR(VLOOKUP(A3958,Cadastro_Produtos!A:B,2,FALSE),"")</f>
        <v/>
      </c>
      <c r="D3958" s="12" t="n"/>
      <c r="E3958" s="13">
        <f>IF(D3958="","",D3958-TODAY())</f>
        <v/>
      </c>
      <c r="F3958">
        <f>IF(D3958="","",IF(E3958&lt;0,"VENCIDO",IF(E3958&lt;=30,"VENCE EM &lt;= 30 DIAS",IF(E3958&lt;=60,"ATENCAO (31-60 DIAS)","OK"))))</f>
        <v/>
      </c>
      <c r="G3958" s="13">
        <f>SUMIFS(Movimentacoes!$G:$G,Movimentacoes!$C:$C,$A3958,Movimentacoes!$E:$E,$C3958,Movimentacoes!$B:$B,"ENTRADA")</f>
        <v/>
      </c>
      <c r="H3958" s="13">
        <f>SUMIFS(Movimentacoes!$G:$G,Movimentacoes!$C:$C,$A3958,Movimentacoes!$E:$E,$C3958,Movimentacoes!$B:$B,"SAIDA_USO")</f>
        <v/>
      </c>
      <c r="I3958" s="13">
        <f>SUMIFS(Movimentacoes!$G:$G,Movimentacoes!$C:$C,$A3958,Movimentacoes!$E:$E,$C3958,Movimentacoes!$B:$B,"SAIDA_DESCARTE")</f>
        <v/>
      </c>
      <c r="J3958" s="13">
        <f>G3958-H3958-I3958</f>
        <v/>
      </c>
      <c r="K3958">
        <f>IF(A3958="","",IF(J3958&lt;=IFERROR(VLOOKUP(A3958,Cadastro_Produtos!$A:$E,5,FALSE),0),"ABAIXO DO MINIMO","OK"))</f>
        <v/>
      </c>
    </row>
    <row r="3959">
      <c r="B3959">
        <f>IFERROR(VLOOKUP(A3959,Cadastro_Produtos!A:B,2,FALSE),"")</f>
        <v/>
      </c>
      <c r="D3959" s="12" t="n"/>
      <c r="E3959" s="13">
        <f>IF(D3959="","",D3959-TODAY())</f>
        <v/>
      </c>
      <c r="F3959">
        <f>IF(D3959="","",IF(E3959&lt;0,"VENCIDO",IF(E3959&lt;=30,"VENCE EM &lt;= 30 DIAS",IF(E3959&lt;=60,"ATENCAO (31-60 DIAS)","OK"))))</f>
        <v/>
      </c>
      <c r="G3959" s="13">
        <f>SUMIFS(Movimentacoes!$G:$G,Movimentacoes!$C:$C,$A3959,Movimentacoes!$E:$E,$C3959,Movimentacoes!$B:$B,"ENTRADA")</f>
        <v/>
      </c>
      <c r="H3959" s="13">
        <f>SUMIFS(Movimentacoes!$G:$G,Movimentacoes!$C:$C,$A3959,Movimentacoes!$E:$E,$C3959,Movimentacoes!$B:$B,"SAIDA_USO")</f>
        <v/>
      </c>
      <c r="I3959" s="13">
        <f>SUMIFS(Movimentacoes!$G:$G,Movimentacoes!$C:$C,$A3959,Movimentacoes!$E:$E,$C3959,Movimentacoes!$B:$B,"SAIDA_DESCARTE")</f>
        <v/>
      </c>
      <c r="J3959" s="13">
        <f>G3959-H3959-I3959</f>
        <v/>
      </c>
      <c r="K3959">
        <f>IF(A3959="","",IF(J3959&lt;=IFERROR(VLOOKUP(A3959,Cadastro_Produtos!$A:$E,5,FALSE),0),"ABAIXO DO MINIMO","OK"))</f>
        <v/>
      </c>
    </row>
    <row r="3960">
      <c r="B3960">
        <f>IFERROR(VLOOKUP(A3960,Cadastro_Produtos!A:B,2,FALSE),"")</f>
        <v/>
      </c>
      <c r="D3960" s="12" t="n"/>
      <c r="E3960" s="13">
        <f>IF(D3960="","",D3960-TODAY())</f>
        <v/>
      </c>
      <c r="F3960">
        <f>IF(D3960="","",IF(E3960&lt;0,"VENCIDO",IF(E3960&lt;=30,"VENCE EM &lt;= 30 DIAS",IF(E3960&lt;=60,"ATENCAO (31-60 DIAS)","OK"))))</f>
        <v/>
      </c>
      <c r="G3960" s="13">
        <f>SUMIFS(Movimentacoes!$G:$G,Movimentacoes!$C:$C,$A3960,Movimentacoes!$E:$E,$C3960,Movimentacoes!$B:$B,"ENTRADA")</f>
        <v/>
      </c>
      <c r="H3960" s="13">
        <f>SUMIFS(Movimentacoes!$G:$G,Movimentacoes!$C:$C,$A3960,Movimentacoes!$E:$E,$C3960,Movimentacoes!$B:$B,"SAIDA_USO")</f>
        <v/>
      </c>
      <c r="I3960" s="13">
        <f>SUMIFS(Movimentacoes!$G:$G,Movimentacoes!$C:$C,$A3960,Movimentacoes!$E:$E,$C3960,Movimentacoes!$B:$B,"SAIDA_DESCARTE")</f>
        <v/>
      </c>
      <c r="J3960" s="13">
        <f>G3960-H3960-I3960</f>
        <v/>
      </c>
      <c r="K3960">
        <f>IF(A3960="","",IF(J3960&lt;=IFERROR(VLOOKUP(A3960,Cadastro_Produtos!$A:$E,5,FALSE),0),"ABAIXO DO MINIMO","OK"))</f>
        <v/>
      </c>
    </row>
    <row r="3961">
      <c r="B3961">
        <f>IFERROR(VLOOKUP(A3961,Cadastro_Produtos!A:B,2,FALSE),"")</f>
        <v/>
      </c>
      <c r="D3961" s="12" t="n"/>
      <c r="E3961" s="13">
        <f>IF(D3961="","",D3961-TODAY())</f>
        <v/>
      </c>
      <c r="F3961">
        <f>IF(D3961="","",IF(E3961&lt;0,"VENCIDO",IF(E3961&lt;=30,"VENCE EM &lt;= 30 DIAS",IF(E3961&lt;=60,"ATENCAO (31-60 DIAS)","OK"))))</f>
        <v/>
      </c>
      <c r="G3961" s="13">
        <f>SUMIFS(Movimentacoes!$G:$G,Movimentacoes!$C:$C,$A3961,Movimentacoes!$E:$E,$C3961,Movimentacoes!$B:$B,"ENTRADA")</f>
        <v/>
      </c>
      <c r="H3961" s="13">
        <f>SUMIFS(Movimentacoes!$G:$G,Movimentacoes!$C:$C,$A3961,Movimentacoes!$E:$E,$C3961,Movimentacoes!$B:$B,"SAIDA_USO")</f>
        <v/>
      </c>
      <c r="I3961" s="13">
        <f>SUMIFS(Movimentacoes!$G:$G,Movimentacoes!$C:$C,$A3961,Movimentacoes!$E:$E,$C3961,Movimentacoes!$B:$B,"SAIDA_DESCARTE")</f>
        <v/>
      </c>
      <c r="J3961" s="13">
        <f>G3961-H3961-I3961</f>
        <v/>
      </c>
      <c r="K3961">
        <f>IF(A3961="","",IF(J3961&lt;=IFERROR(VLOOKUP(A3961,Cadastro_Produtos!$A:$E,5,FALSE),0),"ABAIXO DO MINIMO","OK"))</f>
        <v/>
      </c>
    </row>
    <row r="3962">
      <c r="B3962">
        <f>IFERROR(VLOOKUP(A3962,Cadastro_Produtos!A:B,2,FALSE),"")</f>
        <v/>
      </c>
      <c r="D3962" s="12" t="n"/>
      <c r="E3962" s="13">
        <f>IF(D3962="","",D3962-TODAY())</f>
        <v/>
      </c>
      <c r="F3962">
        <f>IF(D3962="","",IF(E3962&lt;0,"VENCIDO",IF(E3962&lt;=30,"VENCE EM &lt;= 30 DIAS",IF(E3962&lt;=60,"ATENCAO (31-60 DIAS)","OK"))))</f>
        <v/>
      </c>
      <c r="G3962" s="13">
        <f>SUMIFS(Movimentacoes!$G:$G,Movimentacoes!$C:$C,$A3962,Movimentacoes!$E:$E,$C3962,Movimentacoes!$B:$B,"ENTRADA")</f>
        <v/>
      </c>
      <c r="H3962" s="13">
        <f>SUMIFS(Movimentacoes!$G:$G,Movimentacoes!$C:$C,$A3962,Movimentacoes!$E:$E,$C3962,Movimentacoes!$B:$B,"SAIDA_USO")</f>
        <v/>
      </c>
      <c r="I3962" s="13">
        <f>SUMIFS(Movimentacoes!$G:$G,Movimentacoes!$C:$C,$A3962,Movimentacoes!$E:$E,$C3962,Movimentacoes!$B:$B,"SAIDA_DESCARTE")</f>
        <v/>
      </c>
      <c r="J3962" s="13">
        <f>G3962-H3962-I3962</f>
        <v/>
      </c>
      <c r="K3962">
        <f>IF(A3962="","",IF(J3962&lt;=IFERROR(VLOOKUP(A3962,Cadastro_Produtos!$A:$E,5,FALSE),0),"ABAIXO DO MINIMO","OK"))</f>
        <v/>
      </c>
    </row>
    <row r="3963">
      <c r="B3963">
        <f>IFERROR(VLOOKUP(A3963,Cadastro_Produtos!A:B,2,FALSE),"")</f>
        <v/>
      </c>
      <c r="D3963" s="12" t="n"/>
      <c r="E3963" s="13">
        <f>IF(D3963="","",D3963-TODAY())</f>
        <v/>
      </c>
      <c r="F3963">
        <f>IF(D3963="","",IF(E3963&lt;0,"VENCIDO",IF(E3963&lt;=30,"VENCE EM &lt;= 30 DIAS",IF(E3963&lt;=60,"ATENCAO (31-60 DIAS)","OK"))))</f>
        <v/>
      </c>
      <c r="G3963" s="13">
        <f>SUMIFS(Movimentacoes!$G:$G,Movimentacoes!$C:$C,$A3963,Movimentacoes!$E:$E,$C3963,Movimentacoes!$B:$B,"ENTRADA")</f>
        <v/>
      </c>
      <c r="H3963" s="13">
        <f>SUMIFS(Movimentacoes!$G:$G,Movimentacoes!$C:$C,$A3963,Movimentacoes!$E:$E,$C3963,Movimentacoes!$B:$B,"SAIDA_USO")</f>
        <v/>
      </c>
      <c r="I3963" s="13">
        <f>SUMIFS(Movimentacoes!$G:$G,Movimentacoes!$C:$C,$A3963,Movimentacoes!$E:$E,$C3963,Movimentacoes!$B:$B,"SAIDA_DESCARTE")</f>
        <v/>
      </c>
      <c r="J3963" s="13">
        <f>G3963-H3963-I3963</f>
        <v/>
      </c>
      <c r="K3963">
        <f>IF(A3963="","",IF(J3963&lt;=IFERROR(VLOOKUP(A3963,Cadastro_Produtos!$A:$E,5,FALSE),0),"ABAIXO DO MINIMO","OK"))</f>
        <v/>
      </c>
    </row>
    <row r="3964">
      <c r="B3964">
        <f>IFERROR(VLOOKUP(A3964,Cadastro_Produtos!A:B,2,FALSE),"")</f>
        <v/>
      </c>
      <c r="D3964" s="12" t="n"/>
      <c r="E3964" s="13">
        <f>IF(D3964="","",D3964-TODAY())</f>
        <v/>
      </c>
      <c r="F3964">
        <f>IF(D3964="","",IF(E3964&lt;0,"VENCIDO",IF(E3964&lt;=30,"VENCE EM &lt;= 30 DIAS",IF(E3964&lt;=60,"ATENCAO (31-60 DIAS)","OK"))))</f>
        <v/>
      </c>
      <c r="G3964" s="13">
        <f>SUMIFS(Movimentacoes!$G:$G,Movimentacoes!$C:$C,$A3964,Movimentacoes!$E:$E,$C3964,Movimentacoes!$B:$B,"ENTRADA")</f>
        <v/>
      </c>
      <c r="H3964" s="13">
        <f>SUMIFS(Movimentacoes!$G:$G,Movimentacoes!$C:$C,$A3964,Movimentacoes!$E:$E,$C3964,Movimentacoes!$B:$B,"SAIDA_USO")</f>
        <v/>
      </c>
      <c r="I3964" s="13">
        <f>SUMIFS(Movimentacoes!$G:$G,Movimentacoes!$C:$C,$A3964,Movimentacoes!$E:$E,$C3964,Movimentacoes!$B:$B,"SAIDA_DESCARTE")</f>
        <v/>
      </c>
      <c r="J3964" s="13">
        <f>G3964-H3964-I3964</f>
        <v/>
      </c>
      <c r="K3964">
        <f>IF(A3964="","",IF(J3964&lt;=IFERROR(VLOOKUP(A3964,Cadastro_Produtos!$A:$E,5,FALSE),0),"ABAIXO DO MINIMO","OK"))</f>
        <v/>
      </c>
    </row>
    <row r="3965">
      <c r="B3965">
        <f>IFERROR(VLOOKUP(A3965,Cadastro_Produtos!A:B,2,FALSE),"")</f>
        <v/>
      </c>
      <c r="D3965" s="12" t="n"/>
      <c r="E3965" s="13">
        <f>IF(D3965="","",D3965-TODAY())</f>
        <v/>
      </c>
      <c r="F3965">
        <f>IF(D3965="","",IF(E3965&lt;0,"VENCIDO",IF(E3965&lt;=30,"VENCE EM &lt;= 30 DIAS",IF(E3965&lt;=60,"ATENCAO (31-60 DIAS)","OK"))))</f>
        <v/>
      </c>
      <c r="G3965" s="13">
        <f>SUMIFS(Movimentacoes!$G:$G,Movimentacoes!$C:$C,$A3965,Movimentacoes!$E:$E,$C3965,Movimentacoes!$B:$B,"ENTRADA")</f>
        <v/>
      </c>
      <c r="H3965" s="13">
        <f>SUMIFS(Movimentacoes!$G:$G,Movimentacoes!$C:$C,$A3965,Movimentacoes!$E:$E,$C3965,Movimentacoes!$B:$B,"SAIDA_USO")</f>
        <v/>
      </c>
      <c r="I3965" s="13">
        <f>SUMIFS(Movimentacoes!$G:$G,Movimentacoes!$C:$C,$A3965,Movimentacoes!$E:$E,$C3965,Movimentacoes!$B:$B,"SAIDA_DESCARTE")</f>
        <v/>
      </c>
      <c r="J3965" s="13">
        <f>G3965-H3965-I3965</f>
        <v/>
      </c>
      <c r="K3965">
        <f>IF(A3965="","",IF(J3965&lt;=IFERROR(VLOOKUP(A3965,Cadastro_Produtos!$A:$E,5,FALSE),0),"ABAIXO DO MINIMO","OK"))</f>
        <v/>
      </c>
    </row>
    <row r="3966">
      <c r="B3966">
        <f>IFERROR(VLOOKUP(A3966,Cadastro_Produtos!A:B,2,FALSE),"")</f>
        <v/>
      </c>
      <c r="D3966" s="12" t="n"/>
      <c r="E3966" s="13">
        <f>IF(D3966="","",D3966-TODAY())</f>
        <v/>
      </c>
      <c r="F3966">
        <f>IF(D3966="","",IF(E3966&lt;0,"VENCIDO",IF(E3966&lt;=30,"VENCE EM &lt;= 30 DIAS",IF(E3966&lt;=60,"ATENCAO (31-60 DIAS)","OK"))))</f>
        <v/>
      </c>
      <c r="G3966" s="13">
        <f>SUMIFS(Movimentacoes!$G:$G,Movimentacoes!$C:$C,$A3966,Movimentacoes!$E:$E,$C3966,Movimentacoes!$B:$B,"ENTRADA")</f>
        <v/>
      </c>
      <c r="H3966" s="13">
        <f>SUMIFS(Movimentacoes!$G:$G,Movimentacoes!$C:$C,$A3966,Movimentacoes!$E:$E,$C3966,Movimentacoes!$B:$B,"SAIDA_USO")</f>
        <v/>
      </c>
      <c r="I3966" s="13">
        <f>SUMIFS(Movimentacoes!$G:$G,Movimentacoes!$C:$C,$A3966,Movimentacoes!$E:$E,$C3966,Movimentacoes!$B:$B,"SAIDA_DESCARTE")</f>
        <v/>
      </c>
      <c r="J3966" s="13">
        <f>G3966-H3966-I3966</f>
        <v/>
      </c>
      <c r="K3966">
        <f>IF(A3966="","",IF(J3966&lt;=IFERROR(VLOOKUP(A3966,Cadastro_Produtos!$A:$E,5,FALSE),0),"ABAIXO DO MINIMO","OK"))</f>
        <v/>
      </c>
    </row>
    <row r="3967">
      <c r="B3967">
        <f>IFERROR(VLOOKUP(A3967,Cadastro_Produtos!A:B,2,FALSE),"")</f>
        <v/>
      </c>
      <c r="D3967" s="12" t="n"/>
      <c r="E3967" s="13">
        <f>IF(D3967="","",D3967-TODAY())</f>
        <v/>
      </c>
      <c r="F3967">
        <f>IF(D3967="","",IF(E3967&lt;0,"VENCIDO",IF(E3967&lt;=30,"VENCE EM &lt;= 30 DIAS",IF(E3967&lt;=60,"ATENCAO (31-60 DIAS)","OK"))))</f>
        <v/>
      </c>
      <c r="G3967" s="13">
        <f>SUMIFS(Movimentacoes!$G:$G,Movimentacoes!$C:$C,$A3967,Movimentacoes!$E:$E,$C3967,Movimentacoes!$B:$B,"ENTRADA")</f>
        <v/>
      </c>
      <c r="H3967" s="13">
        <f>SUMIFS(Movimentacoes!$G:$G,Movimentacoes!$C:$C,$A3967,Movimentacoes!$E:$E,$C3967,Movimentacoes!$B:$B,"SAIDA_USO")</f>
        <v/>
      </c>
      <c r="I3967" s="13">
        <f>SUMIFS(Movimentacoes!$G:$G,Movimentacoes!$C:$C,$A3967,Movimentacoes!$E:$E,$C3967,Movimentacoes!$B:$B,"SAIDA_DESCARTE")</f>
        <v/>
      </c>
      <c r="J3967" s="13">
        <f>G3967-H3967-I3967</f>
        <v/>
      </c>
      <c r="K3967">
        <f>IF(A3967="","",IF(J3967&lt;=IFERROR(VLOOKUP(A3967,Cadastro_Produtos!$A:$E,5,FALSE),0),"ABAIXO DO MINIMO","OK"))</f>
        <v/>
      </c>
    </row>
    <row r="3968">
      <c r="B3968">
        <f>IFERROR(VLOOKUP(A3968,Cadastro_Produtos!A:B,2,FALSE),"")</f>
        <v/>
      </c>
      <c r="D3968" s="12" t="n"/>
      <c r="E3968" s="13">
        <f>IF(D3968="","",D3968-TODAY())</f>
        <v/>
      </c>
      <c r="F3968">
        <f>IF(D3968="","",IF(E3968&lt;0,"VENCIDO",IF(E3968&lt;=30,"VENCE EM &lt;= 30 DIAS",IF(E3968&lt;=60,"ATENCAO (31-60 DIAS)","OK"))))</f>
        <v/>
      </c>
      <c r="G3968" s="13">
        <f>SUMIFS(Movimentacoes!$G:$G,Movimentacoes!$C:$C,$A3968,Movimentacoes!$E:$E,$C3968,Movimentacoes!$B:$B,"ENTRADA")</f>
        <v/>
      </c>
      <c r="H3968" s="13">
        <f>SUMIFS(Movimentacoes!$G:$G,Movimentacoes!$C:$C,$A3968,Movimentacoes!$E:$E,$C3968,Movimentacoes!$B:$B,"SAIDA_USO")</f>
        <v/>
      </c>
      <c r="I3968" s="13">
        <f>SUMIFS(Movimentacoes!$G:$G,Movimentacoes!$C:$C,$A3968,Movimentacoes!$E:$E,$C3968,Movimentacoes!$B:$B,"SAIDA_DESCARTE")</f>
        <v/>
      </c>
      <c r="J3968" s="13">
        <f>G3968-H3968-I3968</f>
        <v/>
      </c>
      <c r="K3968">
        <f>IF(A3968="","",IF(J3968&lt;=IFERROR(VLOOKUP(A3968,Cadastro_Produtos!$A:$E,5,FALSE),0),"ABAIXO DO MINIMO","OK"))</f>
        <v/>
      </c>
    </row>
    <row r="3969">
      <c r="B3969">
        <f>IFERROR(VLOOKUP(A3969,Cadastro_Produtos!A:B,2,FALSE),"")</f>
        <v/>
      </c>
      <c r="D3969" s="12" t="n"/>
      <c r="E3969" s="13">
        <f>IF(D3969="","",D3969-TODAY())</f>
        <v/>
      </c>
      <c r="F3969">
        <f>IF(D3969="","",IF(E3969&lt;0,"VENCIDO",IF(E3969&lt;=30,"VENCE EM &lt;= 30 DIAS",IF(E3969&lt;=60,"ATENCAO (31-60 DIAS)","OK"))))</f>
        <v/>
      </c>
      <c r="G3969" s="13">
        <f>SUMIFS(Movimentacoes!$G:$G,Movimentacoes!$C:$C,$A3969,Movimentacoes!$E:$E,$C3969,Movimentacoes!$B:$B,"ENTRADA")</f>
        <v/>
      </c>
      <c r="H3969" s="13">
        <f>SUMIFS(Movimentacoes!$G:$G,Movimentacoes!$C:$C,$A3969,Movimentacoes!$E:$E,$C3969,Movimentacoes!$B:$B,"SAIDA_USO")</f>
        <v/>
      </c>
      <c r="I3969" s="13">
        <f>SUMIFS(Movimentacoes!$G:$G,Movimentacoes!$C:$C,$A3969,Movimentacoes!$E:$E,$C3969,Movimentacoes!$B:$B,"SAIDA_DESCARTE")</f>
        <v/>
      </c>
      <c r="J3969" s="13">
        <f>G3969-H3969-I3969</f>
        <v/>
      </c>
      <c r="K3969">
        <f>IF(A3969="","",IF(J3969&lt;=IFERROR(VLOOKUP(A3969,Cadastro_Produtos!$A:$E,5,FALSE),0),"ABAIXO DO MINIMO","OK"))</f>
        <v/>
      </c>
    </row>
    <row r="3970">
      <c r="B3970">
        <f>IFERROR(VLOOKUP(A3970,Cadastro_Produtos!A:B,2,FALSE),"")</f>
        <v/>
      </c>
      <c r="D3970" s="12" t="n"/>
      <c r="E3970" s="13">
        <f>IF(D3970="","",D3970-TODAY())</f>
        <v/>
      </c>
      <c r="F3970">
        <f>IF(D3970="","",IF(E3970&lt;0,"VENCIDO",IF(E3970&lt;=30,"VENCE EM &lt;= 30 DIAS",IF(E3970&lt;=60,"ATENCAO (31-60 DIAS)","OK"))))</f>
        <v/>
      </c>
      <c r="G3970" s="13">
        <f>SUMIFS(Movimentacoes!$G:$G,Movimentacoes!$C:$C,$A3970,Movimentacoes!$E:$E,$C3970,Movimentacoes!$B:$B,"ENTRADA")</f>
        <v/>
      </c>
      <c r="H3970" s="13">
        <f>SUMIFS(Movimentacoes!$G:$G,Movimentacoes!$C:$C,$A3970,Movimentacoes!$E:$E,$C3970,Movimentacoes!$B:$B,"SAIDA_USO")</f>
        <v/>
      </c>
      <c r="I3970" s="13">
        <f>SUMIFS(Movimentacoes!$G:$G,Movimentacoes!$C:$C,$A3970,Movimentacoes!$E:$E,$C3970,Movimentacoes!$B:$B,"SAIDA_DESCARTE")</f>
        <v/>
      </c>
      <c r="J3970" s="13">
        <f>G3970-H3970-I3970</f>
        <v/>
      </c>
      <c r="K3970">
        <f>IF(A3970="","",IF(J3970&lt;=IFERROR(VLOOKUP(A3970,Cadastro_Produtos!$A:$E,5,FALSE),0),"ABAIXO DO MINIMO","OK"))</f>
        <v/>
      </c>
    </row>
    <row r="3971">
      <c r="B3971">
        <f>IFERROR(VLOOKUP(A3971,Cadastro_Produtos!A:B,2,FALSE),"")</f>
        <v/>
      </c>
      <c r="D3971" s="12" t="n"/>
      <c r="E3971" s="13">
        <f>IF(D3971="","",D3971-TODAY())</f>
        <v/>
      </c>
      <c r="F3971">
        <f>IF(D3971="","",IF(E3971&lt;0,"VENCIDO",IF(E3971&lt;=30,"VENCE EM &lt;= 30 DIAS",IF(E3971&lt;=60,"ATENCAO (31-60 DIAS)","OK"))))</f>
        <v/>
      </c>
      <c r="G3971" s="13">
        <f>SUMIFS(Movimentacoes!$G:$G,Movimentacoes!$C:$C,$A3971,Movimentacoes!$E:$E,$C3971,Movimentacoes!$B:$B,"ENTRADA")</f>
        <v/>
      </c>
      <c r="H3971" s="13">
        <f>SUMIFS(Movimentacoes!$G:$G,Movimentacoes!$C:$C,$A3971,Movimentacoes!$E:$E,$C3971,Movimentacoes!$B:$B,"SAIDA_USO")</f>
        <v/>
      </c>
      <c r="I3971" s="13">
        <f>SUMIFS(Movimentacoes!$G:$G,Movimentacoes!$C:$C,$A3971,Movimentacoes!$E:$E,$C3971,Movimentacoes!$B:$B,"SAIDA_DESCARTE")</f>
        <v/>
      </c>
      <c r="J3971" s="13">
        <f>G3971-H3971-I3971</f>
        <v/>
      </c>
      <c r="K3971">
        <f>IF(A3971="","",IF(J3971&lt;=IFERROR(VLOOKUP(A3971,Cadastro_Produtos!$A:$E,5,FALSE),0),"ABAIXO DO MINIMO","OK"))</f>
        <v/>
      </c>
    </row>
    <row r="3972">
      <c r="B3972">
        <f>IFERROR(VLOOKUP(A3972,Cadastro_Produtos!A:B,2,FALSE),"")</f>
        <v/>
      </c>
      <c r="D3972" s="12" t="n"/>
      <c r="E3972" s="13">
        <f>IF(D3972="","",D3972-TODAY())</f>
        <v/>
      </c>
      <c r="F3972">
        <f>IF(D3972="","",IF(E3972&lt;0,"VENCIDO",IF(E3972&lt;=30,"VENCE EM &lt;= 30 DIAS",IF(E3972&lt;=60,"ATENCAO (31-60 DIAS)","OK"))))</f>
        <v/>
      </c>
      <c r="G3972" s="13">
        <f>SUMIFS(Movimentacoes!$G:$G,Movimentacoes!$C:$C,$A3972,Movimentacoes!$E:$E,$C3972,Movimentacoes!$B:$B,"ENTRADA")</f>
        <v/>
      </c>
      <c r="H3972" s="13">
        <f>SUMIFS(Movimentacoes!$G:$G,Movimentacoes!$C:$C,$A3972,Movimentacoes!$E:$E,$C3972,Movimentacoes!$B:$B,"SAIDA_USO")</f>
        <v/>
      </c>
      <c r="I3972" s="13">
        <f>SUMIFS(Movimentacoes!$G:$G,Movimentacoes!$C:$C,$A3972,Movimentacoes!$E:$E,$C3972,Movimentacoes!$B:$B,"SAIDA_DESCARTE")</f>
        <v/>
      </c>
      <c r="J3972" s="13">
        <f>G3972-H3972-I3972</f>
        <v/>
      </c>
      <c r="K3972">
        <f>IF(A3972="","",IF(J3972&lt;=IFERROR(VLOOKUP(A3972,Cadastro_Produtos!$A:$E,5,FALSE),0),"ABAIXO DO MINIMO","OK"))</f>
        <v/>
      </c>
    </row>
    <row r="3973">
      <c r="B3973">
        <f>IFERROR(VLOOKUP(A3973,Cadastro_Produtos!A:B,2,FALSE),"")</f>
        <v/>
      </c>
      <c r="D3973" s="12" t="n"/>
      <c r="E3973" s="13">
        <f>IF(D3973="","",D3973-TODAY())</f>
        <v/>
      </c>
      <c r="F3973">
        <f>IF(D3973="","",IF(E3973&lt;0,"VENCIDO",IF(E3973&lt;=30,"VENCE EM &lt;= 30 DIAS",IF(E3973&lt;=60,"ATENCAO (31-60 DIAS)","OK"))))</f>
        <v/>
      </c>
      <c r="G3973" s="13">
        <f>SUMIFS(Movimentacoes!$G:$G,Movimentacoes!$C:$C,$A3973,Movimentacoes!$E:$E,$C3973,Movimentacoes!$B:$B,"ENTRADA")</f>
        <v/>
      </c>
      <c r="H3973" s="13">
        <f>SUMIFS(Movimentacoes!$G:$G,Movimentacoes!$C:$C,$A3973,Movimentacoes!$E:$E,$C3973,Movimentacoes!$B:$B,"SAIDA_USO")</f>
        <v/>
      </c>
      <c r="I3973" s="13">
        <f>SUMIFS(Movimentacoes!$G:$G,Movimentacoes!$C:$C,$A3973,Movimentacoes!$E:$E,$C3973,Movimentacoes!$B:$B,"SAIDA_DESCARTE")</f>
        <v/>
      </c>
      <c r="J3973" s="13">
        <f>G3973-H3973-I3973</f>
        <v/>
      </c>
      <c r="K3973">
        <f>IF(A3973="","",IF(J3973&lt;=IFERROR(VLOOKUP(A3973,Cadastro_Produtos!$A:$E,5,FALSE),0),"ABAIXO DO MINIMO","OK"))</f>
        <v/>
      </c>
    </row>
    <row r="3974">
      <c r="B3974">
        <f>IFERROR(VLOOKUP(A3974,Cadastro_Produtos!A:B,2,FALSE),"")</f>
        <v/>
      </c>
      <c r="D3974" s="12" t="n"/>
      <c r="E3974" s="13">
        <f>IF(D3974="","",D3974-TODAY())</f>
        <v/>
      </c>
      <c r="F3974">
        <f>IF(D3974="","",IF(E3974&lt;0,"VENCIDO",IF(E3974&lt;=30,"VENCE EM &lt;= 30 DIAS",IF(E3974&lt;=60,"ATENCAO (31-60 DIAS)","OK"))))</f>
        <v/>
      </c>
      <c r="G3974" s="13">
        <f>SUMIFS(Movimentacoes!$G:$G,Movimentacoes!$C:$C,$A3974,Movimentacoes!$E:$E,$C3974,Movimentacoes!$B:$B,"ENTRADA")</f>
        <v/>
      </c>
      <c r="H3974" s="13">
        <f>SUMIFS(Movimentacoes!$G:$G,Movimentacoes!$C:$C,$A3974,Movimentacoes!$E:$E,$C3974,Movimentacoes!$B:$B,"SAIDA_USO")</f>
        <v/>
      </c>
      <c r="I3974" s="13">
        <f>SUMIFS(Movimentacoes!$G:$G,Movimentacoes!$C:$C,$A3974,Movimentacoes!$E:$E,$C3974,Movimentacoes!$B:$B,"SAIDA_DESCARTE")</f>
        <v/>
      </c>
      <c r="J3974" s="13">
        <f>G3974-H3974-I3974</f>
        <v/>
      </c>
      <c r="K3974">
        <f>IF(A3974="","",IF(J3974&lt;=IFERROR(VLOOKUP(A3974,Cadastro_Produtos!$A:$E,5,FALSE),0),"ABAIXO DO MINIMO","OK"))</f>
        <v/>
      </c>
    </row>
    <row r="3975">
      <c r="B3975">
        <f>IFERROR(VLOOKUP(A3975,Cadastro_Produtos!A:B,2,FALSE),"")</f>
        <v/>
      </c>
      <c r="D3975" s="12" t="n"/>
      <c r="E3975" s="13">
        <f>IF(D3975="","",D3975-TODAY())</f>
        <v/>
      </c>
      <c r="F3975">
        <f>IF(D3975="","",IF(E3975&lt;0,"VENCIDO",IF(E3975&lt;=30,"VENCE EM &lt;= 30 DIAS",IF(E3975&lt;=60,"ATENCAO (31-60 DIAS)","OK"))))</f>
        <v/>
      </c>
      <c r="G3975" s="13">
        <f>SUMIFS(Movimentacoes!$G:$G,Movimentacoes!$C:$C,$A3975,Movimentacoes!$E:$E,$C3975,Movimentacoes!$B:$B,"ENTRADA")</f>
        <v/>
      </c>
      <c r="H3975" s="13">
        <f>SUMIFS(Movimentacoes!$G:$G,Movimentacoes!$C:$C,$A3975,Movimentacoes!$E:$E,$C3975,Movimentacoes!$B:$B,"SAIDA_USO")</f>
        <v/>
      </c>
      <c r="I3975" s="13">
        <f>SUMIFS(Movimentacoes!$G:$G,Movimentacoes!$C:$C,$A3975,Movimentacoes!$E:$E,$C3975,Movimentacoes!$B:$B,"SAIDA_DESCARTE")</f>
        <v/>
      </c>
      <c r="J3975" s="13">
        <f>G3975-H3975-I3975</f>
        <v/>
      </c>
      <c r="K3975">
        <f>IF(A3975="","",IF(J3975&lt;=IFERROR(VLOOKUP(A3975,Cadastro_Produtos!$A:$E,5,FALSE),0),"ABAIXO DO MINIMO","OK"))</f>
        <v/>
      </c>
    </row>
    <row r="3976">
      <c r="B3976">
        <f>IFERROR(VLOOKUP(A3976,Cadastro_Produtos!A:B,2,FALSE),"")</f>
        <v/>
      </c>
      <c r="D3976" s="12" t="n"/>
      <c r="E3976" s="13">
        <f>IF(D3976="","",D3976-TODAY())</f>
        <v/>
      </c>
      <c r="F3976">
        <f>IF(D3976="","",IF(E3976&lt;0,"VENCIDO",IF(E3976&lt;=30,"VENCE EM &lt;= 30 DIAS",IF(E3976&lt;=60,"ATENCAO (31-60 DIAS)","OK"))))</f>
        <v/>
      </c>
      <c r="G3976" s="13">
        <f>SUMIFS(Movimentacoes!$G:$G,Movimentacoes!$C:$C,$A3976,Movimentacoes!$E:$E,$C3976,Movimentacoes!$B:$B,"ENTRADA")</f>
        <v/>
      </c>
      <c r="H3976" s="13">
        <f>SUMIFS(Movimentacoes!$G:$G,Movimentacoes!$C:$C,$A3976,Movimentacoes!$E:$E,$C3976,Movimentacoes!$B:$B,"SAIDA_USO")</f>
        <v/>
      </c>
      <c r="I3976" s="13">
        <f>SUMIFS(Movimentacoes!$G:$G,Movimentacoes!$C:$C,$A3976,Movimentacoes!$E:$E,$C3976,Movimentacoes!$B:$B,"SAIDA_DESCARTE")</f>
        <v/>
      </c>
      <c r="J3976" s="13">
        <f>G3976-H3976-I3976</f>
        <v/>
      </c>
      <c r="K3976">
        <f>IF(A3976="","",IF(J3976&lt;=IFERROR(VLOOKUP(A3976,Cadastro_Produtos!$A:$E,5,FALSE),0),"ABAIXO DO MINIMO","OK"))</f>
        <v/>
      </c>
    </row>
    <row r="3977">
      <c r="B3977">
        <f>IFERROR(VLOOKUP(A3977,Cadastro_Produtos!A:B,2,FALSE),"")</f>
        <v/>
      </c>
      <c r="D3977" s="12" t="n"/>
      <c r="E3977" s="13">
        <f>IF(D3977="","",D3977-TODAY())</f>
        <v/>
      </c>
      <c r="F3977">
        <f>IF(D3977="","",IF(E3977&lt;0,"VENCIDO",IF(E3977&lt;=30,"VENCE EM &lt;= 30 DIAS",IF(E3977&lt;=60,"ATENCAO (31-60 DIAS)","OK"))))</f>
        <v/>
      </c>
      <c r="G3977" s="13">
        <f>SUMIFS(Movimentacoes!$G:$G,Movimentacoes!$C:$C,$A3977,Movimentacoes!$E:$E,$C3977,Movimentacoes!$B:$B,"ENTRADA")</f>
        <v/>
      </c>
      <c r="H3977" s="13">
        <f>SUMIFS(Movimentacoes!$G:$G,Movimentacoes!$C:$C,$A3977,Movimentacoes!$E:$E,$C3977,Movimentacoes!$B:$B,"SAIDA_USO")</f>
        <v/>
      </c>
      <c r="I3977" s="13">
        <f>SUMIFS(Movimentacoes!$G:$G,Movimentacoes!$C:$C,$A3977,Movimentacoes!$E:$E,$C3977,Movimentacoes!$B:$B,"SAIDA_DESCARTE")</f>
        <v/>
      </c>
      <c r="J3977" s="13">
        <f>G3977-H3977-I3977</f>
        <v/>
      </c>
      <c r="K3977">
        <f>IF(A3977="","",IF(J3977&lt;=IFERROR(VLOOKUP(A3977,Cadastro_Produtos!$A:$E,5,FALSE),0),"ABAIXO DO MINIMO","OK"))</f>
        <v/>
      </c>
    </row>
    <row r="3978">
      <c r="B3978">
        <f>IFERROR(VLOOKUP(A3978,Cadastro_Produtos!A:B,2,FALSE),"")</f>
        <v/>
      </c>
      <c r="D3978" s="12" t="n"/>
      <c r="E3978" s="13">
        <f>IF(D3978="","",D3978-TODAY())</f>
        <v/>
      </c>
      <c r="F3978">
        <f>IF(D3978="","",IF(E3978&lt;0,"VENCIDO",IF(E3978&lt;=30,"VENCE EM &lt;= 30 DIAS",IF(E3978&lt;=60,"ATENCAO (31-60 DIAS)","OK"))))</f>
        <v/>
      </c>
      <c r="G3978" s="13">
        <f>SUMIFS(Movimentacoes!$G:$G,Movimentacoes!$C:$C,$A3978,Movimentacoes!$E:$E,$C3978,Movimentacoes!$B:$B,"ENTRADA")</f>
        <v/>
      </c>
      <c r="H3978" s="13">
        <f>SUMIFS(Movimentacoes!$G:$G,Movimentacoes!$C:$C,$A3978,Movimentacoes!$E:$E,$C3978,Movimentacoes!$B:$B,"SAIDA_USO")</f>
        <v/>
      </c>
      <c r="I3978" s="13">
        <f>SUMIFS(Movimentacoes!$G:$G,Movimentacoes!$C:$C,$A3978,Movimentacoes!$E:$E,$C3978,Movimentacoes!$B:$B,"SAIDA_DESCARTE")</f>
        <v/>
      </c>
      <c r="J3978" s="13">
        <f>G3978-H3978-I3978</f>
        <v/>
      </c>
      <c r="K3978">
        <f>IF(A3978="","",IF(J3978&lt;=IFERROR(VLOOKUP(A3978,Cadastro_Produtos!$A:$E,5,FALSE),0),"ABAIXO DO MINIMO","OK"))</f>
        <v/>
      </c>
    </row>
    <row r="3979">
      <c r="B3979">
        <f>IFERROR(VLOOKUP(A3979,Cadastro_Produtos!A:B,2,FALSE),"")</f>
        <v/>
      </c>
      <c r="D3979" s="12" t="n"/>
      <c r="E3979" s="13">
        <f>IF(D3979="","",D3979-TODAY())</f>
        <v/>
      </c>
      <c r="F3979">
        <f>IF(D3979="","",IF(E3979&lt;0,"VENCIDO",IF(E3979&lt;=30,"VENCE EM &lt;= 30 DIAS",IF(E3979&lt;=60,"ATENCAO (31-60 DIAS)","OK"))))</f>
        <v/>
      </c>
      <c r="G3979" s="13">
        <f>SUMIFS(Movimentacoes!$G:$G,Movimentacoes!$C:$C,$A3979,Movimentacoes!$E:$E,$C3979,Movimentacoes!$B:$B,"ENTRADA")</f>
        <v/>
      </c>
      <c r="H3979" s="13">
        <f>SUMIFS(Movimentacoes!$G:$G,Movimentacoes!$C:$C,$A3979,Movimentacoes!$E:$E,$C3979,Movimentacoes!$B:$B,"SAIDA_USO")</f>
        <v/>
      </c>
      <c r="I3979" s="13">
        <f>SUMIFS(Movimentacoes!$G:$G,Movimentacoes!$C:$C,$A3979,Movimentacoes!$E:$E,$C3979,Movimentacoes!$B:$B,"SAIDA_DESCARTE")</f>
        <v/>
      </c>
      <c r="J3979" s="13">
        <f>G3979-H3979-I3979</f>
        <v/>
      </c>
      <c r="K3979">
        <f>IF(A3979="","",IF(J3979&lt;=IFERROR(VLOOKUP(A3979,Cadastro_Produtos!$A:$E,5,FALSE),0),"ABAIXO DO MINIMO","OK"))</f>
        <v/>
      </c>
    </row>
    <row r="3980">
      <c r="B3980">
        <f>IFERROR(VLOOKUP(A3980,Cadastro_Produtos!A:B,2,FALSE),"")</f>
        <v/>
      </c>
      <c r="D3980" s="12" t="n"/>
      <c r="E3980" s="13">
        <f>IF(D3980="","",D3980-TODAY())</f>
        <v/>
      </c>
      <c r="F3980">
        <f>IF(D3980="","",IF(E3980&lt;0,"VENCIDO",IF(E3980&lt;=30,"VENCE EM &lt;= 30 DIAS",IF(E3980&lt;=60,"ATENCAO (31-60 DIAS)","OK"))))</f>
        <v/>
      </c>
      <c r="G3980" s="13">
        <f>SUMIFS(Movimentacoes!$G:$G,Movimentacoes!$C:$C,$A3980,Movimentacoes!$E:$E,$C3980,Movimentacoes!$B:$B,"ENTRADA")</f>
        <v/>
      </c>
      <c r="H3980" s="13">
        <f>SUMIFS(Movimentacoes!$G:$G,Movimentacoes!$C:$C,$A3980,Movimentacoes!$E:$E,$C3980,Movimentacoes!$B:$B,"SAIDA_USO")</f>
        <v/>
      </c>
      <c r="I3980" s="13">
        <f>SUMIFS(Movimentacoes!$G:$G,Movimentacoes!$C:$C,$A3980,Movimentacoes!$E:$E,$C3980,Movimentacoes!$B:$B,"SAIDA_DESCARTE")</f>
        <v/>
      </c>
      <c r="J3980" s="13">
        <f>G3980-H3980-I3980</f>
        <v/>
      </c>
      <c r="K3980">
        <f>IF(A3980="","",IF(J3980&lt;=IFERROR(VLOOKUP(A3980,Cadastro_Produtos!$A:$E,5,FALSE),0),"ABAIXO DO MINIMO","OK"))</f>
        <v/>
      </c>
    </row>
    <row r="3981">
      <c r="B3981">
        <f>IFERROR(VLOOKUP(A3981,Cadastro_Produtos!A:B,2,FALSE),"")</f>
        <v/>
      </c>
      <c r="D3981" s="12" t="n"/>
      <c r="E3981" s="13">
        <f>IF(D3981="","",D3981-TODAY())</f>
        <v/>
      </c>
      <c r="F3981">
        <f>IF(D3981="","",IF(E3981&lt;0,"VENCIDO",IF(E3981&lt;=30,"VENCE EM &lt;= 30 DIAS",IF(E3981&lt;=60,"ATENCAO (31-60 DIAS)","OK"))))</f>
        <v/>
      </c>
      <c r="G3981" s="13">
        <f>SUMIFS(Movimentacoes!$G:$G,Movimentacoes!$C:$C,$A3981,Movimentacoes!$E:$E,$C3981,Movimentacoes!$B:$B,"ENTRADA")</f>
        <v/>
      </c>
      <c r="H3981" s="13">
        <f>SUMIFS(Movimentacoes!$G:$G,Movimentacoes!$C:$C,$A3981,Movimentacoes!$E:$E,$C3981,Movimentacoes!$B:$B,"SAIDA_USO")</f>
        <v/>
      </c>
      <c r="I3981" s="13">
        <f>SUMIFS(Movimentacoes!$G:$G,Movimentacoes!$C:$C,$A3981,Movimentacoes!$E:$E,$C3981,Movimentacoes!$B:$B,"SAIDA_DESCARTE")</f>
        <v/>
      </c>
      <c r="J3981" s="13">
        <f>G3981-H3981-I3981</f>
        <v/>
      </c>
      <c r="K3981">
        <f>IF(A3981="","",IF(J3981&lt;=IFERROR(VLOOKUP(A3981,Cadastro_Produtos!$A:$E,5,FALSE),0),"ABAIXO DO MINIMO","OK"))</f>
        <v/>
      </c>
    </row>
    <row r="3982">
      <c r="B3982">
        <f>IFERROR(VLOOKUP(A3982,Cadastro_Produtos!A:B,2,FALSE),"")</f>
        <v/>
      </c>
      <c r="D3982" s="12" t="n"/>
      <c r="E3982" s="13">
        <f>IF(D3982="","",D3982-TODAY())</f>
        <v/>
      </c>
      <c r="F3982">
        <f>IF(D3982="","",IF(E3982&lt;0,"VENCIDO",IF(E3982&lt;=30,"VENCE EM &lt;= 30 DIAS",IF(E3982&lt;=60,"ATENCAO (31-60 DIAS)","OK"))))</f>
        <v/>
      </c>
      <c r="G3982" s="13">
        <f>SUMIFS(Movimentacoes!$G:$G,Movimentacoes!$C:$C,$A3982,Movimentacoes!$E:$E,$C3982,Movimentacoes!$B:$B,"ENTRADA")</f>
        <v/>
      </c>
      <c r="H3982" s="13">
        <f>SUMIFS(Movimentacoes!$G:$G,Movimentacoes!$C:$C,$A3982,Movimentacoes!$E:$E,$C3982,Movimentacoes!$B:$B,"SAIDA_USO")</f>
        <v/>
      </c>
      <c r="I3982" s="13">
        <f>SUMIFS(Movimentacoes!$G:$G,Movimentacoes!$C:$C,$A3982,Movimentacoes!$E:$E,$C3982,Movimentacoes!$B:$B,"SAIDA_DESCARTE")</f>
        <v/>
      </c>
      <c r="J3982" s="13">
        <f>G3982-H3982-I3982</f>
        <v/>
      </c>
      <c r="K3982">
        <f>IF(A3982="","",IF(J3982&lt;=IFERROR(VLOOKUP(A3982,Cadastro_Produtos!$A:$E,5,FALSE),0),"ABAIXO DO MINIMO","OK"))</f>
        <v/>
      </c>
    </row>
    <row r="3983">
      <c r="B3983">
        <f>IFERROR(VLOOKUP(A3983,Cadastro_Produtos!A:B,2,FALSE),"")</f>
        <v/>
      </c>
      <c r="D3983" s="12" t="n"/>
      <c r="E3983" s="13">
        <f>IF(D3983="","",D3983-TODAY())</f>
        <v/>
      </c>
      <c r="F3983">
        <f>IF(D3983="","",IF(E3983&lt;0,"VENCIDO",IF(E3983&lt;=30,"VENCE EM &lt;= 30 DIAS",IF(E3983&lt;=60,"ATENCAO (31-60 DIAS)","OK"))))</f>
        <v/>
      </c>
      <c r="G3983" s="13">
        <f>SUMIFS(Movimentacoes!$G:$G,Movimentacoes!$C:$C,$A3983,Movimentacoes!$E:$E,$C3983,Movimentacoes!$B:$B,"ENTRADA")</f>
        <v/>
      </c>
      <c r="H3983" s="13">
        <f>SUMIFS(Movimentacoes!$G:$G,Movimentacoes!$C:$C,$A3983,Movimentacoes!$E:$E,$C3983,Movimentacoes!$B:$B,"SAIDA_USO")</f>
        <v/>
      </c>
      <c r="I3983" s="13">
        <f>SUMIFS(Movimentacoes!$G:$G,Movimentacoes!$C:$C,$A3983,Movimentacoes!$E:$E,$C3983,Movimentacoes!$B:$B,"SAIDA_DESCARTE")</f>
        <v/>
      </c>
      <c r="J3983" s="13">
        <f>G3983-H3983-I3983</f>
        <v/>
      </c>
      <c r="K3983">
        <f>IF(A3983="","",IF(J3983&lt;=IFERROR(VLOOKUP(A3983,Cadastro_Produtos!$A:$E,5,FALSE),0),"ABAIXO DO MINIMO","OK"))</f>
        <v/>
      </c>
    </row>
    <row r="3984">
      <c r="B3984">
        <f>IFERROR(VLOOKUP(A3984,Cadastro_Produtos!A:B,2,FALSE),"")</f>
        <v/>
      </c>
      <c r="D3984" s="12" t="n"/>
      <c r="E3984" s="13">
        <f>IF(D3984="","",D3984-TODAY())</f>
        <v/>
      </c>
      <c r="F3984">
        <f>IF(D3984="","",IF(E3984&lt;0,"VENCIDO",IF(E3984&lt;=30,"VENCE EM &lt;= 30 DIAS",IF(E3984&lt;=60,"ATENCAO (31-60 DIAS)","OK"))))</f>
        <v/>
      </c>
      <c r="G3984" s="13">
        <f>SUMIFS(Movimentacoes!$G:$G,Movimentacoes!$C:$C,$A3984,Movimentacoes!$E:$E,$C3984,Movimentacoes!$B:$B,"ENTRADA")</f>
        <v/>
      </c>
      <c r="H3984" s="13">
        <f>SUMIFS(Movimentacoes!$G:$G,Movimentacoes!$C:$C,$A3984,Movimentacoes!$E:$E,$C3984,Movimentacoes!$B:$B,"SAIDA_USO")</f>
        <v/>
      </c>
      <c r="I3984" s="13">
        <f>SUMIFS(Movimentacoes!$G:$G,Movimentacoes!$C:$C,$A3984,Movimentacoes!$E:$E,$C3984,Movimentacoes!$B:$B,"SAIDA_DESCARTE")</f>
        <v/>
      </c>
      <c r="J3984" s="13">
        <f>G3984-H3984-I3984</f>
        <v/>
      </c>
      <c r="K3984">
        <f>IF(A3984="","",IF(J3984&lt;=IFERROR(VLOOKUP(A3984,Cadastro_Produtos!$A:$E,5,FALSE),0),"ABAIXO DO MINIMO","OK"))</f>
        <v/>
      </c>
    </row>
    <row r="3985">
      <c r="B3985">
        <f>IFERROR(VLOOKUP(A3985,Cadastro_Produtos!A:B,2,FALSE),"")</f>
        <v/>
      </c>
      <c r="D3985" s="12" t="n"/>
      <c r="E3985" s="13">
        <f>IF(D3985="","",D3985-TODAY())</f>
        <v/>
      </c>
      <c r="F3985">
        <f>IF(D3985="","",IF(E3985&lt;0,"VENCIDO",IF(E3985&lt;=30,"VENCE EM &lt;= 30 DIAS",IF(E3985&lt;=60,"ATENCAO (31-60 DIAS)","OK"))))</f>
        <v/>
      </c>
      <c r="G3985" s="13">
        <f>SUMIFS(Movimentacoes!$G:$G,Movimentacoes!$C:$C,$A3985,Movimentacoes!$E:$E,$C3985,Movimentacoes!$B:$B,"ENTRADA")</f>
        <v/>
      </c>
      <c r="H3985" s="13">
        <f>SUMIFS(Movimentacoes!$G:$G,Movimentacoes!$C:$C,$A3985,Movimentacoes!$E:$E,$C3985,Movimentacoes!$B:$B,"SAIDA_USO")</f>
        <v/>
      </c>
      <c r="I3985" s="13">
        <f>SUMIFS(Movimentacoes!$G:$G,Movimentacoes!$C:$C,$A3985,Movimentacoes!$E:$E,$C3985,Movimentacoes!$B:$B,"SAIDA_DESCARTE")</f>
        <v/>
      </c>
      <c r="J3985" s="13">
        <f>G3985-H3985-I3985</f>
        <v/>
      </c>
      <c r="K3985">
        <f>IF(A3985="","",IF(J3985&lt;=IFERROR(VLOOKUP(A3985,Cadastro_Produtos!$A:$E,5,FALSE),0),"ABAIXO DO MINIMO","OK"))</f>
        <v/>
      </c>
    </row>
    <row r="3986">
      <c r="B3986">
        <f>IFERROR(VLOOKUP(A3986,Cadastro_Produtos!A:B,2,FALSE),"")</f>
        <v/>
      </c>
      <c r="D3986" s="12" t="n"/>
      <c r="E3986" s="13">
        <f>IF(D3986="","",D3986-TODAY())</f>
        <v/>
      </c>
      <c r="F3986">
        <f>IF(D3986="","",IF(E3986&lt;0,"VENCIDO",IF(E3986&lt;=30,"VENCE EM &lt;= 30 DIAS",IF(E3986&lt;=60,"ATENCAO (31-60 DIAS)","OK"))))</f>
        <v/>
      </c>
      <c r="G3986" s="13">
        <f>SUMIFS(Movimentacoes!$G:$G,Movimentacoes!$C:$C,$A3986,Movimentacoes!$E:$E,$C3986,Movimentacoes!$B:$B,"ENTRADA")</f>
        <v/>
      </c>
      <c r="H3986" s="13">
        <f>SUMIFS(Movimentacoes!$G:$G,Movimentacoes!$C:$C,$A3986,Movimentacoes!$E:$E,$C3986,Movimentacoes!$B:$B,"SAIDA_USO")</f>
        <v/>
      </c>
      <c r="I3986" s="13">
        <f>SUMIFS(Movimentacoes!$G:$G,Movimentacoes!$C:$C,$A3986,Movimentacoes!$E:$E,$C3986,Movimentacoes!$B:$B,"SAIDA_DESCARTE")</f>
        <v/>
      </c>
      <c r="J3986" s="13">
        <f>G3986-H3986-I3986</f>
        <v/>
      </c>
      <c r="K3986">
        <f>IF(A3986="","",IF(J3986&lt;=IFERROR(VLOOKUP(A3986,Cadastro_Produtos!$A:$E,5,FALSE),0),"ABAIXO DO MINIMO","OK"))</f>
        <v/>
      </c>
    </row>
    <row r="3987">
      <c r="B3987">
        <f>IFERROR(VLOOKUP(A3987,Cadastro_Produtos!A:B,2,FALSE),"")</f>
        <v/>
      </c>
      <c r="D3987" s="12" t="n"/>
      <c r="E3987" s="13">
        <f>IF(D3987="","",D3987-TODAY())</f>
        <v/>
      </c>
      <c r="F3987">
        <f>IF(D3987="","",IF(E3987&lt;0,"VENCIDO",IF(E3987&lt;=30,"VENCE EM &lt;= 30 DIAS",IF(E3987&lt;=60,"ATENCAO (31-60 DIAS)","OK"))))</f>
        <v/>
      </c>
      <c r="G3987" s="13">
        <f>SUMIFS(Movimentacoes!$G:$G,Movimentacoes!$C:$C,$A3987,Movimentacoes!$E:$E,$C3987,Movimentacoes!$B:$B,"ENTRADA")</f>
        <v/>
      </c>
      <c r="H3987" s="13">
        <f>SUMIFS(Movimentacoes!$G:$G,Movimentacoes!$C:$C,$A3987,Movimentacoes!$E:$E,$C3987,Movimentacoes!$B:$B,"SAIDA_USO")</f>
        <v/>
      </c>
      <c r="I3987" s="13">
        <f>SUMIFS(Movimentacoes!$G:$G,Movimentacoes!$C:$C,$A3987,Movimentacoes!$E:$E,$C3987,Movimentacoes!$B:$B,"SAIDA_DESCARTE")</f>
        <v/>
      </c>
      <c r="J3987" s="13">
        <f>G3987-H3987-I3987</f>
        <v/>
      </c>
      <c r="K3987">
        <f>IF(A3987="","",IF(J3987&lt;=IFERROR(VLOOKUP(A3987,Cadastro_Produtos!$A:$E,5,FALSE),0),"ABAIXO DO MINIMO","OK"))</f>
        <v/>
      </c>
    </row>
    <row r="3988">
      <c r="B3988">
        <f>IFERROR(VLOOKUP(A3988,Cadastro_Produtos!A:B,2,FALSE),"")</f>
        <v/>
      </c>
      <c r="D3988" s="12" t="n"/>
      <c r="E3988" s="13">
        <f>IF(D3988="","",D3988-TODAY())</f>
        <v/>
      </c>
      <c r="F3988">
        <f>IF(D3988="","",IF(E3988&lt;0,"VENCIDO",IF(E3988&lt;=30,"VENCE EM &lt;= 30 DIAS",IF(E3988&lt;=60,"ATENCAO (31-60 DIAS)","OK"))))</f>
        <v/>
      </c>
      <c r="G3988" s="13">
        <f>SUMIFS(Movimentacoes!$G:$G,Movimentacoes!$C:$C,$A3988,Movimentacoes!$E:$E,$C3988,Movimentacoes!$B:$B,"ENTRADA")</f>
        <v/>
      </c>
      <c r="H3988" s="13">
        <f>SUMIFS(Movimentacoes!$G:$G,Movimentacoes!$C:$C,$A3988,Movimentacoes!$E:$E,$C3988,Movimentacoes!$B:$B,"SAIDA_USO")</f>
        <v/>
      </c>
      <c r="I3988" s="13">
        <f>SUMIFS(Movimentacoes!$G:$G,Movimentacoes!$C:$C,$A3988,Movimentacoes!$E:$E,$C3988,Movimentacoes!$B:$B,"SAIDA_DESCARTE")</f>
        <v/>
      </c>
      <c r="J3988" s="13">
        <f>G3988-H3988-I3988</f>
        <v/>
      </c>
      <c r="K3988">
        <f>IF(A3988="","",IF(J3988&lt;=IFERROR(VLOOKUP(A3988,Cadastro_Produtos!$A:$E,5,FALSE),0),"ABAIXO DO MINIMO","OK"))</f>
        <v/>
      </c>
    </row>
    <row r="3989">
      <c r="B3989">
        <f>IFERROR(VLOOKUP(A3989,Cadastro_Produtos!A:B,2,FALSE),"")</f>
        <v/>
      </c>
      <c r="D3989" s="12" t="n"/>
      <c r="E3989" s="13">
        <f>IF(D3989="","",D3989-TODAY())</f>
        <v/>
      </c>
      <c r="F3989">
        <f>IF(D3989="","",IF(E3989&lt;0,"VENCIDO",IF(E3989&lt;=30,"VENCE EM &lt;= 30 DIAS",IF(E3989&lt;=60,"ATENCAO (31-60 DIAS)","OK"))))</f>
        <v/>
      </c>
      <c r="G3989" s="13">
        <f>SUMIFS(Movimentacoes!$G:$G,Movimentacoes!$C:$C,$A3989,Movimentacoes!$E:$E,$C3989,Movimentacoes!$B:$B,"ENTRADA")</f>
        <v/>
      </c>
      <c r="H3989" s="13">
        <f>SUMIFS(Movimentacoes!$G:$G,Movimentacoes!$C:$C,$A3989,Movimentacoes!$E:$E,$C3989,Movimentacoes!$B:$B,"SAIDA_USO")</f>
        <v/>
      </c>
      <c r="I3989" s="13">
        <f>SUMIFS(Movimentacoes!$G:$G,Movimentacoes!$C:$C,$A3989,Movimentacoes!$E:$E,$C3989,Movimentacoes!$B:$B,"SAIDA_DESCARTE")</f>
        <v/>
      </c>
      <c r="J3989" s="13">
        <f>G3989-H3989-I3989</f>
        <v/>
      </c>
      <c r="K3989">
        <f>IF(A3989="","",IF(J3989&lt;=IFERROR(VLOOKUP(A3989,Cadastro_Produtos!$A:$E,5,FALSE),0),"ABAIXO DO MINIMO","OK"))</f>
        <v/>
      </c>
    </row>
    <row r="3990">
      <c r="B3990">
        <f>IFERROR(VLOOKUP(A3990,Cadastro_Produtos!A:B,2,FALSE),"")</f>
        <v/>
      </c>
      <c r="D3990" s="12" t="n"/>
      <c r="E3990" s="13">
        <f>IF(D3990="","",D3990-TODAY())</f>
        <v/>
      </c>
      <c r="F3990">
        <f>IF(D3990="","",IF(E3990&lt;0,"VENCIDO",IF(E3990&lt;=30,"VENCE EM &lt;= 30 DIAS",IF(E3990&lt;=60,"ATENCAO (31-60 DIAS)","OK"))))</f>
        <v/>
      </c>
      <c r="G3990" s="13">
        <f>SUMIFS(Movimentacoes!$G:$G,Movimentacoes!$C:$C,$A3990,Movimentacoes!$E:$E,$C3990,Movimentacoes!$B:$B,"ENTRADA")</f>
        <v/>
      </c>
      <c r="H3990" s="13">
        <f>SUMIFS(Movimentacoes!$G:$G,Movimentacoes!$C:$C,$A3990,Movimentacoes!$E:$E,$C3990,Movimentacoes!$B:$B,"SAIDA_USO")</f>
        <v/>
      </c>
      <c r="I3990" s="13">
        <f>SUMIFS(Movimentacoes!$G:$G,Movimentacoes!$C:$C,$A3990,Movimentacoes!$E:$E,$C3990,Movimentacoes!$B:$B,"SAIDA_DESCARTE")</f>
        <v/>
      </c>
      <c r="J3990" s="13">
        <f>G3990-H3990-I3990</f>
        <v/>
      </c>
      <c r="K3990">
        <f>IF(A3990="","",IF(J3990&lt;=IFERROR(VLOOKUP(A3990,Cadastro_Produtos!$A:$E,5,FALSE),0),"ABAIXO DO MINIMO","OK"))</f>
        <v/>
      </c>
    </row>
    <row r="3991">
      <c r="B3991">
        <f>IFERROR(VLOOKUP(A3991,Cadastro_Produtos!A:B,2,FALSE),"")</f>
        <v/>
      </c>
      <c r="D3991" s="12" t="n"/>
      <c r="E3991" s="13">
        <f>IF(D3991="","",D3991-TODAY())</f>
        <v/>
      </c>
      <c r="F3991">
        <f>IF(D3991="","",IF(E3991&lt;0,"VENCIDO",IF(E3991&lt;=30,"VENCE EM &lt;= 30 DIAS",IF(E3991&lt;=60,"ATENCAO (31-60 DIAS)","OK"))))</f>
        <v/>
      </c>
      <c r="G3991" s="13">
        <f>SUMIFS(Movimentacoes!$G:$G,Movimentacoes!$C:$C,$A3991,Movimentacoes!$E:$E,$C3991,Movimentacoes!$B:$B,"ENTRADA")</f>
        <v/>
      </c>
      <c r="H3991" s="13">
        <f>SUMIFS(Movimentacoes!$G:$G,Movimentacoes!$C:$C,$A3991,Movimentacoes!$E:$E,$C3991,Movimentacoes!$B:$B,"SAIDA_USO")</f>
        <v/>
      </c>
      <c r="I3991" s="13">
        <f>SUMIFS(Movimentacoes!$G:$G,Movimentacoes!$C:$C,$A3991,Movimentacoes!$E:$E,$C3991,Movimentacoes!$B:$B,"SAIDA_DESCARTE")</f>
        <v/>
      </c>
      <c r="J3991" s="13">
        <f>G3991-H3991-I3991</f>
        <v/>
      </c>
      <c r="K3991">
        <f>IF(A3991="","",IF(J3991&lt;=IFERROR(VLOOKUP(A3991,Cadastro_Produtos!$A:$E,5,FALSE),0),"ABAIXO DO MINIMO","OK"))</f>
        <v/>
      </c>
    </row>
    <row r="3992">
      <c r="B3992">
        <f>IFERROR(VLOOKUP(A3992,Cadastro_Produtos!A:B,2,FALSE),"")</f>
        <v/>
      </c>
      <c r="D3992" s="12" t="n"/>
      <c r="E3992" s="13">
        <f>IF(D3992="","",D3992-TODAY())</f>
        <v/>
      </c>
      <c r="F3992">
        <f>IF(D3992="","",IF(E3992&lt;0,"VENCIDO",IF(E3992&lt;=30,"VENCE EM &lt;= 30 DIAS",IF(E3992&lt;=60,"ATENCAO (31-60 DIAS)","OK"))))</f>
        <v/>
      </c>
      <c r="G3992" s="13">
        <f>SUMIFS(Movimentacoes!$G:$G,Movimentacoes!$C:$C,$A3992,Movimentacoes!$E:$E,$C3992,Movimentacoes!$B:$B,"ENTRADA")</f>
        <v/>
      </c>
      <c r="H3992" s="13">
        <f>SUMIFS(Movimentacoes!$G:$G,Movimentacoes!$C:$C,$A3992,Movimentacoes!$E:$E,$C3992,Movimentacoes!$B:$B,"SAIDA_USO")</f>
        <v/>
      </c>
      <c r="I3992" s="13">
        <f>SUMIFS(Movimentacoes!$G:$G,Movimentacoes!$C:$C,$A3992,Movimentacoes!$E:$E,$C3992,Movimentacoes!$B:$B,"SAIDA_DESCARTE")</f>
        <v/>
      </c>
      <c r="J3992" s="13">
        <f>G3992-H3992-I3992</f>
        <v/>
      </c>
      <c r="K3992">
        <f>IF(A3992="","",IF(J3992&lt;=IFERROR(VLOOKUP(A3992,Cadastro_Produtos!$A:$E,5,FALSE),0),"ABAIXO DO MINIMO","OK"))</f>
        <v/>
      </c>
    </row>
    <row r="3993">
      <c r="B3993">
        <f>IFERROR(VLOOKUP(A3993,Cadastro_Produtos!A:B,2,FALSE),"")</f>
        <v/>
      </c>
      <c r="D3993" s="12" t="n"/>
      <c r="E3993" s="13">
        <f>IF(D3993="","",D3993-TODAY())</f>
        <v/>
      </c>
      <c r="F3993">
        <f>IF(D3993="","",IF(E3993&lt;0,"VENCIDO",IF(E3993&lt;=30,"VENCE EM &lt;= 30 DIAS",IF(E3993&lt;=60,"ATENCAO (31-60 DIAS)","OK"))))</f>
        <v/>
      </c>
      <c r="G3993" s="13">
        <f>SUMIFS(Movimentacoes!$G:$G,Movimentacoes!$C:$C,$A3993,Movimentacoes!$E:$E,$C3993,Movimentacoes!$B:$B,"ENTRADA")</f>
        <v/>
      </c>
      <c r="H3993" s="13">
        <f>SUMIFS(Movimentacoes!$G:$G,Movimentacoes!$C:$C,$A3993,Movimentacoes!$E:$E,$C3993,Movimentacoes!$B:$B,"SAIDA_USO")</f>
        <v/>
      </c>
      <c r="I3993" s="13">
        <f>SUMIFS(Movimentacoes!$G:$G,Movimentacoes!$C:$C,$A3993,Movimentacoes!$E:$E,$C3993,Movimentacoes!$B:$B,"SAIDA_DESCARTE")</f>
        <v/>
      </c>
      <c r="J3993" s="13">
        <f>G3993-H3993-I3993</f>
        <v/>
      </c>
      <c r="K3993">
        <f>IF(A3993="","",IF(J3993&lt;=IFERROR(VLOOKUP(A3993,Cadastro_Produtos!$A:$E,5,FALSE),0),"ABAIXO DO MINIMO","OK"))</f>
        <v/>
      </c>
    </row>
    <row r="3994">
      <c r="B3994">
        <f>IFERROR(VLOOKUP(A3994,Cadastro_Produtos!A:B,2,FALSE),"")</f>
        <v/>
      </c>
      <c r="D3994" s="12" t="n"/>
      <c r="E3994" s="13">
        <f>IF(D3994="","",D3994-TODAY())</f>
        <v/>
      </c>
      <c r="F3994">
        <f>IF(D3994="","",IF(E3994&lt;0,"VENCIDO",IF(E3994&lt;=30,"VENCE EM &lt;= 30 DIAS",IF(E3994&lt;=60,"ATENCAO (31-60 DIAS)","OK"))))</f>
        <v/>
      </c>
      <c r="G3994" s="13">
        <f>SUMIFS(Movimentacoes!$G:$G,Movimentacoes!$C:$C,$A3994,Movimentacoes!$E:$E,$C3994,Movimentacoes!$B:$B,"ENTRADA")</f>
        <v/>
      </c>
      <c r="H3994" s="13">
        <f>SUMIFS(Movimentacoes!$G:$G,Movimentacoes!$C:$C,$A3994,Movimentacoes!$E:$E,$C3994,Movimentacoes!$B:$B,"SAIDA_USO")</f>
        <v/>
      </c>
      <c r="I3994" s="13">
        <f>SUMIFS(Movimentacoes!$G:$G,Movimentacoes!$C:$C,$A3994,Movimentacoes!$E:$E,$C3994,Movimentacoes!$B:$B,"SAIDA_DESCARTE")</f>
        <v/>
      </c>
      <c r="J3994" s="13">
        <f>G3994-H3994-I3994</f>
        <v/>
      </c>
      <c r="K3994">
        <f>IF(A3994="","",IF(J3994&lt;=IFERROR(VLOOKUP(A3994,Cadastro_Produtos!$A:$E,5,FALSE),0),"ABAIXO DO MINIMO","OK"))</f>
        <v/>
      </c>
    </row>
    <row r="3995">
      <c r="B3995">
        <f>IFERROR(VLOOKUP(A3995,Cadastro_Produtos!A:B,2,FALSE),"")</f>
        <v/>
      </c>
      <c r="D3995" s="12" t="n"/>
      <c r="E3995" s="13">
        <f>IF(D3995="","",D3995-TODAY())</f>
        <v/>
      </c>
      <c r="F3995">
        <f>IF(D3995="","",IF(E3995&lt;0,"VENCIDO",IF(E3995&lt;=30,"VENCE EM &lt;= 30 DIAS",IF(E3995&lt;=60,"ATENCAO (31-60 DIAS)","OK"))))</f>
        <v/>
      </c>
      <c r="G3995" s="13">
        <f>SUMIFS(Movimentacoes!$G:$G,Movimentacoes!$C:$C,$A3995,Movimentacoes!$E:$E,$C3995,Movimentacoes!$B:$B,"ENTRADA")</f>
        <v/>
      </c>
      <c r="H3995" s="13">
        <f>SUMIFS(Movimentacoes!$G:$G,Movimentacoes!$C:$C,$A3995,Movimentacoes!$E:$E,$C3995,Movimentacoes!$B:$B,"SAIDA_USO")</f>
        <v/>
      </c>
      <c r="I3995" s="13">
        <f>SUMIFS(Movimentacoes!$G:$G,Movimentacoes!$C:$C,$A3995,Movimentacoes!$E:$E,$C3995,Movimentacoes!$B:$B,"SAIDA_DESCARTE")</f>
        <v/>
      </c>
      <c r="J3995" s="13">
        <f>G3995-H3995-I3995</f>
        <v/>
      </c>
      <c r="K3995">
        <f>IF(A3995="","",IF(J3995&lt;=IFERROR(VLOOKUP(A3995,Cadastro_Produtos!$A:$E,5,FALSE),0),"ABAIXO DO MINIMO","OK"))</f>
        <v/>
      </c>
    </row>
    <row r="3996">
      <c r="B3996">
        <f>IFERROR(VLOOKUP(A3996,Cadastro_Produtos!A:B,2,FALSE),"")</f>
        <v/>
      </c>
      <c r="D3996" s="12" t="n"/>
      <c r="E3996" s="13">
        <f>IF(D3996="","",D3996-TODAY())</f>
        <v/>
      </c>
      <c r="F3996">
        <f>IF(D3996="","",IF(E3996&lt;0,"VENCIDO",IF(E3996&lt;=30,"VENCE EM &lt;= 30 DIAS",IF(E3996&lt;=60,"ATENCAO (31-60 DIAS)","OK"))))</f>
        <v/>
      </c>
      <c r="G3996" s="13">
        <f>SUMIFS(Movimentacoes!$G:$G,Movimentacoes!$C:$C,$A3996,Movimentacoes!$E:$E,$C3996,Movimentacoes!$B:$B,"ENTRADA")</f>
        <v/>
      </c>
      <c r="H3996" s="13">
        <f>SUMIFS(Movimentacoes!$G:$G,Movimentacoes!$C:$C,$A3996,Movimentacoes!$E:$E,$C3996,Movimentacoes!$B:$B,"SAIDA_USO")</f>
        <v/>
      </c>
      <c r="I3996" s="13">
        <f>SUMIFS(Movimentacoes!$G:$G,Movimentacoes!$C:$C,$A3996,Movimentacoes!$E:$E,$C3996,Movimentacoes!$B:$B,"SAIDA_DESCARTE")</f>
        <v/>
      </c>
      <c r="J3996" s="13">
        <f>G3996-H3996-I3996</f>
        <v/>
      </c>
      <c r="K3996">
        <f>IF(A3996="","",IF(J3996&lt;=IFERROR(VLOOKUP(A3996,Cadastro_Produtos!$A:$E,5,FALSE),0),"ABAIXO DO MINIMO","OK"))</f>
        <v/>
      </c>
    </row>
    <row r="3997">
      <c r="B3997">
        <f>IFERROR(VLOOKUP(A3997,Cadastro_Produtos!A:B,2,FALSE),"")</f>
        <v/>
      </c>
      <c r="D3997" s="12" t="n"/>
      <c r="E3997" s="13">
        <f>IF(D3997="","",D3997-TODAY())</f>
        <v/>
      </c>
      <c r="F3997">
        <f>IF(D3997="","",IF(E3997&lt;0,"VENCIDO",IF(E3997&lt;=30,"VENCE EM &lt;= 30 DIAS",IF(E3997&lt;=60,"ATENCAO (31-60 DIAS)","OK"))))</f>
        <v/>
      </c>
      <c r="G3997" s="13">
        <f>SUMIFS(Movimentacoes!$G:$G,Movimentacoes!$C:$C,$A3997,Movimentacoes!$E:$E,$C3997,Movimentacoes!$B:$B,"ENTRADA")</f>
        <v/>
      </c>
      <c r="H3997" s="13">
        <f>SUMIFS(Movimentacoes!$G:$G,Movimentacoes!$C:$C,$A3997,Movimentacoes!$E:$E,$C3997,Movimentacoes!$B:$B,"SAIDA_USO")</f>
        <v/>
      </c>
      <c r="I3997" s="13">
        <f>SUMIFS(Movimentacoes!$G:$G,Movimentacoes!$C:$C,$A3997,Movimentacoes!$E:$E,$C3997,Movimentacoes!$B:$B,"SAIDA_DESCARTE")</f>
        <v/>
      </c>
      <c r="J3997" s="13">
        <f>G3997-H3997-I3997</f>
        <v/>
      </c>
      <c r="K3997">
        <f>IF(A3997="","",IF(J3997&lt;=IFERROR(VLOOKUP(A3997,Cadastro_Produtos!$A:$E,5,FALSE),0),"ABAIXO DO MINIMO","OK"))</f>
        <v/>
      </c>
    </row>
    <row r="3998">
      <c r="B3998">
        <f>IFERROR(VLOOKUP(A3998,Cadastro_Produtos!A:B,2,FALSE),"")</f>
        <v/>
      </c>
      <c r="D3998" s="12" t="n"/>
      <c r="E3998" s="13">
        <f>IF(D3998="","",D3998-TODAY())</f>
        <v/>
      </c>
      <c r="F3998">
        <f>IF(D3998="","",IF(E3998&lt;0,"VENCIDO",IF(E3998&lt;=30,"VENCE EM &lt;= 30 DIAS",IF(E3998&lt;=60,"ATENCAO (31-60 DIAS)","OK"))))</f>
        <v/>
      </c>
      <c r="G3998" s="13">
        <f>SUMIFS(Movimentacoes!$G:$G,Movimentacoes!$C:$C,$A3998,Movimentacoes!$E:$E,$C3998,Movimentacoes!$B:$B,"ENTRADA")</f>
        <v/>
      </c>
      <c r="H3998" s="13">
        <f>SUMIFS(Movimentacoes!$G:$G,Movimentacoes!$C:$C,$A3998,Movimentacoes!$E:$E,$C3998,Movimentacoes!$B:$B,"SAIDA_USO")</f>
        <v/>
      </c>
      <c r="I3998" s="13">
        <f>SUMIFS(Movimentacoes!$G:$G,Movimentacoes!$C:$C,$A3998,Movimentacoes!$E:$E,$C3998,Movimentacoes!$B:$B,"SAIDA_DESCARTE")</f>
        <v/>
      </c>
      <c r="J3998" s="13">
        <f>G3998-H3998-I3998</f>
        <v/>
      </c>
      <c r="K3998">
        <f>IF(A3998="","",IF(J3998&lt;=IFERROR(VLOOKUP(A3998,Cadastro_Produtos!$A:$E,5,FALSE),0),"ABAIXO DO MINIMO","OK"))</f>
        <v/>
      </c>
    </row>
    <row r="3999">
      <c r="B3999">
        <f>IFERROR(VLOOKUP(A3999,Cadastro_Produtos!A:B,2,FALSE),"")</f>
        <v/>
      </c>
      <c r="D3999" s="12" t="n"/>
      <c r="E3999" s="13">
        <f>IF(D3999="","",D3999-TODAY())</f>
        <v/>
      </c>
      <c r="F3999">
        <f>IF(D3999="","",IF(E3999&lt;0,"VENCIDO",IF(E3999&lt;=30,"VENCE EM &lt;= 30 DIAS",IF(E3999&lt;=60,"ATENCAO (31-60 DIAS)","OK"))))</f>
        <v/>
      </c>
      <c r="G3999" s="13">
        <f>SUMIFS(Movimentacoes!$G:$G,Movimentacoes!$C:$C,$A3999,Movimentacoes!$E:$E,$C3999,Movimentacoes!$B:$B,"ENTRADA")</f>
        <v/>
      </c>
      <c r="H3999" s="13">
        <f>SUMIFS(Movimentacoes!$G:$G,Movimentacoes!$C:$C,$A3999,Movimentacoes!$E:$E,$C3999,Movimentacoes!$B:$B,"SAIDA_USO")</f>
        <v/>
      </c>
      <c r="I3999" s="13">
        <f>SUMIFS(Movimentacoes!$G:$G,Movimentacoes!$C:$C,$A3999,Movimentacoes!$E:$E,$C3999,Movimentacoes!$B:$B,"SAIDA_DESCARTE")</f>
        <v/>
      </c>
      <c r="J3999" s="13">
        <f>G3999-H3999-I3999</f>
        <v/>
      </c>
      <c r="K3999">
        <f>IF(A3999="","",IF(J3999&lt;=IFERROR(VLOOKUP(A3999,Cadastro_Produtos!$A:$E,5,FALSE),0),"ABAIXO DO MINIMO","OK"))</f>
        <v/>
      </c>
    </row>
    <row r="4000">
      <c r="B4000">
        <f>IFERROR(VLOOKUP(A4000,Cadastro_Produtos!A:B,2,FALSE),"")</f>
        <v/>
      </c>
      <c r="D4000" s="12" t="n"/>
      <c r="E4000" s="13">
        <f>IF(D4000="","",D4000-TODAY())</f>
        <v/>
      </c>
      <c r="F4000">
        <f>IF(D4000="","",IF(E4000&lt;0,"VENCIDO",IF(E4000&lt;=30,"VENCE EM &lt;= 30 DIAS",IF(E4000&lt;=60,"ATENCAO (31-60 DIAS)","OK"))))</f>
        <v/>
      </c>
      <c r="G4000" s="13">
        <f>SUMIFS(Movimentacoes!$G:$G,Movimentacoes!$C:$C,$A4000,Movimentacoes!$E:$E,$C4000,Movimentacoes!$B:$B,"ENTRADA")</f>
        <v/>
      </c>
      <c r="H4000" s="13">
        <f>SUMIFS(Movimentacoes!$G:$G,Movimentacoes!$C:$C,$A4000,Movimentacoes!$E:$E,$C4000,Movimentacoes!$B:$B,"SAIDA_USO")</f>
        <v/>
      </c>
      <c r="I4000" s="13">
        <f>SUMIFS(Movimentacoes!$G:$G,Movimentacoes!$C:$C,$A4000,Movimentacoes!$E:$E,$C4000,Movimentacoes!$B:$B,"SAIDA_DESCARTE")</f>
        <v/>
      </c>
      <c r="J4000" s="13">
        <f>G4000-H4000-I4000</f>
        <v/>
      </c>
      <c r="K4000">
        <f>IF(A4000="","",IF(J4000&lt;=IFERROR(VLOOKUP(A4000,Cadastro_Produtos!$A:$E,5,FALSE),0),"ABAIXO DO MINIMO","OK"))</f>
        <v/>
      </c>
    </row>
    <row r="4001">
      <c r="B4001">
        <f>IFERROR(VLOOKUP(A4001,Cadastro_Produtos!A:B,2,FALSE),"")</f>
        <v/>
      </c>
      <c r="D4001" s="12" t="n"/>
      <c r="E4001" s="13">
        <f>IF(D4001="","",D4001-TODAY())</f>
        <v/>
      </c>
      <c r="F4001">
        <f>IF(D4001="","",IF(E4001&lt;0,"VENCIDO",IF(E4001&lt;=30,"VENCE EM &lt;= 30 DIAS",IF(E4001&lt;=60,"ATENCAO (31-60 DIAS)","OK"))))</f>
        <v/>
      </c>
      <c r="G4001" s="13">
        <f>SUMIFS(Movimentacoes!$G:$G,Movimentacoes!$C:$C,$A4001,Movimentacoes!$E:$E,$C4001,Movimentacoes!$B:$B,"ENTRADA")</f>
        <v/>
      </c>
      <c r="H4001" s="13">
        <f>SUMIFS(Movimentacoes!$G:$G,Movimentacoes!$C:$C,$A4001,Movimentacoes!$E:$E,$C4001,Movimentacoes!$B:$B,"SAIDA_USO")</f>
        <v/>
      </c>
      <c r="I4001" s="13">
        <f>SUMIFS(Movimentacoes!$G:$G,Movimentacoes!$C:$C,$A4001,Movimentacoes!$E:$E,$C4001,Movimentacoes!$B:$B,"SAIDA_DESCARTE")</f>
        <v/>
      </c>
      <c r="J4001" s="13">
        <f>G4001-H4001-I4001</f>
        <v/>
      </c>
      <c r="K4001">
        <f>IF(A4001="","",IF(J4001&lt;=IFERROR(VLOOKUP(A4001,Cadastro_Produtos!$A:$E,5,FALSE),0),"ABAIXO DO MINIMO","OK"))</f>
        <v/>
      </c>
    </row>
    <row r="4002">
      <c r="B4002">
        <f>IFERROR(VLOOKUP(A4002,Cadastro_Produtos!A:B,2,FALSE),"")</f>
        <v/>
      </c>
      <c r="D4002" s="12" t="n"/>
      <c r="E4002" s="13">
        <f>IF(D4002="","",D4002-TODAY())</f>
        <v/>
      </c>
      <c r="F4002">
        <f>IF(D4002="","",IF(E4002&lt;0,"VENCIDO",IF(E4002&lt;=30,"VENCE EM &lt;= 30 DIAS",IF(E4002&lt;=60,"ATENCAO (31-60 DIAS)","OK"))))</f>
        <v/>
      </c>
      <c r="G4002" s="13">
        <f>SUMIFS(Movimentacoes!$G:$G,Movimentacoes!$C:$C,$A4002,Movimentacoes!$E:$E,$C4002,Movimentacoes!$B:$B,"ENTRADA")</f>
        <v/>
      </c>
      <c r="H4002" s="13">
        <f>SUMIFS(Movimentacoes!$G:$G,Movimentacoes!$C:$C,$A4002,Movimentacoes!$E:$E,$C4002,Movimentacoes!$B:$B,"SAIDA_USO")</f>
        <v/>
      </c>
      <c r="I4002" s="13">
        <f>SUMIFS(Movimentacoes!$G:$G,Movimentacoes!$C:$C,$A4002,Movimentacoes!$E:$E,$C4002,Movimentacoes!$B:$B,"SAIDA_DESCARTE")</f>
        <v/>
      </c>
      <c r="J4002" s="13">
        <f>G4002-H4002-I4002</f>
        <v/>
      </c>
      <c r="K4002">
        <f>IF(A4002="","",IF(J4002&lt;=IFERROR(VLOOKUP(A4002,Cadastro_Produtos!$A:$E,5,FALSE),0),"ABAIXO DO MINIMO","OK"))</f>
        <v/>
      </c>
    </row>
    <row r="4003">
      <c r="B4003">
        <f>IFERROR(VLOOKUP(A4003,Cadastro_Produtos!A:B,2,FALSE),"")</f>
        <v/>
      </c>
      <c r="D4003" s="12" t="n"/>
      <c r="E4003" s="13">
        <f>IF(D4003="","",D4003-TODAY())</f>
        <v/>
      </c>
      <c r="F4003">
        <f>IF(D4003="","",IF(E4003&lt;0,"VENCIDO",IF(E4003&lt;=30,"VENCE EM &lt;= 30 DIAS",IF(E4003&lt;=60,"ATENCAO (31-60 DIAS)","OK"))))</f>
        <v/>
      </c>
      <c r="G4003" s="13">
        <f>SUMIFS(Movimentacoes!$G:$G,Movimentacoes!$C:$C,$A4003,Movimentacoes!$E:$E,$C4003,Movimentacoes!$B:$B,"ENTRADA")</f>
        <v/>
      </c>
      <c r="H4003" s="13">
        <f>SUMIFS(Movimentacoes!$G:$G,Movimentacoes!$C:$C,$A4003,Movimentacoes!$E:$E,$C4003,Movimentacoes!$B:$B,"SAIDA_USO")</f>
        <v/>
      </c>
      <c r="I4003" s="13">
        <f>SUMIFS(Movimentacoes!$G:$G,Movimentacoes!$C:$C,$A4003,Movimentacoes!$E:$E,$C4003,Movimentacoes!$B:$B,"SAIDA_DESCARTE")</f>
        <v/>
      </c>
      <c r="J4003" s="13">
        <f>G4003-H4003-I4003</f>
        <v/>
      </c>
      <c r="K4003">
        <f>IF(A4003="","",IF(J4003&lt;=IFERROR(VLOOKUP(A4003,Cadastro_Produtos!$A:$E,5,FALSE),0),"ABAIXO DO MINIMO","OK"))</f>
        <v/>
      </c>
    </row>
    <row r="4004">
      <c r="B4004">
        <f>IFERROR(VLOOKUP(A4004,Cadastro_Produtos!A:B,2,FALSE),"")</f>
        <v/>
      </c>
      <c r="D4004" s="12" t="n"/>
      <c r="E4004" s="13">
        <f>IF(D4004="","",D4004-TODAY())</f>
        <v/>
      </c>
      <c r="F4004">
        <f>IF(D4004="","",IF(E4004&lt;0,"VENCIDO",IF(E4004&lt;=30,"VENCE EM &lt;= 30 DIAS",IF(E4004&lt;=60,"ATENCAO (31-60 DIAS)","OK"))))</f>
        <v/>
      </c>
      <c r="G4004" s="13">
        <f>SUMIFS(Movimentacoes!$G:$G,Movimentacoes!$C:$C,$A4004,Movimentacoes!$E:$E,$C4004,Movimentacoes!$B:$B,"ENTRADA")</f>
        <v/>
      </c>
      <c r="H4004" s="13">
        <f>SUMIFS(Movimentacoes!$G:$G,Movimentacoes!$C:$C,$A4004,Movimentacoes!$E:$E,$C4004,Movimentacoes!$B:$B,"SAIDA_USO")</f>
        <v/>
      </c>
      <c r="I4004" s="13">
        <f>SUMIFS(Movimentacoes!$G:$G,Movimentacoes!$C:$C,$A4004,Movimentacoes!$E:$E,$C4004,Movimentacoes!$B:$B,"SAIDA_DESCARTE")</f>
        <v/>
      </c>
      <c r="J4004" s="13">
        <f>G4004-H4004-I4004</f>
        <v/>
      </c>
      <c r="K4004">
        <f>IF(A4004="","",IF(J4004&lt;=IFERROR(VLOOKUP(A4004,Cadastro_Produtos!$A:$E,5,FALSE),0),"ABAIXO DO MINIMO","OK"))</f>
        <v/>
      </c>
    </row>
    <row r="4005">
      <c r="B4005">
        <f>IFERROR(VLOOKUP(A4005,Cadastro_Produtos!A:B,2,FALSE),"")</f>
        <v/>
      </c>
      <c r="D4005" s="12" t="n"/>
      <c r="E4005" s="13">
        <f>IF(D4005="","",D4005-TODAY())</f>
        <v/>
      </c>
      <c r="F4005">
        <f>IF(D4005="","",IF(E4005&lt;0,"VENCIDO",IF(E4005&lt;=30,"VENCE EM &lt;= 30 DIAS",IF(E4005&lt;=60,"ATENCAO (31-60 DIAS)","OK"))))</f>
        <v/>
      </c>
      <c r="G4005" s="13">
        <f>SUMIFS(Movimentacoes!$G:$G,Movimentacoes!$C:$C,$A4005,Movimentacoes!$E:$E,$C4005,Movimentacoes!$B:$B,"ENTRADA")</f>
        <v/>
      </c>
      <c r="H4005" s="13">
        <f>SUMIFS(Movimentacoes!$G:$G,Movimentacoes!$C:$C,$A4005,Movimentacoes!$E:$E,$C4005,Movimentacoes!$B:$B,"SAIDA_USO")</f>
        <v/>
      </c>
      <c r="I4005" s="13">
        <f>SUMIFS(Movimentacoes!$G:$G,Movimentacoes!$C:$C,$A4005,Movimentacoes!$E:$E,$C4005,Movimentacoes!$B:$B,"SAIDA_DESCARTE")</f>
        <v/>
      </c>
      <c r="J4005" s="13">
        <f>G4005-H4005-I4005</f>
        <v/>
      </c>
      <c r="K4005">
        <f>IF(A4005="","",IF(J4005&lt;=IFERROR(VLOOKUP(A4005,Cadastro_Produtos!$A:$E,5,FALSE),0),"ABAIXO DO MINIMO","OK"))</f>
        <v/>
      </c>
    </row>
    <row r="4006">
      <c r="B4006">
        <f>IFERROR(VLOOKUP(A4006,Cadastro_Produtos!A:B,2,FALSE),"")</f>
        <v/>
      </c>
      <c r="D4006" s="12" t="n"/>
      <c r="E4006" s="13">
        <f>IF(D4006="","",D4006-TODAY())</f>
        <v/>
      </c>
      <c r="F4006">
        <f>IF(D4006="","",IF(E4006&lt;0,"VENCIDO",IF(E4006&lt;=30,"VENCE EM &lt;= 30 DIAS",IF(E4006&lt;=60,"ATENCAO (31-60 DIAS)","OK"))))</f>
        <v/>
      </c>
      <c r="G4006" s="13">
        <f>SUMIFS(Movimentacoes!$G:$G,Movimentacoes!$C:$C,$A4006,Movimentacoes!$E:$E,$C4006,Movimentacoes!$B:$B,"ENTRADA")</f>
        <v/>
      </c>
      <c r="H4006" s="13">
        <f>SUMIFS(Movimentacoes!$G:$G,Movimentacoes!$C:$C,$A4006,Movimentacoes!$E:$E,$C4006,Movimentacoes!$B:$B,"SAIDA_USO")</f>
        <v/>
      </c>
      <c r="I4006" s="13">
        <f>SUMIFS(Movimentacoes!$G:$G,Movimentacoes!$C:$C,$A4006,Movimentacoes!$E:$E,$C4006,Movimentacoes!$B:$B,"SAIDA_DESCARTE")</f>
        <v/>
      </c>
      <c r="J4006" s="13">
        <f>G4006-H4006-I4006</f>
        <v/>
      </c>
      <c r="K4006">
        <f>IF(A4006="","",IF(J4006&lt;=IFERROR(VLOOKUP(A4006,Cadastro_Produtos!$A:$E,5,FALSE),0),"ABAIXO DO MINIMO","OK"))</f>
        <v/>
      </c>
    </row>
    <row r="4007">
      <c r="B4007">
        <f>IFERROR(VLOOKUP(A4007,Cadastro_Produtos!A:B,2,FALSE),"")</f>
        <v/>
      </c>
      <c r="D4007" s="12" t="n"/>
      <c r="E4007" s="13">
        <f>IF(D4007="","",D4007-TODAY())</f>
        <v/>
      </c>
      <c r="F4007">
        <f>IF(D4007="","",IF(E4007&lt;0,"VENCIDO",IF(E4007&lt;=30,"VENCE EM &lt;= 30 DIAS",IF(E4007&lt;=60,"ATENCAO (31-60 DIAS)","OK"))))</f>
        <v/>
      </c>
      <c r="G4007" s="13">
        <f>SUMIFS(Movimentacoes!$G:$G,Movimentacoes!$C:$C,$A4007,Movimentacoes!$E:$E,$C4007,Movimentacoes!$B:$B,"ENTRADA")</f>
        <v/>
      </c>
      <c r="H4007" s="13">
        <f>SUMIFS(Movimentacoes!$G:$G,Movimentacoes!$C:$C,$A4007,Movimentacoes!$E:$E,$C4007,Movimentacoes!$B:$B,"SAIDA_USO")</f>
        <v/>
      </c>
      <c r="I4007" s="13">
        <f>SUMIFS(Movimentacoes!$G:$G,Movimentacoes!$C:$C,$A4007,Movimentacoes!$E:$E,$C4007,Movimentacoes!$B:$B,"SAIDA_DESCARTE")</f>
        <v/>
      </c>
      <c r="J4007" s="13">
        <f>G4007-H4007-I4007</f>
        <v/>
      </c>
      <c r="K4007">
        <f>IF(A4007="","",IF(J4007&lt;=IFERROR(VLOOKUP(A4007,Cadastro_Produtos!$A:$E,5,FALSE),0),"ABAIXO DO MINIMO","OK"))</f>
        <v/>
      </c>
    </row>
    <row r="4008">
      <c r="B4008">
        <f>IFERROR(VLOOKUP(A4008,Cadastro_Produtos!A:B,2,FALSE),"")</f>
        <v/>
      </c>
      <c r="D4008" s="12" t="n"/>
      <c r="E4008" s="13">
        <f>IF(D4008="","",D4008-TODAY())</f>
        <v/>
      </c>
      <c r="F4008">
        <f>IF(D4008="","",IF(E4008&lt;0,"VENCIDO",IF(E4008&lt;=30,"VENCE EM &lt;= 30 DIAS",IF(E4008&lt;=60,"ATENCAO (31-60 DIAS)","OK"))))</f>
        <v/>
      </c>
      <c r="G4008" s="13">
        <f>SUMIFS(Movimentacoes!$G:$G,Movimentacoes!$C:$C,$A4008,Movimentacoes!$E:$E,$C4008,Movimentacoes!$B:$B,"ENTRADA")</f>
        <v/>
      </c>
      <c r="H4008" s="13">
        <f>SUMIFS(Movimentacoes!$G:$G,Movimentacoes!$C:$C,$A4008,Movimentacoes!$E:$E,$C4008,Movimentacoes!$B:$B,"SAIDA_USO")</f>
        <v/>
      </c>
      <c r="I4008" s="13">
        <f>SUMIFS(Movimentacoes!$G:$G,Movimentacoes!$C:$C,$A4008,Movimentacoes!$E:$E,$C4008,Movimentacoes!$B:$B,"SAIDA_DESCARTE")</f>
        <v/>
      </c>
      <c r="J4008" s="13">
        <f>G4008-H4008-I4008</f>
        <v/>
      </c>
      <c r="K4008">
        <f>IF(A4008="","",IF(J4008&lt;=IFERROR(VLOOKUP(A4008,Cadastro_Produtos!$A:$E,5,FALSE),0),"ABAIXO DO MINIMO","OK"))</f>
        <v/>
      </c>
    </row>
    <row r="4009">
      <c r="B4009">
        <f>IFERROR(VLOOKUP(A4009,Cadastro_Produtos!A:B,2,FALSE),"")</f>
        <v/>
      </c>
      <c r="D4009" s="12" t="n"/>
      <c r="E4009" s="13">
        <f>IF(D4009="","",D4009-TODAY())</f>
        <v/>
      </c>
      <c r="F4009">
        <f>IF(D4009="","",IF(E4009&lt;0,"VENCIDO",IF(E4009&lt;=30,"VENCE EM &lt;= 30 DIAS",IF(E4009&lt;=60,"ATENCAO (31-60 DIAS)","OK"))))</f>
        <v/>
      </c>
      <c r="G4009" s="13">
        <f>SUMIFS(Movimentacoes!$G:$G,Movimentacoes!$C:$C,$A4009,Movimentacoes!$E:$E,$C4009,Movimentacoes!$B:$B,"ENTRADA")</f>
        <v/>
      </c>
      <c r="H4009" s="13">
        <f>SUMIFS(Movimentacoes!$G:$G,Movimentacoes!$C:$C,$A4009,Movimentacoes!$E:$E,$C4009,Movimentacoes!$B:$B,"SAIDA_USO")</f>
        <v/>
      </c>
      <c r="I4009" s="13">
        <f>SUMIFS(Movimentacoes!$G:$G,Movimentacoes!$C:$C,$A4009,Movimentacoes!$E:$E,$C4009,Movimentacoes!$B:$B,"SAIDA_DESCARTE")</f>
        <v/>
      </c>
      <c r="J4009" s="13">
        <f>G4009-H4009-I4009</f>
        <v/>
      </c>
      <c r="K4009">
        <f>IF(A4009="","",IF(J4009&lt;=IFERROR(VLOOKUP(A4009,Cadastro_Produtos!$A:$E,5,FALSE),0),"ABAIXO DO MINIMO","OK"))</f>
        <v/>
      </c>
    </row>
    <row r="4010">
      <c r="B4010">
        <f>IFERROR(VLOOKUP(A4010,Cadastro_Produtos!A:B,2,FALSE),"")</f>
        <v/>
      </c>
      <c r="D4010" s="12" t="n"/>
      <c r="E4010" s="13">
        <f>IF(D4010="","",D4010-TODAY())</f>
        <v/>
      </c>
      <c r="F4010">
        <f>IF(D4010="","",IF(E4010&lt;0,"VENCIDO",IF(E4010&lt;=30,"VENCE EM &lt;= 30 DIAS",IF(E4010&lt;=60,"ATENCAO (31-60 DIAS)","OK"))))</f>
        <v/>
      </c>
      <c r="G4010" s="13">
        <f>SUMIFS(Movimentacoes!$G:$G,Movimentacoes!$C:$C,$A4010,Movimentacoes!$E:$E,$C4010,Movimentacoes!$B:$B,"ENTRADA")</f>
        <v/>
      </c>
      <c r="H4010" s="13">
        <f>SUMIFS(Movimentacoes!$G:$G,Movimentacoes!$C:$C,$A4010,Movimentacoes!$E:$E,$C4010,Movimentacoes!$B:$B,"SAIDA_USO")</f>
        <v/>
      </c>
      <c r="I4010" s="13">
        <f>SUMIFS(Movimentacoes!$G:$G,Movimentacoes!$C:$C,$A4010,Movimentacoes!$E:$E,$C4010,Movimentacoes!$B:$B,"SAIDA_DESCARTE")</f>
        <v/>
      </c>
      <c r="J4010" s="13">
        <f>G4010-H4010-I4010</f>
        <v/>
      </c>
      <c r="K4010">
        <f>IF(A4010="","",IF(J4010&lt;=IFERROR(VLOOKUP(A4010,Cadastro_Produtos!$A:$E,5,FALSE),0),"ABAIXO DO MINIMO","OK"))</f>
        <v/>
      </c>
    </row>
    <row r="4011">
      <c r="B4011">
        <f>IFERROR(VLOOKUP(A4011,Cadastro_Produtos!A:B,2,FALSE),"")</f>
        <v/>
      </c>
      <c r="D4011" s="12" t="n"/>
      <c r="E4011" s="13">
        <f>IF(D4011="","",D4011-TODAY())</f>
        <v/>
      </c>
      <c r="F4011">
        <f>IF(D4011="","",IF(E4011&lt;0,"VENCIDO",IF(E4011&lt;=30,"VENCE EM &lt;= 30 DIAS",IF(E4011&lt;=60,"ATENCAO (31-60 DIAS)","OK"))))</f>
        <v/>
      </c>
      <c r="G4011" s="13">
        <f>SUMIFS(Movimentacoes!$G:$G,Movimentacoes!$C:$C,$A4011,Movimentacoes!$E:$E,$C4011,Movimentacoes!$B:$B,"ENTRADA")</f>
        <v/>
      </c>
      <c r="H4011" s="13">
        <f>SUMIFS(Movimentacoes!$G:$G,Movimentacoes!$C:$C,$A4011,Movimentacoes!$E:$E,$C4011,Movimentacoes!$B:$B,"SAIDA_USO")</f>
        <v/>
      </c>
      <c r="I4011" s="13">
        <f>SUMIFS(Movimentacoes!$G:$G,Movimentacoes!$C:$C,$A4011,Movimentacoes!$E:$E,$C4011,Movimentacoes!$B:$B,"SAIDA_DESCARTE")</f>
        <v/>
      </c>
      <c r="J4011" s="13">
        <f>G4011-H4011-I4011</f>
        <v/>
      </c>
      <c r="K4011">
        <f>IF(A4011="","",IF(J4011&lt;=IFERROR(VLOOKUP(A4011,Cadastro_Produtos!$A:$E,5,FALSE),0),"ABAIXO DO MINIMO","OK"))</f>
        <v/>
      </c>
    </row>
    <row r="4012">
      <c r="B4012">
        <f>IFERROR(VLOOKUP(A4012,Cadastro_Produtos!A:B,2,FALSE),"")</f>
        <v/>
      </c>
      <c r="D4012" s="12" t="n"/>
      <c r="E4012" s="13">
        <f>IF(D4012="","",D4012-TODAY())</f>
        <v/>
      </c>
      <c r="F4012">
        <f>IF(D4012="","",IF(E4012&lt;0,"VENCIDO",IF(E4012&lt;=30,"VENCE EM &lt;= 30 DIAS",IF(E4012&lt;=60,"ATENCAO (31-60 DIAS)","OK"))))</f>
        <v/>
      </c>
      <c r="G4012" s="13">
        <f>SUMIFS(Movimentacoes!$G:$G,Movimentacoes!$C:$C,$A4012,Movimentacoes!$E:$E,$C4012,Movimentacoes!$B:$B,"ENTRADA")</f>
        <v/>
      </c>
      <c r="H4012" s="13">
        <f>SUMIFS(Movimentacoes!$G:$G,Movimentacoes!$C:$C,$A4012,Movimentacoes!$E:$E,$C4012,Movimentacoes!$B:$B,"SAIDA_USO")</f>
        <v/>
      </c>
      <c r="I4012" s="13">
        <f>SUMIFS(Movimentacoes!$G:$G,Movimentacoes!$C:$C,$A4012,Movimentacoes!$E:$E,$C4012,Movimentacoes!$B:$B,"SAIDA_DESCARTE")</f>
        <v/>
      </c>
      <c r="J4012" s="13">
        <f>G4012-H4012-I4012</f>
        <v/>
      </c>
      <c r="K4012">
        <f>IF(A4012="","",IF(J4012&lt;=IFERROR(VLOOKUP(A4012,Cadastro_Produtos!$A:$E,5,FALSE),0),"ABAIXO DO MINIMO","OK"))</f>
        <v/>
      </c>
    </row>
    <row r="4013">
      <c r="B4013">
        <f>IFERROR(VLOOKUP(A4013,Cadastro_Produtos!A:B,2,FALSE),"")</f>
        <v/>
      </c>
      <c r="D4013" s="12" t="n"/>
      <c r="E4013" s="13">
        <f>IF(D4013="","",D4013-TODAY())</f>
        <v/>
      </c>
      <c r="F4013">
        <f>IF(D4013="","",IF(E4013&lt;0,"VENCIDO",IF(E4013&lt;=30,"VENCE EM &lt;= 30 DIAS",IF(E4013&lt;=60,"ATENCAO (31-60 DIAS)","OK"))))</f>
        <v/>
      </c>
      <c r="G4013" s="13">
        <f>SUMIFS(Movimentacoes!$G:$G,Movimentacoes!$C:$C,$A4013,Movimentacoes!$E:$E,$C4013,Movimentacoes!$B:$B,"ENTRADA")</f>
        <v/>
      </c>
      <c r="H4013" s="13">
        <f>SUMIFS(Movimentacoes!$G:$G,Movimentacoes!$C:$C,$A4013,Movimentacoes!$E:$E,$C4013,Movimentacoes!$B:$B,"SAIDA_USO")</f>
        <v/>
      </c>
      <c r="I4013" s="13">
        <f>SUMIFS(Movimentacoes!$G:$G,Movimentacoes!$C:$C,$A4013,Movimentacoes!$E:$E,$C4013,Movimentacoes!$B:$B,"SAIDA_DESCARTE")</f>
        <v/>
      </c>
      <c r="J4013" s="13">
        <f>G4013-H4013-I4013</f>
        <v/>
      </c>
      <c r="K4013">
        <f>IF(A4013="","",IF(J4013&lt;=IFERROR(VLOOKUP(A4013,Cadastro_Produtos!$A:$E,5,FALSE),0),"ABAIXO DO MINIMO","OK"))</f>
        <v/>
      </c>
    </row>
    <row r="4014">
      <c r="B4014">
        <f>IFERROR(VLOOKUP(A4014,Cadastro_Produtos!A:B,2,FALSE),"")</f>
        <v/>
      </c>
      <c r="D4014" s="12" t="n"/>
      <c r="E4014" s="13">
        <f>IF(D4014="","",D4014-TODAY())</f>
        <v/>
      </c>
      <c r="F4014">
        <f>IF(D4014="","",IF(E4014&lt;0,"VENCIDO",IF(E4014&lt;=30,"VENCE EM &lt;= 30 DIAS",IF(E4014&lt;=60,"ATENCAO (31-60 DIAS)","OK"))))</f>
        <v/>
      </c>
      <c r="G4014" s="13">
        <f>SUMIFS(Movimentacoes!$G:$G,Movimentacoes!$C:$C,$A4014,Movimentacoes!$E:$E,$C4014,Movimentacoes!$B:$B,"ENTRADA")</f>
        <v/>
      </c>
      <c r="H4014" s="13">
        <f>SUMIFS(Movimentacoes!$G:$G,Movimentacoes!$C:$C,$A4014,Movimentacoes!$E:$E,$C4014,Movimentacoes!$B:$B,"SAIDA_USO")</f>
        <v/>
      </c>
      <c r="I4014" s="13">
        <f>SUMIFS(Movimentacoes!$G:$G,Movimentacoes!$C:$C,$A4014,Movimentacoes!$E:$E,$C4014,Movimentacoes!$B:$B,"SAIDA_DESCARTE")</f>
        <v/>
      </c>
      <c r="J4014" s="13">
        <f>G4014-H4014-I4014</f>
        <v/>
      </c>
      <c r="K4014">
        <f>IF(A4014="","",IF(J4014&lt;=IFERROR(VLOOKUP(A4014,Cadastro_Produtos!$A:$E,5,FALSE),0),"ABAIXO DO MINIMO","OK"))</f>
        <v/>
      </c>
    </row>
    <row r="4015">
      <c r="B4015">
        <f>IFERROR(VLOOKUP(A4015,Cadastro_Produtos!A:B,2,FALSE),"")</f>
        <v/>
      </c>
      <c r="D4015" s="12" t="n"/>
      <c r="E4015" s="13">
        <f>IF(D4015="","",D4015-TODAY())</f>
        <v/>
      </c>
      <c r="F4015">
        <f>IF(D4015="","",IF(E4015&lt;0,"VENCIDO",IF(E4015&lt;=30,"VENCE EM &lt;= 30 DIAS",IF(E4015&lt;=60,"ATENCAO (31-60 DIAS)","OK"))))</f>
        <v/>
      </c>
      <c r="G4015" s="13">
        <f>SUMIFS(Movimentacoes!$G:$G,Movimentacoes!$C:$C,$A4015,Movimentacoes!$E:$E,$C4015,Movimentacoes!$B:$B,"ENTRADA")</f>
        <v/>
      </c>
      <c r="H4015" s="13">
        <f>SUMIFS(Movimentacoes!$G:$G,Movimentacoes!$C:$C,$A4015,Movimentacoes!$E:$E,$C4015,Movimentacoes!$B:$B,"SAIDA_USO")</f>
        <v/>
      </c>
      <c r="I4015" s="13">
        <f>SUMIFS(Movimentacoes!$G:$G,Movimentacoes!$C:$C,$A4015,Movimentacoes!$E:$E,$C4015,Movimentacoes!$B:$B,"SAIDA_DESCARTE")</f>
        <v/>
      </c>
      <c r="J4015" s="13">
        <f>G4015-H4015-I4015</f>
        <v/>
      </c>
      <c r="K4015">
        <f>IF(A4015="","",IF(J4015&lt;=IFERROR(VLOOKUP(A4015,Cadastro_Produtos!$A:$E,5,FALSE),0),"ABAIXO DO MINIMO","OK"))</f>
        <v/>
      </c>
    </row>
    <row r="4016">
      <c r="B4016">
        <f>IFERROR(VLOOKUP(A4016,Cadastro_Produtos!A:B,2,FALSE),"")</f>
        <v/>
      </c>
      <c r="D4016" s="12" t="n"/>
      <c r="E4016" s="13">
        <f>IF(D4016="","",D4016-TODAY())</f>
        <v/>
      </c>
      <c r="F4016">
        <f>IF(D4016="","",IF(E4016&lt;0,"VENCIDO",IF(E4016&lt;=30,"VENCE EM &lt;= 30 DIAS",IF(E4016&lt;=60,"ATENCAO (31-60 DIAS)","OK"))))</f>
        <v/>
      </c>
      <c r="G4016" s="13">
        <f>SUMIFS(Movimentacoes!$G:$G,Movimentacoes!$C:$C,$A4016,Movimentacoes!$E:$E,$C4016,Movimentacoes!$B:$B,"ENTRADA")</f>
        <v/>
      </c>
      <c r="H4016" s="13">
        <f>SUMIFS(Movimentacoes!$G:$G,Movimentacoes!$C:$C,$A4016,Movimentacoes!$E:$E,$C4016,Movimentacoes!$B:$B,"SAIDA_USO")</f>
        <v/>
      </c>
      <c r="I4016" s="13">
        <f>SUMIFS(Movimentacoes!$G:$G,Movimentacoes!$C:$C,$A4016,Movimentacoes!$E:$E,$C4016,Movimentacoes!$B:$B,"SAIDA_DESCARTE")</f>
        <v/>
      </c>
      <c r="J4016" s="13">
        <f>G4016-H4016-I4016</f>
        <v/>
      </c>
      <c r="K4016">
        <f>IF(A4016="","",IF(J4016&lt;=IFERROR(VLOOKUP(A4016,Cadastro_Produtos!$A:$E,5,FALSE),0),"ABAIXO DO MINIMO","OK"))</f>
        <v/>
      </c>
    </row>
    <row r="4017">
      <c r="B4017">
        <f>IFERROR(VLOOKUP(A4017,Cadastro_Produtos!A:B,2,FALSE),"")</f>
        <v/>
      </c>
      <c r="D4017" s="12" t="n"/>
      <c r="E4017" s="13">
        <f>IF(D4017="","",D4017-TODAY())</f>
        <v/>
      </c>
      <c r="F4017">
        <f>IF(D4017="","",IF(E4017&lt;0,"VENCIDO",IF(E4017&lt;=30,"VENCE EM &lt;= 30 DIAS",IF(E4017&lt;=60,"ATENCAO (31-60 DIAS)","OK"))))</f>
        <v/>
      </c>
      <c r="G4017" s="13">
        <f>SUMIFS(Movimentacoes!$G:$G,Movimentacoes!$C:$C,$A4017,Movimentacoes!$E:$E,$C4017,Movimentacoes!$B:$B,"ENTRADA")</f>
        <v/>
      </c>
      <c r="H4017" s="13">
        <f>SUMIFS(Movimentacoes!$G:$G,Movimentacoes!$C:$C,$A4017,Movimentacoes!$E:$E,$C4017,Movimentacoes!$B:$B,"SAIDA_USO")</f>
        <v/>
      </c>
      <c r="I4017" s="13">
        <f>SUMIFS(Movimentacoes!$G:$G,Movimentacoes!$C:$C,$A4017,Movimentacoes!$E:$E,$C4017,Movimentacoes!$B:$B,"SAIDA_DESCARTE")</f>
        <v/>
      </c>
      <c r="J4017" s="13">
        <f>G4017-H4017-I4017</f>
        <v/>
      </c>
      <c r="K4017">
        <f>IF(A4017="","",IF(J4017&lt;=IFERROR(VLOOKUP(A4017,Cadastro_Produtos!$A:$E,5,FALSE),0),"ABAIXO DO MINIMO","OK"))</f>
        <v/>
      </c>
    </row>
    <row r="4018">
      <c r="B4018">
        <f>IFERROR(VLOOKUP(A4018,Cadastro_Produtos!A:B,2,FALSE),"")</f>
        <v/>
      </c>
      <c r="D4018" s="12" t="n"/>
      <c r="E4018" s="13">
        <f>IF(D4018="","",D4018-TODAY())</f>
        <v/>
      </c>
      <c r="F4018">
        <f>IF(D4018="","",IF(E4018&lt;0,"VENCIDO",IF(E4018&lt;=30,"VENCE EM &lt;= 30 DIAS",IF(E4018&lt;=60,"ATENCAO (31-60 DIAS)","OK"))))</f>
        <v/>
      </c>
      <c r="G4018" s="13">
        <f>SUMIFS(Movimentacoes!$G:$G,Movimentacoes!$C:$C,$A4018,Movimentacoes!$E:$E,$C4018,Movimentacoes!$B:$B,"ENTRADA")</f>
        <v/>
      </c>
      <c r="H4018" s="13">
        <f>SUMIFS(Movimentacoes!$G:$G,Movimentacoes!$C:$C,$A4018,Movimentacoes!$E:$E,$C4018,Movimentacoes!$B:$B,"SAIDA_USO")</f>
        <v/>
      </c>
      <c r="I4018" s="13">
        <f>SUMIFS(Movimentacoes!$G:$G,Movimentacoes!$C:$C,$A4018,Movimentacoes!$E:$E,$C4018,Movimentacoes!$B:$B,"SAIDA_DESCARTE")</f>
        <v/>
      </c>
      <c r="J4018" s="13">
        <f>G4018-H4018-I4018</f>
        <v/>
      </c>
      <c r="K4018">
        <f>IF(A4018="","",IF(J4018&lt;=IFERROR(VLOOKUP(A4018,Cadastro_Produtos!$A:$E,5,FALSE),0),"ABAIXO DO MINIMO","OK"))</f>
        <v/>
      </c>
    </row>
    <row r="4019">
      <c r="B4019">
        <f>IFERROR(VLOOKUP(A4019,Cadastro_Produtos!A:B,2,FALSE),"")</f>
        <v/>
      </c>
      <c r="D4019" s="12" t="n"/>
      <c r="E4019" s="13">
        <f>IF(D4019="","",D4019-TODAY())</f>
        <v/>
      </c>
      <c r="F4019">
        <f>IF(D4019="","",IF(E4019&lt;0,"VENCIDO",IF(E4019&lt;=30,"VENCE EM &lt;= 30 DIAS",IF(E4019&lt;=60,"ATENCAO (31-60 DIAS)","OK"))))</f>
        <v/>
      </c>
      <c r="G4019" s="13">
        <f>SUMIFS(Movimentacoes!$G:$G,Movimentacoes!$C:$C,$A4019,Movimentacoes!$E:$E,$C4019,Movimentacoes!$B:$B,"ENTRADA")</f>
        <v/>
      </c>
      <c r="H4019" s="13">
        <f>SUMIFS(Movimentacoes!$G:$G,Movimentacoes!$C:$C,$A4019,Movimentacoes!$E:$E,$C4019,Movimentacoes!$B:$B,"SAIDA_USO")</f>
        <v/>
      </c>
      <c r="I4019" s="13">
        <f>SUMIFS(Movimentacoes!$G:$G,Movimentacoes!$C:$C,$A4019,Movimentacoes!$E:$E,$C4019,Movimentacoes!$B:$B,"SAIDA_DESCARTE")</f>
        <v/>
      </c>
      <c r="J4019" s="13">
        <f>G4019-H4019-I4019</f>
        <v/>
      </c>
      <c r="K4019">
        <f>IF(A4019="","",IF(J4019&lt;=IFERROR(VLOOKUP(A4019,Cadastro_Produtos!$A:$E,5,FALSE),0),"ABAIXO DO MINIMO","OK"))</f>
        <v/>
      </c>
    </row>
    <row r="4020">
      <c r="B4020">
        <f>IFERROR(VLOOKUP(A4020,Cadastro_Produtos!A:B,2,FALSE),"")</f>
        <v/>
      </c>
      <c r="D4020" s="12" t="n"/>
      <c r="E4020" s="13">
        <f>IF(D4020="","",D4020-TODAY())</f>
        <v/>
      </c>
      <c r="F4020">
        <f>IF(D4020="","",IF(E4020&lt;0,"VENCIDO",IF(E4020&lt;=30,"VENCE EM &lt;= 30 DIAS",IF(E4020&lt;=60,"ATENCAO (31-60 DIAS)","OK"))))</f>
        <v/>
      </c>
      <c r="G4020" s="13">
        <f>SUMIFS(Movimentacoes!$G:$G,Movimentacoes!$C:$C,$A4020,Movimentacoes!$E:$E,$C4020,Movimentacoes!$B:$B,"ENTRADA")</f>
        <v/>
      </c>
      <c r="H4020" s="13">
        <f>SUMIFS(Movimentacoes!$G:$G,Movimentacoes!$C:$C,$A4020,Movimentacoes!$E:$E,$C4020,Movimentacoes!$B:$B,"SAIDA_USO")</f>
        <v/>
      </c>
      <c r="I4020" s="13">
        <f>SUMIFS(Movimentacoes!$G:$G,Movimentacoes!$C:$C,$A4020,Movimentacoes!$E:$E,$C4020,Movimentacoes!$B:$B,"SAIDA_DESCARTE")</f>
        <v/>
      </c>
      <c r="J4020" s="13">
        <f>G4020-H4020-I4020</f>
        <v/>
      </c>
      <c r="K4020">
        <f>IF(A4020="","",IF(J4020&lt;=IFERROR(VLOOKUP(A4020,Cadastro_Produtos!$A:$E,5,FALSE),0),"ABAIXO DO MINIMO","OK"))</f>
        <v/>
      </c>
    </row>
    <row r="4021">
      <c r="B4021">
        <f>IFERROR(VLOOKUP(A4021,Cadastro_Produtos!A:B,2,FALSE),"")</f>
        <v/>
      </c>
      <c r="D4021" s="12" t="n"/>
      <c r="E4021" s="13">
        <f>IF(D4021="","",D4021-TODAY())</f>
        <v/>
      </c>
      <c r="F4021">
        <f>IF(D4021="","",IF(E4021&lt;0,"VENCIDO",IF(E4021&lt;=30,"VENCE EM &lt;= 30 DIAS",IF(E4021&lt;=60,"ATENCAO (31-60 DIAS)","OK"))))</f>
        <v/>
      </c>
      <c r="G4021" s="13">
        <f>SUMIFS(Movimentacoes!$G:$G,Movimentacoes!$C:$C,$A4021,Movimentacoes!$E:$E,$C4021,Movimentacoes!$B:$B,"ENTRADA")</f>
        <v/>
      </c>
      <c r="H4021" s="13">
        <f>SUMIFS(Movimentacoes!$G:$G,Movimentacoes!$C:$C,$A4021,Movimentacoes!$E:$E,$C4021,Movimentacoes!$B:$B,"SAIDA_USO")</f>
        <v/>
      </c>
      <c r="I4021" s="13">
        <f>SUMIFS(Movimentacoes!$G:$G,Movimentacoes!$C:$C,$A4021,Movimentacoes!$E:$E,$C4021,Movimentacoes!$B:$B,"SAIDA_DESCARTE")</f>
        <v/>
      </c>
      <c r="J4021" s="13">
        <f>G4021-H4021-I4021</f>
        <v/>
      </c>
      <c r="K4021">
        <f>IF(A4021="","",IF(J4021&lt;=IFERROR(VLOOKUP(A4021,Cadastro_Produtos!$A:$E,5,FALSE),0),"ABAIXO DO MINIMO","OK"))</f>
        <v/>
      </c>
    </row>
    <row r="4022">
      <c r="B4022">
        <f>IFERROR(VLOOKUP(A4022,Cadastro_Produtos!A:B,2,FALSE),"")</f>
        <v/>
      </c>
      <c r="D4022" s="12" t="n"/>
      <c r="E4022" s="13">
        <f>IF(D4022="","",D4022-TODAY())</f>
        <v/>
      </c>
      <c r="F4022">
        <f>IF(D4022="","",IF(E4022&lt;0,"VENCIDO",IF(E4022&lt;=30,"VENCE EM &lt;= 30 DIAS",IF(E4022&lt;=60,"ATENCAO (31-60 DIAS)","OK"))))</f>
        <v/>
      </c>
      <c r="G4022" s="13">
        <f>SUMIFS(Movimentacoes!$G:$G,Movimentacoes!$C:$C,$A4022,Movimentacoes!$E:$E,$C4022,Movimentacoes!$B:$B,"ENTRADA")</f>
        <v/>
      </c>
      <c r="H4022" s="13">
        <f>SUMIFS(Movimentacoes!$G:$G,Movimentacoes!$C:$C,$A4022,Movimentacoes!$E:$E,$C4022,Movimentacoes!$B:$B,"SAIDA_USO")</f>
        <v/>
      </c>
      <c r="I4022" s="13">
        <f>SUMIFS(Movimentacoes!$G:$G,Movimentacoes!$C:$C,$A4022,Movimentacoes!$E:$E,$C4022,Movimentacoes!$B:$B,"SAIDA_DESCARTE")</f>
        <v/>
      </c>
      <c r="J4022" s="13">
        <f>G4022-H4022-I4022</f>
        <v/>
      </c>
      <c r="K4022">
        <f>IF(A4022="","",IF(J4022&lt;=IFERROR(VLOOKUP(A4022,Cadastro_Produtos!$A:$E,5,FALSE),0),"ABAIXO DO MINIMO","OK"))</f>
        <v/>
      </c>
    </row>
    <row r="4023">
      <c r="B4023">
        <f>IFERROR(VLOOKUP(A4023,Cadastro_Produtos!A:B,2,FALSE),"")</f>
        <v/>
      </c>
      <c r="D4023" s="12" t="n"/>
      <c r="E4023" s="13">
        <f>IF(D4023="","",D4023-TODAY())</f>
        <v/>
      </c>
      <c r="F4023">
        <f>IF(D4023="","",IF(E4023&lt;0,"VENCIDO",IF(E4023&lt;=30,"VENCE EM &lt;= 30 DIAS",IF(E4023&lt;=60,"ATENCAO (31-60 DIAS)","OK"))))</f>
        <v/>
      </c>
      <c r="G4023" s="13">
        <f>SUMIFS(Movimentacoes!$G:$G,Movimentacoes!$C:$C,$A4023,Movimentacoes!$E:$E,$C4023,Movimentacoes!$B:$B,"ENTRADA")</f>
        <v/>
      </c>
      <c r="H4023" s="13">
        <f>SUMIFS(Movimentacoes!$G:$G,Movimentacoes!$C:$C,$A4023,Movimentacoes!$E:$E,$C4023,Movimentacoes!$B:$B,"SAIDA_USO")</f>
        <v/>
      </c>
      <c r="I4023" s="13">
        <f>SUMIFS(Movimentacoes!$G:$G,Movimentacoes!$C:$C,$A4023,Movimentacoes!$E:$E,$C4023,Movimentacoes!$B:$B,"SAIDA_DESCARTE")</f>
        <v/>
      </c>
      <c r="J4023" s="13">
        <f>G4023-H4023-I4023</f>
        <v/>
      </c>
      <c r="K4023">
        <f>IF(A4023="","",IF(J4023&lt;=IFERROR(VLOOKUP(A4023,Cadastro_Produtos!$A:$E,5,FALSE),0),"ABAIXO DO MINIMO","OK"))</f>
        <v/>
      </c>
    </row>
    <row r="4024">
      <c r="B4024">
        <f>IFERROR(VLOOKUP(A4024,Cadastro_Produtos!A:B,2,FALSE),"")</f>
        <v/>
      </c>
      <c r="D4024" s="12" t="n"/>
      <c r="E4024" s="13">
        <f>IF(D4024="","",D4024-TODAY())</f>
        <v/>
      </c>
      <c r="F4024">
        <f>IF(D4024="","",IF(E4024&lt;0,"VENCIDO",IF(E4024&lt;=30,"VENCE EM &lt;= 30 DIAS",IF(E4024&lt;=60,"ATENCAO (31-60 DIAS)","OK"))))</f>
        <v/>
      </c>
      <c r="G4024" s="13">
        <f>SUMIFS(Movimentacoes!$G:$G,Movimentacoes!$C:$C,$A4024,Movimentacoes!$E:$E,$C4024,Movimentacoes!$B:$B,"ENTRADA")</f>
        <v/>
      </c>
      <c r="H4024" s="13">
        <f>SUMIFS(Movimentacoes!$G:$G,Movimentacoes!$C:$C,$A4024,Movimentacoes!$E:$E,$C4024,Movimentacoes!$B:$B,"SAIDA_USO")</f>
        <v/>
      </c>
      <c r="I4024" s="13">
        <f>SUMIFS(Movimentacoes!$G:$G,Movimentacoes!$C:$C,$A4024,Movimentacoes!$E:$E,$C4024,Movimentacoes!$B:$B,"SAIDA_DESCARTE")</f>
        <v/>
      </c>
      <c r="J4024" s="13">
        <f>G4024-H4024-I4024</f>
        <v/>
      </c>
      <c r="K4024">
        <f>IF(A4024="","",IF(J4024&lt;=IFERROR(VLOOKUP(A4024,Cadastro_Produtos!$A:$E,5,FALSE),0),"ABAIXO DO MINIMO","OK"))</f>
        <v/>
      </c>
    </row>
    <row r="4025">
      <c r="B4025">
        <f>IFERROR(VLOOKUP(A4025,Cadastro_Produtos!A:B,2,FALSE),"")</f>
        <v/>
      </c>
      <c r="D4025" s="12" t="n"/>
      <c r="E4025" s="13">
        <f>IF(D4025="","",D4025-TODAY())</f>
        <v/>
      </c>
      <c r="F4025">
        <f>IF(D4025="","",IF(E4025&lt;0,"VENCIDO",IF(E4025&lt;=30,"VENCE EM &lt;= 30 DIAS",IF(E4025&lt;=60,"ATENCAO (31-60 DIAS)","OK"))))</f>
        <v/>
      </c>
      <c r="G4025" s="13">
        <f>SUMIFS(Movimentacoes!$G:$G,Movimentacoes!$C:$C,$A4025,Movimentacoes!$E:$E,$C4025,Movimentacoes!$B:$B,"ENTRADA")</f>
        <v/>
      </c>
      <c r="H4025" s="13">
        <f>SUMIFS(Movimentacoes!$G:$G,Movimentacoes!$C:$C,$A4025,Movimentacoes!$E:$E,$C4025,Movimentacoes!$B:$B,"SAIDA_USO")</f>
        <v/>
      </c>
      <c r="I4025" s="13">
        <f>SUMIFS(Movimentacoes!$G:$G,Movimentacoes!$C:$C,$A4025,Movimentacoes!$E:$E,$C4025,Movimentacoes!$B:$B,"SAIDA_DESCARTE")</f>
        <v/>
      </c>
      <c r="J4025" s="13">
        <f>G4025-H4025-I4025</f>
        <v/>
      </c>
      <c r="K4025">
        <f>IF(A4025="","",IF(J4025&lt;=IFERROR(VLOOKUP(A4025,Cadastro_Produtos!$A:$E,5,FALSE),0),"ABAIXO DO MINIMO","OK"))</f>
        <v/>
      </c>
    </row>
    <row r="4026">
      <c r="B4026">
        <f>IFERROR(VLOOKUP(A4026,Cadastro_Produtos!A:B,2,FALSE),"")</f>
        <v/>
      </c>
      <c r="D4026" s="12" t="n"/>
      <c r="E4026" s="13">
        <f>IF(D4026="","",D4026-TODAY())</f>
        <v/>
      </c>
      <c r="F4026">
        <f>IF(D4026="","",IF(E4026&lt;0,"VENCIDO",IF(E4026&lt;=30,"VENCE EM &lt;= 30 DIAS",IF(E4026&lt;=60,"ATENCAO (31-60 DIAS)","OK"))))</f>
        <v/>
      </c>
      <c r="G4026" s="13">
        <f>SUMIFS(Movimentacoes!$G:$G,Movimentacoes!$C:$C,$A4026,Movimentacoes!$E:$E,$C4026,Movimentacoes!$B:$B,"ENTRADA")</f>
        <v/>
      </c>
      <c r="H4026" s="13">
        <f>SUMIFS(Movimentacoes!$G:$G,Movimentacoes!$C:$C,$A4026,Movimentacoes!$E:$E,$C4026,Movimentacoes!$B:$B,"SAIDA_USO")</f>
        <v/>
      </c>
      <c r="I4026" s="13">
        <f>SUMIFS(Movimentacoes!$G:$G,Movimentacoes!$C:$C,$A4026,Movimentacoes!$E:$E,$C4026,Movimentacoes!$B:$B,"SAIDA_DESCARTE")</f>
        <v/>
      </c>
      <c r="J4026" s="13">
        <f>G4026-H4026-I4026</f>
        <v/>
      </c>
      <c r="K4026">
        <f>IF(A4026="","",IF(J4026&lt;=IFERROR(VLOOKUP(A4026,Cadastro_Produtos!$A:$E,5,FALSE),0),"ABAIXO DO MINIMO","OK"))</f>
        <v/>
      </c>
    </row>
    <row r="4027">
      <c r="B4027">
        <f>IFERROR(VLOOKUP(A4027,Cadastro_Produtos!A:B,2,FALSE),"")</f>
        <v/>
      </c>
      <c r="D4027" s="12" t="n"/>
      <c r="E4027" s="13">
        <f>IF(D4027="","",D4027-TODAY())</f>
        <v/>
      </c>
      <c r="F4027">
        <f>IF(D4027="","",IF(E4027&lt;0,"VENCIDO",IF(E4027&lt;=30,"VENCE EM &lt;= 30 DIAS",IF(E4027&lt;=60,"ATENCAO (31-60 DIAS)","OK"))))</f>
        <v/>
      </c>
      <c r="G4027" s="13">
        <f>SUMIFS(Movimentacoes!$G:$G,Movimentacoes!$C:$C,$A4027,Movimentacoes!$E:$E,$C4027,Movimentacoes!$B:$B,"ENTRADA")</f>
        <v/>
      </c>
      <c r="H4027" s="13">
        <f>SUMIFS(Movimentacoes!$G:$G,Movimentacoes!$C:$C,$A4027,Movimentacoes!$E:$E,$C4027,Movimentacoes!$B:$B,"SAIDA_USO")</f>
        <v/>
      </c>
      <c r="I4027" s="13">
        <f>SUMIFS(Movimentacoes!$G:$G,Movimentacoes!$C:$C,$A4027,Movimentacoes!$E:$E,$C4027,Movimentacoes!$B:$B,"SAIDA_DESCARTE")</f>
        <v/>
      </c>
      <c r="J4027" s="13">
        <f>G4027-H4027-I4027</f>
        <v/>
      </c>
      <c r="K4027">
        <f>IF(A4027="","",IF(J4027&lt;=IFERROR(VLOOKUP(A4027,Cadastro_Produtos!$A:$E,5,FALSE),0),"ABAIXO DO MINIMO","OK"))</f>
        <v/>
      </c>
    </row>
    <row r="4028">
      <c r="B4028">
        <f>IFERROR(VLOOKUP(A4028,Cadastro_Produtos!A:B,2,FALSE),"")</f>
        <v/>
      </c>
      <c r="D4028" s="12" t="n"/>
      <c r="E4028" s="13">
        <f>IF(D4028="","",D4028-TODAY())</f>
        <v/>
      </c>
      <c r="F4028">
        <f>IF(D4028="","",IF(E4028&lt;0,"VENCIDO",IF(E4028&lt;=30,"VENCE EM &lt;= 30 DIAS",IF(E4028&lt;=60,"ATENCAO (31-60 DIAS)","OK"))))</f>
        <v/>
      </c>
      <c r="G4028" s="13">
        <f>SUMIFS(Movimentacoes!$G:$G,Movimentacoes!$C:$C,$A4028,Movimentacoes!$E:$E,$C4028,Movimentacoes!$B:$B,"ENTRADA")</f>
        <v/>
      </c>
      <c r="H4028" s="13">
        <f>SUMIFS(Movimentacoes!$G:$G,Movimentacoes!$C:$C,$A4028,Movimentacoes!$E:$E,$C4028,Movimentacoes!$B:$B,"SAIDA_USO")</f>
        <v/>
      </c>
      <c r="I4028" s="13">
        <f>SUMIFS(Movimentacoes!$G:$G,Movimentacoes!$C:$C,$A4028,Movimentacoes!$E:$E,$C4028,Movimentacoes!$B:$B,"SAIDA_DESCARTE")</f>
        <v/>
      </c>
      <c r="J4028" s="13">
        <f>G4028-H4028-I4028</f>
        <v/>
      </c>
      <c r="K4028">
        <f>IF(A4028="","",IF(J4028&lt;=IFERROR(VLOOKUP(A4028,Cadastro_Produtos!$A:$E,5,FALSE),0),"ABAIXO DO MINIMO","OK"))</f>
        <v/>
      </c>
    </row>
    <row r="4029">
      <c r="B4029">
        <f>IFERROR(VLOOKUP(A4029,Cadastro_Produtos!A:B,2,FALSE),"")</f>
        <v/>
      </c>
      <c r="D4029" s="12" t="n"/>
      <c r="E4029" s="13">
        <f>IF(D4029="","",D4029-TODAY())</f>
        <v/>
      </c>
      <c r="F4029">
        <f>IF(D4029="","",IF(E4029&lt;0,"VENCIDO",IF(E4029&lt;=30,"VENCE EM &lt;= 30 DIAS",IF(E4029&lt;=60,"ATENCAO (31-60 DIAS)","OK"))))</f>
        <v/>
      </c>
      <c r="G4029" s="13">
        <f>SUMIFS(Movimentacoes!$G:$G,Movimentacoes!$C:$C,$A4029,Movimentacoes!$E:$E,$C4029,Movimentacoes!$B:$B,"ENTRADA")</f>
        <v/>
      </c>
      <c r="H4029" s="13">
        <f>SUMIFS(Movimentacoes!$G:$G,Movimentacoes!$C:$C,$A4029,Movimentacoes!$E:$E,$C4029,Movimentacoes!$B:$B,"SAIDA_USO")</f>
        <v/>
      </c>
      <c r="I4029" s="13">
        <f>SUMIFS(Movimentacoes!$G:$G,Movimentacoes!$C:$C,$A4029,Movimentacoes!$E:$E,$C4029,Movimentacoes!$B:$B,"SAIDA_DESCARTE")</f>
        <v/>
      </c>
      <c r="J4029" s="13">
        <f>G4029-H4029-I4029</f>
        <v/>
      </c>
      <c r="K4029">
        <f>IF(A4029="","",IF(J4029&lt;=IFERROR(VLOOKUP(A4029,Cadastro_Produtos!$A:$E,5,FALSE),0),"ABAIXO DO MINIMO","OK"))</f>
        <v/>
      </c>
    </row>
    <row r="4030">
      <c r="B4030">
        <f>IFERROR(VLOOKUP(A4030,Cadastro_Produtos!A:B,2,FALSE),"")</f>
        <v/>
      </c>
      <c r="D4030" s="12" t="n"/>
      <c r="E4030" s="13">
        <f>IF(D4030="","",D4030-TODAY())</f>
        <v/>
      </c>
      <c r="F4030">
        <f>IF(D4030="","",IF(E4030&lt;0,"VENCIDO",IF(E4030&lt;=30,"VENCE EM &lt;= 30 DIAS",IF(E4030&lt;=60,"ATENCAO (31-60 DIAS)","OK"))))</f>
        <v/>
      </c>
      <c r="G4030" s="13">
        <f>SUMIFS(Movimentacoes!$G:$G,Movimentacoes!$C:$C,$A4030,Movimentacoes!$E:$E,$C4030,Movimentacoes!$B:$B,"ENTRADA")</f>
        <v/>
      </c>
      <c r="H4030" s="13">
        <f>SUMIFS(Movimentacoes!$G:$G,Movimentacoes!$C:$C,$A4030,Movimentacoes!$E:$E,$C4030,Movimentacoes!$B:$B,"SAIDA_USO")</f>
        <v/>
      </c>
      <c r="I4030" s="13">
        <f>SUMIFS(Movimentacoes!$G:$G,Movimentacoes!$C:$C,$A4030,Movimentacoes!$E:$E,$C4030,Movimentacoes!$B:$B,"SAIDA_DESCARTE")</f>
        <v/>
      </c>
      <c r="J4030" s="13">
        <f>G4030-H4030-I4030</f>
        <v/>
      </c>
      <c r="K4030">
        <f>IF(A4030="","",IF(J4030&lt;=IFERROR(VLOOKUP(A4030,Cadastro_Produtos!$A:$E,5,FALSE),0),"ABAIXO DO MINIMO","OK"))</f>
        <v/>
      </c>
    </row>
    <row r="4031">
      <c r="B4031">
        <f>IFERROR(VLOOKUP(A4031,Cadastro_Produtos!A:B,2,FALSE),"")</f>
        <v/>
      </c>
      <c r="D4031" s="12" t="n"/>
      <c r="E4031" s="13">
        <f>IF(D4031="","",D4031-TODAY())</f>
        <v/>
      </c>
      <c r="F4031">
        <f>IF(D4031="","",IF(E4031&lt;0,"VENCIDO",IF(E4031&lt;=30,"VENCE EM &lt;= 30 DIAS",IF(E4031&lt;=60,"ATENCAO (31-60 DIAS)","OK"))))</f>
        <v/>
      </c>
      <c r="G4031" s="13">
        <f>SUMIFS(Movimentacoes!$G:$G,Movimentacoes!$C:$C,$A4031,Movimentacoes!$E:$E,$C4031,Movimentacoes!$B:$B,"ENTRADA")</f>
        <v/>
      </c>
      <c r="H4031" s="13">
        <f>SUMIFS(Movimentacoes!$G:$G,Movimentacoes!$C:$C,$A4031,Movimentacoes!$E:$E,$C4031,Movimentacoes!$B:$B,"SAIDA_USO")</f>
        <v/>
      </c>
      <c r="I4031" s="13">
        <f>SUMIFS(Movimentacoes!$G:$G,Movimentacoes!$C:$C,$A4031,Movimentacoes!$E:$E,$C4031,Movimentacoes!$B:$B,"SAIDA_DESCARTE")</f>
        <v/>
      </c>
      <c r="J4031" s="13">
        <f>G4031-H4031-I4031</f>
        <v/>
      </c>
      <c r="K4031">
        <f>IF(A4031="","",IF(J4031&lt;=IFERROR(VLOOKUP(A4031,Cadastro_Produtos!$A:$E,5,FALSE),0),"ABAIXO DO MINIMO","OK"))</f>
        <v/>
      </c>
    </row>
    <row r="4032">
      <c r="B4032">
        <f>IFERROR(VLOOKUP(A4032,Cadastro_Produtos!A:B,2,FALSE),"")</f>
        <v/>
      </c>
      <c r="D4032" s="12" t="n"/>
      <c r="E4032" s="13">
        <f>IF(D4032="","",D4032-TODAY())</f>
        <v/>
      </c>
      <c r="F4032">
        <f>IF(D4032="","",IF(E4032&lt;0,"VENCIDO",IF(E4032&lt;=30,"VENCE EM &lt;= 30 DIAS",IF(E4032&lt;=60,"ATENCAO (31-60 DIAS)","OK"))))</f>
        <v/>
      </c>
      <c r="G4032" s="13">
        <f>SUMIFS(Movimentacoes!$G:$G,Movimentacoes!$C:$C,$A4032,Movimentacoes!$E:$E,$C4032,Movimentacoes!$B:$B,"ENTRADA")</f>
        <v/>
      </c>
      <c r="H4032" s="13">
        <f>SUMIFS(Movimentacoes!$G:$G,Movimentacoes!$C:$C,$A4032,Movimentacoes!$E:$E,$C4032,Movimentacoes!$B:$B,"SAIDA_USO")</f>
        <v/>
      </c>
      <c r="I4032" s="13">
        <f>SUMIFS(Movimentacoes!$G:$G,Movimentacoes!$C:$C,$A4032,Movimentacoes!$E:$E,$C4032,Movimentacoes!$B:$B,"SAIDA_DESCARTE")</f>
        <v/>
      </c>
      <c r="J4032" s="13">
        <f>G4032-H4032-I4032</f>
        <v/>
      </c>
      <c r="K4032">
        <f>IF(A4032="","",IF(J4032&lt;=IFERROR(VLOOKUP(A4032,Cadastro_Produtos!$A:$E,5,FALSE),0),"ABAIXO DO MINIMO","OK"))</f>
        <v/>
      </c>
    </row>
    <row r="4033">
      <c r="B4033">
        <f>IFERROR(VLOOKUP(A4033,Cadastro_Produtos!A:B,2,FALSE),"")</f>
        <v/>
      </c>
      <c r="D4033" s="12" t="n"/>
      <c r="E4033" s="13">
        <f>IF(D4033="","",D4033-TODAY())</f>
        <v/>
      </c>
      <c r="F4033">
        <f>IF(D4033="","",IF(E4033&lt;0,"VENCIDO",IF(E4033&lt;=30,"VENCE EM &lt;= 30 DIAS",IF(E4033&lt;=60,"ATENCAO (31-60 DIAS)","OK"))))</f>
        <v/>
      </c>
      <c r="G4033" s="13">
        <f>SUMIFS(Movimentacoes!$G:$G,Movimentacoes!$C:$C,$A4033,Movimentacoes!$E:$E,$C4033,Movimentacoes!$B:$B,"ENTRADA")</f>
        <v/>
      </c>
      <c r="H4033" s="13">
        <f>SUMIFS(Movimentacoes!$G:$G,Movimentacoes!$C:$C,$A4033,Movimentacoes!$E:$E,$C4033,Movimentacoes!$B:$B,"SAIDA_USO")</f>
        <v/>
      </c>
      <c r="I4033" s="13">
        <f>SUMIFS(Movimentacoes!$G:$G,Movimentacoes!$C:$C,$A4033,Movimentacoes!$E:$E,$C4033,Movimentacoes!$B:$B,"SAIDA_DESCARTE")</f>
        <v/>
      </c>
      <c r="J4033" s="13">
        <f>G4033-H4033-I4033</f>
        <v/>
      </c>
      <c r="K4033">
        <f>IF(A4033="","",IF(J4033&lt;=IFERROR(VLOOKUP(A4033,Cadastro_Produtos!$A:$E,5,FALSE),0),"ABAIXO DO MINIMO","OK"))</f>
        <v/>
      </c>
    </row>
    <row r="4034">
      <c r="B4034">
        <f>IFERROR(VLOOKUP(A4034,Cadastro_Produtos!A:B,2,FALSE),"")</f>
        <v/>
      </c>
      <c r="D4034" s="12" t="n"/>
      <c r="E4034" s="13">
        <f>IF(D4034="","",D4034-TODAY())</f>
        <v/>
      </c>
      <c r="F4034">
        <f>IF(D4034="","",IF(E4034&lt;0,"VENCIDO",IF(E4034&lt;=30,"VENCE EM &lt;= 30 DIAS",IF(E4034&lt;=60,"ATENCAO (31-60 DIAS)","OK"))))</f>
        <v/>
      </c>
      <c r="G4034" s="13">
        <f>SUMIFS(Movimentacoes!$G:$G,Movimentacoes!$C:$C,$A4034,Movimentacoes!$E:$E,$C4034,Movimentacoes!$B:$B,"ENTRADA")</f>
        <v/>
      </c>
      <c r="H4034" s="13">
        <f>SUMIFS(Movimentacoes!$G:$G,Movimentacoes!$C:$C,$A4034,Movimentacoes!$E:$E,$C4034,Movimentacoes!$B:$B,"SAIDA_USO")</f>
        <v/>
      </c>
      <c r="I4034" s="13">
        <f>SUMIFS(Movimentacoes!$G:$G,Movimentacoes!$C:$C,$A4034,Movimentacoes!$E:$E,$C4034,Movimentacoes!$B:$B,"SAIDA_DESCARTE")</f>
        <v/>
      </c>
      <c r="J4034" s="13">
        <f>G4034-H4034-I4034</f>
        <v/>
      </c>
      <c r="K4034">
        <f>IF(A4034="","",IF(J4034&lt;=IFERROR(VLOOKUP(A4034,Cadastro_Produtos!$A:$E,5,FALSE),0),"ABAIXO DO MINIMO","OK"))</f>
        <v/>
      </c>
    </row>
    <row r="4035">
      <c r="B4035">
        <f>IFERROR(VLOOKUP(A4035,Cadastro_Produtos!A:B,2,FALSE),"")</f>
        <v/>
      </c>
      <c r="D4035" s="12" t="n"/>
      <c r="E4035" s="13">
        <f>IF(D4035="","",D4035-TODAY())</f>
        <v/>
      </c>
      <c r="F4035">
        <f>IF(D4035="","",IF(E4035&lt;0,"VENCIDO",IF(E4035&lt;=30,"VENCE EM &lt;= 30 DIAS",IF(E4035&lt;=60,"ATENCAO (31-60 DIAS)","OK"))))</f>
        <v/>
      </c>
      <c r="G4035" s="13">
        <f>SUMIFS(Movimentacoes!$G:$G,Movimentacoes!$C:$C,$A4035,Movimentacoes!$E:$E,$C4035,Movimentacoes!$B:$B,"ENTRADA")</f>
        <v/>
      </c>
      <c r="H4035" s="13">
        <f>SUMIFS(Movimentacoes!$G:$G,Movimentacoes!$C:$C,$A4035,Movimentacoes!$E:$E,$C4035,Movimentacoes!$B:$B,"SAIDA_USO")</f>
        <v/>
      </c>
      <c r="I4035" s="13">
        <f>SUMIFS(Movimentacoes!$G:$G,Movimentacoes!$C:$C,$A4035,Movimentacoes!$E:$E,$C4035,Movimentacoes!$B:$B,"SAIDA_DESCARTE")</f>
        <v/>
      </c>
      <c r="J4035" s="13">
        <f>G4035-H4035-I4035</f>
        <v/>
      </c>
      <c r="K4035">
        <f>IF(A4035="","",IF(J4035&lt;=IFERROR(VLOOKUP(A4035,Cadastro_Produtos!$A:$E,5,FALSE),0),"ABAIXO DO MINIMO","OK"))</f>
        <v/>
      </c>
    </row>
    <row r="4036">
      <c r="B4036">
        <f>IFERROR(VLOOKUP(A4036,Cadastro_Produtos!A:B,2,FALSE),"")</f>
        <v/>
      </c>
      <c r="D4036" s="12" t="n"/>
      <c r="E4036" s="13">
        <f>IF(D4036="","",D4036-TODAY())</f>
        <v/>
      </c>
      <c r="F4036">
        <f>IF(D4036="","",IF(E4036&lt;0,"VENCIDO",IF(E4036&lt;=30,"VENCE EM &lt;= 30 DIAS",IF(E4036&lt;=60,"ATENCAO (31-60 DIAS)","OK"))))</f>
        <v/>
      </c>
      <c r="G4036" s="13">
        <f>SUMIFS(Movimentacoes!$G:$G,Movimentacoes!$C:$C,$A4036,Movimentacoes!$E:$E,$C4036,Movimentacoes!$B:$B,"ENTRADA")</f>
        <v/>
      </c>
      <c r="H4036" s="13">
        <f>SUMIFS(Movimentacoes!$G:$G,Movimentacoes!$C:$C,$A4036,Movimentacoes!$E:$E,$C4036,Movimentacoes!$B:$B,"SAIDA_USO")</f>
        <v/>
      </c>
      <c r="I4036" s="13">
        <f>SUMIFS(Movimentacoes!$G:$G,Movimentacoes!$C:$C,$A4036,Movimentacoes!$E:$E,$C4036,Movimentacoes!$B:$B,"SAIDA_DESCARTE")</f>
        <v/>
      </c>
      <c r="J4036" s="13">
        <f>G4036-H4036-I4036</f>
        <v/>
      </c>
      <c r="K4036">
        <f>IF(A4036="","",IF(J4036&lt;=IFERROR(VLOOKUP(A4036,Cadastro_Produtos!$A:$E,5,FALSE),0),"ABAIXO DO MINIMO","OK"))</f>
        <v/>
      </c>
    </row>
    <row r="4037">
      <c r="B4037">
        <f>IFERROR(VLOOKUP(A4037,Cadastro_Produtos!A:B,2,FALSE),"")</f>
        <v/>
      </c>
      <c r="D4037" s="12" t="n"/>
      <c r="E4037" s="13">
        <f>IF(D4037="","",D4037-TODAY())</f>
        <v/>
      </c>
      <c r="F4037">
        <f>IF(D4037="","",IF(E4037&lt;0,"VENCIDO",IF(E4037&lt;=30,"VENCE EM &lt;= 30 DIAS",IF(E4037&lt;=60,"ATENCAO (31-60 DIAS)","OK"))))</f>
        <v/>
      </c>
      <c r="G4037" s="13">
        <f>SUMIFS(Movimentacoes!$G:$G,Movimentacoes!$C:$C,$A4037,Movimentacoes!$E:$E,$C4037,Movimentacoes!$B:$B,"ENTRADA")</f>
        <v/>
      </c>
      <c r="H4037" s="13">
        <f>SUMIFS(Movimentacoes!$G:$G,Movimentacoes!$C:$C,$A4037,Movimentacoes!$E:$E,$C4037,Movimentacoes!$B:$B,"SAIDA_USO")</f>
        <v/>
      </c>
      <c r="I4037" s="13">
        <f>SUMIFS(Movimentacoes!$G:$G,Movimentacoes!$C:$C,$A4037,Movimentacoes!$E:$E,$C4037,Movimentacoes!$B:$B,"SAIDA_DESCARTE")</f>
        <v/>
      </c>
      <c r="J4037" s="13">
        <f>G4037-H4037-I4037</f>
        <v/>
      </c>
      <c r="K4037">
        <f>IF(A4037="","",IF(J4037&lt;=IFERROR(VLOOKUP(A4037,Cadastro_Produtos!$A:$E,5,FALSE),0),"ABAIXO DO MINIMO","OK"))</f>
        <v/>
      </c>
    </row>
    <row r="4038">
      <c r="B4038">
        <f>IFERROR(VLOOKUP(A4038,Cadastro_Produtos!A:B,2,FALSE),"")</f>
        <v/>
      </c>
      <c r="D4038" s="12" t="n"/>
      <c r="E4038" s="13">
        <f>IF(D4038="","",D4038-TODAY())</f>
        <v/>
      </c>
      <c r="F4038">
        <f>IF(D4038="","",IF(E4038&lt;0,"VENCIDO",IF(E4038&lt;=30,"VENCE EM &lt;= 30 DIAS",IF(E4038&lt;=60,"ATENCAO (31-60 DIAS)","OK"))))</f>
        <v/>
      </c>
      <c r="G4038" s="13">
        <f>SUMIFS(Movimentacoes!$G:$G,Movimentacoes!$C:$C,$A4038,Movimentacoes!$E:$E,$C4038,Movimentacoes!$B:$B,"ENTRADA")</f>
        <v/>
      </c>
      <c r="H4038" s="13">
        <f>SUMIFS(Movimentacoes!$G:$G,Movimentacoes!$C:$C,$A4038,Movimentacoes!$E:$E,$C4038,Movimentacoes!$B:$B,"SAIDA_USO")</f>
        <v/>
      </c>
      <c r="I4038" s="13">
        <f>SUMIFS(Movimentacoes!$G:$G,Movimentacoes!$C:$C,$A4038,Movimentacoes!$E:$E,$C4038,Movimentacoes!$B:$B,"SAIDA_DESCARTE")</f>
        <v/>
      </c>
      <c r="J4038" s="13">
        <f>G4038-H4038-I4038</f>
        <v/>
      </c>
      <c r="K4038">
        <f>IF(A4038="","",IF(J4038&lt;=IFERROR(VLOOKUP(A4038,Cadastro_Produtos!$A:$E,5,FALSE),0),"ABAIXO DO MINIMO","OK"))</f>
        <v/>
      </c>
    </row>
    <row r="4039">
      <c r="B4039">
        <f>IFERROR(VLOOKUP(A4039,Cadastro_Produtos!A:B,2,FALSE),"")</f>
        <v/>
      </c>
      <c r="D4039" s="12" t="n"/>
      <c r="E4039" s="13">
        <f>IF(D4039="","",D4039-TODAY())</f>
        <v/>
      </c>
      <c r="F4039">
        <f>IF(D4039="","",IF(E4039&lt;0,"VENCIDO",IF(E4039&lt;=30,"VENCE EM &lt;= 30 DIAS",IF(E4039&lt;=60,"ATENCAO (31-60 DIAS)","OK"))))</f>
        <v/>
      </c>
      <c r="G4039" s="13">
        <f>SUMIFS(Movimentacoes!$G:$G,Movimentacoes!$C:$C,$A4039,Movimentacoes!$E:$E,$C4039,Movimentacoes!$B:$B,"ENTRADA")</f>
        <v/>
      </c>
      <c r="H4039" s="13">
        <f>SUMIFS(Movimentacoes!$G:$G,Movimentacoes!$C:$C,$A4039,Movimentacoes!$E:$E,$C4039,Movimentacoes!$B:$B,"SAIDA_USO")</f>
        <v/>
      </c>
      <c r="I4039" s="13">
        <f>SUMIFS(Movimentacoes!$G:$G,Movimentacoes!$C:$C,$A4039,Movimentacoes!$E:$E,$C4039,Movimentacoes!$B:$B,"SAIDA_DESCARTE")</f>
        <v/>
      </c>
      <c r="J4039" s="13">
        <f>G4039-H4039-I4039</f>
        <v/>
      </c>
      <c r="K4039">
        <f>IF(A4039="","",IF(J4039&lt;=IFERROR(VLOOKUP(A4039,Cadastro_Produtos!$A:$E,5,FALSE),0),"ABAIXO DO MINIMO","OK"))</f>
        <v/>
      </c>
    </row>
    <row r="4040">
      <c r="B4040">
        <f>IFERROR(VLOOKUP(A4040,Cadastro_Produtos!A:B,2,FALSE),"")</f>
        <v/>
      </c>
      <c r="D4040" s="12" t="n"/>
      <c r="E4040" s="13">
        <f>IF(D4040="","",D4040-TODAY())</f>
        <v/>
      </c>
      <c r="F4040">
        <f>IF(D4040="","",IF(E4040&lt;0,"VENCIDO",IF(E4040&lt;=30,"VENCE EM &lt;= 30 DIAS",IF(E4040&lt;=60,"ATENCAO (31-60 DIAS)","OK"))))</f>
        <v/>
      </c>
      <c r="G4040" s="13">
        <f>SUMIFS(Movimentacoes!$G:$G,Movimentacoes!$C:$C,$A4040,Movimentacoes!$E:$E,$C4040,Movimentacoes!$B:$B,"ENTRADA")</f>
        <v/>
      </c>
      <c r="H4040" s="13">
        <f>SUMIFS(Movimentacoes!$G:$G,Movimentacoes!$C:$C,$A4040,Movimentacoes!$E:$E,$C4040,Movimentacoes!$B:$B,"SAIDA_USO")</f>
        <v/>
      </c>
      <c r="I4040" s="13">
        <f>SUMIFS(Movimentacoes!$G:$G,Movimentacoes!$C:$C,$A4040,Movimentacoes!$E:$E,$C4040,Movimentacoes!$B:$B,"SAIDA_DESCARTE")</f>
        <v/>
      </c>
      <c r="J4040" s="13">
        <f>G4040-H4040-I4040</f>
        <v/>
      </c>
      <c r="K4040">
        <f>IF(A4040="","",IF(J4040&lt;=IFERROR(VLOOKUP(A4040,Cadastro_Produtos!$A:$E,5,FALSE),0),"ABAIXO DO MINIMO","OK"))</f>
        <v/>
      </c>
    </row>
    <row r="4041">
      <c r="B4041">
        <f>IFERROR(VLOOKUP(A4041,Cadastro_Produtos!A:B,2,FALSE),"")</f>
        <v/>
      </c>
      <c r="D4041" s="12" t="n"/>
      <c r="E4041" s="13">
        <f>IF(D4041="","",D4041-TODAY())</f>
        <v/>
      </c>
      <c r="F4041">
        <f>IF(D4041="","",IF(E4041&lt;0,"VENCIDO",IF(E4041&lt;=30,"VENCE EM &lt;= 30 DIAS",IF(E4041&lt;=60,"ATENCAO (31-60 DIAS)","OK"))))</f>
        <v/>
      </c>
      <c r="G4041" s="13">
        <f>SUMIFS(Movimentacoes!$G:$G,Movimentacoes!$C:$C,$A4041,Movimentacoes!$E:$E,$C4041,Movimentacoes!$B:$B,"ENTRADA")</f>
        <v/>
      </c>
      <c r="H4041" s="13">
        <f>SUMIFS(Movimentacoes!$G:$G,Movimentacoes!$C:$C,$A4041,Movimentacoes!$E:$E,$C4041,Movimentacoes!$B:$B,"SAIDA_USO")</f>
        <v/>
      </c>
      <c r="I4041" s="13">
        <f>SUMIFS(Movimentacoes!$G:$G,Movimentacoes!$C:$C,$A4041,Movimentacoes!$E:$E,$C4041,Movimentacoes!$B:$B,"SAIDA_DESCARTE")</f>
        <v/>
      </c>
      <c r="J4041" s="13">
        <f>G4041-H4041-I4041</f>
        <v/>
      </c>
      <c r="K4041">
        <f>IF(A4041="","",IF(J4041&lt;=IFERROR(VLOOKUP(A4041,Cadastro_Produtos!$A:$E,5,FALSE),0),"ABAIXO DO MINIMO","OK"))</f>
        <v/>
      </c>
    </row>
    <row r="4042">
      <c r="B4042">
        <f>IFERROR(VLOOKUP(A4042,Cadastro_Produtos!A:B,2,FALSE),"")</f>
        <v/>
      </c>
      <c r="D4042" s="12" t="n"/>
      <c r="E4042" s="13">
        <f>IF(D4042="","",D4042-TODAY())</f>
        <v/>
      </c>
      <c r="F4042">
        <f>IF(D4042="","",IF(E4042&lt;0,"VENCIDO",IF(E4042&lt;=30,"VENCE EM &lt;= 30 DIAS",IF(E4042&lt;=60,"ATENCAO (31-60 DIAS)","OK"))))</f>
        <v/>
      </c>
      <c r="G4042" s="13">
        <f>SUMIFS(Movimentacoes!$G:$G,Movimentacoes!$C:$C,$A4042,Movimentacoes!$E:$E,$C4042,Movimentacoes!$B:$B,"ENTRADA")</f>
        <v/>
      </c>
      <c r="H4042" s="13">
        <f>SUMIFS(Movimentacoes!$G:$G,Movimentacoes!$C:$C,$A4042,Movimentacoes!$E:$E,$C4042,Movimentacoes!$B:$B,"SAIDA_USO")</f>
        <v/>
      </c>
      <c r="I4042" s="13">
        <f>SUMIFS(Movimentacoes!$G:$G,Movimentacoes!$C:$C,$A4042,Movimentacoes!$E:$E,$C4042,Movimentacoes!$B:$B,"SAIDA_DESCARTE")</f>
        <v/>
      </c>
      <c r="J4042" s="13">
        <f>G4042-H4042-I4042</f>
        <v/>
      </c>
      <c r="K4042">
        <f>IF(A4042="","",IF(J4042&lt;=IFERROR(VLOOKUP(A4042,Cadastro_Produtos!$A:$E,5,FALSE),0),"ABAIXO DO MINIMO","OK"))</f>
        <v/>
      </c>
    </row>
    <row r="4043">
      <c r="B4043">
        <f>IFERROR(VLOOKUP(A4043,Cadastro_Produtos!A:B,2,FALSE),"")</f>
        <v/>
      </c>
      <c r="D4043" s="12" t="n"/>
      <c r="E4043" s="13">
        <f>IF(D4043="","",D4043-TODAY())</f>
        <v/>
      </c>
      <c r="F4043">
        <f>IF(D4043="","",IF(E4043&lt;0,"VENCIDO",IF(E4043&lt;=30,"VENCE EM &lt;= 30 DIAS",IF(E4043&lt;=60,"ATENCAO (31-60 DIAS)","OK"))))</f>
        <v/>
      </c>
      <c r="G4043" s="13">
        <f>SUMIFS(Movimentacoes!$G:$G,Movimentacoes!$C:$C,$A4043,Movimentacoes!$E:$E,$C4043,Movimentacoes!$B:$B,"ENTRADA")</f>
        <v/>
      </c>
      <c r="H4043" s="13">
        <f>SUMIFS(Movimentacoes!$G:$G,Movimentacoes!$C:$C,$A4043,Movimentacoes!$E:$E,$C4043,Movimentacoes!$B:$B,"SAIDA_USO")</f>
        <v/>
      </c>
      <c r="I4043" s="13">
        <f>SUMIFS(Movimentacoes!$G:$G,Movimentacoes!$C:$C,$A4043,Movimentacoes!$E:$E,$C4043,Movimentacoes!$B:$B,"SAIDA_DESCARTE")</f>
        <v/>
      </c>
      <c r="J4043" s="13">
        <f>G4043-H4043-I4043</f>
        <v/>
      </c>
      <c r="K4043">
        <f>IF(A4043="","",IF(J4043&lt;=IFERROR(VLOOKUP(A4043,Cadastro_Produtos!$A:$E,5,FALSE),0),"ABAIXO DO MINIMO","OK"))</f>
        <v/>
      </c>
    </row>
    <row r="4044">
      <c r="B4044">
        <f>IFERROR(VLOOKUP(A4044,Cadastro_Produtos!A:B,2,FALSE),"")</f>
        <v/>
      </c>
      <c r="D4044" s="12" t="n"/>
      <c r="E4044" s="13">
        <f>IF(D4044="","",D4044-TODAY())</f>
        <v/>
      </c>
      <c r="F4044">
        <f>IF(D4044="","",IF(E4044&lt;0,"VENCIDO",IF(E4044&lt;=30,"VENCE EM &lt;= 30 DIAS",IF(E4044&lt;=60,"ATENCAO (31-60 DIAS)","OK"))))</f>
        <v/>
      </c>
      <c r="G4044" s="13">
        <f>SUMIFS(Movimentacoes!$G:$G,Movimentacoes!$C:$C,$A4044,Movimentacoes!$E:$E,$C4044,Movimentacoes!$B:$B,"ENTRADA")</f>
        <v/>
      </c>
      <c r="H4044" s="13">
        <f>SUMIFS(Movimentacoes!$G:$G,Movimentacoes!$C:$C,$A4044,Movimentacoes!$E:$E,$C4044,Movimentacoes!$B:$B,"SAIDA_USO")</f>
        <v/>
      </c>
      <c r="I4044" s="13">
        <f>SUMIFS(Movimentacoes!$G:$G,Movimentacoes!$C:$C,$A4044,Movimentacoes!$E:$E,$C4044,Movimentacoes!$B:$B,"SAIDA_DESCARTE")</f>
        <v/>
      </c>
      <c r="J4044" s="13">
        <f>G4044-H4044-I4044</f>
        <v/>
      </c>
      <c r="K4044">
        <f>IF(A4044="","",IF(J4044&lt;=IFERROR(VLOOKUP(A4044,Cadastro_Produtos!$A:$E,5,FALSE),0),"ABAIXO DO MINIMO","OK"))</f>
        <v/>
      </c>
    </row>
    <row r="4045">
      <c r="B4045">
        <f>IFERROR(VLOOKUP(A4045,Cadastro_Produtos!A:B,2,FALSE),"")</f>
        <v/>
      </c>
      <c r="D4045" s="12" t="n"/>
      <c r="E4045" s="13">
        <f>IF(D4045="","",D4045-TODAY())</f>
        <v/>
      </c>
      <c r="F4045">
        <f>IF(D4045="","",IF(E4045&lt;0,"VENCIDO",IF(E4045&lt;=30,"VENCE EM &lt;= 30 DIAS",IF(E4045&lt;=60,"ATENCAO (31-60 DIAS)","OK"))))</f>
        <v/>
      </c>
      <c r="G4045" s="13">
        <f>SUMIFS(Movimentacoes!$G:$G,Movimentacoes!$C:$C,$A4045,Movimentacoes!$E:$E,$C4045,Movimentacoes!$B:$B,"ENTRADA")</f>
        <v/>
      </c>
      <c r="H4045" s="13">
        <f>SUMIFS(Movimentacoes!$G:$G,Movimentacoes!$C:$C,$A4045,Movimentacoes!$E:$E,$C4045,Movimentacoes!$B:$B,"SAIDA_USO")</f>
        <v/>
      </c>
      <c r="I4045" s="13">
        <f>SUMIFS(Movimentacoes!$G:$G,Movimentacoes!$C:$C,$A4045,Movimentacoes!$E:$E,$C4045,Movimentacoes!$B:$B,"SAIDA_DESCARTE")</f>
        <v/>
      </c>
      <c r="J4045" s="13">
        <f>G4045-H4045-I4045</f>
        <v/>
      </c>
      <c r="K4045">
        <f>IF(A4045="","",IF(J4045&lt;=IFERROR(VLOOKUP(A4045,Cadastro_Produtos!$A:$E,5,FALSE),0),"ABAIXO DO MINIMO","OK"))</f>
        <v/>
      </c>
    </row>
    <row r="4046">
      <c r="B4046">
        <f>IFERROR(VLOOKUP(A4046,Cadastro_Produtos!A:B,2,FALSE),"")</f>
        <v/>
      </c>
      <c r="D4046" s="12" t="n"/>
      <c r="E4046" s="13">
        <f>IF(D4046="","",D4046-TODAY())</f>
        <v/>
      </c>
      <c r="F4046">
        <f>IF(D4046="","",IF(E4046&lt;0,"VENCIDO",IF(E4046&lt;=30,"VENCE EM &lt;= 30 DIAS",IF(E4046&lt;=60,"ATENCAO (31-60 DIAS)","OK"))))</f>
        <v/>
      </c>
      <c r="G4046" s="13">
        <f>SUMIFS(Movimentacoes!$G:$G,Movimentacoes!$C:$C,$A4046,Movimentacoes!$E:$E,$C4046,Movimentacoes!$B:$B,"ENTRADA")</f>
        <v/>
      </c>
      <c r="H4046" s="13">
        <f>SUMIFS(Movimentacoes!$G:$G,Movimentacoes!$C:$C,$A4046,Movimentacoes!$E:$E,$C4046,Movimentacoes!$B:$B,"SAIDA_USO")</f>
        <v/>
      </c>
      <c r="I4046" s="13">
        <f>SUMIFS(Movimentacoes!$G:$G,Movimentacoes!$C:$C,$A4046,Movimentacoes!$E:$E,$C4046,Movimentacoes!$B:$B,"SAIDA_DESCARTE")</f>
        <v/>
      </c>
      <c r="J4046" s="13">
        <f>G4046-H4046-I4046</f>
        <v/>
      </c>
      <c r="K4046">
        <f>IF(A4046="","",IF(J4046&lt;=IFERROR(VLOOKUP(A4046,Cadastro_Produtos!$A:$E,5,FALSE),0),"ABAIXO DO MINIMO","OK"))</f>
        <v/>
      </c>
    </row>
    <row r="4047">
      <c r="B4047">
        <f>IFERROR(VLOOKUP(A4047,Cadastro_Produtos!A:B,2,FALSE),"")</f>
        <v/>
      </c>
      <c r="D4047" s="12" t="n"/>
      <c r="E4047" s="13">
        <f>IF(D4047="","",D4047-TODAY())</f>
        <v/>
      </c>
      <c r="F4047">
        <f>IF(D4047="","",IF(E4047&lt;0,"VENCIDO",IF(E4047&lt;=30,"VENCE EM &lt;= 30 DIAS",IF(E4047&lt;=60,"ATENCAO (31-60 DIAS)","OK"))))</f>
        <v/>
      </c>
      <c r="G4047" s="13">
        <f>SUMIFS(Movimentacoes!$G:$G,Movimentacoes!$C:$C,$A4047,Movimentacoes!$E:$E,$C4047,Movimentacoes!$B:$B,"ENTRADA")</f>
        <v/>
      </c>
      <c r="H4047" s="13">
        <f>SUMIFS(Movimentacoes!$G:$G,Movimentacoes!$C:$C,$A4047,Movimentacoes!$E:$E,$C4047,Movimentacoes!$B:$B,"SAIDA_USO")</f>
        <v/>
      </c>
      <c r="I4047" s="13">
        <f>SUMIFS(Movimentacoes!$G:$G,Movimentacoes!$C:$C,$A4047,Movimentacoes!$E:$E,$C4047,Movimentacoes!$B:$B,"SAIDA_DESCARTE")</f>
        <v/>
      </c>
      <c r="J4047" s="13">
        <f>G4047-H4047-I4047</f>
        <v/>
      </c>
      <c r="K4047">
        <f>IF(A4047="","",IF(J4047&lt;=IFERROR(VLOOKUP(A4047,Cadastro_Produtos!$A:$E,5,FALSE),0),"ABAIXO DO MINIMO","OK"))</f>
        <v/>
      </c>
    </row>
    <row r="4048">
      <c r="B4048">
        <f>IFERROR(VLOOKUP(A4048,Cadastro_Produtos!A:B,2,FALSE),"")</f>
        <v/>
      </c>
      <c r="D4048" s="12" t="n"/>
      <c r="E4048" s="13">
        <f>IF(D4048="","",D4048-TODAY())</f>
        <v/>
      </c>
      <c r="F4048">
        <f>IF(D4048="","",IF(E4048&lt;0,"VENCIDO",IF(E4048&lt;=30,"VENCE EM &lt;= 30 DIAS",IF(E4048&lt;=60,"ATENCAO (31-60 DIAS)","OK"))))</f>
        <v/>
      </c>
      <c r="G4048" s="13">
        <f>SUMIFS(Movimentacoes!$G:$G,Movimentacoes!$C:$C,$A4048,Movimentacoes!$E:$E,$C4048,Movimentacoes!$B:$B,"ENTRADA")</f>
        <v/>
      </c>
      <c r="H4048" s="13">
        <f>SUMIFS(Movimentacoes!$G:$G,Movimentacoes!$C:$C,$A4048,Movimentacoes!$E:$E,$C4048,Movimentacoes!$B:$B,"SAIDA_USO")</f>
        <v/>
      </c>
      <c r="I4048" s="13">
        <f>SUMIFS(Movimentacoes!$G:$G,Movimentacoes!$C:$C,$A4048,Movimentacoes!$E:$E,$C4048,Movimentacoes!$B:$B,"SAIDA_DESCARTE")</f>
        <v/>
      </c>
      <c r="J4048" s="13">
        <f>G4048-H4048-I4048</f>
        <v/>
      </c>
      <c r="K4048">
        <f>IF(A4048="","",IF(J4048&lt;=IFERROR(VLOOKUP(A4048,Cadastro_Produtos!$A:$E,5,FALSE),0),"ABAIXO DO MINIMO","OK"))</f>
        <v/>
      </c>
    </row>
    <row r="4049">
      <c r="B4049">
        <f>IFERROR(VLOOKUP(A4049,Cadastro_Produtos!A:B,2,FALSE),"")</f>
        <v/>
      </c>
      <c r="D4049" s="12" t="n"/>
      <c r="E4049" s="13">
        <f>IF(D4049="","",D4049-TODAY())</f>
        <v/>
      </c>
      <c r="F4049">
        <f>IF(D4049="","",IF(E4049&lt;0,"VENCIDO",IF(E4049&lt;=30,"VENCE EM &lt;= 30 DIAS",IF(E4049&lt;=60,"ATENCAO (31-60 DIAS)","OK"))))</f>
        <v/>
      </c>
      <c r="G4049" s="13">
        <f>SUMIFS(Movimentacoes!$G:$G,Movimentacoes!$C:$C,$A4049,Movimentacoes!$E:$E,$C4049,Movimentacoes!$B:$B,"ENTRADA")</f>
        <v/>
      </c>
      <c r="H4049" s="13">
        <f>SUMIFS(Movimentacoes!$G:$G,Movimentacoes!$C:$C,$A4049,Movimentacoes!$E:$E,$C4049,Movimentacoes!$B:$B,"SAIDA_USO")</f>
        <v/>
      </c>
      <c r="I4049" s="13">
        <f>SUMIFS(Movimentacoes!$G:$G,Movimentacoes!$C:$C,$A4049,Movimentacoes!$E:$E,$C4049,Movimentacoes!$B:$B,"SAIDA_DESCARTE")</f>
        <v/>
      </c>
      <c r="J4049" s="13">
        <f>G4049-H4049-I4049</f>
        <v/>
      </c>
      <c r="K4049">
        <f>IF(A4049="","",IF(J4049&lt;=IFERROR(VLOOKUP(A4049,Cadastro_Produtos!$A:$E,5,FALSE),0),"ABAIXO DO MINIMO","OK"))</f>
        <v/>
      </c>
    </row>
    <row r="4050">
      <c r="B4050">
        <f>IFERROR(VLOOKUP(A4050,Cadastro_Produtos!A:B,2,FALSE),"")</f>
        <v/>
      </c>
      <c r="D4050" s="12" t="n"/>
      <c r="E4050" s="13">
        <f>IF(D4050="","",D4050-TODAY())</f>
        <v/>
      </c>
      <c r="F4050">
        <f>IF(D4050="","",IF(E4050&lt;0,"VENCIDO",IF(E4050&lt;=30,"VENCE EM &lt;= 30 DIAS",IF(E4050&lt;=60,"ATENCAO (31-60 DIAS)","OK"))))</f>
        <v/>
      </c>
      <c r="G4050" s="13">
        <f>SUMIFS(Movimentacoes!$G:$G,Movimentacoes!$C:$C,$A4050,Movimentacoes!$E:$E,$C4050,Movimentacoes!$B:$B,"ENTRADA")</f>
        <v/>
      </c>
      <c r="H4050" s="13">
        <f>SUMIFS(Movimentacoes!$G:$G,Movimentacoes!$C:$C,$A4050,Movimentacoes!$E:$E,$C4050,Movimentacoes!$B:$B,"SAIDA_USO")</f>
        <v/>
      </c>
      <c r="I4050" s="13">
        <f>SUMIFS(Movimentacoes!$G:$G,Movimentacoes!$C:$C,$A4050,Movimentacoes!$E:$E,$C4050,Movimentacoes!$B:$B,"SAIDA_DESCARTE")</f>
        <v/>
      </c>
      <c r="J4050" s="13">
        <f>G4050-H4050-I4050</f>
        <v/>
      </c>
      <c r="K4050">
        <f>IF(A4050="","",IF(J4050&lt;=IFERROR(VLOOKUP(A4050,Cadastro_Produtos!$A:$E,5,FALSE),0),"ABAIXO DO MINIMO","OK"))</f>
        <v/>
      </c>
    </row>
    <row r="4051">
      <c r="B4051">
        <f>IFERROR(VLOOKUP(A4051,Cadastro_Produtos!A:B,2,FALSE),"")</f>
        <v/>
      </c>
      <c r="D4051" s="12" t="n"/>
      <c r="E4051" s="13">
        <f>IF(D4051="","",D4051-TODAY())</f>
        <v/>
      </c>
      <c r="F4051">
        <f>IF(D4051="","",IF(E4051&lt;0,"VENCIDO",IF(E4051&lt;=30,"VENCE EM &lt;= 30 DIAS",IF(E4051&lt;=60,"ATENCAO (31-60 DIAS)","OK"))))</f>
        <v/>
      </c>
      <c r="G4051" s="13">
        <f>SUMIFS(Movimentacoes!$G:$G,Movimentacoes!$C:$C,$A4051,Movimentacoes!$E:$E,$C4051,Movimentacoes!$B:$B,"ENTRADA")</f>
        <v/>
      </c>
      <c r="H4051" s="13">
        <f>SUMIFS(Movimentacoes!$G:$G,Movimentacoes!$C:$C,$A4051,Movimentacoes!$E:$E,$C4051,Movimentacoes!$B:$B,"SAIDA_USO")</f>
        <v/>
      </c>
      <c r="I4051" s="13">
        <f>SUMIFS(Movimentacoes!$G:$G,Movimentacoes!$C:$C,$A4051,Movimentacoes!$E:$E,$C4051,Movimentacoes!$B:$B,"SAIDA_DESCARTE")</f>
        <v/>
      </c>
      <c r="J4051" s="13">
        <f>G4051-H4051-I4051</f>
        <v/>
      </c>
      <c r="K4051">
        <f>IF(A4051="","",IF(J4051&lt;=IFERROR(VLOOKUP(A4051,Cadastro_Produtos!$A:$E,5,FALSE),0),"ABAIXO DO MINIMO","OK"))</f>
        <v/>
      </c>
    </row>
    <row r="4052">
      <c r="B4052">
        <f>IFERROR(VLOOKUP(A4052,Cadastro_Produtos!A:B,2,FALSE),"")</f>
        <v/>
      </c>
      <c r="D4052" s="12" t="n"/>
      <c r="E4052" s="13">
        <f>IF(D4052="","",D4052-TODAY())</f>
        <v/>
      </c>
      <c r="F4052">
        <f>IF(D4052="","",IF(E4052&lt;0,"VENCIDO",IF(E4052&lt;=30,"VENCE EM &lt;= 30 DIAS",IF(E4052&lt;=60,"ATENCAO (31-60 DIAS)","OK"))))</f>
        <v/>
      </c>
      <c r="G4052" s="13">
        <f>SUMIFS(Movimentacoes!$G:$G,Movimentacoes!$C:$C,$A4052,Movimentacoes!$E:$E,$C4052,Movimentacoes!$B:$B,"ENTRADA")</f>
        <v/>
      </c>
      <c r="H4052" s="13">
        <f>SUMIFS(Movimentacoes!$G:$G,Movimentacoes!$C:$C,$A4052,Movimentacoes!$E:$E,$C4052,Movimentacoes!$B:$B,"SAIDA_USO")</f>
        <v/>
      </c>
      <c r="I4052" s="13">
        <f>SUMIFS(Movimentacoes!$G:$G,Movimentacoes!$C:$C,$A4052,Movimentacoes!$E:$E,$C4052,Movimentacoes!$B:$B,"SAIDA_DESCARTE")</f>
        <v/>
      </c>
      <c r="J4052" s="13">
        <f>G4052-H4052-I4052</f>
        <v/>
      </c>
      <c r="K4052">
        <f>IF(A4052="","",IF(J4052&lt;=IFERROR(VLOOKUP(A4052,Cadastro_Produtos!$A:$E,5,FALSE),0),"ABAIXO DO MINIMO","OK"))</f>
        <v/>
      </c>
    </row>
    <row r="4053">
      <c r="B4053">
        <f>IFERROR(VLOOKUP(A4053,Cadastro_Produtos!A:B,2,FALSE),"")</f>
        <v/>
      </c>
      <c r="D4053" s="12" t="n"/>
      <c r="E4053" s="13">
        <f>IF(D4053="","",D4053-TODAY())</f>
        <v/>
      </c>
      <c r="F4053">
        <f>IF(D4053="","",IF(E4053&lt;0,"VENCIDO",IF(E4053&lt;=30,"VENCE EM &lt;= 30 DIAS",IF(E4053&lt;=60,"ATENCAO (31-60 DIAS)","OK"))))</f>
        <v/>
      </c>
      <c r="G4053" s="13">
        <f>SUMIFS(Movimentacoes!$G:$G,Movimentacoes!$C:$C,$A4053,Movimentacoes!$E:$E,$C4053,Movimentacoes!$B:$B,"ENTRADA")</f>
        <v/>
      </c>
      <c r="H4053" s="13">
        <f>SUMIFS(Movimentacoes!$G:$G,Movimentacoes!$C:$C,$A4053,Movimentacoes!$E:$E,$C4053,Movimentacoes!$B:$B,"SAIDA_USO")</f>
        <v/>
      </c>
      <c r="I4053" s="13">
        <f>SUMIFS(Movimentacoes!$G:$G,Movimentacoes!$C:$C,$A4053,Movimentacoes!$E:$E,$C4053,Movimentacoes!$B:$B,"SAIDA_DESCARTE")</f>
        <v/>
      </c>
      <c r="J4053" s="13">
        <f>G4053-H4053-I4053</f>
        <v/>
      </c>
      <c r="K4053">
        <f>IF(A4053="","",IF(J4053&lt;=IFERROR(VLOOKUP(A4053,Cadastro_Produtos!$A:$E,5,FALSE),0),"ABAIXO DO MINIMO","OK"))</f>
        <v/>
      </c>
    </row>
    <row r="4054">
      <c r="B4054">
        <f>IFERROR(VLOOKUP(A4054,Cadastro_Produtos!A:B,2,FALSE),"")</f>
        <v/>
      </c>
      <c r="D4054" s="12" t="n"/>
      <c r="E4054" s="13">
        <f>IF(D4054="","",D4054-TODAY())</f>
        <v/>
      </c>
      <c r="F4054">
        <f>IF(D4054="","",IF(E4054&lt;0,"VENCIDO",IF(E4054&lt;=30,"VENCE EM &lt;= 30 DIAS",IF(E4054&lt;=60,"ATENCAO (31-60 DIAS)","OK"))))</f>
        <v/>
      </c>
      <c r="G4054" s="13">
        <f>SUMIFS(Movimentacoes!$G:$G,Movimentacoes!$C:$C,$A4054,Movimentacoes!$E:$E,$C4054,Movimentacoes!$B:$B,"ENTRADA")</f>
        <v/>
      </c>
      <c r="H4054" s="13">
        <f>SUMIFS(Movimentacoes!$G:$G,Movimentacoes!$C:$C,$A4054,Movimentacoes!$E:$E,$C4054,Movimentacoes!$B:$B,"SAIDA_USO")</f>
        <v/>
      </c>
      <c r="I4054" s="13">
        <f>SUMIFS(Movimentacoes!$G:$G,Movimentacoes!$C:$C,$A4054,Movimentacoes!$E:$E,$C4054,Movimentacoes!$B:$B,"SAIDA_DESCARTE")</f>
        <v/>
      </c>
      <c r="J4054" s="13">
        <f>G4054-H4054-I4054</f>
        <v/>
      </c>
      <c r="K4054">
        <f>IF(A4054="","",IF(J4054&lt;=IFERROR(VLOOKUP(A4054,Cadastro_Produtos!$A:$E,5,FALSE),0),"ABAIXO DO MINIMO","OK"))</f>
        <v/>
      </c>
    </row>
    <row r="4055">
      <c r="B4055">
        <f>IFERROR(VLOOKUP(A4055,Cadastro_Produtos!A:B,2,FALSE),"")</f>
        <v/>
      </c>
      <c r="D4055" s="12" t="n"/>
      <c r="E4055" s="13">
        <f>IF(D4055="","",D4055-TODAY())</f>
        <v/>
      </c>
      <c r="F4055">
        <f>IF(D4055="","",IF(E4055&lt;0,"VENCIDO",IF(E4055&lt;=30,"VENCE EM &lt;= 30 DIAS",IF(E4055&lt;=60,"ATENCAO (31-60 DIAS)","OK"))))</f>
        <v/>
      </c>
      <c r="G4055" s="13">
        <f>SUMIFS(Movimentacoes!$G:$G,Movimentacoes!$C:$C,$A4055,Movimentacoes!$E:$E,$C4055,Movimentacoes!$B:$B,"ENTRADA")</f>
        <v/>
      </c>
      <c r="H4055" s="13">
        <f>SUMIFS(Movimentacoes!$G:$G,Movimentacoes!$C:$C,$A4055,Movimentacoes!$E:$E,$C4055,Movimentacoes!$B:$B,"SAIDA_USO")</f>
        <v/>
      </c>
      <c r="I4055" s="13">
        <f>SUMIFS(Movimentacoes!$G:$G,Movimentacoes!$C:$C,$A4055,Movimentacoes!$E:$E,$C4055,Movimentacoes!$B:$B,"SAIDA_DESCARTE")</f>
        <v/>
      </c>
      <c r="J4055" s="13">
        <f>G4055-H4055-I4055</f>
        <v/>
      </c>
      <c r="K4055">
        <f>IF(A4055="","",IF(J4055&lt;=IFERROR(VLOOKUP(A4055,Cadastro_Produtos!$A:$E,5,FALSE),0),"ABAIXO DO MINIMO","OK"))</f>
        <v/>
      </c>
    </row>
    <row r="4056">
      <c r="B4056">
        <f>IFERROR(VLOOKUP(A4056,Cadastro_Produtos!A:B,2,FALSE),"")</f>
        <v/>
      </c>
      <c r="D4056" s="12" t="n"/>
      <c r="E4056" s="13">
        <f>IF(D4056="","",D4056-TODAY())</f>
        <v/>
      </c>
      <c r="F4056">
        <f>IF(D4056="","",IF(E4056&lt;0,"VENCIDO",IF(E4056&lt;=30,"VENCE EM &lt;= 30 DIAS",IF(E4056&lt;=60,"ATENCAO (31-60 DIAS)","OK"))))</f>
        <v/>
      </c>
      <c r="G4056" s="13">
        <f>SUMIFS(Movimentacoes!$G:$G,Movimentacoes!$C:$C,$A4056,Movimentacoes!$E:$E,$C4056,Movimentacoes!$B:$B,"ENTRADA")</f>
        <v/>
      </c>
      <c r="H4056" s="13">
        <f>SUMIFS(Movimentacoes!$G:$G,Movimentacoes!$C:$C,$A4056,Movimentacoes!$E:$E,$C4056,Movimentacoes!$B:$B,"SAIDA_USO")</f>
        <v/>
      </c>
      <c r="I4056" s="13">
        <f>SUMIFS(Movimentacoes!$G:$G,Movimentacoes!$C:$C,$A4056,Movimentacoes!$E:$E,$C4056,Movimentacoes!$B:$B,"SAIDA_DESCARTE")</f>
        <v/>
      </c>
      <c r="J4056" s="13">
        <f>G4056-H4056-I4056</f>
        <v/>
      </c>
      <c r="K4056">
        <f>IF(A4056="","",IF(J4056&lt;=IFERROR(VLOOKUP(A4056,Cadastro_Produtos!$A:$E,5,FALSE),0),"ABAIXO DO MINIMO","OK"))</f>
        <v/>
      </c>
    </row>
    <row r="4057">
      <c r="B4057">
        <f>IFERROR(VLOOKUP(A4057,Cadastro_Produtos!A:B,2,FALSE),"")</f>
        <v/>
      </c>
      <c r="D4057" s="12" t="n"/>
      <c r="E4057" s="13">
        <f>IF(D4057="","",D4057-TODAY())</f>
        <v/>
      </c>
      <c r="F4057">
        <f>IF(D4057="","",IF(E4057&lt;0,"VENCIDO",IF(E4057&lt;=30,"VENCE EM &lt;= 30 DIAS",IF(E4057&lt;=60,"ATENCAO (31-60 DIAS)","OK"))))</f>
        <v/>
      </c>
      <c r="G4057" s="13">
        <f>SUMIFS(Movimentacoes!$G:$G,Movimentacoes!$C:$C,$A4057,Movimentacoes!$E:$E,$C4057,Movimentacoes!$B:$B,"ENTRADA")</f>
        <v/>
      </c>
      <c r="H4057" s="13">
        <f>SUMIFS(Movimentacoes!$G:$G,Movimentacoes!$C:$C,$A4057,Movimentacoes!$E:$E,$C4057,Movimentacoes!$B:$B,"SAIDA_USO")</f>
        <v/>
      </c>
      <c r="I4057" s="13">
        <f>SUMIFS(Movimentacoes!$G:$G,Movimentacoes!$C:$C,$A4057,Movimentacoes!$E:$E,$C4057,Movimentacoes!$B:$B,"SAIDA_DESCARTE")</f>
        <v/>
      </c>
      <c r="J4057" s="13">
        <f>G4057-H4057-I4057</f>
        <v/>
      </c>
      <c r="K4057">
        <f>IF(A4057="","",IF(J4057&lt;=IFERROR(VLOOKUP(A4057,Cadastro_Produtos!$A:$E,5,FALSE),0),"ABAIXO DO MINIMO","OK"))</f>
        <v/>
      </c>
    </row>
    <row r="4058">
      <c r="B4058">
        <f>IFERROR(VLOOKUP(A4058,Cadastro_Produtos!A:B,2,FALSE),"")</f>
        <v/>
      </c>
      <c r="D4058" s="12" t="n"/>
      <c r="E4058" s="13">
        <f>IF(D4058="","",D4058-TODAY())</f>
        <v/>
      </c>
      <c r="F4058">
        <f>IF(D4058="","",IF(E4058&lt;0,"VENCIDO",IF(E4058&lt;=30,"VENCE EM &lt;= 30 DIAS",IF(E4058&lt;=60,"ATENCAO (31-60 DIAS)","OK"))))</f>
        <v/>
      </c>
      <c r="G4058" s="13">
        <f>SUMIFS(Movimentacoes!$G:$G,Movimentacoes!$C:$C,$A4058,Movimentacoes!$E:$E,$C4058,Movimentacoes!$B:$B,"ENTRADA")</f>
        <v/>
      </c>
      <c r="H4058" s="13">
        <f>SUMIFS(Movimentacoes!$G:$G,Movimentacoes!$C:$C,$A4058,Movimentacoes!$E:$E,$C4058,Movimentacoes!$B:$B,"SAIDA_USO")</f>
        <v/>
      </c>
      <c r="I4058" s="13">
        <f>SUMIFS(Movimentacoes!$G:$G,Movimentacoes!$C:$C,$A4058,Movimentacoes!$E:$E,$C4058,Movimentacoes!$B:$B,"SAIDA_DESCARTE")</f>
        <v/>
      </c>
      <c r="J4058" s="13">
        <f>G4058-H4058-I4058</f>
        <v/>
      </c>
      <c r="K4058">
        <f>IF(A4058="","",IF(J4058&lt;=IFERROR(VLOOKUP(A4058,Cadastro_Produtos!$A:$E,5,FALSE),0),"ABAIXO DO MINIMO","OK"))</f>
        <v/>
      </c>
    </row>
    <row r="4059">
      <c r="B4059">
        <f>IFERROR(VLOOKUP(A4059,Cadastro_Produtos!A:B,2,FALSE),"")</f>
        <v/>
      </c>
      <c r="D4059" s="12" t="n"/>
      <c r="E4059" s="13">
        <f>IF(D4059="","",D4059-TODAY())</f>
        <v/>
      </c>
      <c r="F4059">
        <f>IF(D4059="","",IF(E4059&lt;0,"VENCIDO",IF(E4059&lt;=30,"VENCE EM &lt;= 30 DIAS",IF(E4059&lt;=60,"ATENCAO (31-60 DIAS)","OK"))))</f>
        <v/>
      </c>
      <c r="G4059" s="13">
        <f>SUMIFS(Movimentacoes!$G:$G,Movimentacoes!$C:$C,$A4059,Movimentacoes!$E:$E,$C4059,Movimentacoes!$B:$B,"ENTRADA")</f>
        <v/>
      </c>
      <c r="H4059" s="13">
        <f>SUMIFS(Movimentacoes!$G:$G,Movimentacoes!$C:$C,$A4059,Movimentacoes!$E:$E,$C4059,Movimentacoes!$B:$B,"SAIDA_USO")</f>
        <v/>
      </c>
      <c r="I4059" s="13">
        <f>SUMIFS(Movimentacoes!$G:$G,Movimentacoes!$C:$C,$A4059,Movimentacoes!$E:$E,$C4059,Movimentacoes!$B:$B,"SAIDA_DESCARTE")</f>
        <v/>
      </c>
      <c r="J4059" s="13">
        <f>G4059-H4059-I4059</f>
        <v/>
      </c>
      <c r="K4059">
        <f>IF(A4059="","",IF(J4059&lt;=IFERROR(VLOOKUP(A4059,Cadastro_Produtos!$A:$E,5,FALSE),0),"ABAIXO DO MINIMO","OK"))</f>
        <v/>
      </c>
    </row>
    <row r="4060">
      <c r="B4060">
        <f>IFERROR(VLOOKUP(A4060,Cadastro_Produtos!A:B,2,FALSE),"")</f>
        <v/>
      </c>
      <c r="D4060" s="12" t="n"/>
      <c r="E4060" s="13">
        <f>IF(D4060="","",D4060-TODAY())</f>
        <v/>
      </c>
      <c r="F4060">
        <f>IF(D4060="","",IF(E4060&lt;0,"VENCIDO",IF(E4060&lt;=30,"VENCE EM &lt;= 30 DIAS",IF(E4060&lt;=60,"ATENCAO (31-60 DIAS)","OK"))))</f>
        <v/>
      </c>
      <c r="G4060" s="13">
        <f>SUMIFS(Movimentacoes!$G:$G,Movimentacoes!$C:$C,$A4060,Movimentacoes!$E:$E,$C4060,Movimentacoes!$B:$B,"ENTRADA")</f>
        <v/>
      </c>
      <c r="H4060" s="13">
        <f>SUMIFS(Movimentacoes!$G:$G,Movimentacoes!$C:$C,$A4060,Movimentacoes!$E:$E,$C4060,Movimentacoes!$B:$B,"SAIDA_USO")</f>
        <v/>
      </c>
      <c r="I4060" s="13">
        <f>SUMIFS(Movimentacoes!$G:$G,Movimentacoes!$C:$C,$A4060,Movimentacoes!$E:$E,$C4060,Movimentacoes!$B:$B,"SAIDA_DESCARTE")</f>
        <v/>
      </c>
      <c r="J4060" s="13">
        <f>G4060-H4060-I4060</f>
        <v/>
      </c>
      <c r="K4060">
        <f>IF(A4060="","",IF(J4060&lt;=IFERROR(VLOOKUP(A4060,Cadastro_Produtos!$A:$E,5,FALSE),0),"ABAIXO DO MINIMO","OK"))</f>
        <v/>
      </c>
    </row>
    <row r="4061">
      <c r="B4061">
        <f>IFERROR(VLOOKUP(A4061,Cadastro_Produtos!A:B,2,FALSE),"")</f>
        <v/>
      </c>
      <c r="D4061" s="12" t="n"/>
      <c r="E4061" s="13">
        <f>IF(D4061="","",D4061-TODAY())</f>
        <v/>
      </c>
      <c r="F4061">
        <f>IF(D4061="","",IF(E4061&lt;0,"VENCIDO",IF(E4061&lt;=30,"VENCE EM &lt;= 30 DIAS",IF(E4061&lt;=60,"ATENCAO (31-60 DIAS)","OK"))))</f>
        <v/>
      </c>
      <c r="G4061" s="13">
        <f>SUMIFS(Movimentacoes!$G:$G,Movimentacoes!$C:$C,$A4061,Movimentacoes!$E:$E,$C4061,Movimentacoes!$B:$B,"ENTRADA")</f>
        <v/>
      </c>
      <c r="H4061" s="13">
        <f>SUMIFS(Movimentacoes!$G:$G,Movimentacoes!$C:$C,$A4061,Movimentacoes!$E:$E,$C4061,Movimentacoes!$B:$B,"SAIDA_USO")</f>
        <v/>
      </c>
      <c r="I4061" s="13">
        <f>SUMIFS(Movimentacoes!$G:$G,Movimentacoes!$C:$C,$A4061,Movimentacoes!$E:$E,$C4061,Movimentacoes!$B:$B,"SAIDA_DESCARTE")</f>
        <v/>
      </c>
      <c r="J4061" s="13">
        <f>G4061-H4061-I4061</f>
        <v/>
      </c>
      <c r="K4061">
        <f>IF(A4061="","",IF(J4061&lt;=IFERROR(VLOOKUP(A4061,Cadastro_Produtos!$A:$E,5,FALSE),0),"ABAIXO DO MINIMO","OK"))</f>
        <v/>
      </c>
    </row>
    <row r="4062">
      <c r="B4062">
        <f>IFERROR(VLOOKUP(A4062,Cadastro_Produtos!A:B,2,FALSE),"")</f>
        <v/>
      </c>
      <c r="D4062" s="12" t="n"/>
      <c r="E4062" s="13">
        <f>IF(D4062="","",D4062-TODAY())</f>
        <v/>
      </c>
      <c r="F4062">
        <f>IF(D4062="","",IF(E4062&lt;0,"VENCIDO",IF(E4062&lt;=30,"VENCE EM &lt;= 30 DIAS",IF(E4062&lt;=60,"ATENCAO (31-60 DIAS)","OK"))))</f>
        <v/>
      </c>
      <c r="G4062" s="13">
        <f>SUMIFS(Movimentacoes!$G:$G,Movimentacoes!$C:$C,$A4062,Movimentacoes!$E:$E,$C4062,Movimentacoes!$B:$B,"ENTRADA")</f>
        <v/>
      </c>
      <c r="H4062" s="13">
        <f>SUMIFS(Movimentacoes!$G:$G,Movimentacoes!$C:$C,$A4062,Movimentacoes!$E:$E,$C4062,Movimentacoes!$B:$B,"SAIDA_USO")</f>
        <v/>
      </c>
      <c r="I4062" s="13">
        <f>SUMIFS(Movimentacoes!$G:$G,Movimentacoes!$C:$C,$A4062,Movimentacoes!$E:$E,$C4062,Movimentacoes!$B:$B,"SAIDA_DESCARTE")</f>
        <v/>
      </c>
      <c r="J4062" s="13">
        <f>G4062-H4062-I4062</f>
        <v/>
      </c>
      <c r="K4062">
        <f>IF(A4062="","",IF(J4062&lt;=IFERROR(VLOOKUP(A4062,Cadastro_Produtos!$A:$E,5,FALSE),0),"ABAIXO DO MINIMO","OK"))</f>
        <v/>
      </c>
    </row>
    <row r="4063">
      <c r="B4063">
        <f>IFERROR(VLOOKUP(A4063,Cadastro_Produtos!A:B,2,FALSE),"")</f>
        <v/>
      </c>
      <c r="D4063" s="12" t="n"/>
      <c r="E4063" s="13">
        <f>IF(D4063="","",D4063-TODAY())</f>
        <v/>
      </c>
      <c r="F4063">
        <f>IF(D4063="","",IF(E4063&lt;0,"VENCIDO",IF(E4063&lt;=30,"VENCE EM &lt;= 30 DIAS",IF(E4063&lt;=60,"ATENCAO (31-60 DIAS)","OK"))))</f>
        <v/>
      </c>
      <c r="G4063" s="13">
        <f>SUMIFS(Movimentacoes!$G:$G,Movimentacoes!$C:$C,$A4063,Movimentacoes!$E:$E,$C4063,Movimentacoes!$B:$B,"ENTRADA")</f>
        <v/>
      </c>
      <c r="H4063" s="13">
        <f>SUMIFS(Movimentacoes!$G:$G,Movimentacoes!$C:$C,$A4063,Movimentacoes!$E:$E,$C4063,Movimentacoes!$B:$B,"SAIDA_USO")</f>
        <v/>
      </c>
      <c r="I4063" s="13">
        <f>SUMIFS(Movimentacoes!$G:$G,Movimentacoes!$C:$C,$A4063,Movimentacoes!$E:$E,$C4063,Movimentacoes!$B:$B,"SAIDA_DESCARTE")</f>
        <v/>
      </c>
      <c r="J4063" s="13">
        <f>G4063-H4063-I4063</f>
        <v/>
      </c>
      <c r="K4063">
        <f>IF(A4063="","",IF(J4063&lt;=IFERROR(VLOOKUP(A4063,Cadastro_Produtos!$A:$E,5,FALSE),0),"ABAIXO DO MINIMO","OK"))</f>
        <v/>
      </c>
    </row>
    <row r="4064">
      <c r="B4064">
        <f>IFERROR(VLOOKUP(A4064,Cadastro_Produtos!A:B,2,FALSE),"")</f>
        <v/>
      </c>
      <c r="D4064" s="12" t="n"/>
      <c r="E4064" s="13">
        <f>IF(D4064="","",D4064-TODAY())</f>
        <v/>
      </c>
      <c r="F4064">
        <f>IF(D4064="","",IF(E4064&lt;0,"VENCIDO",IF(E4064&lt;=30,"VENCE EM &lt;= 30 DIAS",IF(E4064&lt;=60,"ATENCAO (31-60 DIAS)","OK"))))</f>
        <v/>
      </c>
      <c r="G4064" s="13">
        <f>SUMIFS(Movimentacoes!$G:$G,Movimentacoes!$C:$C,$A4064,Movimentacoes!$E:$E,$C4064,Movimentacoes!$B:$B,"ENTRADA")</f>
        <v/>
      </c>
      <c r="H4064" s="13">
        <f>SUMIFS(Movimentacoes!$G:$G,Movimentacoes!$C:$C,$A4064,Movimentacoes!$E:$E,$C4064,Movimentacoes!$B:$B,"SAIDA_USO")</f>
        <v/>
      </c>
      <c r="I4064" s="13">
        <f>SUMIFS(Movimentacoes!$G:$G,Movimentacoes!$C:$C,$A4064,Movimentacoes!$E:$E,$C4064,Movimentacoes!$B:$B,"SAIDA_DESCARTE")</f>
        <v/>
      </c>
      <c r="J4064" s="13">
        <f>G4064-H4064-I4064</f>
        <v/>
      </c>
      <c r="K4064">
        <f>IF(A4064="","",IF(J4064&lt;=IFERROR(VLOOKUP(A4064,Cadastro_Produtos!$A:$E,5,FALSE),0),"ABAIXO DO MINIMO","OK"))</f>
        <v/>
      </c>
    </row>
    <row r="4065">
      <c r="B4065">
        <f>IFERROR(VLOOKUP(A4065,Cadastro_Produtos!A:B,2,FALSE),"")</f>
        <v/>
      </c>
      <c r="D4065" s="12" t="n"/>
      <c r="E4065" s="13">
        <f>IF(D4065="","",D4065-TODAY())</f>
        <v/>
      </c>
      <c r="F4065">
        <f>IF(D4065="","",IF(E4065&lt;0,"VENCIDO",IF(E4065&lt;=30,"VENCE EM &lt;= 30 DIAS",IF(E4065&lt;=60,"ATENCAO (31-60 DIAS)","OK"))))</f>
        <v/>
      </c>
      <c r="G4065" s="13">
        <f>SUMIFS(Movimentacoes!$G:$G,Movimentacoes!$C:$C,$A4065,Movimentacoes!$E:$E,$C4065,Movimentacoes!$B:$B,"ENTRADA")</f>
        <v/>
      </c>
      <c r="H4065" s="13">
        <f>SUMIFS(Movimentacoes!$G:$G,Movimentacoes!$C:$C,$A4065,Movimentacoes!$E:$E,$C4065,Movimentacoes!$B:$B,"SAIDA_USO")</f>
        <v/>
      </c>
      <c r="I4065" s="13">
        <f>SUMIFS(Movimentacoes!$G:$G,Movimentacoes!$C:$C,$A4065,Movimentacoes!$E:$E,$C4065,Movimentacoes!$B:$B,"SAIDA_DESCARTE")</f>
        <v/>
      </c>
      <c r="J4065" s="13">
        <f>G4065-H4065-I4065</f>
        <v/>
      </c>
      <c r="K4065">
        <f>IF(A4065="","",IF(J4065&lt;=IFERROR(VLOOKUP(A4065,Cadastro_Produtos!$A:$E,5,FALSE),0),"ABAIXO DO MINIMO","OK"))</f>
        <v/>
      </c>
    </row>
    <row r="4066">
      <c r="B4066">
        <f>IFERROR(VLOOKUP(A4066,Cadastro_Produtos!A:B,2,FALSE),"")</f>
        <v/>
      </c>
      <c r="D4066" s="12" t="n"/>
      <c r="E4066" s="13">
        <f>IF(D4066="","",D4066-TODAY())</f>
        <v/>
      </c>
      <c r="F4066">
        <f>IF(D4066="","",IF(E4066&lt;0,"VENCIDO",IF(E4066&lt;=30,"VENCE EM &lt;= 30 DIAS",IF(E4066&lt;=60,"ATENCAO (31-60 DIAS)","OK"))))</f>
        <v/>
      </c>
      <c r="G4066" s="13">
        <f>SUMIFS(Movimentacoes!$G:$G,Movimentacoes!$C:$C,$A4066,Movimentacoes!$E:$E,$C4066,Movimentacoes!$B:$B,"ENTRADA")</f>
        <v/>
      </c>
      <c r="H4066" s="13">
        <f>SUMIFS(Movimentacoes!$G:$G,Movimentacoes!$C:$C,$A4066,Movimentacoes!$E:$E,$C4066,Movimentacoes!$B:$B,"SAIDA_USO")</f>
        <v/>
      </c>
      <c r="I4066" s="13">
        <f>SUMIFS(Movimentacoes!$G:$G,Movimentacoes!$C:$C,$A4066,Movimentacoes!$E:$E,$C4066,Movimentacoes!$B:$B,"SAIDA_DESCARTE")</f>
        <v/>
      </c>
      <c r="J4066" s="13">
        <f>G4066-H4066-I4066</f>
        <v/>
      </c>
      <c r="K4066">
        <f>IF(A4066="","",IF(J4066&lt;=IFERROR(VLOOKUP(A4066,Cadastro_Produtos!$A:$E,5,FALSE),0),"ABAIXO DO MINIMO","OK"))</f>
        <v/>
      </c>
    </row>
    <row r="4067">
      <c r="B4067">
        <f>IFERROR(VLOOKUP(A4067,Cadastro_Produtos!A:B,2,FALSE),"")</f>
        <v/>
      </c>
      <c r="D4067" s="12" t="n"/>
      <c r="E4067" s="13">
        <f>IF(D4067="","",D4067-TODAY())</f>
        <v/>
      </c>
      <c r="F4067">
        <f>IF(D4067="","",IF(E4067&lt;0,"VENCIDO",IF(E4067&lt;=30,"VENCE EM &lt;= 30 DIAS",IF(E4067&lt;=60,"ATENCAO (31-60 DIAS)","OK"))))</f>
        <v/>
      </c>
      <c r="G4067" s="13">
        <f>SUMIFS(Movimentacoes!$G:$G,Movimentacoes!$C:$C,$A4067,Movimentacoes!$E:$E,$C4067,Movimentacoes!$B:$B,"ENTRADA")</f>
        <v/>
      </c>
      <c r="H4067" s="13">
        <f>SUMIFS(Movimentacoes!$G:$G,Movimentacoes!$C:$C,$A4067,Movimentacoes!$E:$E,$C4067,Movimentacoes!$B:$B,"SAIDA_USO")</f>
        <v/>
      </c>
      <c r="I4067" s="13">
        <f>SUMIFS(Movimentacoes!$G:$G,Movimentacoes!$C:$C,$A4067,Movimentacoes!$E:$E,$C4067,Movimentacoes!$B:$B,"SAIDA_DESCARTE")</f>
        <v/>
      </c>
      <c r="J4067" s="13">
        <f>G4067-H4067-I4067</f>
        <v/>
      </c>
      <c r="K4067">
        <f>IF(A4067="","",IF(J4067&lt;=IFERROR(VLOOKUP(A4067,Cadastro_Produtos!$A:$E,5,FALSE),0),"ABAIXO DO MINIMO","OK"))</f>
        <v/>
      </c>
    </row>
    <row r="4068">
      <c r="B4068">
        <f>IFERROR(VLOOKUP(A4068,Cadastro_Produtos!A:B,2,FALSE),"")</f>
        <v/>
      </c>
      <c r="D4068" s="12" t="n"/>
      <c r="E4068" s="13">
        <f>IF(D4068="","",D4068-TODAY())</f>
        <v/>
      </c>
      <c r="F4068">
        <f>IF(D4068="","",IF(E4068&lt;0,"VENCIDO",IF(E4068&lt;=30,"VENCE EM &lt;= 30 DIAS",IF(E4068&lt;=60,"ATENCAO (31-60 DIAS)","OK"))))</f>
        <v/>
      </c>
      <c r="G4068" s="13">
        <f>SUMIFS(Movimentacoes!$G:$G,Movimentacoes!$C:$C,$A4068,Movimentacoes!$E:$E,$C4068,Movimentacoes!$B:$B,"ENTRADA")</f>
        <v/>
      </c>
      <c r="H4068" s="13">
        <f>SUMIFS(Movimentacoes!$G:$G,Movimentacoes!$C:$C,$A4068,Movimentacoes!$E:$E,$C4068,Movimentacoes!$B:$B,"SAIDA_USO")</f>
        <v/>
      </c>
      <c r="I4068" s="13">
        <f>SUMIFS(Movimentacoes!$G:$G,Movimentacoes!$C:$C,$A4068,Movimentacoes!$E:$E,$C4068,Movimentacoes!$B:$B,"SAIDA_DESCARTE")</f>
        <v/>
      </c>
      <c r="J4068" s="13">
        <f>G4068-H4068-I4068</f>
        <v/>
      </c>
      <c r="K4068">
        <f>IF(A4068="","",IF(J4068&lt;=IFERROR(VLOOKUP(A4068,Cadastro_Produtos!$A:$E,5,FALSE),0),"ABAIXO DO MINIMO","OK"))</f>
        <v/>
      </c>
    </row>
    <row r="4069">
      <c r="B4069">
        <f>IFERROR(VLOOKUP(A4069,Cadastro_Produtos!A:B,2,FALSE),"")</f>
        <v/>
      </c>
      <c r="D4069" s="12" t="n"/>
      <c r="E4069" s="13">
        <f>IF(D4069="","",D4069-TODAY())</f>
        <v/>
      </c>
      <c r="F4069">
        <f>IF(D4069="","",IF(E4069&lt;0,"VENCIDO",IF(E4069&lt;=30,"VENCE EM &lt;= 30 DIAS",IF(E4069&lt;=60,"ATENCAO (31-60 DIAS)","OK"))))</f>
        <v/>
      </c>
      <c r="G4069" s="13">
        <f>SUMIFS(Movimentacoes!$G:$G,Movimentacoes!$C:$C,$A4069,Movimentacoes!$E:$E,$C4069,Movimentacoes!$B:$B,"ENTRADA")</f>
        <v/>
      </c>
      <c r="H4069" s="13">
        <f>SUMIFS(Movimentacoes!$G:$G,Movimentacoes!$C:$C,$A4069,Movimentacoes!$E:$E,$C4069,Movimentacoes!$B:$B,"SAIDA_USO")</f>
        <v/>
      </c>
      <c r="I4069" s="13">
        <f>SUMIFS(Movimentacoes!$G:$G,Movimentacoes!$C:$C,$A4069,Movimentacoes!$E:$E,$C4069,Movimentacoes!$B:$B,"SAIDA_DESCARTE")</f>
        <v/>
      </c>
      <c r="J4069" s="13">
        <f>G4069-H4069-I4069</f>
        <v/>
      </c>
      <c r="K4069">
        <f>IF(A4069="","",IF(J4069&lt;=IFERROR(VLOOKUP(A4069,Cadastro_Produtos!$A:$E,5,FALSE),0),"ABAIXO DO MINIMO","OK"))</f>
        <v/>
      </c>
    </row>
    <row r="4070">
      <c r="B4070">
        <f>IFERROR(VLOOKUP(A4070,Cadastro_Produtos!A:B,2,FALSE),"")</f>
        <v/>
      </c>
      <c r="D4070" s="12" t="n"/>
      <c r="E4070" s="13">
        <f>IF(D4070="","",D4070-TODAY())</f>
        <v/>
      </c>
      <c r="F4070">
        <f>IF(D4070="","",IF(E4070&lt;0,"VENCIDO",IF(E4070&lt;=30,"VENCE EM &lt;= 30 DIAS",IF(E4070&lt;=60,"ATENCAO (31-60 DIAS)","OK"))))</f>
        <v/>
      </c>
      <c r="G4070" s="13">
        <f>SUMIFS(Movimentacoes!$G:$G,Movimentacoes!$C:$C,$A4070,Movimentacoes!$E:$E,$C4070,Movimentacoes!$B:$B,"ENTRADA")</f>
        <v/>
      </c>
      <c r="H4070" s="13">
        <f>SUMIFS(Movimentacoes!$G:$G,Movimentacoes!$C:$C,$A4070,Movimentacoes!$E:$E,$C4070,Movimentacoes!$B:$B,"SAIDA_USO")</f>
        <v/>
      </c>
      <c r="I4070" s="13">
        <f>SUMIFS(Movimentacoes!$G:$G,Movimentacoes!$C:$C,$A4070,Movimentacoes!$E:$E,$C4070,Movimentacoes!$B:$B,"SAIDA_DESCARTE")</f>
        <v/>
      </c>
      <c r="J4070" s="13">
        <f>G4070-H4070-I4070</f>
        <v/>
      </c>
      <c r="K4070">
        <f>IF(A4070="","",IF(J4070&lt;=IFERROR(VLOOKUP(A4070,Cadastro_Produtos!$A:$E,5,FALSE),0),"ABAIXO DO MINIMO","OK"))</f>
        <v/>
      </c>
    </row>
    <row r="4071">
      <c r="B4071">
        <f>IFERROR(VLOOKUP(A4071,Cadastro_Produtos!A:B,2,FALSE),"")</f>
        <v/>
      </c>
      <c r="D4071" s="12" t="n"/>
      <c r="E4071" s="13">
        <f>IF(D4071="","",D4071-TODAY())</f>
        <v/>
      </c>
      <c r="F4071">
        <f>IF(D4071="","",IF(E4071&lt;0,"VENCIDO",IF(E4071&lt;=30,"VENCE EM &lt;= 30 DIAS",IF(E4071&lt;=60,"ATENCAO (31-60 DIAS)","OK"))))</f>
        <v/>
      </c>
      <c r="G4071" s="13">
        <f>SUMIFS(Movimentacoes!$G:$G,Movimentacoes!$C:$C,$A4071,Movimentacoes!$E:$E,$C4071,Movimentacoes!$B:$B,"ENTRADA")</f>
        <v/>
      </c>
      <c r="H4071" s="13">
        <f>SUMIFS(Movimentacoes!$G:$G,Movimentacoes!$C:$C,$A4071,Movimentacoes!$E:$E,$C4071,Movimentacoes!$B:$B,"SAIDA_USO")</f>
        <v/>
      </c>
      <c r="I4071" s="13">
        <f>SUMIFS(Movimentacoes!$G:$G,Movimentacoes!$C:$C,$A4071,Movimentacoes!$E:$E,$C4071,Movimentacoes!$B:$B,"SAIDA_DESCARTE")</f>
        <v/>
      </c>
      <c r="J4071" s="13">
        <f>G4071-H4071-I4071</f>
        <v/>
      </c>
      <c r="K4071">
        <f>IF(A4071="","",IF(J4071&lt;=IFERROR(VLOOKUP(A4071,Cadastro_Produtos!$A:$E,5,FALSE),0),"ABAIXO DO MINIMO","OK"))</f>
        <v/>
      </c>
    </row>
    <row r="4072">
      <c r="B4072">
        <f>IFERROR(VLOOKUP(A4072,Cadastro_Produtos!A:B,2,FALSE),"")</f>
        <v/>
      </c>
      <c r="D4072" s="12" t="n"/>
      <c r="E4072" s="13">
        <f>IF(D4072="","",D4072-TODAY())</f>
        <v/>
      </c>
      <c r="F4072">
        <f>IF(D4072="","",IF(E4072&lt;0,"VENCIDO",IF(E4072&lt;=30,"VENCE EM &lt;= 30 DIAS",IF(E4072&lt;=60,"ATENCAO (31-60 DIAS)","OK"))))</f>
        <v/>
      </c>
      <c r="G4072" s="13">
        <f>SUMIFS(Movimentacoes!$G:$G,Movimentacoes!$C:$C,$A4072,Movimentacoes!$E:$E,$C4072,Movimentacoes!$B:$B,"ENTRADA")</f>
        <v/>
      </c>
      <c r="H4072" s="13">
        <f>SUMIFS(Movimentacoes!$G:$G,Movimentacoes!$C:$C,$A4072,Movimentacoes!$E:$E,$C4072,Movimentacoes!$B:$B,"SAIDA_USO")</f>
        <v/>
      </c>
      <c r="I4072" s="13">
        <f>SUMIFS(Movimentacoes!$G:$G,Movimentacoes!$C:$C,$A4072,Movimentacoes!$E:$E,$C4072,Movimentacoes!$B:$B,"SAIDA_DESCARTE")</f>
        <v/>
      </c>
      <c r="J4072" s="13">
        <f>G4072-H4072-I4072</f>
        <v/>
      </c>
      <c r="K4072">
        <f>IF(A4072="","",IF(J4072&lt;=IFERROR(VLOOKUP(A4072,Cadastro_Produtos!$A:$E,5,FALSE),0),"ABAIXO DO MINIMO","OK"))</f>
        <v/>
      </c>
    </row>
    <row r="4073">
      <c r="B4073">
        <f>IFERROR(VLOOKUP(A4073,Cadastro_Produtos!A:B,2,FALSE),"")</f>
        <v/>
      </c>
      <c r="D4073" s="12" t="n"/>
      <c r="E4073" s="13">
        <f>IF(D4073="","",D4073-TODAY())</f>
        <v/>
      </c>
      <c r="F4073">
        <f>IF(D4073="","",IF(E4073&lt;0,"VENCIDO",IF(E4073&lt;=30,"VENCE EM &lt;= 30 DIAS",IF(E4073&lt;=60,"ATENCAO (31-60 DIAS)","OK"))))</f>
        <v/>
      </c>
      <c r="G4073" s="13">
        <f>SUMIFS(Movimentacoes!$G:$G,Movimentacoes!$C:$C,$A4073,Movimentacoes!$E:$E,$C4073,Movimentacoes!$B:$B,"ENTRADA")</f>
        <v/>
      </c>
      <c r="H4073" s="13">
        <f>SUMIFS(Movimentacoes!$G:$G,Movimentacoes!$C:$C,$A4073,Movimentacoes!$E:$E,$C4073,Movimentacoes!$B:$B,"SAIDA_USO")</f>
        <v/>
      </c>
      <c r="I4073" s="13">
        <f>SUMIFS(Movimentacoes!$G:$G,Movimentacoes!$C:$C,$A4073,Movimentacoes!$E:$E,$C4073,Movimentacoes!$B:$B,"SAIDA_DESCARTE")</f>
        <v/>
      </c>
      <c r="J4073" s="13">
        <f>G4073-H4073-I4073</f>
        <v/>
      </c>
      <c r="K4073">
        <f>IF(A4073="","",IF(J4073&lt;=IFERROR(VLOOKUP(A4073,Cadastro_Produtos!$A:$E,5,FALSE),0),"ABAIXO DO MINIMO","OK"))</f>
        <v/>
      </c>
    </row>
    <row r="4074">
      <c r="B4074">
        <f>IFERROR(VLOOKUP(A4074,Cadastro_Produtos!A:B,2,FALSE),"")</f>
        <v/>
      </c>
      <c r="D4074" s="12" t="n"/>
      <c r="E4074" s="13">
        <f>IF(D4074="","",D4074-TODAY())</f>
        <v/>
      </c>
      <c r="F4074">
        <f>IF(D4074="","",IF(E4074&lt;0,"VENCIDO",IF(E4074&lt;=30,"VENCE EM &lt;= 30 DIAS",IF(E4074&lt;=60,"ATENCAO (31-60 DIAS)","OK"))))</f>
        <v/>
      </c>
      <c r="G4074" s="13">
        <f>SUMIFS(Movimentacoes!$G:$G,Movimentacoes!$C:$C,$A4074,Movimentacoes!$E:$E,$C4074,Movimentacoes!$B:$B,"ENTRADA")</f>
        <v/>
      </c>
      <c r="H4074" s="13">
        <f>SUMIFS(Movimentacoes!$G:$G,Movimentacoes!$C:$C,$A4074,Movimentacoes!$E:$E,$C4074,Movimentacoes!$B:$B,"SAIDA_USO")</f>
        <v/>
      </c>
      <c r="I4074" s="13">
        <f>SUMIFS(Movimentacoes!$G:$G,Movimentacoes!$C:$C,$A4074,Movimentacoes!$E:$E,$C4074,Movimentacoes!$B:$B,"SAIDA_DESCARTE")</f>
        <v/>
      </c>
      <c r="J4074" s="13">
        <f>G4074-H4074-I4074</f>
        <v/>
      </c>
      <c r="K4074">
        <f>IF(A4074="","",IF(J4074&lt;=IFERROR(VLOOKUP(A4074,Cadastro_Produtos!$A:$E,5,FALSE),0),"ABAIXO DO MINIMO","OK"))</f>
        <v/>
      </c>
    </row>
    <row r="4075">
      <c r="B4075">
        <f>IFERROR(VLOOKUP(A4075,Cadastro_Produtos!A:B,2,FALSE),"")</f>
        <v/>
      </c>
      <c r="D4075" s="12" t="n"/>
      <c r="E4075" s="13">
        <f>IF(D4075="","",D4075-TODAY())</f>
        <v/>
      </c>
      <c r="F4075">
        <f>IF(D4075="","",IF(E4075&lt;0,"VENCIDO",IF(E4075&lt;=30,"VENCE EM &lt;= 30 DIAS",IF(E4075&lt;=60,"ATENCAO (31-60 DIAS)","OK"))))</f>
        <v/>
      </c>
      <c r="G4075" s="13">
        <f>SUMIFS(Movimentacoes!$G:$G,Movimentacoes!$C:$C,$A4075,Movimentacoes!$E:$E,$C4075,Movimentacoes!$B:$B,"ENTRADA")</f>
        <v/>
      </c>
      <c r="H4075" s="13">
        <f>SUMIFS(Movimentacoes!$G:$G,Movimentacoes!$C:$C,$A4075,Movimentacoes!$E:$E,$C4075,Movimentacoes!$B:$B,"SAIDA_USO")</f>
        <v/>
      </c>
      <c r="I4075" s="13">
        <f>SUMIFS(Movimentacoes!$G:$G,Movimentacoes!$C:$C,$A4075,Movimentacoes!$E:$E,$C4075,Movimentacoes!$B:$B,"SAIDA_DESCARTE")</f>
        <v/>
      </c>
      <c r="J4075" s="13">
        <f>G4075-H4075-I4075</f>
        <v/>
      </c>
      <c r="K4075">
        <f>IF(A4075="","",IF(J4075&lt;=IFERROR(VLOOKUP(A4075,Cadastro_Produtos!$A:$E,5,FALSE),0),"ABAIXO DO MINIMO","OK"))</f>
        <v/>
      </c>
    </row>
    <row r="4076">
      <c r="B4076">
        <f>IFERROR(VLOOKUP(A4076,Cadastro_Produtos!A:B,2,FALSE),"")</f>
        <v/>
      </c>
      <c r="D4076" s="12" t="n"/>
      <c r="E4076" s="13">
        <f>IF(D4076="","",D4076-TODAY())</f>
        <v/>
      </c>
      <c r="F4076">
        <f>IF(D4076="","",IF(E4076&lt;0,"VENCIDO",IF(E4076&lt;=30,"VENCE EM &lt;= 30 DIAS",IF(E4076&lt;=60,"ATENCAO (31-60 DIAS)","OK"))))</f>
        <v/>
      </c>
      <c r="G4076" s="13">
        <f>SUMIFS(Movimentacoes!$G:$G,Movimentacoes!$C:$C,$A4076,Movimentacoes!$E:$E,$C4076,Movimentacoes!$B:$B,"ENTRADA")</f>
        <v/>
      </c>
      <c r="H4076" s="13">
        <f>SUMIFS(Movimentacoes!$G:$G,Movimentacoes!$C:$C,$A4076,Movimentacoes!$E:$E,$C4076,Movimentacoes!$B:$B,"SAIDA_USO")</f>
        <v/>
      </c>
      <c r="I4076" s="13">
        <f>SUMIFS(Movimentacoes!$G:$G,Movimentacoes!$C:$C,$A4076,Movimentacoes!$E:$E,$C4076,Movimentacoes!$B:$B,"SAIDA_DESCARTE")</f>
        <v/>
      </c>
      <c r="J4076" s="13">
        <f>G4076-H4076-I4076</f>
        <v/>
      </c>
      <c r="K4076">
        <f>IF(A4076="","",IF(J4076&lt;=IFERROR(VLOOKUP(A4076,Cadastro_Produtos!$A:$E,5,FALSE),0),"ABAIXO DO MINIMO","OK"))</f>
        <v/>
      </c>
    </row>
    <row r="4077">
      <c r="B4077">
        <f>IFERROR(VLOOKUP(A4077,Cadastro_Produtos!A:B,2,FALSE),"")</f>
        <v/>
      </c>
      <c r="D4077" s="12" t="n"/>
      <c r="E4077" s="13">
        <f>IF(D4077="","",D4077-TODAY())</f>
        <v/>
      </c>
      <c r="F4077">
        <f>IF(D4077="","",IF(E4077&lt;0,"VENCIDO",IF(E4077&lt;=30,"VENCE EM &lt;= 30 DIAS",IF(E4077&lt;=60,"ATENCAO (31-60 DIAS)","OK"))))</f>
        <v/>
      </c>
      <c r="G4077" s="13">
        <f>SUMIFS(Movimentacoes!$G:$G,Movimentacoes!$C:$C,$A4077,Movimentacoes!$E:$E,$C4077,Movimentacoes!$B:$B,"ENTRADA")</f>
        <v/>
      </c>
      <c r="H4077" s="13">
        <f>SUMIFS(Movimentacoes!$G:$G,Movimentacoes!$C:$C,$A4077,Movimentacoes!$E:$E,$C4077,Movimentacoes!$B:$B,"SAIDA_USO")</f>
        <v/>
      </c>
      <c r="I4077" s="13">
        <f>SUMIFS(Movimentacoes!$G:$G,Movimentacoes!$C:$C,$A4077,Movimentacoes!$E:$E,$C4077,Movimentacoes!$B:$B,"SAIDA_DESCARTE")</f>
        <v/>
      </c>
      <c r="J4077" s="13">
        <f>G4077-H4077-I4077</f>
        <v/>
      </c>
      <c r="K4077">
        <f>IF(A4077="","",IF(J4077&lt;=IFERROR(VLOOKUP(A4077,Cadastro_Produtos!$A:$E,5,FALSE),0),"ABAIXO DO MINIMO","OK"))</f>
        <v/>
      </c>
    </row>
    <row r="4078">
      <c r="B4078">
        <f>IFERROR(VLOOKUP(A4078,Cadastro_Produtos!A:B,2,FALSE),"")</f>
        <v/>
      </c>
      <c r="D4078" s="12" t="n"/>
      <c r="E4078" s="13">
        <f>IF(D4078="","",D4078-TODAY())</f>
        <v/>
      </c>
      <c r="F4078">
        <f>IF(D4078="","",IF(E4078&lt;0,"VENCIDO",IF(E4078&lt;=30,"VENCE EM &lt;= 30 DIAS",IF(E4078&lt;=60,"ATENCAO (31-60 DIAS)","OK"))))</f>
        <v/>
      </c>
      <c r="G4078" s="13">
        <f>SUMIFS(Movimentacoes!$G:$G,Movimentacoes!$C:$C,$A4078,Movimentacoes!$E:$E,$C4078,Movimentacoes!$B:$B,"ENTRADA")</f>
        <v/>
      </c>
      <c r="H4078" s="13">
        <f>SUMIFS(Movimentacoes!$G:$G,Movimentacoes!$C:$C,$A4078,Movimentacoes!$E:$E,$C4078,Movimentacoes!$B:$B,"SAIDA_USO")</f>
        <v/>
      </c>
      <c r="I4078" s="13">
        <f>SUMIFS(Movimentacoes!$G:$G,Movimentacoes!$C:$C,$A4078,Movimentacoes!$E:$E,$C4078,Movimentacoes!$B:$B,"SAIDA_DESCARTE")</f>
        <v/>
      </c>
      <c r="J4078" s="13">
        <f>G4078-H4078-I4078</f>
        <v/>
      </c>
      <c r="K4078">
        <f>IF(A4078="","",IF(J4078&lt;=IFERROR(VLOOKUP(A4078,Cadastro_Produtos!$A:$E,5,FALSE),0),"ABAIXO DO MINIMO","OK"))</f>
        <v/>
      </c>
    </row>
    <row r="4079">
      <c r="B4079">
        <f>IFERROR(VLOOKUP(A4079,Cadastro_Produtos!A:B,2,FALSE),"")</f>
        <v/>
      </c>
      <c r="D4079" s="12" t="n"/>
      <c r="E4079" s="13">
        <f>IF(D4079="","",D4079-TODAY())</f>
        <v/>
      </c>
      <c r="F4079">
        <f>IF(D4079="","",IF(E4079&lt;0,"VENCIDO",IF(E4079&lt;=30,"VENCE EM &lt;= 30 DIAS",IF(E4079&lt;=60,"ATENCAO (31-60 DIAS)","OK"))))</f>
        <v/>
      </c>
      <c r="G4079" s="13">
        <f>SUMIFS(Movimentacoes!$G:$G,Movimentacoes!$C:$C,$A4079,Movimentacoes!$E:$E,$C4079,Movimentacoes!$B:$B,"ENTRADA")</f>
        <v/>
      </c>
      <c r="H4079" s="13">
        <f>SUMIFS(Movimentacoes!$G:$G,Movimentacoes!$C:$C,$A4079,Movimentacoes!$E:$E,$C4079,Movimentacoes!$B:$B,"SAIDA_USO")</f>
        <v/>
      </c>
      <c r="I4079" s="13">
        <f>SUMIFS(Movimentacoes!$G:$G,Movimentacoes!$C:$C,$A4079,Movimentacoes!$E:$E,$C4079,Movimentacoes!$B:$B,"SAIDA_DESCARTE")</f>
        <v/>
      </c>
      <c r="J4079" s="13">
        <f>G4079-H4079-I4079</f>
        <v/>
      </c>
      <c r="K4079">
        <f>IF(A4079="","",IF(J4079&lt;=IFERROR(VLOOKUP(A4079,Cadastro_Produtos!$A:$E,5,FALSE),0),"ABAIXO DO MINIMO","OK"))</f>
        <v/>
      </c>
    </row>
    <row r="4080">
      <c r="B4080">
        <f>IFERROR(VLOOKUP(A4080,Cadastro_Produtos!A:B,2,FALSE),"")</f>
        <v/>
      </c>
      <c r="D4080" s="12" t="n"/>
      <c r="E4080" s="13">
        <f>IF(D4080="","",D4080-TODAY())</f>
        <v/>
      </c>
      <c r="F4080">
        <f>IF(D4080="","",IF(E4080&lt;0,"VENCIDO",IF(E4080&lt;=30,"VENCE EM &lt;= 30 DIAS",IF(E4080&lt;=60,"ATENCAO (31-60 DIAS)","OK"))))</f>
        <v/>
      </c>
      <c r="G4080" s="13">
        <f>SUMIFS(Movimentacoes!$G:$G,Movimentacoes!$C:$C,$A4080,Movimentacoes!$E:$E,$C4080,Movimentacoes!$B:$B,"ENTRADA")</f>
        <v/>
      </c>
      <c r="H4080" s="13">
        <f>SUMIFS(Movimentacoes!$G:$G,Movimentacoes!$C:$C,$A4080,Movimentacoes!$E:$E,$C4080,Movimentacoes!$B:$B,"SAIDA_USO")</f>
        <v/>
      </c>
      <c r="I4080" s="13">
        <f>SUMIFS(Movimentacoes!$G:$G,Movimentacoes!$C:$C,$A4080,Movimentacoes!$E:$E,$C4080,Movimentacoes!$B:$B,"SAIDA_DESCARTE")</f>
        <v/>
      </c>
      <c r="J4080" s="13">
        <f>G4080-H4080-I4080</f>
        <v/>
      </c>
      <c r="K4080">
        <f>IF(A4080="","",IF(J4080&lt;=IFERROR(VLOOKUP(A4080,Cadastro_Produtos!$A:$E,5,FALSE),0),"ABAIXO DO MINIMO","OK"))</f>
        <v/>
      </c>
    </row>
    <row r="4081">
      <c r="B4081">
        <f>IFERROR(VLOOKUP(A4081,Cadastro_Produtos!A:B,2,FALSE),"")</f>
        <v/>
      </c>
      <c r="D4081" s="12" t="n"/>
      <c r="E4081" s="13">
        <f>IF(D4081="","",D4081-TODAY())</f>
        <v/>
      </c>
      <c r="F4081">
        <f>IF(D4081="","",IF(E4081&lt;0,"VENCIDO",IF(E4081&lt;=30,"VENCE EM &lt;= 30 DIAS",IF(E4081&lt;=60,"ATENCAO (31-60 DIAS)","OK"))))</f>
        <v/>
      </c>
      <c r="G4081" s="13">
        <f>SUMIFS(Movimentacoes!$G:$G,Movimentacoes!$C:$C,$A4081,Movimentacoes!$E:$E,$C4081,Movimentacoes!$B:$B,"ENTRADA")</f>
        <v/>
      </c>
      <c r="H4081" s="13">
        <f>SUMIFS(Movimentacoes!$G:$G,Movimentacoes!$C:$C,$A4081,Movimentacoes!$E:$E,$C4081,Movimentacoes!$B:$B,"SAIDA_USO")</f>
        <v/>
      </c>
      <c r="I4081" s="13">
        <f>SUMIFS(Movimentacoes!$G:$G,Movimentacoes!$C:$C,$A4081,Movimentacoes!$E:$E,$C4081,Movimentacoes!$B:$B,"SAIDA_DESCARTE")</f>
        <v/>
      </c>
      <c r="J4081" s="13">
        <f>G4081-H4081-I4081</f>
        <v/>
      </c>
      <c r="K4081">
        <f>IF(A4081="","",IF(J4081&lt;=IFERROR(VLOOKUP(A4081,Cadastro_Produtos!$A:$E,5,FALSE),0),"ABAIXO DO MINIMO","OK"))</f>
        <v/>
      </c>
    </row>
    <row r="4082">
      <c r="B4082">
        <f>IFERROR(VLOOKUP(A4082,Cadastro_Produtos!A:B,2,FALSE),"")</f>
        <v/>
      </c>
      <c r="D4082" s="12" t="n"/>
      <c r="E4082" s="13">
        <f>IF(D4082="","",D4082-TODAY())</f>
        <v/>
      </c>
      <c r="F4082">
        <f>IF(D4082="","",IF(E4082&lt;0,"VENCIDO",IF(E4082&lt;=30,"VENCE EM &lt;= 30 DIAS",IF(E4082&lt;=60,"ATENCAO (31-60 DIAS)","OK"))))</f>
        <v/>
      </c>
      <c r="G4082" s="13">
        <f>SUMIFS(Movimentacoes!$G:$G,Movimentacoes!$C:$C,$A4082,Movimentacoes!$E:$E,$C4082,Movimentacoes!$B:$B,"ENTRADA")</f>
        <v/>
      </c>
      <c r="H4082" s="13">
        <f>SUMIFS(Movimentacoes!$G:$G,Movimentacoes!$C:$C,$A4082,Movimentacoes!$E:$E,$C4082,Movimentacoes!$B:$B,"SAIDA_USO")</f>
        <v/>
      </c>
      <c r="I4082" s="13">
        <f>SUMIFS(Movimentacoes!$G:$G,Movimentacoes!$C:$C,$A4082,Movimentacoes!$E:$E,$C4082,Movimentacoes!$B:$B,"SAIDA_DESCARTE")</f>
        <v/>
      </c>
      <c r="J4082" s="13">
        <f>G4082-H4082-I4082</f>
        <v/>
      </c>
      <c r="K4082">
        <f>IF(A4082="","",IF(J4082&lt;=IFERROR(VLOOKUP(A4082,Cadastro_Produtos!$A:$E,5,FALSE),0),"ABAIXO DO MINIMO","OK"))</f>
        <v/>
      </c>
    </row>
    <row r="4083">
      <c r="B4083">
        <f>IFERROR(VLOOKUP(A4083,Cadastro_Produtos!A:B,2,FALSE),"")</f>
        <v/>
      </c>
      <c r="D4083" s="12" t="n"/>
      <c r="E4083" s="13">
        <f>IF(D4083="","",D4083-TODAY())</f>
        <v/>
      </c>
      <c r="F4083">
        <f>IF(D4083="","",IF(E4083&lt;0,"VENCIDO",IF(E4083&lt;=30,"VENCE EM &lt;= 30 DIAS",IF(E4083&lt;=60,"ATENCAO (31-60 DIAS)","OK"))))</f>
        <v/>
      </c>
      <c r="G4083" s="13">
        <f>SUMIFS(Movimentacoes!$G:$G,Movimentacoes!$C:$C,$A4083,Movimentacoes!$E:$E,$C4083,Movimentacoes!$B:$B,"ENTRADA")</f>
        <v/>
      </c>
      <c r="H4083" s="13">
        <f>SUMIFS(Movimentacoes!$G:$G,Movimentacoes!$C:$C,$A4083,Movimentacoes!$E:$E,$C4083,Movimentacoes!$B:$B,"SAIDA_USO")</f>
        <v/>
      </c>
      <c r="I4083" s="13">
        <f>SUMIFS(Movimentacoes!$G:$G,Movimentacoes!$C:$C,$A4083,Movimentacoes!$E:$E,$C4083,Movimentacoes!$B:$B,"SAIDA_DESCARTE")</f>
        <v/>
      </c>
      <c r="J4083" s="13">
        <f>G4083-H4083-I4083</f>
        <v/>
      </c>
      <c r="K4083">
        <f>IF(A4083="","",IF(J4083&lt;=IFERROR(VLOOKUP(A4083,Cadastro_Produtos!$A:$E,5,FALSE),0),"ABAIXO DO MINIMO","OK"))</f>
        <v/>
      </c>
    </row>
    <row r="4084">
      <c r="B4084">
        <f>IFERROR(VLOOKUP(A4084,Cadastro_Produtos!A:B,2,FALSE),"")</f>
        <v/>
      </c>
      <c r="D4084" s="12" t="n"/>
      <c r="E4084" s="13">
        <f>IF(D4084="","",D4084-TODAY())</f>
        <v/>
      </c>
      <c r="F4084">
        <f>IF(D4084="","",IF(E4084&lt;0,"VENCIDO",IF(E4084&lt;=30,"VENCE EM &lt;= 30 DIAS",IF(E4084&lt;=60,"ATENCAO (31-60 DIAS)","OK"))))</f>
        <v/>
      </c>
      <c r="G4084" s="13">
        <f>SUMIFS(Movimentacoes!$G:$G,Movimentacoes!$C:$C,$A4084,Movimentacoes!$E:$E,$C4084,Movimentacoes!$B:$B,"ENTRADA")</f>
        <v/>
      </c>
      <c r="H4084" s="13">
        <f>SUMIFS(Movimentacoes!$G:$G,Movimentacoes!$C:$C,$A4084,Movimentacoes!$E:$E,$C4084,Movimentacoes!$B:$B,"SAIDA_USO")</f>
        <v/>
      </c>
      <c r="I4084" s="13">
        <f>SUMIFS(Movimentacoes!$G:$G,Movimentacoes!$C:$C,$A4084,Movimentacoes!$E:$E,$C4084,Movimentacoes!$B:$B,"SAIDA_DESCARTE")</f>
        <v/>
      </c>
      <c r="J4084" s="13">
        <f>G4084-H4084-I4084</f>
        <v/>
      </c>
      <c r="K4084">
        <f>IF(A4084="","",IF(J4084&lt;=IFERROR(VLOOKUP(A4084,Cadastro_Produtos!$A:$E,5,FALSE),0),"ABAIXO DO MINIMO","OK"))</f>
        <v/>
      </c>
    </row>
    <row r="4085">
      <c r="B4085">
        <f>IFERROR(VLOOKUP(A4085,Cadastro_Produtos!A:B,2,FALSE),"")</f>
        <v/>
      </c>
      <c r="D4085" s="12" t="n"/>
      <c r="E4085" s="13">
        <f>IF(D4085="","",D4085-TODAY())</f>
        <v/>
      </c>
      <c r="F4085">
        <f>IF(D4085="","",IF(E4085&lt;0,"VENCIDO",IF(E4085&lt;=30,"VENCE EM &lt;= 30 DIAS",IF(E4085&lt;=60,"ATENCAO (31-60 DIAS)","OK"))))</f>
        <v/>
      </c>
      <c r="G4085" s="13">
        <f>SUMIFS(Movimentacoes!$G:$G,Movimentacoes!$C:$C,$A4085,Movimentacoes!$E:$E,$C4085,Movimentacoes!$B:$B,"ENTRADA")</f>
        <v/>
      </c>
      <c r="H4085" s="13">
        <f>SUMIFS(Movimentacoes!$G:$G,Movimentacoes!$C:$C,$A4085,Movimentacoes!$E:$E,$C4085,Movimentacoes!$B:$B,"SAIDA_USO")</f>
        <v/>
      </c>
      <c r="I4085" s="13">
        <f>SUMIFS(Movimentacoes!$G:$G,Movimentacoes!$C:$C,$A4085,Movimentacoes!$E:$E,$C4085,Movimentacoes!$B:$B,"SAIDA_DESCARTE")</f>
        <v/>
      </c>
      <c r="J4085" s="13">
        <f>G4085-H4085-I4085</f>
        <v/>
      </c>
      <c r="K4085">
        <f>IF(A4085="","",IF(J4085&lt;=IFERROR(VLOOKUP(A4085,Cadastro_Produtos!$A:$E,5,FALSE),0),"ABAIXO DO MINIMO","OK"))</f>
        <v/>
      </c>
    </row>
    <row r="4086">
      <c r="B4086">
        <f>IFERROR(VLOOKUP(A4086,Cadastro_Produtos!A:B,2,FALSE),"")</f>
        <v/>
      </c>
      <c r="D4086" s="12" t="n"/>
      <c r="E4086" s="13">
        <f>IF(D4086="","",D4086-TODAY())</f>
        <v/>
      </c>
      <c r="F4086">
        <f>IF(D4086="","",IF(E4086&lt;0,"VENCIDO",IF(E4086&lt;=30,"VENCE EM &lt;= 30 DIAS",IF(E4086&lt;=60,"ATENCAO (31-60 DIAS)","OK"))))</f>
        <v/>
      </c>
      <c r="G4086" s="13">
        <f>SUMIFS(Movimentacoes!$G:$G,Movimentacoes!$C:$C,$A4086,Movimentacoes!$E:$E,$C4086,Movimentacoes!$B:$B,"ENTRADA")</f>
        <v/>
      </c>
      <c r="H4086" s="13">
        <f>SUMIFS(Movimentacoes!$G:$G,Movimentacoes!$C:$C,$A4086,Movimentacoes!$E:$E,$C4086,Movimentacoes!$B:$B,"SAIDA_USO")</f>
        <v/>
      </c>
      <c r="I4086" s="13">
        <f>SUMIFS(Movimentacoes!$G:$G,Movimentacoes!$C:$C,$A4086,Movimentacoes!$E:$E,$C4086,Movimentacoes!$B:$B,"SAIDA_DESCARTE")</f>
        <v/>
      </c>
      <c r="J4086" s="13">
        <f>G4086-H4086-I4086</f>
        <v/>
      </c>
      <c r="K4086">
        <f>IF(A4086="","",IF(J4086&lt;=IFERROR(VLOOKUP(A4086,Cadastro_Produtos!$A:$E,5,FALSE),0),"ABAIXO DO MINIMO","OK"))</f>
        <v/>
      </c>
    </row>
    <row r="4087">
      <c r="B4087">
        <f>IFERROR(VLOOKUP(A4087,Cadastro_Produtos!A:B,2,FALSE),"")</f>
        <v/>
      </c>
      <c r="D4087" s="12" t="n"/>
      <c r="E4087" s="13">
        <f>IF(D4087="","",D4087-TODAY())</f>
        <v/>
      </c>
      <c r="F4087">
        <f>IF(D4087="","",IF(E4087&lt;0,"VENCIDO",IF(E4087&lt;=30,"VENCE EM &lt;= 30 DIAS",IF(E4087&lt;=60,"ATENCAO (31-60 DIAS)","OK"))))</f>
        <v/>
      </c>
      <c r="G4087" s="13">
        <f>SUMIFS(Movimentacoes!$G:$G,Movimentacoes!$C:$C,$A4087,Movimentacoes!$E:$E,$C4087,Movimentacoes!$B:$B,"ENTRADA")</f>
        <v/>
      </c>
      <c r="H4087" s="13">
        <f>SUMIFS(Movimentacoes!$G:$G,Movimentacoes!$C:$C,$A4087,Movimentacoes!$E:$E,$C4087,Movimentacoes!$B:$B,"SAIDA_USO")</f>
        <v/>
      </c>
      <c r="I4087" s="13">
        <f>SUMIFS(Movimentacoes!$G:$G,Movimentacoes!$C:$C,$A4087,Movimentacoes!$E:$E,$C4087,Movimentacoes!$B:$B,"SAIDA_DESCARTE")</f>
        <v/>
      </c>
      <c r="J4087" s="13">
        <f>G4087-H4087-I4087</f>
        <v/>
      </c>
      <c r="K4087">
        <f>IF(A4087="","",IF(J4087&lt;=IFERROR(VLOOKUP(A4087,Cadastro_Produtos!$A:$E,5,FALSE),0),"ABAIXO DO MINIMO","OK"))</f>
        <v/>
      </c>
    </row>
    <row r="4088">
      <c r="B4088">
        <f>IFERROR(VLOOKUP(A4088,Cadastro_Produtos!A:B,2,FALSE),"")</f>
        <v/>
      </c>
      <c r="D4088" s="12" t="n"/>
      <c r="E4088" s="13">
        <f>IF(D4088="","",D4088-TODAY())</f>
        <v/>
      </c>
      <c r="F4088">
        <f>IF(D4088="","",IF(E4088&lt;0,"VENCIDO",IF(E4088&lt;=30,"VENCE EM &lt;= 30 DIAS",IF(E4088&lt;=60,"ATENCAO (31-60 DIAS)","OK"))))</f>
        <v/>
      </c>
      <c r="G4088" s="13">
        <f>SUMIFS(Movimentacoes!$G:$G,Movimentacoes!$C:$C,$A4088,Movimentacoes!$E:$E,$C4088,Movimentacoes!$B:$B,"ENTRADA")</f>
        <v/>
      </c>
      <c r="H4088" s="13">
        <f>SUMIFS(Movimentacoes!$G:$G,Movimentacoes!$C:$C,$A4088,Movimentacoes!$E:$E,$C4088,Movimentacoes!$B:$B,"SAIDA_USO")</f>
        <v/>
      </c>
      <c r="I4088" s="13">
        <f>SUMIFS(Movimentacoes!$G:$G,Movimentacoes!$C:$C,$A4088,Movimentacoes!$E:$E,$C4088,Movimentacoes!$B:$B,"SAIDA_DESCARTE")</f>
        <v/>
      </c>
      <c r="J4088" s="13">
        <f>G4088-H4088-I4088</f>
        <v/>
      </c>
      <c r="K4088">
        <f>IF(A4088="","",IF(J4088&lt;=IFERROR(VLOOKUP(A4088,Cadastro_Produtos!$A:$E,5,FALSE),0),"ABAIXO DO MINIMO","OK"))</f>
        <v/>
      </c>
    </row>
    <row r="4089">
      <c r="B4089">
        <f>IFERROR(VLOOKUP(A4089,Cadastro_Produtos!A:B,2,FALSE),"")</f>
        <v/>
      </c>
      <c r="D4089" s="12" t="n"/>
      <c r="E4089" s="13">
        <f>IF(D4089="","",D4089-TODAY())</f>
        <v/>
      </c>
      <c r="F4089">
        <f>IF(D4089="","",IF(E4089&lt;0,"VENCIDO",IF(E4089&lt;=30,"VENCE EM &lt;= 30 DIAS",IF(E4089&lt;=60,"ATENCAO (31-60 DIAS)","OK"))))</f>
        <v/>
      </c>
      <c r="G4089" s="13">
        <f>SUMIFS(Movimentacoes!$G:$G,Movimentacoes!$C:$C,$A4089,Movimentacoes!$E:$E,$C4089,Movimentacoes!$B:$B,"ENTRADA")</f>
        <v/>
      </c>
      <c r="H4089" s="13">
        <f>SUMIFS(Movimentacoes!$G:$G,Movimentacoes!$C:$C,$A4089,Movimentacoes!$E:$E,$C4089,Movimentacoes!$B:$B,"SAIDA_USO")</f>
        <v/>
      </c>
      <c r="I4089" s="13">
        <f>SUMIFS(Movimentacoes!$G:$G,Movimentacoes!$C:$C,$A4089,Movimentacoes!$E:$E,$C4089,Movimentacoes!$B:$B,"SAIDA_DESCARTE")</f>
        <v/>
      </c>
      <c r="J4089" s="13">
        <f>G4089-H4089-I4089</f>
        <v/>
      </c>
      <c r="K4089">
        <f>IF(A4089="","",IF(J4089&lt;=IFERROR(VLOOKUP(A4089,Cadastro_Produtos!$A:$E,5,FALSE),0),"ABAIXO DO MINIMO","OK"))</f>
        <v/>
      </c>
    </row>
    <row r="4090">
      <c r="B4090">
        <f>IFERROR(VLOOKUP(A4090,Cadastro_Produtos!A:B,2,FALSE),"")</f>
        <v/>
      </c>
      <c r="D4090" s="12" t="n"/>
      <c r="E4090" s="13">
        <f>IF(D4090="","",D4090-TODAY())</f>
        <v/>
      </c>
      <c r="F4090">
        <f>IF(D4090="","",IF(E4090&lt;0,"VENCIDO",IF(E4090&lt;=30,"VENCE EM &lt;= 30 DIAS",IF(E4090&lt;=60,"ATENCAO (31-60 DIAS)","OK"))))</f>
        <v/>
      </c>
      <c r="G4090" s="13">
        <f>SUMIFS(Movimentacoes!$G:$G,Movimentacoes!$C:$C,$A4090,Movimentacoes!$E:$E,$C4090,Movimentacoes!$B:$B,"ENTRADA")</f>
        <v/>
      </c>
      <c r="H4090" s="13">
        <f>SUMIFS(Movimentacoes!$G:$G,Movimentacoes!$C:$C,$A4090,Movimentacoes!$E:$E,$C4090,Movimentacoes!$B:$B,"SAIDA_USO")</f>
        <v/>
      </c>
      <c r="I4090" s="13">
        <f>SUMIFS(Movimentacoes!$G:$G,Movimentacoes!$C:$C,$A4090,Movimentacoes!$E:$E,$C4090,Movimentacoes!$B:$B,"SAIDA_DESCARTE")</f>
        <v/>
      </c>
      <c r="J4090" s="13">
        <f>G4090-H4090-I4090</f>
        <v/>
      </c>
      <c r="K4090">
        <f>IF(A4090="","",IF(J4090&lt;=IFERROR(VLOOKUP(A4090,Cadastro_Produtos!$A:$E,5,FALSE),0),"ABAIXO DO MINIMO","OK"))</f>
        <v/>
      </c>
    </row>
    <row r="4091">
      <c r="B4091">
        <f>IFERROR(VLOOKUP(A4091,Cadastro_Produtos!A:B,2,FALSE),"")</f>
        <v/>
      </c>
      <c r="D4091" s="12" t="n"/>
      <c r="E4091" s="13">
        <f>IF(D4091="","",D4091-TODAY())</f>
        <v/>
      </c>
      <c r="F4091">
        <f>IF(D4091="","",IF(E4091&lt;0,"VENCIDO",IF(E4091&lt;=30,"VENCE EM &lt;= 30 DIAS",IF(E4091&lt;=60,"ATENCAO (31-60 DIAS)","OK"))))</f>
        <v/>
      </c>
      <c r="G4091" s="13">
        <f>SUMIFS(Movimentacoes!$G:$G,Movimentacoes!$C:$C,$A4091,Movimentacoes!$E:$E,$C4091,Movimentacoes!$B:$B,"ENTRADA")</f>
        <v/>
      </c>
      <c r="H4091" s="13">
        <f>SUMIFS(Movimentacoes!$G:$G,Movimentacoes!$C:$C,$A4091,Movimentacoes!$E:$E,$C4091,Movimentacoes!$B:$B,"SAIDA_USO")</f>
        <v/>
      </c>
      <c r="I4091" s="13">
        <f>SUMIFS(Movimentacoes!$G:$G,Movimentacoes!$C:$C,$A4091,Movimentacoes!$E:$E,$C4091,Movimentacoes!$B:$B,"SAIDA_DESCARTE")</f>
        <v/>
      </c>
      <c r="J4091" s="13">
        <f>G4091-H4091-I4091</f>
        <v/>
      </c>
      <c r="K4091">
        <f>IF(A4091="","",IF(J4091&lt;=IFERROR(VLOOKUP(A4091,Cadastro_Produtos!$A:$E,5,FALSE),0),"ABAIXO DO MINIMO","OK"))</f>
        <v/>
      </c>
    </row>
    <row r="4092">
      <c r="B4092">
        <f>IFERROR(VLOOKUP(A4092,Cadastro_Produtos!A:B,2,FALSE),"")</f>
        <v/>
      </c>
      <c r="D4092" s="12" t="n"/>
      <c r="E4092" s="13">
        <f>IF(D4092="","",D4092-TODAY())</f>
        <v/>
      </c>
      <c r="F4092">
        <f>IF(D4092="","",IF(E4092&lt;0,"VENCIDO",IF(E4092&lt;=30,"VENCE EM &lt;= 30 DIAS",IF(E4092&lt;=60,"ATENCAO (31-60 DIAS)","OK"))))</f>
        <v/>
      </c>
      <c r="G4092" s="13">
        <f>SUMIFS(Movimentacoes!$G:$G,Movimentacoes!$C:$C,$A4092,Movimentacoes!$E:$E,$C4092,Movimentacoes!$B:$B,"ENTRADA")</f>
        <v/>
      </c>
      <c r="H4092" s="13">
        <f>SUMIFS(Movimentacoes!$G:$G,Movimentacoes!$C:$C,$A4092,Movimentacoes!$E:$E,$C4092,Movimentacoes!$B:$B,"SAIDA_USO")</f>
        <v/>
      </c>
      <c r="I4092" s="13">
        <f>SUMIFS(Movimentacoes!$G:$G,Movimentacoes!$C:$C,$A4092,Movimentacoes!$E:$E,$C4092,Movimentacoes!$B:$B,"SAIDA_DESCARTE")</f>
        <v/>
      </c>
      <c r="J4092" s="13">
        <f>G4092-H4092-I4092</f>
        <v/>
      </c>
      <c r="K4092">
        <f>IF(A4092="","",IF(J4092&lt;=IFERROR(VLOOKUP(A4092,Cadastro_Produtos!$A:$E,5,FALSE),0),"ABAIXO DO MINIMO","OK"))</f>
        <v/>
      </c>
    </row>
    <row r="4093">
      <c r="B4093">
        <f>IFERROR(VLOOKUP(A4093,Cadastro_Produtos!A:B,2,FALSE),"")</f>
        <v/>
      </c>
      <c r="D4093" s="12" t="n"/>
      <c r="E4093" s="13">
        <f>IF(D4093="","",D4093-TODAY())</f>
        <v/>
      </c>
      <c r="F4093">
        <f>IF(D4093="","",IF(E4093&lt;0,"VENCIDO",IF(E4093&lt;=30,"VENCE EM &lt;= 30 DIAS",IF(E4093&lt;=60,"ATENCAO (31-60 DIAS)","OK"))))</f>
        <v/>
      </c>
      <c r="G4093" s="13">
        <f>SUMIFS(Movimentacoes!$G:$G,Movimentacoes!$C:$C,$A4093,Movimentacoes!$E:$E,$C4093,Movimentacoes!$B:$B,"ENTRADA")</f>
        <v/>
      </c>
      <c r="H4093" s="13">
        <f>SUMIFS(Movimentacoes!$G:$G,Movimentacoes!$C:$C,$A4093,Movimentacoes!$E:$E,$C4093,Movimentacoes!$B:$B,"SAIDA_USO")</f>
        <v/>
      </c>
      <c r="I4093" s="13">
        <f>SUMIFS(Movimentacoes!$G:$G,Movimentacoes!$C:$C,$A4093,Movimentacoes!$E:$E,$C4093,Movimentacoes!$B:$B,"SAIDA_DESCARTE")</f>
        <v/>
      </c>
      <c r="J4093" s="13">
        <f>G4093-H4093-I4093</f>
        <v/>
      </c>
      <c r="K4093">
        <f>IF(A4093="","",IF(J4093&lt;=IFERROR(VLOOKUP(A4093,Cadastro_Produtos!$A:$E,5,FALSE),0),"ABAIXO DO MINIMO","OK"))</f>
        <v/>
      </c>
    </row>
    <row r="4094">
      <c r="B4094">
        <f>IFERROR(VLOOKUP(A4094,Cadastro_Produtos!A:B,2,FALSE),"")</f>
        <v/>
      </c>
      <c r="D4094" s="12" t="n"/>
      <c r="E4094" s="13">
        <f>IF(D4094="","",D4094-TODAY())</f>
        <v/>
      </c>
      <c r="F4094">
        <f>IF(D4094="","",IF(E4094&lt;0,"VENCIDO",IF(E4094&lt;=30,"VENCE EM &lt;= 30 DIAS",IF(E4094&lt;=60,"ATENCAO (31-60 DIAS)","OK"))))</f>
        <v/>
      </c>
      <c r="G4094" s="13">
        <f>SUMIFS(Movimentacoes!$G:$G,Movimentacoes!$C:$C,$A4094,Movimentacoes!$E:$E,$C4094,Movimentacoes!$B:$B,"ENTRADA")</f>
        <v/>
      </c>
      <c r="H4094" s="13">
        <f>SUMIFS(Movimentacoes!$G:$G,Movimentacoes!$C:$C,$A4094,Movimentacoes!$E:$E,$C4094,Movimentacoes!$B:$B,"SAIDA_USO")</f>
        <v/>
      </c>
      <c r="I4094" s="13">
        <f>SUMIFS(Movimentacoes!$G:$G,Movimentacoes!$C:$C,$A4094,Movimentacoes!$E:$E,$C4094,Movimentacoes!$B:$B,"SAIDA_DESCARTE")</f>
        <v/>
      </c>
      <c r="J4094" s="13">
        <f>G4094-H4094-I4094</f>
        <v/>
      </c>
      <c r="K4094">
        <f>IF(A4094="","",IF(J4094&lt;=IFERROR(VLOOKUP(A4094,Cadastro_Produtos!$A:$E,5,FALSE),0),"ABAIXO DO MINIMO","OK"))</f>
        <v/>
      </c>
    </row>
    <row r="4095">
      <c r="B4095">
        <f>IFERROR(VLOOKUP(A4095,Cadastro_Produtos!A:B,2,FALSE),"")</f>
        <v/>
      </c>
      <c r="D4095" s="12" t="n"/>
      <c r="E4095" s="13">
        <f>IF(D4095="","",D4095-TODAY())</f>
        <v/>
      </c>
      <c r="F4095">
        <f>IF(D4095="","",IF(E4095&lt;0,"VENCIDO",IF(E4095&lt;=30,"VENCE EM &lt;= 30 DIAS",IF(E4095&lt;=60,"ATENCAO (31-60 DIAS)","OK"))))</f>
        <v/>
      </c>
      <c r="G4095" s="13">
        <f>SUMIFS(Movimentacoes!$G:$G,Movimentacoes!$C:$C,$A4095,Movimentacoes!$E:$E,$C4095,Movimentacoes!$B:$B,"ENTRADA")</f>
        <v/>
      </c>
      <c r="H4095" s="13">
        <f>SUMIFS(Movimentacoes!$G:$G,Movimentacoes!$C:$C,$A4095,Movimentacoes!$E:$E,$C4095,Movimentacoes!$B:$B,"SAIDA_USO")</f>
        <v/>
      </c>
      <c r="I4095" s="13">
        <f>SUMIFS(Movimentacoes!$G:$G,Movimentacoes!$C:$C,$A4095,Movimentacoes!$E:$E,$C4095,Movimentacoes!$B:$B,"SAIDA_DESCARTE")</f>
        <v/>
      </c>
      <c r="J4095" s="13">
        <f>G4095-H4095-I4095</f>
        <v/>
      </c>
      <c r="K4095">
        <f>IF(A4095="","",IF(J4095&lt;=IFERROR(VLOOKUP(A4095,Cadastro_Produtos!$A:$E,5,FALSE),0),"ABAIXO DO MINIMO","OK"))</f>
        <v/>
      </c>
    </row>
    <row r="4096">
      <c r="B4096">
        <f>IFERROR(VLOOKUP(A4096,Cadastro_Produtos!A:B,2,FALSE),"")</f>
        <v/>
      </c>
      <c r="D4096" s="12" t="n"/>
      <c r="E4096" s="13">
        <f>IF(D4096="","",D4096-TODAY())</f>
        <v/>
      </c>
      <c r="F4096">
        <f>IF(D4096="","",IF(E4096&lt;0,"VENCIDO",IF(E4096&lt;=30,"VENCE EM &lt;= 30 DIAS",IF(E4096&lt;=60,"ATENCAO (31-60 DIAS)","OK"))))</f>
        <v/>
      </c>
      <c r="G4096" s="13">
        <f>SUMIFS(Movimentacoes!$G:$G,Movimentacoes!$C:$C,$A4096,Movimentacoes!$E:$E,$C4096,Movimentacoes!$B:$B,"ENTRADA")</f>
        <v/>
      </c>
      <c r="H4096" s="13">
        <f>SUMIFS(Movimentacoes!$G:$G,Movimentacoes!$C:$C,$A4096,Movimentacoes!$E:$E,$C4096,Movimentacoes!$B:$B,"SAIDA_USO")</f>
        <v/>
      </c>
      <c r="I4096" s="13">
        <f>SUMIFS(Movimentacoes!$G:$G,Movimentacoes!$C:$C,$A4096,Movimentacoes!$E:$E,$C4096,Movimentacoes!$B:$B,"SAIDA_DESCARTE")</f>
        <v/>
      </c>
      <c r="J4096" s="13">
        <f>G4096-H4096-I4096</f>
        <v/>
      </c>
      <c r="K4096">
        <f>IF(A4096="","",IF(J4096&lt;=IFERROR(VLOOKUP(A4096,Cadastro_Produtos!$A:$E,5,FALSE),0),"ABAIXO DO MINIMO","OK"))</f>
        <v/>
      </c>
    </row>
    <row r="4097">
      <c r="B4097">
        <f>IFERROR(VLOOKUP(A4097,Cadastro_Produtos!A:B,2,FALSE),"")</f>
        <v/>
      </c>
      <c r="D4097" s="12" t="n"/>
      <c r="E4097" s="13">
        <f>IF(D4097="","",D4097-TODAY())</f>
        <v/>
      </c>
      <c r="F4097">
        <f>IF(D4097="","",IF(E4097&lt;0,"VENCIDO",IF(E4097&lt;=30,"VENCE EM &lt;= 30 DIAS",IF(E4097&lt;=60,"ATENCAO (31-60 DIAS)","OK"))))</f>
        <v/>
      </c>
      <c r="G4097" s="13">
        <f>SUMIFS(Movimentacoes!$G:$G,Movimentacoes!$C:$C,$A4097,Movimentacoes!$E:$E,$C4097,Movimentacoes!$B:$B,"ENTRADA")</f>
        <v/>
      </c>
      <c r="H4097" s="13">
        <f>SUMIFS(Movimentacoes!$G:$G,Movimentacoes!$C:$C,$A4097,Movimentacoes!$E:$E,$C4097,Movimentacoes!$B:$B,"SAIDA_USO")</f>
        <v/>
      </c>
      <c r="I4097" s="13">
        <f>SUMIFS(Movimentacoes!$G:$G,Movimentacoes!$C:$C,$A4097,Movimentacoes!$E:$E,$C4097,Movimentacoes!$B:$B,"SAIDA_DESCARTE")</f>
        <v/>
      </c>
      <c r="J4097" s="13">
        <f>G4097-H4097-I4097</f>
        <v/>
      </c>
      <c r="K4097">
        <f>IF(A4097="","",IF(J4097&lt;=IFERROR(VLOOKUP(A4097,Cadastro_Produtos!$A:$E,5,FALSE),0),"ABAIXO DO MINIMO","OK"))</f>
        <v/>
      </c>
    </row>
    <row r="4098">
      <c r="B4098">
        <f>IFERROR(VLOOKUP(A4098,Cadastro_Produtos!A:B,2,FALSE),"")</f>
        <v/>
      </c>
      <c r="D4098" s="12" t="n"/>
      <c r="E4098" s="13">
        <f>IF(D4098="","",D4098-TODAY())</f>
        <v/>
      </c>
      <c r="F4098">
        <f>IF(D4098="","",IF(E4098&lt;0,"VENCIDO",IF(E4098&lt;=30,"VENCE EM &lt;= 30 DIAS",IF(E4098&lt;=60,"ATENCAO (31-60 DIAS)","OK"))))</f>
        <v/>
      </c>
      <c r="G4098" s="13">
        <f>SUMIFS(Movimentacoes!$G:$G,Movimentacoes!$C:$C,$A4098,Movimentacoes!$E:$E,$C4098,Movimentacoes!$B:$B,"ENTRADA")</f>
        <v/>
      </c>
      <c r="H4098" s="13">
        <f>SUMIFS(Movimentacoes!$G:$G,Movimentacoes!$C:$C,$A4098,Movimentacoes!$E:$E,$C4098,Movimentacoes!$B:$B,"SAIDA_USO")</f>
        <v/>
      </c>
      <c r="I4098" s="13">
        <f>SUMIFS(Movimentacoes!$G:$G,Movimentacoes!$C:$C,$A4098,Movimentacoes!$E:$E,$C4098,Movimentacoes!$B:$B,"SAIDA_DESCARTE")</f>
        <v/>
      </c>
      <c r="J4098" s="13">
        <f>G4098-H4098-I4098</f>
        <v/>
      </c>
      <c r="K4098">
        <f>IF(A4098="","",IF(J4098&lt;=IFERROR(VLOOKUP(A4098,Cadastro_Produtos!$A:$E,5,FALSE),0),"ABAIXO DO MINIMO","OK"))</f>
        <v/>
      </c>
    </row>
    <row r="4099">
      <c r="B4099">
        <f>IFERROR(VLOOKUP(A4099,Cadastro_Produtos!A:B,2,FALSE),"")</f>
        <v/>
      </c>
      <c r="D4099" s="12" t="n"/>
      <c r="E4099" s="13">
        <f>IF(D4099="","",D4099-TODAY())</f>
        <v/>
      </c>
      <c r="F4099">
        <f>IF(D4099="","",IF(E4099&lt;0,"VENCIDO",IF(E4099&lt;=30,"VENCE EM &lt;= 30 DIAS",IF(E4099&lt;=60,"ATENCAO (31-60 DIAS)","OK"))))</f>
        <v/>
      </c>
      <c r="G4099" s="13">
        <f>SUMIFS(Movimentacoes!$G:$G,Movimentacoes!$C:$C,$A4099,Movimentacoes!$E:$E,$C4099,Movimentacoes!$B:$B,"ENTRADA")</f>
        <v/>
      </c>
      <c r="H4099" s="13">
        <f>SUMIFS(Movimentacoes!$G:$G,Movimentacoes!$C:$C,$A4099,Movimentacoes!$E:$E,$C4099,Movimentacoes!$B:$B,"SAIDA_USO")</f>
        <v/>
      </c>
      <c r="I4099" s="13">
        <f>SUMIFS(Movimentacoes!$G:$G,Movimentacoes!$C:$C,$A4099,Movimentacoes!$E:$E,$C4099,Movimentacoes!$B:$B,"SAIDA_DESCARTE")</f>
        <v/>
      </c>
      <c r="J4099" s="13">
        <f>G4099-H4099-I4099</f>
        <v/>
      </c>
      <c r="K4099">
        <f>IF(A4099="","",IF(J4099&lt;=IFERROR(VLOOKUP(A4099,Cadastro_Produtos!$A:$E,5,FALSE),0),"ABAIXO DO MINIMO","OK"))</f>
        <v/>
      </c>
    </row>
    <row r="4100">
      <c r="B4100">
        <f>IFERROR(VLOOKUP(A4100,Cadastro_Produtos!A:B,2,FALSE),"")</f>
        <v/>
      </c>
      <c r="D4100" s="12" t="n"/>
      <c r="E4100" s="13">
        <f>IF(D4100="","",D4100-TODAY())</f>
        <v/>
      </c>
      <c r="F4100">
        <f>IF(D4100="","",IF(E4100&lt;0,"VENCIDO",IF(E4100&lt;=30,"VENCE EM &lt;= 30 DIAS",IF(E4100&lt;=60,"ATENCAO (31-60 DIAS)","OK"))))</f>
        <v/>
      </c>
      <c r="G4100" s="13">
        <f>SUMIFS(Movimentacoes!$G:$G,Movimentacoes!$C:$C,$A4100,Movimentacoes!$E:$E,$C4100,Movimentacoes!$B:$B,"ENTRADA")</f>
        <v/>
      </c>
      <c r="H4100" s="13">
        <f>SUMIFS(Movimentacoes!$G:$G,Movimentacoes!$C:$C,$A4100,Movimentacoes!$E:$E,$C4100,Movimentacoes!$B:$B,"SAIDA_USO")</f>
        <v/>
      </c>
      <c r="I4100" s="13">
        <f>SUMIFS(Movimentacoes!$G:$G,Movimentacoes!$C:$C,$A4100,Movimentacoes!$E:$E,$C4100,Movimentacoes!$B:$B,"SAIDA_DESCARTE")</f>
        <v/>
      </c>
      <c r="J4100" s="13">
        <f>G4100-H4100-I4100</f>
        <v/>
      </c>
      <c r="K4100">
        <f>IF(A4100="","",IF(J4100&lt;=IFERROR(VLOOKUP(A4100,Cadastro_Produtos!$A:$E,5,FALSE),0),"ABAIXO DO MINIMO","OK"))</f>
        <v/>
      </c>
    </row>
    <row r="4101">
      <c r="B4101">
        <f>IFERROR(VLOOKUP(A4101,Cadastro_Produtos!A:B,2,FALSE),"")</f>
        <v/>
      </c>
      <c r="D4101" s="12" t="n"/>
      <c r="E4101" s="13">
        <f>IF(D4101="","",D4101-TODAY())</f>
        <v/>
      </c>
      <c r="F4101">
        <f>IF(D4101="","",IF(E4101&lt;0,"VENCIDO",IF(E4101&lt;=30,"VENCE EM &lt;= 30 DIAS",IF(E4101&lt;=60,"ATENCAO (31-60 DIAS)","OK"))))</f>
        <v/>
      </c>
      <c r="G4101" s="13">
        <f>SUMIFS(Movimentacoes!$G:$G,Movimentacoes!$C:$C,$A4101,Movimentacoes!$E:$E,$C4101,Movimentacoes!$B:$B,"ENTRADA")</f>
        <v/>
      </c>
      <c r="H4101" s="13">
        <f>SUMIFS(Movimentacoes!$G:$G,Movimentacoes!$C:$C,$A4101,Movimentacoes!$E:$E,$C4101,Movimentacoes!$B:$B,"SAIDA_USO")</f>
        <v/>
      </c>
      <c r="I4101" s="13">
        <f>SUMIFS(Movimentacoes!$G:$G,Movimentacoes!$C:$C,$A4101,Movimentacoes!$E:$E,$C4101,Movimentacoes!$B:$B,"SAIDA_DESCARTE")</f>
        <v/>
      </c>
      <c r="J4101" s="13">
        <f>G4101-H4101-I4101</f>
        <v/>
      </c>
      <c r="K4101">
        <f>IF(A4101="","",IF(J4101&lt;=IFERROR(VLOOKUP(A4101,Cadastro_Produtos!$A:$E,5,FALSE),0),"ABAIXO DO MINIMO","OK"))</f>
        <v/>
      </c>
    </row>
    <row r="4102">
      <c r="B4102">
        <f>IFERROR(VLOOKUP(A4102,Cadastro_Produtos!A:B,2,FALSE),"")</f>
        <v/>
      </c>
      <c r="D4102" s="12" t="n"/>
      <c r="E4102" s="13">
        <f>IF(D4102="","",D4102-TODAY())</f>
        <v/>
      </c>
      <c r="F4102">
        <f>IF(D4102="","",IF(E4102&lt;0,"VENCIDO",IF(E4102&lt;=30,"VENCE EM &lt;= 30 DIAS",IF(E4102&lt;=60,"ATENCAO (31-60 DIAS)","OK"))))</f>
        <v/>
      </c>
      <c r="G4102" s="13">
        <f>SUMIFS(Movimentacoes!$G:$G,Movimentacoes!$C:$C,$A4102,Movimentacoes!$E:$E,$C4102,Movimentacoes!$B:$B,"ENTRADA")</f>
        <v/>
      </c>
      <c r="H4102" s="13">
        <f>SUMIFS(Movimentacoes!$G:$G,Movimentacoes!$C:$C,$A4102,Movimentacoes!$E:$E,$C4102,Movimentacoes!$B:$B,"SAIDA_USO")</f>
        <v/>
      </c>
      <c r="I4102" s="13">
        <f>SUMIFS(Movimentacoes!$G:$G,Movimentacoes!$C:$C,$A4102,Movimentacoes!$E:$E,$C4102,Movimentacoes!$B:$B,"SAIDA_DESCARTE")</f>
        <v/>
      </c>
      <c r="J4102" s="13">
        <f>G4102-H4102-I4102</f>
        <v/>
      </c>
      <c r="K4102">
        <f>IF(A4102="","",IF(J4102&lt;=IFERROR(VLOOKUP(A4102,Cadastro_Produtos!$A:$E,5,FALSE),0),"ABAIXO DO MINIMO","OK"))</f>
        <v/>
      </c>
    </row>
    <row r="4103">
      <c r="B4103">
        <f>IFERROR(VLOOKUP(A4103,Cadastro_Produtos!A:B,2,FALSE),"")</f>
        <v/>
      </c>
      <c r="D4103" s="12" t="n"/>
      <c r="E4103" s="13">
        <f>IF(D4103="","",D4103-TODAY())</f>
        <v/>
      </c>
      <c r="F4103">
        <f>IF(D4103="","",IF(E4103&lt;0,"VENCIDO",IF(E4103&lt;=30,"VENCE EM &lt;= 30 DIAS",IF(E4103&lt;=60,"ATENCAO (31-60 DIAS)","OK"))))</f>
        <v/>
      </c>
      <c r="G4103" s="13">
        <f>SUMIFS(Movimentacoes!$G:$G,Movimentacoes!$C:$C,$A4103,Movimentacoes!$E:$E,$C4103,Movimentacoes!$B:$B,"ENTRADA")</f>
        <v/>
      </c>
      <c r="H4103" s="13">
        <f>SUMIFS(Movimentacoes!$G:$G,Movimentacoes!$C:$C,$A4103,Movimentacoes!$E:$E,$C4103,Movimentacoes!$B:$B,"SAIDA_USO")</f>
        <v/>
      </c>
      <c r="I4103" s="13">
        <f>SUMIFS(Movimentacoes!$G:$G,Movimentacoes!$C:$C,$A4103,Movimentacoes!$E:$E,$C4103,Movimentacoes!$B:$B,"SAIDA_DESCARTE")</f>
        <v/>
      </c>
      <c r="J4103" s="13">
        <f>G4103-H4103-I4103</f>
        <v/>
      </c>
      <c r="K4103">
        <f>IF(A4103="","",IF(J4103&lt;=IFERROR(VLOOKUP(A4103,Cadastro_Produtos!$A:$E,5,FALSE),0),"ABAIXO DO MINIMO","OK"))</f>
        <v/>
      </c>
    </row>
    <row r="4104">
      <c r="B4104">
        <f>IFERROR(VLOOKUP(A4104,Cadastro_Produtos!A:B,2,FALSE),"")</f>
        <v/>
      </c>
      <c r="D4104" s="12" t="n"/>
      <c r="E4104" s="13">
        <f>IF(D4104="","",D4104-TODAY())</f>
        <v/>
      </c>
      <c r="F4104">
        <f>IF(D4104="","",IF(E4104&lt;0,"VENCIDO",IF(E4104&lt;=30,"VENCE EM &lt;= 30 DIAS",IF(E4104&lt;=60,"ATENCAO (31-60 DIAS)","OK"))))</f>
        <v/>
      </c>
      <c r="G4104" s="13">
        <f>SUMIFS(Movimentacoes!$G:$G,Movimentacoes!$C:$C,$A4104,Movimentacoes!$E:$E,$C4104,Movimentacoes!$B:$B,"ENTRADA")</f>
        <v/>
      </c>
      <c r="H4104" s="13">
        <f>SUMIFS(Movimentacoes!$G:$G,Movimentacoes!$C:$C,$A4104,Movimentacoes!$E:$E,$C4104,Movimentacoes!$B:$B,"SAIDA_USO")</f>
        <v/>
      </c>
      <c r="I4104" s="13">
        <f>SUMIFS(Movimentacoes!$G:$G,Movimentacoes!$C:$C,$A4104,Movimentacoes!$E:$E,$C4104,Movimentacoes!$B:$B,"SAIDA_DESCARTE")</f>
        <v/>
      </c>
      <c r="J4104" s="13">
        <f>G4104-H4104-I4104</f>
        <v/>
      </c>
      <c r="K4104">
        <f>IF(A4104="","",IF(J4104&lt;=IFERROR(VLOOKUP(A4104,Cadastro_Produtos!$A:$E,5,FALSE),0),"ABAIXO DO MINIMO","OK"))</f>
        <v/>
      </c>
    </row>
    <row r="4105">
      <c r="B4105">
        <f>IFERROR(VLOOKUP(A4105,Cadastro_Produtos!A:B,2,FALSE),"")</f>
        <v/>
      </c>
      <c r="D4105" s="12" t="n"/>
      <c r="E4105" s="13">
        <f>IF(D4105="","",D4105-TODAY())</f>
        <v/>
      </c>
      <c r="F4105">
        <f>IF(D4105="","",IF(E4105&lt;0,"VENCIDO",IF(E4105&lt;=30,"VENCE EM &lt;= 30 DIAS",IF(E4105&lt;=60,"ATENCAO (31-60 DIAS)","OK"))))</f>
        <v/>
      </c>
      <c r="G4105" s="13">
        <f>SUMIFS(Movimentacoes!$G:$G,Movimentacoes!$C:$C,$A4105,Movimentacoes!$E:$E,$C4105,Movimentacoes!$B:$B,"ENTRADA")</f>
        <v/>
      </c>
      <c r="H4105" s="13">
        <f>SUMIFS(Movimentacoes!$G:$G,Movimentacoes!$C:$C,$A4105,Movimentacoes!$E:$E,$C4105,Movimentacoes!$B:$B,"SAIDA_USO")</f>
        <v/>
      </c>
      <c r="I4105" s="13">
        <f>SUMIFS(Movimentacoes!$G:$G,Movimentacoes!$C:$C,$A4105,Movimentacoes!$E:$E,$C4105,Movimentacoes!$B:$B,"SAIDA_DESCARTE")</f>
        <v/>
      </c>
      <c r="J4105" s="13">
        <f>G4105-H4105-I4105</f>
        <v/>
      </c>
      <c r="K4105">
        <f>IF(A4105="","",IF(J4105&lt;=IFERROR(VLOOKUP(A4105,Cadastro_Produtos!$A:$E,5,FALSE),0),"ABAIXO DO MINIMO","OK"))</f>
        <v/>
      </c>
    </row>
    <row r="4106">
      <c r="B4106">
        <f>IFERROR(VLOOKUP(A4106,Cadastro_Produtos!A:B,2,FALSE),"")</f>
        <v/>
      </c>
      <c r="D4106" s="12" t="n"/>
      <c r="E4106" s="13">
        <f>IF(D4106="","",D4106-TODAY())</f>
        <v/>
      </c>
      <c r="F4106">
        <f>IF(D4106="","",IF(E4106&lt;0,"VENCIDO",IF(E4106&lt;=30,"VENCE EM &lt;= 30 DIAS",IF(E4106&lt;=60,"ATENCAO (31-60 DIAS)","OK"))))</f>
        <v/>
      </c>
      <c r="G4106" s="13">
        <f>SUMIFS(Movimentacoes!$G:$G,Movimentacoes!$C:$C,$A4106,Movimentacoes!$E:$E,$C4106,Movimentacoes!$B:$B,"ENTRADA")</f>
        <v/>
      </c>
      <c r="H4106" s="13">
        <f>SUMIFS(Movimentacoes!$G:$G,Movimentacoes!$C:$C,$A4106,Movimentacoes!$E:$E,$C4106,Movimentacoes!$B:$B,"SAIDA_USO")</f>
        <v/>
      </c>
      <c r="I4106" s="13">
        <f>SUMIFS(Movimentacoes!$G:$G,Movimentacoes!$C:$C,$A4106,Movimentacoes!$E:$E,$C4106,Movimentacoes!$B:$B,"SAIDA_DESCARTE")</f>
        <v/>
      </c>
      <c r="J4106" s="13">
        <f>G4106-H4106-I4106</f>
        <v/>
      </c>
      <c r="K4106">
        <f>IF(A4106="","",IF(J4106&lt;=IFERROR(VLOOKUP(A4106,Cadastro_Produtos!$A:$E,5,FALSE),0),"ABAIXO DO MINIMO","OK"))</f>
        <v/>
      </c>
    </row>
    <row r="4107">
      <c r="B4107">
        <f>IFERROR(VLOOKUP(A4107,Cadastro_Produtos!A:B,2,FALSE),"")</f>
        <v/>
      </c>
      <c r="D4107" s="12" t="n"/>
      <c r="E4107" s="13">
        <f>IF(D4107="","",D4107-TODAY())</f>
        <v/>
      </c>
      <c r="F4107">
        <f>IF(D4107="","",IF(E4107&lt;0,"VENCIDO",IF(E4107&lt;=30,"VENCE EM &lt;= 30 DIAS",IF(E4107&lt;=60,"ATENCAO (31-60 DIAS)","OK"))))</f>
        <v/>
      </c>
      <c r="G4107" s="13">
        <f>SUMIFS(Movimentacoes!$G:$G,Movimentacoes!$C:$C,$A4107,Movimentacoes!$E:$E,$C4107,Movimentacoes!$B:$B,"ENTRADA")</f>
        <v/>
      </c>
      <c r="H4107" s="13">
        <f>SUMIFS(Movimentacoes!$G:$G,Movimentacoes!$C:$C,$A4107,Movimentacoes!$E:$E,$C4107,Movimentacoes!$B:$B,"SAIDA_USO")</f>
        <v/>
      </c>
      <c r="I4107" s="13">
        <f>SUMIFS(Movimentacoes!$G:$G,Movimentacoes!$C:$C,$A4107,Movimentacoes!$E:$E,$C4107,Movimentacoes!$B:$B,"SAIDA_DESCARTE")</f>
        <v/>
      </c>
      <c r="J4107" s="13">
        <f>G4107-H4107-I4107</f>
        <v/>
      </c>
      <c r="K4107">
        <f>IF(A4107="","",IF(J4107&lt;=IFERROR(VLOOKUP(A4107,Cadastro_Produtos!$A:$E,5,FALSE),0),"ABAIXO DO MINIMO","OK"))</f>
        <v/>
      </c>
    </row>
    <row r="4108">
      <c r="B4108">
        <f>IFERROR(VLOOKUP(A4108,Cadastro_Produtos!A:B,2,FALSE),"")</f>
        <v/>
      </c>
      <c r="D4108" s="12" t="n"/>
      <c r="E4108" s="13">
        <f>IF(D4108="","",D4108-TODAY())</f>
        <v/>
      </c>
      <c r="F4108">
        <f>IF(D4108="","",IF(E4108&lt;0,"VENCIDO",IF(E4108&lt;=30,"VENCE EM &lt;= 30 DIAS",IF(E4108&lt;=60,"ATENCAO (31-60 DIAS)","OK"))))</f>
        <v/>
      </c>
      <c r="G4108" s="13">
        <f>SUMIFS(Movimentacoes!$G:$G,Movimentacoes!$C:$C,$A4108,Movimentacoes!$E:$E,$C4108,Movimentacoes!$B:$B,"ENTRADA")</f>
        <v/>
      </c>
      <c r="H4108" s="13">
        <f>SUMIFS(Movimentacoes!$G:$G,Movimentacoes!$C:$C,$A4108,Movimentacoes!$E:$E,$C4108,Movimentacoes!$B:$B,"SAIDA_USO")</f>
        <v/>
      </c>
      <c r="I4108" s="13">
        <f>SUMIFS(Movimentacoes!$G:$G,Movimentacoes!$C:$C,$A4108,Movimentacoes!$E:$E,$C4108,Movimentacoes!$B:$B,"SAIDA_DESCARTE")</f>
        <v/>
      </c>
      <c r="J4108" s="13">
        <f>G4108-H4108-I4108</f>
        <v/>
      </c>
      <c r="K4108">
        <f>IF(A4108="","",IF(J4108&lt;=IFERROR(VLOOKUP(A4108,Cadastro_Produtos!$A:$E,5,FALSE),0),"ABAIXO DO MINIMO","OK"))</f>
        <v/>
      </c>
    </row>
    <row r="4109">
      <c r="B4109">
        <f>IFERROR(VLOOKUP(A4109,Cadastro_Produtos!A:B,2,FALSE),"")</f>
        <v/>
      </c>
      <c r="D4109" s="12" t="n"/>
      <c r="E4109" s="13">
        <f>IF(D4109="","",D4109-TODAY())</f>
        <v/>
      </c>
      <c r="F4109">
        <f>IF(D4109="","",IF(E4109&lt;0,"VENCIDO",IF(E4109&lt;=30,"VENCE EM &lt;= 30 DIAS",IF(E4109&lt;=60,"ATENCAO (31-60 DIAS)","OK"))))</f>
        <v/>
      </c>
      <c r="G4109" s="13">
        <f>SUMIFS(Movimentacoes!$G:$G,Movimentacoes!$C:$C,$A4109,Movimentacoes!$E:$E,$C4109,Movimentacoes!$B:$B,"ENTRADA")</f>
        <v/>
      </c>
      <c r="H4109" s="13">
        <f>SUMIFS(Movimentacoes!$G:$G,Movimentacoes!$C:$C,$A4109,Movimentacoes!$E:$E,$C4109,Movimentacoes!$B:$B,"SAIDA_USO")</f>
        <v/>
      </c>
      <c r="I4109" s="13">
        <f>SUMIFS(Movimentacoes!$G:$G,Movimentacoes!$C:$C,$A4109,Movimentacoes!$E:$E,$C4109,Movimentacoes!$B:$B,"SAIDA_DESCARTE")</f>
        <v/>
      </c>
      <c r="J4109" s="13">
        <f>G4109-H4109-I4109</f>
        <v/>
      </c>
      <c r="K4109">
        <f>IF(A4109="","",IF(J4109&lt;=IFERROR(VLOOKUP(A4109,Cadastro_Produtos!$A:$E,5,FALSE),0),"ABAIXO DO MINIMO","OK"))</f>
        <v/>
      </c>
    </row>
    <row r="4110">
      <c r="B4110">
        <f>IFERROR(VLOOKUP(A4110,Cadastro_Produtos!A:B,2,FALSE),"")</f>
        <v/>
      </c>
      <c r="D4110" s="12" t="n"/>
      <c r="E4110" s="13">
        <f>IF(D4110="","",D4110-TODAY())</f>
        <v/>
      </c>
      <c r="F4110">
        <f>IF(D4110="","",IF(E4110&lt;0,"VENCIDO",IF(E4110&lt;=30,"VENCE EM &lt;= 30 DIAS",IF(E4110&lt;=60,"ATENCAO (31-60 DIAS)","OK"))))</f>
        <v/>
      </c>
      <c r="G4110" s="13">
        <f>SUMIFS(Movimentacoes!$G:$G,Movimentacoes!$C:$C,$A4110,Movimentacoes!$E:$E,$C4110,Movimentacoes!$B:$B,"ENTRADA")</f>
        <v/>
      </c>
      <c r="H4110" s="13">
        <f>SUMIFS(Movimentacoes!$G:$G,Movimentacoes!$C:$C,$A4110,Movimentacoes!$E:$E,$C4110,Movimentacoes!$B:$B,"SAIDA_USO")</f>
        <v/>
      </c>
      <c r="I4110" s="13">
        <f>SUMIFS(Movimentacoes!$G:$G,Movimentacoes!$C:$C,$A4110,Movimentacoes!$E:$E,$C4110,Movimentacoes!$B:$B,"SAIDA_DESCARTE")</f>
        <v/>
      </c>
      <c r="J4110" s="13">
        <f>G4110-H4110-I4110</f>
        <v/>
      </c>
      <c r="K4110">
        <f>IF(A4110="","",IF(J4110&lt;=IFERROR(VLOOKUP(A4110,Cadastro_Produtos!$A:$E,5,FALSE),0),"ABAIXO DO MINIMO","OK"))</f>
        <v/>
      </c>
    </row>
    <row r="4111">
      <c r="B4111">
        <f>IFERROR(VLOOKUP(A4111,Cadastro_Produtos!A:B,2,FALSE),"")</f>
        <v/>
      </c>
      <c r="D4111" s="12" t="n"/>
      <c r="E4111" s="13">
        <f>IF(D4111="","",D4111-TODAY())</f>
        <v/>
      </c>
      <c r="F4111">
        <f>IF(D4111="","",IF(E4111&lt;0,"VENCIDO",IF(E4111&lt;=30,"VENCE EM &lt;= 30 DIAS",IF(E4111&lt;=60,"ATENCAO (31-60 DIAS)","OK"))))</f>
        <v/>
      </c>
      <c r="G4111" s="13">
        <f>SUMIFS(Movimentacoes!$G:$G,Movimentacoes!$C:$C,$A4111,Movimentacoes!$E:$E,$C4111,Movimentacoes!$B:$B,"ENTRADA")</f>
        <v/>
      </c>
      <c r="H4111" s="13">
        <f>SUMIFS(Movimentacoes!$G:$G,Movimentacoes!$C:$C,$A4111,Movimentacoes!$E:$E,$C4111,Movimentacoes!$B:$B,"SAIDA_USO")</f>
        <v/>
      </c>
      <c r="I4111" s="13">
        <f>SUMIFS(Movimentacoes!$G:$G,Movimentacoes!$C:$C,$A4111,Movimentacoes!$E:$E,$C4111,Movimentacoes!$B:$B,"SAIDA_DESCARTE")</f>
        <v/>
      </c>
      <c r="J4111" s="13">
        <f>G4111-H4111-I4111</f>
        <v/>
      </c>
      <c r="K4111">
        <f>IF(A4111="","",IF(J4111&lt;=IFERROR(VLOOKUP(A4111,Cadastro_Produtos!$A:$E,5,FALSE),0),"ABAIXO DO MINIMO","OK"))</f>
        <v/>
      </c>
    </row>
    <row r="4112">
      <c r="B4112">
        <f>IFERROR(VLOOKUP(A4112,Cadastro_Produtos!A:B,2,FALSE),"")</f>
        <v/>
      </c>
      <c r="D4112" s="12" t="n"/>
      <c r="E4112" s="13">
        <f>IF(D4112="","",D4112-TODAY())</f>
        <v/>
      </c>
      <c r="F4112">
        <f>IF(D4112="","",IF(E4112&lt;0,"VENCIDO",IF(E4112&lt;=30,"VENCE EM &lt;= 30 DIAS",IF(E4112&lt;=60,"ATENCAO (31-60 DIAS)","OK"))))</f>
        <v/>
      </c>
      <c r="G4112" s="13">
        <f>SUMIFS(Movimentacoes!$G:$G,Movimentacoes!$C:$C,$A4112,Movimentacoes!$E:$E,$C4112,Movimentacoes!$B:$B,"ENTRADA")</f>
        <v/>
      </c>
      <c r="H4112" s="13">
        <f>SUMIFS(Movimentacoes!$G:$G,Movimentacoes!$C:$C,$A4112,Movimentacoes!$E:$E,$C4112,Movimentacoes!$B:$B,"SAIDA_USO")</f>
        <v/>
      </c>
      <c r="I4112" s="13">
        <f>SUMIFS(Movimentacoes!$G:$G,Movimentacoes!$C:$C,$A4112,Movimentacoes!$E:$E,$C4112,Movimentacoes!$B:$B,"SAIDA_DESCARTE")</f>
        <v/>
      </c>
      <c r="J4112" s="13">
        <f>G4112-H4112-I4112</f>
        <v/>
      </c>
      <c r="K4112">
        <f>IF(A4112="","",IF(J4112&lt;=IFERROR(VLOOKUP(A4112,Cadastro_Produtos!$A:$E,5,FALSE),0),"ABAIXO DO MINIMO","OK"))</f>
        <v/>
      </c>
    </row>
    <row r="4113">
      <c r="B4113">
        <f>IFERROR(VLOOKUP(A4113,Cadastro_Produtos!A:B,2,FALSE),"")</f>
        <v/>
      </c>
      <c r="D4113" s="12" t="n"/>
      <c r="E4113" s="13">
        <f>IF(D4113="","",D4113-TODAY())</f>
        <v/>
      </c>
      <c r="F4113">
        <f>IF(D4113="","",IF(E4113&lt;0,"VENCIDO",IF(E4113&lt;=30,"VENCE EM &lt;= 30 DIAS",IF(E4113&lt;=60,"ATENCAO (31-60 DIAS)","OK"))))</f>
        <v/>
      </c>
      <c r="G4113" s="13">
        <f>SUMIFS(Movimentacoes!$G:$G,Movimentacoes!$C:$C,$A4113,Movimentacoes!$E:$E,$C4113,Movimentacoes!$B:$B,"ENTRADA")</f>
        <v/>
      </c>
      <c r="H4113" s="13">
        <f>SUMIFS(Movimentacoes!$G:$G,Movimentacoes!$C:$C,$A4113,Movimentacoes!$E:$E,$C4113,Movimentacoes!$B:$B,"SAIDA_USO")</f>
        <v/>
      </c>
      <c r="I4113" s="13">
        <f>SUMIFS(Movimentacoes!$G:$G,Movimentacoes!$C:$C,$A4113,Movimentacoes!$E:$E,$C4113,Movimentacoes!$B:$B,"SAIDA_DESCARTE")</f>
        <v/>
      </c>
      <c r="J4113" s="13">
        <f>G4113-H4113-I4113</f>
        <v/>
      </c>
      <c r="K4113">
        <f>IF(A4113="","",IF(J4113&lt;=IFERROR(VLOOKUP(A4113,Cadastro_Produtos!$A:$E,5,FALSE),0),"ABAIXO DO MINIMO","OK"))</f>
        <v/>
      </c>
    </row>
    <row r="4114">
      <c r="B4114">
        <f>IFERROR(VLOOKUP(A4114,Cadastro_Produtos!A:B,2,FALSE),"")</f>
        <v/>
      </c>
      <c r="D4114" s="12" t="n"/>
      <c r="E4114" s="13">
        <f>IF(D4114="","",D4114-TODAY())</f>
        <v/>
      </c>
      <c r="F4114">
        <f>IF(D4114="","",IF(E4114&lt;0,"VENCIDO",IF(E4114&lt;=30,"VENCE EM &lt;= 30 DIAS",IF(E4114&lt;=60,"ATENCAO (31-60 DIAS)","OK"))))</f>
        <v/>
      </c>
      <c r="G4114" s="13">
        <f>SUMIFS(Movimentacoes!$G:$G,Movimentacoes!$C:$C,$A4114,Movimentacoes!$E:$E,$C4114,Movimentacoes!$B:$B,"ENTRADA")</f>
        <v/>
      </c>
      <c r="H4114" s="13">
        <f>SUMIFS(Movimentacoes!$G:$G,Movimentacoes!$C:$C,$A4114,Movimentacoes!$E:$E,$C4114,Movimentacoes!$B:$B,"SAIDA_USO")</f>
        <v/>
      </c>
      <c r="I4114" s="13">
        <f>SUMIFS(Movimentacoes!$G:$G,Movimentacoes!$C:$C,$A4114,Movimentacoes!$E:$E,$C4114,Movimentacoes!$B:$B,"SAIDA_DESCARTE")</f>
        <v/>
      </c>
      <c r="J4114" s="13">
        <f>G4114-H4114-I4114</f>
        <v/>
      </c>
      <c r="K4114">
        <f>IF(A4114="","",IF(J4114&lt;=IFERROR(VLOOKUP(A4114,Cadastro_Produtos!$A:$E,5,FALSE),0),"ABAIXO DO MINIMO","OK"))</f>
        <v/>
      </c>
    </row>
    <row r="4115">
      <c r="B4115">
        <f>IFERROR(VLOOKUP(A4115,Cadastro_Produtos!A:B,2,FALSE),"")</f>
        <v/>
      </c>
      <c r="D4115" s="12" t="n"/>
      <c r="E4115" s="13">
        <f>IF(D4115="","",D4115-TODAY())</f>
        <v/>
      </c>
      <c r="F4115">
        <f>IF(D4115="","",IF(E4115&lt;0,"VENCIDO",IF(E4115&lt;=30,"VENCE EM &lt;= 30 DIAS",IF(E4115&lt;=60,"ATENCAO (31-60 DIAS)","OK"))))</f>
        <v/>
      </c>
      <c r="G4115" s="13">
        <f>SUMIFS(Movimentacoes!$G:$G,Movimentacoes!$C:$C,$A4115,Movimentacoes!$E:$E,$C4115,Movimentacoes!$B:$B,"ENTRADA")</f>
        <v/>
      </c>
      <c r="H4115" s="13">
        <f>SUMIFS(Movimentacoes!$G:$G,Movimentacoes!$C:$C,$A4115,Movimentacoes!$E:$E,$C4115,Movimentacoes!$B:$B,"SAIDA_USO")</f>
        <v/>
      </c>
      <c r="I4115" s="13">
        <f>SUMIFS(Movimentacoes!$G:$G,Movimentacoes!$C:$C,$A4115,Movimentacoes!$E:$E,$C4115,Movimentacoes!$B:$B,"SAIDA_DESCARTE")</f>
        <v/>
      </c>
      <c r="J4115" s="13">
        <f>G4115-H4115-I4115</f>
        <v/>
      </c>
      <c r="K4115">
        <f>IF(A4115="","",IF(J4115&lt;=IFERROR(VLOOKUP(A4115,Cadastro_Produtos!$A:$E,5,FALSE),0),"ABAIXO DO MINIMO","OK"))</f>
        <v/>
      </c>
    </row>
    <row r="4116">
      <c r="B4116">
        <f>IFERROR(VLOOKUP(A4116,Cadastro_Produtos!A:B,2,FALSE),"")</f>
        <v/>
      </c>
      <c r="D4116" s="12" t="n"/>
      <c r="E4116" s="13">
        <f>IF(D4116="","",D4116-TODAY())</f>
        <v/>
      </c>
      <c r="F4116">
        <f>IF(D4116="","",IF(E4116&lt;0,"VENCIDO",IF(E4116&lt;=30,"VENCE EM &lt;= 30 DIAS",IF(E4116&lt;=60,"ATENCAO (31-60 DIAS)","OK"))))</f>
        <v/>
      </c>
      <c r="G4116" s="13">
        <f>SUMIFS(Movimentacoes!$G:$G,Movimentacoes!$C:$C,$A4116,Movimentacoes!$E:$E,$C4116,Movimentacoes!$B:$B,"ENTRADA")</f>
        <v/>
      </c>
      <c r="H4116" s="13">
        <f>SUMIFS(Movimentacoes!$G:$G,Movimentacoes!$C:$C,$A4116,Movimentacoes!$E:$E,$C4116,Movimentacoes!$B:$B,"SAIDA_USO")</f>
        <v/>
      </c>
      <c r="I4116" s="13">
        <f>SUMIFS(Movimentacoes!$G:$G,Movimentacoes!$C:$C,$A4116,Movimentacoes!$E:$E,$C4116,Movimentacoes!$B:$B,"SAIDA_DESCARTE")</f>
        <v/>
      </c>
      <c r="J4116" s="13">
        <f>G4116-H4116-I4116</f>
        <v/>
      </c>
      <c r="K4116">
        <f>IF(A4116="","",IF(J4116&lt;=IFERROR(VLOOKUP(A4116,Cadastro_Produtos!$A:$E,5,FALSE),0),"ABAIXO DO MINIMO","OK"))</f>
        <v/>
      </c>
    </row>
    <row r="4117">
      <c r="B4117">
        <f>IFERROR(VLOOKUP(A4117,Cadastro_Produtos!A:B,2,FALSE),"")</f>
        <v/>
      </c>
      <c r="D4117" s="12" t="n"/>
      <c r="E4117" s="13">
        <f>IF(D4117="","",D4117-TODAY())</f>
        <v/>
      </c>
      <c r="F4117">
        <f>IF(D4117="","",IF(E4117&lt;0,"VENCIDO",IF(E4117&lt;=30,"VENCE EM &lt;= 30 DIAS",IF(E4117&lt;=60,"ATENCAO (31-60 DIAS)","OK"))))</f>
        <v/>
      </c>
      <c r="G4117" s="13">
        <f>SUMIFS(Movimentacoes!$G:$G,Movimentacoes!$C:$C,$A4117,Movimentacoes!$E:$E,$C4117,Movimentacoes!$B:$B,"ENTRADA")</f>
        <v/>
      </c>
      <c r="H4117" s="13">
        <f>SUMIFS(Movimentacoes!$G:$G,Movimentacoes!$C:$C,$A4117,Movimentacoes!$E:$E,$C4117,Movimentacoes!$B:$B,"SAIDA_USO")</f>
        <v/>
      </c>
      <c r="I4117" s="13">
        <f>SUMIFS(Movimentacoes!$G:$G,Movimentacoes!$C:$C,$A4117,Movimentacoes!$E:$E,$C4117,Movimentacoes!$B:$B,"SAIDA_DESCARTE")</f>
        <v/>
      </c>
      <c r="J4117" s="13">
        <f>G4117-H4117-I4117</f>
        <v/>
      </c>
      <c r="K4117">
        <f>IF(A4117="","",IF(J4117&lt;=IFERROR(VLOOKUP(A4117,Cadastro_Produtos!$A:$E,5,FALSE),0),"ABAIXO DO MINIMO","OK"))</f>
        <v/>
      </c>
    </row>
    <row r="4118">
      <c r="B4118">
        <f>IFERROR(VLOOKUP(A4118,Cadastro_Produtos!A:B,2,FALSE),"")</f>
        <v/>
      </c>
      <c r="D4118" s="12" t="n"/>
      <c r="E4118" s="13">
        <f>IF(D4118="","",D4118-TODAY())</f>
        <v/>
      </c>
      <c r="F4118">
        <f>IF(D4118="","",IF(E4118&lt;0,"VENCIDO",IF(E4118&lt;=30,"VENCE EM &lt;= 30 DIAS",IF(E4118&lt;=60,"ATENCAO (31-60 DIAS)","OK"))))</f>
        <v/>
      </c>
      <c r="G4118" s="13">
        <f>SUMIFS(Movimentacoes!$G:$G,Movimentacoes!$C:$C,$A4118,Movimentacoes!$E:$E,$C4118,Movimentacoes!$B:$B,"ENTRADA")</f>
        <v/>
      </c>
      <c r="H4118" s="13">
        <f>SUMIFS(Movimentacoes!$G:$G,Movimentacoes!$C:$C,$A4118,Movimentacoes!$E:$E,$C4118,Movimentacoes!$B:$B,"SAIDA_USO")</f>
        <v/>
      </c>
      <c r="I4118" s="13">
        <f>SUMIFS(Movimentacoes!$G:$G,Movimentacoes!$C:$C,$A4118,Movimentacoes!$E:$E,$C4118,Movimentacoes!$B:$B,"SAIDA_DESCARTE")</f>
        <v/>
      </c>
      <c r="J4118" s="13">
        <f>G4118-H4118-I4118</f>
        <v/>
      </c>
      <c r="K4118">
        <f>IF(A4118="","",IF(J4118&lt;=IFERROR(VLOOKUP(A4118,Cadastro_Produtos!$A:$E,5,FALSE),0),"ABAIXO DO MINIMO","OK"))</f>
        <v/>
      </c>
    </row>
    <row r="4119">
      <c r="B4119">
        <f>IFERROR(VLOOKUP(A4119,Cadastro_Produtos!A:B,2,FALSE),"")</f>
        <v/>
      </c>
      <c r="D4119" s="12" t="n"/>
      <c r="E4119" s="13">
        <f>IF(D4119="","",D4119-TODAY())</f>
        <v/>
      </c>
      <c r="F4119">
        <f>IF(D4119="","",IF(E4119&lt;0,"VENCIDO",IF(E4119&lt;=30,"VENCE EM &lt;= 30 DIAS",IF(E4119&lt;=60,"ATENCAO (31-60 DIAS)","OK"))))</f>
        <v/>
      </c>
      <c r="G4119" s="13">
        <f>SUMIFS(Movimentacoes!$G:$G,Movimentacoes!$C:$C,$A4119,Movimentacoes!$E:$E,$C4119,Movimentacoes!$B:$B,"ENTRADA")</f>
        <v/>
      </c>
      <c r="H4119" s="13">
        <f>SUMIFS(Movimentacoes!$G:$G,Movimentacoes!$C:$C,$A4119,Movimentacoes!$E:$E,$C4119,Movimentacoes!$B:$B,"SAIDA_USO")</f>
        <v/>
      </c>
      <c r="I4119" s="13">
        <f>SUMIFS(Movimentacoes!$G:$G,Movimentacoes!$C:$C,$A4119,Movimentacoes!$E:$E,$C4119,Movimentacoes!$B:$B,"SAIDA_DESCARTE")</f>
        <v/>
      </c>
      <c r="J4119" s="13">
        <f>G4119-H4119-I4119</f>
        <v/>
      </c>
      <c r="K4119">
        <f>IF(A4119="","",IF(J4119&lt;=IFERROR(VLOOKUP(A4119,Cadastro_Produtos!$A:$E,5,FALSE),0),"ABAIXO DO MINIMO","OK"))</f>
        <v/>
      </c>
    </row>
    <row r="4120">
      <c r="B4120">
        <f>IFERROR(VLOOKUP(A4120,Cadastro_Produtos!A:B,2,FALSE),"")</f>
        <v/>
      </c>
      <c r="D4120" s="12" t="n"/>
      <c r="E4120" s="13">
        <f>IF(D4120="","",D4120-TODAY())</f>
        <v/>
      </c>
      <c r="F4120">
        <f>IF(D4120="","",IF(E4120&lt;0,"VENCIDO",IF(E4120&lt;=30,"VENCE EM &lt;= 30 DIAS",IF(E4120&lt;=60,"ATENCAO (31-60 DIAS)","OK"))))</f>
        <v/>
      </c>
      <c r="G4120" s="13">
        <f>SUMIFS(Movimentacoes!$G:$G,Movimentacoes!$C:$C,$A4120,Movimentacoes!$E:$E,$C4120,Movimentacoes!$B:$B,"ENTRADA")</f>
        <v/>
      </c>
      <c r="H4120" s="13">
        <f>SUMIFS(Movimentacoes!$G:$G,Movimentacoes!$C:$C,$A4120,Movimentacoes!$E:$E,$C4120,Movimentacoes!$B:$B,"SAIDA_USO")</f>
        <v/>
      </c>
      <c r="I4120" s="13">
        <f>SUMIFS(Movimentacoes!$G:$G,Movimentacoes!$C:$C,$A4120,Movimentacoes!$E:$E,$C4120,Movimentacoes!$B:$B,"SAIDA_DESCARTE")</f>
        <v/>
      </c>
      <c r="J4120" s="13">
        <f>G4120-H4120-I4120</f>
        <v/>
      </c>
      <c r="K4120">
        <f>IF(A4120="","",IF(J4120&lt;=IFERROR(VLOOKUP(A4120,Cadastro_Produtos!$A:$E,5,FALSE),0),"ABAIXO DO MINIMO","OK"))</f>
        <v/>
      </c>
    </row>
    <row r="4121">
      <c r="B4121">
        <f>IFERROR(VLOOKUP(A4121,Cadastro_Produtos!A:B,2,FALSE),"")</f>
        <v/>
      </c>
      <c r="D4121" s="12" t="n"/>
      <c r="E4121" s="13">
        <f>IF(D4121="","",D4121-TODAY())</f>
        <v/>
      </c>
      <c r="F4121">
        <f>IF(D4121="","",IF(E4121&lt;0,"VENCIDO",IF(E4121&lt;=30,"VENCE EM &lt;= 30 DIAS",IF(E4121&lt;=60,"ATENCAO (31-60 DIAS)","OK"))))</f>
        <v/>
      </c>
      <c r="G4121" s="13">
        <f>SUMIFS(Movimentacoes!$G:$G,Movimentacoes!$C:$C,$A4121,Movimentacoes!$E:$E,$C4121,Movimentacoes!$B:$B,"ENTRADA")</f>
        <v/>
      </c>
      <c r="H4121" s="13">
        <f>SUMIFS(Movimentacoes!$G:$G,Movimentacoes!$C:$C,$A4121,Movimentacoes!$E:$E,$C4121,Movimentacoes!$B:$B,"SAIDA_USO")</f>
        <v/>
      </c>
      <c r="I4121" s="13">
        <f>SUMIFS(Movimentacoes!$G:$G,Movimentacoes!$C:$C,$A4121,Movimentacoes!$E:$E,$C4121,Movimentacoes!$B:$B,"SAIDA_DESCARTE")</f>
        <v/>
      </c>
      <c r="J4121" s="13">
        <f>G4121-H4121-I4121</f>
        <v/>
      </c>
      <c r="K4121">
        <f>IF(A4121="","",IF(J4121&lt;=IFERROR(VLOOKUP(A4121,Cadastro_Produtos!$A:$E,5,FALSE),0),"ABAIXO DO MINIMO","OK"))</f>
        <v/>
      </c>
    </row>
    <row r="4122">
      <c r="B4122">
        <f>IFERROR(VLOOKUP(A4122,Cadastro_Produtos!A:B,2,FALSE),"")</f>
        <v/>
      </c>
      <c r="D4122" s="12" t="n"/>
      <c r="E4122" s="13">
        <f>IF(D4122="","",D4122-TODAY())</f>
        <v/>
      </c>
      <c r="F4122">
        <f>IF(D4122="","",IF(E4122&lt;0,"VENCIDO",IF(E4122&lt;=30,"VENCE EM &lt;= 30 DIAS",IF(E4122&lt;=60,"ATENCAO (31-60 DIAS)","OK"))))</f>
        <v/>
      </c>
      <c r="G4122" s="13">
        <f>SUMIFS(Movimentacoes!$G:$G,Movimentacoes!$C:$C,$A4122,Movimentacoes!$E:$E,$C4122,Movimentacoes!$B:$B,"ENTRADA")</f>
        <v/>
      </c>
      <c r="H4122" s="13">
        <f>SUMIFS(Movimentacoes!$G:$G,Movimentacoes!$C:$C,$A4122,Movimentacoes!$E:$E,$C4122,Movimentacoes!$B:$B,"SAIDA_USO")</f>
        <v/>
      </c>
      <c r="I4122" s="13">
        <f>SUMIFS(Movimentacoes!$G:$G,Movimentacoes!$C:$C,$A4122,Movimentacoes!$E:$E,$C4122,Movimentacoes!$B:$B,"SAIDA_DESCARTE")</f>
        <v/>
      </c>
      <c r="J4122" s="13">
        <f>G4122-H4122-I4122</f>
        <v/>
      </c>
      <c r="K4122">
        <f>IF(A4122="","",IF(J4122&lt;=IFERROR(VLOOKUP(A4122,Cadastro_Produtos!$A:$E,5,FALSE),0),"ABAIXO DO MINIMO","OK"))</f>
        <v/>
      </c>
    </row>
    <row r="4123">
      <c r="B4123">
        <f>IFERROR(VLOOKUP(A4123,Cadastro_Produtos!A:B,2,FALSE),"")</f>
        <v/>
      </c>
      <c r="D4123" s="12" t="n"/>
      <c r="E4123" s="13">
        <f>IF(D4123="","",D4123-TODAY())</f>
        <v/>
      </c>
      <c r="F4123">
        <f>IF(D4123="","",IF(E4123&lt;0,"VENCIDO",IF(E4123&lt;=30,"VENCE EM &lt;= 30 DIAS",IF(E4123&lt;=60,"ATENCAO (31-60 DIAS)","OK"))))</f>
        <v/>
      </c>
      <c r="G4123" s="13">
        <f>SUMIFS(Movimentacoes!$G:$G,Movimentacoes!$C:$C,$A4123,Movimentacoes!$E:$E,$C4123,Movimentacoes!$B:$B,"ENTRADA")</f>
        <v/>
      </c>
      <c r="H4123" s="13">
        <f>SUMIFS(Movimentacoes!$G:$G,Movimentacoes!$C:$C,$A4123,Movimentacoes!$E:$E,$C4123,Movimentacoes!$B:$B,"SAIDA_USO")</f>
        <v/>
      </c>
      <c r="I4123" s="13">
        <f>SUMIFS(Movimentacoes!$G:$G,Movimentacoes!$C:$C,$A4123,Movimentacoes!$E:$E,$C4123,Movimentacoes!$B:$B,"SAIDA_DESCARTE")</f>
        <v/>
      </c>
      <c r="J4123" s="13">
        <f>G4123-H4123-I4123</f>
        <v/>
      </c>
      <c r="K4123">
        <f>IF(A4123="","",IF(J4123&lt;=IFERROR(VLOOKUP(A4123,Cadastro_Produtos!$A:$E,5,FALSE),0),"ABAIXO DO MINIMO","OK"))</f>
        <v/>
      </c>
    </row>
    <row r="4124">
      <c r="B4124">
        <f>IFERROR(VLOOKUP(A4124,Cadastro_Produtos!A:B,2,FALSE),"")</f>
        <v/>
      </c>
      <c r="D4124" s="12" t="n"/>
      <c r="E4124" s="13">
        <f>IF(D4124="","",D4124-TODAY())</f>
        <v/>
      </c>
      <c r="F4124">
        <f>IF(D4124="","",IF(E4124&lt;0,"VENCIDO",IF(E4124&lt;=30,"VENCE EM &lt;= 30 DIAS",IF(E4124&lt;=60,"ATENCAO (31-60 DIAS)","OK"))))</f>
        <v/>
      </c>
      <c r="G4124" s="13">
        <f>SUMIFS(Movimentacoes!$G:$G,Movimentacoes!$C:$C,$A4124,Movimentacoes!$E:$E,$C4124,Movimentacoes!$B:$B,"ENTRADA")</f>
        <v/>
      </c>
      <c r="H4124" s="13">
        <f>SUMIFS(Movimentacoes!$G:$G,Movimentacoes!$C:$C,$A4124,Movimentacoes!$E:$E,$C4124,Movimentacoes!$B:$B,"SAIDA_USO")</f>
        <v/>
      </c>
      <c r="I4124" s="13">
        <f>SUMIFS(Movimentacoes!$G:$G,Movimentacoes!$C:$C,$A4124,Movimentacoes!$E:$E,$C4124,Movimentacoes!$B:$B,"SAIDA_DESCARTE")</f>
        <v/>
      </c>
      <c r="J4124" s="13">
        <f>G4124-H4124-I4124</f>
        <v/>
      </c>
      <c r="K4124">
        <f>IF(A4124="","",IF(J4124&lt;=IFERROR(VLOOKUP(A4124,Cadastro_Produtos!$A:$E,5,FALSE),0),"ABAIXO DO MINIMO","OK"))</f>
        <v/>
      </c>
    </row>
    <row r="4125">
      <c r="B4125">
        <f>IFERROR(VLOOKUP(A4125,Cadastro_Produtos!A:B,2,FALSE),"")</f>
        <v/>
      </c>
      <c r="D4125" s="12" t="n"/>
      <c r="E4125" s="13">
        <f>IF(D4125="","",D4125-TODAY())</f>
        <v/>
      </c>
      <c r="F4125">
        <f>IF(D4125="","",IF(E4125&lt;0,"VENCIDO",IF(E4125&lt;=30,"VENCE EM &lt;= 30 DIAS",IF(E4125&lt;=60,"ATENCAO (31-60 DIAS)","OK"))))</f>
        <v/>
      </c>
      <c r="G4125" s="13">
        <f>SUMIFS(Movimentacoes!$G:$G,Movimentacoes!$C:$C,$A4125,Movimentacoes!$E:$E,$C4125,Movimentacoes!$B:$B,"ENTRADA")</f>
        <v/>
      </c>
      <c r="H4125" s="13">
        <f>SUMIFS(Movimentacoes!$G:$G,Movimentacoes!$C:$C,$A4125,Movimentacoes!$E:$E,$C4125,Movimentacoes!$B:$B,"SAIDA_USO")</f>
        <v/>
      </c>
      <c r="I4125" s="13">
        <f>SUMIFS(Movimentacoes!$G:$G,Movimentacoes!$C:$C,$A4125,Movimentacoes!$E:$E,$C4125,Movimentacoes!$B:$B,"SAIDA_DESCARTE")</f>
        <v/>
      </c>
      <c r="J4125" s="13">
        <f>G4125-H4125-I4125</f>
        <v/>
      </c>
      <c r="K4125">
        <f>IF(A4125="","",IF(J4125&lt;=IFERROR(VLOOKUP(A4125,Cadastro_Produtos!$A:$E,5,FALSE),0),"ABAIXO DO MINIMO","OK"))</f>
        <v/>
      </c>
    </row>
    <row r="4126">
      <c r="B4126">
        <f>IFERROR(VLOOKUP(A4126,Cadastro_Produtos!A:B,2,FALSE),"")</f>
        <v/>
      </c>
      <c r="D4126" s="12" t="n"/>
      <c r="E4126" s="13">
        <f>IF(D4126="","",D4126-TODAY())</f>
        <v/>
      </c>
      <c r="F4126">
        <f>IF(D4126="","",IF(E4126&lt;0,"VENCIDO",IF(E4126&lt;=30,"VENCE EM &lt;= 30 DIAS",IF(E4126&lt;=60,"ATENCAO (31-60 DIAS)","OK"))))</f>
        <v/>
      </c>
      <c r="G4126" s="13">
        <f>SUMIFS(Movimentacoes!$G:$G,Movimentacoes!$C:$C,$A4126,Movimentacoes!$E:$E,$C4126,Movimentacoes!$B:$B,"ENTRADA")</f>
        <v/>
      </c>
      <c r="H4126" s="13">
        <f>SUMIFS(Movimentacoes!$G:$G,Movimentacoes!$C:$C,$A4126,Movimentacoes!$E:$E,$C4126,Movimentacoes!$B:$B,"SAIDA_USO")</f>
        <v/>
      </c>
      <c r="I4126" s="13">
        <f>SUMIFS(Movimentacoes!$G:$G,Movimentacoes!$C:$C,$A4126,Movimentacoes!$E:$E,$C4126,Movimentacoes!$B:$B,"SAIDA_DESCARTE")</f>
        <v/>
      </c>
      <c r="J4126" s="13">
        <f>G4126-H4126-I4126</f>
        <v/>
      </c>
      <c r="K4126">
        <f>IF(A4126="","",IF(J4126&lt;=IFERROR(VLOOKUP(A4126,Cadastro_Produtos!$A:$E,5,FALSE),0),"ABAIXO DO MINIMO","OK"))</f>
        <v/>
      </c>
    </row>
    <row r="4127">
      <c r="B4127">
        <f>IFERROR(VLOOKUP(A4127,Cadastro_Produtos!A:B,2,FALSE),"")</f>
        <v/>
      </c>
      <c r="D4127" s="12" t="n"/>
      <c r="E4127" s="13">
        <f>IF(D4127="","",D4127-TODAY())</f>
        <v/>
      </c>
      <c r="F4127">
        <f>IF(D4127="","",IF(E4127&lt;0,"VENCIDO",IF(E4127&lt;=30,"VENCE EM &lt;= 30 DIAS",IF(E4127&lt;=60,"ATENCAO (31-60 DIAS)","OK"))))</f>
        <v/>
      </c>
      <c r="G4127" s="13">
        <f>SUMIFS(Movimentacoes!$G:$G,Movimentacoes!$C:$C,$A4127,Movimentacoes!$E:$E,$C4127,Movimentacoes!$B:$B,"ENTRADA")</f>
        <v/>
      </c>
      <c r="H4127" s="13">
        <f>SUMIFS(Movimentacoes!$G:$G,Movimentacoes!$C:$C,$A4127,Movimentacoes!$E:$E,$C4127,Movimentacoes!$B:$B,"SAIDA_USO")</f>
        <v/>
      </c>
      <c r="I4127" s="13">
        <f>SUMIFS(Movimentacoes!$G:$G,Movimentacoes!$C:$C,$A4127,Movimentacoes!$E:$E,$C4127,Movimentacoes!$B:$B,"SAIDA_DESCARTE")</f>
        <v/>
      </c>
      <c r="J4127" s="13">
        <f>G4127-H4127-I4127</f>
        <v/>
      </c>
      <c r="K4127">
        <f>IF(A4127="","",IF(J4127&lt;=IFERROR(VLOOKUP(A4127,Cadastro_Produtos!$A:$E,5,FALSE),0),"ABAIXO DO MINIMO","OK"))</f>
        <v/>
      </c>
    </row>
    <row r="4128">
      <c r="B4128">
        <f>IFERROR(VLOOKUP(A4128,Cadastro_Produtos!A:B,2,FALSE),"")</f>
        <v/>
      </c>
      <c r="D4128" s="12" t="n"/>
      <c r="E4128" s="13">
        <f>IF(D4128="","",D4128-TODAY())</f>
        <v/>
      </c>
      <c r="F4128">
        <f>IF(D4128="","",IF(E4128&lt;0,"VENCIDO",IF(E4128&lt;=30,"VENCE EM &lt;= 30 DIAS",IF(E4128&lt;=60,"ATENCAO (31-60 DIAS)","OK"))))</f>
        <v/>
      </c>
      <c r="G4128" s="13">
        <f>SUMIFS(Movimentacoes!$G:$G,Movimentacoes!$C:$C,$A4128,Movimentacoes!$E:$E,$C4128,Movimentacoes!$B:$B,"ENTRADA")</f>
        <v/>
      </c>
      <c r="H4128" s="13">
        <f>SUMIFS(Movimentacoes!$G:$G,Movimentacoes!$C:$C,$A4128,Movimentacoes!$E:$E,$C4128,Movimentacoes!$B:$B,"SAIDA_USO")</f>
        <v/>
      </c>
      <c r="I4128" s="13">
        <f>SUMIFS(Movimentacoes!$G:$G,Movimentacoes!$C:$C,$A4128,Movimentacoes!$E:$E,$C4128,Movimentacoes!$B:$B,"SAIDA_DESCARTE")</f>
        <v/>
      </c>
      <c r="J4128" s="13">
        <f>G4128-H4128-I4128</f>
        <v/>
      </c>
      <c r="K4128">
        <f>IF(A4128="","",IF(J4128&lt;=IFERROR(VLOOKUP(A4128,Cadastro_Produtos!$A:$E,5,FALSE),0),"ABAIXO DO MINIMO","OK"))</f>
        <v/>
      </c>
    </row>
    <row r="4129">
      <c r="B4129">
        <f>IFERROR(VLOOKUP(A4129,Cadastro_Produtos!A:B,2,FALSE),"")</f>
        <v/>
      </c>
      <c r="D4129" s="12" t="n"/>
      <c r="E4129" s="13">
        <f>IF(D4129="","",D4129-TODAY())</f>
        <v/>
      </c>
      <c r="F4129">
        <f>IF(D4129="","",IF(E4129&lt;0,"VENCIDO",IF(E4129&lt;=30,"VENCE EM &lt;= 30 DIAS",IF(E4129&lt;=60,"ATENCAO (31-60 DIAS)","OK"))))</f>
        <v/>
      </c>
      <c r="G4129" s="13">
        <f>SUMIFS(Movimentacoes!$G:$G,Movimentacoes!$C:$C,$A4129,Movimentacoes!$E:$E,$C4129,Movimentacoes!$B:$B,"ENTRADA")</f>
        <v/>
      </c>
      <c r="H4129" s="13">
        <f>SUMIFS(Movimentacoes!$G:$G,Movimentacoes!$C:$C,$A4129,Movimentacoes!$E:$E,$C4129,Movimentacoes!$B:$B,"SAIDA_USO")</f>
        <v/>
      </c>
      <c r="I4129" s="13">
        <f>SUMIFS(Movimentacoes!$G:$G,Movimentacoes!$C:$C,$A4129,Movimentacoes!$E:$E,$C4129,Movimentacoes!$B:$B,"SAIDA_DESCARTE")</f>
        <v/>
      </c>
      <c r="J4129" s="13">
        <f>G4129-H4129-I4129</f>
        <v/>
      </c>
      <c r="K4129">
        <f>IF(A4129="","",IF(J4129&lt;=IFERROR(VLOOKUP(A4129,Cadastro_Produtos!$A:$E,5,FALSE),0),"ABAIXO DO MINIMO","OK"))</f>
        <v/>
      </c>
    </row>
    <row r="4130">
      <c r="B4130">
        <f>IFERROR(VLOOKUP(A4130,Cadastro_Produtos!A:B,2,FALSE),"")</f>
        <v/>
      </c>
      <c r="D4130" s="12" t="n"/>
      <c r="E4130" s="13">
        <f>IF(D4130="","",D4130-TODAY())</f>
        <v/>
      </c>
      <c r="F4130">
        <f>IF(D4130="","",IF(E4130&lt;0,"VENCIDO",IF(E4130&lt;=30,"VENCE EM &lt;= 30 DIAS",IF(E4130&lt;=60,"ATENCAO (31-60 DIAS)","OK"))))</f>
        <v/>
      </c>
      <c r="G4130" s="13">
        <f>SUMIFS(Movimentacoes!$G:$G,Movimentacoes!$C:$C,$A4130,Movimentacoes!$E:$E,$C4130,Movimentacoes!$B:$B,"ENTRADA")</f>
        <v/>
      </c>
      <c r="H4130" s="13">
        <f>SUMIFS(Movimentacoes!$G:$G,Movimentacoes!$C:$C,$A4130,Movimentacoes!$E:$E,$C4130,Movimentacoes!$B:$B,"SAIDA_USO")</f>
        <v/>
      </c>
      <c r="I4130" s="13">
        <f>SUMIFS(Movimentacoes!$G:$G,Movimentacoes!$C:$C,$A4130,Movimentacoes!$E:$E,$C4130,Movimentacoes!$B:$B,"SAIDA_DESCARTE")</f>
        <v/>
      </c>
      <c r="J4130" s="13">
        <f>G4130-H4130-I4130</f>
        <v/>
      </c>
      <c r="K4130">
        <f>IF(A4130="","",IF(J4130&lt;=IFERROR(VLOOKUP(A4130,Cadastro_Produtos!$A:$E,5,FALSE),0),"ABAIXO DO MINIMO","OK"))</f>
        <v/>
      </c>
    </row>
    <row r="4131">
      <c r="B4131">
        <f>IFERROR(VLOOKUP(A4131,Cadastro_Produtos!A:B,2,FALSE),"")</f>
        <v/>
      </c>
      <c r="D4131" s="12" t="n"/>
      <c r="E4131" s="13">
        <f>IF(D4131="","",D4131-TODAY())</f>
        <v/>
      </c>
      <c r="F4131">
        <f>IF(D4131="","",IF(E4131&lt;0,"VENCIDO",IF(E4131&lt;=30,"VENCE EM &lt;= 30 DIAS",IF(E4131&lt;=60,"ATENCAO (31-60 DIAS)","OK"))))</f>
        <v/>
      </c>
      <c r="G4131" s="13">
        <f>SUMIFS(Movimentacoes!$G:$G,Movimentacoes!$C:$C,$A4131,Movimentacoes!$E:$E,$C4131,Movimentacoes!$B:$B,"ENTRADA")</f>
        <v/>
      </c>
      <c r="H4131" s="13">
        <f>SUMIFS(Movimentacoes!$G:$G,Movimentacoes!$C:$C,$A4131,Movimentacoes!$E:$E,$C4131,Movimentacoes!$B:$B,"SAIDA_USO")</f>
        <v/>
      </c>
      <c r="I4131" s="13">
        <f>SUMIFS(Movimentacoes!$G:$G,Movimentacoes!$C:$C,$A4131,Movimentacoes!$E:$E,$C4131,Movimentacoes!$B:$B,"SAIDA_DESCARTE")</f>
        <v/>
      </c>
      <c r="J4131" s="13">
        <f>G4131-H4131-I4131</f>
        <v/>
      </c>
      <c r="K4131">
        <f>IF(A4131="","",IF(J4131&lt;=IFERROR(VLOOKUP(A4131,Cadastro_Produtos!$A:$E,5,FALSE),0),"ABAIXO DO MINIMO","OK"))</f>
        <v/>
      </c>
    </row>
    <row r="4132">
      <c r="B4132">
        <f>IFERROR(VLOOKUP(A4132,Cadastro_Produtos!A:B,2,FALSE),"")</f>
        <v/>
      </c>
      <c r="D4132" s="12" t="n"/>
      <c r="E4132" s="13">
        <f>IF(D4132="","",D4132-TODAY())</f>
        <v/>
      </c>
      <c r="F4132">
        <f>IF(D4132="","",IF(E4132&lt;0,"VENCIDO",IF(E4132&lt;=30,"VENCE EM &lt;= 30 DIAS",IF(E4132&lt;=60,"ATENCAO (31-60 DIAS)","OK"))))</f>
        <v/>
      </c>
      <c r="G4132" s="13">
        <f>SUMIFS(Movimentacoes!$G:$G,Movimentacoes!$C:$C,$A4132,Movimentacoes!$E:$E,$C4132,Movimentacoes!$B:$B,"ENTRADA")</f>
        <v/>
      </c>
      <c r="H4132" s="13">
        <f>SUMIFS(Movimentacoes!$G:$G,Movimentacoes!$C:$C,$A4132,Movimentacoes!$E:$E,$C4132,Movimentacoes!$B:$B,"SAIDA_USO")</f>
        <v/>
      </c>
      <c r="I4132" s="13">
        <f>SUMIFS(Movimentacoes!$G:$G,Movimentacoes!$C:$C,$A4132,Movimentacoes!$E:$E,$C4132,Movimentacoes!$B:$B,"SAIDA_DESCARTE")</f>
        <v/>
      </c>
      <c r="J4132" s="13">
        <f>G4132-H4132-I4132</f>
        <v/>
      </c>
      <c r="K4132">
        <f>IF(A4132="","",IF(J4132&lt;=IFERROR(VLOOKUP(A4132,Cadastro_Produtos!$A:$E,5,FALSE),0),"ABAIXO DO MINIMO","OK"))</f>
        <v/>
      </c>
    </row>
    <row r="4133">
      <c r="B4133">
        <f>IFERROR(VLOOKUP(A4133,Cadastro_Produtos!A:B,2,FALSE),"")</f>
        <v/>
      </c>
      <c r="D4133" s="12" t="n"/>
      <c r="E4133" s="13">
        <f>IF(D4133="","",D4133-TODAY())</f>
        <v/>
      </c>
      <c r="F4133">
        <f>IF(D4133="","",IF(E4133&lt;0,"VENCIDO",IF(E4133&lt;=30,"VENCE EM &lt;= 30 DIAS",IF(E4133&lt;=60,"ATENCAO (31-60 DIAS)","OK"))))</f>
        <v/>
      </c>
      <c r="G4133" s="13">
        <f>SUMIFS(Movimentacoes!$G:$G,Movimentacoes!$C:$C,$A4133,Movimentacoes!$E:$E,$C4133,Movimentacoes!$B:$B,"ENTRADA")</f>
        <v/>
      </c>
      <c r="H4133" s="13">
        <f>SUMIFS(Movimentacoes!$G:$G,Movimentacoes!$C:$C,$A4133,Movimentacoes!$E:$E,$C4133,Movimentacoes!$B:$B,"SAIDA_USO")</f>
        <v/>
      </c>
      <c r="I4133" s="13">
        <f>SUMIFS(Movimentacoes!$G:$G,Movimentacoes!$C:$C,$A4133,Movimentacoes!$E:$E,$C4133,Movimentacoes!$B:$B,"SAIDA_DESCARTE")</f>
        <v/>
      </c>
      <c r="J4133" s="13">
        <f>G4133-H4133-I4133</f>
        <v/>
      </c>
      <c r="K4133">
        <f>IF(A4133="","",IF(J4133&lt;=IFERROR(VLOOKUP(A4133,Cadastro_Produtos!$A:$E,5,FALSE),0),"ABAIXO DO MINIMO","OK"))</f>
        <v/>
      </c>
    </row>
    <row r="4134">
      <c r="B4134">
        <f>IFERROR(VLOOKUP(A4134,Cadastro_Produtos!A:B,2,FALSE),"")</f>
        <v/>
      </c>
      <c r="D4134" s="12" t="n"/>
      <c r="E4134" s="13">
        <f>IF(D4134="","",D4134-TODAY())</f>
        <v/>
      </c>
      <c r="F4134">
        <f>IF(D4134="","",IF(E4134&lt;0,"VENCIDO",IF(E4134&lt;=30,"VENCE EM &lt;= 30 DIAS",IF(E4134&lt;=60,"ATENCAO (31-60 DIAS)","OK"))))</f>
        <v/>
      </c>
      <c r="G4134" s="13">
        <f>SUMIFS(Movimentacoes!$G:$G,Movimentacoes!$C:$C,$A4134,Movimentacoes!$E:$E,$C4134,Movimentacoes!$B:$B,"ENTRADA")</f>
        <v/>
      </c>
      <c r="H4134" s="13">
        <f>SUMIFS(Movimentacoes!$G:$G,Movimentacoes!$C:$C,$A4134,Movimentacoes!$E:$E,$C4134,Movimentacoes!$B:$B,"SAIDA_USO")</f>
        <v/>
      </c>
      <c r="I4134" s="13">
        <f>SUMIFS(Movimentacoes!$G:$G,Movimentacoes!$C:$C,$A4134,Movimentacoes!$E:$E,$C4134,Movimentacoes!$B:$B,"SAIDA_DESCARTE")</f>
        <v/>
      </c>
      <c r="J4134" s="13">
        <f>G4134-H4134-I4134</f>
        <v/>
      </c>
      <c r="K4134">
        <f>IF(A4134="","",IF(J4134&lt;=IFERROR(VLOOKUP(A4134,Cadastro_Produtos!$A:$E,5,FALSE),0),"ABAIXO DO MINIMO","OK"))</f>
        <v/>
      </c>
    </row>
    <row r="4135">
      <c r="B4135">
        <f>IFERROR(VLOOKUP(A4135,Cadastro_Produtos!A:B,2,FALSE),"")</f>
        <v/>
      </c>
      <c r="D4135" s="12" t="n"/>
      <c r="E4135" s="13">
        <f>IF(D4135="","",D4135-TODAY())</f>
        <v/>
      </c>
      <c r="F4135">
        <f>IF(D4135="","",IF(E4135&lt;0,"VENCIDO",IF(E4135&lt;=30,"VENCE EM &lt;= 30 DIAS",IF(E4135&lt;=60,"ATENCAO (31-60 DIAS)","OK"))))</f>
        <v/>
      </c>
      <c r="G4135" s="13">
        <f>SUMIFS(Movimentacoes!$G:$G,Movimentacoes!$C:$C,$A4135,Movimentacoes!$E:$E,$C4135,Movimentacoes!$B:$B,"ENTRADA")</f>
        <v/>
      </c>
      <c r="H4135" s="13">
        <f>SUMIFS(Movimentacoes!$G:$G,Movimentacoes!$C:$C,$A4135,Movimentacoes!$E:$E,$C4135,Movimentacoes!$B:$B,"SAIDA_USO")</f>
        <v/>
      </c>
      <c r="I4135" s="13">
        <f>SUMIFS(Movimentacoes!$G:$G,Movimentacoes!$C:$C,$A4135,Movimentacoes!$E:$E,$C4135,Movimentacoes!$B:$B,"SAIDA_DESCARTE")</f>
        <v/>
      </c>
      <c r="J4135" s="13">
        <f>G4135-H4135-I4135</f>
        <v/>
      </c>
      <c r="K4135">
        <f>IF(A4135="","",IF(J4135&lt;=IFERROR(VLOOKUP(A4135,Cadastro_Produtos!$A:$E,5,FALSE),0),"ABAIXO DO MINIMO","OK"))</f>
        <v/>
      </c>
    </row>
    <row r="4136">
      <c r="B4136">
        <f>IFERROR(VLOOKUP(A4136,Cadastro_Produtos!A:B,2,FALSE),"")</f>
        <v/>
      </c>
      <c r="D4136" s="12" t="n"/>
      <c r="E4136" s="13">
        <f>IF(D4136="","",D4136-TODAY())</f>
        <v/>
      </c>
      <c r="F4136">
        <f>IF(D4136="","",IF(E4136&lt;0,"VENCIDO",IF(E4136&lt;=30,"VENCE EM &lt;= 30 DIAS",IF(E4136&lt;=60,"ATENCAO (31-60 DIAS)","OK"))))</f>
        <v/>
      </c>
      <c r="G4136" s="13">
        <f>SUMIFS(Movimentacoes!$G:$G,Movimentacoes!$C:$C,$A4136,Movimentacoes!$E:$E,$C4136,Movimentacoes!$B:$B,"ENTRADA")</f>
        <v/>
      </c>
      <c r="H4136" s="13">
        <f>SUMIFS(Movimentacoes!$G:$G,Movimentacoes!$C:$C,$A4136,Movimentacoes!$E:$E,$C4136,Movimentacoes!$B:$B,"SAIDA_USO")</f>
        <v/>
      </c>
      <c r="I4136" s="13">
        <f>SUMIFS(Movimentacoes!$G:$G,Movimentacoes!$C:$C,$A4136,Movimentacoes!$E:$E,$C4136,Movimentacoes!$B:$B,"SAIDA_DESCARTE")</f>
        <v/>
      </c>
      <c r="J4136" s="13">
        <f>G4136-H4136-I4136</f>
        <v/>
      </c>
      <c r="K4136">
        <f>IF(A4136="","",IF(J4136&lt;=IFERROR(VLOOKUP(A4136,Cadastro_Produtos!$A:$E,5,FALSE),0),"ABAIXO DO MINIMO","OK"))</f>
        <v/>
      </c>
    </row>
    <row r="4137">
      <c r="B4137">
        <f>IFERROR(VLOOKUP(A4137,Cadastro_Produtos!A:B,2,FALSE),"")</f>
        <v/>
      </c>
      <c r="D4137" s="12" t="n"/>
      <c r="E4137" s="13">
        <f>IF(D4137="","",D4137-TODAY())</f>
        <v/>
      </c>
      <c r="F4137">
        <f>IF(D4137="","",IF(E4137&lt;0,"VENCIDO",IF(E4137&lt;=30,"VENCE EM &lt;= 30 DIAS",IF(E4137&lt;=60,"ATENCAO (31-60 DIAS)","OK"))))</f>
        <v/>
      </c>
      <c r="G4137" s="13">
        <f>SUMIFS(Movimentacoes!$G:$G,Movimentacoes!$C:$C,$A4137,Movimentacoes!$E:$E,$C4137,Movimentacoes!$B:$B,"ENTRADA")</f>
        <v/>
      </c>
      <c r="H4137" s="13">
        <f>SUMIFS(Movimentacoes!$G:$G,Movimentacoes!$C:$C,$A4137,Movimentacoes!$E:$E,$C4137,Movimentacoes!$B:$B,"SAIDA_USO")</f>
        <v/>
      </c>
      <c r="I4137" s="13">
        <f>SUMIFS(Movimentacoes!$G:$G,Movimentacoes!$C:$C,$A4137,Movimentacoes!$E:$E,$C4137,Movimentacoes!$B:$B,"SAIDA_DESCARTE")</f>
        <v/>
      </c>
      <c r="J4137" s="13">
        <f>G4137-H4137-I4137</f>
        <v/>
      </c>
      <c r="K4137">
        <f>IF(A4137="","",IF(J4137&lt;=IFERROR(VLOOKUP(A4137,Cadastro_Produtos!$A:$E,5,FALSE),0),"ABAIXO DO MINIMO","OK"))</f>
        <v/>
      </c>
    </row>
    <row r="4138">
      <c r="B4138">
        <f>IFERROR(VLOOKUP(A4138,Cadastro_Produtos!A:B,2,FALSE),"")</f>
        <v/>
      </c>
      <c r="D4138" s="12" t="n"/>
      <c r="E4138" s="13">
        <f>IF(D4138="","",D4138-TODAY())</f>
        <v/>
      </c>
      <c r="F4138">
        <f>IF(D4138="","",IF(E4138&lt;0,"VENCIDO",IF(E4138&lt;=30,"VENCE EM &lt;= 30 DIAS",IF(E4138&lt;=60,"ATENCAO (31-60 DIAS)","OK"))))</f>
        <v/>
      </c>
      <c r="G4138" s="13">
        <f>SUMIFS(Movimentacoes!$G:$G,Movimentacoes!$C:$C,$A4138,Movimentacoes!$E:$E,$C4138,Movimentacoes!$B:$B,"ENTRADA")</f>
        <v/>
      </c>
      <c r="H4138" s="13">
        <f>SUMIFS(Movimentacoes!$G:$G,Movimentacoes!$C:$C,$A4138,Movimentacoes!$E:$E,$C4138,Movimentacoes!$B:$B,"SAIDA_USO")</f>
        <v/>
      </c>
      <c r="I4138" s="13">
        <f>SUMIFS(Movimentacoes!$G:$G,Movimentacoes!$C:$C,$A4138,Movimentacoes!$E:$E,$C4138,Movimentacoes!$B:$B,"SAIDA_DESCARTE")</f>
        <v/>
      </c>
      <c r="J4138" s="13">
        <f>G4138-H4138-I4138</f>
        <v/>
      </c>
      <c r="K4138">
        <f>IF(A4138="","",IF(J4138&lt;=IFERROR(VLOOKUP(A4138,Cadastro_Produtos!$A:$E,5,FALSE),0),"ABAIXO DO MINIMO","OK"))</f>
        <v/>
      </c>
    </row>
    <row r="4139">
      <c r="B4139">
        <f>IFERROR(VLOOKUP(A4139,Cadastro_Produtos!A:B,2,FALSE),"")</f>
        <v/>
      </c>
      <c r="D4139" s="12" t="n"/>
      <c r="E4139" s="13">
        <f>IF(D4139="","",D4139-TODAY())</f>
        <v/>
      </c>
      <c r="F4139">
        <f>IF(D4139="","",IF(E4139&lt;0,"VENCIDO",IF(E4139&lt;=30,"VENCE EM &lt;= 30 DIAS",IF(E4139&lt;=60,"ATENCAO (31-60 DIAS)","OK"))))</f>
        <v/>
      </c>
      <c r="G4139" s="13">
        <f>SUMIFS(Movimentacoes!$G:$G,Movimentacoes!$C:$C,$A4139,Movimentacoes!$E:$E,$C4139,Movimentacoes!$B:$B,"ENTRADA")</f>
        <v/>
      </c>
      <c r="H4139" s="13">
        <f>SUMIFS(Movimentacoes!$G:$G,Movimentacoes!$C:$C,$A4139,Movimentacoes!$E:$E,$C4139,Movimentacoes!$B:$B,"SAIDA_USO")</f>
        <v/>
      </c>
      <c r="I4139" s="13">
        <f>SUMIFS(Movimentacoes!$G:$G,Movimentacoes!$C:$C,$A4139,Movimentacoes!$E:$E,$C4139,Movimentacoes!$B:$B,"SAIDA_DESCARTE")</f>
        <v/>
      </c>
      <c r="J4139" s="13">
        <f>G4139-H4139-I4139</f>
        <v/>
      </c>
      <c r="K4139">
        <f>IF(A4139="","",IF(J4139&lt;=IFERROR(VLOOKUP(A4139,Cadastro_Produtos!$A:$E,5,FALSE),0),"ABAIXO DO MINIMO","OK"))</f>
        <v/>
      </c>
    </row>
    <row r="4140">
      <c r="B4140">
        <f>IFERROR(VLOOKUP(A4140,Cadastro_Produtos!A:B,2,FALSE),"")</f>
        <v/>
      </c>
      <c r="D4140" s="12" t="n"/>
      <c r="E4140" s="13">
        <f>IF(D4140="","",D4140-TODAY())</f>
        <v/>
      </c>
      <c r="F4140">
        <f>IF(D4140="","",IF(E4140&lt;0,"VENCIDO",IF(E4140&lt;=30,"VENCE EM &lt;= 30 DIAS",IF(E4140&lt;=60,"ATENCAO (31-60 DIAS)","OK"))))</f>
        <v/>
      </c>
      <c r="G4140" s="13">
        <f>SUMIFS(Movimentacoes!$G:$G,Movimentacoes!$C:$C,$A4140,Movimentacoes!$E:$E,$C4140,Movimentacoes!$B:$B,"ENTRADA")</f>
        <v/>
      </c>
      <c r="H4140" s="13">
        <f>SUMIFS(Movimentacoes!$G:$G,Movimentacoes!$C:$C,$A4140,Movimentacoes!$E:$E,$C4140,Movimentacoes!$B:$B,"SAIDA_USO")</f>
        <v/>
      </c>
      <c r="I4140" s="13">
        <f>SUMIFS(Movimentacoes!$G:$G,Movimentacoes!$C:$C,$A4140,Movimentacoes!$E:$E,$C4140,Movimentacoes!$B:$B,"SAIDA_DESCARTE")</f>
        <v/>
      </c>
      <c r="J4140" s="13">
        <f>G4140-H4140-I4140</f>
        <v/>
      </c>
      <c r="K4140">
        <f>IF(A4140="","",IF(J4140&lt;=IFERROR(VLOOKUP(A4140,Cadastro_Produtos!$A:$E,5,FALSE),0),"ABAIXO DO MINIMO","OK"))</f>
        <v/>
      </c>
    </row>
    <row r="4141">
      <c r="B4141">
        <f>IFERROR(VLOOKUP(A4141,Cadastro_Produtos!A:B,2,FALSE),"")</f>
        <v/>
      </c>
      <c r="D4141" s="12" t="n"/>
      <c r="E4141" s="13">
        <f>IF(D4141="","",D4141-TODAY())</f>
        <v/>
      </c>
      <c r="F4141">
        <f>IF(D4141="","",IF(E4141&lt;0,"VENCIDO",IF(E4141&lt;=30,"VENCE EM &lt;= 30 DIAS",IF(E4141&lt;=60,"ATENCAO (31-60 DIAS)","OK"))))</f>
        <v/>
      </c>
      <c r="G4141" s="13">
        <f>SUMIFS(Movimentacoes!$G:$G,Movimentacoes!$C:$C,$A4141,Movimentacoes!$E:$E,$C4141,Movimentacoes!$B:$B,"ENTRADA")</f>
        <v/>
      </c>
      <c r="H4141" s="13">
        <f>SUMIFS(Movimentacoes!$G:$G,Movimentacoes!$C:$C,$A4141,Movimentacoes!$E:$E,$C4141,Movimentacoes!$B:$B,"SAIDA_USO")</f>
        <v/>
      </c>
      <c r="I4141" s="13">
        <f>SUMIFS(Movimentacoes!$G:$G,Movimentacoes!$C:$C,$A4141,Movimentacoes!$E:$E,$C4141,Movimentacoes!$B:$B,"SAIDA_DESCARTE")</f>
        <v/>
      </c>
      <c r="J4141" s="13">
        <f>G4141-H4141-I4141</f>
        <v/>
      </c>
      <c r="K4141">
        <f>IF(A4141="","",IF(J4141&lt;=IFERROR(VLOOKUP(A4141,Cadastro_Produtos!$A:$E,5,FALSE),0),"ABAIXO DO MINIMO","OK"))</f>
        <v/>
      </c>
    </row>
    <row r="4142">
      <c r="B4142">
        <f>IFERROR(VLOOKUP(A4142,Cadastro_Produtos!A:B,2,FALSE),"")</f>
        <v/>
      </c>
      <c r="D4142" s="12" t="n"/>
      <c r="E4142" s="13">
        <f>IF(D4142="","",D4142-TODAY())</f>
        <v/>
      </c>
      <c r="F4142">
        <f>IF(D4142="","",IF(E4142&lt;0,"VENCIDO",IF(E4142&lt;=30,"VENCE EM &lt;= 30 DIAS",IF(E4142&lt;=60,"ATENCAO (31-60 DIAS)","OK"))))</f>
        <v/>
      </c>
      <c r="G4142" s="13">
        <f>SUMIFS(Movimentacoes!$G:$G,Movimentacoes!$C:$C,$A4142,Movimentacoes!$E:$E,$C4142,Movimentacoes!$B:$B,"ENTRADA")</f>
        <v/>
      </c>
      <c r="H4142" s="13">
        <f>SUMIFS(Movimentacoes!$G:$G,Movimentacoes!$C:$C,$A4142,Movimentacoes!$E:$E,$C4142,Movimentacoes!$B:$B,"SAIDA_USO")</f>
        <v/>
      </c>
      <c r="I4142" s="13">
        <f>SUMIFS(Movimentacoes!$G:$G,Movimentacoes!$C:$C,$A4142,Movimentacoes!$E:$E,$C4142,Movimentacoes!$B:$B,"SAIDA_DESCARTE")</f>
        <v/>
      </c>
      <c r="J4142" s="13">
        <f>G4142-H4142-I4142</f>
        <v/>
      </c>
      <c r="K4142">
        <f>IF(A4142="","",IF(J4142&lt;=IFERROR(VLOOKUP(A4142,Cadastro_Produtos!$A:$E,5,FALSE),0),"ABAIXO DO MINIMO","OK"))</f>
        <v/>
      </c>
    </row>
    <row r="4143">
      <c r="B4143">
        <f>IFERROR(VLOOKUP(A4143,Cadastro_Produtos!A:B,2,FALSE),"")</f>
        <v/>
      </c>
      <c r="D4143" s="12" t="n"/>
      <c r="E4143" s="13">
        <f>IF(D4143="","",D4143-TODAY())</f>
        <v/>
      </c>
      <c r="F4143">
        <f>IF(D4143="","",IF(E4143&lt;0,"VENCIDO",IF(E4143&lt;=30,"VENCE EM &lt;= 30 DIAS",IF(E4143&lt;=60,"ATENCAO (31-60 DIAS)","OK"))))</f>
        <v/>
      </c>
      <c r="G4143" s="13">
        <f>SUMIFS(Movimentacoes!$G:$G,Movimentacoes!$C:$C,$A4143,Movimentacoes!$E:$E,$C4143,Movimentacoes!$B:$B,"ENTRADA")</f>
        <v/>
      </c>
      <c r="H4143" s="13">
        <f>SUMIFS(Movimentacoes!$G:$G,Movimentacoes!$C:$C,$A4143,Movimentacoes!$E:$E,$C4143,Movimentacoes!$B:$B,"SAIDA_USO")</f>
        <v/>
      </c>
      <c r="I4143" s="13">
        <f>SUMIFS(Movimentacoes!$G:$G,Movimentacoes!$C:$C,$A4143,Movimentacoes!$E:$E,$C4143,Movimentacoes!$B:$B,"SAIDA_DESCARTE")</f>
        <v/>
      </c>
      <c r="J4143" s="13">
        <f>G4143-H4143-I4143</f>
        <v/>
      </c>
      <c r="K4143">
        <f>IF(A4143="","",IF(J4143&lt;=IFERROR(VLOOKUP(A4143,Cadastro_Produtos!$A:$E,5,FALSE),0),"ABAIXO DO MINIMO","OK"))</f>
        <v/>
      </c>
    </row>
    <row r="4144">
      <c r="B4144">
        <f>IFERROR(VLOOKUP(A4144,Cadastro_Produtos!A:B,2,FALSE),"")</f>
        <v/>
      </c>
      <c r="D4144" s="12" t="n"/>
      <c r="E4144" s="13">
        <f>IF(D4144="","",D4144-TODAY())</f>
        <v/>
      </c>
      <c r="F4144">
        <f>IF(D4144="","",IF(E4144&lt;0,"VENCIDO",IF(E4144&lt;=30,"VENCE EM &lt;= 30 DIAS",IF(E4144&lt;=60,"ATENCAO (31-60 DIAS)","OK"))))</f>
        <v/>
      </c>
      <c r="G4144" s="13">
        <f>SUMIFS(Movimentacoes!$G:$G,Movimentacoes!$C:$C,$A4144,Movimentacoes!$E:$E,$C4144,Movimentacoes!$B:$B,"ENTRADA")</f>
        <v/>
      </c>
      <c r="H4144" s="13">
        <f>SUMIFS(Movimentacoes!$G:$G,Movimentacoes!$C:$C,$A4144,Movimentacoes!$E:$E,$C4144,Movimentacoes!$B:$B,"SAIDA_USO")</f>
        <v/>
      </c>
      <c r="I4144" s="13">
        <f>SUMIFS(Movimentacoes!$G:$G,Movimentacoes!$C:$C,$A4144,Movimentacoes!$E:$E,$C4144,Movimentacoes!$B:$B,"SAIDA_DESCARTE")</f>
        <v/>
      </c>
      <c r="J4144" s="13">
        <f>G4144-H4144-I4144</f>
        <v/>
      </c>
      <c r="K4144">
        <f>IF(A4144="","",IF(J4144&lt;=IFERROR(VLOOKUP(A4144,Cadastro_Produtos!$A:$E,5,FALSE),0),"ABAIXO DO MINIMO","OK"))</f>
        <v/>
      </c>
    </row>
    <row r="4145">
      <c r="B4145">
        <f>IFERROR(VLOOKUP(A4145,Cadastro_Produtos!A:B,2,FALSE),"")</f>
        <v/>
      </c>
      <c r="D4145" s="12" t="n"/>
      <c r="E4145" s="13">
        <f>IF(D4145="","",D4145-TODAY())</f>
        <v/>
      </c>
      <c r="F4145">
        <f>IF(D4145="","",IF(E4145&lt;0,"VENCIDO",IF(E4145&lt;=30,"VENCE EM &lt;= 30 DIAS",IF(E4145&lt;=60,"ATENCAO (31-60 DIAS)","OK"))))</f>
        <v/>
      </c>
      <c r="G4145" s="13">
        <f>SUMIFS(Movimentacoes!$G:$G,Movimentacoes!$C:$C,$A4145,Movimentacoes!$E:$E,$C4145,Movimentacoes!$B:$B,"ENTRADA")</f>
        <v/>
      </c>
      <c r="H4145" s="13">
        <f>SUMIFS(Movimentacoes!$G:$G,Movimentacoes!$C:$C,$A4145,Movimentacoes!$E:$E,$C4145,Movimentacoes!$B:$B,"SAIDA_USO")</f>
        <v/>
      </c>
      <c r="I4145" s="13">
        <f>SUMIFS(Movimentacoes!$G:$G,Movimentacoes!$C:$C,$A4145,Movimentacoes!$E:$E,$C4145,Movimentacoes!$B:$B,"SAIDA_DESCARTE")</f>
        <v/>
      </c>
      <c r="J4145" s="13">
        <f>G4145-H4145-I4145</f>
        <v/>
      </c>
      <c r="K4145">
        <f>IF(A4145="","",IF(J4145&lt;=IFERROR(VLOOKUP(A4145,Cadastro_Produtos!$A:$E,5,FALSE),0),"ABAIXO DO MINIMO","OK"))</f>
        <v/>
      </c>
    </row>
    <row r="4146">
      <c r="B4146">
        <f>IFERROR(VLOOKUP(A4146,Cadastro_Produtos!A:B,2,FALSE),"")</f>
        <v/>
      </c>
      <c r="D4146" s="12" t="n"/>
      <c r="E4146" s="13">
        <f>IF(D4146="","",D4146-TODAY())</f>
        <v/>
      </c>
      <c r="F4146">
        <f>IF(D4146="","",IF(E4146&lt;0,"VENCIDO",IF(E4146&lt;=30,"VENCE EM &lt;= 30 DIAS",IF(E4146&lt;=60,"ATENCAO (31-60 DIAS)","OK"))))</f>
        <v/>
      </c>
      <c r="G4146" s="13">
        <f>SUMIFS(Movimentacoes!$G:$G,Movimentacoes!$C:$C,$A4146,Movimentacoes!$E:$E,$C4146,Movimentacoes!$B:$B,"ENTRADA")</f>
        <v/>
      </c>
      <c r="H4146" s="13">
        <f>SUMIFS(Movimentacoes!$G:$G,Movimentacoes!$C:$C,$A4146,Movimentacoes!$E:$E,$C4146,Movimentacoes!$B:$B,"SAIDA_USO")</f>
        <v/>
      </c>
      <c r="I4146" s="13">
        <f>SUMIFS(Movimentacoes!$G:$G,Movimentacoes!$C:$C,$A4146,Movimentacoes!$E:$E,$C4146,Movimentacoes!$B:$B,"SAIDA_DESCARTE")</f>
        <v/>
      </c>
      <c r="J4146" s="13">
        <f>G4146-H4146-I4146</f>
        <v/>
      </c>
      <c r="K4146">
        <f>IF(A4146="","",IF(J4146&lt;=IFERROR(VLOOKUP(A4146,Cadastro_Produtos!$A:$E,5,FALSE),0),"ABAIXO DO MINIMO","OK"))</f>
        <v/>
      </c>
    </row>
    <row r="4147">
      <c r="B4147">
        <f>IFERROR(VLOOKUP(A4147,Cadastro_Produtos!A:B,2,FALSE),"")</f>
        <v/>
      </c>
      <c r="D4147" s="12" t="n"/>
      <c r="E4147" s="13">
        <f>IF(D4147="","",D4147-TODAY())</f>
        <v/>
      </c>
      <c r="F4147">
        <f>IF(D4147="","",IF(E4147&lt;0,"VENCIDO",IF(E4147&lt;=30,"VENCE EM &lt;= 30 DIAS",IF(E4147&lt;=60,"ATENCAO (31-60 DIAS)","OK"))))</f>
        <v/>
      </c>
      <c r="G4147" s="13">
        <f>SUMIFS(Movimentacoes!$G:$G,Movimentacoes!$C:$C,$A4147,Movimentacoes!$E:$E,$C4147,Movimentacoes!$B:$B,"ENTRADA")</f>
        <v/>
      </c>
      <c r="H4147" s="13">
        <f>SUMIFS(Movimentacoes!$G:$G,Movimentacoes!$C:$C,$A4147,Movimentacoes!$E:$E,$C4147,Movimentacoes!$B:$B,"SAIDA_USO")</f>
        <v/>
      </c>
      <c r="I4147" s="13">
        <f>SUMIFS(Movimentacoes!$G:$G,Movimentacoes!$C:$C,$A4147,Movimentacoes!$E:$E,$C4147,Movimentacoes!$B:$B,"SAIDA_DESCARTE")</f>
        <v/>
      </c>
      <c r="J4147" s="13">
        <f>G4147-H4147-I4147</f>
        <v/>
      </c>
      <c r="K4147">
        <f>IF(A4147="","",IF(J4147&lt;=IFERROR(VLOOKUP(A4147,Cadastro_Produtos!$A:$E,5,FALSE),0),"ABAIXO DO MINIMO","OK"))</f>
        <v/>
      </c>
    </row>
    <row r="4148">
      <c r="B4148">
        <f>IFERROR(VLOOKUP(A4148,Cadastro_Produtos!A:B,2,FALSE),"")</f>
        <v/>
      </c>
      <c r="D4148" s="12" t="n"/>
      <c r="E4148" s="13">
        <f>IF(D4148="","",D4148-TODAY())</f>
        <v/>
      </c>
      <c r="F4148">
        <f>IF(D4148="","",IF(E4148&lt;0,"VENCIDO",IF(E4148&lt;=30,"VENCE EM &lt;= 30 DIAS",IF(E4148&lt;=60,"ATENCAO (31-60 DIAS)","OK"))))</f>
        <v/>
      </c>
      <c r="G4148" s="13">
        <f>SUMIFS(Movimentacoes!$G:$G,Movimentacoes!$C:$C,$A4148,Movimentacoes!$E:$E,$C4148,Movimentacoes!$B:$B,"ENTRADA")</f>
        <v/>
      </c>
      <c r="H4148" s="13">
        <f>SUMIFS(Movimentacoes!$G:$G,Movimentacoes!$C:$C,$A4148,Movimentacoes!$E:$E,$C4148,Movimentacoes!$B:$B,"SAIDA_USO")</f>
        <v/>
      </c>
      <c r="I4148" s="13">
        <f>SUMIFS(Movimentacoes!$G:$G,Movimentacoes!$C:$C,$A4148,Movimentacoes!$E:$E,$C4148,Movimentacoes!$B:$B,"SAIDA_DESCARTE")</f>
        <v/>
      </c>
      <c r="J4148" s="13">
        <f>G4148-H4148-I4148</f>
        <v/>
      </c>
      <c r="K4148">
        <f>IF(A4148="","",IF(J4148&lt;=IFERROR(VLOOKUP(A4148,Cadastro_Produtos!$A:$E,5,FALSE),0),"ABAIXO DO MINIMO","OK"))</f>
        <v/>
      </c>
    </row>
    <row r="4149">
      <c r="B4149">
        <f>IFERROR(VLOOKUP(A4149,Cadastro_Produtos!A:B,2,FALSE),"")</f>
        <v/>
      </c>
      <c r="D4149" s="12" t="n"/>
      <c r="E4149" s="13">
        <f>IF(D4149="","",D4149-TODAY())</f>
        <v/>
      </c>
      <c r="F4149">
        <f>IF(D4149="","",IF(E4149&lt;0,"VENCIDO",IF(E4149&lt;=30,"VENCE EM &lt;= 30 DIAS",IF(E4149&lt;=60,"ATENCAO (31-60 DIAS)","OK"))))</f>
        <v/>
      </c>
      <c r="G4149" s="13">
        <f>SUMIFS(Movimentacoes!$G:$G,Movimentacoes!$C:$C,$A4149,Movimentacoes!$E:$E,$C4149,Movimentacoes!$B:$B,"ENTRADA")</f>
        <v/>
      </c>
      <c r="H4149" s="13">
        <f>SUMIFS(Movimentacoes!$G:$G,Movimentacoes!$C:$C,$A4149,Movimentacoes!$E:$E,$C4149,Movimentacoes!$B:$B,"SAIDA_USO")</f>
        <v/>
      </c>
      <c r="I4149" s="13">
        <f>SUMIFS(Movimentacoes!$G:$G,Movimentacoes!$C:$C,$A4149,Movimentacoes!$E:$E,$C4149,Movimentacoes!$B:$B,"SAIDA_DESCARTE")</f>
        <v/>
      </c>
      <c r="J4149" s="13">
        <f>G4149-H4149-I4149</f>
        <v/>
      </c>
      <c r="K4149">
        <f>IF(A4149="","",IF(J4149&lt;=IFERROR(VLOOKUP(A4149,Cadastro_Produtos!$A:$E,5,FALSE),0),"ABAIXO DO MINIMO","OK"))</f>
        <v/>
      </c>
    </row>
    <row r="4150">
      <c r="B4150">
        <f>IFERROR(VLOOKUP(A4150,Cadastro_Produtos!A:B,2,FALSE),"")</f>
        <v/>
      </c>
      <c r="D4150" s="12" t="n"/>
      <c r="E4150" s="13">
        <f>IF(D4150="","",D4150-TODAY())</f>
        <v/>
      </c>
      <c r="F4150">
        <f>IF(D4150="","",IF(E4150&lt;0,"VENCIDO",IF(E4150&lt;=30,"VENCE EM &lt;= 30 DIAS",IF(E4150&lt;=60,"ATENCAO (31-60 DIAS)","OK"))))</f>
        <v/>
      </c>
      <c r="G4150" s="13">
        <f>SUMIFS(Movimentacoes!$G:$G,Movimentacoes!$C:$C,$A4150,Movimentacoes!$E:$E,$C4150,Movimentacoes!$B:$B,"ENTRADA")</f>
        <v/>
      </c>
      <c r="H4150" s="13">
        <f>SUMIFS(Movimentacoes!$G:$G,Movimentacoes!$C:$C,$A4150,Movimentacoes!$E:$E,$C4150,Movimentacoes!$B:$B,"SAIDA_USO")</f>
        <v/>
      </c>
      <c r="I4150" s="13">
        <f>SUMIFS(Movimentacoes!$G:$G,Movimentacoes!$C:$C,$A4150,Movimentacoes!$E:$E,$C4150,Movimentacoes!$B:$B,"SAIDA_DESCARTE")</f>
        <v/>
      </c>
      <c r="J4150" s="13">
        <f>G4150-H4150-I4150</f>
        <v/>
      </c>
      <c r="K4150">
        <f>IF(A4150="","",IF(J4150&lt;=IFERROR(VLOOKUP(A4150,Cadastro_Produtos!$A:$E,5,FALSE),0),"ABAIXO DO MINIMO","OK"))</f>
        <v/>
      </c>
    </row>
    <row r="4151">
      <c r="B4151">
        <f>IFERROR(VLOOKUP(A4151,Cadastro_Produtos!A:B,2,FALSE),"")</f>
        <v/>
      </c>
      <c r="D4151" s="12" t="n"/>
      <c r="E4151" s="13">
        <f>IF(D4151="","",D4151-TODAY())</f>
        <v/>
      </c>
      <c r="F4151">
        <f>IF(D4151="","",IF(E4151&lt;0,"VENCIDO",IF(E4151&lt;=30,"VENCE EM &lt;= 30 DIAS",IF(E4151&lt;=60,"ATENCAO (31-60 DIAS)","OK"))))</f>
        <v/>
      </c>
      <c r="G4151" s="13">
        <f>SUMIFS(Movimentacoes!$G:$G,Movimentacoes!$C:$C,$A4151,Movimentacoes!$E:$E,$C4151,Movimentacoes!$B:$B,"ENTRADA")</f>
        <v/>
      </c>
      <c r="H4151" s="13">
        <f>SUMIFS(Movimentacoes!$G:$G,Movimentacoes!$C:$C,$A4151,Movimentacoes!$E:$E,$C4151,Movimentacoes!$B:$B,"SAIDA_USO")</f>
        <v/>
      </c>
      <c r="I4151" s="13">
        <f>SUMIFS(Movimentacoes!$G:$G,Movimentacoes!$C:$C,$A4151,Movimentacoes!$E:$E,$C4151,Movimentacoes!$B:$B,"SAIDA_DESCARTE")</f>
        <v/>
      </c>
      <c r="J4151" s="13">
        <f>G4151-H4151-I4151</f>
        <v/>
      </c>
      <c r="K4151">
        <f>IF(A4151="","",IF(J4151&lt;=IFERROR(VLOOKUP(A4151,Cadastro_Produtos!$A:$E,5,FALSE),0),"ABAIXO DO MINIMO","OK"))</f>
        <v/>
      </c>
    </row>
    <row r="4152">
      <c r="B4152">
        <f>IFERROR(VLOOKUP(A4152,Cadastro_Produtos!A:B,2,FALSE),"")</f>
        <v/>
      </c>
      <c r="D4152" s="12" t="n"/>
      <c r="E4152" s="13">
        <f>IF(D4152="","",D4152-TODAY())</f>
        <v/>
      </c>
      <c r="F4152">
        <f>IF(D4152="","",IF(E4152&lt;0,"VENCIDO",IF(E4152&lt;=30,"VENCE EM &lt;= 30 DIAS",IF(E4152&lt;=60,"ATENCAO (31-60 DIAS)","OK"))))</f>
        <v/>
      </c>
      <c r="G4152" s="13">
        <f>SUMIFS(Movimentacoes!$G:$G,Movimentacoes!$C:$C,$A4152,Movimentacoes!$E:$E,$C4152,Movimentacoes!$B:$B,"ENTRADA")</f>
        <v/>
      </c>
      <c r="H4152" s="13">
        <f>SUMIFS(Movimentacoes!$G:$G,Movimentacoes!$C:$C,$A4152,Movimentacoes!$E:$E,$C4152,Movimentacoes!$B:$B,"SAIDA_USO")</f>
        <v/>
      </c>
      <c r="I4152" s="13">
        <f>SUMIFS(Movimentacoes!$G:$G,Movimentacoes!$C:$C,$A4152,Movimentacoes!$E:$E,$C4152,Movimentacoes!$B:$B,"SAIDA_DESCARTE")</f>
        <v/>
      </c>
      <c r="J4152" s="13">
        <f>G4152-H4152-I4152</f>
        <v/>
      </c>
      <c r="K4152">
        <f>IF(A4152="","",IF(J4152&lt;=IFERROR(VLOOKUP(A4152,Cadastro_Produtos!$A:$E,5,FALSE),0),"ABAIXO DO MINIMO","OK"))</f>
        <v/>
      </c>
    </row>
    <row r="4153">
      <c r="B4153">
        <f>IFERROR(VLOOKUP(A4153,Cadastro_Produtos!A:B,2,FALSE),"")</f>
        <v/>
      </c>
      <c r="D4153" s="12" t="n"/>
      <c r="E4153" s="13">
        <f>IF(D4153="","",D4153-TODAY())</f>
        <v/>
      </c>
      <c r="F4153">
        <f>IF(D4153="","",IF(E4153&lt;0,"VENCIDO",IF(E4153&lt;=30,"VENCE EM &lt;= 30 DIAS",IF(E4153&lt;=60,"ATENCAO (31-60 DIAS)","OK"))))</f>
        <v/>
      </c>
      <c r="G4153" s="13">
        <f>SUMIFS(Movimentacoes!$G:$G,Movimentacoes!$C:$C,$A4153,Movimentacoes!$E:$E,$C4153,Movimentacoes!$B:$B,"ENTRADA")</f>
        <v/>
      </c>
      <c r="H4153" s="13">
        <f>SUMIFS(Movimentacoes!$G:$G,Movimentacoes!$C:$C,$A4153,Movimentacoes!$E:$E,$C4153,Movimentacoes!$B:$B,"SAIDA_USO")</f>
        <v/>
      </c>
      <c r="I4153" s="13">
        <f>SUMIFS(Movimentacoes!$G:$G,Movimentacoes!$C:$C,$A4153,Movimentacoes!$E:$E,$C4153,Movimentacoes!$B:$B,"SAIDA_DESCARTE")</f>
        <v/>
      </c>
      <c r="J4153" s="13">
        <f>G4153-H4153-I4153</f>
        <v/>
      </c>
      <c r="K4153">
        <f>IF(A4153="","",IF(J4153&lt;=IFERROR(VLOOKUP(A4153,Cadastro_Produtos!$A:$E,5,FALSE),0),"ABAIXO DO MINIMO","OK"))</f>
        <v/>
      </c>
    </row>
    <row r="4154">
      <c r="B4154">
        <f>IFERROR(VLOOKUP(A4154,Cadastro_Produtos!A:B,2,FALSE),"")</f>
        <v/>
      </c>
      <c r="D4154" s="12" t="n"/>
      <c r="E4154" s="13">
        <f>IF(D4154="","",D4154-TODAY())</f>
        <v/>
      </c>
      <c r="F4154">
        <f>IF(D4154="","",IF(E4154&lt;0,"VENCIDO",IF(E4154&lt;=30,"VENCE EM &lt;= 30 DIAS",IF(E4154&lt;=60,"ATENCAO (31-60 DIAS)","OK"))))</f>
        <v/>
      </c>
      <c r="G4154" s="13">
        <f>SUMIFS(Movimentacoes!$G:$G,Movimentacoes!$C:$C,$A4154,Movimentacoes!$E:$E,$C4154,Movimentacoes!$B:$B,"ENTRADA")</f>
        <v/>
      </c>
      <c r="H4154" s="13">
        <f>SUMIFS(Movimentacoes!$G:$G,Movimentacoes!$C:$C,$A4154,Movimentacoes!$E:$E,$C4154,Movimentacoes!$B:$B,"SAIDA_USO")</f>
        <v/>
      </c>
      <c r="I4154" s="13">
        <f>SUMIFS(Movimentacoes!$G:$G,Movimentacoes!$C:$C,$A4154,Movimentacoes!$E:$E,$C4154,Movimentacoes!$B:$B,"SAIDA_DESCARTE")</f>
        <v/>
      </c>
      <c r="J4154" s="13">
        <f>G4154-H4154-I4154</f>
        <v/>
      </c>
      <c r="K4154">
        <f>IF(A4154="","",IF(J4154&lt;=IFERROR(VLOOKUP(A4154,Cadastro_Produtos!$A:$E,5,FALSE),0),"ABAIXO DO MINIMO","OK"))</f>
        <v/>
      </c>
    </row>
    <row r="4155">
      <c r="B4155">
        <f>IFERROR(VLOOKUP(A4155,Cadastro_Produtos!A:B,2,FALSE),"")</f>
        <v/>
      </c>
      <c r="D4155" s="12" t="n"/>
      <c r="E4155" s="13">
        <f>IF(D4155="","",D4155-TODAY())</f>
        <v/>
      </c>
      <c r="F4155">
        <f>IF(D4155="","",IF(E4155&lt;0,"VENCIDO",IF(E4155&lt;=30,"VENCE EM &lt;= 30 DIAS",IF(E4155&lt;=60,"ATENCAO (31-60 DIAS)","OK"))))</f>
        <v/>
      </c>
      <c r="G4155" s="13">
        <f>SUMIFS(Movimentacoes!$G:$G,Movimentacoes!$C:$C,$A4155,Movimentacoes!$E:$E,$C4155,Movimentacoes!$B:$B,"ENTRADA")</f>
        <v/>
      </c>
      <c r="H4155" s="13">
        <f>SUMIFS(Movimentacoes!$G:$G,Movimentacoes!$C:$C,$A4155,Movimentacoes!$E:$E,$C4155,Movimentacoes!$B:$B,"SAIDA_USO")</f>
        <v/>
      </c>
      <c r="I4155" s="13">
        <f>SUMIFS(Movimentacoes!$G:$G,Movimentacoes!$C:$C,$A4155,Movimentacoes!$E:$E,$C4155,Movimentacoes!$B:$B,"SAIDA_DESCARTE")</f>
        <v/>
      </c>
      <c r="J4155" s="13">
        <f>G4155-H4155-I4155</f>
        <v/>
      </c>
      <c r="K4155">
        <f>IF(A4155="","",IF(J4155&lt;=IFERROR(VLOOKUP(A4155,Cadastro_Produtos!$A:$E,5,FALSE),0),"ABAIXO DO MINIMO","OK"))</f>
        <v/>
      </c>
    </row>
    <row r="4156">
      <c r="B4156">
        <f>IFERROR(VLOOKUP(A4156,Cadastro_Produtos!A:B,2,FALSE),"")</f>
        <v/>
      </c>
      <c r="D4156" s="12" t="n"/>
      <c r="E4156" s="13">
        <f>IF(D4156="","",D4156-TODAY())</f>
        <v/>
      </c>
      <c r="F4156">
        <f>IF(D4156="","",IF(E4156&lt;0,"VENCIDO",IF(E4156&lt;=30,"VENCE EM &lt;= 30 DIAS",IF(E4156&lt;=60,"ATENCAO (31-60 DIAS)","OK"))))</f>
        <v/>
      </c>
      <c r="G4156" s="13">
        <f>SUMIFS(Movimentacoes!$G:$G,Movimentacoes!$C:$C,$A4156,Movimentacoes!$E:$E,$C4156,Movimentacoes!$B:$B,"ENTRADA")</f>
        <v/>
      </c>
      <c r="H4156" s="13">
        <f>SUMIFS(Movimentacoes!$G:$G,Movimentacoes!$C:$C,$A4156,Movimentacoes!$E:$E,$C4156,Movimentacoes!$B:$B,"SAIDA_USO")</f>
        <v/>
      </c>
      <c r="I4156" s="13">
        <f>SUMIFS(Movimentacoes!$G:$G,Movimentacoes!$C:$C,$A4156,Movimentacoes!$E:$E,$C4156,Movimentacoes!$B:$B,"SAIDA_DESCARTE")</f>
        <v/>
      </c>
      <c r="J4156" s="13">
        <f>G4156-H4156-I4156</f>
        <v/>
      </c>
      <c r="K4156">
        <f>IF(A4156="","",IF(J4156&lt;=IFERROR(VLOOKUP(A4156,Cadastro_Produtos!$A:$E,5,FALSE),0),"ABAIXO DO MINIMO","OK"))</f>
        <v/>
      </c>
    </row>
    <row r="4157">
      <c r="B4157">
        <f>IFERROR(VLOOKUP(A4157,Cadastro_Produtos!A:B,2,FALSE),"")</f>
        <v/>
      </c>
      <c r="D4157" s="12" t="n"/>
      <c r="E4157" s="13">
        <f>IF(D4157="","",D4157-TODAY())</f>
        <v/>
      </c>
      <c r="F4157">
        <f>IF(D4157="","",IF(E4157&lt;0,"VENCIDO",IF(E4157&lt;=30,"VENCE EM &lt;= 30 DIAS",IF(E4157&lt;=60,"ATENCAO (31-60 DIAS)","OK"))))</f>
        <v/>
      </c>
      <c r="G4157" s="13">
        <f>SUMIFS(Movimentacoes!$G:$G,Movimentacoes!$C:$C,$A4157,Movimentacoes!$E:$E,$C4157,Movimentacoes!$B:$B,"ENTRADA")</f>
        <v/>
      </c>
      <c r="H4157" s="13">
        <f>SUMIFS(Movimentacoes!$G:$G,Movimentacoes!$C:$C,$A4157,Movimentacoes!$E:$E,$C4157,Movimentacoes!$B:$B,"SAIDA_USO")</f>
        <v/>
      </c>
      <c r="I4157" s="13">
        <f>SUMIFS(Movimentacoes!$G:$G,Movimentacoes!$C:$C,$A4157,Movimentacoes!$E:$E,$C4157,Movimentacoes!$B:$B,"SAIDA_DESCARTE")</f>
        <v/>
      </c>
      <c r="J4157" s="13">
        <f>G4157-H4157-I4157</f>
        <v/>
      </c>
      <c r="K4157">
        <f>IF(A4157="","",IF(J4157&lt;=IFERROR(VLOOKUP(A4157,Cadastro_Produtos!$A:$E,5,FALSE),0),"ABAIXO DO MINIMO","OK"))</f>
        <v/>
      </c>
    </row>
    <row r="4158">
      <c r="B4158">
        <f>IFERROR(VLOOKUP(A4158,Cadastro_Produtos!A:B,2,FALSE),"")</f>
        <v/>
      </c>
      <c r="D4158" s="12" t="n"/>
      <c r="E4158" s="13">
        <f>IF(D4158="","",D4158-TODAY())</f>
        <v/>
      </c>
      <c r="F4158">
        <f>IF(D4158="","",IF(E4158&lt;0,"VENCIDO",IF(E4158&lt;=30,"VENCE EM &lt;= 30 DIAS",IF(E4158&lt;=60,"ATENCAO (31-60 DIAS)","OK"))))</f>
        <v/>
      </c>
      <c r="G4158" s="13">
        <f>SUMIFS(Movimentacoes!$G:$G,Movimentacoes!$C:$C,$A4158,Movimentacoes!$E:$E,$C4158,Movimentacoes!$B:$B,"ENTRADA")</f>
        <v/>
      </c>
      <c r="H4158" s="13">
        <f>SUMIFS(Movimentacoes!$G:$G,Movimentacoes!$C:$C,$A4158,Movimentacoes!$E:$E,$C4158,Movimentacoes!$B:$B,"SAIDA_USO")</f>
        <v/>
      </c>
      <c r="I4158" s="13">
        <f>SUMIFS(Movimentacoes!$G:$G,Movimentacoes!$C:$C,$A4158,Movimentacoes!$E:$E,$C4158,Movimentacoes!$B:$B,"SAIDA_DESCARTE")</f>
        <v/>
      </c>
      <c r="J4158" s="13">
        <f>G4158-H4158-I4158</f>
        <v/>
      </c>
      <c r="K4158">
        <f>IF(A4158="","",IF(J4158&lt;=IFERROR(VLOOKUP(A4158,Cadastro_Produtos!$A:$E,5,FALSE),0),"ABAIXO DO MINIMO","OK"))</f>
        <v/>
      </c>
    </row>
    <row r="4159">
      <c r="B4159">
        <f>IFERROR(VLOOKUP(A4159,Cadastro_Produtos!A:B,2,FALSE),"")</f>
        <v/>
      </c>
      <c r="D4159" s="12" t="n"/>
      <c r="E4159" s="13">
        <f>IF(D4159="","",D4159-TODAY())</f>
        <v/>
      </c>
      <c r="F4159">
        <f>IF(D4159="","",IF(E4159&lt;0,"VENCIDO",IF(E4159&lt;=30,"VENCE EM &lt;= 30 DIAS",IF(E4159&lt;=60,"ATENCAO (31-60 DIAS)","OK"))))</f>
        <v/>
      </c>
      <c r="G4159" s="13">
        <f>SUMIFS(Movimentacoes!$G:$G,Movimentacoes!$C:$C,$A4159,Movimentacoes!$E:$E,$C4159,Movimentacoes!$B:$B,"ENTRADA")</f>
        <v/>
      </c>
      <c r="H4159" s="13">
        <f>SUMIFS(Movimentacoes!$G:$G,Movimentacoes!$C:$C,$A4159,Movimentacoes!$E:$E,$C4159,Movimentacoes!$B:$B,"SAIDA_USO")</f>
        <v/>
      </c>
      <c r="I4159" s="13">
        <f>SUMIFS(Movimentacoes!$G:$G,Movimentacoes!$C:$C,$A4159,Movimentacoes!$E:$E,$C4159,Movimentacoes!$B:$B,"SAIDA_DESCARTE")</f>
        <v/>
      </c>
      <c r="J4159" s="13">
        <f>G4159-H4159-I4159</f>
        <v/>
      </c>
      <c r="K4159">
        <f>IF(A4159="","",IF(J4159&lt;=IFERROR(VLOOKUP(A4159,Cadastro_Produtos!$A:$E,5,FALSE),0),"ABAIXO DO MINIMO","OK"))</f>
        <v/>
      </c>
    </row>
    <row r="4160">
      <c r="B4160">
        <f>IFERROR(VLOOKUP(A4160,Cadastro_Produtos!A:B,2,FALSE),"")</f>
        <v/>
      </c>
      <c r="D4160" s="12" t="n"/>
      <c r="E4160" s="13">
        <f>IF(D4160="","",D4160-TODAY())</f>
        <v/>
      </c>
      <c r="F4160">
        <f>IF(D4160="","",IF(E4160&lt;0,"VENCIDO",IF(E4160&lt;=30,"VENCE EM &lt;= 30 DIAS",IF(E4160&lt;=60,"ATENCAO (31-60 DIAS)","OK"))))</f>
        <v/>
      </c>
      <c r="G4160" s="13">
        <f>SUMIFS(Movimentacoes!$G:$G,Movimentacoes!$C:$C,$A4160,Movimentacoes!$E:$E,$C4160,Movimentacoes!$B:$B,"ENTRADA")</f>
        <v/>
      </c>
      <c r="H4160" s="13">
        <f>SUMIFS(Movimentacoes!$G:$G,Movimentacoes!$C:$C,$A4160,Movimentacoes!$E:$E,$C4160,Movimentacoes!$B:$B,"SAIDA_USO")</f>
        <v/>
      </c>
      <c r="I4160" s="13">
        <f>SUMIFS(Movimentacoes!$G:$G,Movimentacoes!$C:$C,$A4160,Movimentacoes!$E:$E,$C4160,Movimentacoes!$B:$B,"SAIDA_DESCARTE")</f>
        <v/>
      </c>
      <c r="J4160" s="13">
        <f>G4160-H4160-I4160</f>
        <v/>
      </c>
      <c r="K4160">
        <f>IF(A4160="","",IF(J4160&lt;=IFERROR(VLOOKUP(A4160,Cadastro_Produtos!$A:$E,5,FALSE),0),"ABAIXO DO MINIMO","OK"))</f>
        <v/>
      </c>
    </row>
    <row r="4161">
      <c r="B4161">
        <f>IFERROR(VLOOKUP(A4161,Cadastro_Produtos!A:B,2,FALSE),"")</f>
        <v/>
      </c>
      <c r="D4161" s="12" t="n"/>
      <c r="E4161" s="13">
        <f>IF(D4161="","",D4161-TODAY())</f>
        <v/>
      </c>
      <c r="F4161">
        <f>IF(D4161="","",IF(E4161&lt;0,"VENCIDO",IF(E4161&lt;=30,"VENCE EM &lt;= 30 DIAS",IF(E4161&lt;=60,"ATENCAO (31-60 DIAS)","OK"))))</f>
        <v/>
      </c>
      <c r="G4161" s="13">
        <f>SUMIFS(Movimentacoes!$G:$G,Movimentacoes!$C:$C,$A4161,Movimentacoes!$E:$E,$C4161,Movimentacoes!$B:$B,"ENTRADA")</f>
        <v/>
      </c>
      <c r="H4161" s="13">
        <f>SUMIFS(Movimentacoes!$G:$G,Movimentacoes!$C:$C,$A4161,Movimentacoes!$E:$E,$C4161,Movimentacoes!$B:$B,"SAIDA_USO")</f>
        <v/>
      </c>
      <c r="I4161" s="13">
        <f>SUMIFS(Movimentacoes!$G:$G,Movimentacoes!$C:$C,$A4161,Movimentacoes!$E:$E,$C4161,Movimentacoes!$B:$B,"SAIDA_DESCARTE")</f>
        <v/>
      </c>
      <c r="J4161" s="13">
        <f>G4161-H4161-I4161</f>
        <v/>
      </c>
      <c r="K4161">
        <f>IF(A4161="","",IF(J4161&lt;=IFERROR(VLOOKUP(A4161,Cadastro_Produtos!$A:$E,5,FALSE),0),"ABAIXO DO MINIMO","OK"))</f>
        <v/>
      </c>
    </row>
    <row r="4162">
      <c r="B4162">
        <f>IFERROR(VLOOKUP(A4162,Cadastro_Produtos!A:B,2,FALSE),"")</f>
        <v/>
      </c>
      <c r="D4162" s="12" t="n"/>
      <c r="E4162" s="13">
        <f>IF(D4162="","",D4162-TODAY())</f>
        <v/>
      </c>
      <c r="F4162">
        <f>IF(D4162="","",IF(E4162&lt;0,"VENCIDO",IF(E4162&lt;=30,"VENCE EM &lt;= 30 DIAS",IF(E4162&lt;=60,"ATENCAO (31-60 DIAS)","OK"))))</f>
        <v/>
      </c>
      <c r="G4162" s="13">
        <f>SUMIFS(Movimentacoes!$G:$G,Movimentacoes!$C:$C,$A4162,Movimentacoes!$E:$E,$C4162,Movimentacoes!$B:$B,"ENTRADA")</f>
        <v/>
      </c>
      <c r="H4162" s="13">
        <f>SUMIFS(Movimentacoes!$G:$G,Movimentacoes!$C:$C,$A4162,Movimentacoes!$E:$E,$C4162,Movimentacoes!$B:$B,"SAIDA_USO")</f>
        <v/>
      </c>
      <c r="I4162" s="13">
        <f>SUMIFS(Movimentacoes!$G:$G,Movimentacoes!$C:$C,$A4162,Movimentacoes!$E:$E,$C4162,Movimentacoes!$B:$B,"SAIDA_DESCARTE")</f>
        <v/>
      </c>
      <c r="J4162" s="13">
        <f>G4162-H4162-I4162</f>
        <v/>
      </c>
      <c r="K4162">
        <f>IF(A4162="","",IF(J4162&lt;=IFERROR(VLOOKUP(A4162,Cadastro_Produtos!$A:$E,5,FALSE),0),"ABAIXO DO MINIMO","OK"))</f>
        <v/>
      </c>
    </row>
    <row r="4163">
      <c r="B4163">
        <f>IFERROR(VLOOKUP(A4163,Cadastro_Produtos!A:B,2,FALSE),"")</f>
        <v/>
      </c>
      <c r="D4163" s="12" t="n"/>
      <c r="E4163" s="13">
        <f>IF(D4163="","",D4163-TODAY())</f>
        <v/>
      </c>
      <c r="F4163">
        <f>IF(D4163="","",IF(E4163&lt;0,"VENCIDO",IF(E4163&lt;=30,"VENCE EM &lt;= 30 DIAS",IF(E4163&lt;=60,"ATENCAO (31-60 DIAS)","OK"))))</f>
        <v/>
      </c>
      <c r="G4163" s="13">
        <f>SUMIFS(Movimentacoes!$G:$G,Movimentacoes!$C:$C,$A4163,Movimentacoes!$E:$E,$C4163,Movimentacoes!$B:$B,"ENTRADA")</f>
        <v/>
      </c>
      <c r="H4163" s="13">
        <f>SUMIFS(Movimentacoes!$G:$G,Movimentacoes!$C:$C,$A4163,Movimentacoes!$E:$E,$C4163,Movimentacoes!$B:$B,"SAIDA_USO")</f>
        <v/>
      </c>
      <c r="I4163" s="13">
        <f>SUMIFS(Movimentacoes!$G:$G,Movimentacoes!$C:$C,$A4163,Movimentacoes!$E:$E,$C4163,Movimentacoes!$B:$B,"SAIDA_DESCARTE")</f>
        <v/>
      </c>
      <c r="J4163" s="13">
        <f>G4163-H4163-I4163</f>
        <v/>
      </c>
      <c r="K4163">
        <f>IF(A4163="","",IF(J4163&lt;=IFERROR(VLOOKUP(A4163,Cadastro_Produtos!$A:$E,5,FALSE),0),"ABAIXO DO MINIMO","OK"))</f>
        <v/>
      </c>
    </row>
    <row r="4164">
      <c r="B4164">
        <f>IFERROR(VLOOKUP(A4164,Cadastro_Produtos!A:B,2,FALSE),"")</f>
        <v/>
      </c>
      <c r="D4164" s="12" t="n"/>
      <c r="E4164" s="13">
        <f>IF(D4164="","",D4164-TODAY())</f>
        <v/>
      </c>
      <c r="F4164">
        <f>IF(D4164="","",IF(E4164&lt;0,"VENCIDO",IF(E4164&lt;=30,"VENCE EM &lt;= 30 DIAS",IF(E4164&lt;=60,"ATENCAO (31-60 DIAS)","OK"))))</f>
        <v/>
      </c>
      <c r="G4164" s="13">
        <f>SUMIFS(Movimentacoes!$G:$G,Movimentacoes!$C:$C,$A4164,Movimentacoes!$E:$E,$C4164,Movimentacoes!$B:$B,"ENTRADA")</f>
        <v/>
      </c>
      <c r="H4164" s="13">
        <f>SUMIFS(Movimentacoes!$G:$G,Movimentacoes!$C:$C,$A4164,Movimentacoes!$E:$E,$C4164,Movimentacoes!$B:$B,"SAIDA_USO")</f>
        <v/>
      </c>
      <c r="I4164" s="13">
        <f>SUMIFS(Movimentacoes!$G:$G,Movimentacoes!$C:$C,$A4164,Movimentacoes!$E:$E,$C4164,Movimentacoes!$B:$B,"SAIDA_DESCARTE")</f>
        <v/>
      </c>
      <c r="J4164" s="13">
        <f>G4164-H4164-I4164</f>
        <v/>
      </c>
      <c r="K4164">
        <f>IF(A4164="","",IF(J4164&lt;=IFERROR(VLOOKUP(A4164,Cadastro_Produtos!$A:$E,5,FALSE),0),"ABAIXO DO MINIMO","OK"))</f>
        <v/>
      </c>
    </row>
    <row r="4165">
      <c r="B4165">
        <f>IFERROR(VLOOKUP(A4165,Cadastro_Produtos!A:B,2,FALSE),"")</f>
        <v/>
      </c>
      <c r="D4165" s="12" t="n"/>
      <c r="E4165" s="13">
        <f>IF(D4165="","",D4165-TODAY())</f>
        <v/>
      </c>
      <c r="F4165">
        <f>IF(D4165="","",IF(E4165&lt;0,"VENCIDO",IF(E4165&lt;=30,"VENCE EM &lt;= 30 DIAS",IF(E4165&lt;=60,"ATENCAO (31-60 DIAS)","OK"))))</f>
        <v/>
      </c>
      <c r="G4165" s="13">
        <f>SUMIFS(Movimentacoes!$G:$G,Movimentacoes!$C:$C,$A4165,Movimentacoes!$E:$E,$C4165,Movimentacoes!$B:$B,"ENTRADA")</f>
        <v/>
      </c>
      <c r="H4165" s="13">
        <f>SUMIFS(Movimentacoes!$G:$G,Movimentacoes!$C:$C,$A4165,Movimentacoes!$E:$E,$C4165,Movimentacoes!$B:$B,"SAIDA_USO")</f>
        <v/>
      </c>
      <c r="I4165" s="13">
        <f>SUMIFS(Movimentacoes!$G:$G,Movimentacoes!$C:$C,$A4165,Movimentacoes!$E:$E,$C4165,Movimentacoes!$B:$B,"SAIDA_DESCARTE")</f>
        <v/>
      </c>
      <c r="J4165" s="13">
        <f>G4165-H4165-I4165</f>
        <v/>
      </c>
      <c r="K4165">
        <f>IF(A4165="","",IF(J4165&lt;=IFERROR(VLOOKUP(A4165,Cadastro_Produtos!$A:$E,5,FALSE),0),"ABAIXO DO MINIMO","OK"))</f>
        <v/>
      </c>
    </row>
    <row r="4166">
      <c r="B4166">
        <f>IFERROR(VLOOKUP(A4166,Cadastro_Produtos!A:B,2,FALSE),"")</f>
        <v/>
      </c>
      <c r="D4166" s="12" t="n"/>
      <c r="E4166" s="13">
        <f>IF(D4166="","",D4166-TODAY())</f>
        <v/>
      </c>
      <c r="F4166">
        <f>IF(D4166="","",IF(E4166&lt;0,"VENCIDO",IF(E4166&lt;=30,"VENCE EM &lt;= 30 DIAS",IF(E4166&lt;=60,"ATENCAO (31-60 DIAS)","OK"))))</f>
        <v/>
      </c>
      <c r="G4166" s="13">
        <f>SUMIFS(Movimentacoes!$G:$G,Movimentacoes!$C:$C,$A4166,Movimentacoes!$E:$E,$C4166,Movimentacoes!$B:$B,"ENTRADA")</f>
        <v/>
      </c>
      <c r="H4166" s="13">
        <f>SUMIFS(Movimentacoes!$G:$G,Movimentacoes!$C:$C,$A4166,Movimentacoes!$E:$E,$C4166,Movimentacoes!$B:$B,"SAIDA_USO")</f>
        <v/>
      </c>
      <c r="I4166" s="13">
        <f>SUMIFS(Movimentacoes!$G:$G,Movimentacoes!$C:$C,$A4166,Movimentacoes!$E:$E,$C4166,Movimentacoes!$B:$B,"SAIDA_DESCARTE")</f>
        <v/>
      </c>
      <c r="J4166" s="13">
        <f>G4166-H4166-I4166</f>
        <v/>
      </c>
      <c r="K4166">
        <f>IF(A4166="","",IF(J4166&lt;=IFERROR(VLOOKUP(A4166,Cadastro_Produtos!$A:$E,5,FALSE),0),"ABAIXO DO MINIMO","OK"))</f>
        <v/>
      </c>
    </row>
    <row r="4167">
      <c r="B4167">
        <f>IFERROR(VLOOKUP(A4167,Cadastro_Produtos!A:B,2,FALSE),"")</f>
        <v/>
      </c>
      <c r="D4167" s="12" t="n"/>
      <c r="E4167" s="13">
        <f>IF(D4167="","",D4167-TODAY())</f>
        <v/>
      </c>
      <c r="F4167">
        <f>IF(D4167="","",IF(E4167&lt;0,"VENCIDO",IF(E4167&lt;=30,"VENCE EM &lt;= 30 DIAS",IF(E4167&lt;=60,"ATENCAO (31-60 DIAS)","OK"))))</f>
        <v/>
      </c>
      <c r="G4167" s="13">
        <f>SUMIFS(Movimentacoes!$G:$G,Movimentacoes!$C:$C,$A4167,Movimentacoes!$E:$E,$C4167,Movimentacoes!$B:$B,"ENTRADA")</f>
        <v/>
      </c>
      <c r="H4167" s="13">
        <f>SUMIFS(Movimentacoes!$G:$G,Movimentacoes!$C:$C,$A4167,Movimentacoes!$E:$E,$C4167,Movimentacoes!$B:$B,"SAIDA_USO")</f>
        <v/>
      </c>
      <c r="I4167" s="13">
        <f>SUMIFS(Movimentacoes!$G:$G,Movimentacoes!$C:$C,$A4167,Movimentacoes!$E:$E,$C4167,Movimentacoes!$B:$B,"SAIDA_DESCARTE")</f>
        <v/>
      </c>
      <c r="J4167" s="13">
        <f>G4167-H4167-I4167</f>
        <v/>
      </c>
      <c r="K4167">
        <f>IF(A4167="","",IF(J4167&lt;=IFERROR(VLOOKUP(A4167,Cadastro_Produtos!$A:$E,5,FALSE),0),"ABAIXO DO MINIMO","OK"))</f>
        <v/>
      </c>
    </row>
    <row r="4168">
      <c r="B4168">
        <f>IFERROR(VLOOKUP(A4168,Cadastro_Produtos!A:B,2,FALSE),"")</f>
        <v/>
      </c>
      <c r="D4168" s="12" t="n"/>
      <c r="E4168" s="13">
        <f>IF(D4168="","",D4168-TODAY())</f>
        <v/>
      </c>
      <c r="F4168">
        <f>IF(D4168="","",IF(E4168&lt;0,"VENCIDO",IF(E4168&lt;=30,"VENCE EM &lt;= 30 DIAS",IF(E4168&lt;=60,"ATENCAO (31-60 DIAS)","OK"))))</f>
        <v/>
      </c>
      <c r="G4168" s="13">
        <f>SUMIFS(Movimentacoes!$G:$G,Movimentacoes!$C:$C,$A4168,Movimentacoes!$E:$E,$C4168,Movimentacoes!$B:$B,"ENTRADA")</f>
        <v/>
      </c>
      <c r="H4168" s="13">
        <f>SUMIFS(Movimentacoes!$G:$G,Movimentacoes!$C:$C,$A4168,Movimentacoes!$E:$E,$C4168,Movimentacoes!$B:$B,"SAIDA_USO")</f>
        <v/>
      </c>
      <c r="I4168" s="13">
        <f>SUMIFS(Movimentacoes!$G:$G,Movimentacoes!$C:$C,$A4168,Movimentacoes!$E:$E,$C4168,Movimentacoes!$B:$B,"SAIDA_DESCARTE")</f>
        <v/>
      </c>
      <c r="J4168" s="13">
        <f>G4168-H4168-I4168</f>
        <v/>
      </c>
      <c r="K4168">
        <f>IF(A4168="","",IF(J4168&lt;=IFERROR(VLOOKUP(A4168,Cadastro_Produtos!$A:$E,5,FALSE),0),"ABAIXO DO MINIMO","OK"))</f>
        <v/>
      </c>
    </row>
    <row r="4169">
      <c r="B4169">
        <f>IFERROR(VLOOKUP(A4169,Cadastro_Produtos!A:B,2,FALSE),"")</f>
        <v/>
      </c>
      <c r="D4169" s="12" t="n"/>
      <c r="E4169" s="13">
        <f>IF(D4169="","",D4169-TODAY())</f>
        <v/>
      </c>
      <c r="F4169">
        <f>IF(D4169="","",IF(E4169&lt;0,"VENCIDO",IF(E4169&lt;=30,"VENCE EM &lt;= 30 DIAS",IF(E4169&lt;=60,"ATENCAO (31-60 DIAS)","OK"))))</f>
        <v/>
      </c>
      <c r="G4169" s="13">
        <f>SUMIFS(Movimentacoes!$G:$G,Movimentacoes!$C:$C,$A4169,Movimentacoes!$E:$E,$C4169,Movimentacoes!$B:$B,"ENTRADA")</f>
        <v/>
      </c>
      <c r="H4169" s="13">
        <f>SUMIFS(Movimentacoes!$G:$G,Movimentacoes!$C:$C,$A4169,Movimentacoes!$E:$E,$C4169,Movimentacoes!$B:$B,"SAIDA_USO")</f>
        <v/>
      </c>
      <c r="I4169" s="13">
        <f>SUMIFS(Movimentacoes!$G:$G,Movimentacoes!$C:$C,$A4169,Movimentacoes!$E:$E,$C4169,Movimentacoes!$B:$B,"SAIDA_DESCARTE")</f>
        <v/>
      </c>
      <c r="J4169" s="13">
        <f>G4169-H4169-I4169</f>
        <v/>
      </c>
      <c r="K4169">
        <f>IF(A4169="","",IF(J4169&lt;=IFERROR(VLOOKUP(A4169,Cadastro_Produtos!$A:$E,5,FALSE),0),"ABAIXO DO MINIMO","OK"))</f>
        <v/>
      </c>
    </row>
    <row r="4170">
      <c r="B4170">
        <f>IFERROR(VLOOKUP(A4170,Cadastro_Produtos!A:B,2,FALSE),"")</f>
        <v/>
      </c>
      <c r="D4170" s="12" t="n"/>
      <c r="E4170" s="13">
        <f>IF(D4170="","",D4170-TODAY())</f>
        <v/>
      </c>
      <c r="F4170">
        <f>IF(D4170="","",IF(E4170&lt;0,"VENCIDO",IF(E4170&lt;=30,"VENCE EM &lt;= 30 DIAS",IF(E4170&lt;=60,"ATENCAO (31-60 DIAS)","OK"))))</f>
        <v/>
      </c>
      <c r="G4170" s="13">
        <f>SUMIFS(Movimentacoes!$G:$G,Movimentacoes!$C:$C,$A4170,Movimentacoes!$E:$E,$C4170,Movimentacoes!$B:$B,"ENTRADA")</f>
        <v/>
      </c>
      <c r="H4170" s="13">
        <f>SUMIFS(Movimentacoes!$G:$G,Movimentacoes!$C:$C,$A4170,Movimentacoes!$E:$E,$C4170,Movimentacoes!$B:$B,"SAIDA_USO")</f>
        <v/>
      </c>
      <c r="I4170" s="13">
        <f>SUMIFS(Movimentacoes!$G:$G,Movimentacoes!$C:$C,$A4170,Movimentacoes!$E:$E,$C4170,Movimentacoes!$B:$B,"SAIDA_DESCARTE")</f>
        <v/>
      </c>
      <c r="J4170" s="13">
        <f>G4170-H4170-I4170</f>
        <v/>
      </c>
      <c r="K4170">
        <f>IF(A4170="","",IF(J4170&lt;=IFERROR(VLOOKUP(A4170,Cadastro_Produtos!$A:$E,5,FALSE),0),"ABAIXO DO MINIMO","OK"))</f>
        <v/>
      </c>
    </row>
    <row r="4171">
      <c r="B4171">
        <f>IFERROR(VLOOKUP(A4171,Cadastro_Produtos!A:B,2,FALSE),"")</f>
        <v/>
      </c>
      <c r="D4171" s="12" t="n"/>
      <c r="E4171" s="13">
        <f>IF(D4171="","",D4171-TODAY())</f>
        <v/>
      </c>
      <c r="F4171">
        <f>IF(D4171="","",IF(E4171&lt;0,"VENCIDO",IF(E4171&lt;=30,"VENCE EM &lt;= 30 DIAS",IF(E4171&lt;=60,"ATENCAO (31-60 DIAS)","OK"))))</f>
        <v/>
      </c>
      <c r="G4171" s="13">
        <f>SUMIFS(Movimentacoes!$G:$G,Movimentacoes!$C:$C,$A4171,Movimentacoes!$E:$E,$C4171,Movimentacoes!$B:$B,"ENTRADA")</f>
        <v/>
      </c>
      <c r="H4171" s="13">
        <f>SUMIFS(Movimentacoes!$G:$G,Movimentacoes!$C:$C,$A4171,Movimentacoes!$E:$E,$C4171,Movimentacoes!$B:$B,"SAIDA_USO")</f>
        <v/>
      </c>
      <c r="I4171" s="13">
        <f>SUMIFS(Movimentacoes!$G:$G,Movimentacoes!$C:$C,$A4171,Movimentacoes!$E:$E,$C4171,Movimentacoes!$B:$B,"SAIDA_DESCARTE")</f>
        <v/>
      </c>
      <c r="J4171" s="13">
        <f>G4171-H4171-I4171</f>
        <v/>
      </c>
      <c r="K4171">
        <f>IF(A4171="","",IF(J4171&lt;=IFERROR(VLOOKUP(A4171,Cadastro_Produtos!$A:$E,5,FALSE),0),"ABAIXO DO MINIMO","OK"))</f>
        <v/>
      </c>
    </row>
    <row r="4172">
      <c r="B4172">
        <f>IFERROR(VLOOKUP(A4172,Cadastro_Produtos!A:B,2,FALSE),"")</f>
        <v/>
      </c>
      <c r="D4172" s="12" t="n"/>
      <c r="E4172" s="13">
        <f>IF(D4172="","",D4172-TODAY())</f>
        <v/>
      </c>
      <c r="F4172">
        <f>IF(D4172="","",IF(E4172&lt;0,"VENCIDO",IF(E4172&lt;=30,"VENCE EM &lt;= 30 DIAS",IF(E4172&lt;=60,"ATENCAO (31-60 DIAS)","OK"))))</f>
        <v/>
      </c>
      <c r="G4172" s="13">
        <f>SUMIFS(Movimentacoes!$G:$G,Movimentacoes!$C:$C,$A4172,Movimentacoes!$E:$E,$C4172,Movimentacoes!$B:$B,"ENTRADA")</f>
        <v/>
      </c>
      <c r="H4172" s="13">
        <f>SUMIFS(Movimentacoes!$G:$G,Movimentacoes!$C:$C,$A4172,Movimentacoes!$E:$E,$C4172,Movimentacoes!$B:$B,"SAIDA_USO")</f>
        <v/>
      </c>
      <c r="I4172" s="13">
        <f>SUMIFS(Movimentacoes!$G:$G,Movimentacoes!$C:$C,$A4172,Movimentacoes!$E:$E,$C4172,Movimentacoes!$B:$B,"SAIDA_DESCARTE")</f>
        <v/>
      </c>
      <c r="J4172" s="13">
        <f>G4172-H4172-I4172</f>
        <v/>
      </c>
      <c r="K4172">
        <f>IF(A4172="","",IF(J4172&lt;=IFERROR(VLOOKUP(A4172,Cadastro_Produtos!$A:$E,5,FALSE),0),"ABAIXO DO MINIMO","OK"))</f>
        <v/>
      </c>
    </row>
    <row r="4173">
      <c r="B4173">
        <f>IFERROR(VLOOKUP(A4173,Cadastro_Produtos!A:B,2,FALSE),"")</f>
        <v/>
      </c>
      <c r="D4173" s="12" t="n"/>
      <c r="E4173" s="13">
        <f>IF(D4173="","",D4173-TODAY())</f>
        <v/>
      </c>
      <c r="F4173">
        <f>IF(D4173="","",IF(E4173&lt;0,"VENCIDO",IF(E4173&lt;=30,"VENCE EM &lt;= 30 DIAS",IF(E4173&lt;=60,"ATENCAO (31-60 DIAS)","OK"))))</f>
        <v/>
      </c>
      <c r="G4173" s="13">
        <f>SUMIFS(Movimentacoes!$G:$G,Movimentacoes!$C:$C,$A4173,Movimentacoes!$E:$E,$C4173,Movimentacoes!$B:$B,"ENTRADA")</f>
        <v/>
      </c>
      <c r="H4173" s="13">
        <f>SUMIFS(Movimentacoes!$G:$G,Movimentacoes!$C:$C,$A4173,Movimentacoes!$E:$E,$C4173,Movimentacoes!$B:$B,"SAIDA_USO")</f>
        <v/>
      </c>
      <c r="I4173" s="13">
        <f>SUMIFS(Movimentacoes!$G:$G,Movimentacoes!$C:$C,$A4173,Movimentacoes!$E:$E,$C4173,Movimentacoes!$B:$B,"SAIDA_DESCARTE")</f>
        <v/>
      </c>
      <c r="J4173" s="13">
        <f>G4173-H4173-I4173</f>
        <v/>
      </c>
      <c r="K4173">
        <f>IF(A4173="","",IF(J4173&lt;=IFERROR(VLOOKUP(A4173,Cadastro_Produtos!$A:$E,5,FALSE),0),"ABAIXO DO MINIMO","OK"))</f>
        <v/>
      </c>
    </row>
    <row r="4174">
      <c r="B4174">
        <f>IFERROR(VLOOKUP(A4174,Cadastro_Produtos!A:B,2,FALSE),"")</f>
        <v/>
      </c>
      <c r="D4174" s="12" t="n"/>
      <c r="E4174" s="13">
        <f>IF(D4174="","",D4174-TODAY())</f>
        <v/>
      </c>
      <c r="F4174">
        <f>IF(D4174="","",IF(E4174&lt;0,"VENCIDO",IF(E4174&lt;=30,"VENCE EM &lt;= 30 DIAS",IF(E4174&lt;=60,"ATENCAO (31-60 DIAS)","OK"))))</f>
        <v/>
      </c>
      <c r="G4174" s="13">
        <f>SUMIFS(Movimentacoes!$G:$G,Movimentacoes!$C:$C,$A4174,Movimentacoes!$E:$E,$C4174,Movimentacoes!$B:$B,"ENTRADA")</f>
        <v/>
      </c>
      <c r="H4174" s="13">
        <f>SUMIFS(Movimentacoes!$G:$G,Movimentacoes!$C:$C,$A4174,Movimentacoes!$E:$E,$C4174,Movimentacoes!$B:$B,"SAIDA_USO")</f>
        <v/>
      </c>
      <c r="I4174" s="13">
        <f>SUMIFS(Movimentacoes!$G:$G,Movimentacoes!$C:$C,$A4174,Movimentacoes!$E:$E,$C4174,Movimentacoes!$B:$B,"SAIDA_DESCARTE")</f>
        <v/>
      </c>
      <c r="J4174" s="13">
        <f>G4174-H4174-I4174</f>
        <v/>
      </c>
      <c r="K4174">
        <f>IF(A4174="","",IF(J4174&lt;=IFERROR(VLOOKUP(A4174,Cadastro_Produtos!$A:$E,5,FALSE),0),"ABAIXO DO MINIMO","OK"))</f>
        <v/>
      </c>
    </row>
    <row r="4175">
      <c r="B4175">
        <f>IFERROR(VLOOKUP(A4175,Cadastro_Produtos!A:B,2,FALSE),"")</f>
        <v/>
      </c>
      <c r="D4175" s="12" t="n"/>
      <c r="E4175" s="13">
        <f>IF(D4175="","",D4175-TODAY())</f>
        <v/>
      </c>
      <c r="F4175">
        <f>IF(D4175="","",IF(E4175&lt;0,"VENCIDO",IF(E4175&lt;=30,"VENCE EM &lt;= 30 DIAS",IF(E4175&lt;=60,"ATENCAO (31-60 DIAS)","OK"))))</f>
        <v/>
      </c>
      <c r="G4175" s="13">
        <f>SUMIFS(Movimentacoes!$G:$G,Movimentacoes!$C:$C,$A4175,Movimentacoes!$E:$E,$C4175,Movimentacoes!$B:$B,"ENTRADA")</f>
        <v/>
      </c>
      <c r="H4175" s="13">
        <f>SUMIFS(Movimentacoes!$G:$G,Movimentacoes!$C:$C,$A4175,Movimentacoes!$E:$E,$C4175,Movimentacoes!$B:$B,"SAIDA_USO")</f>
        <v/>
      </c>
      <c r="I4175" s="13">
        <f>SUMIFS(Movimentacoes!$G:$G,Movimentacoes!$C:$C,$A4175,Movimentacoes!$E:$E,$C4175,Movimentacoes!$B:$B,"SAIDA_DESCARTE")</f>
        <v/>
      </c>
      <c r="J4175" s="13">
        <f>G4175-H4175-I4175</f>
        <v/>
      </c>
      <c r="K4175">
        <f>IF(A4175="","",IF(J4175&lt;=IFERROR(VLOOKUP(A4175,Cadastro_Produtos!$A:$E,5,FALSE),0),"ABAIXO DO MINIMO","OK"))</f>
        <v/>
      </c>
    </row>
    <row r="4176">
      <c r="B4176">
        <f>IFERROR(VLOOKUP(A4176,Cadastro_Produtos!A:B,2,FALSE),"")</f>
        <v/>
      </c>
      <c r="D4176" s="12" t="n"/>
      <c r="E4176" s="13">
        <f>IF(D4176="","",D4176-TODAY())</f>
        <v/>
      </c>
      <c r="F4176">
        <f>IF(D4176="","",IF(E4176&lt;0,"VENCIDO",IF(E4176&lt;=30,"VENCE EM &lt;= 30 DIAS",IF(E4176&lt;=60,"ATENCAO (31-60 DIAS)","OK"))))</f>
        <v/>
      </c>
      <c r="G4176" s="13">
        <f>SUMIFS(Movimentacoes!$G:$G,Movimentacoes!$C:$C,$A4176,Movimentacoes!$E:$E,$C4176,Movimentacoes!$B:$B,"ENTRADA")</f>
        <v/>
      </c>
      <c r="H4176" s="13">
        <f>SUMIFS(Movimentacoes!$G:$G,Movimentacoes!$C:$C,$A4176,Movimentacoes!$E:$E,$C4176,Movimentacoes!$B:$B,"SAIDA_USO")</f>
        <v/>
      </c>
      <c r="I4176" s="13">
        <f>SUMIFS(Movimentacoes!$G:$G,Movimentacoes!$C:$C,$A4176,Movimentacoes!$E:$E,$C4176,Movimentacoes!$B:$B,"SAIDA_DESCARTE")</f>
        <v/>
      </c>
      <c r="J4176" s="13">
        <f>G4176-H4176-I4176</f>
        <v/>
      </c>
      <c r="K4176">
        <f>IF(A4176="","",IF(J4176&lt;=IFERROR(VLOOKUP(A4176,Cadastro_Produtos!$A:$E,5,FALSE),0),"ABAIXO DO MINIMO","OK"))</f>
        <v/>
      </c>
    </row>
    <row r="4177">
      <c r="B4177">
        <f>IFERROR(VLOOKUP(A4177,Cadastro_Produtos!A:B,2,FALSE),"")</f>
        <v/>
      </c>
      <c r="D4177" s="12" t="n"/>
      <c r="E4177" s="13">
        <f>IF(D4177="","",D4177-TODAY())</f>
        <v/>
      </c>
      <c r="F4177">
        <f>IF(D4177="","",IF(E4177&lt;0,"VENCIDO",IF(E4177&lt;=30,"VENCE EM &lt;= 30 DIAS",IF(E4177&lt;=60,"ATENCAO (31-60 DIAS)","OK"))))</f>
        <v/>
      </c>
      <c r="G4177" s="13">
        <f>SUMIFS(Movimentacoes!$G:$G,Movimentacoes!$C:$C,$A4177,Movimentacoes!$E:$E,$C4177,Movimentacoes!$B:$B,"ENTRADA")</f>
        <v/>
      </c>
      <c r="H4177" s="13">
        <f>SUMIFS(Movimentacoes!$G:$G,Movimentacoes!$C:$C,$A4177,Movimentacoes!$E:$E,$C4177,Movimentacoes!$B:$B,"SAIDA_USO")</f>
        <v/>
      </c>
      <c r="I4177" s="13">
        <f>SUMIFS(Movimentacoes!$G:$G,Movimentacoes!$C:$C,$A4177,Movimentacoes!$E:$E,$C4177,Movimentacoes!$B:$B,"SAIDA_DESCARTE")</f>
        <v/>
      </c>
      <c r="J4177" s="13">
        <f>G4177-H4177-I4177</f>
        <v/>
      </c>
      <c r="K4177">
        <f>IF(A4177="","",IF(J4177&lt;=IFERROR(VLOOKUP(A4177,Cadastro_Produtos!$A:$E,5,FALSE),0),"ABAIXO DO MINIMO","OK"))</f>
        <v/>
      </c>
    </row>
    <row r="4178">
      <c r="B4178">
        <f>IFERROR(VLOOKUP(A4178,Cadastro_Produtos!A:B,2,FALSE),"")</f>
        <v/>
      </c>
      <c r="D4178" s="12" t="n"/>
      <c r="E4178" s="13">
        <f>IF(D4178="","",D4178-TODAY())</f>
        <v/>
      </c>
      <c r="F4178">
        <f>IF(D4178="","",IF(E4178&lt;0,"VENCIDO",IF(E4178&lt;=30,"VENCE EM &lt;= 30 DIAS",IF(E4178&lt;=60,"ATENCAO (31-60 DIAS)","OK"))))</f>
        <v/>
      </c>
      <c r="G4178" s="13">
        <f>SUMIFS(Movimentacoes!$G:$G,Movimentacoes!$C:$C,$A4178,Movimentacoes!$E:$E,$C4178,Movimentacoes!$B:$B,"ENTRADA")</f>
        <v/>
      </c>
      <c r="H4178" s="13">
        <f>SUMIFS(Movimentacoes!$G:$G,Movimentacoes!$C:$C,$A4178,Movimentacoes!$E:$E,$C4178,Movimentacoes!$B:$B,"SAIDA_USO")</f>
        <v/>
      </c>
      <c r="I4178" s="13">
        <f>SUMIFS(Movimentacoes!$G:$G,Movimentacoes!$C:$C,$A4178,Movimentacoes!$E:$E,$C4178,Movimentacoes!$B:$B,"SAIDA_DESCARTE")</f>
        <v/>
      </c>
      <c r="J4178" s="13">
        <f>G4178-H4178-I4178</f>
        <v/>
      </c>
      <c r="K4178">
        <f>IF(A4178="","",IF(J4178&lt;=IFERROR(VLOOKUP(A4178,Cadastro_Produtos!$A:$E,5,FALSE),0),"ABAIXO DO MINIMO","OK"))</f>
        <v/>
      </c>
    </row>
    <row r="4179">
      <c r="B4179">
        <f>IFERROR(VLOOKUP(A4179,Cadastro_Produtos!A:B,2,FALSE),"")</f>
        <v/>
      </c>
      <c r="D4179" s="12" t="n"/>
      <c r="E4179" s="13">
        <f>IF(D4179="","",D4179-TODAY())</f>
        <v/>
      </c>
      <c r="F4179">
        <f>IF(D4179="","",IF(E4179&lt;0,"VENCIDO",IF(E4179&lt;=30,"VENCE EM &lt;= 30 DIAS",IF(E4179&lt;=60,"ATENCAO (31-60 DIAS)","OK"))))</f>
        <v/>
      </c>
      <c r="G4179" s="13">
        <f>SUMIFS(Movimentacoes!$G:$G,Movimentacoes!$C:$C,$A4179,Movimentacoes!$E:$E,$C4179,Movimentacoes!$B:$B,"ENTRADA")</f>
        <v/>
      </c>
      <c r="H4179" s="13">
        <f>SUMIFS(Movimentacoes!$G:$G,Movimentacoes!$C:$C,$A4179,Movimentacoes!$E:$E,$C4179,Movimentacoes!$B:$B,"SAIDA_USO")</f>
        <v/>
      </c>
      <c r="I4179" s="13">
        <f>SUMIFS(Movimentacoes!$G:$G,Movimentacoes!$C:$C,$A4179,Movimentacoes!$E:$E,$C4179,Movimentacoes!$B:$B,"SAIDA_DESCARTE")</f>
        <v/>
      </c>
      <c r="J4179" s="13">
        <f>G4179-H4179-I4179</f>
        <v/>
      </c>
      <c r="K4179">
        <f>IF(A4179="","",IF(J4179&lt;=IFERROR(VLOOKUP(A4179,Cadastro_Produtos!$A:$E,5,FALSE),0),"ABAIXO DO MINIMO","OK"))</f>
        <v/>
      </c>
    </row>
    <row r="4180">
      <c r="B4180">
        <f>IFERROR(VLOOKUP(A4180,Cadastro_Produtos!A:B,2,FALSE),"")</f>
        <v/>
      </c>
      <c r="D4180" s="12" t="n"/>
      <c r="E4180" s="13">
        <f>IF(D4180="","",D4180-TODAY())</f>
        <v/>
      </c>
      <c r="F4180">
        <f>IF(D4180="","",IF(E4180&lt;0,"VENCIDO",IF(E4180&lt;=30,"VENCE EM &lt;= 30 DIAS",IF(E4180&lt;=60,"ATENCAO (31-60 DIAS)","OK"))))</f>
        <v/>
      </c>
      <c r="G4180" s="13">
        <f>SUMIFS(Movimentacoes!$G:$G,Movimentacoes!$C:$C,$A4180,Movimentacoes!$E:$E,$C4180,Movimentacoes!$B:$B,"ENTRADA")</f>
        <v/>
      </c>
      <c r="H4180" s="13">
        <f>SUMIFS(Movimentacoes!$G:$G,Movimentacoes!$C:$C,$A4180,Movimentacoes!$E:$E,$C4180,Movimentacoes!$B:$B,"SAIDA_USO")</f>
        <v/>
      </c>
      <c r="I4180" s="13">
        <f>SUMIFS(Movimentacoes!$G:$G,Movimentacoes!$C:$C,$A4180,Movimentacoes!$E:$E,$C4180,Movimentacoes!$B:$B,"SAIDA_DESCARTE")</f>
        <v/>
      </c>
      <c r="J4180" s="13">
        <f>G4180-H4180-I4180</f>
        <v/>
      </c>
      <c r="K4180">
        <f>IF(A4180="","",IF(J4180&lt;=IFERROR(VLOOKUP(A4180,Cadastro_Produtos!$A:$E,5,FALSE),0),"ABAIXO DO MINIMO","OK"))</f>
        <v/>
      </c>
    </row>
    <row r="4181">
      <c r="B4181">
        <f>IFERROR(VLOOKUP(A4181,Cadastro_Produtos!A:B,2,FALSE),"")</f>
        <v/>
      </c>
      <c r="D4181" s="12" t="n"/>
      <c r="E4181" s="13">
        <f>IF(D4181="","",D4181-TODAY())</f>
        <v/>
      </c>
      <c r="F4181">
        <f>IF(D4181="","",IF(E4181&lt;0,"VENCIDO",IF(E4181&lt;=30,"VENCE EM &lt;= 30 DIAS",IF(E4181&lt;=60,"ATENCAO (31-60 DIAS)","OK"))))</f>
        <v/>
      </c>
      <c r="G4181" s="13">
        <f>SUMIFS(Movimentacoes!$G:$G,Movimentacoes!$C:$C,$A4181,Movimentacoes!$E:$E,$C4181,Movimentacoes!$B:$B,"ENTRADA")</f>
        <v/>
      </c>
      <c r="H4181" s="13">
        <f>SUMIFS(Movimentacoes!$G:$G,Movimentacoes!$C:$C,$A4181,Movimentacoes!$E:$E,$C4181,Movimentacoes!$B:$B,"SAIDA_USO")</f>
        <v/>
      </c>
      <c r="I4181" s="13">
        <f>SUMIFS(Movimentacoes!$G:$G,Movimentacoes!$C:$C,$A4181,Movimentacoes!$E:$E,$C4181,Movimentacoes!$B:$B,"SAIDA_DESCARTE")</f>
        <v/>
      </c>
      <c r="J4181" s="13">
        <f>G4181-H4181-I4181</f>
        <v/>
      </c>
      <c r="K4181">
        <f>IF(A4181="","",IF(J4181&lt;=IFERROR(VLOOKUP(A4181,Cadastro_Produtos!$A:$E,5,FALSE),0),"ABAIXO DO MINIMO","OK"))</f>
        <v/>
      </c>
    </row>
    <row r="4182">
      <c r="B4182">
        <f>IFERROR(VLOOKUP(A4182,Cadastro_Produtos!A:B,2,FALSE),"")</f>
        <v/>
      </c>
      <c r="D4182" s="12" t="n"/>
      <c r="E4182" s="13">
        <f>IF(D4182="","",D4182-TODAY())</f>
        <v/>
      </c>
      <c r="F4182">
        <f>IF(D4182="","",IF(E4182&lt;0,"VENCIDO",IF(E4182&lt;=30,"VENCE EM &lt;= 30 DIAS",IF(E4182&lt;=60,"ATENCAO (31-60 DIAS)","OK"))))</f>
        <v/>
      </c>
      <c r="G4182" s="13">
        <f>SUMIFS(Movimentacoes!$G:$G,Movimentacoes!$C:$C,$A4182,Movimentacoes!$E:$E,$C4182,Movimentacoes!$B:$B,"ENTRADA")</f>
        <v/>
      </c>
      <c r="H4182" s="13">
        <f>SUMIFS(Movimentacoes!$G:$G,Movimentacoes!$C:$C,$A4182,Movimentacoes!$E:$E,$C4182,Movimentacoes!$B:$B,"SAIDA_USO")</f>
        <v/>
      </c>
      <c r="I4182" s="13">
        <f>SUMIFS(Movimentacoes!$G:$G,Movimentacoes!$C:$C,$A4182,Movimentacoes!$E:$E,$C4182,Movimentacoes!$B:$B,"SAIDA_DESCARTE")</f>
        <v/>
      </c>
      <c r="J4182" s="13">
        <f>G4182-H4182-I4182</f>
        <v/>
      </c>
      <c r="K4182">
        <f>IF(A4182="","",IF(J4182&lt;=IFERROR(VLOOKUP(A4182,Cadastro_Produtos!$A:$E,5,FALSE),0),"ABAIXO DO MINIMO","OK"))</f>
        <v/>
      </c>
    </row>
    <row r="4183">
      <c r="B4183">
        <f>IFERROR(VLOOKUP(A4183,Cadastro_Produtos!A:B,2,FALSE),"")</f>
        <v/>
      </c>
      <c r="D4183" s="12" t="n"/>
      <c r="E4183" s="13">
        <f>IF(D4183="","",D4183-TODAY())</f>
        <v/>
      </c>
      <c r="F4183">
        <f>IF(D4183="","",IF(E4183&lt;0,"VENCIDO",IF(E4183&lt;=30,"VENCE EM &lt;= 30 DIAS",IF(E4183&lt;=60,"ATENCAO (31-60 DIAS)","OK"))))</f>
        <v/>
      </c>
      <c r="G4183" s="13">
        <f>SUMIFS(Movimentacoes!$G:$G,Movimentacoes!$C:$C,$A4183,Movimentacoes!$E:$E,$C4183,Movimentacoes!$B:$B,"ENTRADA")</f>
        <v/>
      </c>
      <c r="H4183" s="13">
        <f>SUMIFS(Movimentacoes!$G:$G,Movimentacoes!$C:$C,$A4183,Movimentacoes!$E:$E,$C4183,Movimentacoes!$B:$B,"SAIDA_USO")</f>
        <v/>
      </c>
      <c r="I4183" s="13">
        <f>SUMIFS(Movimentacoes!$G:$G,Movimentacoes!$C:$C,$A4183,Movimentacoes!$E:$E,$C4183,Movimentacoes!$B:$B,"SAIDA_DESCARTE")</f>
        <v/>
      </c>
      <c r="J4183" s="13">
        <f>G4183-H4183-I4183</f>
        <v/>
      </c>
      <c r="K4183">
        <f>IF(A4183="","",IF(J4183&lt;=IFERROR(VLOOKUP(A4183,Cadastro_Produtos!$A:$E,5,FALSE),0),"ABAIXO DO MINIMO","OK"))</f>
        <v/>
      </c>
    </row>
    <row r="4184">
      <c r="B4184">
        <f>IFERROR(VLOOKUP(A4184,Cadastro_Produtos!A:B,2,FALSE),"")</f>
        <v/>
      </c>
      <c r="D4184" s="12" t="n"/>
      <c r="E4184" s="13">
        <f>IF(D4184="","",D4184-TODAY())</f>
        <v/>
      </c>
      <c r="F4184">
        <f>IF(D4184="","",IF(E4184&lt;0,"VENCIDO",IF(E4184&lt;=30,"VENCE EM &lt;= 30 DIAS",IF(E4184&lt;=60,"ATENCAO (31-60 DIAS)","OK"))))</f>
        <v/>
      </c>
      <c r="G4184" s="13">
        <f>SUMIFS(Movimentacoes!$G:$G,Movimentacoes!$C:$C,$A4184,Movimentacoes!$E:$E,$C4184,Movimentacoes!$B:$B,"ENTRADA")</f>
        <v/>
      </c>
      <c r="H4184" s="13">
        <f>SUMIFS(Movimentacoes!$G:$G,Movimentacoes!$C:$C,$A4184,Movimentacoes!$E:$E,$C4184,Movimentacoes!$B:$B,"SAIDA_USO")</f>
        <v/>
      </c>
      <c r="I4184" s="13">
        <f>SUMIFS(Movimentacoes!$G:$G,Movimentacoes!$C:$C,$A4184,Movimentacoes!$E:$E,$C4184,Movimentacoes!$B:$B,"SAIDA_DESCARTE")</f>
        <v/>
      </c>
      <c r="J4184" s="13">
        <f>G4184-H4184-I4184</f>
        <v/>
      </c>
      <c r="K4184">
        <f>IF(A4184="","",IF(J4184&lt;=IFERROR(VLOOKUP(A4184,Cadastro_Produtos!$A:$E,5,FALSE),0),"ABAIXO DO MINIMO","OK"))</f>
        <v/>
      </c>
    </row>
    <row r="4185">
      <c r="B4185">
        <f>IFERROR(VLOOKUP(A4185,Cadastro_Produtos!A:B,2,FALSE),"")</f>
        <v/>
      </c>
      <c r="D4185" s="12" t="n"/>
      <c r="E4185" s="13">
        <f>IF(D4185="","",D4185-TODAY())</f>
        <v/>
      </c>
      <c r="F4185">
        <f>IF(D4185="","",IF(E4185&lt;0,"VENCIDO",IF(E4185&lt;=30,"VENCE EM &lt;= 30 DIAS",IF(E4185&lt;=60,"ATENCAO (31-60 DIAS)","OK"))))</f>
        <v/>
      </c>
      <c r="G4185" s="13">
        <f>SUMIFS(Movimentacoes!$G:$G,Movimentacoes!$C:$C,$A4185,Movimentacoes!$E:$E,$C4185,Movimentacoes!$B:$B,"ENTRADA")</f>
        <v/>
      </c>
      <c r="H4185" s="13">
        <f>SUMIFS(Movimentacoes!$G:$G,Movimentacoes!$C:$C,$A4185,Movimentacoes!$E:$E,$C4185,Movimentacoes!$B:$B,"SAIDA_USO")</f>
        <v/>
      </c>
      <c r="I4185" s="13">
        <f>SUMIFS(Movimentacoes!$G:$G,Movimentacoes!$C:$C,$A4185,Movimentacoes!$E:$E,$C4185,Movimentacoes!$B:$B,"SAIDA_DESCARTE")</f>
        <v/>
      </c>
      <c r="J4185" s="13">
        <f>G4185-H4185-I4185</f>
        <v/>
      </c>
      <c r="K4185">
        <f>IF(A4185="","",IF(J4185&lt;=IFERROR(VLOOKUP(A4185,Cadastro_Produtos!$A:$E,5,FALSE),0),"ABAIXO DO MINIMO","OK"))</f>
        <v/>
      </c>
    </row>
    <row r="4186">
      <c r="B4186">
        <f>IFERROR(VLOOKUP(A4186,Cadastro_Produtos!A:B,2,FALSE),"")</f>
        <v/>
      </c>
      <c r="D4186" s="12" t="n"/>
      <c r="E4186" s="13">
        <f>IF(D4186="","",D4186-TODAY())</f>
        <v/>
      </c>
      <c r="F4186">
        <f>IF(D4186="","",IF(E4186&lt;0,"VENCIDO",IF(E4186&lt;=30,"VENCE EM &lt;= 30 DIAS",IF(E4186&lt;=60,"ATENCAO (31-60 DIAS)","OK"))))</f>
        <v/>
      </c>
      <c r="G4186" s="13">
        <f>SUMIFS(Movimentacoes!$G:$G,Movimentacoes!$C:$C,$A4186,Movimentacoes!$E:$E,$C4186,Movimentacoes!$B:$B,"ENTRADA")</f>
        <v/>
      </c>
      <c r="H4186" s="13">
        <f>SUMIFS(Movimentacoes!$G:$G,Movimentacoes!$C:$C,$A4186,Movimentacoes!$E:$E,$C4186,Movimentacoes!$B:$B,"SAIDA_USO")</f>
        <v/>
      </c>
      <c r="I4186" s="13">
        <f>SUMIFS(Movimentacoes!$G:$G,Movimentacoes!$C:$C,$A4186,Movimentacoes!$E:$E,$C4186,Movimentacoes!$B:$B,"SAIDA_DESCARTE")</f>
        <v/>
      </c>
      <c r="J4186" s="13">
        <f>G4186-H4186-I4186</f>
        <v/>
      </c>
      <c r="K4186">
        <f>IF(A4186="","",IF(J4186&lt;=IFERROR(VLOOKUP(A4186,Cadastro_Produtos!$A:$E,5,FALSE),0),"ABAIXO DO MINIMO","OK"))</f>
        <v/>
      </c>
    </row>
    <row r="4187">
      <c r="B4187">
        <f>IFERROR(VLOOKUP(A4187,Cadastro_Produtos!A:B,2,FALSE),"")</f>
        <v/>
      </c>
      <c r="D4187" s="12" t="n"/>
      <c r="E4187" s="13">
        <f>IF(D4187="","",D4187-TODAY())</f>
        <v/>
      </c>
      <c r="F4187">
        <f>IF(D4187="","",IF(E4187&lt;0,"VENCIDO",IF(E4187&lt;=30,"VENCE EM &lt;= 30 DIAS",IF(E4187&lt;=60,"ATENCAO (31-60 DIAS)","OK"))))</f>
        <v/>
      </c>
      <c r="G4187" s="13">
        <f>SUMIFS(Movimentacoes!$G:$G,Movimentacoes!$C:$C,$A4187,Movimentacoes!$E:$E,$C4187,Movimentacoes!$B:$B,"ENTRADA")</f>
        <v/>
      </c>
      <c r="H4187" s="13">
        <f>SUMIFS(Movimentacoes!$G:$G,Movimentacoes!$C:$C,$A4187,Movimentacoes!$E:$E,$C4187,Movimentacoes!$B:$B,"SAIDA_USO")</f>
        <v/>
      </c>
      <c r="I4187" s="13">
        <f>SUMIFS(Movimentacoes!$G:$G,Movimentacoes!$C:$C,$A4187,Movimentacoes!$E:$E,$C4187,Movimentacoes!$B:$B,"SAIDA_DESCARTE")</f>
        <v/>
      </c>
      <c r="J4187" s="13">
        <f>G4187-H4187-I4187</f>
        <v/>
      </c>
      <c r="K4187">
        <f>IF(A4187="","",IF(J4187&lt;=IFERROR(VLOOKUP(A4187,Cadastro_Produtos!$A:$E,5,FALSE),0),"ABAIXO DO MINIMO","OK"))</f>
        <v/>
      </c>
    </row>
    <row r="4188">
      <c r="B4188">
        <f>IFERROR(VLOOKUP(A4188,Cadastro_Produtos!A:B,2,FALSE),"")</f>
        <v/>
      </c>
      <c r="D4188" s="12" t="n"/>
      <c r="E4188" s="13">
        <f>IF(D4188="","",D4188-TODAY())</f>
        <v/>
      </c>
      <c r="F4188">
        <f>IF(D4188="","",IF(E4188&lt;0,"VENCIDO",IF(E4188&lt;=30,"VENCE EM &lt;= 30 DIAS",IF(E4188&lt;=60,"ATENCAO (31-60 DIAS)","OK"))))</f>
        <v/>
      </c>
      <c r="G4188" s="13">
        <f>SUMIFS(Movimentacoes!$G:$G,Movimentacoes!$C:$C,$A4188,Movimentacoes!$E:$E,$C4188,Movimentacoes!$B:$B,"ENTRADA")</f>
        <v/>
      </c>
      <c r="H4188" s="13">
        <f>SUMIFS(Movimentacoes!$G:$G,Movimentacoes!$C:$C,$A4188,Movimentacoes!$E:$E,$C4188,Movimentacoes!$B:$B,"SAIDA_USO")</f>
        <v/>
      </c>
      <c r="I4188" s="13">
        <f>SUMIFS(Movimentacoes!$G:$G,Movimentacoes!$C:$C,$A4188,Movimentacoes!$E:$E,$C4188,Movimentacoes!$B:$B,"SAIDA_DESCARTE")</f>
        <v/>
      </c>
      <c r="J4188" s="13">
        <f>G4188-H4188-I4188</f>
        <v/>
      </c>
      <c r="K4188">
        <f>IF(A4188="","",IF(J4188&lt;=IFERROR(VLOOKUP(A4188,Cadastro_Produtos!$A:$E,5,FALSE),0),"ABAIXO DO MINIMO","OK"))</f>
        <v/>
      </c>
    </row>
    <row r="4189">
      <c r="B4189">
        <f>IFERROR(VLOOKUP(A4189,Cadastro_Produtos!A:B,2,FALSE),"")</f>
        <v/>
      </c>
      <c r="D4189" s="12" t="n"/>
      <c r="E4189" s="13">
        <f>IF(D4189="","",D4189-TODAY())</f>
        <v/>
      </c>
      <c r="F4189">
        <f>IF(D4189="","",IF(E4189&lt;0,"VENCIDO",IF(E4189&lt;=30,"VENCE EM &lt;= 30 DIAS",IF(E4189&lt;=60,"ATENCAO (31-60 DIAS)","OK"))))</f>
        <v/>
      </c>
      <c r="G4189" s="13">
        <f>SUMIFS(Movimentacoes!$G:$G,Movimentacoes!$C:$C,$A4189,Movimentacoes!$E:$E,$C4189,Movimentacoes!$B:$B,"ENTRADA")</f>
        <v/>
      </c>
      <c r="H4189" s="13">
        <f>SUMIFS(Movimentacoes!$G:$G,Movimentacoes!$C:$C,$A4189,Movimentacoes!$E:$E,$C4189,Movimentacoes!$B:$B,"SAIDA_USO")</f>
        <v/>
      </c>
      <c r="I4189" s="13">
        <f>SUMIFS(Movimentacoes!$G:$G,Movimentacoes!$C:$C,$A4189,Movimentacoes!$E:$E,$C4189,Movimentacoes!$B:$B,"SAIDA_DESCARTE")</f>
        <v/>
      </c>
      <c r="J4189" s="13">
        <f>G4189-H4189-I4189</f>
        <v/>
      </c>
      <c r="K4189">
        <f>IF(A4189="","",IF(J4189&lt;=IFERROR(VLOOKUP(A4189,Cadastro_Produtos!$A:$E,5,FALSE),0),"ABAIXO DO MINIMO","OK"))</f>
        <v/>
      </c>
    </row>
    <row r="4190">
      <c r="B4190">
        <f>IFERROR(VLOOKUP(A4190,Cadastro_Produtos!A:B,2,FALSE),"")</f>
        <v/>
      </c>
      <c r="D4190" s="12" t="n"/>
      <c r="E4190" s="13">
        <f>IF(D4190="","",D4190-TODAY())</f>
        <v/>
      </c>
      <c r="F4190">
        <f>IF(D4190="","",IF(E4190&lt;0,"VENCIDO",IF(E4190&lt;=30,"VENCE EM &lt;= 30 DIAS",IF(E4190&lt;=60,"ATENCAO (31-60 DIAS)","OK"))))</f>
        <v/>
      </c>
      <c r="G4190" s="13">
        <f>SUMIFS(Movimentacoes!$G:$G,Movimentacoes!$C:$C,$A4190,Movimentacoes!$E:$E,$C4190,Movimentacoes!$B:$B,"ENTRADA")</f>
        <v/>
      </c>
      <c r="H4190" s="13">
        <f>SUMIFS(Movimentacoes!$G:$G,Movimentacoes!$C:$C,$A4190,Movimentacoes!$E:$E,$C4190,Movimentacoes!$B:$B,"SAIDA_USO")</f>
        <v/>
      </c>
      <c r="I4190" s="13">
        <f>SUMIFS(Movimentacoes!$G:$G,Movimentacoes!$C:$C,$A4190,Movimentacoes!$E:$E,$C4190,Movimentacoes!$B:$B,"SAIDA_DESCARTE")</f>
        <v/>
      </c>
      <c r="J4190" s="13">
        <f>G4190-H4190-I4190</f>
        <v/>
      </c>
      <c r="K4190">
        <f>IF(A4190="","",IF(J4190&lt;=IFERROR(VLOOKUP(A4190,Cadastro_Produtos!$A:$E,5,FALSE),0),"ABAIXO DO MINIMO","OK"))</f>
        <v/>
      </c>
    </row>
    <row r="4191">
      <c r="B4191">
        <f>IFERROR(VLOOKUP(A4191,Cadastro_Produtos!A:B,2,FALSE),"")</f>
        <v/>
      </c>
      <c r="D4191" s="12" t="n"/>
      <c r="E4191" s="13">
        <f>IF(D4191="","",D4191-TODAY())</f>
        <v/>
      </c>
      <c r="F4191">
        <f>IF(D4191="","",IF(E4191&lt;0,"VENCIDO",IF(E4191&lt;=30,"VENCE EM &lt;= 30 DIAS",IF(E4191&lt;=60,"ATENCAO (31-60 DIAS)","OK"))))</f>
        <v/>
      </c>
      <c r="G4191" s="13">
        <f>SUMIFS(Movimentacoes!$G:$G,Movimentacoes!$C:$C,$A4191,Movimentacoes!$E:$E,$C4191,Movimentacoes!$B:$B,"ENTRADA")</f>
        <v/>
      </c>
      <c r="H4191" s="13">
        <f>SUMIFS(Movimentacoes!$G:$G,Movimentacoes!$C:$C,$A4191,Movimentacoes!$E:$E,$C4191,Movimentacoes!$B:$B,"SAIDA_USO")</f>
        <v/>
      </c>
      <c r="I4191" s="13">
        <f>SUMIFS(Movimentacoes!$G:$G,Movimentacoes!$C:$C,$A4191,Movimentacoes!$E:$E,$C4191,Movimentacoes!$B:$B,"SAIDA_DESCARTE")</f>
        <v/>
      </c>
      <c r="J4191" s="13">
        <f>G4191-H4191-I4191</f>
        <v/>
      </c>
      <c r="K4191">
        <f>IF(A4191="","",IF(J4191&lt;=IFERROR(VLOOKUP(A4191,Cadastro_Produtos!$A:$E,5,FALSE),0),"ABAIXO DO MINIMO","OK"))</f>
        <v/>
      </c>
    </row>
    <row r="4192">
      <c r="B4192">
        <f>IFERROR(VLOOKUP(A4192,Cadastro_Produtos!A:B,2,FALSE),"")</f>
        <v/>
      </c>
      <c r="D4192" s="12" t="n"/>
      <c r="E4192" s="13">
        <f>IF(D4192="","",D4192-TODAY())</f>
        <v/>
      </c>
      <c r="F4192">
        <f>IF(D4192="","",IF(E4192&lt;0,"VENCIDO",IF(E4192&lt;=30,"VENCE EM &lt;= 30 DIAS",IF(E4192&lt;=60,"ATENCAO (31-60 DIAS)","OK"))))</f>
        <v/>
      </c>
      <c r="G4192" s="13">
        <f>SUMIFS(Movimentacoes!$G:$G,Movimentacoes!$C:$C,$A4192,Movimentacoes!$E:$E,$C4192,Movimentacoes!$B:$B,"ENTRADA")</f>
        <v/>
      </c>
      <c r="H4192" s="13">
        <f>SUMIFS(Movimentacoes!$G:$G,Movimentacoes!$C:$C,$A4192,Movimentacoes!$E:$E,$C4192,Movimentacoes!$B:$B,"SAIDA_USO")</f>
        <v/>
      </c>
      <c r="I4192" s="13">
        <f>SUMIFS(Movimentacoes!$G:$G,Movimentacoes!$C:$C,$A4192,Movimentacoes!$E:$E,$C4192,Movimentacoes!$B:$B,"SAIDA_DESCARTE")</f>
        <v/>
      </c>
      <c r="J4192" s="13">
        <f>G4192-H4192-I4192</f>
        <v/>
      </c>
      <c r="K4192">
        <f>IF(A4192="","",IF(J4192&lt;=IFERROR(VLOOKUP(A4192,Cadastro_Produtos!$A:$E,5,FALSE),0),"ABAIXO DO MINIMO","OK"))</f>
        <v/>
      </c>
    </row>
    <row r="4193">
      <c r="B4193">
        <f>IFERROR(VLOOKUP(A4193,Cadastro_Produtos!A:B,2,FALSE),"")</f>
        <v/>
      </c>
      <c r="D4193" s="12" t="n"/>
      <c r="E4193" s="13">
        <f>IF(D4193="","",D4193-TODAY())</f>
        <v/>
      </c>
      <c r="F4193">
        <f>IF(D4193="","",IF(E4193&lt;0,"VENCIDO",IF(E4193&lt;=30,"VENCE EM &lt;= 30 DIAS",IF(E4193&lt;=60,"ATENCAO (31-60 DIAS)","OK"))))</f>
        <v/>
      </c>
      <c r="G4193" s="13">
        <f>SUMIFS(Movimentacoes!$G:$G,Movimentacoes!$C:$C,$A4193,Movimentacoes!$E:$E,$C4193,Movimentacoes!$B:$B,"ENTRADA")</f>
        <v/>
      </c>
      <c r="H4193" s="13">
        <f>SUMIFS(Movimentacoes!$G:$G,Movimentacoes!$C:$C,$A4193,Movimentacoes!$E:$E,$C4193,Movimentacoes!$B:$B,"SAIDA_USO")</f>
        <v/>
      </c>
      <c r="I4193" s="13">
        <f>SUMIFS(Movimentacoes!$G:$G,Movimentacoes!$C:$C,$A4193,Movimentacoes!$E:$E,$C4193,Movimentacoes!$B:$B,"SAIDA_DESCARTE")</f>
        <v/>
      </c>
      <c r="J4193" s="13">
        <f>G4193-H4193-I4193</f>
        <v/>
      </c>
      <c r="K4193">
        <f>IF(A4193="","",IF(J4193&lt;=IFERROR(VLOOKUP(A4193,Cadastro_Produtos!$A:$E,5,FALSE),0),"ABAIXO DO MINIMO","OK"))</f>
        <v/>
      </c>
    </row>
    <row r="4194">
      <c r="B4194">
        <f>IFERROR(VLOOKUP(A4194,Cadastro_Produtos!A:B,2,FALSE),"")</f>
        <v/>
      </c>
      <c r="D4194" s="12" t="n"/>
      <c r="E4194" s="13">
        <f>IF(D4194="","",D4194-TODAY())</f>
        <v/>
      </c>
      <c r="F4194">
        <f>IF(D4194="","",IF(E4194&lt;0,"VENCIDO",IF(E4194&lt;=30,"VENCE EM &lt;= 30 DIAS",IF(E4194&lt;=60,"ATENCAO (31-60 DIAS)","OK"))))</f>
        <v/>
      </c>
      <c r="G4194" s="13">
        <f>SUMIFS(Movimentacoes!$G:$G,Movimentacoes!$C:$C,$A4194,Movimentacoes!$E:$E,$C4194,Movimentacoes!$B:$B,"ENTRADA")</f>
        <v/>
      </c>
      <c r="H4194" s="13">
        <f>SUMIFS(Movimentacoes!$G:$G,Movimentacoes!$C:$C,$A4194,Movimentacoes!$E:$E,$C4194,Movimentacoes!$B:$B,"SAIDA_USO")</f>
        <v/>
      </c>
      <c r="I4194" s="13">
        <f>SUMIFS(Movimentacoes!$G:$G,Movimentacoes!$C:$C,$A4194,Movimentacoes!$E:$E,$C4194,Movimentacoes!$B:$B,"SAIDA_DESCARTE")</f>
        <v/>
      </c>
      <c r="J4194" s="13">
        <f>G4194-H4194-I4194</f>
        <v/>
      </c>
      <c r="K4194">
        <f>IF(A4194="","",IF(J4194&lt;=IFERROR(VLOOKUP(A4194,Cadastro_Produtos!$A:$E,5,FALSE),0),"ABAIXO DO MINIMO","OK"))</f>
        <v/>
      </c>
    </row>
    <row r="4195">
      <c r="B4195">
        <f>IFERROR(VLOOKUP(A4195,Cadastro_Produtos!A:B,2,FALSE),"")</f>
        <v/>
      </c>
      <c r="D4195" s="12" t="n"/>
      <c r="E4195" s="13">
        <f>IF(D4195="","",D4195-TODAY())</f>
        <v/>
      </c>
      <c r="F4195">
        <f>IF(D4195="","",IF(E4195&lt;0,"VENCIDO",IF(E4195&lt;=30,"VENCE EM &lt;= 30 DIAS",IF(E4195&lt;=60,"ATENCAO (31-60 DIAS)","OK"))))</f>
        <v/>
      </c>
      <c r="G4195" s="13">
        <f>SUMIFS(Movimentacoes!$G:$G,Movimentacoes!$C:$C,$A4195,Movimentacoes!$E:$E,$C4195,Movimentacoes!$B:$B,"ENTRADA")</f>
        <v/>
      </c>
      <c r="H4195" s="13">
        <f>SUMIFS(Movimentacoes!$G:$G,Movimentacoes!$C:$C,$A4195,Movimentacoes!$E:$E,$C4195,Movimentacoes!$B:$B,"SAIDA_USO")</f>
        <v/>
      </c>
      <c r="I4195" s="13">
        <f>SUMIFS(Movimentacoes!$G:$G,Movimentacoes!$C:$C,$A4195,Movimentacoes!$E:$E,$C4195,Movimentacoes!$B:$B,"SAIDA_DESCARTE")</f>
        <v/>
      </c>
      <c r="J4195" s="13">
        <f>G4195-H4195-I4195</f>
        <v/>
      </c>
      <c r="K4195">
        <f>IF(A4195="","",IF(J4195&lt;=IFERROR(VLOOKUP(A4195,Cadastro_Produtos!$A:$E,5,FALSE),0),"ABAIXO DO MINIMO","OK"))</f>
        <v/>
      </c>
    </row>
    <row r="4196">
      <c r="B4196">
        <f>IFERROR(VLOOKUP(A4196,Cadastro_Produtos!A:B,2,FALSE),"")</f>
        <v/>
      </c>
      <c r="D4196" s="12" t="n"/>
      <c r="E4196" s="13">
        <f>IF(D4196="","",D4196-TODAY())</f>
        <v/>
      </c>
      <c r="F4196">
        <f>IF(D4196="","",IF(E4196&lt;0,"VENCIDO",IF(E4196&lt;=30,"VENCE EM &lt;= 30 DIAS",IF(E4196&lt;=60,"ATENCAO (31-60 DIAS)","OK"))))</f>
        <v/>
      </c>
      <c r="G4196" s="13">
        <f>SUMIFS(Movimentacoes!$G:$G,Movimentacoes!$C:$C,$A4196,Movimentacoes!$E:$E,$C4196,Movimentacoes!$B:$B,"ENTRADA")</f>
        <v/>
      </c>
      <c r="H4196" s="13">
        <f>SUMIFS(Movimentacoes!$G:$G,Movimentacoes!$C:$C,$A4196,Movimentacoes!$E:$E,$C4196,Movimentacoes!$B:$B,"SAIDA_USO")</f>
        <v/>
      </c>
      <c r="I4196" s="13">
        <f>SUMIFS(Movimentacoes!$G:$G,Movimentacoes!$C:$C,$A4196,Movimentacoes!$E:$E,$C4196,Movimentacoes!$B:$B,"SAIDA_DESCARTE")</f>
        <v/>
      </c>
      <c r="J4196" s="13">
        <f>G4196-H4196-I4196</f>
        <v/>
      </c>
      <c r="K4196">
        <f>IF(A4196="","",IF(J4196&lt;=IFERROR(VLOOKUP(A4196,Cadastro_Produtos!$A:$E,5,FALSE),0),"ABAIXO DO MINIMO","OK"))</f>
        <v/>
      </c>
    </row>
    <row r="4197">
      <c r="B4197">
        <f>IFERROR(VLOOKUP(A4197,Cadastro_Produtos!A:B,2,FALSE),"")</f>
        <v/>
      </c>
      <c r="D4197" s="12" t="n"/>
      <c r="E4197" s="13">
        <f>IF(D4197="","",D4197-TODAY())</f>
        <v/>
      </c>
      <c r="F4197">
        <f>IF(D4197="","",IF(E4197&lt;0,"VENCIDO",IF(E4197&lt;=30,"VENCE EM &lt;= 30 DIAS",IF(E4197&lt;=60,"ATENCAO (31-60 DIAS)","OK"))))</f>
        <v/>
      </c>
      <c r="G4197" s="13">
        <f>SUMIFS(Movimentacoes!$G:$G,Movimentacoes!$C:$C,$A4197,Movimentacoes!$E:$E,$C4197,Movimentacoes!$B:$B,"ENTRADA")</f>
        <v/>
      </c>
      <c r="H4197" s="13">
        <f>SUMIFS(Movimentacoes!$G:$G,Movimentacoes!$C:$C,$A4197,Movimentacoes!$E:$E,$C4197,Movimentacoes!$B:$B,"SAIDA_USO")</f>
        <v/>
      </c>
      <c r="I4197" s="13">
        <f>SUMIFS(Movimentacoes!$G:$G,Movimentacoes!$C:$C,$A4197,Movimentacoes!$E:$E,$C4197,Movimentacoes!$B:$B,"SAIDA_DESCARTE")</f>
        <v/>
      </c>
      <c r="J4197" s="13">
        <f>G4197-H4197-I4197</f>
        <v/>
      </c>
      <c r="K4197">
        <f>IF(A4197="","",IF(J4197&lt;=IFERROR(VLOOKUP(A4197,Cadastro_Produtos!$A:$E,5,FALSE),0),"ABAIXO DO MINIMO","OK"))</f>
        <v/>
      </c>
    </row>
    <row r="4198">
      <c r="B4198">
        <f>IFERROR(VLOOKUP(A4198,Cadastro_Produtos!A:B,2,FALSE),"")</f>
        <v/>
      </c>
      <c r="D4198" s="12" t="n"/>
      <c r="E4198" s="13">
        <f>IF(D4198="","",D4198-TODAY())</f>
        <v/>
      </c>
      <c r="F4198">
        <f>IF(D4198="","",IF(E4198&lt;0,"VENCIDO",IF(E4198&lt;=30,"VENCE EM &lt;= 30 DIAS",IF(E4198&lt;=60,"ATENCAO (31-60 DIAS)","OK"))))</f>
        <v/>
      </c>
      <c r="G4198" s="13">
        <f>SUMIFS(Movimentacoes!$G:$G,Movimentacoes!$C:$C,$A4198,Movimentacoes!$E:$E,$C4198,Movimentacoes!$B:$B,"ENTRADA")</f>
        <v/>
      </c>
      <c r="H4198" s="13">
        <f>SUMIFS(Movimentacoes!$G:$G,Movimentacoes!$C:$C,$A4198,Movimentacoes!$E:$E,$C4198,Movimentacoes!$B:$B,"SAIDA_USO")</f>
        <v/>
      </c>
      <c r="I4198" s="13">
        <f>SUMIFS(Movimentacoes!$G:$G,Movimentacoes!$C:$C,$A4198,Movimentacoes!$E:$E,$C4198,Movimentacoes!$B:$B,"SAIDA_DESCARTE")</f>
        <v/>
      </c>
      <c r="J4198" s="13">
        <f>G4198-H4198-I4198</f>
        <v/>
      </c>
      <c r="K4198">
        <f>IF(A4198="","",IF(J4198&lt;=IFERROR(VLOOKUP(A4198,Cadastro_Produtos!$A:$E,5,FALSE),0),"ABAIXO DO MINIMO","OK"))</f>
        <v/>
      </c>
    </row>
    <row r="4199">
      <c r="B4199">
        <f>IFERROR(VLOOKUP(A4199,Cadastro_Produtos!A:B,2,FALSE),"")</f>
        <v/>
      </c>
      <c r="D4199" s="12" t="n"/>
      <c r="E4199" s="13">
        <f>IF(D4199="","",D4199-TODAY())</f>
        <v/>
      </c>
      <c r="F4199">
        <f>IF(D4199="","",IF(E4199&lt;0,"VENCIDO",IF(E4199&lt;=30,"VENCE EM &lt;= 30 DIAS",IF(E4199&lt;=60,"ATENCAO (31-60 DIAS)","OK"))))</f>
        <v/>
      </c>
      <c r="G4199" s="13">
        <f>SUMIFS(Movimentacoes!$G:$G,Movimentacoes!$C:$C,$A4199,Movimentacoes!$E:$E,$C4199,Movimentacoes!$B:$B,"ENTRADA")</f>
        <v/>
      </c>
      <c r="H4199" s="13">
        <f>SUMIFS(Movimentacoes!$G:$G,Movimentacoes!$C:$C,$A4199,Movimentacoes!$E:$E,$C4199,Movimentacoes!$B:$B,"SAIDA_USO")</f>
        <v/>
      </c>
      <c r="I4199" s="13">
        <f>SUMIFS(Movimentacoes!$G:$G,Movimentacoes!$C:$C,$A4199,Movimentacoes!$E:$E,$C4199,Movimentacoes!$B:$B,"SAIDA_DESCARTE")</f>
        <v/>
      </c>
      <c r="J4199" s="13">
        <f>G4199-H4199-I4199</f>
        <v/>
      </c>
      <c r="K4199">
        <f>IF(A4199="","",IF(J4199&lt;=IFERROR(VLOOKUP(A4199,Cadastro_Produtos!$A:$E,5,FALSE),0),"ABAIXO DO MINIMO","OK"))</f>
        <v/>
      </c>
    </row>
    <row r="4200">
      <c r="B4200">
        <f>IFERROR(VLOOKUP(A4200,Cadastro_Produtos!A:B,2,FALSE),"")</f>
        <v/>
      </c>
      <c r="D4200" s="12" t="n"/>
      <c r="E4200" s="13">
        <f>IF(D4200="","",D4200-TODAY())</f>
        <v/>
      </c>
      <c r="F4200">
        <f>IF(D4200="","",IF(E4200&lt;0,"VENCIDO",IF(E4200&lt;=30,"VENCE EM &lt;= 30 DIAS",IF(E4200&lt;=60,"ATENCAO (31-60 DIAS)","OK"))))</f>
        <v/>
      </c>
      <c r="G4200" s="13">
        <f>SUMIFS(Movimentacoes!$G:$G,Movimentacoes!$C:$C,$A4200,Movimentacoes!$E:$E,$C4200,Movimentacoes!$B:$B,"ENTRADA")</f>
        <v/>
      </c>
      <c r="H4200" s="13">
        <f>SUMIFS(Movimentacoes!$G:$G,Movimentacoes!$C:$C,$A4200,Movimentacoes!$E:$E,$C4200,Movimentacoes!$B:$B,"SAIDA_USO")</f>
        <v/>
      </c>
      <c r="I4200" s="13">
        <f>SUMIFS(Movimentacoes!$G:$G,Movimentacoes!$C:$C,$A4200,Movimentacoes!$E:$E,$C4200,Movimentacoes!$B:$B,"SAIDA_DESCARTE")</f>
        <v/>
      </c>
      <c r="J4200" s="13">
        <f>G4200-H4200-I4200</f>
        <v/>
      </c>
      <c r="K4200">
        <f>IF(A4200="","",IF(J4200&lt;=IFERROR(VLOOKUP(A4200,Cadastro_Produtos!$A:$E,5,FALSE),0),"ABAIXO DO MINIMO","OK"))</f>
        <v/>
      </c>
    </row>
    <row r="4201">
      <c r="B4201">
        <f>IFERROR(VLOOKUP(A4201,Cadastro_Produtos!A:B,2,FALSE),"")</f>
        <v/>
      </c>
      <c r="D4201" s="12" t="n"/>
      <c r="E4201" s="13">
        <f>IF(D4201="","",D4201-TODAY())</f>
        <v/>
      </c>
      <c r="F4201">
        <f>IF(D4201="","",IF(E4201&lt;0,"VENCIDO",IF(E4201&lt;=30,"VENCE EM &lt;= 30 DIAS",IF(E4201&lt;=60,"ATENCAO (31-60 DIAS)","OK"))))</f>
        <v/>
      </c>
      <c r="G4201" s="13">
        <f>SUMIFS(Movimentacoes!$G:$G,Movimentacoes!$C:$C,$A4201,Movimentacoes!$E:$E,$C4201,Movimentacoes!$B:$B,"ENTRADA")</f>
        <v/>
      </c>
      <c r="H4201" s="13">
        <f>SUMIFS(Movimentacoes!$G:$G,Movimentacoes!$C:$C,$A4201,Movimentacoes!$E:$E,$C4201,Movimentacoes!$B:$B,"SAIDA_USO")</f>
        <v/>
      </c>
      <c r="I4201" s="13">
        <f>SUMIFS(Movimentacoes!$G:$G,Movimentacoes!$C:$C,$A4201,Movimentacoes!$E:$E,$C4201,Movimentacoes!$B:$B,"SAIDA_DESCARTE")</f>
        <v/>
      </c>
      <c r="J4201" s="13">
        <f>G4201-H4201-I4201</f>
        <v/>
      </c>
      <c r="K4201">
        <f>IF(A4201="","",IF(J4201&lt;=IFERROR(VLOOKUP(A4201,Cadastro_Produtos!$A:$E,5,FALSE),0),"ABAIXO DO MINIMO","OK"))</f>
        <v/>
      </c>
    </row>
    <row r="4202">
      <c r="B4202">
        <f>IFERROR(VLOOKUP(A4202,Cadastro_Produtos!A:B,2,FALSE),"")</f>
        <v/>
      </c>
      <c r="D4202" s="12" t="n"/>
      <c r="E4202" s="13">
        <f>IF(D4202="","",D4202-TODAY())</f>
        <v/>
      </c>
      <c r="F4202">
        <f>IF(D4202="","",IF(E4202&lt;0,"VENCIDO",IF(E4202&lt;=30,"VENCE EM &lt;= 30 DIAS",IF(E4202&lt;=60,"ATENCAO (31-60 DIAS)","OK"))))</f>
        <v/>
      </c>
      <c r="G4202" s="13">
        <f>SUMIFS(Movimentacoes!$G:$G,Movimentacoes!$C:$C,$A4202,Movimentacoes!$E:$E,$C4202,Movimentacoes!$B:$B,"ENTRADA")</f>
        <v/>
      </c>
      <c r="H4202" s="13">
        <f>SUMIFS(Movimentacoes!$G:$G,Movimentacoes!$C:$C,$A4202,Movimentacoes!$E:$E,$C4202,Movimentacoes!$B:$B,"SAIDA_USO")</f>
        <v/>
      </c>
      <c r="I4202" s="13">
        <f>SUMIFS(Movimentacoes!$G:$G,Movimentacoes!$C:$C,$A4202,Movimentacoes!$E:$E,$C4202,Movimentacoes!$B:$B,"SAIDA_DESCARTE")</f>
        <v/>
      </c>
      <c r="J4202" s="13">
        <f>G4202-H4202-I4202</f>
        <v/>
      </c>
      <c r="K4202">
        <f>IF(A4202="","",IF(J4202&lt;=IFERROR(VLOOKUP(A4202,Cadastro_Produtos!$A:$E,5,FALSE),0),"ABAIXO DO MINIMO","OK"))</f>
        <v/>
      </c>
    </row>
    <row r="4203">
      <c r="B4203">
        <f>IFERROR(VLOOKUP(A4203,Cadastro_Produtos!A:B,2,FALSE),"")</f>
        <v/>
      </c>
      <c r="D4203" s="12" t="n"/>
      <c r="E4203" s="13">
        <f>IF(D4203="","",D4203-TODAY())</f>
        <v/>
      </c>
      <c r="F4203">
        <f>IF(D4203="","",IF(E4203&lt;0,"VENCIDO",IF(E4203&lt;=30,"VENCE EM &lt;= 30 DIAS",IF(E4203&lt;=60,"ATENCAO (31-60 DIAS)","OK"))))</f>
        <v/>
      </c>
      <c r="G4203" s="13">
        <f>SUMIFS(Movimentacoes!$G:$G,Movimentacoes!$C:$C,$A4203,Movimentacoes!$E:$E,$C4203,Movimentacoes!$B:$B,"ENTRADA")</f>
        <v/>
      </c>
      <c r="H4203" s="13">
        <f>SUMIFS(Movimentacoes!$G:$G,Movimentacoes!$C:$C,$A4203,Movimentacoes!$E:$E,$C4203,Movimentacoes!$B:$B,"SAIDA_USO")</f>
        <v/>
      </c>
      <c r="I4203" s="13">
        <f>SUMIFS(Movimentacoes!$G:$G,Movimentacoes!$C:$C,$A4203,Movimentacoes!$E:$E,$C4203,Movimentacoes!$B:$B,"SAIDA_DESCARTE")</f>
        <v/>
      </c>
      <c r="J4203" s="13">
        <f>G4203-H4203-I4203</f>
        <v/>
      </c>
      <c r="K4203">
        <f>IF(A4203="","",IF(J4203&lt;=IFERROR(VLOOKUP(A4203,Cadastro_Produtos!$A:$E,5,FALSE),0),"ABAIXO DO MINIMO","OK"))</f>
        <v/>
      </c>
    </row>
    <row r="4204">
      <c r="B4204">
        <f>IFERROR(VLOOKUP(A4204,Cadastro_Produtos!A:B,2,FALSE),"")</f>
        <v/>
      </c>
      <c r="D4204" s="12" t="n"/>
      <c r="E4204" s="13">
        <f>IF(D4204="","",D4204-TODAY())</f>
        <v/>
      </c>
      <c r="F4204">
        <f>IF(D4204="","",IF(E4204&lt;0,"VENCIDO",IF(E4204&lt;=30,"VENCE EM &lt;= 30 DIAS",IF(E4204&lt;=60,"ATENCAO (31-60 DIAS)","OK"))))</f>
        <v/>
      </c>
      <c r="G4204" s="13">
        <f>SUMIFS(Movimentacoes!$G:$G,Movimentacoes!$C:$C,$A4204,Movimentacoes!$E:$E,$C4204,Movimentacoes!$B:$B,"ENTRADA")</f>
        <v/>
      </c>
      <c r="H4204" s="13">
        <f>SUMIFS(Movimentacoes!$G:$G,Movimentacoes!$C:$C,$A4204,Movimentacoes!$E:$E,$C4204,Movimentacoes!$B:$B,"SAIDA_USO")</f>
        <v/>
      </c>
      <c r="I4204" s="13">
        <f>SUMIFS(Movimentacoes!$G:$G,Movimentacoes!$C:$C,$A4204,Movimentacoes!$E:$E,$C4204,Movimentacoes!$B:$B,"SAIDA_DESCARTE")</f>
        <v/>
      </c>
      <c r="J4204" s="13">
        <f>G4204-H4204-I4204</f>
        <v/>
      </c>
      <c r="K4204">
        <f>IF(A4204="","",IF(J4204&lt;=IFERROR(VLOOKUP(A4204,Cadastro_Produtos!$A:$E,5,FALSE),0),"ABAIXO DO MINIMO","OK"))</f>
        <v/>
      </c>
    </row>
    <row r="4205">
      <c r="B4205">
        <f>IFERROR(VLOOKUP(A4205,Cadastro_Produtos!A:B,2,FALSE),"")</f>
        <v/>
      </c>
      <c r="D4205" s="12" t="n"/>
      <c r="E4205" s="13">
        <f>IF(D4205="","",D4205-TODAY())</f>
        <v/>
      </c>
      <c r="F4205">
        <f>IF(D4205="","",IF(E4205&lt;0,"VENCIDO",IF(E4205&lt;=30,"VENCE EM &lt;= 30 DIAS",IF(E4205&lt;=60,"ATENCAO (31-60 DIAS)","OK"))))</f>
        <v/>
      </c>
      <c r="G4205" s="13">
        <f>SUMIFS(Movimentacoes!$G:$G,Movimentacoes!$C:$C,$A4205,Movimentacoes!$E:$E,$C4205,Movimentacoes!$B:$B,"ENTRADA")</f>
        <v/>
      </c>
      <c r="H4205" s="13">
        <f>SUMIFS(Movimentacoes!$G:$G,Movimentacoes!$C:$C,$A4205,Movimentacoes!$E:$E,$C4205,Movimentacoes!$B:$B,"SAIDA_USO")</f>
        <v/>
      </c>
      <c r="I4205" s="13">
        <f>SUMIFS(Movimentacoes!$G:$G,Movimentacoes!$C:$C,$A4205,Movimentacoes!$E:$E,$C4205,Movimentacoes!$B:$B,"SAIDA_DESCARTE")</f>
        <v/>
      </c>
      <c r="J4205" s="13">
        <f>G4205-H4205-I4205</f>
        <v/>
      </c>
      <c r="K4205">
        <f>IF(A4205="","",IF(J4205&lt;=IFERROR(VLOOKUP(A4205,Cadastro_Produtos!$A:$E,5,FALSE),0),"ABAIXO DO MINIMO","OK"))</f>
        <v/>
      </c>
    </row>
    <row r="4206">
      <c r="B4206">
        <f>IFERROR(VLOOKUP(A4206,Cadastro_Produtos!A:B,2,FALSE),"")</f>
        <v/>
      </c>
      <c r="D4206" s="12" t="n"/>
      <c r="E4206" s="13">
        <f>IF(D4206="","",D4206-TODAY())</f>
        <v/>
      </c>
      <c r="F4206">
        <f>IF(D4206="","",IF(E4206&lt;0,"VENCIDO",IF(E4206&lt;=30,"VENCE EM &lt;= 30 DIAS",IF(E4206&lt;=60,"ATENCAO (31-60 DIAS)","OK"))))</f>
        <v/>
      </c>
      <c r="G4206" s="13">
        <f>SUMIFS(Movimentacoes!$G:$G,Movimentacoes!$C:$C,$A4206,Movimentacoes!$E:$E,$C4206,Movimentacoes!$B:$B,"ENTRADA")</f>
        <v/>
      </c>
      <c r="H4206" s="13">
        <f>SUMIFS(Movimentacoes!$G:$G,Movimentacoes!$C:$C,$A4206,Movimentacoes!$E:$E,$C4206,Movimentacoes!$B:$B,"SAIDA_USO")</f>
        <v/>
      </c>
      <c r="I4206" s="13">
        <f>SUMIFS(Movimentacoes!$G:$G,Movimentacoes!$C:$C,$A4206,Movimentacoes!$E:$E,$C4206,Movimentacoes!$B:$B,"SAIDA_DESCARTE")</f>
        <v/>
      </c>
      <c r="J4206" s="13">
        <f>G4206-H4206-I4206</f>
        <v/>
      </c>
      <c r="K4206">
        <f>IF(A4206="","",IF(J4206&lt;=IFERROR(VLOOKUP(A4206,Cadastro_Produtos!$A:$E,5,FALSE),0),"ABAIXO DO MINIMO","OK"))</f>
        <v/>
      </c>
    </row>
    <row r="4207">
      <c r="B4207">
        <f>IFERROR(VLOOKUP(A4207,Cadastro_Produtos!A:B,2,FALSE),"")</f>
        <v/>
      </c>
      <c r="D4207" s="12" t="n"/>
      <c r="E4207" s="13">
        <f>IF(D4207="","",D4207-TODAY())</f>
        <v/>
      </c>
      <c r="F4207">
        <f>IF(D4207="","",IF(E4207&lt;0,"VENCIDO",IF(E4207&lt;=30,"VENCE EM &lt;= 30 DIAS",IF(E4207&lt;=60,"ATENCAO (31-60 DIAS)","OK"))))</f>
        <v/>
      </c>
      <c r="G4207" s="13">
        <f>SUMIFS(Movimentacoes!$G:$G,Movimentacoes!$C:$C,$A4207,Movimentacoes!$E:$E,$C4207,Movimentacoes!$B:$B,"ENTRADA")</f>
        <v/>
      </c>
      <c r="H4207" s="13">
        <f>SUMIFS(Movimentacoes!$G:$G,Movimentacoes!$C:$C,$A4207,Movimentacoes!$E:$E,$C4207,Movimentacoes!$B:$B,"SAIDA_USO")</f>
        <v/>
      </c>
      <c r="I4207" s="13">
        <f>SUMIFS(Movimentacoes!$G:$G,Movimentacoes!$C:$C,$A4207,Movimentacoes!$E:$E,$C4207,Movimentacoes!$B:$B,"SAIDA_DESCARTE")</f>
        <v/>
      </c>
      <c r="J4207" s="13">
        <f>G4207-H4207-I4207</f>
        <v/>
      </c>
      <c r="K4207">
        <f>IF(A4207="","",IF(J4207&lt;=IFERROR(VLOOKUP(A4207,Cadastro_Produtos!$A:$E,5,FALSE),0),"ABAIXO DO MINIMO","OK"))</f>
        <v/>
      </c>
    </row>
    <row r="4208">
      <c r="B4208">
        <f>IFERROR(VLOOKUP(A4208,Cadastro_Produtos!A:B,2,FALSE),"")</f>
        <v/>
      </c>
      <c r="D4208" s="12" t="n"/>
      <c r="E4208" s="13">
        <f>IF(D4208="","",D4208-TODAY())</f>
        <v/>
      </c>
      <c r="F4208">
        <f>IF(D4208="","",IF(E4208&lt;0,"VENCIDO",IF(E4208&lt;=30,"VENCE EM &lt;= 30 DIAS",IF(E4208&lt;=60,"ATENCAO (31-60 DIAS)","OK"))))</f>
        <v/>
      </c>
      <c r="G4208" s="13">
        <f>SUMIFS(Movimentacoes!$G:$G,Movimentacoes!$C:$C,$A4208,Movimentacoes!$E:$E,$C4208,Movimentacoes!$B:$B,"ENTRADA")</f>
        <v/>
      </c>
      <c r="H4208" s="13">
        <f>SUMIFS(Movimentacoes!$G:$G,Movimentacoes!$C:$C,$A4208,Movimentacoes!$E:$E,$C4208,Movimentacoes!$B:$B,"SAIDA_USO")</f>
        <v/>
      </c>
      <c r="I4208" s="13">
        <f>SUMIFS(Movimentacoes!$G:$G,Movimentacoes!$C:$C,$A4208,Movimentacoes!$E:$E,$C4208,Movimentacoes!$B:$B,"SAIDA_DESCARTE")</f>
        <v/>
      </c>
      <c r="J4208" s="13">
        <f>G4208-H4208-I4208</f>
        <v/>
      </c>
      <c r="K4208">
        <f>IF(A4208="","",IF(J4208&lt;=IFERROR(VLOOKUP(A4208,Cadastro_Produtos!$A:$E,5,FALSE),0),"ABAIXO DO MINIMO","OK"))</f>
        <v/>
      </c>
    </row>
    <row r="4209">
      <c r="B4209">
        <f>IFERROR(VLOOKUP(A4209,Cadastro_Produtos!A:B,2,FALSE),"")</f>
        <v/>
      </c>
      <c r="D4209" s="12" t="n"/>
      <c r="E4209" s="13">
        <f>IF(D4209="","",D4209-TODAY())</f>
        <v/>
      </c>
      <c r="F4209">
        <f>IF(D4209="","",IF(E4209&lt;0,"VENCIDO",IF(E4209&lt;=30,"VENCE EM &lt;= 30 DIAS",IF(E4209&lt;=60,"ATENCAO (31-60 DIAS)","OK"))))</f>
        <v/>
      </c>
      <c r="G4209" s="13">
        <f>SUMIFS(Movimentacoes!$G:$G,Movimentacoes!$C:$C,$A4209,Movimentacoes!$E:$E,$C4209,Movimentacoes!$B:$B,"ENTRADA")</f>
        <v/>
      </c>
      <c r="H4209" s="13">
        <f>SUMIFS(Movimentacoes!$G:$G,Movimentacoes!$C:$C,$A4209,Movimentacoes!$E:$E,$C4209,Movimentacoes!$B:$B,"SAIDA_USO")</f>
        <v/>
      </c>
      <c r="I4209" s="13">
        <f>SUMIFS(Movimentacoes!$G:$G,Movimentacoes!$C:$C,$A4209,Movimentacoes!$E:$E,$C4209,Movimentacoes!$B:$B,"SAIDA_DESCARTE")</f>
        <v/>
      </c>
      <c r="J4209" s="13">
        <f>G4209-H4209-I4209</f>
        <v/>
      </c>
      <c r="K4209">
        <f>IF(A4209="","",IF(J4209&lt;=IFERROR(VLOOKUP(A4209,Cadastro_Produtos!$A:$E,5,FALSE),0),"ABAIXO DO MINIMO","OK"))</f>
        <v/>
      </c>
    </row>
    <row r="4210">
      <c r="B4210">
        <f>IFERROR(VLOOKUP(A4210,Cadastro_Produtos!A:B,2,FALSE),"")</f>
        <v/>
      </c>
      <c r="D4210" s="12" t="n"/>
      <c r="E4210" s="13">
        <f>IF(D4210="","",D4210-TODAY())</f>
        <v/>
      </c>
      <c r="F4210">
        <f>IF(D4210="","",IF(E4210&lt;0,"VENCIDO",IF(E4210&lt;=30,"VENCE EM &lt;= 30 DIAS",IF(E4210&lt;=60,"ATENCAO (31-60 DIAS)","OK"))))</f>
        <v/>
      </c>
      <c r="G4210" s="13">
        <f>SUMIFS(Movimentacoes!$G:$G,Movimentacoes!$C:$C,$A4210,Movimentacoes!$E:$E,$C4210,Movimentacoes!$B:$B,"ENTRADA")</f>
        <v/>
      </c>
      <c r="H4210" s="13">
        <f>SUMIFS(Movimentacoes!$G:$G,Movimentacoes!$C:$C,$A4210,Movimentacoes!$E:$E,$C4210,Movimentacoes!$B:$B,"SAIDA_USO")</f>
        <v/>
      </c>
      <c r="I4210" s="13">
        <f>SUMIFS(Movimentacoes!$G:$G,Movimentacoes!$C:$C,$A4210,Movimentacoes!$E:$E,$C4210,Movimentacoes!$B:$B,"SAIDA_DESCARTE")</f>
        <v/>
      </c>
      <c r="J4210" s="13">
        <f>G4210-H4210-I4210</f>
        <v/>
      </c>
      <c r="K4210">
        <f>IF(A4210="","",IF(J4210&lt;=IFERROR(VLOOKUP(A4210,Cadastro_Produtos!$A:$E,5,FALSE),0),"ABAIXO DO MINIMO","OK"))</f>
        <v/>
      </c>
    </row>
    <row r="4211">
      <c r="B4211">
        <f>IFERROR(VLOOKUP(A4211,Cadastro_Produtos!A:B,2,FALSE),"")</f>
        <v/>
      </c>
      <c r="D4211" s="12" t="n"/>
      <c r="E4211" s="13">
        <f>IF(D4211="","",D4211-TODAY())</f>
        <v/>
      </c>
      <c r="F4211">
        <f>IF(D4211="","",IF(E4211&lt;0,"VENCIDO",IF(E4211&lt;=30,"VENCE EM &lt;= 30 DIAS",IF(E4211&lt;=60,"ATENCAO (31-60 DIAS)","OK"))))</f>
        <v/>
      </c>
      <c r="G4211" s="13">
        <f>SUMIFS(Movimentacoes!$G:$G,Movimentacoes!$C:$C,$A4211,Movimentacoes!$E:$E,$C4211,Movimentacoes!$B:$B,"ENTRADA")</f>
        <v/>
      </c>
      <c r="H4211" s="13">
        <f>SUMIFS(Movimentacoes!$G:$G,Movimentacoes!$C:$C,$A4211,Movimentacoes!$E:$E,$C4211,Movimentacoes!$B:$B,"SAIDA_USO")</f>
        <v/>
      </c>
      <c r="I4211" s="13">
        <f>SUMIFS(Movimentacoes!$G:$G,Movimentacoes!$C:$C,$A4211,Movimentacoes!$E:$E,$C4211,Movimentacoes!$B:$B,"SAIDA_DESCARTE")</f>
        <v/>
      </c>
      <c r="J4211" s="13">
        <f>G4211-H4211-I4211</f>
        <v/>
      </c>
      <c r="K4211">
        <f>IF(A4211="","",IF(J4211&lt;=IFERROR(VLOOKUP(A4211,Cadastro_Produtos!$A:$E,5,FALSE),0),"ABAIXO DO MINIMO","OK"))</f>
        <v/>
      </c>
    </row>
    <row r="4212">
      <c r="B4212">
        <f>IFERROR(VLOOKUP(A4212,Cadastro_Produtos!A:B,2,FALSE),"")</f>
        <v/>
      </c>
      <c r="D4212" s="12" t="n"/>
      <c r="E4212" s="13">
        <f>IF(D4212="","",D4212-TODAY())</f>
        <v/>
      </c>
      <c r="F4212">
        <f>IF(D4212="","",IF(E4212&lt;0,"VENCIDO",IF(E4212&lt;=30,"VENCE EM &lt;= 30 DIAS",IF(E4212&lt;=60,"ATENCAO (31-60 DIAS)","OK"))))</f>
        <v/>
      </c>
      <c r="G4212" s="13">
        <f>SUMIFS(Movimentacoes!$G:$G,Movimentacoes!$C:$C,$A4212,Movimentacoes!$E:$E,$C4212,Movimentacoes!$B:$B,"ENTRADA")</f>
        <v/>
      </c>
      <c r="H4212" s="13">
        <f>SUMIFS(Movimentacoes!$G:$G,Movimentacoes!$C:$C,$A4212,Movimentacoes!$E:$E,$C4212,Movimentacoes!$B:$B,"SAIDA_USO")</f>
        <v/>
      </c>
      <c r="I4212" s="13">
        <f>SUMIFS(Movimentacoes!$G:$G,Movimentacoes!$C:$C,$A4212,Movimentacoes!$E:$E,$C4212,Movimentacoes!$B:$B,"SAIDA_DESCARTE")</f>
        <v/>
      </c>
      <c r="J4212" s="13">
        <f>G4212-H4212-I4212</f>
        <v/>
      </c>
      <c r="K4212">
        <f>IF(A4212="","",IF(J4212&lt;=IFERROR(VLOOKUP(A4212,Cadastro_Produtos!$A:$E,5,FALSE),0),"ABAIXO DO MINIMO","OK"))</f>
        <v/>
      </c>
    </row>
    <row r="4213">
      <c r="B4213">
        <f>IFERROR(VLOOKUP(A4213,Cadastro_Produtos!A:B,2,FALSE),"")</f>
        <v/>
      </c>
      <c r="D4213" s="12" t="n"/>
      <c r="E4213" s="13">
        <f>IF(D4213="","",D4213-TODAY())</f>
        <v/>
      </c>
      <c r="F4213">
        <f>IF(D4213="","",IF(E4213&lt;0,"VENCIDO",IF(E4213&lt;=30,"VENCE EM &lt;= 30 DIAS",IF(E4213&lt;=60,"ATENCAO (31-60 DIAS)","OK"))))</f>
        <v/>
      </c>
      <c r="G4213" s="13">
        <f>SUMIFS(Movimentacoes!$G:$G,Movimentacoes!$C:$C,$A4213,Movimentacoes!$E:$E,$C4213,Movimentacoes!$B:$B,"ENTRADA")</f>
        <v/>
      </c>
      <c r="H4213" s="13">
        <f>SUMIFS(Movimentacoes!$G:$G,Movimentacoes!$C:$C,$A4213,Movimentacoes!$E:$E,$C4213,Movimentacoes!$B:$B,"SAIDA_USO")</f>
        <v/>
      </c>
      <c r="I4213" s="13">
        <f>SUMIFS(Movimentacoes!$G:$G,Movimentacoes!$C:$C,$A4213,Movimentacoes!$E:$E,$C4213,Movimentacoes!$B:$B,"SAIDA_DESCARTE")</f>
        <v/>
      </c>
      <c r="J4213" s="13">
        <f>G4213-H4213-I4213</f>
        <v/>
      </c>
      <c r="K4213">
        <f>IF(A4213="","",IF(J4213&lt;=IFERROR(VLOOKUP(A4213,Cadastro_Produtos!$A:$E,5,FALSE),0),"ABAIXO DO MINIMO","OK"))</f>
        <v/>
      </c>
    </row>
    <row r="4214">
      <c r="B4214">
        <f>IFERROR(VLOOKUP(A4214,Cadastro_Produtos!A:B,2,FALSE),"")</f>
        <v/>
      </c>
      <c r="D4214" s="12" t="n"/>
      <c r="E4214" s="13">
        <f>IF(D4214="","",D4214-TODAY())</f>
        <v/>
      </c>
      <c r="F4214">
        <f>IF(D4214="","",IF(E4214&lt;0,"VENCIDO",IF(E4214&lt;=30,"VENCE EM &lt;= 30 DIAS",IF(E4214&lt;=60,"ATENCAO (31-60 DIAS)","OK"))))</f>
        <v/>
      </c>
      <c r="G4214" s="13">
        <f>SUMIFS(Movimentacoes!$G:$G,Movimentacoes!$C:$C,$A4214,Movimentacoes!$E:$E,$C4214,Movimentacoes!$B:$B,"ENTRADA")</f>
        <v/>
      </c>
      <c r="H4214" s="13">
        <f>SUMIFS(Movimentacoes!$G:$G,Movimentacoes!$C:$C,$A4214,Movimentacoes!$E:$E,$C4214,Movimentacoes!$B:$B,"SAIDA_USO")</f>
        <v/>
      </c>
      <c r="I4214" s="13">
        <f>SUMIFS(Movimentacoes!$G:$G,Movimentacoes!$C:$C,$A4214,Movimentacoes!$E:$E,$C4214,Movimentacoes!$B:$B,"SAIDA_DESCARTE")</f>
        <v/>
      </c>
      <c r="J4214" s="13">
        <f>G4214-H4214-I4214</f>
        <v/>
      </c>
      <c r="K4214">
        <f>IF(A4214="","",IF(J4214&lt;=IFERROR(VLOOKUP(A4214,Cadastro_Produtos!$A:$E,5,FALSE),0),"ABAIXO DO MINIMO","OK"))</f>
        <v/>
      </c>
    </row>
    <row r="4215">
      <c r="B4215">
        <f>IFERROR(VLOOKUP(A4215,Cadastro_Produtos!A:B,2,FALSE),"")</f>
        <v/>
      </c>
      <c r="D4215" s="12" t="n"/>
      <c r="E4215" s="13">
        <f>IF(D4215="","",D4215-TODAY())</f>
        <v/>
      </c>
      <c r="F4215">
        <f>IF(D4215="","",IF(E4215&lt;0,"VENCIDO",IF(E4215&lt;=30,"VENCE EM &lt;= 30 DIAS",IF(E4215&lt;=60,"ATENCAO (31-60 DIAS)","OK"))))</f>
        <v/>
      </c>
      <c r="G4215" s="13">
        <f>SUMIFS(Movimentacoes!$G:$G,Movimentacoes!$C:$C,$A4215,Movimentacoes!$E:$E,$C4215,Movimentacoes!$B:$B,"ENTRADA")</f>
        <v/>
      </c>
      <c r="H4215" s="13">
        <f>SUMIFS(Movimentacoes!$G:$G,Movimentacoes!$C:$C,$A4215,Movimentacoes!$E:$E,$C4215,Movimentacoes!$B:$B,"SAIDA_USO")</f>
        <v/>
      </c>
      <c r="I4215" s="13">
        <f>SUMIFS(Movimentacoes!$G:$G,Movimentacoes!$C:$C,$A4215,Movimentacoes!$E:$E,$C4215,Movimentacoes!$B:$B,"SAIDA_DESCARTE")</f>
        <v/>
      </c>
      <c r="J4215" s="13">
        <f>G4215-H4215-I4215</f>
        <v/>
      </c>
      <c r="K4215">
        <f>IF(A4215="","",IF(J4215&lt;=IFERROR(VLOOKUP(A4215,Cadastro_Produtos!$A:$E,5,FALSE),0),"ABAIXO DO MINIMO","OK"))</f>
        <v/>
      </c>
    </row>
    <row r="4216">
      <c r="B4216">
        <f>IFERROR(VLOOKUP(A4216,Cadastro_Produtos!A:B,2,FALSE),"")</f>
        <v/>
      </c>
      <c r="D4216" s="12" t="n"/>
      <c r="E4216" s="13">
        <f>IF(D4216="","",D4216-TODAY())</f>
        <v/>
      </c>
      <c r="F4216">
        <f>IF(D4216="","",IF(E4216&lt;0,"VENCIDO",IF(E4216&lt;=30,"VENCE EM &lt;= 30 DIAS",IF(E4216&lt;=60,"ATENCAO (31-60 DIAS)","OK"))))</f>
        <v/>
      </c>
      <c r="G4216" s="13">
        <f>SUMIFS(Movimentacoes!$G:$G,Movimentacoes!$C:$C,$A4216,Movimentacoes!$E:$E,$C4216,Movimentacoes!$B:$B,"ENTRADA")</f>
        <v/>
      </c>
      <c r="H4216" s="13">
        <f>SUMIFS(Movimentacoes!$G:$G,Movimentacoes!$C:$C,$A4216,Movimentacoes!$E:$E,$C4216,Movimentacoes!$B:$B,"SAIDA_USO")</f>
        <v/>
      </c>
      <c r="I4216" s="13">
        <f>SUMIFS(Movimentacoes!$G:$G,Movimentacoes!$C:$C,$A4216,Movimentacoes!$E:$E,$C4216,Movimentacoes!$B:$B,"SAIDA_DESCARTE")</f>
        <v/>
      </c>
      <c r="J4216" s="13">
        <f>G4216-H4216-I4216</f>
        <v/>
      </c>
      <c r="K4216">
        <f>IF(A4216="","",IF(J4216&lt;=IFERROR(VLOOKUP(A4216,Cadastro_Produtos!$A:$E,5,FALSE),0),"ABAIXO DO MINIMO","OK"))</f>
        <v/>
      </c>
    </row>
    <row r="4217">
      <c r="B4217">
        <f>IFERROR(VLOOKUP(A4217,Cadastro_Produtos!A:B,2,FALSE),"")</f>
        <v/>
      </c>
      <c r="D4217" s="12" t="n"/>
      <c r="E4217" s="13">
        <f>IF(D4217="","",D4217-TODAY())</f>
        <v/>
      </c>
      <c r="F4217">
        <f>IF(D4217="","",IF(E4217&lt;0,"VENCIDO",IF(E4217&lt;=30,"VENCE EM &lt;= 30 DIAS",IF(E4217&lt;=60,"ATENCAO (31-60 DIAS)","OK"))))</f>
        <v/>
      </c>
      <c r="G4217" s="13">
        <f>SUMIFS(Movimentacoes!$G:$G,Movimentacoes!$C:$C,$A4217,Movimentacoes!$E:$E,$C4217,Movimentacoes!$B:$B,"ENTRADA")</f>
        <v/>
      </c>
      <c r="H4217" s="13">
        <f>SUMIFS(Movimentacoes!$G:$G,Movimentacoes!$C:$C,$A4217,Movimentacoes!$E:$E,$C4217,Movimentacoes!$B:$B,"SAIDA_USO")</f>
        <v/>
      </c>
      <c r="I4217" s="13">
        <f>SUMIFS(Movimentacoes!$G:$G,Movimentacoes!$C:$C,$A4217,Movimentacoes!$E:$E,$C4217,Movimentacoes!$B:$B,"SAIDA_DESCARTE")</f>
        <v/>
      </c>
      <c r="J4217" s="13">
        <f>G4217-H4217-I4217</f>
        <v/>
      </c>
      <c r="K4217">
        <f>IF(A4217="","",IF(J4217&lt;=IFERROR(VLOOKUP(A4217,Cadastro_Produtos!$A:$E,5,FALSE),0),"ABAIXO DO MINIMO","OK"))</f>
        <v/>
      </c>
    </row>
    <row r="4218">
      <c r="B4218">
        <f>IFERROR(VLOOKUP(A4218,Cadastro_Produtos!A:B,2,FALSE),"")</f>
        <v/>
      </c>
      <c r="D4218" s="12" t="n"/>
      <c r="E4218" s="13">
        <f>IF(D4218="","",D4218-TODAY())</f>
        <v/>
      </c>
      <c r="F4218">
        <f>IF(D4218="","",IF(E4218&lt;0,"VENCIDO",IF(E4218&lt;=30,"VENCE EM &lt;= 30 DIAS",IF(E4218&lt;=60,"ATENCAO (31-60 DIAS)","OK"))))</f>
        <v/>
      </c>
      <c r="G4218" s="13">
        <f>SUMIFS(Movimentacoes!$G:$G,Movimentacoes!$C:$C,$A4218,Movimentacoes!$E:$E,$C4218,Movimentacoes!$B:$B,"ENTRADA")</f>
        <v/>
      </c>
      <c r="H4218" s="13">
        <f>SUMIFS(Movimentacoes!$G:$G,Movimentacoes!$C:$C,$A4218,Movimentacoes!$E:$E,$C4218,Movimentacoes!$B:$B,"SAIDA_USO")</f>
        <v/>
      </c>
      <c r="I4218" s="13">
        <f>SUMIFS(Movimentacoes!$G:$G,Movimentacoes!$C:$C,$A4218,Movimentacoes!$E:$E,$C4218,Movimentacoes!$B:$B,"SAIDA_DESCARTE")</f>
        <v/>
      </c>
      <c r="J4218" s="13">
        <f>G4218-H4218-I4218</f>
        <v/>
      </c>
      <c r="K4218">
        <f>IF(A4218="","",IF(J4218&lt;=IFERROR(VLOOKUP(A4218,Cadastro_Produtos!$A:$E,5,FALSE),0),"ABAIXO DO MINIMO","OK"))</f>
        <v/>
      </c>
    </row>
    <row r="4219">
      <c r="B4219">
        <f>IFERROR(VLOOKUP(A4219,Cadastro_Produtos!A:B,2,FALSE),"")</f>
        <v/>
      </c>
      <c r="D4219" s="12" t="n"/>
      <c r="E4219" s="13">
        <f>IF(D4219="","",D4219-TODAY())</f>
        <v/>
      </c>
      <c r="F4219">
        <f>IF(D4219="","",IF(E4219&lt;0,"VENCIDO",IF(E4219&lt;=30,"VENCE EM &lt;= 30 DIAS",IF(E4219&lt;=60,"ATENCAO (31-60 DIAS)","OK"))))</f>
        <v/>
      </c>
      <c r="G4219" s="13">
        <f>SUMIFS(Movimentacoes!$G:$G,Movimentacoes!$C:$C,$A4219,Movimentacoes!$E:$E,$C4219,Movimentacoes!$B:$B,"ENTRADA")</f>
        <v/>
      </c>
      <c r="H4219" s="13">
        <f>SUMIFS(Movimentacoes!$G:$G,Movimentacoes!$C:$C,$A4219,Movimentacoes!$E:$E,$C4219,Movimentacoes!$B:$B,"SAIDA_USO")</f>
        <v/>
      </c>
      <c r="I4219" s="13">
        <f>SUMIFS(Movimentacoes!$G:$G,Movimentacoes!$C:$C,$A4219,Movimentacoes!$E:$E,$C4219,Movimentacoes!$B:$B,"SAIDA_DESCARTE")</f>
        <v/>
      </c>
      <c r="J4219" s="13">
        <f>G4219-H4219-I4219</f>
        <v/>
      </c>
      <c r="K4219">
        <f>IF(A4219="","",IF(J4219&lt;=IFERROR(VLOOKUP(A4219,Cadastro_Produtos!$A:$E,5,FALSE),0),"ABAIXO DO MINIMO","OK"))</f>
        <v/>
      </c>
    </row>
    <row r="4220">
      <c r="B4220">
        <f>IFERROR(VLOOKUP(A4220,Cadastro_Produtos!A:B,2,FALSE),"")</f>
        <v/>
      </c>
      <c r="D4220" s="12" t="n"/>
      <c r="E4220" s="13">
        <f>IF(D4220="","",D4220-TODAY())</f>
        <v/>
      </c>
      <c r="F4220">
        <f>IF(D4220="","",IF(E4220&lt;0,"VENCIDO",IF(E4220&lt;=30,"VENCE EM &lt;= 30 DIAS",IF(E4220&lt;=60,"ATENCAO (31-60 DIAS)","OK"))))</f>
        <v/>
      </c>
      <c r="G4220" s="13">
        <f>SUMIFS(Movimentacoes!$G:$G,Movimentacoes!$C:$C,$A4220,Movimentacoes!$E:$E,$C4220,Movimentacoes!$B:$B,"ENTRADA")</f>
        <v/>
      </c>
      <c r="H4220" s="13">
        <f>SUMIFS(Movimentacoes!$G:$G,Movimentacoes!$C:$C,$A4220,Movimentacoes!$E:$E,$C4220,Movimentacoes!$B:$B,"SAIDA_USO")</f>
        <v/>
      </c>
      <c r="I4220" s="13">
        <f>SUMIFS(Movimentacoes!$G:$G,Movimentacoes!$C:$C,$A4220,Movimentacoes!$E:$E,$C4220,Movimentacoes!$B:$B,"SAIDA_DESCARTE")</f>
        <v/>
      </c>
      <c r="J4220" s="13">
        <f>G4220-H4220-I4220</f>
        <v/>
      </c>
      <c r="K4220">
        <f>IF(A4220="","",IF(J4220&lt;=IFERROR(VLOOKUP(A4220,Cadastro_Produtos!$A:$E,5,FALSE),0),"ABAIXO DO MINIMO","OK"))</f>
        <v/>
      </c>
    </row>
    <row r="4221">
      <c r="B4221">
        <f>IFERROR(VLOOKUP(A4221,Cadastro_Produtos!A:B,2,FALSE),"")</f>
        <v/>
      </c>
      <c r="D4221" s="12" t="n"/>
      <c r="E4221" s="13">
        <f>IF(D4221="","",D4221-TODAY())</f>
        <v/>
      </c>
      <c r="F4221">
        <f>IF(D4221="","",IF(E4221&lt;0,"VENCIDO",IF(E4221&lt;=30,"VENCE EM &lt;= 30 DIAS",IF(E4221&lt;=60,"ATENCAO (31-60 DIAS)","OK"))))</f>
        <v/>
      </c>
      <c r="G4221" s="13">
        <f>SUMIFS(Movimentacoes!$G:$G,Movimentacoes!$C:$C,$A4221,Movimentacoes!$E:$E,$C4221,Movimentacoes!$B:$B,"ENTRADA")</f>
        <v/>
      </c>
      <c r="H4221" s="13">
        <f>SUMIFS(Movimentacoes!$G:$G,Movimentacoes!$C:$C,$A4221,Movimentacoes!$E:$E,$C4221,Movimentacoes!$B:$B,"SAIDA_USO")</f>
        <v/>
      </c>
      <c r="I4221" s="13">
        <f>SUMIFS(Movimentacoes!$G:$G,Movimentacoes!$C:$C,$A4221,Movimentacoes!$E:$E,$C4221,Movimentacoes!$B:$B,"SAIDA_DESCARTE")</f>
        <v/>
      </c>
      <c r="J4221" s="13">
        <f>G4221-H4221-I4221</f>
        <v/>
      </c>
      <c r="K4221">
        <f>IF(A4221="","",IF(J4221&lt;=IFERROR(VLOOKUP(A4221,Cadastro_Produtos!$A:$E,5,FALSE),0),"ABAIXO DO MINIMO","OK"))</f>
        <v/>
      </c>
    </row>
    <row r="4222">
      <c r="B4222">
        <f>IFERROR(VLOOKUP(A4222,Cadastro_Produtos!A:B,2,FALSE),"")</f>
        <v/>
      </c>
      <c r="D4222" s="12" t="n"/>
      <c r="E4222" s="13">
        <f>IF(D4222="","",D4222-TODAY())</f>
        <v/>
      </c>
      <c r="F4222">
        <f>IF(D4222="","",IF(E4222&lt;0,"VENCIDO",IF(E4222&lt;=30,"VENCE EM &lt;= 30 DIAS",IF(E4222&lt;=60,"ATENCAO (31-60 DIAS)","OK"))))</f>
        <v/>
      </c>
      <c r="G4222" s="13">
        <f>SUMIFS(Movimentacoes!$G:$G,Movimentacoes!$C:$C,$A4222,Movimentacoes!$E:$E,$C4222,Movimentacoes!$B:$B,"ENTRADA")</f>
        <v/>
      </c>
      <c r="H4222" s="13">
        <f>SUMIFS(Movimentacoes!$G:$G,Movimentacoes!$C:$C,$A4222,Movimentacoes!$E:$E,$C4222,Movimentacoes!$B:$B,"SAIDA_USO")</f>
        <v/>
      </c>
      <c r="I4222" s="13">
        <f>SUMIFS(Movimentacoes!$G:$G,Movimentacoes!$C:$C,$A4222,Movimentacoes!$E:$E,$C4222,Movimentacoes!$B:$B,"SAIDA_DESCARTE")</f>
        <v/>
      </c>
      <c r="J4222" s="13">
        <f>G4222-H4222-I4222</f>
        <v/>
      </c>
      <c r="K4222">
        <f>IF(A4222="","",IF(J4222&lt;=IFERROR(VLOOKUP(A4222,Cadastro_Produtos!$A:$E,5,FALSE),0),"ABAIXO DO MINIMO","OK"))</f>
        <v/>
      </c>
    </row>
    <row r="4223">
      <c r="B4223">
        <f>IFERROR(VLOOKUP(A4223,Cadastro_Produtos!A:B,2,FALSE),"")</f>
        <v/>
      </c>
      <c r="D4223" s="12" t="n"/>
      <c r="E4223" s="13">
        <f>IF(D4223="","",D4223-TODAY())</f>
        <v/>
      </c>
      <c r="F4223">
        <f>IF(D4223="","",IF(E4223&lt;0,"VENCIDO",IF(E4223&lt;=30,"VENCE EM &lt;= 30 DIAS",IF(E4223&lt;=60,"ATENCAO (31-60 DIAS)","OK"))))</f>
        <v/>
      </c>
      <c r="G4223" s="13">
        <f>SUMIFS(Movimentacoes!$G:$G,Movimentacoes!$C:$C,$A4223,Movimentacoes!$E:$E,$C4223,Movimentacoes!$B:$B,"ENTRADA")</f>
        <v/>
      </c>
      <c r="H4223" s="13">
        <f>SUMIFS(Movimentacoes!$G:$G,Movimentacoes!$C:$C,$A4223,Movimentacoes!$E:$E,$C4223,Movimentacoes!$B:$B,"SAIDA_USO")</f>
        <v/>
      </c>
      <c r="I4223" s="13">
        <f>SUMIFS(Movimentacoes!$G:$G,Movimentacoes!$C:$C,$A4223,Movimentacoes!$E:$E,$C4223,Movimentacoes!$B:$B,"SAIDA_DESCARTE")</f>
        <v/>
      </c>
      <c r="J4223" s="13">
        <f>G4223-H4223-I4223</f>
        <v/>
      </c>
      <c r="K4223">
        <f>IF(A4223="","",IF(J4223&lt;=IFERROR(VLOOKUP(A4223,Cadastro_Produtos!$A:$E,5,FALSE),0),"ABAIXO DO MINIMO","OK"))</f>
        <v/>
      </c>
    </row>
    <row r="4224">
      <c r="B4224">
        <f>IFERROR(VLOOKUP(A4224,Cadastro_Produtos!A:B,2,FALSE),"")</f>
        <v/>
      </c>
      <c r="D4224" s="12" t="n"/>
      <c r="E4224" s="13">
        <f>IF(D4224="","",D4224-TODAY())</f>
        <v/>
      </c>
      <c r="F4224">
        <f>IF(D4224="","",IF(E4224&lt;0,"VENCIDO",IF(E4224&lt;=30,"VENCE EM &lt;= 30 DIAS",IF(E4224&lt;=60,"ATENCAO (31-60 DIAS)","OK"))))</f>
        <v/>
      </c>
      <c r="G4224" s="13">
        <f>SUMIFS(Movimentacoes!$G:$G,Movimentacoes!$C:$C,$A4224,Movimentacoes!$E:$E,$C4224,Movimentacoes!$B:$B,"ENTRADA")</f>
        <v/>
      </c>
      <c r="H4224" s="13">
        <f>SUMIFS(Movimentacoes!$G:$G,Movimentacoes!$C:$C,$A4224,Movimentacoes!$E:$E,$C4224,Movimentacoes!$B:$B,"SAIDA_USO")</f>
        <v/>
      </c>
      <c r="I4224" s="13">
        <f>SUMIFS(Movimentacoes!$G:$G,Movimentacoes!$C:$C,$A4224,Movimentacoes!$E:$E,$C4224,Movimentacoes!$B:$B,"SAIDA_DESCARTE")</f>
        <v/>
      </c>
      <c r="J4224" s="13">
        <f>G4224-H4224-I4224</f>
        <v/>
      </c>
      <c r="K4224">
        <f>IF(A4224="","",IF(J4224&lt;=IFERROR(VLOOKUP(A4224,Cadastro_Produtos!$A:$E,5,FALSE),0),"ABAIXO DO MINIMO","OK"))</f>
        <v/>
      </c>
    </row>
    <row r="4225">
      <c r="B4225">
        <f>IFERROR(VLOOKUP(A4225,Cadastro_Produtos!A:B,2,FALSE),"")</f>
        <v/>
      </c>
      <c r="D4225" s="12" t="n"/>
      <c r="E4225" s="13">
        <f>IF(D4225="","",D4225-TODAY())</f>
        <v/>
      </c>
      <c r="F4225">
        <f>IF(D4225="","",IF(E4225&lt;0,"VENCIDO",IF(E4225&lt;=30,"VENCE EM &lt;= 30 DIAS",IF(E4225&lt;=60,"ATENCAO (31-60 DIAS)","OK"))))</f>
        <v/>
      </c>
      <c r="G4225" s="13">
        <f>SUMIFS(Movimentacoes!$G:$G,Movimentacoes!$C:$C,$A4225,Movimentacoes!$E:$E,$C4225,Movimentacoes!$B:$B,"ENTRADA")</f>
        <v/>
      </c>
      <c r="H4225" s="13">
        <f>SUMIFS(Movimentacoes!$G:$G,Movimentacoes!$C:$C,$A4225,Movimentacoes!$E:$E,$C4225,Movimentacoes!$B:$B,"SAIDA_USO")</f>
        <v/>
      </c>
      <c r="I4225" s="13">
        <f>SUMIFS(Movimentacoes!$G:$G,Movimentacoes!$C:$C,$A4225,Movimentacoes!$E:$E,$C4225,Movimentacoes!$B:$B,"SAIDA_DESCARTE")</f>
        <v/>
      </c>
      <c r="J4225" s="13">
        <f>G4225-H4225-I4225</f>
        <v/>
      </c>
      <c r="K4225">
        <f>IF(A4225="","",IF(J4225&lt;=IFERROR(VLOOKUP(A4225,Cadastro_Produtos!$A:$E,5,FALSE),0),"ABAIXO DO MINIMO","OK"))</f>
        <v/>
      </c>
    </row>
    <row r="4226">
      <c r="B4226">
        <f>IFERROR(VLOOKUP(A4226,Cadastro_Produtos!A:B,2,FALSE),"")</f>
        <v/>
      </c>
      <c r="D4226" s="12" t="n"/>
      <c r="E4226" s="13">
        <f>IF(D4226="","",D4226-TODAY())</f>
        <v/>
      </c>
      <c r="F4226">
        <f>IF(D4226="","",IF(E4226&lt;0,"VENCIDO",IF(E4226&lt;=30,"VENCE EM &lt;= 30 DIAS",IF(E4226&lt;=60,"ATENCAO (31-60 DIAS)","OK"))))</f>
        <v/>
      </c>
      <c r="G4226" s="13">
        <f>SUMIFS(Movimentacoes!$G:$G,Movimentacoes!$C:$C,$A4226,Movimentacoes!$E:$E,$C4226,Movimentacoes!$B:$B,"ENTRADA")</f>
        <v/>
      </c>
      <c r="H4226" s="13">
        <f>SUMIFS(Movimentacoes!$G:$G,Movimentacoes!$C:$C,$A4226,Movimentacoes!$E:$E,$C4226,Movimentacoes!$B:$B,"SAIDA_USO")</f>
        <v/>
      </c>
      <c r="I4226" s="13">
        <f>SUMIFS(Movimentacoes!$G:$G,Movimentacoes!$C:$C,$A4226,Movimentacoes!$E:$E,$C4226,Movimentacoes!$B:$B,"SAIDA_DESCARTE")</f>
        <v/>
      </c>
      <c r="J4226" s="13">
        <f>G4226-H4226-I4226</f>
        <v/>
      </c>
      <c r="K4226">
        <f>IF(A4226="","",IF(J4226&lt;=IFERROR(VLOOKUP(A4226,Cadastro_Produtos!$A:$E,5,FALSE),0),"ABAIXO DO MINIMO","OK"))</f>
        <v/>
      </c>
    </row>
    <row r="4227">
      <c r="B4227">
        <f>IFERROR(VLOOKUP(A4227,Cadastro_Produtos!A:B,2,FALSE),"")</f>
        <v/>
      </c>
      <c r="D4227" s="12" t="n"/>
      <c r="E4227" s="13">
        <f>IF(D4227="","",D4227-TODAY())</f>
        <v/>
      </c>
      <c r="F4227">
        <f>IF(D4227="","",IF(E4227&lt;0,"VENCIDO",IF(E4227&lt;=30,"VENCE EM &lt;= 30 DIAS",IF(E4227&lt;=60,"ATENCAO (31-60 DIAS)","OK"))))</f>
        <v/>
      </c>
      <c r="G4227" s="13">
        <f>SUMIFS(Movimentacoes!$G:$G,Movimentacoes!$C:$C,$A4227,Movimentacoes!$E:$E,$C4227,Movimentacoes!$B:$B,"ENTRADA")</f>
        <v/>
      </c>
      <c r="H4227" s="13">
        <f>SUMIFS(Movimentacoes!$G:$G,Movimentacoes!$C:$C,$A4227,Movimentacoes!$E:$E,$C4227,Movimentacoes!$B:$B,"SAIDA_USO")</f>
        <v/>
      </c>
      <c r="I4227" s="13">
        <f>SUMIFS(Movimentacoes!$G:$G,Movimentacoes!$C:$C,$A4227,Movimentacoes!$E:$E,$C4227,Movimentacoes!$B:$B,"SAIDA_DESCARTE")</f>
        <v/>
      </c>
      <c r="J4227" s="13">
        <f>G4227-H4227-I4227</f>
        <v/>
      </c>
      <c r="K4227">
        <f>IF(A4227="","",IF(J4227&lt;=IFERROR(VLOOKUP(A4227,Cadastro_Produtos!$A:$E,5,FALSE),0),"ABAIXO DO MINIMO","OK"))</f>
        <v/>
      </c>
    </row>
    <row r="4228">
      <c r="B4228">
        <f>IFERROR(VLOOKUP(A4228,Cadastro_Produtos!A:B,2,FALSE),"")</f>
        <v/>
      </c>
      <c r="D4228" s="12" t="n"/>
      <c r="E4228" s="13">
        <f>IF(D4228="","",D4228-TODAY())</f>
        <v/>
      </c>
      <c r="F4228">
        <f>IF(D4228="","",IF(E4228&lt;0,"VENCIDO",IF(E4228&lt;=30,"VENCE EM &lt;= 30 DIAS",IF(E4228&lt;=60,"ATENCAO (31-60 DIAS)","OK"))))</f>
        <v/>
      </c>
      <c r="G4228" s="13">
        <f>SUMIFS(Movimentacoes!$G:$G,Movimentacoes!$C:$C,$A4228,Movimentacoes!$E:$E,$C4228,Movimentacoes!$B:$B,"ENTRADA")</f>
        <v/>
      </c>
      <c r="H4228" s="13">
        <f>SUMIFS(Movimentacoes!$G:$G,Movimentacoes!$C:$C,$A4228,Movimentacoes!$E:$E,$C4228,Movimentacoes!$B:$B,"SAIDA_USO")</f>
        <v/>
      </c>
      <c r="I4228" s="13">
        <f>SUMIFS(Movimentacoes!$G:$G,Movimentacoes!$C:$C,$A4228,Movimentacoes!$E:$E,$C4228,Movimentacoes!$B:$B,"SAIDA_DESCARTE")</f>
        <v/>
      </c>
      <c r="J4228" s="13">
        <f>G4228-H4228-I4228</f>
        <v/>
      </c>
      <c r="K4228">
        <f>IF(A4228="","",IF(J4228&lt;=IFERROR(VLOOKUP(A4228,Cadastro_Produtos!$A:$E,5,FALSE),0),"ABAIXO DO MINIMO","OK"))</f>
        <v/>
      </c>
    </row>
    <row r="4229">
      <c r="B4229">
        <f>IFERROR(VLOOKUP(A4229,Cadastro_Produtos!A:B,2,FALSE),"")</f>
        <v/>
      </c>
      <c r="D4229" s="12" t="n"/>
      <c r="E4229" s="13">
        <f>IF(D4229="","",D4229-TODAY())</f>
        <v/>
      </c>
      <c r="F4229">
        <f>IF(D4229="","",IF(E4229&lt;0,"VENCIDO",IF(E4229&lt;=30,"VENCE EM &lt;= 30 DIAS",IF(E4229&lt;=60,"ATENCAO (31-60 DIAS)","OK"))))</f>
        <v/>
      </c>
      <c r="G4229" s="13">
        <f>SUMIFS(Movimentacoes!$G:$G,Movimentacoes!$C:$C,$A4229,Movimentacoes!$E:$E,$C4229,Movimentacoes!$B:$B,"ENTRADA")</f>
        <v/>
      </c>
      <c r="H4229" s="13">
        <f>SUMIFS(Movimentacoes!$G:$G,Movimentacoes!$C:$C,$A4229,Movimentacoes!$E:$E,$C4229,Movimentacoes!$B:$B,"SAIDA_USO")</f>
        <v/>
      </c>
      <c r="I4229" s="13">
        <f>SUMIFS(Movimentacoes!$G:$G,Movimentacoes!$C:$C,$A4229,Movimentacoes!$E:$E,$C4229,Movimentacoes!$B:$B,"SAIDA_DESCARTE")</f>
        <v/>
      </c>
      <c r="J4229" s="13">
        <f>G4229-H4229-I4229</f>
        <v/>
      </c>
      <c r="K4229">
        <f>IF(A4229="","",IF(J4229&lt;=IFERROR(VLOOKUP(A4229,Cadastro_Produtos!$A:$E,5,FALSE),0),"ABAIXO DO MINIMO","OK"))</f>
        <v/>
      </c>
    </row>
    <row r="4230">
      <c r="B4230">
        <f>IFERROR(VLOOKUP(A4230,Cadastro_Produtos!A:B,2,FALSE),"")</f>
        <v/>
      </c>
      <c r="D4230" s="12" t="n"/>
      <c r="E4230" s="13">
        <f>IF(D4230="","",D4230-TODAY())</f>
        <v/>
      </c>
      <c r="F4230">
        <f>IF(D4230="","",IF(E4230&lt;0,"VENCIDO",IF(E4230&lt;=30,"VENCE EM &lt;= 30 DIAS",IF(E4230&lt;=60,"ATENCAO (31-60 DIAS)","OK"))))</f>
        <v/>
      </c>
      <c r="G4230" s="13">
        <f>SUMIFS(Movimentacoes!$G:$G,Movimentacoes!$C:$C,$A4230,Movimentacoes!$E:$E,$C4230,Movimentacoes!$B:$B,"ENTRADA")</f>
        <v/>
      </c>
      <c r="H4230" s="13">
        <f>SUMIFS(Movimentacoes!$G:$G,Movimentacoes!$C:$C,$A4230,Movimentacoes!$E:$E,$C4230,Movimentacoes!$B:$B,"SAIDA_USO")</f>
        <v/>
      </c>
      <c r="I4230" s="13">
        <f>SUMIFS(Movimentacoes!$G:$G,Movimentacoes!$C:$C,$A4230,Movimentacoes!$E:$E,$C4230,Movimentacoes!$B:$B,"SAIDA_DESCARTE")</f>
        <v/>
      </c>
      <c r="J4230" s="13">
        <f>G4230-H4230-I4230</f>
        <v/>
      </c>
      <c r="K4230">
        <f>IF(A4230="","",IF(J4230&lt;=IFERROR(VLOOKUP(A4230,Cadastro_Produtos!$A:$E,5,FALSE),0),"ABAIXO DO MINIMO","OK"))</f>
        <v/>
      </c>
    </row>
    <row r="4231">
      <c r="B4231">
        <f>IFERROR(VLOOKUP(A4231,Cadastro_Produtos!A:B,2,FALSE),"")</f>
        <v/>
      </c>
      <c r="D4231" s="12" t="n"/>
      <c r="E4231" s="13">
        <f>IF(D4231="","",D4231-TODAY())</f>
        <v/>
      </c>
      <c r="F4231">
        <f>IF(D4231="","",IF(E4231&lt;0,"VENCIDO",IF(E4231&lt;=30,"VENCE EM &lt;= 30 DIAS",IF(E4231&lt;=60,"ATENCAO (31-60 DIAS)","OK"))))</f>
        <v/>
      </c>
      <c r="G4231" s="13">
        <f>SUMIFS(Movimentacoes!$G:$G,Movimentacoes!$C:$C,$A4231,Movimentacoes!$E:$E,$C4231,Movimentacoes!$B:$B,"ENTRADA")</f>
        <v/>
      </c>
      <c r="H4231" s="13">
        <f>SUMIFS(Movimentacoes!$G:$G,Movimentacoes!$C:$C,$A4231,Movimentacoes!$E:$E,$C4231,Movimentacoes!$B:$B,"SAIDA_USO")</f>
        <v/>
      </c>
      <c r="I4231" s="13">
        <f>SUMIFS(Movimentacoes!$G:$G,Movimentacoes!$C:$C,$A4231,Movimentacoes!$E:$E,$C4231,Movimentacoes!$B:$B,"SAIDA_DESCARTE")</f>
        <v/>
      </c>
      <c r="J4231" s="13">
        <f>G4231-H4231-I4231</f>
        <v/>
      </c>
      <c r="K4231">
        <f>IF(A4231="","",IF(J4231&lt;=IFERROR(VLOOKUP(A4231,Cadastro_Produtos!$A:$E,5,FALSE),0),"ABAIXO DO MINIMO","OK"))</f>
        <v/>
      </c>
    </row>
    <row r="4232">
      <c r="B4232">
        <f>IFERROR(VLOOKUP(A4232,Cadastro_Produtos!A:B,2,FALSE),"")</f>
        <v/>
      </c>
      <c r="D4232" s="12" t="n"/>
      <c r="E4232" s="13">
        <f>IF(D4232="","",D4232-TODAY())</f>
        <v/>
      </c>
      <c r="F4232">
        <f>IF(D4232="","",IF(E4232&lt;0,"VENCIDO",IF(E4232&lt;=30,"VENCE EM &lt;= 30 DIAS",IF(E4232&lt;=60,"ATENCAO (31-60 DIAS)","OK"))))</f>
        <v/>
      </c>
      <c r="G4232" s="13">
        <f>SUMIFS(Movimentacoes!$G:$G,Movimentacoes!$C:$C,$A4232,Movimentacoes!$E:$E,$C4232,Movimentacoes!$B:$B,"ENTRADA")</f>
        <v/>
      </c>
      <c r="H4232" s="13">
        <f>SUMIFS(Movimentacoes!$G:$G,Movimentacoes!$C:$C,$A4232,Movimentacoes!$E:$E,$C4232,Movimentacoes!$B:$B,"SAIDA_USO")</f>
        <v/>
      </c>
      <c r="I4232" s="13">
        <f>SUMIFS(Movimentacoes!$G:$G,Movimentacoes!$C:$C,$A4232,Movimentacoes!$E:$E,$C4232,Movimentacoes!$B:$B,"SAIDA_DESCARTE")</f>
        <v/>
      </c>
      <c r="J4232" s="13">
        <f>G4232-H4232-I4232</f>
        <v/>
      </c>
      <c r="K4232">
        <f>IF(A4232="","",IF(J4232&lt;=IFERROR(VLOOKUP(A4232,Cadastro_Produtos!$A:$E,5,FALSE),0),"ABAIXO DO MINIMO","OK"))</f>
        <v/>
      </c>
    </row>
    <row r="4233">
      <c r="B4233">
        <f>IFERROR(VLOOKUP(A4233,Cadastro_Produtos!A:B,2,FALSE),"")</f>
        <v/>
      </c>
      <c r="D4233" s="12" t="n"/>
      <c r="E4233" s="13">
        <f>IF(D4233="","",D4233-TODAY())</f>
        <v/>
      </c>
      <c r="F4233">
        <f>IF(D4233="","",IF(E4233&lt;0,"VENCIDO",IF(E4233&lt;=30,"VENCE EM &lt;= 30 DIAS",IF(E4233&lt;=60,"ATENCAO (31-60 DIAS)","OK"))))</f>
        <v/>
      </c>
      <c r="G4233" s="13">
        <f>SUMIFS(Movimentacoes!$G:$G,Movimentacoes!$C:$C,$A4233,Movimentacoes!$E:$E,$C4233,Movimentacoes!$B:$B,"ENTRADA")</f>
        <v/>
      </c>
      <c r="H4233" s="13">
        <f>SUMIFS(Movimentacoes!$G:$G,Movimentacoes!$C:$C,$A4233,Movimentacoes!$E:$E,$C4233,Movimentacoes!$B:$B,"SAIDA_USO")</f>
        <v/>
      </c>
      <c r="I4233" s="13">
        <f>SUMIFS(Movimentacoes!$G:$G,Movimentacoes!$C:$C,$A4233,Movimentacoes!$E:$E,$C4233,Movimentacoes!$B:$B,"SAIDA_DESCARTE")</f>
        <v/>
      </c>
      <c r="J4233" s="13">
        <f>G4233-H4233-I4233</f>
        <v/>
      </c>
      <c r="K4233">
        <f>IF(A4233="","",IF(J4233&lt;=IFERROR(VLOOKUP(A4233,Cadastro_Produtos!$A:$E,5,FALSE),0),"ABAIXO DO MINIMO","OK"))</f>
        <v/>
      </c>
    </row>
    <row r="4234">
      <c r="B4234">
        <f>IFERROR(VLOOKUP(A4234,Cadastro_Produtos!A:B,2,FALSE),"")</f>
        <v/>
      </c>
      <c r="D4234" s="12" t="n"/>
      <c r="E4234" s="13">
        <f>IF(D4234="","",D4234-TODAY())</f>
        <v/>
      </c>
      <c r="F4234">
        <f>IF(D4234="","",IF(E4234&lt;0,"VENCIDO",IF(E4234&lt;=30,"VENCE EM &lt;= 30 DIAS",IF(E4234&lt;=60,"ATENCAO (31-60 DIAS)","OK"))))</f>
        <v/>
      </c>
      <c r="G4234" s="13">
        <f>SUMIFS(Movimentacoes!$G:$G,Movimentacoes!$C:$C,$A4234,Movimentacoes!$E:$E,$C4234,Movimentacoes!$B:$B,"ENTRADA")</f>
        <v/>
      </c>
      <c r="H4234" s="13">
        <f>SUMIFS(Movimentacoes!$G:$G,Movimentacoes!$C:$C,$A4234,Movimentacoes!$E:$E,$C4234,Movimentacoes!$B:$B,"SAIDA_USO")</f>
        <v/>
      </c>
      <c r="I4234" s="13">
        <f>SUMIFS(Movimentacoes!$G:$G,Movimentacoes!$C:$C,$A4234,Movimentacoes!$E:$E,$C4234,Movimentacoes!$B:$B,"SAIDA_DESCARTE")</f>
        <v/>
      </c>
      <c r="J4234" s="13">
        <f>G4234-H4234-I4234</f>
        <v/>
      </c>
      <c r="K4234">
        <f>IF(A4234="","",IF(J4234&lt;=IFERROR(VLOOKUP(A4234,Cadastro_Produtos!$A:$E,5,FALSE),0),"ABAIXO DO MINIMO","OK"))</f>
        <v/>
      </c>
    </row>
    <row r="4235">
      <c r="B4235">
        <f>IFERROR(VLOOKUP(A4235,Cadastro_Produtos!A:B,2,FALSE),"")</f>
        <v/>
      </c>
      <c r="D4235" s="12" t="n"/>
      <c r="E4235" s="13">
        <f>IF(D4235="","",D4235-TODAY())</f>
        <v/>
      </c>
      <c r="F4235">
        <f>IF(D4235="","",IF(E4235&lt;0,"VENCIDO",IF(E4235&lt;=30,"VENCE EM &lt;= 30 DIAS",IF(E4235&lt;=60,"ATENCAO (31-60 DIAS)","OK"))))</f>
        <v/>
      </c>
      <c r="G4235" s="13">
        <f>SUMIFS(Movimentacoes!$G:$G,Movimentacoes!$C:$C,$A4235,Movimentacoes!$E:$E,$C4235,Movimentacoes!$B:$B,"ENTRADA")</f>
        <v/>
      </c>
      <c r="H4235" s="13">
        <f>SUMIFS(Movimentacoes!$G:$G,Movimentacoes!$C:$C,$A4235,Movimentacoes!$E:$E,$C4235,Movimentacoes!$B:$B,"SAIDA_USO")</f>
        <v/>
      </c>
      <c r="I4235" s="13">
        <f>SUMIFS(Movimentacoes!$G:$G,Movimentacoes!$C:$C,$A4235,Movimentacoes!$E:$E,$C4235,Movimentacoes!$B:$B,"SAIDA_DESCARTE")</f>
        <v/>
      </c>
      <c r="J4235" s="13">
        <f>G4235-H4235-I4235</f>
        <v/>
      </c>
      <c r="K4235">
        <f>IF(A4235="","",IF(J4235&lt;=IFERROR(VLOOKUP(A4235,Cadastro_Produtos!$A:$E,5,FALSE),0),"ABAIXO DO MINIMO","OK"))</f>
        <v/>
      </c>
    </row>
    <row r="4236">
      <c r="B4236">
        <f>IFERROR(VLOOKUP(A4236,Cadastro_Produtos!A:B,2,FALSE),"")</f>
        <v/>
      </c>
      <c r="D4236" s="12" t="n"/>
      <c r="E4236" s="13">
        <f>IF(D4236="","",D4236-TODAY())</f>
        <v/>
      </c>
      <c r="F4236">
        <f>IF(D4236="","",IF(E4236&lt;0,"VENCIDO",IF(E4236&lt;=30,"VENCE EM &lt;= 30 DIAS",IF(E4236&lt;=60,"ATENCAO (31-60 DIAS)","OK"))))</f>
        <v/>
      </c>
      <c r="G4236" s="13">
        <f>SUMIFS(Movimentacoes!$G:$G,Movimentacoes!$C:$C,$A4236,Movimentacoes!$E:$E,$C4236,Movimentacoes!$B:$B,"ENTRADA")</f>
        <v/>
      </c>
      <c r="H4236" s="13">
        <f>SUMIFS(Movimentacoes!$G:$G,Movimentacoes!$C:$C,$A4236,Movimentacoes!$E:$E,$C4236,Movimentacoes!$B:$B,"SAIDA_USO")</f>
        <v/>
      </c>
      <c r="I4236" s="13">
        <f>SUMIFS(Movimentacoes!$G:$G,Movimentacoes!$C:$C,$A4236,Movimentacoes!$E:$E,$C4236,Movimentacoes!$B:$B,"SAIDA_DESCARTE")</f>
        <v/>
      </c>
      <c r="J4236" s="13">
        <f>G4236-H4236-I4236</f>
        <v/>
      </c>
      <c r="K4236">
        <f>IF(A4236="","",IF(J4236&lt;=IFERROR(VLOOKUP(A4236,Cadastro_Produtos!$A:$E,5,FALSE),0),"ABAIXO DO MINIMO","OK"))</f>
        <v/>
      </c>
    </row>
    <row r="4237">
      <c r="B4237">
        <f>IFERROR(VLOOKUP(A4237,Cadastro_Produtos!A:B,2,FALSE),"")</f>
        <v/>
      </c>
      <c r="D4237" s="12" t="n"/>
      <c r="E4237" s="13">
        <f>IF(D4237="","",D4237-TODAY())</f>
        <v/>
      </c>
      <c r="F4237">
        <f>IF(D4237="","",IF(E4237&lt;0,"VENCIDO",IF(E4237&lt;=30,"VENCE EM &lt;= 30 DIAS",IF(E4237&lt;=60,"ATENCAO (31-60 DIAS)","OK"))))</f>
        <v/>
      </c>
      <c r="G4237" s="13">
        <f>SUMIFS(Movimentacoes!$G:$G,Movimentacoes!$C:$C,$A4237,Movimentacoes!$E:$E,$C4237,Movimentacoes!$B:$B,"ENTRADA")</f>
        <v/>
      </c>
      <c r="H4237" s="13">
        <f>SUMIFS(Movimentacoes!$G:$G,Movimentacoes!$C:$C,$A4237,Movimentacoes!$E:$E,$C4237,Movimentacoes!$B:$B,"SAIDA_USO")</f>
        <v/>
      </c>
      <c r="I4237" s="13">
        <f>SUMIFS(Movimentacoes!$G:$G,Movimentacoes!$C:$C,$A4237,Movimentacoes!$E:$E,$C4237,Movimentacoes!$B:$B,"SAIDA_DESCARTE")</f>
        <v/>
      </c>
      <c r="J4237" s="13">
        <f>G4237-H4237-I4237</f>
        <v/>
      </c>
      <c r="K4237">
        <f>IF(A4237="","",IF(J4237&lt;=IFERROR(VLOOKUP(A4237,Cadastro_Produtos!$A:$E,5,FALSE),0),"ABAIXO DO MINIMO","OK"))</f>
        <v/>
      </c>
    </row>
    <row r="4238">
      <c r="B4238">
        <f>IFERROR(VLOOKUP(A4238,Cadastro_Produtos!A:B,2,FALSE),"")</f>
        <v/>
      </c>
      <c r="D4238" s="12" t="n"/>
      <c r="E4238" s="13">
        <f>IF(D4238="","",D4238-TODAY())</f>
        <v/>
      </c>
      <c r="F4238">
        <f>IF(D4238="","",IF(E4238&lt;0,"VENCIDO",IF(E4238&lt;=30,"VENCE EM &lt;= 30 DIAS",IF(E4238&lt;=60,"ATENCAO (31-60 DIAS)","OK"))))</f>
        <v/>
      </c>
      <c r="G4238" s="13">
        <f>SUMIFS(Movimentacoes!$G:$G,Movimentacoes!$C:$C,$A4238,Movimentacoes!$E:$E,$C4238,Movimentacoes!$B:$B,"ENTRADA")</f>
        <v/>
      </c>
      <c r="H4238" s="13">
        <f>SUMIFS(Movimentacoes!$G:$G,Movimentacoes!$C:$C,$A4238,Movimentacoes!$E:$E,$C4238,Movimentacoes!$B:$B,"SAIDA_USO")</f>
        <v/>
      </c>
      <c r="I4238" s="13">
        <f>SUMIFS(Movimentacoes!$G:$G,Movimentacoes!$C:$C,$A4238,Movimentacoes!$E:$E,$C4238,Movimentacoes!$B:$B,"SAIDA_DESCARTE")</f>
        <v/>
      </c>
      <c r="J4238" s="13">
        <f>G4238-H4238-I4238</f>
        <v/>
      </c>
      <c r="K4238">
        <f>IF(A4238="","",IF(J4238&lt;=IFERROR(VLOOKUP(A4238,Cadastro_Produtos!$A:$E,5,FALSE),0),"ABAIXO DO MINIMO","OK"))</f>
        <v/>
      </c>
    </row>
    <row r="4239">
      <c r="B4239">
        <f>IFERROR(VLOOKUP(A4239,Cadastro_Produtos!A:B,2,FALSE),"")</f>
        <v/>
      </c>
      <c r="D4239" s="12" t="n"/>
      <c r="E4239" s="13">
        <f>IF(D4239="","",D4239-TODAY())</f>
        <v/>
      </c>
      <c r="F4239">
        <f>IF(D4239="","",IF(E4239&lt;0,"VENCIDO",IF(E4239&lt;=30,"VENCE EM &lt;= 30 DIAS",IF(E4239&lt;=60,"ATENCAO (31-60 DIAS)","OK"))))</f>
        <v/>
      </c>
      <c r="G4239" s="13">
        <f>SUMIFS(Movimentacoes!$G:$G,Movimentacoes!$C:$C,$A4239,Movimentacoes!$E:$E,$C4239,Movimentacoes!$B:$B,"ENTRADA")</f>
        <v/>
      </c>
      <c r="H4239" s="13">
        <f>SUMIFS(Movimentacoes!$G:$G,Movimentacoes!$C:$C,$A4239,Movimentacoes!$E:$E,$C4239,Movimentacoes!$B:$B,"SAIDA_USO")</f>
        <v/>
      </c>
      <c r="I4239" s="13">
        <f>SUMIFS(Movimentacoes!$G:$G,Movimentacoes!$C:$C,$A4239,Movimentacoes!$E:$E,$C4239,Movimentacoes!$B:$B,"SAIDA_DESCARTE")</f>
        <v/>
      </c>
      <c r="J4239" s="13">
        <f>G4239-H4239-I4239</f>
        <v/>
      </c>
      <c r="K4239">
        <f>IF(A4239="","",IF(J4239&lt;=IFERROR(VLOOKUP(A4239,Cadastro_Produtos!$A:$E,5,FALSE),0),"ABAIXO DO MINIMO","OK"))</f>
        <v/>
      </c>
    </row>
    <row r="4240">
      <c r="B4240">
        <f>IFERROR(VLOOKUP(A4240,Cadastro_Produtos!A:B,2,FALSE),"")</f>
        <v/>
      </c>
      <c r="D4240" s="12" t="n"/>
      <c r="E4240" s="13">
        <f>IF(D4240="","",D4240-TODAY())</f>
        <v/>
      </c>
      <c r="F4240">
        <f>IF(D4240="","",IF(E4240&lt;0,"VENCIDO",IF(E4240&lt;=30,"VENCE EM &lt;= 30 DIAS",IF(E4240&lt;=60,"ATENCAO (31-60 DIAS)","OK"))))</f>
        <v/>
      </c>
      <c r="G4240" s="13">
        <f>SUMIFS(Movimentacoes!$G:$G,Movimentacoes!$C:$C,$A4240,Movimentacoes!$E:$E,$C4240,Movimentacoes!$B:$B,"ENTRADA")</f>
        <v/>
      </c>
      <c r="H4240" s="13">
        <f>SUMIFS(Movimentacoes!$G:$G,Movimentacoes!$C:$C,$A4240,Movimentacoes!$E:$E,$C4240,Movimentacoes!$B:$B,"SAIDA_USO")</f>
        <v/>
      </c>
      <c r="I4240" s="13">
        <f>SUMIFS(Movimentacoes!$G:$G,Movimentacoes!$C:$C,$A4240,Movimentacoes!$E:$E,$C4240,Movimentacoes!$B:$B,"SAIDA_DESCARTE")</f>
        <v/>
      </c>
      <c r="J4240" s="13">
        <f>G4240-H4240-I4240</f>
        <v/>
      </c>
      <c r="K4240">
        <f>IF(A4240="","",IF(J4240&lt;=IFERROR(VLOOKUP(A4240,Cadastro_Produtos!$A:$E,5,FALSE),0),"ABAIXO DO MINIMO","OK"))</f>
        <v/>
      </c>
    </row>
    <row r="4241">
      <c r="B4241">
        <f>IFERROR(VLOOKUP(A4241,Cadastro_Produtos!A:B,2,FALSE),"")</f>
        <v/>
      </c>
      <c r="D4241" s="12" t="n"/>
      <c r="E4241" s="13">
        <f>IF(D4241="","",D4241-TODAY())</f>
        <v/>
      </c>
      <c r="F4241">
        <f>IF(D4241="","",IF(E4241&lt;0,"VENCIDO",IF(E4241&lt;=30,"VENCE EM &lt;= 30 DIAS",IF(E4241&lt;=60,"ATENCAO (31-60 DIAS)","OK"))))</f>
        <v/>
      </c>
      <c r="G4241" s="13">
        <f>SUMIFS(Movimentacoes!$G:$G,Movimentacoes!$C:$C,$A4241,Movimentacoes!$E:$E,$C4241,Movimentacoes!$B:$B,"ENTRADA")</f>
        <v/>
      </c>
      <c r="H4241" s="13">
        <f>SUMIFS(Movimentacoes!$G:$G,Movimentacoes!$C:$C,$A4241,Movimentacoes!$E:$E,$C4241,Movimentacoes!$B:$B,"SAIDA_USO")</f>
        <v/>
      </c>
      <c r="I4241" s="13">
        <f>SUMIFS(Movimentacoes!$G:$G,Movimentacoes!$C:$C,$A4241,Movimentacoes!$E:$E,$C4241,Movimentacoes!$B:$B,"SAIDA_DESCARTE")</f>
        <v/>
      </c>
      <c r="J4241" s="13">
        <f>G4241-H4241-I4241</f>
        <v/>
      </c>
      <c r="K4241">
        <f>IF(A4241="","",IF(J4241&lt;=IFERROR(VLOOKUP(A4241,Cadastro_Produtos!$A:$E,5,FALSE),0),"ABAIXO DO MINIMO","OK"))</f>
        <v/>
      </c>
    </row>
    <row r="4242">
      <c r="B4242">
        <f>IFERROR(VLOOKUP(A4242,Cadastro_Produtos!A:B,2,FALSE),"")</f>
        <v/>
      </c>
      <c r="D4242" s="12" t="n"/>
      <c r="E4242" s="13">
        <f>IF(D4242="","",D4242-TODAY())</f>
        <v/>
      </c>
      <c r="F4242">
        <f>IF(D4242="","",IF(E4242&lt;0,"VENCIDO",IF(E4242&lt;=30,"VENCE EM &lt;= 30 DIAS",IF(E4242&lt;=60,"ATENCAO (31-60 DIAS)","OK"))))</f>
        <v/>
      </c>
      <c r="G4242" s="13">
        <f>SUMIFS(Movimentacoes!$G:$G,Movimentacoes!$C:$C,$A4242,Movimentacoes!$E:$E,$C4242,Movimentacoes!$B:$B,"ENTRADA")</f>
        <v/>
      </c>
      <c r="H4242" s="13">
        <f>SUMIFS(Movimentacoes!$G:$G,Movimentacoes!$C:$C,$A4242,Movimentacoes!$E:$E,$C4242,Movimentacoes!$B:$B,"SAIDA_USO")</f>
        <v/>
      </c>
      <c r="I4242" s="13">
        <f>SUMIFS(Movimentacoes!$G:$G,Movimentacoes!$C:$C,$A4242,Movimentacoes!$E:$E,$C4242,Movimentacoes!$B:$B,"SAIDA_DESCARTE")</f>
        <v/>
      </c>
      <c r="J4242" s="13">
        <f>G4242-H4242-I4242</f>
        <v/>
      </c>
      <c r="K4242">
        <f>IF(A4242="","",IF(J4242&lt;=IFERROR(VLOOKUP(A4242,Cadastro_Produtos!$A:$E,5,FALSE),0),"ABAIXO DO MINIMO","OK"))</f>
        <v/>
      </c>
    </row>
    <row r="4243">
      <c r="B4243">
        <f>IFERROR(VLOOKUP(A4243,Cadastro_Produtos!A:B,2,FALSE),"")</f>
        <v/>
      </c>
      <c r="D4243" s="12" t="n"/>
      <c r="E4243" s="13">
        <f>IF(D4243="","",D4243-TODAY())</f>
        <v/>
      </c>
      <c r="F4243">
        <f>IF(D4243="","",IF(E4243&lt;0,"VENCIDO",IF(E4243&lt;=30,"VENCE EM &lt;= 30 DIAS",IF(E4243&lt;=60,"ATENCAO (31-60 DIAS)","OK"))))</f>
        <v/>
      </c>
      <c r="G4243" s="13">
        <f>SUMIFS(Movimentacoes!$G:$G,Movimentacoes!$C:$C,$A4243,Movimentacoes!$E:$E,$C4243,Movimentacoes!$B:$B,"ENTRADA")</f>
        <v/>
      </c>
      <c r="H4243" s="13">
        <f>SUMIFS(Movimentacoes!$G:$G,Movimentacoes!$C:$C,$A4243,Movimentacoes!$E:$E,$C4243,Movimentacoes!$B:$B,"SAIDA_USO")</f>
        <v/>
      </c>
      <c r="I4243" s="13">
        <f>SUMIFS(Movimentacoes!$G:$G,Movimentacoes!$C:$C,$A4243,Movimentacoes!$E:$E,$C4243,Movimentacoes!$B:$B,"SAIDA_DESCARTE")</f>
        <v/>
      </c>
      <c r="J4243" s="13">
        <f>G4243-H4243-I4243</f>
        <v/>
      </c>
      <c r="K4243">
        <f>IF(A4243="","",IF(J4243&lt;=IFERROR(VLOOKUP(A4243,Cadastro_Produtos!$A:$E,5,FALSE),0),"ABAIXO DO MINIMO","OK"))</f>
        <v/>
      </c>
    </row>
    <row r="4244">
      <c r="B4244">
        <f>IFERROR(VLOOKUP(A4244,Cadastro_Produtos!A:B,2,FALSE),"")</f>
        <v/>
      </c>
      <c r="D4244" s="12" t="n"/>
      <c r="E4244" s="13">
        <f>IF(D4244="","",D4244-TODAY())</f>
        <v/>
      </c>
      <c r="F4244">
        <f>IF(D4244="","",IF(E4244&lt;0,"VENCIDO",IF(E4244&lt;=30,"VENCE EM &lt;= 30 DIAS",IF(E4244&lt;=60,"ATENCAO (31-60 DIAS)","OK"))))</f>
        <v/>
      </c>
      <c r="G4244" s="13">
        <f>SUMIFS(Movimentacoes!$G:$G,Movimentacoes!$C:$C,$A4244,Movimentacoes!$E:$E,$C4244,Movimentacoes!$B:$B,"ENTRADA")</f>
        <v/>
      </c>
      <c r="H4244" s="13">
        <f>SUMIFS(Movimentacoes!$G:$G,Movimentacoes!$C:$C,$A4244,Movimentacoes!$E:$E,$C4244,Movimentacoes!$B:$B,"SAIDA_USO")</f>
        <v/>
      </c>
      <c r="I4244" s="13">
        <f>SUMIFS(Movimentacoes!$G:$G,Movimentacoes!$C:$C,$A4244,Movimentacoes!$E:$E,$C4244,Movimentacoes!$B:$B,"SAIDA_DESCARTE")</f>
        <v/>
      </c>
      <c r="J4244" s="13">
        <f>G4244-H4244-I4244</f>
        <v/>
      </c>
      <c r="K4244">
        <f>IF(A4244="","",IF(J4244&lt;=IFERROR(VLOOKUP(A4244,Cadastro_Produtos!$A:$E,5,FALSE),0),"ABAIXO DO MINIMO","OK"))</f>
        <v/>
      </c>
    </row>
    <row r="4245">
      <c r="B4245">
        <f>IFERROR(VLOOKUP(A4245,Cadastro_Produtos!A:B,2,FALSE),"")</f>
        <v/>
      </c>
      <c r="D4245" s="12" t="n"/>
      <c r="E4245" s="13">
        <f>IF(D4245="","",D4245-TODAY())</f>
        <v/>
      </c>
      <c r="F4245">
        <f>IF(D4245="","",IF(E4245&lt;0,"VENCIDO",IF(E4245&lt;=30,"VENCE EM &lt;= 30 DIAS",IF(E4245&lt;=60,"ATENCAO (31-60 DIAS)","OK"))))</f>
        <v/>
      </c>
      <c r="G4245" s="13">
        <f>SUMIFS(Movimentacoes!$G:$G,Movimentacoes!$C:$C,$A4245,Movimentacoes!$E:$E,$C4245,Movimentacoes!$B:$B,"ENTRADA")</f>
        <v/>
      </c>
      <c r="H4245" s="13">
        <f>SUMIFS(Movimentacoes!$G:$G,Movimentacoes!$C:$C,$A4245,Movimentacoes!$E:$E,$C4245,Movimentacoes!$B:$B,"SAIDA_USO")</f>
        <v/>
      </c>
      <c r="I4245" s="13">
        <f>SUMIFS(Movimentacoes!$G:$G,Movimentacoes!$C:$C,$A4245,Movimentacoes!$E:$E,$C4245,Movimentacoes!$B:$B,"SAIDA_DESCARTE")</f>
        <v/>
      </c>
      <c r="J4245" s="13">
        <f>G4245-H4245-I4245</f>
        <v/>
      </c>
      <c r="K4245">
        <f>IF(A4245="","",IF(J4245&lt;=IFERROR(VLOOKUP(A4245,Cadastro_Produtos!$A:$E,5,FALSE),0),"ABAIXO DO MINIMO","OK"))</f>
        <v/>
      </c>
    </row>
    <row r="4246">
      <c r="B4246">
        <f>IFERROR(VLOOKUP(A4246,Cadastro_Produtos!A:B,2,FALSE),"")</f>
        <v/>
      </c>
      <c r="D4246" s="12" t="n"/>
      <c r="E4246" s="13">
        <f>IF(D4246="","",D4246-TODAY())</f>
        <v/>
      </c>
      <c r="F4246">
        <f>IF(D4246="","",IF(E4246&lt;0,"VENCIDO",IF(E4246&lt;=30,"VENCE EM &lt;= 30 DIAS",IF(E4246&lt;=60,"ATENCAO (31-60 DIAS)","OK"))))</f>
        <v/>
      </c>
      <c r="G4246" s="13">
        <f>SUMIFS(Movimentacoes!$G:$G,Movimentacoes!$C:$C,$A4246,Movimentacoes!$E:$E,$C4246,Movimentacoes!$B:$B,"ENTRADA")</f>
        <v/>
      </c>
      <c r="H4246" s="13">
        <f>SUMIFS(Movimentacoes!$G:$G,Movimentacoes!$C:$C,$A4246,Movimentacoes!$E:$E,$C4246,Movimentacoes!$B:$B,"SAIDA_USO")</f>
        <v/>
      </c>
      <c r="I4246" s="13">
        <f>SUMIFS(Movimentacoes!$G:$G,Movimentacoes!$C:$C,$A4246,Movimentacoes!$E:$E,$C4246,Movimentacoes!$B:$B,"SAIDA_DESCARTE")</f>
        <v/>
      </c>
      <c r="J4246" s="13">
        <f>G4246-H4246-I4246</f>
        <v/>
      </c>
      <c r="K4246">
        <f>IF(A4246="","",IF(J4246&lt;=IFERROR(VLOOKUP(A4246,Cadastro_Produtos!$A:$E,5,FALSE),0),"ABAIXO DO MINIMO","OK"))</f>
        <v/>
      </c>
    </row>
    <row r="4247">
      <c r="B4247">
        <f>IFERROR(VLOOKUP(A4247,Cadastro_Produtos!A:B,2,FALSE),"")</f>
        <v/>
      </c>
      <c r="D4247" s="12" t="n"/>
      <c r="E4247" s="13">
        <f>IF(D4247="","",D4247-TODAY())</f>
        <v/>
      </c>
      <c r="F4247">
        <f>IF(D4247="","",IF(E4247&lt;0,"VENCIDO",IF(E4247&lt;=30,"VENCE EM &lt;= 30 DIAS",IF(E4247&lt;=60,"ATENCAO (31-60 DIAS)","OK"))))</f>
        <v/>
      </c>
      <c r="G4247" s="13">
        <f>SUMIFS(Movimentacoes!$G:$G,Movimentacoes!$C:$C,$A4247,Movimentacoes!$E:$E,$C4247,Movimentacoes!$B:$B,"ENTRADA")</f>
        <v/>
      </c>
      <c r="H4247" s="13">
        <f>SUMIFS(Movimentacoes!$G:$G,Movimentacoes!$C:$C,$A4247,Movimentacoes!$E:$E,$C4247,Movimentacoes!$B:$B,"SAIDA_USO")</f>
        <v/>
      </c>
      <c r="I4247" s="13">
        <f>SUMIFS(Movimentacoes!$G:$G,Movimentacoes!$C:$C,$A4247,Movimentacoes!$E:$E,$C4247,Movimentacoes!$B:$B,"SAIDA_DESCARTE")</f>
        <v/>
      </c>
      <c r="J4247" s="13">
        <f>G4247-H4247-I4247</f>
        <v/>
      </c>
      <c r="K4247">
        <f>IF(A4247="","",IF(J4247&lt;=IFERROR(VLOOKUP(A4247,Cadastro_Produtos!$A:$E,5,FALSE),0),"ABAIXO DO MINIMO","OK"))</f>
        <v/>
      </c>
    </row>
    <row r="4248">
      <c r="B4248">
        <f>IFERROR(VLOOKUP(A4248,Cadastro_Produtos!A:B,2,FALSE),"")</f>
        <v/>
      </c>
      <c r="D4248" s="12" t="n"/>
      <c r="E4248" s="13">
        <f>IF(D4248="","",D4248-TODAY())</f>
        <v/>
      </c>
      <c r="F4248">
        <f>IF(D4248="","",IF(E4248&lt;0,"VENCIDO",IF(E4248&lt;=30,"VENCE EM &lt;= 30 DIAS",IF(E4248&lt;=60,"ATENCAO (31-60 DIAS)","OK"))))</f>
        <v/>
      </c>
      <c r="G4248" s="13">
        <f>SUMIFS(Movimentacoes!$G:$G,Movimentacoes!$C:$C,$A4248,Movimentacoes!$E:$E,$C4248,Movimentacoes!$B:$B,"ENTRADA")</f>
        <v/>
      </c>
      <c r="H4248" s="13">
        <f>SUMIFS(Movimentacoes!$G:$G,Movimentacoes!$C:$C,$A4248,Movimentacoes!$E:$E,$C4248,Movimentacoes!$B:$B,"SAIDA_USO")</f>
        <v/>
      </c>
      <c r="I4248" s="13">
        <f>SUMIFS(Movimentacoes!$G:$G,Movimentacoes!$C:$C,$A4248,Movimentacoes!$E:$E,$C4248,Movimentacoes!$B:$B,"SAIDA_DESCARTE")</f>
        <v/>
      </c>
      <c r="J4248" s="13">
        <f>G4248-H4248-I4248</f>
        <v/>
      </c>
      <c r="K4248">
        <f>IF(A4248="","",IF(J4248&lt;=IFERROR(VLOOKUP(A4248,Cadastro_Produtos!$A:$E,5,FALSE),0),"ABAIXO DO MINIMO","OK"))</f>
        <v/>
      </c>
    </row>
    <row r="4249">
      <c r="B4249">
        <f>IFERROR(VLOOKUP(A4249,Cadastro_Produtos!A:B,2,FALSE),"")</f>
        <v/>
      </c>
      <c r="D4249" s="12" t="n"/>
      <c r="E4249" s="13">
        <f>IF(D4249="","",D4249-TODAY())</f>
        <v/>
      </c>
      <c r="F4249">
        <f>IF(D4249="","",IF(E4249&lt;0,"VENCIDO",IF(E4249&lt;=30,"VENCE EM &lt;= 30 DIAS",IF(E4249&lt;=60,"ATENCAO (31-60 DIAS)","OK"))))</f>
        <v/>
      </c>
      <c r="G4249" s="13">
        <f>SUMIFS(Movimentacoes!$G:$G,Movimentacoes!$C:$C,$A4249,Movimentacoes!$E:$E,$C4249,Movimentacoes!$B:$B,"ENTRADA")</f>
        <v/>
      </c>
      <c r="H4249" s="13">
        <f>SUMIFS(Movimentacoes!$G:$G,Movimentacoes!$C:$C,$A4249,Movimentacoes!$E:$E,$C4249,Movimentacoes!$B:$B,"SAIDA_USO")</f>
        <v/>
      </c>
      <c r="I4249" s="13">
        <f>SUMIFS(Movimentacoes!$G:$G,Movimentacoes!$C:$C,$A4249,Movimentacoes!$E:$E,$C4249,Movimentacoes!$B:$B,"SAIDA_DESCARTE")</f>
        <v/>
      </c>
      <c r="J4249" s="13">
        <f>G4249-H4249-I4249</f>
        <v/>
      </c>
      <c r="K4249">
        <f>IF(A4249="","",IF(J4249&lt;=IFERROR(VLOOKUP(A4249,Cadastro_Produtos!$A:$E,5,FALSE),0),"ABAIXO DO MINIMO","OK"))</f>
        <v/>
      </c>
    </row>
    <row r="4250">
      <c r="B4250">
        <f>IFERROR(VLOOKUP(A4250,Cadastro_Produtos!A:B,2,FALSE),"")</f>
        <v/>
      </c>
      <c r="D4250" s="12" t="n"/>
      <c r="E4250" s="13">
        <f>IF(D4250="","",D4250-TODAY())</f>
        <v/>
      </c>
      <c r="F4250">
        <f>IF(D4250="","",IF(E4250&lt;0,"VENCIDO",IF(E4250&lt;=30,"VENCE EM &lt;= 30 DIAS",IF(E4250&lt;=60,"ATENCAO (31-60 DIAS)","OK"))))</f>
        <v/>
      </c>
      <c r="G4250" s="13">
        <f>SUMIFS(Movimentacoes!$G:$G,Movimentacoes!$C:$C,$A4250,Movimentacoes!$E:$E,$C4250,Movimentacoes!$B:$B,"ENTRADA")</f>
        <v/>
      </c>
      <c r="H4250" s="13">
        <f>SUMIFS(Movimentacoes!$G:$G,Movimentacoes!$C:$C,$A4250,Movimentacoes!$E:$E,$C4250,Movimentacoes!$B:$B,"SAIDA_USO")</f>
        <v/>
      </c>
      <c r="I4250" s="13">
        <f>SUMIFS(Movimentacoes!$G:$G,Movimentacoes!$C:$C,$A4250,Movimentacoes!$E:$E,$C4250,Movimentacoes!$B:$B,"SAIDA_DESCARTE")</f>
        <v/>
      </c>
      <c r="J4250" s="13">
        <f>G4250-H4250-I4250</f>
        <v/>
      </c>
      <c r="K4250">
        <f>IF(A4250="","",IF(J4250&lt;=IFERROR(VLOOKUP(A4250,Cadastro_Produtos!$A:$E,5,FALSE),0),"ABAIXO DO MINIMO","OK"))</f>
        <v/>
      </c>
    </row>
    <row r="4251">
      <c r="B4251">
        <f>IFERROR(VLOOKUP(A4251,Cadastro_Produtos!A:B,2,FALSE),"")</f>
        <v/>
      </c>
      <c r="D4251" s="12" t="n"/>
      <c r="E4251" s="13">
        <f>IF(D4251="","",D4251-TODAY())</f>
        <v/>
      </c>
      <c r="F4251">
        <f>IF(D4251="","",IF(E4251&lt;0,"VENCIDO",IF(E4251&lt;=30,"VENCE EM &lt;= 30 DIAS",IF(E4251&lt;=60,"ATENCAO (31-60 DIAS)","OK"))))</f>
        <v/>
      </c>
      <c r="G4251" s="13">
        <f>SUMIFS(Movimentacoes!$G:$G,Movimentacoes!$C:$C,$A4251,Movimentacoes!$E:$E,$C4251,Movimentacoes!$B:$B,"ENTRADA")</f>
        <v/>
      </c>
      <c r="H4251" s="13">
        <f>SUMIFS(Movimentacoes!$G:$G,Movimentacoes!$C:$C,$A4251,Movimentacoes!$E:$E,$C4251,Movimentacoes!$B:$B,"SAIDA_USO")</f>
        <v/>
      </c>
      <c r="I4251" s="13">
        <f>SUMIFS(Movimentacoes!$G:$G,Movimentacoes!$C:$C,$A4251,Movimentacoes!$E:$E,$C4251,Movimentacoes!$B:$B,"SAIDA_DESCARTE")</f>
        <v/>
      </c>
      <c r="J4251" s="13">
        <f>G4251-H4251-I4251</f>
        <v/>
      </c>
      <c r="K4251">
        <f>IF(A4251="","",IF(J4251&lt;=IFERROR(VLOOKUP(A4251,Cadastro_Produtos!$A:$E,5,FALSE),0),"ABAIXO DO MINIMO","OK"))</f>
        <v/>
      </c>
    </row>
    <row r="4252">
      <c r="B4252">
        <f>IFERROR(VLOOKUP(A4252,Cadastro_Produtos!A:B,2,FALSE),"")</f>
        <v/>
      </c>
      <c r="D4252" s="12" t="n"/>
      <c r="E4252" s="13">
        <f>IF(D4252="","",D4252-TODAY())</f>
        <v/>
      </c>
      <c r="F4252">
        <f>IF(D4252="","",IF(E4252&lt;0,"VENCIDO",IF(E4252&lt;=30,"VENCE EM &lt;= 30 DIAS",IF(E4252&lt;=60,"ATENCAO (31-60 DIAS)","OK"))))</f>
        <v/>
      </c>
      <c r="G4252" s="13">
        <f>SUMIFS(Movimentacoes!$G:$G,Movimentacoes!$C:$C,$A4252,Movimentacoes!$E:$E,$C4252,Movimentacoes!$B:$B,"ENTRADA")</f>
        <v/>
      </c>
      <c r="H4252" s="13">
        <f>SUMIFS(Movimentacoes!$G:$G,Movimentacoes!$C:$C,$A4252,Movimentacoes!$E:$E,$C4252,Movimentacoes!$B:$B,"SAIDA_USO")</f>
        <v/>
      </c>
      <c r="I4252" s="13">
        <f>SUMIFS(Movimentacoes!$G:$G,Movimentacoes!$C:$C,$A4252,Movimentacoes!$E:$E,$C4252,Movimentacoes!$B:$B,"SAIDA_DESCARTE")</f>
        <v/>
      </c>
      <c r="J4252" s="13">
        <f>G4252-H4252-I4252</f>
        <v/>
      </c>
      <c r="K4252">
        <f>IF(A4252="","",IF(J4252&lt;=IFERROR(VLOOKUP(A4252,Cadastro_Produtos!$A:$E,5,FALSE),0),"ABAIXO DO MINIMO","OK"))</f>
        <v/>
      </c>
    </row>
    <row r="4253">
      <c r="B4253">
        <f>IFERROR(VLOOKUP(A4253,Cadastro_Produtos!A:B,2,FALSE),"")</f>
        <v/>
      </c>
      <c r="D4253" s="12" t="n"/>
      <c r="E4253" s="13">
        <f>IF(D4253="","",D4253-TODAY())</f>
        <v/>
      </c>
      <c r="F4253">
        <f>IF(D4253="","",IF(E4253&lt;0,"VENCIDO",IF(E4253&lt;=30,"VENCE EM &lt;= 30 DIAS",IF(E4253&lt;=60,"ATENCAO (31-60 DIAS)","OK"))))</f>
        <v/>
      </c>
      <c r="G4253" s="13">
        <f>SUMIFS(Movimentacoes!$G:$G,Movimentacoes!$C:$C,$A4253,Movimentacoes!$E:$E,$C4253,Movimentacoes!$B:$B,"ENTRADA")</f>
        <v/>
      </c>
      <c r="H4253" s="13">
        <f>SUMIFS(Movimentacoes!$G:$G,Movimentacoes!$C:$C,$A4253,Movimentacoes!$E:$E,$C4253,Movimentacoes!$B:$B,"SAIDA_USO")</f>
        <v/>
      </c>
      <c r="I4253" s="13">
        <f>SUMIFS(Movimentacoes!$G:$G,Movimentacoes!$C:$C,$A4253,Movimentacoes!$E:$E,$C4253,Movimentacoes!$B:$B,"SAIDA_DESCARTE")</f>
        <v/>
      </c>
      <c r="J4253" s="13">
        <f>G4253-H4253-I4253</f>
        <v/>
      </c>
      <c r="K4253">
        <f>IF(A4253="","",IF(J4253&lt;=IFERROR(VLOOKUP(A4253,Cadastro_Produtos!$A:$E,5,FALSE),0),"ABAIXO DO MINIMO","OK"))</f>
        <v/>
      </c>
    </row>
    <row r="4254">
      <c r="B4254">
        <f>IFERROR(VLOOKUP(A4254,Cadastro_Produtos!A:B,2,FALSE),"")</f>
        <v/>
      </c>
      <c r="D4254" s="12" t="n"/>
      <c r="E4254" s="13">
        <f>IF(D4254="","",D4254-TODAY())</f>
        <v/>
      </c>
      <c r="F4254">
        <f>IF(D4254="","",IF(E4254&lt;0,"VENCIDO",IF(E4254&lt;=30,"VENCE EM &lt;= 30 DIAS",IF(E4254&lt;=60,"ATENCAO (31-60 DIAS)","OK"))))</f>
        <v/>
      </c>
      <c r="G4254" s="13">
        <f>SUMIFS(Movimentacoes!$G:$G,Movimentacoes!$C:$C,$A4254,Movimentacoes!$E:$E,$C4254,Movimentacoes!$B:$B,"ENTRADA")</f>
        <v/>
      </c>
      <c r="H4254" s="13">
        <f>SUMIFS(Movimentacoes!$G:$G,Movimentacoes!$C:$C,$A4254,Movimentacoes!$E:$E,$C4254,Movimentacoes!$B:$B,"SAIDA_USO")</f>
        <v/>
      </c>
      <c r="I4254" s="13">
        <f>SUMIFS(Movimentacoes!$G:$G,Movimentacoes!$C:$C,$A4254,Movimentacoes!$E:$E,$C4254,Movimentacoes!$B:$B,"SAIDA_DESCARTE")</f>
        <v/>
      </c>
      <c r="J4254" s="13">
        <f>G4254-H4254-I4254</f>
        <v/>
      </c>
      <c r="K4254">
        <f>IF(A4254="","",IF(J4254&lt;=IFERROR(VLOOKUP(A4254,Cadastro_Produtos!$A:$E,5,FALSE),0),"ABAIXO DO MINIMO","OK"))</f>
        <v/>
      </c>
    </row>
    <row r="4255">
      <c r="B4255">
        <f>IFERROR(VLOOKUP(A4255,Cadastro_Produtos!A:B,2,FALSE),"")</f>
        <v/>
      </c>
      <c r="D4255" s="12" t="n"/>
      <c r="E4255" s="13">
        <f>IF(D4255="","",D4255-TODAY())</f>
        <v/>
      </c>
      <c r="F4255">
        <f>IF(D4255="","",IF(E4255&lt;0,"VENCIDO",IF(E4255&lt;=30,"VENCE EM &lt;= 30 DIAS",IF(E4255&lt;=60,"ATENCAO (31-60 DIAS)","OK"))))</f>
        <v/>
      </c>
      <c r="G4255" s="13">
        <f>SUMIFS(Movimentacoes!$G:$G,Movimentacoes!$C:$C,$A4255,Movimentacoes!$E:$E,$C4255,Movimentacoes!$B:$B,"ENTRADA")</f>
        <v/>
      </c>
      <c r="H4255" s="13">
        <f>SUMIFS(Movimentacoes!$G:$G,Movimentacoes!$C:$C,$A4255,Movimentacoes!$E:$E,$C4255,Movimentacoes!$B:$B,"SAIDA_USO")</f>
        <v/>
      </c>
      <c r="I4255" s="13">
        <f>SUMIFS(Movimentacoes!$G:$G,Movimentacoes!$C:$C,$A4255,Movimentacoes!$E:$E,$C4255,Movimentacoes!$B:$B,"SAIDA_DESCARTE")</f>
        <v/>
      </c>
      <c r="J4255" s="13">
        <f>G4255-H4255-I4255</f>
        <v/>
      </c>
      <c r="K4255">
        <f>IF(A4255="","",IF(J4255&lt;=IFERROR(VLOOKUP(A4255,Cadastro_Produtos!$A:$E,5,FALSE),0),"ABAIXO DO MINIMO","OK"))</f>
        <v/>
      </c>
    </row>
    <row r="4256">
      <c r="B4256">
        <f>IFERROR(VLOOKUP(A4256,Cadastro_Produtos!A:B,2,FALSE),"")</f>
        <v/>
      </c>
      <c r="D4256" s="12" t="n"/>
      <c r="E4256" s="13">
        <f>IF(D4256="","",D4256-TODAY())</f>
        <v/>
      </c>
      <c r="F4256">
        <f>IF(D4256="","",IF(E4256&lt;0,"VENCIDO",IF(E4256&lt;=30,"VENCE EM &lt;= 30 DIAS",IF(E4256&lt;=60,"ATENCAO (31-60 DIAS)","OK"))))</f>
        <v/>
      </c>
      <c r="G4256" s="13">
        <f>SUMIFS(Movimentacoes!$G:$G,Movimentacoes!$C:$C,$A4256,Movimentacoes!$E:$E,$C4256,Movimentacoes!$B:$B,"ENTRADA")</f>
        <v/>
      </c>
      <c r="H4256" s="13">
        <f>SUMIFS(Movimentacoes!$G:$G,Movimentacoes!$C:$C,$A4256,Movimentacoes!$E:$E,$C4256,Movimentacoes!$B:$B,"SAIDA_USO")</f>
        <v/>
      </c>
      <c r="I4256" s="13">
        <f>SUMIFS(Movimentacoes!$G:$G,Movimentacoes!$C:$C,$A4256,Movimentacoes!$E:$E,$C4256,Movimentacoes!$B:$B,"SAIDA_DESCARTE")</f>
        <v/>
      </c>
      <c r="J4256" s="13">
        <f>G4256-H4256-I4256</f>
        <v/>
      </c>
      <c r="K4256">
        <f>IF(A4256="","",IF(J4256&lt;=IFERROR(VLOOKUP(A4256,Cadastro_Produtos!$A:$E,5,FALSE),0),"ABAIXO DO MINIMO","OK"))</f>
        <v/>
      </c>
    </row>
    <row r="4257">
      <c r="B4257">
        <f>IFERROR(VLOOKUP(A4257,Cadastro_Produtos!A:B,2,FALSE),"")</f>
        <v/>
      </c>
      <c r="D4257" s="12" t="n"/>
      <c r="E4257" s="13">
        <f>IF(D4257="","",D4257-TODAY())</f>
        <v/>
      </c>
      <c r="F4257">
        <f>IF(D4257="","",IF(E4257&lt;0,"VENCIDO",IF(E4257&lt;=30,"VENCE EM &lt;= 30 DIAS",IF(E4257&lt;=60,"ATENCAO (31-60 DIAS)","OK"))))</f>
        <v/>
      </c>
      <c r="G4257" s="13">
        <f>SUMIFS(Movimentacoes!$G:$G,Movimentacoes!$C:$C,$A4257,Movimentacoes!$E:$E,$C4257,Movimentacoes!$B:$B,"ENTRADA")</f>
        <v/>
      </c>
      <c r="H4257" s="13">
        <f>SUMIFS(Movimentacoes!$G:$G,Movimentacoes!$C:$C,$A4257,Movimentacoes!$E:$E,$C4257,Movimentacoes!$B:$B,"SAIDA_USO")</f>
        <v/>
      </c>
      <c r="I4257" s="13">
        <f>SUMIFS(Movimentacoes!$G:$G,Movimentacoes!$C:$C,$A4257,Movimentacoes!$E:$E,$C4257,Movimentacoes!$B:$B,"SAIDA_DESCARTE")</f>
        <v/>
      </c>
      <c r="J4257" s="13">
        <f>G4257-H4257-I4257</f>
        <v/>
      </c>
      <c r="K4257">
        <f>IF(A4257="","",IF(J4257&lt;=IFERROR(VLOOKUP(A4257,Cadastro_Produtos!$A:$E,5,FALSE),0),"ABAIXO DO MINIMO","OK"))</f>
        <v/>
      </c>
    </row>
    <row r="4258">
      <c r="B4258">
        <f>IFERROR(VLOOKUP(A4258,Cadastro_Produtos!A:B,2,FALSE),"")</f>
        <v/>
      </c>
      <c r="D4258" s="12" t="n"/>
      <c r="E4258" s="13">
        <f>IF(D4258="","",D4258-TODAY())</f>
        <v/>
      </c>
      <c r="F4258">
        <f>IF(D4258="","",IF(E4258&lt;0,"VENCIDO",IF(E4258&lt;=30,"VENCE EM &lt;= 30 DIAS",IF(E4258&lt;=60,"ATENCAO (31-60 DIAS)","OK"))))</f>
        <v/>
      </c>
      <c r="G4258" s="13">
        <f>SUMIFS(Movimentacoes!$G:$G,Movimentacoes!$C:$C,$A4258,Movimentacoes!$E:$E,$C4258,Movimentacoes!$B:$B,"ENTRADA")</f>
        <v/>
      </c>
      <c r="H4258" s="13">
        <f>SUMIFS(Movimentacoes!$G:$G,Movimentacoes!$C:$C,$A4258,Movimentacoes!$E:$E,$C4258,Movimentacoes!$B:$B,"SAIDA_USO")</f>
        <v/>
      </c>
      <c r="I4258" s="13">
        <f>SUMIFS(Movimentacoes!$G:$G,Movimentacoes!$C:$C,$A4258,Movimentacoes!$E:$E,$C4258,Movimentacoes!$B:$B,"SAIDA_DESCARTE")</f>
        <v/>
      </c>
      <c r="J4258" s="13">
        <f>G4258-H4258-I4258</f>
        <v/>
      </c>
      <c r="K4258">
        <f>IF(A4258="","",IF(J4258&lt;=IFERROR(VLOOKUP(A4258,Cadastro_Produtos!$A:$E,5,FALSE),0),"ABAIXO DO MINIMO","OK"))</f>
        <v/>
      </c>
    </row>
    <row r="4259">
      <c r="B4259">
        <f>IFERROR(VLOOKUP(A4259,Cadastro_Produtos!A:B,2,FALSE),"")</f>
        <v/>
      </c>
      <c r="D4259" s="12" t="n"/>
      <c r="E4259" s="13">
        <f>IF(D4259="","",D4259-TODAY())</f>
        <v/>
      </c>
      <c r="F4259">
        <f>IF(D4259="","",IF(E4259&lt;0,"VENCIDO",IF(E4259&lt;=30,"VENCE EM &lt;= 30 DIAS",IF(E4259&lt;=60,"ATENCAO (31-60 DIAS)","OK"))))</f>
        <v/>
      </c>
      <c r="G4259" s="13">
        <f>SUMIFS(Movimentacoes!$G:$G,Movimentacoes!$C:$C,$A4259,Movimentacoes!$E:$E,$C4259,Movimentacoes!$B:$B,"ENTRADA")</f>
        <v/>
      </c>
      <c r="H4259" s="13">
        <f>SUMIFS(Movimentacoes!$G:$G,Movimentacoes!$C:$C,$A4259,Movimentacoes!$E:$E,$C4259,Movimentacoes!$B:$B,"SAIDA_USO")</f>
        <v/>
      </c>
      <c r="I4259" s="13">
        <f>SUMIFS(Movimentacoes!$G:$G,Movimentacoes!$C:$C,$A4259,Movimentacoes!$E:$E,$C4259,Movimentacoes!$B:$B,"SAIDA_DESCARTE")</f>
        <v/>
      </c>
      <c r="J4259" s="13">
        <f>G4259-H4259-I4259</f>
        <v/>
      </c>
      <c r="K4259">
        <f>IF(A4259="","",IF(J4259&lt;=IFERROR(VLOOKUP(A4259,Cadastro_Produtos!$A:$E,5,FALSE),0),"ABAIXO DO MINIMO","OK"))</f>
        <v/>
      </c>
    </row>
    <row r="4260">
      <c r="B4260">
        <f>IFERROR(VLOOKUP(A4260,Cadastro_Produtos!A:B,2,FALSE),"")</f>
        <v/>
      </c>
      <c r="D4260" s="12" t="n"/>
      <c r="E4260" s="13">
        <f>IF(D4260="","",D4260-TODAY())</f>
        <v/>
      </c>
      <c r="F4260">
        <f>IF(D4260="","",IF(E4260&lt;0,"VENCIDO",IF(E4260&lt;=30,"VENCE EM &lt;= 30 DIAS",IF(E4260&lt;=60,"ATENCAO (31-60 DIAS)","OK"))))</f>
        <v/>
      </c>
      <c r="G4260" s="13">
        <f>SUMIFS(Movimentacoes!$G:$G,Movimentacoes!$C:$C,$A4260,Movimentacoes!$E:$E,$C4260,Movimentacoes!$B:$B,"ENTRADA")</f>
        <v/>
      </c>
      <c r="H4260" s="13">
        <f>SUMIFS(Movimentacoes!$G:$G,Movimentacoes!$C:$C,$A4260,Movimentacoes!$E:$E,$C4260,Movimentacoes!$B:$B,"SAIDA_USO")</f>
        <v/>
      </c>
      <c r="I4260" s="13">
        <f>SUMIFS(Movimentacoes!$G:$G,Movimentacoes!$C:$C,$A4260,Movimentacoes!$E:$E,$C4260,Movimentacoes!$B:$B,"SAIDA_DESCARTE")</f>
        <v/>
      </c>
      <c r="J4260" s="13">
        <f>G4260-H4260-I4260</f>
        <v/>
      </c>
      <c r="K4260">
        <f>IF(A4260="","",IF(J4260&lt;=IFERROR(VLOOKUP(A4260,Cadastro_Produtos!$A:$E,5,FALSE),0),"ABAIXO DO MINIMO","OK"))</f>
        <v/>
      </c>
    </row>
    <row r="4261">
      <c r="B4261">
        <f>IFERROR(VLOOKUP(A4261,Cadastro_Produtos!A:B,2,FALSE),"")</f>
        <v/>
      </c>
      <c r="D4261" s="12" t="n"/>
      <c r="E4261" s="13">
        <f>IF(D4261="","",D4261-TODAY())</f>
        <v/>
      </c>
      <c r="F4261">
        <f>IF(D4261="","",IF(E4261&lt;0,"VENCIDO",IF(E4261&lt;=30,"VENCE EM &lt;= 30 DIAS",IF(E4261&lt;=60,"ATENCAO (31-60 DIAS)","OK"))))</f>
        <v/>
      </c>
      <c r="G4261" s="13">
        <f>SUMIFS(Movimentacoes!$G:$G,Movimentacoes!$C:$C,$A4261,Movimentacoes!$E:$E,$C4261,Movimentacoes!$B:$B,"ENTRADA")</f>
        <v/>
      </c>
      <c r="H4261" s="13">
        <f>SUMIFS(Movimentacoes!$G:$G,Movimentacoes!$C:$C,$A4261,Movimentacoes!$E:$E,$C4261,Movimentacoes!$B:$B,"SAIDA_USO")</f>
        <v/>
      </c>
      <c r="I4261" s="13">
        <f>SUMIFS(Movimentacoes!$G:$G,Movimentacoes!$C:$C,$A4261,Movimentacoes!$E:$E,$C4261,Movimentacoes!$B:$B,"SAIDA_DESCARTE")</f>
        <v/>
      </c>
      <c r="J4261" s="13">
        <f>G4261-H4261-I4261</f>
        <v/>
      </c>
      <c r="K4261">
        <f>IF(A4261="","",IF(J4261&lt;=IFERROR(VLOOKUP(A4261,Cadastro_Produtos!$A:$E,5,FALSE),0),"ABAIXO DO MINIMO","OK"))</f>
        <v/>
      </c>
    </row>
    <row r="4262">
      <c r="B4262">
        <f>IFERROR(VLOOKUP(A4262,Cadastro_Produtos!A:B,2,FALSE),"")</f>
        <v/>
      </c>
      <c r="D4262" s="12" t="n"/>
      <c r="E4262" s="13">
        <f>IF(D4262="","",D4262-TODAY())</f>
        <v/>
      </c>
      <c r="F4262">
        <f>IF(D4262="","",IF(E4262&lt;0,"VENCIDO",IF(E4262&lt;=30,"VENCE EM &lt;= 30 DIAS",IF(E4262&lt;=60,"ATENCAO (31-60 DIAS)","OK"))))</f>
        <v/>
      </c>
      <c r="G4262" s="13">
        <f>SUMIFS(Movimentacoes!$G:$G,Movimentacoes!$C:$C,$A4262,Movimentacoes!$E:$E,$C4262,Movimentacoes!$B:$B,"ENTRADA")</f>
        <v/>
      </c>
      <c r="H4262" s="13">
        <f>SUMIFS(Movimentacoes!$G:$G,Movimentacoes!$C:$C,$A4262,Movimentacoes!$E:$E,$C4262,Movimentacoes!$B:$B,"SAIDA_USO")</f>
        <v/>
      </c>
      <c r="I4262" s="13">
        <f>SUMIFS(Movimentacoes!$G:$G,Movimentacoes!$C:$C,$A4262,Movimentacoes!$E:$E,$C4262,Movimentacoes!$B:$B,"SAIDA_DESCARTE")</f>
        <v/>
      </c>
      <c r="J4262" s="13">
        <f>G4262-H4262-I4262</f>
        <v/>
      </c>
      <c r="K4262">
        <f>IF(A4262="","",IF(J4262&lt;=IFERROR(VLOOKUP(A4262,Cadastro_Produtos!$A:$E,5,FALSE),0),"ABAIXO DO MINIMO","OK"))</f>
        <v/>
      </c>
    </row>
    <row r="4263">
      <c r="B4263">
        <f>IFERROR(VLOOKUP(A4263,Cadastro_Produtos!A:B,2,FALSE),"")</f>
        <v/>
      </c>
      <c r="D4263" s="12" t="n"/>
      <c r="E4263" s="13">
        <f>IF(D4263="","",D4263-TODAY())</f>
        <v/>
      </c>
      <c r="F4263">
        <f>IF(D4263="","",IF(E4263&lt;0,"VENCIDO",IF(E4263&lt;=30,"VENCE EM &lt;= 30 DIAS",IF(E4263&lt;=60,"ATENCAO (31-60 DIAS)","OK"))))</f>
        <v/>
      </c>
      <c r="G4263" s="13">
        <f>SUMIFS(Movimentacoes!$G:$G,Movimentacoes!$C:$C,$A4263,Movimentacoes!$E:$E,$C4263,Movimentacoes!$B:$B,"ENTRADA")</f>
        <v/>
      </c>
      <c r="H4263" s="13">
        <f>SUMIFS(Movimentacoes!$G:$G,Movimentacoes!$C:$C,$A4263,Movimentacoes!$E:$E,$C4263,Movimentacoes!$B:$B,"SAIDA_USO")</f>
        <v/>
      </c>
      <c r="I4263" s="13">
        <f>SUMIFS(Movimentacoes!$G:$G,Movimentacoes!$C:$C,$A4263,Movimentacoes!$E:$E,$C4263,Movimentacoes!$B:$B,"SAIDA_DESCARTE")</f>
        <v/>
      </c>
      <c r="J4263" s="13">
        <f>G4263-H4263-I4263</f>
        <v/>
      </c>
      <c r="K4263">
        <f>IF(A4263="","",IF(J4263&lt;=IFERROR(VLOOKUP(A4263,Cadastro_Produtos!$A:$E,5,FALSE),0),"ABAIXO DO MINIMO","OK"))</f>
        <v/>
      </c>
    </row>
    <row r="4264">
      <c r="B4264">
        <f>IFERROR(VLOOKUP(A4264,Cadastro_Produtos!A:B,2,FALSE),"")</f>
        <v/>
      </c>
      <c r="D4264" s="12" t="n"/>
      <c r="E4264" s="13">
        <f>IF(D4264="","",D4264-TODAY())</f>
        <v/>
      </c>
      <c r="F4264">
        <f>IF(D4264="","",IF(E4264&lt;0,"VENCIDO",IF(E4264&lt;=30,"VENCE EM &lt;= 30 DIAS",IF(E4264&lt;=60,"ATENCAO (31-60 DIAS)","OK"))))</f>
        <v/>
      </c>
      <c r="G4264" s="13">
        <f>SUMIFS(Movimentacoes!$G:$G,Movimentacoes!$C:$C,$A4264,Movimentacoes!$E:$E,$C4264,Movimentacoes!$B:$B,"ENTRADA")</f>
        <v/>
      </c>
      <c r="H4264" s="13">
        <f>SUMIFS(Movimentacoes!$G:$G,Movimentacoes!$C:$C,$A4264,Movimentacoes!$E:$E,$C4264,Movimentacoes!$B:$B,"SAIDA_USO")</f>
        <v/>
      </c>
      <c r="I4264" s="13">
        <f>SUMIFS(Movimentacoes!$G:$G,Movimentacoes!$C:$C,$A4264,Movimentacoes!$E:$E,$C4264,Movimentacoes!$B:$B,"SAIDA_DESCARTE")</f>
        <v/>
      </c>
      <c r="J4264" s="13">
        <f>G4264-H4264-I4264</f>
        <v/>
      </c>
      <c r="K4264">
        <f>IF(A4264="","",IF(J4264&lt;=IFERROR(VLOOKUP(A4264,Cadastro_Produtos!$A:$E,5,FALSE),0),"ABAIXO DO MINIMO","OK"))</f>
        <v/>
      </c>
    </row>
    <row r="4265">
      <c r="B4265">
        <f>IFERROR(VLOOKUP(A4265,Cadastro_Produtos!A:B,2,FALSE),"")</f>
        <v/>
      </c>
      <c r="D4265" s="12" t="n"/>
      <c r="E4265" s="13">
        <f>IF(D4265="","",D4265-TODAY())</f>
        <v/>
      </c>
      <c r="F4265">
        <f>IF(D4265="","",IF(E4265&lt;0,"VENCIDO",IF(E4265&lt;=30,"VENCE EM &lt;= 30 DIAS",IF(E4265&lt;=60,"ATENCAO (31-60 DIAS)","OK"))))</f>
        <v/>
      </c>
      <c r="G4265" s="13">
        <f>SUMIFS(Movimentacoes!$G:$G,Movimentacoes!$C:$C,$A4265,Movimentacoes!$E:$E,$C4265,Movimentacoes!$B:$B,"ENTRADA")</f>
        <v/>
      </c>
      <c r="H4265" s="13">
        <f>SUMIFS(Movimentacoes!$G:$G,Movimentacoes!$C:$C,$A4265,Movimentacoes!$E:$E,$C4265,Movimentacoes!$B:$B,"SAIDA_USO")</f>
        <v/>
      </c>
      <c r="I4265" s="13">
        <f>SUMIFS(Movimentacoes!$G:$G,Movimentacoes!$C:$C,$A4265,Movimentacoes!$E:$E,$C4265,Movimentacoes!$B:$B,"SAIDA_DESCARTE")</f>
        <v/>
      </c>
      <c r="J4265" s="13">
        <f>G4265-H4265-I4265</f>
        <v/>
      </c>
      <c r="K4265">
        <f>IF(A4265="","",IF(J4265&lt;=IFERROR(VLOOKUP(A4265,Cadastro_Produtos!$A:$E,5,FALSE),0),"ABAIXO DO MINIMO","OK"))</f>
        <v/>
      </c>
    </row>
    <row r="4266">
      <c r="B4266">
        <f>IFERROR(VLOOKUP(A4266,Cadastro_Produtos!A:B,2,FALSE),"")</f>
        <v/>
      </c>
      <c r="D4266" s="12" t="n"/>
      <c r="E4266" s="13">
        <f>IF(D4266="","",D4266-TODAY())</f>
        <v/>
      </c>
      <c r="F4266">
        <f>IF(D4266="","",IF(E4266&lt;0,"VENCIDO",IF(E4266&lt;=30,"VENCE EM &lt;= 30 DIAS",IF(E4266&lt;=60,"ATENCAO (31-60 DIAS)","OK"))))</f>
        <v/>
      </c>
      <c r="G4266" s="13">
        <f>SUMIFS(Movimentacoes!$G:$G,Movimentacoes!$C:$C,$A4266,Movimentacoes!$E:$E,$C4266,Movimentacoes!$B:$B,"ENTRADA")</f>
        <v/>
      </c>
      <c r="H4266" s="13">
        <f>SUMIFS(Movimentacoes!$G:$G,Movimentacoes!$C:$C,$A4266,Movimentacoes!$E:$E,$C4266,Movimentacoes!$B:$B,"SAIDA_USO")</f>
        <v/>
      </c>
      <c r="I4266" s="13">
        <f>SUMIFS(Movimentacoes!$G:$G,Movimentacoes!$C:$C,$A4266,Movimentacoes!$E:$E,$C4266,Movimentacoes!$B:$B,"SAIDA_DESCARTE")</f>
        <v/>
      </c>
      <c r="J4266" s="13">
        <f>G4266-H4266-I4266</f>
        <v/>
      </c>
      <c r="K4266">
        <f>IF(A4266="","",IF(J4266&lt;=IFERROR(VLOOKUP(A4266,Cadastro_Produtos!$A:$E,5,FALSE),0),"ABAIXO DO MINIMO","OK"))</f>
        <v/>
      </c>
    </row>
    <row r="4267">
      <c r="B4267">
        <f>IFERROR(VLOOKUP(A4267,Cadastro_Produtos!A:B,2,FALSE),"")</f>
        <v/>
      </c>
      <c r="D4267" s="12" t="n"/>
      <c r="E4267" s="13">
        <f>IF(D4267="","",D4267-TODAY())</f>
        <v/>
      </c>
      <c r="F4267">
        <f>IF(D4267="","",IF(E4267&lt;0,"VENCIDO",IF(E4267&lt;=30,"VENCE EM &lt;= 30 DIAS",IF(E4267&lt;=60,"ATENCAO (31-60 DIAS)","OK"))))</f>
        <v/>
      </c>
      <c r="G4267" s="13">
        <f>SUMIFS(Movimentacoes!$G:$G,Movimentacoes!$C:$C,$A4267,Movimentacoes!$E:$E,$C4267,Movimentacoes!$B:$B,"ENTRADA")</f>
        <v/>
      </c>
      <c r="H4267" s="13">
        <f>SUMIFS(Movimentacoes!$G:$G,Movimentacoes!$C:$C,$A4267,Movimentacoes!$E:$E,$C4267,Movimentacoes!$B:$B,"SAIDA_USO")</f>
        <v/>
      </c>
      <c r="I4267" s="13">
        <f>SUMIFS(Movimentacoes!$G:$G,Movimentacoes!$C:$C,$A4267,Movimentacoes!$E:$E,$C4267,Movimentacoes!$B:$B,"SAIDA_DESCARTE")</f>
        <v/>
      </c>
      <c r="J4267" s="13">
        <f>G4267-H4267-I4267</f>
        <v/>
      </c>
      <c r="K4267">
        <f>IF(A4267="","",IF(J4267&lt;=IFERROR(VLOOKUP(A4267,Cadastro_Produtos!$A:$E,5,FALSE),0),"ABAIXO DO MINIMO","OK"))</f>
        <v/>
      </c>
    </row>
    <row r="4268">
      <c r="B4268">
        <f>IFERROR(VLOOKUP(A4268,Cadastro_Produtos!A:B,2,FALSE),"")</f>
        <v/>
      </c>
      <c r="D4268" s="12" t="n"/>
      <c r="E4268" s="13">
        <f>IF(D4268="","",D4268-TODAY())</f>
        <v/>
      </c>
      <c r="F4268">
        <f>IF(D4268="","",IF(E4268&lt;0,"VENCIDO",IF(E4268&lt;=30,"VENCE EM &lt;= 30 DIAS",IF(E4268&lt;=60,"ATENCAO (31-60 DIAS)","OK"))))</f>
        <v/>
      </c>
      <c r="G4268" s="13">
        <f>SUMIFS(Movimentacoes!$G:$G,Movimentacoes!$C:$C,$A4268,Movimentacoes!$E:$E,$C4268,Movimentacoes!$B:$B,"ENTRADA")</f>
        <v/>
      </c>
      <c r="H4268" s="13">
        <f>SUMIFS(Movimentacoes!$G:$G,Movimentacoes!$C:$C,$A4268,Movimentacoes!$E:$E,$C4268,Movimentacoes!$B:$B,"SAIDA_USO")</f>
        <v/>
      </c>
      <c r="I4268" s="13">
        <f>SUMIFS(Movimentacoes!$G:$G,Movimentacoes!$C:$C,$A4268,Movimentacoes!$E:$E,$C4268,Movimentacoes!$B:$B,"SAIDA_DESCARTE")</f>
        <v/>
      </c>
      <c r="J4268" s="13">
        <f>G4268-H4268-I4268</f>
        <v/>
      </c>
      <c r="K4268">
        <f>IF(A4268="","",IF(J4268&lt;=IFERROR(VLOOKUP(A4268,Cadastro_Produtos!$A:$E,5,FALSE),0),"ABAIXO DO MINIMO","OK"))</f>
        <v/>
      </c>
    </row>
    <row r="4269">
      <c r="B4269">
        <f>IFERROR(VLOOKUP(A4269,Cadastro_Produtos!A:B,2,FALSE),"")</f>
        <v/>
      </c>
      <c r="D4269" s="12" t="n"/>
      <c r="E4269" s="13">
        <f>IF(D4269="","",D4269-TODAY())</f>
        <v/>
      </c>
      <c r="F4269">
        <f>IF(D4269="","",IF(E4269&lt;0,"VENCIDO",IF(E4269&lt;=30,"VENCE EM &lt;= 30 DIAS",IF(E4269&lt;=60,"ATENCAO (31-60 DIAS)","OK"))))</f>
        <v/>
      </c>
      <c r="G4269" s="13">
        <f>SUMIFS(Movimentacoes!$G:$G,Movimentacoes!$C:$C,$A4269,Movimentacoes!$E:$E,$C4269,Movimentacoes!$B:$B,"ENTRADA")</f>
        <v/>
      </c>
      <c r="H4269" s="13">
        <f>SUMIFS(Movimentacoes!$G:$G,Movimentacoes!$C:$C,$A4269,Movimentacoes!$E:$E,$C4269,Movimentacoes!$B:$B,"SAIDA_USO")</f>
        <v/>
      </c>
      <c r="I4269" s="13">
        <f>SUMIFS(Movimentacoes!$G:$G,Movimentacoes!$C:$C,$A4269,Movimentacoes!$E:$E,$C4269,Movimentacoes!$B:$B,"SAIDA_DESCARTE")</f>
        <v/>
      </c>
      <c r="J4269" s="13">
        <f>G4269-H4269-I4269</f>
        <v/>
      </c>
      <c r="K4269">
        <f>IF(A4269="","",IF(J4269&lt;=IFERROR(VLOOKUP(A4269,Cadastro_Produtos!$A:$E,5,FALSE),0),"ABAIXO DO MINIMO","OK"))</f>
        <v/>
      </c>
    </row>
    <row r="4270">
      <c r="B4270">
        <f>IFERROR(VLOOKUP(A4270,Cadastro_Produtos!A:B,2,FALSE),"")</f>
        <v/>
      </c>
      <c r="D4270" s="12" t="n"/>
      <c r="E4270" s="13">
        <f>IF(D4270="","",D4270-TODAY())</f>
        <v/>
      </c>
      <c r="F4270">
        <f>IF(D4270="","",IF(E4270&lt;0,"VENCIDO",IF(E4270&lt;=30,"VENCE EM &lt;= 30 DIAS",IF(E4270&lt;=60,"ATENCAO (31-60 DIAS)","OK"))))</f>
        <v/>
      </c>
      <c r="G4270" s="13">
        <f>SUMIFS(Movimentacoes!$G:$G,Movimentacoes!$C:$C,$A4270,Movimentacoes!$E:$E,$C4270,Movimentacoes!$B:$B,"ENTRADA")</f>
        <v/>
      </c>
      <c r="H4270" s="13">
        <f>SUMIFS(Movimentacoes!$G:$G,Movimentacoes!$C:$C,$A4270,Movimentacoes!$E:$E,$C4270,Movimentacoes!$B:$B,"SAIDA_USO")</f>
        <v/>
      </c>
      <c r="I4270" s="13">
        <f>SUMIFS(Movimentacoes!$G:$G,Movimentacoes!$C:$C,$A4270,Movimentacoes!$E:$E,$C4270,Movimentacoes!$B:$B,"SAIDA_DESCARTE")</f>
        <v/>
      </c>
      <c r="J4270" s="13">
        <f>G4270-H4270-I4270</f>
        <v/>
      </c>
      <c r="K4270">
        <f>IF(A4270="","",IF(J4270&lt;=IFERROR(VLOOKUP(A4270,Cadastro_Produtos!$A:$E,5,FALSE),0),"ABAIXO DO MINIMO","OK"))</f>
        <v/>
      </c>
    </row>
    <row r="4271">
      <c r="B4271">
        <f>IFERROR(VLOOKUP(A4271,Cadastro_Produtos!A:B,2,FALSE),"")</f>
        <v/>
      </c>
      <c r="D4271" s="12" t="n"/>
      <c r="E4271" s="13">
        <f>IF(D4271="","",D4271-TODAY())</f>
        <v/>
      </c>
      <c r="F4271">
        <f>IF(D4271="","",IF(E4271&lt;0,"VENCIDO",IF(E4271&lt;=30,"VENCE EM &lt;= 30 DIAS",IF(E4271&lt;=60,"ATENCAO (31-60 DIAS)","OK"))))</f>
        <v/>
      </c>
      <c r="G4271" s="13">
        <f>SUMIFS(Movimentacoes!$G:$G,Movimentacoes!$C:$C,$A4271,Movimentacoes!$E:$E,$C4271,Movimentacoes!$B:$B,"ENTRADA")</f>
        <v/>
      </c>
      <c r="H4271" s="13">
        <f>SUMIFS(Movimentacoes!$G:$G,Movimentacoes!$C:$C,$A4271,Movimentacoes!$E:$E,$C4271,Movimentacoes!$B:$B,"SAIDA_USO")</f>
        <v/>
      </c>
      <c r="I4271" s="13">
        <f>SUMIFS(Movimentacoes!$G:$G,Movimentacoes!$C:$C,$A4271,Movimentacoes!$E:$E,$C4271,Movimentacoes!$B:$B,"SAIDA_DESCARTE")</f>
        <v/>
      </c>
      <c r="J4271" s="13">
        <f>G4271-H4271-I4271</f>
        <v/>
      </c>
      <c r="K4271">
        <f>IF(A4271="","",IF(J4271&lt;=IFERROR(VLOOKUP(A4271,Cadastro_Produtos!$A:$E,5,FALSE),0),"ABAIXO DO MINIMO","OK"))</f>
        <v/>
      </c>
    </row>
    <row r="4272">
      <c r="B4272">
        <f>IFERROR(VLOOKUP(A4272,Cadastro_Produtos!A:B,2,FALSE),"")</f>
        <v/>
      </c>
      <c r="D4272" s="12" t="n"/>
      <c r="E4272" s="13">
        <f>IF(D4272="","",D4272-TODAY())</f>
        <v/>
      </c>
      <c r="F4272">
        <f>IF(D4272="","",IF(E4272&lt;0,"VENCIDO",IF(E4272&lt;=30,"VENCE EM &lt;= 30 DIAS",IF(E4272&lt;=60,"ATENCAO (31-60 DIAS)","OK"))))</f>
        <v/>
      </c>
      <c r="G4272" s="13">
        <f>SUMIFS(Movimentacoes!$G:$G,Movimentacoes!$C:$C,$A4272,Movimentacoes!$E:$E,$C4272,Movimentacoes!$B:$B,"ENTRADA")</f>
        <v/>
      </c>
      <c r="H4272" s="13">
        <f>SUMIFS(Movimentacoes!$G:$G,Movimentacoes!$C:$C,$A4272,Movimentacoes!$E:$E,$C4272,Movimentacoes!$B:$B,"SAIDA_USO")</f>
        <v/>
      </c>
      <c r="I4272" s="13">
        <f>SUMIFS(Movimentacoes!$G:$G,Movimentacoes!$C:$C,$A4272,Movimentacoes!$E:$E,$C4272,Movimentacoes!$B:$B,"SAIDA_DESCARTE")</f>
        <v/>
      </c>
      <c r="J4272" s="13">
        <f>G4272-H4272-I4272</f>
        <v/>
      </c>
      <c r="K4272">
        <f>IF(A4272="","",IF(J4272&lt;=IFERROR(VLOOKUP(A4272,Cadastro_Produtos!$A:$E,5,FALSE),0),"ABAIXO DO MINIMO","OK"))</f>
        <v/>
      </c>
    </row>
    <row r="4273">
      <c r="B4273">
        <f>IFERROR(VLOOKUP(A4273,Cadastro_Produtos!A:B,2,FALSE),"")</f>
        <v/>
      </c>
      <c r="D4273" s="12" t="n"/>
      <c r="E4273" s="13">
        <f>IF(D4273="","",D4273-TODAY())</f>
        <v/>
      </c>
      <c r="F4273">
        <f>IF(D4273="","",IF(E4273&lt;0,"VENCIDO",IF(E4273&lt;=30,"VENCE EM &lt;= 30 DIAS",IF(E4273&lt;=60,"ATENCAO (31-60 DIAS)","OK"))))</f>
        <v/>
      </c>
      <c r="G4273" s="13">
        <f>SUMIFS(Movimentacoes!$G:$G,Movimentacoes!$C:$C,$A4273,Movimentacoes!$E:$E,$C4273,Movimentacoes!$B:$B,"ENTRADA")</f>
        <v/>
      </c>
      <c r="H4273" s="13">
        <f>SUMIFS(Movimentacoes!$G:$G,Movimentacoes!$C:$C,$A4273,Movimentacoes!$E:$E,$C4273,Movimentacoes!$B:$B,"SAIDA_USO")</f>
        <v/>
      </c>
      <c r="I4273" s="13">
        <f>SUMIFS(Movimentacoes!$G:$G,Movimentacoes!$C:$C,$A4273,Movimentacoes!$E:$E,$C4273,Movimentacoes!$B:$B,"SAIDA_DESCARTE")</f>
        <v/>
      </c>
      <c r="J4273" s="13">
        <f>G4273-H4273-I4273</f>
        <v/>
      </c>
      <c r="K4273">
        <f>IF(A4273="","",IF(J4273&lt;=IFERROR(VLOOKUP(A4273,Cadastro_Produtos!$A:$E,5,FALSE),0),"ABAIXO DO MINIMO","OK"))</f>
        <v/>
      </c>
    </row>
    <row r="4274">
      <c r="B4274">
        <f>IFERROR(VLOOKUP(A4274,Cadastro_Produtos!A:B,2,FALSE),"")</f>
        <v/>
      </c>
      <c r="D4274" s="12" t="n"/>
      <c r="E4274" s="13">
        <f>IF(D4274="","",D4274-TODAY())</f>
        <v/>
      </c>
      <c r="F4274">
        <f>IF(D4274="","",IF(E4274&lt;0,"VENCIDO",IF(E4274&lt;=30,"VENCE EM &lt;= 30 DIAS",IF(E4274&lt;=60,"ATENCAO (31-60 DIAS)","OK"))))</f>
        <v/>
      </c>
      <c r="G4274" s="13">
        <f>SUMIFS(Movimentacoes!$G:$G,Movimentacoes!$C:$C,$A4274,Movimentacoes!$E:$E,$C4274,Movimentacoes!$B:$B,"ENTRADA")</f>
        <v/>
      </c>
      <c r="H4274" s="13">
        <f>SUMIFS(Movimentacoes!$G:$G,Movimentacoes!$C:$C,$A4274,Movimentacoes!$E:$E,$C4274,Movimentacoes!$B:$B,"SAIDA_USO")</f>
        <v/>
      </c>
      <c r="I4274" s="13">
        <f>SUMIFS(Movimentacoes!$G:$G,Movimentacoes!$C:$C,$A4274,Movimentacoes!$E:$E,$C4274,Movimentacoes!$B:$B,"SAIDA_DESCARTE")</f>
        <v/>
      </c>
      <c r="J4274" s="13">
        <f>G4274-H4274-I4274</f>
        <v/>
      </c>
      <c r="K4274">
        <f>IF(A4274="","",IF(J4274&lt;=IFERROR(VLOOKUP(A4274,Cadastro_Produtos!$A:$E,5,FALSE),0),"ABAIXO DO MINIMO","OK"))</f>
        <v/>
      </c>
    </row>
    <row r="4275">
      <c r="B4275">
        <f>IFERROR(VLOOKUP(A4275,Cadastro_Produtos!A:B,2,FALSE),"")</f>
        <v/>
      </c>
      <c r="D4275" s="12" t="n"/>
      <c r="E4275" s="13">
        <f>IF(D4275="","",D4275-TODAY())</f>
        <v/>
      </c>
      <c r="F4275">
        <f>IF(D4275="","",IF(E4275&lt;0,"VENCIDO",IF(E4275&lt;=30,"VENCE EM &lt;= 30 DIAS",IF(E4275&lt;=60,"ATENCAO (31-60 DIAS)","OK"))))</f>
        <v/>
      </c>
      <c r="G4275" s="13">
        <f>SUMIFS(Movimentacoes!$G:$G,Movimentacoes!$C:$C,$A4275,Movimentacoes!$E:$E,$C4275,Movimentacoes!$B:$B,"ENTRADA")</f>
        <v/>
      </c>
      <c r="H4275" s="13">
        <f>SUMIFS(Movimentacoes!$G:$G,Movimentacoes!$C:$C,$A4275,Movimentacoes!$E:$E,$C4275,Movimentacoes!$B:$B,"SAIDA_USO")</f>
        <v/>
      </c>
      <c r="I4275" s="13">
        <f>SUMIFS(Movimentacoes!$G:$G,Movimentacoes!$C:$C,$A4275,Movimentacoes!$E:$E,$C4275,Movimentacoes!$B:$B,"SAIDA_DESCARTE")</f>
        <v/>
      </c>
      <c r="J4275" s="13">
        <f>G4275-H4275-I4275</f>
        <v/>
      </c>
      <c r="K4275">
        <f>IF(A4275="","",IF(J4275&lt;=IFERROR(VLOOKUP(A4275,Cadastro_Produtos!$A:$E,5,FALSE),0),"ABAIXO DO MINIMO","OK"))</f>
        <v/>
      </c>
    </row>
    <row r="4276">
      <c r="B4276">
        <f>IFERROR(VLOOKUP(A4276,Cadastro_Produtos!A:B,2,FALSE),"")</f>
        <v/>
      </c>
      <c r="D4276" s="12" t="n"/>
      <c r="E4276" s="13">
        <f>IF(D4276="","",D4276-TODAY())</f>
        <v/>
      </c>
      <c r="F4276">
        <f>IF(D4276="","",IF(E4276&lt;0,"VENCIDO",IF(E4276&lt;=30,"VENCE EM &lt;= 30 DIAS",IF(E4276&lt;=60,"ATENCAO (31-60 DIAS)","OK"))))</f>
        <v/>
      </c>
      <c r="G4276" s="13">
        <f>SUMIFS(Movimentacoes!$G:$G,Movimentacoes!$C:$C,$A4276,Movimentacoes!$E:$E,$C4276,Movimentacoes!$B:$B,"ENTRADA")</f>
        <v/>
      </c>
      <c r="H4276" s="13">
        <f>SUMIFS(Movimentacoes!$G:$G,Movimentacoes!$C:$C,$A4276,Movimentacoes!$E:$E,$C4276,Movimentacoes!$B:$B,"SAIDA_USO")</f>
        <v/>
      </c>
      <c r="I4276" s="13">
        <f>SUMIFS(Movimentacoes!$G:$G,Movimentacoes!$C:$C,$A4276,Movimentacoes!$E:$E,$C4276,Movimentacoes!$B:$B,"SAIDA_DESCARTE")</f>
        <v/>
      </c>
      <c r="J4276" s="13">
        <f>G4276-H4276-I4276</f>
        <v/>
      </c>
      <c r="K4276">
        <f>IF(A4276="","",IF(J4276&lt;=IFERROR(VLOOKUP(A4276,Cadastro_Produtos!$A:$E,5,FALSE),0),"ABAIXO DO MINIMO","OK"))</f>
        <v/>
      </c>
    </row>
    <row r="4277">
      <c r="B4277">
        <f>IFERROR(VLOOKUP(A4277,Cadastro_Produtos!A:B,2,FALSE),"")</f>
        <v/>
      </c>
      <c r="D4277" s="12" t="n"/>
      <c r="E4277" s="13">
        <f>IF(D4277="","",D4277-TODAY())</f>
        <v/>
      </c>
      <c r="F4277">
        <f>IF(D4277="","",IF(E4277&lt;0,"VENCIDO",IF(E4277&lt;=30,"VENCE EM &lt;= 30 DIAS",IF(E4277&lt;=60,"ATENCAO (31-60 DIAS)","OK"))))</f>
        <v/>
      </c>
      <c r="G4277" s="13">
        <f>SUMIFS(Movimentacoes!$G:$G,Movimentacoes!$C:$C,$A4277,Movimentacoes!$E:$E,$C4277,Movimentacoes!$B:$B,"ENTRADA")</f>
        <v/>
      </c>
      <c r="H4277" s="13">
        <f>SUMIFS(Movimentacoes!$G:$G,Movimentacoes!$C:$C,$A4277,Movimentacoes!$E:$E,$C4277,Movimentacoes!$B:$B,"SAIDA_USO")</f>
        <v/>
      </c>
      <c r="I4277" s="13">
        <f>SUMIFS(Movimentacoes!$G:$G,Movimentacoes!$C:$C,$A4277,Movimentacoes!$E:$E,$C4277,Movimentacoes!$B:$B,"SAIDA_DESCARTE")</f>
        <v/>
      </c>
      <c r="J4277" s="13">
        <f>G4277-H4277-I4277</f>
        <v/>
      </c>
      <c r="K4277">
        <f>IF(A4277="","",IF(J4277&lt;=IFERROR(VLOOKUP(A4277,Cadastro_Produtos!$A:$E,5,FALSE),0),"ABAIXO DO MINIMO","OK"))</f>
        <v/>
      </c>
    </row>
    <row r="4278">
      <c r="B4278">
        <f>IFERROR(VLOOKUP(A4278,Cadastro_Produtos!A:B,2,FALSE),"")</f>
        <v/>
      </c>
      <c r="D4278" s="12" t="n"/>
      <c r="E4278" s="13">
        <f>IF(D4278="","",D4278-TODAY())</f>
        <v/>
      </c>
      <c r="F4278">
        <f>IF(D4278="","",IF(E4278&lt;0,"VENCIDO",IF(E4278&lt;=30,"VENCE EM &lt;= 30 DIAS",IF(E4278&lt;=60,"ATENCAO (31-60 DIAS)","OK"))))</f>
        <v/>
      </c>
      <c r="G4278" s="13">
        <f>SUMIFS(Movimentacoes!$G:$G,Movimentacoes!$C:$C,$A4278,Movimentacoes!$E:$E,$C4278,Movimentacoes!$B:$B,"ENTRADA")</f>
        <v/>
      </c>
      <c r="H4278" s="13">
        <f>SUMIFS(Movimentacoes!$G:$G,Movimentacoes!$C:$C,$A4278,Movimentacoes!$E:$E,$C4278,Movimentacoes!$B:$B,"SAIDA_USO")</f>
        <v/>
      </c>
      <c r="I4278" s="13">
        <f>SUMIFS(Movimentacoes!$G:$G,Movimentacoes!$C:$C,$A4278,Movimentacoes!$E:$E,$C4278,Movimentacoes!$B:$B,"SAIDA_DESCARTE")</f>
        <v/>
      </c>
      <c r="J4278" s="13">
        <f>G4278-H4278-I4278</f>
        <v/>
      </c>
      <c r="K4278">
        <f>IF(A4278="","",IF(J4278&lt;=IFERROR(VLOOKUP(A4278,Cadastro_Produtos!$A:$E,5,FALSE),0),"ABAIXO DO MINIMO","OK"))</f>
        <v/>
      </c>
    </row>
    <row r="4279">
      <c r="B4279">
        <f>IFERROR(VLOOKUP(A4279,Cadastro_Produtos!A:B,2,FALSE),"")</f>
        <v/>
      </c>
      <c r="D4279" s="12" t="n"/>
      <c r="E4279" s="13">
        <f>IF(D4279="","",D4279-TODAY())</f>
        <v/>
      </c>
      <c r="F4279">
        <f>IF(D4279="","",IF(E4279&lt;0,"VENCIDO",IF(E4279&lt;=30,"VENCE EM &lt;= 30 DIAS",IF(E4279&lt;=60,"ATENCAO (31-60 DIAS)","OK"))))</f>
        <v/>
      </c>
      <c r="G4279" s="13">
        <f>SUMIFS(Movimentacoes!$G:$G,Movimentacoes!$C:$C,$A4279,Movimentacoes!$E:$E,$C4279,Movimentacoes!$B:$B,"ENTRADA")</f>
        <v/>
      </c>
      <c r="H4279" s="13">
        <f>SUMIFS(Movimentacoes!$G:$G,Movimentacoes!$C:$C,$A4279,Movimentacoes!$E:$E,$C4279,Movimentacoes!$B:$B,"SAIDA_USO")</f>
        <v/>
      </c>
      <c r="I4279" s="13">
        <f>SUMIFS(Movimentacoes!$G:$G,Movimentacoes!$C:$C,$A4279,Movimentacoes!$E:$E,$C4279,Movimentacoes!$B:$B,"SAIDA_DESCARTE")</f>
        <v/>
      </c>
      <c r="J4279" s="13">
        <f>G4279-H4279-I4279</f>
        <v/>
      </c>
      <c r="K4279">
        <f>IF(A4279="","",IF(J4279&lt;=IFERROR(VLOOKUP(A4279,Cadastro_Produtos!$A:$E,5,FALSE),0),"ABAIXO DO MINIMO","OK"))</f>
        <v/>
      </c>
    </row>
    <row r="4280">
      <c r="B4280">
        <f>IFERROR(VLOOKUP(A4280,Cadastro_Produtos!A:B,2,FALSE),"")</f>
        <v/>
      </c>
      <c r="D4280" s="12" t="n"/>
      <c r="E4280" s="13">
        <f>IF(D4280="","",D4280-TODAY())</f>
        <v/>
      </c>
      <c r="F4280">
        <f>IF(D4280="","",IF(E4280&lt;0,"VENCIDO",IF(E4280&lt;=30,"VENCE EM &lt;= 30 DIAS",IF(E4280&lt;=60,"ATENCAO (31-60 DIAS)","OK"))))</f>
        <v/>
      </c>
      <c r="G4280" s="13">
        <f>SUMIFS(Movimentacoes!$G:$G,Movimentacoes!$C:$C,$A4280,Movimentacoes!$E:$E,$C4280,Movimentacoes!$B:$B,"ENTRADA")</f>
        <v/>
      </c>
      <c r="H4280" s="13">
        <f>SUMIFS(Movimentacoes!$G:$G,Movimentacoes!$C:$C,$A4280,Movimentacoes!$E:$E,$C4280,Movimentacoes!$B:$B,"SAIDA_USO")</f>
        <v/>
      </c>
      <c r="I4280" s="13">
        <f>SUMIFS(Movimentacoes!$G:$G,Movimentacoes!$C:$C,$A4280,Movimentacoes!$E:$E,$C4280,Movimentacoes!$B:$B,"SAIDA_DESCARTE")</f>
        <v/>
      </c>
      <c r="J4280" s="13">
        <f>G4280-H4280-I4280</f>
        <v/>
      </c>
      <c r="K4280">
        <f>IF(A4280="","",IF(J4280&lt;=IFERROR(VLOOKUP(A4280,Cadastro_Produtos!$A:$E,5,FALSE),0),"ABAIXO DO MINIMO","OK"))</f>
        <v/>
      </c>
    </row>
    <row r="4281">
      <c r="B4281">
        <f>IFERROR(VLOOKUP(A4281,Cadastro_Produtos!A:B,2,FALSE),"")</f>
        <v/>
      </c>
      <c r="D4281" s="12" t="n"/>
      <c r="E4281" s="13">
        <f>IF(D4281="","",D4281-TODAY())</f>
        <v/>
      </c>
      <c r="F4281">
        <f>IF(D4281="","",IF(E4281&lt;0,"VENCIDO",IF(E4281&lt;=30,"VENCE EM &lt;= 30 DIAS",IF(E4281&lt;=60,"ATENCAO (31-60 DIAS)","OK"))))</f>
        <v/>
      </c>
      <c r="G4281" s="13">
        <f>SUMIFS(Movimentacoes!$G:$G,Movimentacoes!$C:$C,$A4281,Movimentacoes!$E:$E,$C4281,Movimentacoes!$B:$B,"ENTRADA")</f>
        <v/>
      </c>
      <c r="H4281" s="13">
        <f>SUMIFS(Movimentacoes!$G:$G,Movimentacoes!$C:$C,$A4281,Movimentacoes!$E:$E,$C4281,Movimentacoes!$B:$B,"SAIDA_USO")</f>
        <v/>
      </c>
      <c r="I4281" s="13">
        <f>SUMIFS(Movimentacoes!$G:$G,Movimentacoes!$C:$C,$A4281,Movimentacoes!$E:$E,$C4281,Movimentacoes!$B:$B,"SAIDA_DESCARTE")</f>
        <v/>
      </c>
      <c r="J4281" s="13">
        <f>G4281-H4281-I4281</f>
        <v/>
      </c>
      <c r="K4281">
        <f>IF(A4281="","",IF(J4281&lt;=IFERROR(VLOOKUP(A4281,Cadastro_Produtos!$A:$E,5,FALSE),0),"ABAIXO DO MINIMO","OK"))</f>
        <v/>
      </c>
    </row>
    <row r="4282">
      <c r="B4282">
        <f>IFERROR(VLOOKUP(A4282,Cadastro_Produtos!A:B,2,FALSE),"")</f>
        <v/>
      </c>
      <c r="D4282" s="12" t="n"/>
      <c r="E4282" s="13">
        <f>IF(D4282="","",D4282-TODAY())</f>
        <v/>
      </c>
      <c r="F4282">
        <f>IF(D4282="","",IF(E4282&lt;0,"VENCIDO",IF(E4282&lt;=30,"VENCE EM &lt;= 30 DIAS",IF(E4282&lt;=60,"ATENCAO (31-60 DIAS)","OK"))))</f>
        <v/>
      </c>
      <c r="G4282" s="13">
        <f>SUMIFS(Movimentacoes!$G:$G,Movimentacoes!$C:$C,$A4282,Movimentacoes!$E:$E,$C4282,Movimentacoes!$B:$B,"ENTRADA")</f>
        <v/>
      </c>
      <c r="H4282" s="13">
        <f>SUMIFS(Movimentacoes!$G:$G,Movimentacoes!$C:$C,$A4282,Movimentacoes!$E:$E,$C4282,Movimentacoes!$B:$B,"SAIDA_USO")</f>
        <v/>
      </c>
      <c r="I4282" s="13">
        <f>SUMIFS(Movimentacoes!$G:$G,Movimentacoes!$C:$C,$A4282,Movimentacoes!$E:$E,$C4282,Movimentacoes!$B:$B,"SAIDA_DESCARTE")</f>
        <v/>
      </c>
      <c r="J4282" s="13">
        <f>G4282-H4282-I4282</f>
        <v/>
      </c>
      <c r="K4282">
        <f>IF(A4282="","",IF(J4282&lt;=IFERROR(VLOOKUP(A4282,Cadastro_Produtos!$A:$E,5,FALSE),0),"ABAIXO DO MINIMO","OK"))</f>
        <v/>
      </c>
    </row>
    <row r="4283">
      <c r="B4283">
        <f>IFERROR(VLOOKUP(A4283,Cadastro_Produtos!A:B,2,FALSE),"")</f>
        <v/>
      </c>
      <c r="D4283" s="12" t="n"/>
      <c r="E4283" s="13">
        <f>IF(D4283="","",D4283-TODAY())</f>
        <v/>
      </c>
      <c r="F4283">
        <f>IF(D4283="","",IF(E4283&lt;0,"VENCIDO",IF(E4283&lt;=30,"VENCE EM &lt;= 30 DIAS",IF(E4283&lt;=60,"ATENCAO (31-60 DIAS)","OK"))))</f>
        <v/>
      </c>
      <c r="G4283" s="13">
        <f>SUMIFS(Movimentacoes!$G:$G,Movimentacoes!$C:$C,$A4283,Movimentacoes!$E:$E,$C4283,Movimentacoes!$B:$B,"ENTRADA")</f>
        <v/>
      </c>
      <c r="H4283" s="13">
        <f>SUMIFS(Movimentacoes!$G:$G,Movimentacoes!$C:$C,$A4283,Movimentacoes!$E:$E,$C4283,Movimentacoes!$B:$B,"SAIDA_USO")</f>
        <v/>
      </c>
      <c r="I4283" s="13">
        <f>SUMIFS(Movimentacoes!$G:$G,Movimentacoes!$C:$C,$A4283,Movimentacoes!$E:$E,$C4283,Movimentacoes!$B:$B,"SAIDA_DESCARTE")</f>
        <v/>
      </c>
      <c r="J4283" s="13">
        <f>G4283-H4283-I4283</f>
        <v/>
      </c>
      <c r="K4283">
        <f>IF(A4283="","",IF(J4283&lt;=IFERROR(VLOOKUP(A4283,Cadastro_Produtos!$A:$E,5,FALSE),0),"ABAIXO DO MINIMO","OK"))</f>
        <v/>
      </c>
    </row>
    <row r="4284">
      <c r="B4284">
        <f>IFERROR(VLOOKUP(A4284,Cadastro_Produtos!A:B,2,FALSE),"")</f>
        <v/>
      </c>
      <c r="D4284" s="12" t="n"/>
      <c r="E4284" s="13">
        <f>IF(D4284="","",D4284-TODAY())</f>
        <v/>
      </c>
      <c r="F4284">
        <f>IF(D4284="","",IF(E4284&lt;0,"VENCIDO",IF(E4284&lt;=30,"VENCE EM &lt;= 30 DIAS",IF(E4284&lt;=60,"ATENCAO (31-60 DIAS)","OK"))))</f>
        <v/>
      </c>
      <c r="G4284" s="13">
        <f>SUMIFS(Movimentacoes!$G:$G,Movimentacoes!$C:$C,$A4284,Movimentacoes!$E:$E,$C4284,Movimentacoes!$B:$B,"ENTRADA")</f>
        <v/>
      </c>
      <c r="H4284" s="13">
        <f>SUMIFS(Movimentacoes!$G:$G,Movimentacoes!$C:$C,$A4284,Movimentacoes!$E:$E,$C4284,Movimentacoes!$B:$B,"SAIDA_USO")</f>
        <v/>
      </c>
      <c r="I4284" s="13">
        <f>SUMIFS(Movimentacoes!$G:$G,Movimentacoes!$C:$C,$A4284,Movimentacoes!$E:$E,$C4284,Movimentacoes!$B:$B,"SAIDA_DESCARTE")</f>
        <v/>
      </c>
      <c r="J4284" s="13">
        <f>G4284-H4284-I4284</f>
        <v/>
      </c>
      <c r="K4284">
        <f>IF(A4284="","",IF(J4284&lt;=IFERROR(VLOOKUP(A4284,Cadastro_Produtos!$A:$E,5,FALSE),0),"ABAIXO DO MINIMO","OK"))</f>
        <v/>
      </c>
    </row>
    <row r="4285">
      <c r="B4285">
        <f>IFERROR(VLOOKUP(A4285,Cadastro_Produtos!A:B,2,FALSE),"")</f>
        <v/>
      </c>
      <c r="D4285" s="12" t="n"/>
      <c r="E4285" s="13">
        <f>IF(D4285="","",D4285-TODAY())</f>
        <v/>
      </c>
      <c r="F4285">
        <f>IF(D4285="","",IF(E4285&lt;0,"VENCIDO",IF(E4285&lt;=30,"VENCE EM &lt;= 30 DIAS",IF(E4285&lt;=60,"ATENCAO (31-60 DIAS)","OK"))))</f>
        <v/>
      </c>
      <c r="G4285" s="13">
        <f>SUMIFS(Movimentacoes!$G:$G,Movimentacoes!$C:$C,$A4285,Movimentacoes!$E:$E,$C4285,Movimentacoes!$B:$B,"ENTRADA")</f>
        <v/>
      </c>
      <c r="H4285" s="13">
        <f>SUMIFS(Movimentacoes!$G:$G,Movimentacoes!$C:$C,$A4285,Movimentacoes!$E:$E,$C4285,Movimentacoes!$B:$B,"SAIDA_USO")</f>
        <v/>
      </c>
      <c r="I4285" s="13">
        <f>SUMIFS(Movimentacoes!$G:$G,Movimentacoes!$C:$C,$A4285,Movimentacoes!$E:$E,$C4285,Movimentacoes!$B:$B,"SAIDA_DESCARTE")</f>
        <v/>
      </c>
      <c r="J4285" s="13">
        <f>G4285-H4285-I4285</f>
        <v/>
      </c>
      <c r="K4285">
        <f>IF(A4285="","",IF(J4285&lt;=IFERROR(VLOOKUP(A4285,Cadastro_Produtos!$A:$E,5,FALSE),0),"ABAIXO DO MINIMO","OK"))</f>
        <v/>
      </c>
    </row>
    <row r="4286">
      <c r="B4286">
        <f>IFERROR(VLOOKUP(A4286,Cadastro_Produtos!A:B,2,FALSE),"")</f>
        <v/>
      </c>
      <c r="D4286" s="12" t="n"/>
      <c r="E4286" s="13">
        <f>IF(D4286="","",D4286-TODAY())</f>
        <v/>
      </c>
      <c r="F4286">
        <f>IF(D4286="","",IF(E4286&lt;0,"VENCIDO",IF(E4286&lt;=30,"VENCE EM &lt;= 30 DIAS",IF(E4286&lt;=60,"ATENCAO (31-60 DIAS)","OK"))))</f>
        <v/>
      </c>
      <c r="G4286" s="13">
        <f>SUMIFS(Movimentacoes!$G:$G,Movimentacoes!$C:$C,$A4286,Movimentacoes!$E:$E,$C4286,Movimentacoes!$B:$B,"ENTRADA")</f>
        <v/>
      </c>
      <c r="H4286" s="13">
        <f>SUMIFS(Movimentacoes!$G:$G,Movimentacoes!$C:$C,$A4286,Movimentacoes!$E:$E,$C4286,Movimentacoes!$B:$B,"SAIDA_USO")</f>
        <v/>
      </c>
      <c r="I4286" s="13">
        <f>SUMIFS(Movimentacoes!$G:$G,Movimentacoes!$C:$C,$A4286,Movimentacoes!$E:$E,$C4286,Movimentacoes!$B:$B,"SAIDA_DESCARTE")</f>
        <v/>
      </c>
      <c r="J4286" s="13">
        <f>G4286-H4286-I4286</f>
        <v/>
      </c>
      <c r="K4286">
        <f>IF(A4286="","",IF(J4286&lt;=IFERROR(VLOOKUP(A4286,Cadastro_Produtos!$A:$E,5,FALSE),0),"ABAIXO DO MINIMO","OK"))</f>
        <v/>
      </c>
    </row>
    <row r="4287">
      <c r="B4287">
        <f>IFERROR(VLOOKUP(A4287,Cadastro_Produtos!A:B,2,FALSE),"")</f>
        <v/>
      </c>
      <c r="D4287" s="12" t="n"/>
      <c r="E4287" s="13">
        <f>IF(D4287="","",D4287-TODAY())</f>
        <v/>
      </c>
      <c r="F4287">
        <f>IF(D4287="","",IF(E4287&lt;0,"VENCIDO",IF(E4287&lt;=30,"VENCE EM &lt;= 30 DIAS",IF(E4287&lt;=60,"ATENCAO (31-60 DIAS)","OK"))))</f>
        <v/>
      </c>
      <c r="G4287" s="13">
        <f>SUMIFS(Movimentacoes!$G:$G,Movimentacoes!$C:$C,$A4287,Movimentacoes!$E:$E,$C4287,Movimentacoes!$B:$B,"ENTRADA")</f>
        <v/>
      </c>
      <c r="H4287" s="13">
        <f>SUMIFS(Movimentacoes!$G:$G,Movimentacoes!$C:$C,$A4287,Movimentacoes!$E:$E,$C4287,Movimentacoes!$B:$B,"SAIDA_USO")</f>
        <v/>
      </c>
      <c r="I4287" s="13">
        <f>SUMIFS(Movimentacoes!$G:$G,Movimentacoes!$C:$C,$A4287,Movimentacoes!$E:$E,$C4287,Movimentacoes!$B:$B,"SAIDA_DESCARTE")</f>
        <v/>
      </c>
      <c r="J4287" s="13">
        <f>G4287-H4287-I4287</f>
        <v/>
      </c>
      <c r="K4287">
        <f>IF(A4287="","",IF(J4287&lt;=IFERROR(VLOOKUP(A4287,Cadastro_Produtos!$A:$E,5,FALSE),0),"ABAIXO DO MINIMO","OK"))</f>
        <v/>
      </c>
    </row>
    <row r="4288">
      <c r="B4288">
        <f>IFERROR(VLOOKUP(A4288,Cadastro_Produtos!A:B,2,FALSE),"")</f>
        <v/>
      </c>
      <c r="D4288" s="12" t="n"/>
      <c r="E4288" s="13">
        <f>IF(D4288="","",D4288-TODAY())</f>
        <v/>
      </c>
      <c r="F4288">
        <f>IF(D4288="","",IF(E4288&lt;0,"VENCIDO",IF(E4288&lt;=30,"VENCE EM &lt;= 30 DIAS",IF(E4288&lt;=60,"ATENCAO (31-60 DIAS)","OK"))))</f>
        <v/>
      </c>
      <c r="G4288" s="13">
        <f>SUMIFS(Movimentacoes!$G:$G,Movimentacoes!$C:$C,$A4288,Movimentacoes!$E:$E,$C4288,Movimentacoes!$B:$B,"ENTRADA")</f>
        <v/>
      </c>
      <c r="H4288" s="13">
        <f>SUMIFS(Movimentacoes!$G:$G,Movimentacoes!$C:$C,$A4288,Movimentacoes!$E:$E,$C4288,Movimentacoes!$B:$B,"SAIDA_USO")</f>
        <v/>
      </c>
      <c r="I4288" s="13">
        <f>SUMIFS(Movimentacoes!$G:$G,Movimentacoes!$C:$C,$A4288,Movimentacoes!$E:$E,$C4288,Movimentacoes!$B:$B,"SAIDA_DESCARTE")</f>
        <v/>
      </c>
      <c r="J4288" s="13">
        <f>G4288-H4288-I4288</f>
        <v/>
      </c>
      <c r="K4288">
        <f>IF(A4288="","",IF(J4288&lt;=IFERROR(VLOOKUP(A4288,Cadastro_Produtos!$A:$E,5,FALSE),0),"ABAIXO DO MINIMO","OK"))</f>
        <v/>
      </c>
    </row>
    <row r="4289">
      <c r="B4289">
        <f>IFERROR(VLOOKUP(A4289,Cadastro_Produtos!A:B,2,FALSE),"")</f>
        <v/>
      </c>
      <c r="D4289" s="12" t="n"/>
      <c r="E4289" s="13">
        <f>IF(D4289="","",D4289-TODAY())</f>
        <v/>
      </c>
      <c r="F4289">
        <f>IF(D4289="","",IF(E4289&lt;0,"VENCIDO",IF(E4289&lt;=30,"VENCE EM &lt;= 30 DIAS",IF(E4289&lt;=60,"ATENCAO (31-60 DIAS)","OK"))))</f>
        <v/>
      </c>
      <c r="G4289" s="13">
        <f>SUMIFS(Movimentacoes!$G:$G,Movimentacoes!$C:$C,$A4289,Movimentacoes!$E:$E,$C4289,Movimentacoes!$B:$B,"ENTRADA")</f>
        <v/>
      </c>
      <c r="H4289" s="13">
        <f>SUMIFS(Movimentacoes!$G:$G,Movimentacoes!$C:$C,$A4289,Movimentacoes!$E:$E,$C4289,Movimentacoes!$B:$B,"SAIDA_USO")</f>
        <v/>
      </c>
      <c r="I4289" s="13">
        <f>SUMIFS(Movimentacoes!$G:$G,Movimentacoes!$C:$C,$A4289,Movimentacoes!$E:$E,$C4289,Movimentacoes!$B:$B,"SAIDA_DESCARTE")</f>
        <v/>
      </c>
      <c r="J4289" s="13">
        <f>G4289-H4289-I4289</f>
        <v/>
      </c>
      <c r="K4289">
        <f>IF(A4289="","",IF(J4289&lt;=IFERROR(VLOOKUP(A4289,Cadastro_Produtos!$A:$E,5,FALSE),0),"ABAIXO DO MINIMO","OK"))</f>
        <v/>
      </c>
    </row>
    <row r="4290">
      <c r="B4290">
        <f>IFERROR(VLOOKUP(A4290,Cadastro_Produtos!A:B,2,FALSE),"")</f>
        <v/>
      </c>
      <c r="D4290" s="12" t="n"/>
      <c r="E4290" s="13">
        <f>IF(D4290="","",D4290-TODAY())</f>
        <v/>
      </c>
      <c r="F4290">
        <f>IF(D4290="","",IF(E4290&lt;0,"VENCIDO",IF(E4290&lt;=30,"VENCE EM &lt;= 30 DIAS",IF(E4290&lt;=60,"ATENCAO (31-60 DIAS)","OK"))))</f>
        <v/>
      </c>
      <c r="G4290" s="13">
        <f>SUMIFS(Movimentacoes!$G:$G,Movimentacoes!$C:$C,$A4290,Movimentacoes!$E:$E,$C4290,Movimentacoes!$B:$B,"ENTRADA")</f>
        <v/>
      </c>
      <c r="H4290" s="13">
        <f>SUMIFS(Movimentacoes!$G:$G,Movimentacoes!$C:$C,$A4290,Movimentacoes!$E:$E,$C4290,Movimentacoes!$B:$B,"SAIDA_USO")</f>
        <v/>
      </c>
      <c r="I4290" s="13">
        <f>SUMIFS(Movimentacoes!$G:$G,Movimentacoes!$C:$C,$A4290,Movimentacoes!$E:$E,$C4290,Movimentacoes!$B:$B,"SAIDA_DESCARTE")</f>
        <v/>
      </c>
      <c r="J4290" s="13">
        <f>G4290-H4290-I4290</f>
        <v/>
      </c>
      <c r="K4290">
        <f>IF(A4290="","",IF(J4290&lt;=IFERROR(VLOOKUP(A4290,Cadastro_Produtos!$A:$E,5,FALSE),0),"ABAIXO DO MINIMO","OK"))</f>
        <v/>
      </c>
    </row>
    <row r="4291">
      <c r="B4291">
        <f>IFERROR(VLOOKUP(A4291,Cadastro_Produtos!A:B,2,FALSE),"")</f>
        <v/>
      </c>
      <c r="D4291" s="12" t="n"/>
      <c r="E4291" s="13">
        <f>IF(D4291="","",D4291-TODAY())</f>
        <v/>
      </c>
      <c r="F4291">
        <f>IF(D4291="","",IF(E4291&lt;0,"VENCIDO",IF(E4291&lt;=30,"VENCE EM &lt;= 30 DIAS",IF(E4291&lt;=60,"ATENCAO (31-60 DIAS)","OK"))))</f>
        <v/>
      </c>
      <c r="G4291" s="13">
        <f>SUMIFS(Movimentacoes!$G:$G,Movimentacoes!$C:$C,$A4291,Movimentacoes!$E:$E,$C4291,Movimentacoes!$B:$B,"ENTRADA")</f>
        <v/>
      </c>
      <c r="H4291" s="13">
        <f>SUMIFS(Movimentacoes!$G:$G,Movimentacoes!$C:$C,$A4291,Movimentacoes!$E:$E,$C4291,Movimentacoes!$B:$B,"SAIDA_USO")</f>
        <v/>
      </c>
      <c r="I4291" s="13">
        <f>SUMIFS(Movimentacoes!$G:$G,Movimentacoes!$C:$C,$A4291,Movimentacoes!$E:$E,$C4291,Movimentacoes!$B:$B,"SAIDA_DESCARTE")</f>
        <v/>
      </c>
      <c r="J4291" s="13">
        <f>G4291-H4291-I4291</f>
        <v/>
      </c>
      <c r="K4291">
        <f>IF(A4291="","",IF(J4291&lt;=IFERROR(VLOOKUP(A4291,Cadastro_Produtos!$A:$E,5,FALSE),0),"ABAIXO DO MINIMO","OK"))</f>
        <v/>
      </c>
    </row>
    <row r="4292">
      <c r="B4292">
        <f>IFERROR(VLOOKUP(A4292,Cadastro_Produtos!A:B,2,FALSE),"")</f>
        <v/>
      </c>
      <c r="D4292" s="12" t="n"/>
      <c r="E4292" s="13">
        <f>IF(D4292="","",D4292-TODAY())</f>
        <v/>
      </c>
      <c r="F4292">
        <f>IF(D4292="","",IF(E4292&lt;0,"VENCIDO",IF(E4292&lt;=30,"VENCE EM &lt;= 30 DIAS",IF(E4292&lt;=60,"ATENCAO (31-60 DIAS)","OK"))))</f>
        <v/>
      </c>
      <c r="G4292" s="13">
        <f>SUMIFS(Movimentacoes!$G:$G,Movimentacoes!$C:$C,$A4292,Movimentacoes!$E:$E,$C4292,Movimentacoes!$B:$B,"ENTRADA")</f>
        <v/>
      </c>
      <c r="H4292" s="13">
        <f>SUMIFS(Movimentacoes!$G:$G,Movimentacoes!$C:$C,$A4292,Movimentacoes!$E:$E,$C4292,Movimentacoes!$B:$B,"SAIDA_USO")</f>
        <v/>
      </c>
      <c r="I4292" s="13">
        <f>SUMIFS(Movimentacoes!$G:$G,Movimentacoes!$C:$C,$A4292,Movimentacoes!$E:$E,$C4292,Movimentacoes!$B:$B,"SAIDA_DESCARTE")</f>
        <v/>
      </c>
      <c r="J4292" s="13">
        <f>G4292-H4292-I4292</f>
        <v/>
      </c>
      <c r="K4292">
        <f>IF(A4292="","",IF(J4292&lt;=IFERROR(VLOOKUP(A4292,Cadastro_Produtos!$A:$E,5,FALSE),0),"ABAIXO DO MINIMO","OK"))</f>
        <v/>
      </c>
    </row>
    <row r="4293">
      <c r="B4293">
        <f>IFERROR(VLOOKUP(A4293,Cadastro_Produtos!A:B,2,FALSE),"")</f>
        <v/>
      </c>
      <c r="D4293" s="12" t="n"/>
      <c r="E4293" s="13">
        <f>IF(D4293="","",D4293-TODAY())</f>
        <v/>
      </c>
      <c r="F4293">
        <f>IF(D4293="","",IF(E4293&lt;0,"VENCIDO",IF(E4293&lt;=30,"VENCE EM &lt;= 30 DIAS",IF(E4293&lt;=60,"ATENCAO (31-60 DIAS)","OK"))))</f>
        <v/>
      </c>
      <c r="G4293" s="13">
        <f>SUMIFS(Movimentacoes!$G:$G,Movimentacoes!$C:$C,$A4293,Movimentacoes!$E:$E,$C4293,Movimentacoes!$B:$B,"ENTRADA")</f>
        <v/>
      </c>
      <c r="H4293" s="13">
        <f>SUMIFS(Movimentacoes!$G:$G,Movimentacoes!$C:$C,$A4293,Movimentacoes!$E:$E,$C4293,Movimentacoes!$B:$B,"SAIDA_USO")</f>
        <v/>
      </c>
      <c r="I4293" s="13">
        <f>SUMIFS(Movimentacoes!$G:$G,Movimentacoes!$C:$C,$A4293,Movimentacoes!$E:$E,$C4293,Movimentacoes!$B:$B,"SAIDA_DESCARTE")</f>
        <v/>
      </c>
      <c r="J4293" s="13">
        <f>G4293-H4293-I4293</f>
        <v/>
      </c>
      <c r="K4293">
        <f>IF(A4293="","",IF(J4293&lt;=IFERROR(VLOOKUP(A4293,Cadastro_Produtos!$A:$E,5,FALSE),0),"ABAIXO DO MINIMO","OK"))</f>
        <v/>
      </c>
    </row>
    <row r="4294">
      <c r="B4294">
        <f>IFERROR(VLOOKUP(A4294,Cadastro_Produtos!A:B,2,FALSE),"")</f>
        <v/>
      </c>
      <c r="D4294" s="12" t="n"/>
      <c r="E4294" s="13">
        <f>IF(D4294="","",D4294-TODAY())</f>
        <v/>
      </c>
      <c r="F4294">
        <f>IF(D4294="","",IF(E4294&lt;0,"VENCIDO",IF(E4294&lt;=30,"VENCE EM &lt;= 30 DIAS",IF(E4294&lt;=60,"ATENCAO (31-60 DIAS)","OK"))))</f>
        <v/>
      </c>
      <c r="G4294" s="13">
        <f>SUMIFS(Movimentacoes!$G:$G,Movimentacoes!$C:$C,$A4294,Movimentacoes!$E:$E,$C4294,Movimentacoes!$B:$B,"ENTRADA")</f>
        <v/>
      </c>
      <c r="H4294" s="13">
        <f>SUMIFS(Movimentacoes!$G:$G,Movimentacoes!$C:$C,$A4294,Movimentacoes!$E:$E,$C4294,Movimentacoes!$B:$B,"SAIDA_USO")</f>
        <v/>
      </c>
      <c r="I4294" s="13">
        <f>SUMIFS(Movimentacoes!$G:$G,Movimentacoes!$C:$C,$A4294,Movimentacoes!$E:$E,$C4294,Movimentacoes!$B:$B,"SAIDA_DESCARTE")</f>
        <v/>
      </c>
      <c r="J4294" s="13">
        <f>G4294-H4294-I4294</f>
        <v/>
      </c>
      <c r="K4294">
        <f>IF(A4294="","",IF(J4294&lt;=IFERROR(VLOOKUP(A4294,Cadastro_Produtos!$A:$E,5,FALSE),0),"ABAIXO DO MINIMO","OK"))</f>
        <v/>
      </c>
    </row>
    <row r="4295">
      <c r="B4295">
        <f>IFERROR(VLOOKUP(A4295,Cadastro_Produtos!A:B,2,FALSE),"")</f>
        <v/>
      </c>
      <c r="D4295" s="12" t="n"/>
      <c r="E4295" s="13">
        <f>IF(D4295="","",D4295-TODAY())</f>
        <v/>
      </c>
      <c r="F4295">
        <f>IF(D4295="","",IF(E4295&lt;0,"VENCIDO",IF(E4295&lt;=30,"VENCE EM &lt;= 30 DIAS",IF(E4295&lt;=60,"ATENCAO (31-60 DIAS)","OK"))))</f>
        <v/>
      </c>
      <c r="G4295" s="13">
        <f>SUMIFS(Movimentacoes!$G:$G,Movimentacoes!$C:$C,$A4295,Movimentacoes!$E:$E,$C4295,Movimentacoes!$B:$B,"ENTRADA")</f>
        <v/>
      </c>
      <c r="H4295" s="13">
        <f>SUMIFS(Movimentacoes!$G:$G,Movimentacoes!$C:$C,$A4295,Movimentacoes!$E:$E,$C4295,Movimentacoes!$B:$B,"SAIDA_USO")</f>
        <v/>
      </c>
      <c r="I4295" s="13">
        <f>SUMIFS(Movimentacoes!$G:$G,Movimentacoes!$C:$C,$A4295,Movimentacoes!$E:$E,$C4295,Movimentacoes!$B:$B,"SAIDA_DESCARTE")</f>
        <v/>
      </c>
      <c r="J4295" s="13">
        <f>G4295-H4295-I4295</f>
        <v/>
      </c>
      <c r="K4295">
        <f>IF(A4295="","",IF(J4295&lt;=IFERROR(VLOOKUP(A4295,Cadastro_Produtos!$A:$E,5,FALSE),0),"ABAIXO DO MINIMO","OK"))</f>
        <v/>
      </c>
    </row>
    <row r="4296">
      <c r="B4296">
        <f>IFERROR(VLOOKUP(A4296,Cadastro_Produtos!A:B,2,FALSE),"")</f>
        <v/>
      </c>
      <c r="D4296" s="12" t="n"/>
      <c r="E4296" s="13">
        <f>IF(D4296="","",D4296-TODAY())</f>
        <v/>
      </c>
      <c r="F4296">
        <f>IF(D4296="","",IF(E4296&lt;0,"VENCIDO",IF(E4296&lt;=30,"VENCE EM &lt;= 30 DIAS",IF(E4296&lt;=60,"ATENCAO (31-60 DIAS)","OK"))))</f>
        <v/>
      </c>
      <c r="G4296" s="13">
        <f>SUMIFS(Movimentacoes!$G:$G,Movimentacoes!$C:$C,$A4296,Movimentacoes!$E:$E,$C4296,Movimentacoes!$B:$B,"ENTRADA")</f>
        <v/>
      </c>
      <c r="H4296" s="13">
        <f>SUMIFS(Movimentacoes!$G:$G,Movimentacoes!$C:$C,$A4296,Movimentacoes!$E:$E,$C4296,Movimentacoes!$B:$B,"SAIDA_USO")</f>
        <v/>
      </c>
      <c r="I4296" s="13">
        <f>SUMIFS(Movimentacoes!$G:$G,Movimentacoes!$C:$C,$A4296,Movimentacoes!$E:$E,$C4296,Movimentacoes!$B:$B,"SAIDA_DESCARTE")</f>
        <v/>
      </c>
      <c r="J4296" s="13">
        <f>G4296-H4296-I4296</f>
        <v/>
      </c>
      <c r="K4296">
        <f>IF(A4296="","",IF(J4296&lt;=IFERROR(VLOOKUP(A4296,Cadastro_Produtos!$A:$E,5,FALSE),0),"ABAIXO DO MINIMO","OK"))</f>
        <v/>
      </c>
    </row>
    <row r="4297">
      <c r="B4297">
        <f>IFERROR(VLOOKUP(A4297,Cadastro_Produtos!A:B,2,FALSE),"")</f>
        <v/>
      </c>
      <c r="D4297" s="12" t="n"/>
      <c r="E4297" s="13">
        <f>IF(D4297="","",D4297-TODAY())</f>
        <v/>
      </c>
      <c r="F4297">
        <f>IF(D4297="","",IF(E4297&lt;0,"VENCIDO",IF(E4297&lt;=30,"VENCE EM &lt;= 30 DIAS",IF(E4297&lt;=60,"ATENCAO (31-60 DIAS)","OK"))))</f>
        <v/>
      </c>
      <c r="G4297" s="13">
        <f>SUMIFS(Movimentacoes!$G:$G,Movimentacoes!$C:$C,$A4297,Movimentacoes!$E:$E,$C4297,Movimentacoes!$B:$B,"ENTRADA")</f>
        <v/>
      </c>
      <c r="H4297" s="13">
        <f>SUMIFS(Movimentacoes!$G:$G,Movimentacoes!$C:$C,$A4297,Movimentacoes!$E:$E,$C4297,Movimentacoes!$B:$B,"SAIDA_USO")</f>
        <v/>
      </c>
      <c r="I4297" s="13">
        <f>SUMIFS(Movimentacoes!$G:$G,Movimentacoes!$C:$C,$A4297,Movimentacoes!$E:$E,$C4297,Movimentacoes!$B:$B,"SAIDA_DESCARTE")</f>
        <v/>
      </c>
      <c r="J4297" s="13">
        <f>G4297-H4297-I4297</f>
        <v/>
      </c>
      <c r="K4297">
        <f>IF(A4297="","",IF(J4297&lt;=IFERROR(VLOOKUP(A4297,Cadastro_Produtos!$A:$E,5,FALSE),0),"ABAIXO DO MINIMO","OK"))</f>
        <v/>
      </c>
    </row>
    <row r="4298">
      <c r="B4298">
        <f>IFERROR(VLOOKUP(A4298,Cadastro_Produtos!A:B,2,FALSE),"")</f>
        <v/>
      </c>
      <c r="D4298" s="12" t="n"/>
      <c r="E4298" s="13">
        <f>IF(D4298="","",D4298-TODAY())</f>
        <v/>
      </c>
      <c r="F4298">
        <f>IF(D4298="","",IF(E4298&lt;0,"VENCIDO",IF(E4298&lt;=30,"VENCE EM &lt;= 30 DIAS",IF(E4298&lt;=60,"ATENCAO (31-60 DIAS)","OK"))))</f>
        <v/>
      </c>
      <c r="G4298" s="13">
        <f>SUMIFS(Movimentacoes!$G:$G,Movimentacoes!$C:$C,$A4298,Movimentacoes!$E:$E,$C4298,Movimentacoes!$B:$B,"ENTRADA")</f>
        <v/>
      </c>
      <c r="H4298" s="13">
        <f>SUMIFS(Movimentacoes!$G:$G,Movimentacoes!$C:$C,$A4298,Movimentacoes!$E:$E,$C4298,Movimentacoes!$B:$B,"SAIDA_USO")</f>
        <v/>
      </c>
      <c r="I4298" s="13">
        <f>SUMIFS(Movimentacoes!$G:$G,Movimentacoes!$C:$C,$A4298,Movimentacoes!$E:$E,$C4298,Movimentacoes!$B:$B,"SAIDA_DESCARTE")</f>
        <v/>
      </c>
      <c r="J4298" s="13">
        <f>G4298-H4298-I4298</f>
        <v/>
      </c>
      <c r="K4298">
        <f>IF(A4298="","",IF(J4298&lt;=IFERROR(VLOOKUP(A4298,Cadastro_Produtos!$A:$E,5,FALSE),0),"ABAIXO DO MINIMO","OK"))</f>
        <v/>
      </c>
    </row>
    <row r="4299">
      <c r="B4299">
        <f>IFERROR(VLOOKUP(A4299,Cadastro_Produtos!A:B,2,FALSE),"")</f>
        <v/>
      </c>
      <c r="D4299" s="12" t="n"/>
      <c r="E4299" s="13">
        <f>IF(D4299="","",D4299-TODAY())</f>
        <v/>
      </c>
      <c r="F4299">
        <f>IF(D4299="","",IF(E4299&lt;0,"VENCIDO",IF(E4299&lt;=30,"VENCE EM &lt;= 30 DIAS",IF(E4299&lt;=60,"ATENCAO (31-60 DIAS)","OK"))))</f>
        <v/>
      </c>
      <c r="G4299" s="13">
        <f>SUMIFS(Movimentacoes!$G:$G,Movimentacoes!$C:$C,$A4299,Movimentacoes!$E:$E,$C4299,Movimentacoes!$B:$B,"ENTRADA")</f>
        <v/>
      </c>
      <c r="H4299" s="13">
        <f>SUMIFS(Movimentacoes!$G:$G,Movimentacoes!$C:$C,$A4299,Movimentacoes!$E:$E,$C4299,Movimentacoes!$B:$B,"SAIDA_USO")</f>
        <v/>
      </c>
      <c r="I4299" s="13">
        <f>SUMIFS(Movimentacoes!$G:$G,Movimentacoes!$C:$C,$A4299,Movimentacoes!$E:$E,$C4299,Movimentacoes!$B:$B,"SAIDA_DESCARTE")</f>
        <v/>
      </c>
      <c r="J4299" s="13">
        <f>G4299-H4299-I4299</f>
        <v/>
      </c>
      <c r="K4299">
        <f>IF(A4299="","",IF(J4299&lt;=IFERROR(VLOOKUP(A4299,Cadastro_Produtos!$A:$E,5,FALSE),0),"ABAIXO DO MINIMO","OK"))</f>
        <v/>
      </c>
    </row>
    <row r="4300">
      <c r="B4300">
        <f>IFERROR(VLOOKUP(A4300,Cadastro_Produtos!A:B,2,FALSE),"")</f>
        <v/>
      </c>
      <c r="D4300" s="12" t="n"/>
      <c r="E4300" s="13">
        <f>IF(D4300="","",D4300-TODAY())</f>
        <v/>
      </c>
      <c r="F4300">
        <f>IF(D4300="","",IF(E4300&lt;0,"VENCIDO",IF(E4300&lt;=30,"VENCE EM &lt;= 30 DIAS",IF(E4300&lt;=60,"ATENCAO (31-60 DIAS)","OK"))))</f>
        <v/>
      </c>
      <c r="G4300" s="13">
        <f>SUMIFS(Movimentacoes!$G:$G,Movimentacoes!$C:$C,$A4300,Movimentacoes!$E:$E,$C4300,Movimentacoes!$B:$B,"ENTRADA")</f>
        <v/>
      </c>
      <c r="H4300" s="13">
        <f>SUMIFS(Movimentacoes!$G:$G,Movimentacoes!$C:$C,$A4300,Movimentacoes!$E:$E,$C4300,Movimentacoes!$B:$B,"SAIDA_USO")</f>
        <v/>
      </c>
      <c r="I4300" s="13">
        <f>SUMIFS(Movimentacoes!$G:$G,Movimentacoes!$C:$C,$A4300,Movimentacoes!$E:$E,$C4300,Movimentacoes!$B:$B,"SAIDA_DESCARTE")</f>
        <v/>
      </c>
      <c r="J4300" s="13">
        <f>G4300-H4300-I4300</f>
        <v/>
      </c>
      <c r="K4300">
        <f>IF(A4300="","",IF(J4300&lt;=IFERROR(VLOOKUP(A4300,Cadastro_Produtos!$A:$E,5,FALSE),0),"ABAIXO DO MINIMO","OK"))</f>
        <v/>
      </c>
    </row>
    <row r="4301">
      <c r="B4301">
        <f>IFERROR(VLOOKUP(A4301,Cadastro_Produtos!A:B,2,FALSE),"")</f>
        <v/>
      </c>
      <c r="D4301" s="12" t="n"/>
      <c r="E4301" s="13">
        <f>IF(D4301="","",D4301-TODAY())</f>
        <v/>
      </c>
      <c r="F4301">
        <f>IF(D4301="","",IF(E4301&lt;0,"VENCIDO",IF(E4301&lt;=30,"VENCE EM &lt;= 30 DIAS",IF(E4301&lt;=60,"ATENCAO (31-60 DIAS)","OK"))))</f>
        <v/>
      </c>
      <c r="G4301" s="13">
        <f>SUMIFS(Movimentacoes!$G:$G,Movimentacoes!$C:$C,$A4301,Movimentacoes!$E:$E,$C4301,Movimentacoes!$B:$B,"ENTRADA")</f>
        <v/>
      </c>
      <c r="H4301" s="13">
        <f>SUMIFS(Movimentacoes!$G:$G,Movimentacoes!$C:$C,$A4301,Movimentacoes!$E:$E,$C4301,Movimentacoes!$B:$B,"SAIDA_USO")</f>
        <v/>
      </c>
      <c r="I4301" s="13">
        <f>SUMIFS(Movimentacoes!$G:$G,Movimentacoes!$C:$C,$A4301,Movimentacoes!$E:$E,$C4301,Movimentacoes!$B:$B,"SAIDA_DESCARTE")</f>
        <v/>
      </c>
      <c r="J4301" s="13">
        <f>G4301-H4301-I4301</f>
        <v/>
      </c>
      <c r="K4301">
        <f>IF(A4301="","",IF(J4301&lt;=IFERROR(VLOOKUP(A4301,Cadastro_Produtos!$A:$E,5,FALSE),0),"ABAIXO DO MINIMO","OK"))</f>
        <v/>
      </c>
    </row>
    <row r="4302">
      <c r="B4302">
        <f>IFERROR(VLOOKUP(A4302,Cadastro_Produtos!A:B,2,FALSE),"")</f>
        <v/>
      </c>
      <c r="D4302" s="12" t="n"/>
      <c r="E4302" s="13">
        <f>IF(D4302="","",D4302-TODAY())</f>
        <v/>
      </c>
      <c r="F4302">
        <f>IF(D4302="","",IF(E4302&lt;0,"VENCIDO",IF(E4302&lt;=30,"VENCE EM &lt;= 30 DIAS",IF(E4302&lt;=60,"ATENCAO (31-60 DIAS)","OK"))))</f>
        <v/>
      </c>
      <c r="G4302" s="13">
        <f>SUMIFS(Movimentacoes!$G:$G,Movimentacoes!$C:$C,$A4302,Movimentacoes!$E:$E,$C4302,Movimentacoes!$B:$B,"ENTRADA")</f>
        <v/>
      </c>
      <c r="H4302" s="13">
        <f>SUMIFS(Movimentacoes!$G:$G,Movimentacoes!$C:$C,$A4302,Movimentacoes!$E:$E,$C4302,Movimentacoes!$B:$B,"SAIDA_USO")</f>
        <v/>
      </c>
      <c r="I4302" s="13">
        <f>SUMIFS(Movimentacoes!$G:$G,Movimentacoes!$C:$C,$A4302,Movimentacoes!$E:$E,$C4302,Movimentacoes!$B:$B,"SAIDA_DESCARTE")</f>
        <v/>
      </c>
      <c r="J4302" s="13">
        <f>G4302-H4302-I4302</f>
        <v/>
      </c>
      <c r="K4302">
        <f>IF(A4302="","",IF(J4302&lt;=IFERROR(VLOOKUP(A4302,Cadastro_Produtos!$A:$E,5,FALSE),0),"ABAIXO DO MINIMO","OK"))</f>
        <v/>
      </c>
    </row>
    <row r="4303">
      <c r="B4303">
        <f>IFERROR(VLOOKUP(A4303,Cadastro_Produtos!A:B,2,FALSE),"")</f>
        <v/>
      </c>
      <c r="D4303" s="12" t="n"/>
      <c r="E4303" s="13">
        <f>IF(D4303="","",D4303-TODAY())</f>
        <v/>
      </c>
      <c r="F4303">
        <f>IF(D4303="","",IF(E4303&lt;0,"VENCIDO",IF(E4303&lt;=30,"VENCE EM &lt;= 30 DIAS",IF(E4303&lt;=60,"ATENCAO (31-60 DIAS)","OK"))))</f>
        <v/>
      </c>
      <c r="G4303" s="13">
        <f>SUMIFS(Movimentacoes!$G:$G,Movimentacoes!$C:$C,$A4303,Movimentacoes!$E:$E,$C4303,Movimentacoes!$B:$B,"ENTRADA")</f>
        <v/>
      </c>
      <c r="H4303" s="13">
        <f>SUMIFS(Movimentacoes!$G:$G,Movimentacoes!$C:$C,$A4303,Movimentacoes!$E:$E,$C4303,Movimentacoes!$B:$B,"SAIDA_USO")</f>
        <v/>
      </c>
      <c r="I4303" s="13">
        <f>SUMIFS(Movimentacoes!$G:$G,Movimentacoes!$C:$C,$A4303,Movimentacoes!$E:$E,$C4303,Movimentacoes!$B:$B,"SAIDA_DESCARTE")</f>
        <v/>
      </c>
      <c r="J4303" s="13">
        <f>G4303-H4303-I4303</f>
        <v/>
      </c>
      <c r="K4303">
        <f>IF(A4303="","",IF(J4303&lt;=IFERROR(VLOOKUP(A4303,Cadastro_Produtos!$A:$E,5,FALSE),0),"ABAIXO DO MINIMO","OK"))</f>
        <v/>
      </c>
    </row>
    <row r="4304">
      <c r="B4304">
        <f>IFERROR(VLOOKUP(A4304,Cadastro_Produtos!A:B,2,FALSE),"")</f>
        <v/>
      </c>
      <c r="D4304" s="12" t="n"/>
      <c r="E4304" s="13">
        <f>IF(D4304="","",D4304-TODAY())</f>
        <v/>
      </c>
      <c r="F4304">
        <f>IF(D4304="","",IF(E4304&lt;0,"VENCIDO",IF(E4304&lt;=30,"VENCE EM &lt;= 30 DIAS",IF(E4304&lt;=60,"ATENCAO (31-60 DIAS)","OK"))))</f>
        <v/>
      </c>
      <c r="G4304" s="13">
        <f>SUMIFS(Movimentacoes!$G:$G,Movimentacoes!$C:$C,$A4304,Movimentacoes!$E:$E,$C4304,Movimentacoes!$B:$B,"ENTRADA")</f>
        <v/>
      </c>
      <c r="H4304" s="13">
        <f>SUMIFS(Movimentacoes!$G:$G,Movimentacoes!$C:$C,$A4304,Movimentacoes!$E:$E,$C4304,Movimentacoes!$B:$B,"SAIDA_USO")</f>
        <v/>
      </c>
      <c r="I4304" s="13">
        <f>SUMIFS(Movimentacoes!$G:$G,Movimentacoes!$C:$C,$A4304,Movimentacoes!$E:$E,$C4304,Movimentacoes!$B:$B,"SAIDA_DESCARTE")</f>
        <v/>
      </c>
      <c r="J4304" s="13">
        <f>G4304-H4304-I4304</f>
        <v/>
      </c>
      <c r="K4304">
        <f>IF(A4304="","",IF(J4304&lt;=IFERROR(VLOOKUP(A4304,Cadastro_Produtos!$A:$E,5,FALSE),0),"ABAIXO DO MINIMO","OK"))</f>
        <v/>
      </c>
    </row>
    <row r="4305">
      <c r="B4305">
        <f>IFERROR(VLOOKUP(A4305,Cadastro_Produtos!A:B,2,FALSE),"")</f>
        <v/>
      </c>
      <c r="D4305" s="12" t="n"/>
      <c r="E4305" s="13">
        <f>IF(D4305="","",D4305-TODAY())</f>
        <v/>
      </c>
      <c r="F4305">
        <f>IF(D4305="","",IF(E4305&lt;0,"VENCIDO",IF(E4305&lt;=30,"VENCE EM &lt;= 30 DIAS",IF(E4305&lt;=60,"ATENCAO (31-60 DIAS)","OK"))))</f>
        <v/>
      </c>
      <c r="G4305" s="13">
        <f>SUMIFS(Movimentacoes!$G:$G,Movimentacoes!$C:$C,$A4305,Movimentacoes!$E:$E,$C4305,Movimentacoes!$B:$B,"ENTRADA")</f>
        <v/>
      </c>
      <c r="H4305" s="13">
        <f>SUMIFS(Movimentacoes!$G:$G,Movimentacoes!$C:$C,$A4305,Movimentacoes!$E:$E,$C4305,Movimentacoes!$B:$B,"SAIDA_USO")</f>
        <v/>
      </c>
      <c r="I4305" s="13">
        <f>SUMIFS(Movimentacoes!$G:$G,Movimentacoes!$C:$C,$A4305,Movimentacoes!$E:$E,$C4305,Movimentacoes!$B:$B,"SAIDA_DESCARTE")</f>
        <v/>
      </c>
      <c r="J4305" s="13">
        <f>G4305-H4305-I4305</f>
        <v/>
      </c>
      <c r="K4305">
        <f>IF(A4305="","",IF(J4305&lt;=IFERROR(VLOOKUP(A4305,Cadastro_Produtos!$A:$E,5,FALSE),0),"ABAIXO DO MINIMO","OK"))</f>
        <v/>
      </c>
    </row>
    <row r="4306">
      <c r="B4306">
        <f>IFERROR(VLOOKUP(A4306,Cadastro_Produtos!A:B,2,FALSE),"")</f>
        <v/>
      </c>
      <c r="D4306" s="12" t="n"/>
      <c r="E4306" s="13">
        <f>IF(D4306="","",D4306-TODAY())</f>
        <v/>
      </c>
      <c r="F4306">
        <f>IF(D4306="","",IF(E4306&lt;0,"VENCIDO",IF(E4306&lt;=30,"VENCE EM &lt;= 30 DIAS",IF(E4306&lt;=60,"ATENCAO (31-60 DIAS)","OK"))))</f>
        <v/>
      </c>
      <c r="G4306" s="13">
        <f>SUMIFS(Movimentacoes!$G:$G,Movimentacoes!$C:$C,$A4306,Movimentacoes!$E:$E,$C4306,Movimentacoes!$B:$B,"ENTRADA")</f>
        <v/>
      </c>
      <c r="H4306" s="13">
        <f>SUMIFS(Movimentacoes!$G:$G,Movimentacoes!$C:$C,$A4306,Movimentacoes!$E:$E,$C4306,Movimentacoes!$B:$B,"SAIDA_USO")</f>
        <v/>
      </c>
      <c r="I4306" s="13">
        <f>SUMIFS(Movimentacoes!$G:$G,Movimentacoes!$C:$C,$A4306,Movimentacoes!$E:$E,$C4306,Movimentacoes!$B:$B,"SAIDA_DESCARTE")</f>
        <v/>
      </c>
      <c r="J4306" s="13">
        <f>G4306-H4306-I4306</f>
        <v/>
      </c>
      <c r="K4306">
        <f>IF(A4306="","",IF(J4306&lt;=IFERROR(VLOOKUP(A4306,Cadastro_Produtos!$A:$E,5,FALSE),0),"ABAIXO DO MINIMO","OK"))</f>
        <v/>
      </c>
    </row>
    <row r="4307">
      <c r="B4307">
        <f>IFERROR(VLOOKUP(A4307,Cadastro_Produtos!A:B,2,FALSE),"")</f>
        <v/>
      </c>
      <c r="D4307" s="12" t="n"/>
      <c r="E4307" s="13">
        <f>IF(D4307="","",D4307-TODAY())</f>
        <v/>
      </c>
      <c r="F4307">
        <f>IF(D4307="","",IF(E4307&lt;0,"VENCIDO",IF(E4307&lt;=30,"VENCE EM &lt;= 30 DIAS",IF(E4307&lt;=60,"ATENCAO (31-60 DIAS)","OK"))))</f>
        <v/>
      </c>
      <c r="G4307" s="13">
        <f>SUMIFS(Movimentacoes!$G:$G,Movimentacoes!$C:$C,$A4307,Movimentacoes!$E:$E,$C4307,Movimentacoes!$B:$B,"ENTRADA")</f>
        <v/>
      </c>
      <c r="H4307" s="13">
        <f>SUMIFS(Movimentacoes!$G:$G,Movimentacoes!$C:$C,$A4307,Movimentacoes!$E:$E,$C4307,Movimentacoes!$B:$B,"SAIDA_USO")</f>
        <v/>
      </c>
      <c r="I4307" s="13">
        <f>SUMIFS(Movimentacoes!$G:$G,Movimentacoes!$C:$C,$A4307,Movimentacoes!$E:$E,$C4307,Movimentacoes!$B:$B,"SAIDA_DESCARTE")</f>
        <v/>
      </c>
      <c r="J4307" s="13">
        <f>G4307-H4307-I4307</f>
        <v/>
      </c>
      <c r="K4307">
        <f>IF(A4307="","",IF(J4307&lt;=IFERROR(VLOOKUP(A4307,Cadastro_Produtos!$A:$E,5,FALSE),0),"ABAIXO DO MINIMO","OK"))</f>
        <v/>
      </c>
    </row>
    <row r="4308">
      <c r="B4308">
        <f>IFERROR(VLOOKUP(A4308,Cadastro_Produtos!A:B,2,FALSE),"")</f>
        <v/>
      </c>
      <c r="D4308" s="12" t="n"/>
      <c r="E4308" s="13">
        <f>IF(D4308="","",D4308-TODAY())</f>
        <v/>
      </c>
      <c r="F4308">
        <f>IF(D4308="","",IF(E4308&lt;0,"VENCIDO",IF(E4308&lt;=30,"VENCE EM &lt;= 30 DIAS",IF(E4308&lt;=60,"ATENCAO (31-60 DIAS)","OK"))))</f>
        <v/>
      </c>
      <c r="G4308" s="13">
        <f>SUMIFS(Movimentacoes!$G:$G,Movimentacoes!$C:$C,$A4308,Movimentacoes!$E:$E,$C4308,Movimentacoes!$B:$B,"ENTRADA")</f>
        <v/>
      </c>
      <c r="H4308" s="13">
        <f>SUMIFS(Movimentacoes!$G:$G,Movimentacoes!$C:$C,$A4308,Movimentacoes!$E:$E,$C4308,Movimentacoes!$B:$B,"SAIDA_USO")</f>
        <v/>
      </c>
      <c r="I4308" s="13">
        <f>SUMIFS(Movimentacoes!$G:$G,Movimentacoes!$C:$C,$A4308,Movimentacoes!$E:$E,$C4308,Movimentacoes!$B:$B,"SAIDA_DESCARTE")</f>
        <v/>
      </c>
      <c r="J4308" s="13">
        <f>G4308-H4308-I4308</f>
        <v/>
      </c>
      <c r="K4308">
        <f>IF(A4308="","",IF(J4308&lt;=IFERROR(VLOOKUP(A4308,Cadastro_Produtos!$A:$E,5,FALSE),0),"ABAIXO DO MINIMO","OK"))</f>
        <v/>
      </c>
    </row>
    <row r="4309">
      <c r="B4309">
        <f>IFERROR(VLOOKUP(A4309,Cadastro_Produtos!A:B,2,FALSE),"")</f>
        <v/>
      </c>
      <c r="D4309" s="12" t="n"/>
      <c r="E4309" s="13">
        <f>IF(D4309="","",D4309-TODAY())</f>
        <v/>
      </c>
      <c r="F4309">
        <f>IF(D4309="","",IF(E4309&lt;0,"VENCIDO",IF(E4309&lt;=30,"VENCE EM &lt;= 30 DIAS",IF(E4309&lt;=60,"ATENCAO (31-60 DIAS)","OK"))))</f>
        <v/>
      </c>
      <c r="G4309" s="13">
        <f>SUMIFS(Movimentacoes!$G:$G,Movimentacoes!$C:$C,$A4309,Movimentacoes!$E:$E,$C4309,Movimentacoes!$B:$B,"ENTRADA")</f>
        <v/>
      </c>
      <c r="H4309" s="13">
        <f>SUMIFS(Movimentacoes!$G:$G,Movimentacoes!$C:$C,$A4309,Movimentacoes!$E:$E,$C4309,Movimentacoes!$B:$B,"SAIDA_USO")</f>
        <v/>
      </c>
      <c r="I4309" s="13">
        <f>SUMIFS(Movimentacoes!$G:$G,Movimentacoes!$C:$C,$A4309,Movimentacoes!$E:$E,$C4309,Movimentacoes!$B:$B,"SAIDA_DESCARTE")</f>
        <v/>
      </c>
      <c r="J4309" s="13">
        <f>G4309-H4309-I4309</f>
        <v/>
      </c>
      <c r="K4309">
        <f>IF(A4309="","",IF(J4309&lt;=IFERROR(VLOOKUP(A4309,Cadastro_Produtos!$A:$E,5,FALSE),0),"ABAIXO DO MINIMO","OK"))</f>
        <v/>
      </c>
    </row>
    <row r="4310">
      <c r="B4310">
        <f>IFERROR(VLOOKUP(A4310,Cadastro_Produtos!A:B,2,FALSE),"")</f>
        <v/>
      </c>
      <c r="D4310" s="12" t="n"/>
      <c r="E4310" s="13">
        <f>IF(D4310="","",D4310-TODAY())</f>
        <v/>
      </c>
      <c r="F4310">
        <f>IF(D4310="","",IF(E4310&lt;0,"VENCIDO",IF(E4310&lt;=30,"VENCE EM &lt;= 30 DIAS",IF(E4310&lt;=60,"ATENCAO (31-60 DIAS)","OK"))))</f>
        <v/>
      </c>
      <c r="G4310" s="13">
        <f>SUMIFS(Movimentacoes!$G:$G,Movimentacoes!$C:$C,$A4310,Movimentacoes!$E:$E,$C4310,Movimentacoes!$B:$B,"ENTRADA")</f>
        <v/>
      </c>
      <c r="H4310" s="13">
        <f>SUMIFS(Movimentacoes!$G:$G,Movimentacoes!$C:$C,$A4310,Movimentacoes!$E:$E,$C4310,Movimentacoes!$B:$B,"SAIDA_USO")</f>
        <v/>
      </c>
      <c r="I4310" s="13">
        <f>SUMIFS(Movimentacoes!$G:$G,Movimentacoes!$C:$C,$A4310,Movimentacoes!$E:$E,$C4310,Movimentacoes!$B:$B,"SAIDA_DESCARTE")</f>
        <v/>
      </c>
      <c r="J4310" s="13">
        <f>G4310-H4310-I4310</f>
        <v/>
      </c>
      <c r="K4310">
        <f>IF(A4310="","",IF(J4310&lt;=IFERROR(VLOOKUP(A4310,Cadastro_Produtos!$A:$E,5,FALSE),0),"ABAIXO DO MINIMO","OK"))</f>
        <v/>
      </c>
    </row>
    <row r="4311">
      <c r="B4311">
        <f>IFERROR(VLOOKUP(A4311,Cadastro_Produtos!A:B,2,FALSE),"")</f>
        <v/>
      </c>
      <c r="D4311" s="12" t="n"/>
      <c r="E4311" s="13">
        <f>IF(D4311="","",D4311-TODAY())</f>
        <v/>
      </c>
      <c r="F4311">
        <f>IF(D4311="","",IF(E4311&lt;0,"VENCIDO",IF(E4311&lt;=30,"VENCE EM &lt;= 30 DIAS",IF(E4311&lt;=60,"ATENCAO (31-60 DIAS)","OK"))))</f>
        <v/>
      </c>
      <c r="G4311" s="13">
        <f>SUMIFS(Movimentacoes!$G:$G,Movimentacoes!$C:$C,$A4311,Movimentacoes!$E:$E,$C4311,Movimentacoes!$B:$B,"ENTRADA")</f>
        <v/>
      </c>
      <c r="H4311" s="13">
        <f>SUMIFS(Movimentacoes!$G:$G,Movimentacoes!$C:$C,$A4311,Movimentacoes!$E:$E,$C4311,Movimentacoes!$B:$B,"SAIDA_USO")</f>
        <v/>
      </c>
      <c r="I4311" s="13">
        <f>SUMIFS(Movimentacoes!$G:$G,Movimentacoes!$C:$C,$A4311,Movimentacoes!$E:$E,$C4311,Movimentacoes!$B:$B,"SAIDA_DESCARTE")</f>
        <v/>
      </c>
      <c r="J4311" s="13">
        <f>G4311-H4311-I4311</f>
        <v/>
      </c>
      <c r="K4311">
        <f>IF(A4311="","",IF(J4311&lt;=IFERROR(VLOOKUP(A4311,Cadastro_Produtos!$A:$E,5,FALSE),0),"ABAIXO DO MINIMO","OK"))</f>
        <v/>
      </c>
    </row>
    <row r="4312">
      <c r="B4312">
        <f>IFERROR(VLOOKUP(A4312,Cadastro_Produtos!A:B,2,FALSE),"")</f>
        <v/>
      </c>
      <c r="D4312" s="12" t="n"/>
      <c r="E4312" s="13">
        <f>IF(D4312="","",D4312-TODAY())</f>
        <v/>
      </c>
      <c r="F4312">
        <f>IF(D4312="","",IF(E4312&lt;0,"VENCIDO",IF(E4312&lt;=30,"VENCE EM &lt;= 30 DIAS",IF(E4312&lt;=60,"ATENCAO (31-60 DIAS)","OK"))))</f>
        <v/>
      </c>
      <c r="G4312" s="13">
        <f>SUMIFS(Movimentacoes!$G:$G,Movimentacoes!$C:$C,$A4312,Movimentacoes!$E:$E,$C4312,Movimentacoes!$B:$B,"ENTRADA")</f>
        <v/>
      </c>
      <c r="H4312" s="13">
        <f>SUMIFS(Movimentacoes!$G:$G,Movimentacoes!$C:$C,$A4312,Movimentacoes!$E:$E,$C4312,Movimentacoes!$B:$B,"SAIDA_USO")</f>
        <v/>
      </c>
      <c r="I4312" s="13">
        <f>SUMIFS(Movimentacoes!$G:$G,Movimentacoes!$C:$C,$A4312,Movimentacoes!$E:$E,$C4312,Movimentacoes!$B:$B,"SAIDA_DESCARTE")</f>
        <v/>
      </c>
      <c r="J4312" s="13">
        <f>G4312-H4312-I4312</f>
        <v/>
      </c>
      <c r="K4312">
        <f>IF(A4312="","",IF(J4312&lt;=IFERROR(VLOOKUP(A4312,Cadastro_Produtos!$A:$E,5,FALSE),0),"ABAIXO DO MINIMO","OK"))</f>
        <v/>
      </c>
    </row>
    <row r="4313">
      <c r="B4313">
        <f>IFERROR(VLOOKUP(A4313,Cadastro_Produtos!A:B,2,FALSE),"")</f>
        <v/>
      </c>
      <c r="D4313" s="12" t="n"/>
      <c r="E4313" s="13">
        <f>IF(D4313="","",D4313-TODAY())</f>
        <v/>
      </c>
      <c r="F4313">
        <f>IF(D4313="","",IF(E4313&lt;0,"VENCIDO",IF(E4313&lt;=30,"VENCE EM &lt;= 30 DIAS",IF(E4313&lt;=60,"ATENCAO (31-60 DIAS)","OK"))))</f>
        <v/>
      </c>
      <c r="G4313" s="13">
        <f>SUMIFS(Movimentacoes!$G:$G,Movimentacoes!$C:$C,$A4313,Movimentacoes!$E:$E,$C4313,Movimentacoes!$B:$B,"ENTRADA")</f>
        <v/>
      </c>
      <c r="H4313" s="13">
        <f>SUMIFS(Movimentacoes!$G:$G,Movimentacoes!$C:$C,$A4313,Movimentacoes!$E:$E,$C4313,Movimentacoes!$B:$B,"SAIDA_USO")</f>
        <v/>
      </c>
      <c r="I4313" s="13">
        <f>SUMIFS(Movimentacoes!$G:$G,Movimentacoes!$C:$C,$A4313,Movimentacoes!$E:$E,$C4313,Movimentacoes!$B:$B,"SAIDA_DESCARTE")</f>
        <v/>
      </c>
      <c r="J4313" s="13">
        <f>G4313-H4313-I4313</f>
        <v/>
      </c>
      <c r="K4313">
        <f>IF(A4313="","",IF(J4313&lt;=IFERROR(VLOOKUP(A4313,Cadastro_Produtos!$A:$E,5,FALSE),0),"ABAIXO DO MINIMO","OK"))</f>
        <v/>
      </c>
    </row>
    <row r="4314">
      <c r="B4314">
        <f>IFERROR(VLOOKUP(A4314,Cadastro_Produtos!A:B,2,FALSE),"")</f>
        <v/>
      </c>
      <c r="D4314" s="12" t="n"/>
      <c r="E4314" s="13">
        <f>IF(D4314="","",D4314-TODAY())</f>
        <v/>
      </c>
      <c r="F4314">
        <f>IF(D4314="","",IF(E4314&lt;0,"VENCIDO",IF(E4314&lt;=30,"VENCE EM &lt;= 30 DIAS",IF(E4314&lt;=60,"ATENCAO (31-60 DIAS)","OK"))))</f>
        <v/>
      </c>
      <c r="G4314" s="13">
        <f>SUMIFS(Movimentacoes!$G:$G,Movimentacoes!$C:$C,$A4314,Movimentacoes!$E:$E,$C4314,Movimentacoes!$B:$B,"ENTRADA")</f>
        <v/>
      </c>
      <c r="H4314" s="13">
        <f>SUMIFS(Movimentacoes!$G:$G,Movimentacoes!$C:$C,$A4314,Movimentacoes!$E:$E,$C4314,Movimentacoes!$B:$B,"SAIDA_USO")</f>
        <v/>
      </c>
      <c r="I4314" s="13">
        <f>SUMIFS(Movimentacoes!$G:$G,Movimentacoes!$C:$C,$A4314,Movimentacoes!$E:$E,$C4314,Movimentacoes!$B:$B,"SAIDA_DESCARTE")</f>
        <v/>
      </c>
      <c r="J4314" s="13">
        <f>G4314-H4314-I4314</f>
        <v/>
      </c>
      <c r="K4314">
        <f>IF(A4314="","",IF(J4314&lt;=IFERROR(VLOOKUP(A4314,Cadastro_Produtos!$A:$E,5,FALSE),0),"ABAIXO DO MINIMO","OK"))</f>
        <v/>
      </c>
    </row>
    <row r="4315">
      <c r="B4315">
        <f>IFERROR(VLOOKUP(A4315,Cadastro_Produtos!A:B,2,FALSE),"")</f>
        <v/>
      </c>
      <c r="D4315" s="12" t="n"/>
      <c r="E4315" s="13">
        <f>IF(D4315="","",D4315-TODAY())</f>
        <v/>
      </c>
      <c r="F4315">
        <f>IF(D4315="","",IF(E4315&lt;0,"VENCIDO",IF(E4315&lt;=30,"VENCE EM &lt;= 30 DIAS",IF(E4315&lt;=60,"ATENCAO (31-60 DIAS)","OK"))))</f>
        <v/>
      </c>
      <c r="G4315" s="13">
        <f>SUMIFS(Movimentacoes!$G:$G,Movimentacoes!$C:$C,$A4315,Movimentacoes!$E:$E,$C4315,Movimentacoes!$B:$B,"ENTRADA")</f>
        <v/>
      </c>
      <c r="H4315" s="13">
        <f>SUMIFS(Movimentacoes!$G:$G,Movimentacoes!$C:$C,$A4315,Movimentacoes!$E:$E,$C4315,Movimentacoes!$B:$B,"SAIDA_USO")</f>
        <v/>
      </c>
      <c r="I4315" s="13">
        <f>SUMIFS(Movimentacoes!$G:$G,Movimentacoes!$C:$C,$A4315,Movimentacoes!$E:$E,$C4315,Movimentacoes!$B:$B,"SAIDA_DESCARTE")</f>
        <v/>
      </c>
      <c r="J4315" s="13">
        <f>G4315-H4315-I4315</f>
        <v/>
      </c>
      <c r="K4315">
        <f>IF(A4315="","",IF(J4315&lt;=IFERROR(VLOOKUP(A4315,Cadastro_Produtos!$A:$E,5,FALSE),0),"ABAIXO DO MINIMO","OK"))</f>
        <v/>
      </c>
    </row>
    <row r="4316">
      <c r="B4316">
        <f>IFERROR(VLOOKUP(A4316,Cadastro_Produtos!A:B,2,FALSE),"")</f>
        <v/>
      </c>
      <c r="D4316" s="12" t="n"/>
      <c r="E4316" s="13">
        <f>IF(D4316="","",D4316-TODAY())</f>
        <v/>
      </c>
      <c r="F4316">
        <f>IF(D4316="","",IF(E4316&lt;0,"VENCIDO",IF(E4316&lt;=30,"VENCE EM &lt;= 30 DIAS",IF(E4316&lt;=60,"ATENCAO (31-60 DIAS)","OK"))))</f>
        <v/>
      </c>
      <c r="G4316" s="13">
        <f>SUMIFS(Movimentacoes!$G:$G,Movimentacoes!$C:$C,$A4316,Movimentacoes!$E:$E,$C4316,Movimentacoes!$B:$B,"ENTRADA")</f>
        <v/>
      </c>
      <c r="H4316" s="13">
        <f>SUMIFS(Movimentacoes!$G:$G,Movimentacoes!$C:$C,$A4316,Movimentacoes!$E:$E,$C4316,Movimentacoes!$B:$B,"SAIDA_USO")</f>
        <v/>
      </c>
      <c r="I4316" s="13">
        <f>SUMIFS(Movimentacoes!$G:$G,Movimentacoes!$C:$C,$A4316,Movimentacoes!$E:$E,$C4316,Movimentacoes!$B:$B,"SAIDA_DESCARTE")</f>
        <v/>
      </c>
      <c r="J4316" s="13">
        <f>G4316-H4316-I4316</f>
        <v/>
      </c>
      <c r="K4316">
        <f>IF(A4316="","",IF(J4316&lt;=IFERROR(VLOOKUP(A4316,Cadastro_Produtos!$A:$E,5,FALSE),0),"ABAIXO DO MINIMO","OK"))</f>
        <v/>
      </c>
    </row>
    <row r="4317">
      <c r="B4317">
        <f>IFERROR(VLOOKUP(A4317,Cadastro_Produtos!A:B,2,FALSE),"")</f>
        <v/>
      </c>
      <c r="D4317" s="12" t="n"/>
      <c r="E4317" s="13">
        <f>IF(D4317="","",D4317-TODAY())</f>
        <v/>
      </c>
      <c r="F4317">
        <f>IF(D4317="","",IF(E4317&lt;0,"VENCIDO",IF(E4317&lt;=30,"VENCE EM &lt;= 30 DIAS",IF(E4317&lt;=60,"ATENCAO (31-60 DIAS)","OK"))))</f>
        <v/>
      </c>
      <c r="G4317" s="13">
        <f>SUMIFS(Movimentacoes!$G:$G,Movimentacoes!$C:$C,$A4317,Movimentacoes!$E:$E,$C4317,Movimentacoes!$B:$B,"ENTRADA")</f>
        <v/>
      </c>
      <c r="H4317" s="13">
        <f>SUMIFS(Movimentacoes!$G:$G,Movimentacoes!$C:$C,$A4317,Movimentacoes!$E:$E,$C4317,Movimentacoes!$B:$B,"SAIDA_USO")</f>
        <v/>
      </c>
      <c r="I4317" s="13">
        <f>SUMIFS(Movimentacoes!$G:$G,Movimentacoes!$C:$C,$A4317,Movimentacoes!$E:$E,$C4317,Movimentacoes!$B:$B,"SAIDA_DESCARTE")</f>
        <v/>
      </c>
      <c r="J4317" s="13">
        <f>G4317-H4317-I4317</f>
        <v/>
      </c>
      <c r="K4317">
        <f>IF(A4317="","",IF(J4317&lt;=IFERROR(VLOOKUP(A4317,Cadastro_Produtos!$A:$E,5,FALSE),0),"ABAIXO DO MINIMO","OK"))</f>
        <v/>
      </c>
    </row>
    <row r="4318">
      <c r="B4318">
        <f>IFERROR(VLOOKUP(A4318,Cadastro_Produtos!A:B,2,FALSE),"")</f>
        <v/>
      </c>
      <c r="D4318" s="12" t="n"/>
      <c r="E4318" s="13">
        <f>IF(D4318="","",D4318-TODAY())</f>
        <v/>
      </c>
      <c r="F4318">
        <f>IF(D4318="","",IF(E4318&lt;0,"VENCIDO",IF(E4318&lt;=30,"VENCE EM &lt;= 30 DIAS",IF(E4318&lt;=60,"ATENCAO (31-60 DIAS)","OK"))))</f>
        <v/>
      </c>
      <c r="G4318" s="13">
        <f>SUMIFS(Movimentacoes!$G:$G,Movimentacoes!$C:$C,$A4318,Movimentacoes!$E:$E,$C4318,Movimentacoes!$B:$B,"ENTRADA")</f>
        <v/>
      </c>
      <c r="H4318" s="13">
        <f>SUMIFS(Movimentacoes!$G:$G,Movimentacoes!$C:$C,$A4318,Movimentacoes!$E:$E,$C4318,Movimentacoes!$B:$B,"SAIDA_USO")</f>
        <v/>
      </c>
      <c r="I4318" s="13">
        <f>SUMIFS(Movimentacoes!$G:$G,Movimentacoes!$C:$C,$A4318,Movimentacoes!$E:$E,$C4318,Movimentacoes!$B:$B,"SAIDA_DESCARTE")</f>
        <v/>
      </c>
      <c r="J4318" s="13">
        <f>G4318-H4318-I4318</f>
        <v/>
      </c>
      <c r="K4318">
        <f>IF(A4318="","",IF(J4318&lt;=IFERROR(VLOOKUP(A4318,Cadastro_Produtos!$A:$E,5,FALSE),0),"ABAIXO DO MINIMO","OK"))</f>
        <v/>
      </c>
    </row>
    <row r="4319">
      <c r="B4319">
        <f>IFERROR(VLOOKUP(A4319,Cadastro_Produtos!A:B,2,FALSE),"")</f>
        <v/>
      </c>
      <c r="D4319" s="12" t="n"/>
      <c r="E4319" s="13">
        <f>IF(D4319="","",D4319-TODAY())</f>
        <v/>
      </c>
      <c r="F4319">
        <f>IF(D4319="","",IF(E4319&lt;0,"VENCIDO",IF(E4319&lt;=30,"VENCE EM &lt;= 30 DIAS",IF(E4319&lt;=60,"ATENCAO (31-60 DIAS)","OK"))))</f>
        <v/>
      </c>
      <c r="G4319" s="13">
        <f>SUMIFS(Movimentacoes!$G:$G,Movimentacoes!$C:$C,$A4319,Movimentacoes!$E:$E,$C4319,Movimentacoes!$B:$B,"ENTRADA")</f>
        <v/>
      </c>
      <c r="H4319" s="13">
        <f>SUMIFS(Movimentacoes!$G:$G,Movimentacoes!$C:$C,$A4319,Movimentacoes!$E:$E,$C4319,Movimentacoes!$B:$B,"SAIDA_USO")</f>
        <v/>
      </c>
      <c r="I4319" s="13">
        <f>SUMIFS(Movimentacoes!$G:$G,Movimentacoes!$C:$C,$A4319,Movimentacoes!$E:$E,$C4319,Movimentacoes!$B:$B,"SAIDA_DESCARTE")</f>
        <v/>
      </c>
      <c r="J4319" s="13">
        <f>G4319-H4319-I4319</f>
        <v/>
      </c>
      <c r="K4319">
        <f>IF(A4319="","",IF(J4319&lt;=IFERROR(VLOOKUP(A4319,Cadastro_Produtos!$A:$E,5,FALSE),0),"ABAIXO DO MINIMO","OK"))</f>
        <v/>
      </c>
    </row>
    <row r="4320">
      <c r="B4320">
        <f>IFERROR(VLOOKUP(A4320,Cadastro_Produtos!A:B,2,FALSE),"")</f>
        <v/>
      </c>
      <c r="D4320" s="12" t="n"/>
      <c r="E4320" s="13">
        <f>IF(D4320="","",D4320-TODAY())</f>
        <v/>
      </c>
      <c r="F4320">
        <f>IF(D4320="","",IF(E4320&lt;0,"VENCIDO",IF(E4320&lt;=30,"VENCE EM &lt;= 30 DIAS",IF(E4320&lt;=60,"ATENCAO (31-60 DIAS)","OK"))))</f>
        <v/>
      </c>
      <c r="G4320" s="13">
        <f>SUMIFS(Movimentacoes!$G:$G,Movimentacoes!$C:$C,$A4320,Movimentacoes!$E:$E,$C4320,Movimentacoes!$B:$B,"ENTRADA")</f>
        <v/>
      </c>
      <c r="H4320" s="13">
        <f>SUMIFS(Movimentacoes!$G:$G,Movimentacoes!$C:$C,$A4320,Movimentacoes!$E:$E,$C4320,Movimentacoes!$B:$B,"SAIDA_USO")</f>
        <v/>
      </c>
      <c r="I4320" s="13">
        <f>SUMIFS(Movimentacoes!$G:$G,Movimentacoes!$C:$C,$A4320,Movimentacoes!$E:$E,$C4320,Movimentacoes!$B:$B,"SAIDA_DESCARTE")</f>
        <v/>
      </c>
      <c r="J4320" s="13">
        <f>G4320-H4320-I4320</f>
        <v/>
      </c>
      <c r="K4320">
        <f>IF(A4320="","",IF(J4320&lt;=IFERROR(VLOOKUP(A4320,Cadastro_Produtos!$A:$E,5,FALSE),0),"ABAIXO DO MINIMO","OK"))</f>
        <v/>
      </c>
    </row>
    <row r="4321">
      <c r="B4321">
        <f>IFERROR(VLOOKUP(A4321,Cadastro_Produtos!A:B,2,FALSE),"")</f>
        <v/>
      </c>
      <c r="D4321" s="12" t="n"/>
      <c r="E4321" s="13">
        <f>IF(D4321="","",D4321-TODAY())</f>
        <v/>
      </c>
      <c r="F4321">
        <f>IF(D4321="","",IF(E4321&lt;0,"VENCIDO",IF(E4321&lt;=30,"VENCE EM &lt;= 30 DIAS",IF(E4321&lt;=60,"ATENCAO (31-60 DIAS)","OK"))))</f>
        <v/>
      </c>
      <c r="G4321" s="13">
        <f>SUMIFS(Movimentacoes!$G:$G,Movimentacoes!$C:$C,$A4321,Movimentacoes!$E:$E,$C4321,Movimentacoes!$B:$B,"ENTRADA")</f>
        <v/>
      </c>
      <c r="H4321" s="13">
        <f>SUMIFS(Movimentacoes!$G:$G,Movimentacoes!$C:$C,$A4321,Movimentacoes!$E:$E,$C4321,Movimentacoes!$B:$B,"SAIDA_USO")</f>
        <v/>
      </c>
      <c r="I4321" s="13">
        <f>SUMIFS(Movimentacoes!$G:$G,Movimentacoes!$C:$C,$A4321,Movimentacoes!$E:$E,$C4321,Movimentacoes!$B:$B,"SAIDA_DESCARTE")</f>
        <v/>
      </c>
      <c r="J4321" s="13">
        <f>G4321-H4321-I4321</f>
        <v/>
      </c>
      <c r="K4321">
        <f>IF(A4321="","",IF(J4321&lt;=IFERROR(VLOOKUP(A4321,Cadastro_Produtos!$A:$E,5,FALSE),0),"ABAIXO DO MINIMO","OK"))</f>
        <v/>
      </c>
    </row>
    <row r="4322">
      <c r="B4322">
        <f>IFERROR(VLOOKUP(A4322,Cadastro_Produtos!A:B,2,FALSE),"")</f>
        <v/>
      </c>
      <c r="D4322" s="12" t="n"/>
      <c r="E4322" s="13">
        <f>IF(D4322="","",D4322-TODAY())</f>
        <v/>
      </c>
      <c r="F4322">
        <f>IF(D4322="","",IF(E4322&lt;0,"VENCIDO",IF(E4322&lt;=30,"VENCE EM &lt;= 30 DIAS",IF(E4322&lt;=60,"ATENCAO (31-60 DIAS)","OK"))))</f>
        <v/>
      </c>
      <c r="G4322" s="13">
        <f>SUMIFS(Movimentacoes!$G:$G,Movimentacoes!$C:$C,$A4322,Movimentacoes!$E:$E,$C4322,Movimentacoes!$B:$B,"ENTRADA")</f>
        <v/>
      </c>
      <c r="H4322" s="13">
        <f>SUMIFS(Movimentacoes!$G:$G,Movimentacoes!$C:$C,$A4322,Movimentacoes!$E:$E,$C4322,Movimentacoes!$B:$B,"SAIDA_USO")</f>
        <v/>
      </c>
      <c r="I4322" s="13">
        <f>SUMIFS(Movimentacoes!$G:$G,Movimentacoes!$C:$C,$A4322,Movimentacoes!$E:$E,$C4322,Movimentacoes!$B:$B,"SAIDA_DESCARTE")</f>
        <v/>
      </c>
      <c r="J4322" s="13">
        <f>G4322-H4322-I4322</f>
        <v/>
      </c>
      <c r="K4322">
        <f>IF(A4322="","",IF(J4322&lt;=IFERROR(VLOOKUP(A4322,Cadastro_Produtos!$A:$E,5,FALSE),0),"ABAIXO DO MINIMO","OK"))</f>
        <v/>
      </c>
    </row>
    <row r="4323">
      <c r="B4323">
        <f>IFERROR(VLOOKUP(A4323,Cadastro_Produtos!A:B,2,FALSE),"")</f>
        <v/>
      </c>
      <c r="D4323" s="12" t="n"/>
      <c r="E4323" s="13">
        <f>IF(D4323="","",D4323-TODAY())</f>
        <v/>
      </c>
      <c r="F4323">
        <f>IF(D4323="","",IF(E4323&lt;0,"VENCIDO",IF(E4323&lt;=30,"VENCE EM &lt;= 30 DIAS",IF(E4323&lt;=60,"ATENCAO (31-60 DIAS)","OK"))))</f>
        <v/>
      </c>
      <c r="G4323" s="13">
        <f>SUMIFS(Movimentacoes!$G:$G,Movimentacoes!$C:$C,$A4323,Movimentacoes!$E:$E,$C4323,Movimentacoes!$B:$B,"ENTRADA")</f>
        <v/>
      </c>
      <c r="H4323" s="13">
        <f>SUMIFS(Movimentacoes!$G:$G,Movimentacoes!$C:$C,$A4323,Movimentacoes!$E:$E,$C4323,Movimentacoes!$B:$B,"SAIDA_USO")</f>
        <v/>
      </c>
      <c r="I4323" s="13">
        <f>SUMIFS(Movimentacoes!$G:$G,Movimentacoes!$C:$C,$A4323,Movimentacoes!$E:$E,$C4323,Movimentacoes!$B:$B,"SAIDA_DESCARTE")</f>
        <v/>
      </c>
      <c r="J4323" s="13">
        <f>G4323-H4323-I4323</f>
        <v/>
      </c>
      <c r="K4323">
        <f>IF(A4323="","",IF(J4323&lt;=IFERROR(VLOOKUP(A4323,Cadastro_Produtos!$A:$E,5,FALSE),0),"ABAIXO DO MINIMO","OK"))</f>
        <v/>
      </c>
    </row>
    <row r="4324">
      <c r="B4324">
        <f>IFERROR(VLOOKUP(A4324,Cadastro_Produtos!A:B,2,FALSE),"")</f>
        <v/>
      </c>
      <c r="D4324" s="12" t="n"/>
      <c r="E4324" s="13">
        <f>IF(D4324="","",D4324-TODAY())</f>
        <v/>
      </c>
      <c r="F4324">
        <f>IF(D4324="","",IF(E4324&lt;0,"VENCIDO",IF(E4324&lt;=30,"VENCE EM &lt;= 30 DIAS",IF(E4324&lt;=60,"ATENCAO (31-60 DIAS)","OK"))))</f>
        <v/>
      </c>
      <c r="G4324" s="13">
        <f>SUMIFS(Movimentacoes!$G:$G,Movimentacoes!$C:$C,$A4324,Movimentacoes!$E:$E,$C4324,Movimentacoes!$B:$B,"ENTRADA")</f>
        <v/>
      </c>
      <c r="H4324" s="13">
        <f>SUMIFS(Movimentacoes!$G:$G,Movimentacoes!$C:$C,$A4324,Movimentacoes!$E:$E,$C4324,Movimentacoes!$B:$B,"SAIDA_USO")</f>
        <v/>
      </c>
      <c r="I4324" s="13">
        <f>SUMIFS(Movimentacoes!$G:$G,Movimentacoes!$C:$C,$A4324,Movimentacoes!$E:$E,$C4324,Movimentacoes!$B:$B,"SAIDA_DESCARTE")</f>
        <v/>
      </c>
      <c r="J4324" s="13">
        <f>G4324-H4324-I4324</f>
        <v/>
      </c>
      <c r="K4324">
        <f>IF(A4324="","",IF(J4324&lt;=IFERROR(VLOOKUP(A4324,Cadastro_Produtos!$A:$E,5,FALSE),0),"ABAIXO DO MINIMO","OK"))</f>
        <v/>
      </c>
    </row>
    <row r="4325">
      <c r="B4325">
        <f>IFERROR(VLOOKUP(A4325,Cadastro_Produtos!A:B,2,FALSE),"")</f>
        <v/>
      </c>
      <c r="D4325" s="12" t="n"/>
      <c r="E4325" s="13">
        <f>IF(D4325="","",D4325-TODAY())</f>
        <v/>
      </c>
      <c r="F4325">
        <f>IF(D4325="","",IF(E4325&lt;0,"VENCIDO",IF(E4325&lt;=30,"VENCE EM &lt;= 30 DIAS",IF(E4325&lt;=60,"ATENCAO (31-60 DIAS)","OK"))))</f>
        <v/>
      </c>
      <c r="G4325" s="13">
        <f>SUMIFS(Movimentacoes!$G:$G,Movimentacoes!$C:$C,$A4325,Movimentacoes!$E:$E,$C4325,Movimentacoes!$B:$B,"ENTRADA")</f>
        <v/>
      </c>
      <c r="H4325" s="13">
        <f>SUMIFS(Movimentacoes!$G:$G,Movimentacoes!$C:$C,$A4325,Movimentacoes!$E:$E,$C4325,Movimentacoes!$B:$B,"SAIDA_USO")</f>
        <v/>
      </c>
      <c r="I4325" s="13">
        <f>SUMIFS(Movimentacoes!$G:$G,Movimentacoes!$C:$C,$A4325,Movimentacoes!$E:$E,$C4325,Movimentacoes!$B:$B,"SAIDA_DESCARTE")</f>
        <v/>
      </c>
      <c r="J4325" s="13">
        <f>G4325-H4325-I4325</f>
        <v/>
      </c>
      <c r="K4325">
        <f>IF(A4325="","",IF(J4325&lt;=IFERROR(VLOOKUP(A4325,Cadastro_Produtos!$A:$E,5,FALSE),0),"ABAIXO DO MINIMO","OK"))</f>
        <v/>
      </c>
    </row>
    <row r="4326">
      <c r="B4326">
        <f>IFERROR(VLOOKUP(A4326,Cadastro_Produtos!A:B,2,FALSE),"")</f>
        <v/>
      </c>
      <c r="D4326" s="12" t="n"/>
      <c r="E4326" s="13">
        <f>IF(D4326="","",D4326-TODAY())</f>
        <v/>
      </c>
      <c r="F4326">
        <f>IF(D4326="","",IF(E4326&lt;0,"VENCIDO",IF(E4326&lt;=30,"VENCE EM &lt;= 30 DIAS",IF(E4326&lt;=60,"ATENCAO (31-60 DIAS)","OK"))))</f>
        <v/>
      </c>
      <c r="G4326" s="13">
        <f>SUMIFS(Movimentacoes!$G:$G,Movimentacoes!$C:$C,$A4326,Movimentacoes!$E:$E,$C4326,Movimentacoes!$B:$B,"ENTRADA")</f>
        <v/>
      </c>
      <c r="H4326" s="13">
        <f>SUMIFS(Movimentacoes!$G:$G,Movimentacoes!$C:$C,$A4326,Movimentacoes!$E:$E,$C4326,Movimentacoes!$B:$B,"SAIDA_USO")</f>
        <v/>
      </c>
      <c r="I4326" s="13">
        <f>SUMIFS(Movimentacoes!$G:$G,Movimentacoes!$C:$C,$A4326,Movimentacoes!$E:$E,$C4326,Movimentacoes!$B:$B,"SAIDA_DESCARTE")</f>
        <v/>
      </c>
      <c r="J4326" s="13">
        <f>G4326-H4326-I4326</f>
        <v/>
      </c>
      <c r="K4326">
        <f>IF(A4326="","",IF(J4326&lt;=IFERROR(VLOOKUP(A4326,Cadastro_Produtos!$A:$E,5,FALSE),0),"ABAIXO DO MINIMO","OK"))</f>
        <v/>
      </c>
    </row>
    <row r="4327">
      <c r="B4327">
        <f>IFERROR(VLOOKUP(A4327,Cadastro_Produtos!A:B,2,FALSE),"")</f>
        <v/>
      </c>
      <c r="D4327" s="12" t="n"/>
      <c r="E4327" s="13">
        <f>IF(D4327="","",D4327-TODAY())</f>
        <v/>
      </c>
      <c r="F4327">
        <f>IF(D4327="","",IF(E4327&lt;0,"VENCIDO",IF(E4327&lt;=30,"VENCE EM &lt;= 30 DIAS",IF(E4327&lt;=60,"ATENCAO (31-60 DIAS)","OK"))))</f>
        <v/>
      </c>
      <c r="G4327" s="13">
        <f>SUMIFS(Movimentacoes!$G:$G,Movimentacoes!$C:$C,$A4327,Movimentacoes!$E:$E,$C4327,Movimentacoes!$B:$B,"ENTRADA")</f>
        <v/>
      </c>
      <c r="H4327" s="13">
        <f>SUMIFS(Movimentacoes!$G:$G,Movimentacoes!$C:$C,$A4327,Movimentacoes!$E:$E,$C4327,Movimentacoes!$B:$B,"SAIDA_USO")</f>
        <v/>
      </c>
      <c r="I4327" s="13">
        <f>SUMIFS(Movimentacoes!$G:$G,Movimentacoes!$C:$C,$A4327,Movimentacoes!$E:$E,$C4327,Movimentacoes!$B:$B,"SAIDA_DESCARTE")</f>
        <v/>
      </c>
      <c r="J4327" s="13">
        <f>G4327-H4327-I4327</f>
        <v/>
      </c>
      <c r="K4327">
        <f>IF(A4327="","",IF(J4327&lt;=IFERROR(VLOOKUP(A4327,Cadastro_Produtos!$A:$E,5,FALSE),0),"ABAIXO DO MINIMO","OK"))</f>
        <v/>
      </c>
    </row>
    <row r="4328">
      <c r="B4328">
        <f>IFERROR(VLOOKUP(A4328,Cadastro_Produtos!A:B,2,FALSE),"")</f>
        <v/>
      </c>
      <c r="D4328" s="12" t="n"/>
      <c r="E4328" s="13">
        <f>IF(D4328="","",D4328-TODAY())</f>
        <v/>
      </c>
      <c r="F4328">
        <f>IF(D4328="","",IF(E4328&lt;0,"VENCIDO",IF(E4328&lt;=30,"VENCE EM &lt;= 30 DIAS",IF(E4328&lt;=60,"ATENCAO (31-60 DIAS)","OK"))))</f>
        <v/>
      </c>
      <c r="G4328" s="13">
        <f>SUMIFS(Movimentacoes!$G:$G,Movimentacoes!$C:$C,$A4328,Movimentacoes!$E:$E,$C4328,Movimentacoes!$B:$B,"ENTRADA")</f>
        <v/>
      </c>
      <c r="H4328" s="13">
        <f>SUMIFS(Movimentacoes!$G:$G,Movimentacoes!$C:$C,$A4328,Movimentacoes!$E:$E,$C4328,Movimentacoes!$B:$B,"SAIDA_USO")</f>
        <v/>
      </c>
      <c r="I4328" s="13">
        <f>SUMIFS(Movimentacoes!$G:$G,Movimentacoes!$C:$C,$A4328,Movimentacoes!$E:$E,$C4328,Movimentacoes!$B:$B,"SAIDA_DESCARTE")</f>
        <v/>
      </c>
      <c r="J4328" s="13">
        <f>G4328-H4328-I4328</f>
        <v/>
      </c>
      <c r="K4328">
        <f>IF(A4328="","",IF(J4328&lt;=IFERROR(VLOOKUP(A4328,Cadastro_Produtos!$A:$E,5,FALSE),0),"ABAIXO DO MINIMO","OK"))</f>
        <v/>
      </c>
    </row>
    <row r="4329">
      <c r="B4329">
        <f>IFERROR(VLOOKUP(A4329,Cadastro_Produtos!A:B,2,FALSE),"")</f>
        <v/>
      </c>
      <c r="D4329" s="12" t="n"/>
      <c r="E4329" s="13">
        <f>IF(D4329="","",D4329-TODAY())</f>
        <v/>
      </c>
      <c r="F4329">
        <f>IF(D4329="","",IF(E4329&lt;0,"VENCIDO",IF(E4329&lt;=30,"VENCE EM &lt;= 30 DIAS",IF(E4329&lt;=60,"ATENCAO (31-60 DIAS)","OK"))))</f>
        <v/>
      </c>
      <c r="G4329" s="13">
        <f>SUMIFS(Movimentacoes!$G:$G,Movimentacoes!$C:$C,$A4329,Movimentacoes!$E:$E,$C4329,Movimentacoes!$B:$B,"ENTRADA")</f>
        <v/>
      </c>
      <c r="H4329" s="13">
        <f>SUMIFS(Movimentacoes!$G:$G,Movimentacoes!$C:$C,$A4329,Movimentacoes!$E:$E,$C4329,Movimentacoes!$B:$B,"SAIDA_USO")</f>
        <v/>
      </c>
      <c r="I4329" s="13">
        <f>SUMIFS(Movimentacoes!$G:$G,Movimentacoes!$C:$C,$A4329,Movimentacoes!$E:$E,$C4329,Movimentacoes!$B:$B,"SAIDA_DESCARTE")</f>
        <v/>
      </c>
      <c r="J4329" s="13">
        <f>G4329-H4329-I4329</f>
        <v/>
      </c>
      <c r="K4329">
        <f>IF(A4329="","",IF(J4329&lt;=IFERROR(VLOOKUP(A4329,Cadastro_Produtos!$A:$E,5,FALSE),0),"ABAIXO DO MINIMO","OK"))</f>
        <v/>
      </c>
    </row>
    <row r="4330">
      <c r="B4330">
        <f>IFERROR(VLOOKUP(A4330,Cadastro_Produtos!A:B,2,FALSE),"")</f>
        <v/>
      </c>
      <c r="D4330" s="12" t="n"/>
      <c r="E4330" s="13">
        <f>IF(D4330="","",D4330-TODAY())</f>
        <v/>
      </c>
      <c r="F4330">
        <f>IF(D4330="","",IF(E4330&lt;0,"VENCIDO",IF(E4330&lt;=30,"VENCE EM &lt;= 30 DIAS",IF(E4330&lt;=60,"ATENCAO (31-60 DIAS)","OK"))))</f>
        <v/>
      </c>
      <c r="G4330" s="13">
        <f>SUMIFS(Movimentacoes!$G:$G,Movimentacoes!$C:$C,$A4330,Movimentacoes!$E:$E,$C4330,Movimentacoes!$B:$B,"ENTRADA")</f>
        <v/>
      </c>
      <c r="H4330" s="13">
        <f>SUMIFS(Movimentacoes!$G:$G,Movimentacoes!$C:$C,$A4330,Movimentacoes!$E:$E,$C4330,Movimentacoes!$B:$B,"SAIDA_USO")</f>
        <v/>
      </c>
      <c r="I4330" s="13">
        <f>SUMIFS(Movimentacoes!$G:$G,Movimentacoes!$C:$C,$A4330,Movimentacoes!$E:$E,$C4330,Movimentacoes!$B:$B,"SAIDA_DESCARTE")</f>
        <v/>
      </c>
      <c r="J4330" s="13">
        <f>G4330-H4330-I4330</f>
        <v/>
      </c>
      <c r="K4330">
        <f>IF(A4330="","",IF(J4330&lt;=IFERROR(VLOOKUP(A4330,Cadastro_Produtos!$A:$E,5,FALSE),0),"ABAIXO DO MINIMO","OK"))</f>
        <v/>
      </c>
    </row>
    <row r="4331">
      <c r="B4331">
        <f>IFERROR(VLOOKUP(A4331,Cadastro_Produtos!A:B,2,FALSE),"")</f>
        <v/>
      </c>
      <c r="D4331" s="12" t="n"/>
      <c r="E4331" s="13">
        <f>IF(D4331="","",D4331-TODAY())</f>
        <v/>
      </c>
      <c r="F4331">
        <f>IF(D4331="","",IF(E4331&lt;0,"VENCIDO",IF(E4331&lt;=30,"VENCE EM &lt;= 30 DIAS",IF(E4331&lt;=60,"ATENCAO (31-60 DIAS)","OK"))))</f>
        <v/>
      </c>
      <c r="G4331" s="13">
        <f>SUMIFS(Movimentacoes!$G:$G,Movimentacoes!$C:$C,$A4331,Movimentacoes!$E:$E,$C4331,Movimentacoes!$B:$B,"ENTRADA")</f>
        <v/>
      </c>
      <c r="H4331" s="13">
        <f>SUMIFS(Movimentacoes!$G:$G,Movimentacoes!$C:$C,$A4331,Movimentacoes!$E:$E,$C4331,Movimentacoes!$B:$B,"SAIDA_USO")</f>
        <v/>
      </c>
      <c r="I4331" s="13">
        <f>SUMIFS(Movimentacoes!$G:$G,Movimentacoes!$C:$C,$A4331,Movimentacoes!$E:$E,$C4331,Movimentacoes!$B:$B,"SAIDA_DESCARTE")</f>
        <v/>
      </c>
      <c r="J4331" s="13">
        <f>G4331-H4331-I4331</f>
        <v/>
      </c>
      <c r="K4331">
        <f>IF(A4331="","",IF(J4331&lt;=IFERROR(VLOOKUP(A4331,Cadastro_Produtos!$A:$E,5,FALSE),0),"ABAIXO DO MINIMO","OK"))</f>
        <v/>
      </c>
    </row>
    <row r="4332">
      <c r="B4332">
        <f>IFERROR(VLOOKUP(A4332,Cadastro_Produtos!A:B,2,FALSE),"")</f>
        <v/>
      </c>
      <c r="D4332" s="12" t="n"/>
      <c r="E4332" s="13">
        <f>IF(D4332="","",D4332-TODAY())</f>
        <v/>
      </c>
      <c r="F4332">
        <f>IF(D4332="","",IF(E4332&lt;0,"VENCIDO",IF(E4332&lt;=30,"VENCE EM &lt;= 30 DIAS",IF(E4332&lt;=60,"ATENCAO (31-60 DIAS)","OK"))))</f>
        <v/>
      </c>
      <c r="G4332" s="13">
        <f>SUMIFS(Movimentacoes!$G:$G,Movimentacoes!$C:$C,$A4332,Movimentacoes!$E:$E,$C4332,Movimentacoes!$B:$B,"ENTRADA")</f>
        <v/>
      </c>
      <c r="H4332" s="13">
        <f>SUMIFS(Movimentacoes!$G:$G,Movimentacoes!$C:$C,$A4332,Movimentacoes!$E:$E,$C4332,Movimentacoes!$B:$B,"SAIDA_USO")</f>
        <v/>
      </c>
      <c r="I4332" s="13">
        <f>SUMIFS(Movimentacoes!$G:$G,Movimentacoes!$C:$C,$A4332,Movimentacoes!$E:$E,$C4332,Movimentacoes!$B:$B,"SAIDA_DESCARTE")</f>
        <v/>
      </c>
      <c r="J4332" s="13">
        <f>G4332-H4332-I4332</f>
        <v/>
      </c>
      <c r="K4332">
        <f>IF(A4332="","",IF(J4332&lt;=IFERROR(VLOOKUP(A4332,Cadastro_Produtos!$A:$E,5,FALSE),0),"ABAIXO DO MINIMO","OK"))</f>
        <v/>
      </c>
    </row>
    <row r="4333">
      <c r="B4333">
        <f>IFERROR(VLOOKUP(A4333,Cadastro_Produtos!A:B,2,FALSE),"")</f>
        <v/>
      </c>
      <c r="D4333" s="12" t="n"/>
      <c r="E4333" s="13">
        <f>IF(D4333="","",D4333-TODAY())</f>
        <v/>
      </c>
      <c r="F4333">
        <f>IF(D4333="","",IF(E4333&lt;0,"VENCIDO",IF(E4333&lt;=30,"VENCE EM &lt;= 30 DIAS",IF(E4333&lt;=60,"ATENCAO (31-60 DIAS)","OK"))))</f>
        <v/>
      </c>
      <c r="G4333" s="13">
        <f>SUMIFS(Movimentacoes!$G:$G,Movimentacoes!$C:$C,$A4333,Movimentacoes!$E:$E,$C4333,Movimentacoes!$B:$B,"ENTRADA")</f>
        <v/>
      </c>
      <c r="H4333" s="13">
        <f>SUMIFS(Movimentacoes!$G:$G,Movimentacoes!$C:$C,$A4333,Movimentacoes!$E:$E,$C4333,Movimentacoes!$B:$B,"SAIDA_USO")</f>
        <v/>
      </c>
      <c r="I4333" s="13">
        <f>SUMIFS(Movimentacoes!$G:$G,Movimentacoes!$C:$C,$A4333,Movimentacoes!$E:$E,$C4333,Movimentacoes!$B:$B,"SAIDA_DESCARTE")</f>
        <v/>
      </c>
      <c r="J4333" s="13">
        <f>G4333-H4333-I4333</f>
        <v/>
      </c>
      <c r="K4333">
        <f>IF(A4333="","",IF(J4333&lt;=IFERROR(VLOOKUP(A4333,Cadastro_Produtos!$A:$E,5,FALSE),0),"ABAIXO DO MINIMO","OK"))</f>
        <v/>
      </c>
    </row>
    <row r="4334">
      <c r="B4334">
        <f>IFERROR(VLOOKUP(A4334,Cadastro_Produtos!A:B,2,FALSE),"")</f>
        <v/>
      </c>
      <c r="D4334" s="12" t="n"/>
      <c r="E4334" s="13">
        <f>IF(D4334="","",D4334-TODAY())</f>
        <v/>
      </c>
      <c r="F4334">
        <f>IF(D4334="","",IF(E4334&lt;0,"VENCIDO",IF(E4334&lt;=30,"VENCE EM &lt;= 30 DIAS",IF(E4334&lt;=60,"ATENCAO (31-60 DIAS)","OK"))))</f>
        <v/>
      </c>
      <c r="G4334" s="13">
        <f>SUMIFS(Movimentacoes!$G:$G,Movimentacoes!$C:$C,$A4334,Movimentacoes!$E:$E,$C4334,Movimentacoes!$B:$B,"ENTRADA")</f>
        <v/>
      </c>
      <c r="H4334" s="13">
        <f>SUMIFS(Movimentacoes!$G:$G,Movimentacoes!$C:$C,$A4334,Movimentacoes!$E:$E,$C4334,Movimentacoes!$B:$B,"SAIDA_USO")</f>
        <v/>
      </c>
      <c r="I4334" s="13">
        <f>SUMIFS(Movimentacoes!$G:$G,Movimentacoes!$C:$C,$A4334,Movimentacoes!$E:$E,$C4334,Movimentacoes!$B:$B,"SAIDA_DESCARTE")</f>
        <v/>
      </c>
      <c r="J4334" s="13">
        <f>G4334-H4334-I4334</f>
        <v/>
      </c>
      <c r="K4334">
        <f>IF(A4334="","",IF(J4334&lt;=IFERROR(VLOOKUP(A4334,Cadastro_Produtos!$A:$E,5,FALSE),0),"ABAIXO DO MINIMO","OK"))</f>
        <v/>
      </c>
    </row>
    <row r="4335">
      <c r="B4335">
        <f>IFERROR(VLOOKUP(A4335,Cadastro_Produtos!A:B,2,FALSE),"")</f>
        <v/>
      </c>
      <c r="D4335" s="12" t="n"/>
      <c r="E4335" s="13">
        <f>IF(D4335="","",D4335-TODAY())</f>
        <v/>
      </c>
      <c r="F4335">
        <f>IF(D4335="","",IF(E4335&lt;0,"VENCIDO",IF(E4335&lt;=30,"VENCE EM &lt;= 30 DIAS",IF(E4335&lt;=60,"ATENCAO (31-60 DIAS)","OK"))))</f>
        <v/>
      </c>
      <c r="G4335" s="13">
        <f>SUMIFS(Movimentacoes!$G:$G,Movimentacoes!$C:$C,$A4335,Movimentacoes!$E:$E,$C4335,Movimentacoes!$B:$B,"ENTRADA")</f>
        <v/>
      </c>
      <c r="H4335" s="13">
        <f>SUMIFS(Movimentacoes!$G:$G,Movimentacoes!$C:$C,$A4335,Movimentacoes!$E:$E,$C4335,Movimentacoes!$B:$B,"SAIDA_USO")</f>
        <v/>
      </c>
      <c r="I4335" s="13">
        <f>SUMIFS(Movimentacoes!$G:$G,Movimentacoes!$C:$C,$A4335,Movimentacoes!$E:$E,$C4335,Movimentacoes!$B:$B,"SAIDA_DESCARTE")</f>
        <v/>
      </c>
      <c r="J4335" s="13">
        <f>G4335-H4335-I4335</f>
        <v/>
      </c>
      <c r="K4335">
        <f>IF(A4335="","",IF(J4335&lt;=IFERROR(VLOOKUP(A4335,Cadastro_Produtos!$A:$E,5,FALSE),0),"ABAIXO DO MINIMO","OK"))</f>
        <v/>
      </c>
    </row>
    <row r="4336">
      <c r="B4336">
        <f>IFERROR(VLOOKUP(A4336,Cadastro_Produtos!A:B,2,FALSE),"")</f>
        <v/>
      </c>
      <c r="D4336" s="12" t="n"/>
      <c r="E4336" s="13">
        <f>IF(D4336="","",D4336-TODAY())</f>
        <v/>
      </c>
      <c r="F4336">
        <f>IF(D4336="","",IF(E4336&lt;0,"VENCIDO",IF(E4336&lt;=30,"VENCE EM &lt;= 30 DIAS",IF(E4336&lt;=60,"ATENCAO (31-60 DIAS)","OK"))))</f>
        <v/>
      </c>
      <c r="G4336" s="13">
        <f>SUMIFS(Movimentacoes!$G:$G,Movimentacoes!$C:$C,$A4336,Movimentacoes!$E:$E,$C4336,Movimentacoes!$B:$B,"ENTRADA")</f>
        <v/>
      </c>
      <c r="H4336" s="13">
        <f>SUMIFS(Movimentacoes!$G:$G,Movimentacoes!$C:$C,$A4336,Movimentacoes!$E:$E,$C4336,Movimentacoes!$B:$B,"SAIDA_USO")</f>
        <v/>
      </c>
      <c r="I4336" s="13">
        <f>SUMIFS(Movimentacoes!$G:$G,Movimentacoes!$C:$C,$A4336,Movimentacoes!$E:$E,$C4336,Movimentacoes!$B:$B,"SAIDA_DESCARTE")</f>
        <v/>
      </c>
      <c r="J4336" s="13">
        <f>G4336-H4336-I4336</f>
        <v/>
      </c>
      <c r="K4336">
        <f>IF(A4336="","",IF(J4336&lt;=IFERROR(VLOOKUP(A4336,Cadastro_Produtos!$A:$E,5,FALSE),0),"ABAIXO DO MINIMO","OK"))</f>
        <v/>
      </c>
    </row>
    <row r="4337">
      <c r="B4337">
        <f>IFERROR(VLOOKUP(A4337,Cadastro_Produtos!A:B,2,FALSE),"")</f>
        <v/>
      </c>
      <c r="D4337" s="12" t="n"/>
      <c r="E4337" s="13">
        <f>IF(D4337="","",D4337-TODAY())</f>
        <v/>
      </c>
      <c r="F4337">
        <f>IF(D4337="","",IF(E4337&lt;0,"VENCIDO",IF(E4337&lt;=30,"VENCE EM &lt;= 30 DIAS",IF(E4337&lt;=60,"ATENCAO (31-60 DIAS)","OK"))))</f>
        <v/>
      </c>
      <c r="G4337" s="13">
        <f>SUMIFS(Movimentacoes!$G:$G,Movimentacoes!$C:$C,$A4337,Movimentacoes!$E:$E,$C4337,Movimentacoes!$B:$B,"ENTRADA")</f>
        <v/>
      </c>
      <c r="H4337" s="13">
        <f>SUMIFS(Movimentacoes!$G:$G,Movimentacoes!$C:$C,$A4337,Movimentacoes!$E:$E,$C4337,Movimentacoes!$B:$B,"SAIDA_USO")</f>
        <v/>
      </c>
      <c r="I4337" s="13">
        <f>SUMIFS(Movimentacoes!$G:$G,Movimentacoes!$C:$C,$A4337,Movimentacoes!$E:$E,$C4337,Movimentacoes!$B:$B,"SAIDA_DESCARTE")</f>
        <v/>
      </c>
      <c r="J4337" s="13">
        <f>G4337-H4337-I4337</f>
        <v/>
      </c>
      <c r="K4337">
        <f>IF(A4337="","",IF(J4337&lt;=IFERROR(VLOOKUP(A4337,Cadastro_Produtos!$A:$E,5,FALSE),0),"ABAIXO DO MINIMO","OK"))</f>
        <v/>
      </c>
    </row>
    <row r="4338">
      <c r="B4338">
        <f>IFERROR(VLOOKUP(A4338,Cadastro_Produtos!A:B,2,FALSE),"")</f>
        <v/>
      </c>
      <c r="D4338" s="12" t="n"/>
      <c r="E4338" s="13">
        <f>IF(D4338="","",D4338-TODAY())</f>
        <v/>
      </c>
      <c r="F4338">
        <f>IF(D4338="","",IF(E4338&lt;0,"VENCIDO",IF(E4338&lt;=30,"VENCE EM &lt;= 30 DIAS",IF(E4338&lt;=60,"ATENCAO (31-60 DIAS)","OK"))))</f>
        <v/>
      </c>
      <c r="G4338" s="13">
        <f>SUMIFS(Movimentacoes!$G:$G,Movimentacoes!$C:$C,$A4338,Movimentacoes!$E:$E,$C4338,Movimentacoes!$B:$B,"ENTRADA")</f>
        <v/>
      </c>
      <c r="H4338" s="13">
        <f>SUMIFS(Movimentacoes!$G:$G,Movimentacoes!$C:$C,$A4338,Movimentacoes!$E:$E,$C4338,Movimentacoes!$B:$B,"SAIDA_USO")</f>
        <v/>
      </c>
      <c r="I4338" s="13">
        <f>SUMIFS(Movimentacoes!$G:$G,Movimentacoes!$C:$C,$A4338,Movimentacoes!$E:$E,$C4338,Movimentacoes!$B:$B,"SAIDA_DESCARTE")</f>
        <v/>
      </c>
      <c r="J4338" s="13">
        <f>G4338-H4338-I4338</f>
        <v/>
      </c>
      <c r="K4338">
        <f>IF(A4338="","",IF(J4338&lt;=IFERROR(VLOOKUP(A4338,Cadastro_Produtos!$A:$E,5,FALSE),0),"ABAIXO DO MINIMO","OK"))</f>
        <v/>
      </c>
    </row>
    <row r="4339">
      <c r="B4339">
        <f>IFERROR(VLOOKUP(A4339,Cadastro_Produtos!A:B,2,FALSE),"")</f>
        <v/>
      </c>
      <c r="D4339" s="12" t="n"/>
      <c r="E4339" s="13">
        <f>IF(D4339="","",D4339-TODAY())</f>
        <v/>
      </c>
      <c r="F4339">
        <f>IF(D4339="","",IF(E4339&lt;0,"VENCIDO",IF(E4339&lt;=30,"VENCE EM &lt;= 30 DIAS",IF(E4339&lt;=60,"ATENCAO (31-60 DIAS)","OK"))))</f>
        <v/>
      </c>
      <c r="G4339" s="13">
        <f>SUMIFS(Movimentacoes!$G:$G,Movimentacoes!$C:$C,$A4339,Movimentacoes!$E:$E,$C4339,Movimentacoes!$B:$B,"ENTRADA")</f>
        <v/>
      </c>
      <c r="H4339" s="13">
        <f>SUMIFS(Movimentacoes!$G:$G,Movimentacoes!$C:$C,$A4339,Movimentacoes!$E:$E,$C4339,Movimentacoes!$B:$B,"SAIDA_USO")</f>
        <v/>
      </c>
      <c r="I4339" s="13">
        <f>SUMIFS(Movimentacoes!$G:$G,Movimentacoes!$C:$C,$A4339,Movimentacoes!$E:$E,$C4339,Movimentacoes!$B:$B,"SAIDA_DESCARTE")</f>
        <v/>
      </c>
      <c r="J4339" s="13">
        <f>G4339-H4339-I4339</f>
        <v/>
      </c>
      <c r="K4339">
        <f>IF(A4339="","",IF(J4339&lt;=IFERROR(VLOOKUP(A4339,Cadastro_Produtos!$A:$E,5,FALSE),0),"ABAIXO DO MINIMO","OK"))</f>
        <v/>
      </c>
    </row>
    <row r="4340">
      <c r="B4340">
        <f>IFERROR(VLOOKUP(A4340,Cadastro_Produtos!A:B,2,FALSE),"")</f>
        <v/>
      </c>
      <c r="D4340" s="12" t="n"/>
      <c r="E4340" s="13">
        <f>IF(D4340="","",D4340-TODAY())</f>
        <v/>
      </c>
      <c r="F4340">
        <f>IF(D4340="","",IF(E4340&lt;0,"VENCIDO",IF(E4340&lt;=30,"VENCE EM &lt;= 30 DIAS",IF(E4340&lt;=60,"ATENCAO (31-60 DIAS)","OK"))))</f>
        <v/>
      </c>
      <c r="G4340" s="13">
        <f>SUMIFS(Movimentacoes!$G:$G,Movimentacoes!$C:$C,$A4340,Movimentacoes!$E:$E,$C4340,Movimentacoes!$B:$B,"ENTRADA")</f>
        <v/>
      </c>
      <c r="H4340" s="13">
        <f>SUMIFS(Movimentacoes!$G:$G,Movimentacoes!$C:$C,$A4340,Movimentacoes!$E:$E,$C4340,Movimentacoes!$B:$B,"SAIDA_USO")</f>
        <v/>
      </c>
      <c r="I4340" s="13">
        <f>SUMIFS(Movimentacoes!$G:$G,Movimentacoes!$C:$C,$A4340,Movimentacoes!$E:$E,$C4340,Movimentacoes!$B:$B,"SAIDA_DESCARTE")</f>
        <v/>
      </c>
      <c r="J4340" s="13">
        <f>G4340-H4340-I4340</f>
        <v/>
      </c>
      <c r="K4340">
        <f>IF(A4340="","",IF(J4340&lt;=IFERROR(VLOOKUP(A4340,Cadastro_Produtos!$A:$E,5,FALSE),0),"ABAIXO DO MINIMO","OK"))</f>
        <v/>
      </c>
    </row>
    <row r="4341">
      <c r="B4341">
        <f>IFERROR(VLOOKUP(A4341,Cadastro_Produtos!A:B,2,FALSE),"")</f>
        <v/>
      </c>
      <c r="D4341" s="12" t="n"/>
      <c r="E4341" s="13">
        <f>IF(D4341="","",D4341-TODAY())</f>
        <v/>
      </c>
      <c r="F4341">
        <f>IF(D4341="","",IF(E4341&lt;0,"VENCIDO",IF(E4341&lt;=30,"VENCE EM &lt;= 30 DIAS",IF(E4341&lt;=60,"ATENCAO (31-60 DIAS)","OK"))))</f>
        <v/>
      </c>
      <c r="G4341" s="13">
        <f>SUMIFS(Movimentacoes!$G:$G,Movimentacoes!$C:$C,$A4341,Movimentacoes!$E:$E,$C4341,Movimentacoes!$B:$B,"ENTRADA")</f>
        <v/>
      </c>
      <c r="H4341" s="13">
        <f>SUMIFS(Movimentacoes!$G:$G,Movimentacoes!$C:$C,$A4341,Movimentacoes!$E:$E,$C4341,Movimentacoes!$B:$B,"SAIDA_USO")</f>
        <v/>
      </c>
      <c r="I4341" s="13">
        <f>SUMIFS(Movimentacoes!$G:$G,Movimentacoes!$C:$C,$A4341,Movimentacoes!$E:$E,$C4341,Movimentacoes!$B:$B,"SAIDA_DESCARTE")</f>
        <v/>
      </c>
      <c r="J4341" s="13">
        <f>G4341-H4341-I4341</f>
        <v/>
      </c>
      <c r="K4341">
        <f>IF(A4341="","",IF(J4341&lt;=IFERROR(VLOOKUP(A4341,Cadastro_Produtos!$A:$E,5,FALSE),0),"ABAIXO DO MINIMO","OK"))</f>
        <v/>
      </c>
    </row>
    <row r="4342">
      <c r="B4342">
        <f>IFERROR(VLOOKUP(A4342,Cadastro_Produtos!A:B,2,FALSE),"")</f>
        <v/>
      </c>
      <c r="D4342" s="12" t="n"/>
      <c r="E4342" s="13">
        <f>IF(D4342="","",D4342-TODAY())</f>
        <v/>
      </c>
      <c r="F4342">
        <f>IF(D4342="","",IF(E4342&lt;0,"VENCIDO",IF(E4342&lt;=30,"VENCE EM &lt;= 30 DIAS",IF(E4342&lt;=60,"ATENCAO (31-60 DIAS)","OK"))))</f>
        <v/>
      </c>
      <c r="G4342" s="13">
        <f>SUMIFS(Movimentacoes!$G:$G,Movimentacoes!$C:$C,$A4342,Movimentacoes!$E:$E,$C4342,Movimentacoes!$B:$B,"ENTRADA")</f>
        <v/>
      </c>
      <c r="H4342" s="13">
        <f>SUMIFS(Movimentacoes!$G:$G,Movimentacoes!$C:$C,$A4342,Movimentacoes!$E:$E,$C4342,Movimentacoes!$B:$B,"SAIDA_USO")</f>
        <v/>
      </c>
      <c r="I4342" s="13">
        <f>SUMIFS(Movimentacoes!$G:$G,Movimentacoes!$C:$C,$A4342,Movimentacoes!$E:$E,$C4342,Movimentacoes!$B:$B,"SAIDA_DESCARTE")</f>
        <v/>
      </c>
      <c r="J4342" s="13">
        <f>G4342-H4342-I4342</f>
        <v/>
      </c>
      <c r="K4342">
        <f>IF(A4342="","",IF(J4342&lt;=IFERROR(VLOOKUP(A4342,Cadastro_Produtos!$A:$E,5,FALSE),0),"ABAIXO DO MINIMO","OK"))</f>
        <v/>
      </c>
    </row>
    <row r="4343">
      <c r="B4343">
        <f>IFERROR(VLOOKUP(A4343,Cadastro_Produtos!A:B,2,FALSE),"")</f>
        <v/>
      </c>
      <c r="D4343" s="12" t="n"/>
      <c r="E4343" s="13">
        <f>IF(D4343="","",D4343-TODAY())</f>
        <v/>
      </c>
      <c r="F4343">
        <f>IF(D4343="","",IF(E4343&lt;0,"VENCIDO",IF(E4343&lt;=30,"VENCE EM &lt;= 30 DIAS",IF(E4343&lt;=60,"ATENCAO (31-60 DIAS)","OK"))))</f>
        <v/>
      </c>
      <c r="G4343" s="13">
        <f>SUMIFS(Movimentacoes!$G:$G,Movimentacoes!$C:$C,$A4343,Movimentacoes!$E:$E,$C4343,Movimentacoes!$B:$B,"ENTRADA")</f>
        <v/>
      </c>
      <c r="H4343" s="13">
        <f>SUMIFS(Movimentacoes!$G:$G,Movimentacoes!$C:$C,$A4343,Movimentacoes!$E:$E,$C4343,Movimentacoes!$B:$B,"SAIDA_USO")</f>
        <v/>
      </c>
      <c r="I4343" s="13">
        <f>SUMIFS(Movimentacoes!$G:$G,Movimentacoes!$C:$C,$A4343,Movimentacoes!$E:$E,$C4343,Movimentacoes!$B:$B,"SAIDA_DESCARTE")</f>
        <v/>
      </c>
      <c r="J4343" s="13">
        <f>G4343-H4343-I4343</f>
        <v/>
      </c>
      <c r="K4343">
        <f>IF(A4343="","",IF(J4343&lt;=IFERROR(VLOOKUP(A4343,Cadastro_Produtos!$A:$E,5,FALSE),0),"ABAIXO DO MINIMO","OK"))</f>
        <v/>
      </c>
    </row>
    <row r="4344">
      <c r="B4344">
        <f>IFERROR(VLOOKUP(A4344,Cadastro_Produtos!A:B,2,FALSE),"")</f>
        <v/>
      </c>
      <c r="D4344" s="12" t="n"/>
      <c r="E4344" s="13">
        <f>IF(D4344="","",D4344-TODAY())</f>
        <v/>
      </c>
      <c r="F4344">
        <f>IF(D4344="","",IF(E4344&lt;0,"VENCIDO",IF(E4344&lt;=30,"VENCE EM &lt;= 30 DIAS",IF(E4344&lt;=60,"ATENCAO (31-60 DIAS)","OK"))))</f>
        <v/>
      </c>
      <c r="G4344" s="13">
        <f>SUMIFS(Movimentacoes!$G:$G,Movimentacoes!$C:$C,$A4344,Movimentacoes!$E:$E,$C4344,Movimentacoes!$B:$B,"ENTRADA")</f>
        <v/>
      </c>
      <c r="H4344" s="13">
        <f>SUMIFS(Movimentacoes!$G:$G,Movimentacoes!$C:$C,$A4344,Movimentacoes!$E:$E,$C4344,Movimentacoes!$B:$B,"SAIDA_USO")</f>
        <v/>
      </c>
      <c r="I4344" s="13">
        <f>SUMIFS(Movimentacoes!$G:$G,Movimentacoes!$C:$C,$A4344,Movimentacoes!$E:$E,$C4344,Movimentacoes!$B:$B,"SAIDA_DESCARTE")</f>
        <v/>
      </c>
      <c r="J4344" s="13">
        <f>G4344-H4344-I4344</f>
        <v/>
      </c>
      <c r="K4344">
        <f>IF(A4344="","",IF(J4344&lt;=IFERROR(VLOOKUP(A4344,Cadastro_Produtos!$A:$E,5,FALSE),0),"ABAIXO DO MINIMO","OK"))</f>
        <v/>
      </c>
    </row>
    <row r="4345">
      <c r="B4345">
        <f>IFERROR(VLOOKUP(A4345,Cadastro_Produtos!A:B,2,FALSE),"")</f>
        <v/>
      </c>
      <c r="D4345" s="12" t="n"/>
      <c r="E4345" s="13">
        <f>IF(D4345="","",D4345-TODAY())</f>
        <v/>
      </c>
      <c r="F4345">
        <f>IF(D4345="","",IF(E4345&lt;0,"VENCIDO",IF(E4345&lt;=30,"VENCE EM &lt;= 30 DIAS",IF(E4345&lt;=60,"ATENCAO (31-60 DIAS)","OK"))))</f>
        <v/>
      </c>
      <c r="G4345" s="13">
        <f>SUMIFS(Movimentacoes!$G:$G,Movimentacoes!$C:$C,$A4345,Movimentacoes!$E:$E,$C4345,Movimentacoes!$B:$B,"ENTRADA")</f>
        <v/>
      </c>
      <c r="H4345" s="13">
        <f>SUMIFS(Movimentacoes!$G:$G,Movimentacoes!$C:$C,$A4345,Movimentacoes!$E:$E,$C4345,Movimentacoes!$B:$B,"SAIDA_USO")</f>
        <v/>
      </c>
      <c r="I4345" s="13">
        <f>SUMIFS(Movimentacoes!$G:$G,Movimentacoes!$C:$C,$A4345,Movimentacoes!$E:$E,$C4345,Movimentacoes!$B:$B,"SAIDA_DESCARTE")</f>
        <v/>
      </c>
      <c r="J4345" s="13">
        <f>G4345-H4345-I4345</f>
        <v/>
      </c>
      <c r="K4345">
        <f>IF(A4345="","",IF(J4345&lt;=IFERROR(VLOOKUP(A4345,Cadastro_Produtos!$A:$E,5,FALSE),0),"ABAIXO DO MINIMO","OK"))</f>
        <v/>
      </c>
    </row>
    <row r="4346">
      <c r="B4346">
        <f>IFERROR(VLOOKUP(A4346,Cadastro_Produtos!A:B,2,FALSE),"")</f>
        <v/>
      </c>
      <c r="D4346" s="12" t="n"/>
      <c r="E4346" s="13">
        <f>IF(D4346="","",D4346-TODAY())</f>
        <v/>
      </c>
      <c r="F4346">
        <f>IF(D4346="","",IF(E4346&lt;0,"VENCIDO",IF(E4346&lt;=30,"VENCE EM &lt;= 30 DIAS",IF(E4346&lt;=60,"ATENCAO (31-60 DIAS)","OK"))))</f>
        <v/>
      </c>
      <c r="G4346" s="13">
        <f>SUMIFS(Movimentacoes!$G:$G,Movimentacoes!$C:$C,$A4346,Movimentacoes!$E:$E,$C4346,Movimentacoes!$B:$B,"ENTRADA")</f>
        <v/>
      </c>
      <c r="H4346" s="13">
        <f>SUMIFS(Movimentacoes!$G:$G,Movimentacoes!$C:$C,$A4346,Movimentacoes!$E:$E,$C4346,Movimentacoes!$B:$B,"SAIDA_USO")</f>
        <v/>
      </c>
      <c r="I4346" s="13">
        <f>SUMIFS(Movimentacoes!$G:$G,Movimentacoes!$C:$C,$A4346,Movimentacoes!$E:$E,$C4346,Movimentacoes!$B:$B,"SAIDA_DESCARTE")</f>
        <v/>
      </c>
      <c r="J4346" s="13">
        <f>G4346-H4346-I4346</f>
        <v/>
      </c>
      <c r="K4346">
        <f>IF(A4346="","",IF(J4346&lt;=IFERROR(VLOOKUP(A4346,Cadastro_Produtos!$A:$E,5,FALSE),0),"ABAIXO DO MINIMO","OK"))</f>
        <v/>
      </c>
    </row>
    <row r="4347">
      <c r="B4347">
        <f>IFERROR(VLOOKUP(A4347,Cadastro_Produtos!A:B,2,FALSE),"")</f>
        <v/>
      </c>
      <c r="D4347" s="12" t="n"/>
      <c r="E4347" s="13">
        <f>IF(D4347="","",D4347-TODAY())</f>
        <v/>
      </c>
      <c r="F4347">
        <f>IF(D4347="","",IF(E4347&lt;0,"VENCIDO",IF(E4347&lt;=30,"VENCE EM &lt;= 30 DIAS",IF(E4347&lt;=60,"ATENCAO (31-60 DIAS)","OK"))))</f>
        <v/>
      </c>
      <c r="G4347" s="13">
        <f>SUMIFS(Movimentacoes!$G:$G,Movimentacoes!$C:$C,$A4347,Movimentacoes!$E:$E,$C4347,Movimentacoes!$B:$B,"ENTRADA")</f>
        <v/>
      </c>
      <c r="H4347" s="13">
        <f>SUMIFS(Movimentacoes!$G:$G,Movimentacoes!$C:$C,$A4347,Movimentacoes!$E:$E,$C4347,Movimentacoes!$B:$B,"SAIDA_USO")</f>
        <v/>
      </c>
      <c r="I4347" s="13">
        <f>SUMIFS(Movimentacoes!$G:$G,Movimentacoes!$C:$C,$A4347,Movimentacoes!$E:$E,$C4347,Movimentacoes!$B:$B,"SAIDA_DESCARTE")</f>
        <v/>
      </c>
      <c r="J4347" s="13">
        <f>G4347-H4347-I4347</f>
        <v/>
      </c>
      <c r="K4347">
        <f>IF(A4347="","",IF(J4347&lt;=IFERROR(VLOOKUP(A4347,Cadastro_Produtos!$A:$E,5,FALSE),0),"ABAIXO DO MINIMO","OK"))</f>
        <v/>
      </c>
    </row>
    <row r="4348">
      <c r="B4348">
        <f>IFERROR(VLOOKUP(A4348,Cadastro_Produtos!A:B,2,FALSE),"")</f>
        <v/>
      </c>
      <c r="D4348" s="12" t="n"/>
      <c r="E4348" s="13">
        <f>IF(D4348="","",D4348-TODAY())</f>
        <v/>
      </c>
      <c r="F4348">
        <f>IF(D4348="","",IF(E4348&lt;0,"VENCIDO",IF(E4348&lt;=30,"VENCE EM &lt;= 30 DIAS",IF(E4348&lt;=60,"ATENCAO (31-60 DIAS)","OK"))))</f>
        <v/>
      </c>
      <c r="G4348" s="13">
        <f>SUMIFS(Movimentacoes!$G:$G,Movimentacoes!$C:$C,$A4348,Movimentacoes!$E:$E,$C4348,Movimentacoes!$B:$B,"ENTRADA")</f>
        <v/>
      </c>
      <c r="H4348" s="13">
        <f>SUMIFS(Movimentacoes!$G:$G,Movimentacoes!$C:$C,$A4348,Movimentacoes!$E:$E,$C4348,Movimentacoes!$B:$B,"SAIDA_USO")</f>
        <v/>
      </c>
      <c r="I4348" s="13">
        <f>SUMIFS(Movimentacoes!$G:$G,Movimentacoes!$C:$C,$A4348,Movimentacoes!$E:$E,$C4348,Movimentacoes!$B:$B,"SAIDA_DESCARTE")</f>
        <v/>
      </c>
      <c r="J4348" s="13">
        <f>G4348-H4348-I4348</f>
        <v/>
      </c>
      <c r="K4348">
        <f>IF(A4348="","",IF(J4348&lt;=IFERROR(VLOOKUP(A4348,Cadastro_Produtos!$A:$E,5,FALSE),0),"ABAIXO DO MINIMO","OK"))</f>
        <v/>
      </c>
    </row>
    <row r="4349">
      <c r="B4349">
        <f>IFERROR(VLOOKUP(A4349,Cadastro_Produtos!A:B,2,FALSE),"")</f>
        <v/>
      </c>
      <c r="D4349" s="12" t="n"/>
      <c r="E4349" s="13">
        <f>IF(D4349="","",D4349-TODAY())</f>
        <v/>
      </c>
      <c r="F4349">
        <f>IF(D4349="","",IF(E4349&lt;0,"VENCIDO",IF(E4349&lt;=30,"VENCE EM &lt;= 30 DIAS",IF(E4349&lt;=60,"ATENCAO (31-60 DIAS)","OK"))))</f>
        <v/>
      </c>
      <c r="G4349" s="13">
        <f>SUMIFS(Movimentacoes!$G:$G,Movimentacoes!$C:$C,$A4349,Movimentacoes!$E:$E,$C4349,Movimentacoes!$B:$B,"ENTRADA")</f>
        <v/>
      </c>
      <c r="H4349" s="13">
        <f>SUMIFS(Movimentacoes!$G:$G,Movimentacoes!$C:$C,$A4349,Movimentacoes!$E:$E,$C4349,Movimentacoes!$B:$B,"SAIDA_USO")</f>
        <v/>
      </c>
      <c r="I4349" s="13">
        <f>SUMIFS(Movimentacoes!$G:$G,Movimentacoes!$C:$C,$A4349,Movimentacoes!$E:$E,$C4349,Movimentacoes!$B:$B,"SAIDA_DESCARTE")</f>
        <v/>
      </c>
      <c r="J4349" s="13">
        <f>G4349-H4349-I4349</f>
        <v/>
      </c>
      <c r="K4349">
        <f>IF(A4349="","",IF(J4349&lt;=IFERROR(VLOOKUP(A4349,Cadastro_Produtos!$A:$E,5,FALSE),0),"ABAIXO DO MINIMO","OK"))</f>
        <v/>
      </c>
    </row>
    <row r="4350">
      <c r="B4350">
        <f>IFERROR(VLOOKUP(A4350,Cadastro_Produtos!A:B,2,FALSE),"")</f>
        <v/>
      </c>
      <c r="D4350" s="12" t="n"/>
      <c r="E4350" s="13">
        <f>IF(D4350="","",D4350-TODAY())</f>
        <v/>
      </c>
      <c r="F4350">
        <f>IF(D4350="","",IF(E4350&lt;0,"VENCIDO",IF(E4350&lt;=30,"VENCE EM &lt;= 30 DIAS",IF(E4350&lt;=60,"ATENCAO (31-60 DIAS)","OK"))))</f>
        <v/>
      </c>
      <c r="G4350" s="13">
        <f>SUMIFS(Movimentacoes!$G:$G,Movimentacoes!$C:$C,$A4350,Movimentacoes!$E:$E,$C4350,Movimentacoes!$B:$B,"ENTRADA")</f>
        <v/>
      </c>
      <c r="H4350" s="13">
        <f>SUMIFS(Movimentacoes!$G:$G,Movimentacoes!$C:$C,$A4350,Movimentacoes!$E:$E,$C4350,Movimentacoes!$B:$B,"SAIDA_USO")</f>
        <v/>
      </c>
      <c r="I4350" s="13">
        <f>SUMIFS(Movimentacoes!$G:$G,Movimentacoes!$C:$C,$A4350,Movimentacoes!$E:$E,$C4350,Movimentacoes!$B:$B,"SAIDA_DESCARTE")</f>
        <v/>
      </c>
      <c r="J4350" s="13">
        <f>G4350-H4350-I4350</f>
        <v/>
      </c>
      <c r="K4350">
        <f>IF(A4350="","",IF(J4350&lt;=IFERROR(VLOOKUP(A4350,Cadastro_Produtos!$A:$E,5,FALSE),0),"ABAIXO DO MINIMO","OK"))</f>
        <v/>
      </c>
    </row>
    <row r="4351">
      <c r="B4351">
        <f>IFERROR(VLOOKUP(A4351,Cadastro_Produtos!A:B,2,FALSE),"")</f>
        <v/>
      </c>
      <c r="D4351" s="12" t="n"/>
      <c r="E4351" s="13">
        <f>IF(D4351="","",D4351-TODAY())</f>
        <v/>
      </c>
      <c r="F4351">
        <f>IF(D4351="","",IF(E4351&lt;0,"VENCIDO",IF(E4351&lt;=30,"VENCE EM &lt;= 30 DIAS",IF(E4351&lt;=60,"ATENCAO (31-60 DIAS)","OK"))))</f>
        <v/>
      </c>
      <c r="G4351" s="13">
        <f>SUMIFS(Movimentacoes!$G:$G,Movimentacoes!$C:$C,$A4351,Movimentacoes!$E:$E,$C4351,Movimentacoes!$B:$B,"ENTRADA")</f>
        <v/>
      </c>
      <c r="H4351" s="13">
        <f>SUMIFS(Movimentacoes!$G:$G,Movimentacoes!$C:$C,$A4351,Movimentacoes!$E:$E,$C4351,Movimentacoes!$B:$B,"SAIDA_USO")</f>
        <v/>
      </c>
      <c r="I4351" s="13">
        <f>SUMIFS(Movimentacoes!$G:$G,Movimentacoes!$C:$C,$A4351,Movimentacoes!$E:$E,$C4351,Movimentacoes!$B:$B,"SAIDA_DESCARTE")</f>
        <v/>
      </c>
      <c r="J4351" s="13">
        <f>G4351-H4351-I4351</f>
        <v/>
      </c>
      <c r="K4351">
        <f>IF(A4351="","",IF(J4351&lt;=IFERROR(VLOOKUP(A4351,Cadastro_Produtos!$A:$E,5,FALSE),0),"ABAIXO DO MINIMO","OK"))</f>
        <v/>
      </c>
    </row>
    <row r="4352">
      <c r="B4352">
        <f>IFERROR(VLOOKUP(A4352,Cadastro_Produtos!A:B,2,FALSE),"")</f>
        <v/>
      </c>
      <c r="D4352" s="12" t="n"/>
      <c r="E4352" s="13">
        <f>IF(D4352="","",D4352-TODAY())</f>
        <v/>
      </c>
      <c r="F4352">
        <f>IF(D4352="","",IF(E4352&lt;0,"VENCIDO",IF(E4352&lt;=30,"VENCE EM &lt;= 30 DIAS",IF(E4352&lt;=60,"ATENCAO (31-60 DIAS)","OK"))))</f>
        <v/>
      </c>
      <c r="G4352" s="13">
        <f>SUMIFS(Movimentacoes!$G:$G,Movimentacoes!$C:$C,$A4352,Movimentacoes!$E:$E,$C4352,Movimentacoes!$B:$B,"ENTRADA")</f>
        <v/>
      </c>
      <c r="H4352" s="13">
        <f>SUMIFS(Movimentacoes!$G:$G,Movimentacoes!$C:$C,$A4352,Movimentacoes!$E:$E,$C4352,Movimentacoes!$B:$B,"SAIDA_USO")</f>
        <v/>
      </c>
      <c r="I4352" s="13">
        <f>SUMIFS(Movimentacoes!$G:$G,Movimentacoes!$C:$C,$A4352,Movimentacoes!$E:$E,$C4352,Movimentacoes!$B:$B,"SAIDA_DESCARTE")</f>
        <v/>
      </c>
      <c r="J4352" s="13">
        <f>G4352-H4352-I4352</f>
        <v/>
      </c>
      <c r="K4352">
        <f>IF(A4352="","",IF(J4352&lt;=IFERROR(VLOOKUP(A4352,Cadastro_Produtos!$A:$E,5,FALSE),0),"ABAIXO DO MINIMO","OK"))</f>
        <v/>
      </c>
    </row>
    <row r="4353">
      <c r="B4353">
        <f>IFERROR(VLOOKUP(A4353,Cadastro_Produtos!A:B,2,FALSE),"")</f>
        <v/>
      </c>
      <c r="D4353" s="12" t="n"/>
      <c r="E4353" s="13">
        <f>IF(D4353="","",D4353-TODAY())</f>
        <v/>
      </c>
      <c r="F4353">
        <f>IF(D4353="","",IF(E4353&lt;0,"VENCIDO",IF(E4353&lt;=30,"VENCE EM &lt;= 30 DIAS",IF(E4353&lt;=60,"ATENCAO (31-60 DIAS)","OK"))))</f>
        <v/>
      </c>
      <c r="G4353" s="13">
        <f>SUMIFS(Movimentacoes!$G:$G,Movimentacoes!$C:$C,$A4353,Movimentacoes!$E:$E,$C4353,Movimentacoes!$B:$B,"ENTRADA")</f>
        <v/>
      </c>
      <c r="H4353" s="13">
        <f>SUMIFS(Movimentacoes!$G:$G,Movimentacoes!$C:$C,$A4353,Movimentacoes!$E:$E,$C4353,Movimentacoes!$B:$B,"SAIDA_USO")</f>
        <v/>
      </c>
      <c r="I4353" s="13">
        <f>SUMIFS(Movimentacoes!$G:$G,Movimentacoes!$C:$C,$A4353,Movimentacoes!$E:$E,$C4353,Movimentacoes!$B:$B,"SAIDA_DESCARTE")</f>
        <v/>
      </c>
      <c r="J4353" s="13">
        <f>G4353-H4353-I4353</f>
        <v/>
      </c>
      <c r="K4353">
        <f>IF(A4353="","",IF(J4353&lt;=IFERROR(VLOOKUP(A4353,Cadastro_Produtos!$A:$E,5,FALSE),0),"ABAIXO DO MINIMO","OK"))</f>
        <v/>
      </c>
    </row>
    <row r="4354">
      <c r="B4354">
        <f>IFERROR(VLOOKUP(A4354,Cadastro_Produtos!A:B,2,FALSE),"")</f>
        <v/>
      </c>
      <c r="D4354" s="12" t="n"/>
      <c r="E4354" s="13">
        <f>IF(D4354="","",D4354-TODAY())</f>
        <v/>
      </c>
      <c r="F4354">
        <f>IF(D4354="","",IF(E4354&lt;0,"VENCIDO",IF(E4354&lt;=30,"VENCE EM &lt;= 30 DIAS",IF(E4354&lt;=60,"ATENCAO (31-60 DIAS)","OK"))))</f>
        <v/>
      </c>
      <c r="G4354" s="13">
        <f>SUMIFS(Movimentacoes!$G:$G,Movimentacoes!$C:$C,$A4354,Movimentacoes!$E:$E,$C4354,Movimentacoes!$B:$B,"ENTRADA")</f>
        <v/>
      </c>
      <c r="H4354" s="13">
        <f>SUMIFS(Movimentacoes!$G:$G,Movimentacoes!$C:$C,$A4354,Movimentacoes!$E:$E,$C4354,Movimentacoes!$B:$B,"SAIDA_USO")</f>
        <v/>
      </c>
      <c r="I4354" s="13">
        <f>SUMIFS(Movimentacoes!$G:$G,Movimentacoes!$C:$C,$A4354,Movimentacoes!$E:$E,$C4354,Movimentacoes!$B:$B,"SAIDA_DESCARTE")</f>
        <v/>
      </c>
      <c r="J4354" s="13">
        <f>G4354-H4354-I4354</f>
        <v/>
      </c>
      <c r="K4354">
        <f>IF(A4354="","",IF(J4354&lt;=IFERROR(VLOOKUP(A4354,Cadastro_Produtos!$A:$E,5,FALSE),0),"ABAIXO DO MINIMO","OK"))</f>
        <v/>
      </c>
    </row>
    <row r="4355">
      <c r="B4355">
        <f>IFERROR(VLOOKUP(A4355,Cadastro_Produtos!A:B,2,FALSE),"")</f>
        <v/>
      </c>
      <c r="D4355" s="12" t="n"/>
      <c r="E4355" s="13">
        <f>IF(D4355="","",D4355-TODAY())</f>
        <v/>
      </c>
      <c r="F4355">
        <f>IF(D4355="","",IF(E4355&lt;0,"VENCIDO",IF(E4355&lt;=30,"VENCE EM &lt;= 30 DIAS",IF(E4355&lt;=60,"ATENCAO (31-60 DIAS)","OK"))))</f>
        <v/>
      </c>
      <c r="G4355" s="13">
        <f>SUMIFS(Movimentacoes!$G:$G,Movimentacoes!$C:$C,$A4355,Movimentacoes!$E:$E,$C4355,Movimentacoes!$B:$B,"ENTRADA")</f>
        <v/>
      </c>
      <c r="H4355" s="13">
        <f>SUMIFS(Movimentacoes!$G:$G,Movimentacoes!$C:$C,$A4355,Movimentacoes!$E:$E,$C4355,Movimentacoes!$B:$B,"SAIDA_USO")</f>
        <v/>
      </c>
      <c r="I4355" s="13">
        <f>SUMIFS(Movimentacoes!$G:$G,Movimentacoes!$C:$C,$A4355,Movimentacoes!$E:$E,$C4355,Movimentacoes!$B:$B,"SAIDA_DESCARTE")</f>
        <v/>
      </c>
      <c r="J4355" s="13">
        <f>G4355-H4355-I4355</f>
        <v/>
      </c>
      <c r="K4355">
        <f>IF(A4355="","",IF(J4355&lt;=IFERROR(VLOOKUP(A4355,Cadastro_Produtos!$A:$E,5,FALSE),0),"ABAIXO DO MINIMO","OK"))</f>
        <v/>
      </c>
    </row>
    <row r="4356">
      <c r="B4356">
        <f>IFERROR(VLOOKUP(A4356,Cadastro_Produtos!A:B,2,FALSE),"")</f>
        <v/>
      </c>
      <c r="D4356" s="12" t="n"/>
      <c r="E4356" s="13">
        <f>IF(D4356="","",D4356-TODAY())</f>
        <v/>
      </c>
      <c r="F4356">
        <f>IF(D4356="","",IF(E4356&lt;0,"VENCIDO",IF(E4356&lt;=30,"VENCE EM &lt;= 30 DIAS",IF(E4356&lt;=60,"ATENCAO (31-60 DIAS)","OK"))))</f>
        <v/>
      </c>
      <c r="G4356" s="13">
        <f>SUMIFS(Movimentacoes!$G:$G,Movimentacoes!$C:$C,$A4356,Movimentacoes!$E:$E,$C4356,Movimentacoes!$B:$B,"ENTRADA")</f>
        <v/>
      </c>
      <c r="H4356" s="13">
        <f>SUMIFS(Movimentacoes!$G:$G,Movimentacoes!$C:$C,$A4356,Movimentacoes!$E:$E,$C4356,Movimentacoes!$B:$B,"SAIDA_USO")</f>
        <v/>
      </c>
      <c r="I4356" s="13">
        <f>SUMIFS(Movimentacoes!$G:$G,Movimentacoes!$C:$C,$A4356,Movimentacoes!$E:$E,$C4356,Movimentacoes!$B:$B,"SAIDA_DESCARTE")</f>
        <v/>
      </c>
      <c r="J4356" s="13">
        <f>G4356-H4356-I4356</f>
        <v/>
      </c>
      <c r="K4356">
        <f>IF(A4356="","",IF(J4356&lt;=IFERROR(VLOOKUP(A4356,Cadastro_Produtos!$A:$E,5,FALSE),0),"ABAIXO DO MINIMO","OK"))</f>
        <v/>
      </c>
    </row>
    <row r="4357">
      <c r="B4357">
        <f>IFERROR(VLOOKUP(A4357,Cadastro_Produtos!A:B,2,FALSE),"")</f>
        <v/>
      </c>
      <c r="D4357" s="12" t="n"/>
      <c r="E4357" s="13">
        <f>IF(D4357="","",D4357-TODAY())</f>
        <v/>
      </c>
      <c r="F4357">
        <f>IF(D4357="","",IF(E4357&lt;0,"VENCIDO",IF(E4357&lt;=30,"VENCE EM &lt;= 30 DIAS",IF(E4357&lt;=60,"ATENCAO (31-60 DIAS)","OK"))))</f>
        <v/>
      </c>
      <c r="G4357" s="13">
        <f>SUMIFS(Movimentacoes!$G:$G,Movimentacoes!$C:$C,$A4357,Movimentacoes!$E:$E,$C4357,Movimentacoes!$B:$B,"ENTRADA")</f>
        <v/>
      </c>
      <c r="H4357" s="13">
        <f>SUMIFS(Movimentacoes!$G:$G,Movimentacoes!$C:$C,$A4357,Movimentacoes!$E:$E,$C4357,Movimentacoes!$B:$B,"SAIDA_USO")</f>
        <v/>
      </c>
      <c r="I4357" s="13">
        <f>SUMIFS(Movimentacoes!$G:$G,Movimentacoes!$C:$C,$A4357,Movimentacoes!$E:$E,$C4357,Movimentacoes!$B:$B,"SAIDA_DESCARTE")</f>
        <v/>
      </c>
      <c r="J4357" s="13">
        <f>G4357-H4357-I4357</f>
        <v/>
      </c>
      <c r="K4357">
        <f>IF(A4357="","",IF(J4357&lt;=IFERROR(VLOOKUP(A4357,Cadastro_Produtos!$A:$E,5,FALSE),0),"ABAIXO DO MINIMO","OK"))</f>
        <v/>
      </c>
    </row>
    <row r="4358">
      <c r="B4358">
        <f>IFERROR(VLOOKUP(A4358,Cadastro_Produtos!A:B,2,FALSE),"")</f>
        <v/>
      </c>
      <c r="D4358" s="12" t="n"/>
      <c r="E4358" s="13">
        <f>IF(D4358="","",D4358-TODAY())</f>
        <v/>
      </c>
      <c r="F4358">
        <f>IF(D4358="","",IF(E4358&lt;0,"VENCIDO",IF(E4358&lt;=30,"VENCE EM &lt;= 30 DIAS",IF(E4358&lt;=60,"ATENCAO (31-60 DIAS)","OK"))))</f>
        <v/>
      </c>
      <c r="G4358" s="13">
        <f>SUMIFS(Movimentacoes!$G:$G,Movimentacoes!$C:$C,$A4358,Movimentacoes!$E:$E,$C4358,Movimentacoes!$B:$B,"ENTRADA")</f>
        <v/>
      </c>
      <c r="H4358" s="13">
        <f>SUMIFS(Movimentacoes!$G:$G,Movimentacoes!$C:$C,$A4358,Movimentacoes!$E:$E,$C4358,Movimentacoes!$B:$B,"SAIDA_USO")</f>
        <v/>
      </c>
      <c r="I4358" s="13">
        <f>SUMIFS(Movimentacoes!$G:$G,Movimentacoes!$C:$C,$A4358,Movimentacoes!$E:$E,$C4358,Movimentacoes!$B:$B,"SAIDA_DESCARTE")</f>
        <v/>
      </c>
      <c r="J4358" s="13">
        <f>G4358-H4358-I4358</f>
        <v/>
      </c>
      <c r="K4358">
        <f>IF(A4358="","",IF(J4358&lt;=IFERROR(VLOOKUP(A4358,Cadastro_Produtos!$A:$E,5,FALSE),0),"ABAIXO DO MINIMO","OK"))</f>
        <v/>
      </c>
    </row>
    <row r="4359">
      <c r="B4359">
        <f>IFERROR(VLOOKUP(A4359,Cadastro_Produtos!A:B,2,FALSE),"")</f>
        <v/>
      </c>
      <c r="D4359" s="12" t="n"/>
      <c r="E4359" s="13">
        <f>IF(D4359="","",D4359-TODAY())</f>
        <v/>
      </c>
      <c r="F4359">
        <f>IF(D4359="","",IF(E4359&lt;0,"VENCIDO",IF(E4359&lt;=30,"VENCE EM &lt;= 30 DIAS",IF(E4359&lt;=60,"ATENCAO (31-60 DIAS)","OK"))))</f>
        <v/>
      </c>
      <c r="G4359" s="13">
        <f>SUMIFS(Movimentacoes!$G:$G,Movimentacoes!$C:$C,$A4359,Movimentacoes!$E:$E,$C4359,Movimentacoes!$B:$B,"ENTRADA")</f>
        <v/>
      </c>
      <c r="H4359" s="13">
        <f>SUMIFS(Movimentacoes!$G:$G,Movimentacoes!$C:$C,$A4359,Movimentacoes!$E:$E,$C4359,Movimentacoes!$B:$B,"SAIDA_USO")</f>
        <v/>
      </c>
      <c r="I4359" s="13">
        <f>SUMIFS(Movimentacoes!$G:$G,Movimentacoes!$C:$C,$A4359,Movimentacoes!$E:$E,$C4359,Movimentacoes!$B:$B,"SAIDA_DESCARTE")</f>
        <v/>
      </c>
      <c r="J4359" s="13">
        <f>G4359-H4359-I4359</f>
        <v/>
      </c>
      <c r="K4359">
        <f>IF(A4359="","",IF(J4359&lt;=IFERROR(VLOOKUP(A4359,Cadastro_Produtos!$A:$E,5,FALSE),0),"ABAIXO DO MINIMO","OK"))</f>
        <v/>
      </c>
    </row>
    <row r="4360">
      <c r="B4360">
        <f>IFERROR(VLOOKUP(A4360,Cadastro_Produtos!A:B,2,FALSE),"")</f>
        <v/>
      </c>
      <c r="D4360" s="12" t="n"/>
      <c r="E4360" s="13">
        <f>IF(D4360="","",D4360-TODAY())</f>
        <v/>
      </c>
      <c r="F4360">
        <f>IF(D4360="","",IF(E4360&lt;0,"VENCIDO",IF(E4360&lt;=30,"VENCE EM &lt;= 30 DIAS",IF(E4360&lt;=60,"ATENCAO (31-60 DIAS)","OK"))))</f>
        <v/>
      </c>
      <c r="G4360" s="13">
        <f>SUMIFS(Movimentacoes!$G:$G,Movimentacoes!$C:$C,$A4360,Movimentacoes!$E:$E,$C4360,Movimentacoes!$B:$B,"ENTRADA")</f>
        <v/>
      </c>
      <c r="H4360" s="13">
        <f>SUMIFS(Movimentacoes!$G:$G,Movimentacoes!$C:$C,$A4360,Movimentacoes!$E:$E,$C4360,Movimentacoes!$B:$B,"SAIDA_USO")</f>
        <v/>
      </c>
      <c r="I4360" s="13">
        <f>SUMIFS(Movimentacoes!$G:$G,Movimentacoes!$C:$C,$A4360,Movimentacoes!$E:$E,$C4360,Movimentacoes!$B:$B,"SAIDA_DESCARTE")</f>
        <v/>
      </c>
      <c r="J4360" s="13">
        <f>G4360-H4360-I4360</f>
        <v/>
      </c>
      <c r="K4360">
        <f>IF(A4360="","",IF(J4360&lt;=IFERROR(VLOOKUP(A4360,Cadastro_Produtos!$A:$E,5,FALSE),0),"ABAIXO DO MINIMO","OK"))</f>
        <v/>
      </c>
    </row>
    <row r="4361">
      <c r="B4361">
        <f>IFERROR(VLOOKUP(A4361,Cadastro_Produtos!A:B,2,FALSE),"")</f>
        <v/>
      </c>
      <c r="D4361" s="12" t="n"/>
      <c r="E4361" s="13">
        <f>IF(D4361="","",D4361-TODAY())</f>
        <v/>
      </c>
      <c r="F4361">
        <f>IF(D4361="","",IF(E4361&lt;0,"VENCIDO",IF(E4361&lt;=30,"VENCE EM &lt;= 30 DIAS",IF(E4361&lt;=60,"ATENCAO (31-60 DIAS)","OK"))))</f>
        <v/>
      </c>
      <c r="G4361" s="13">
        <f>SUMIFS(Movimentacoes!$G:$G,Movimentacoes!$C:$C,$A4361,Movimentacoes!$E:$E,$C4361,Movimentacoes!$B:$B,"ENTRADA")</f>
        <v/>
      </c>
      <c r="H4361" s="13">
        <f>SUMIFS(Movimentacoes!$G:$G,Movimentacoes!$C:$C,$A4361,Movimentacoes!$E:$E,$C4361,Movimentacoes!$B:$B,"SAIDA_USO")</f>
        <v/>
      </c>
      <c r="I4361" s="13">
        <f>SUMIFS(Movimentacoes!$G:$G,Movimentacoes!$C:$C,$A4361,Movimentacoes!$E:$E,$C4361,Movimentacoes!$B:$B,"SAIDA_DESCARTE")</f>
        <v/>
      </c>
      <c r="J4361" s="13">
        <f>G4361-H4361-I4361</f>
        <v/>
      </c>
      <c r="K4361">
        <f>IF(A4361="","",IF(J4361&lt;=IFERROR(VLOOKUP(A4361,Cadastro_Produtos!$A:$E,5,FALSE),0),"ABAIXO DO MINIMO","OK"))</f>
        <v/>
      </c>
    </row>
    <row r="4362">
      <c r="B4362">
        <f>IFERROR(VLOOKUP(A4362,Cadastro_Produtos!A:B,2,FALSE),"")</f>
        <v/>
      </c>
      <c r="D4362" s="12" t="n"/>
      <c r="E4362" s="13">
        <f>IF(D4362="","",D4362-TODAY())</f>
        <v/>
      </c>
      <c r="F4362">
        <f>IF(D4362="","",IF(E4362&lt;0,"VENCIDO",IF(E4362&lt;=30,"VENCE EM &lt;= 30 DIAS",IF(E4362&lt;=60,"ATENCAO (31-60 DIAS)","OK"))))</f>
        <v/>
      </c>
      <c r="G4362" s="13">
        <f>SUMIFS(Movimentacoes!$G:$G,Movimentacoes!$C:$C,$A4362,Movimentacoes!$E:$E,$C4362,Movimentacoes!$B:$B,"ENTRADA")</f>
        <v/>
      </c>
      <c r="H4362" s="13">
        <f>SUMIFS(Movimentacoes!$G:$G,Movimentacoes!$C:$C,$A4362,Movimentacoes!$E:$E,$C4362,Movimentacoes!$B:$B,"SAIDA_USO")</f>
        <v/>
      </c>
      <c r="I4362" s="13">
        <f>SUMIFS(Movimentacoes!$G:$G,Movimentacoes!$C:$C,$A4362,Movimentacoes!$E:$E,$C4362,Movimentacoes!$B:$B,"SAIDA_DESCARTE")</f>
        <v/>
      </c>
      <c r="J4362" s="13">
        <f>G4362-H4362-I4362</f>
        <v/>
      </c>
      <c r="K4362">
        <f>IF(A4362="","",IF(J4362&lt;=IFERROR(VLOOKUP(A4362,Cadastro_Produtos!$A:$E,5,FALSE),0),"ABAIXO DO MINIMO","OK"))</f>
        <v/>
      </c>
    </row>
    <row r="4363">
      <c r="B4363">
        <f>IFERROR(VLOOKUP(A4363,Cadastro_Produtos!A:B,2,FALSE),"")</f>
        <v/>
      </c>
      <c r="D4363" s="12" t="n"/>
      <c r="E4363" s="13">
        <f>IF(D4363="","",D4363-TODAY())</f>
        <v/>
      </c>
      <c r="F4363">
        <f>IF(D4363="","",IF(E4363&lt;0,"VENCIDO",IF(E4363&lt;=30,"VENCE EM &lt;= 30 DIAS",IF(E4363&lt;=60,"ATENCAO (31-60 DIAS)","OK"))))</f>
        <v/>
      </c>
      <c r="G4363" s="13">
        <f>SUMIFS(Movimentacoes!$G:$G,Movimentacoes!$C:$C,$A4363,Movimentacoes!$E:$E,$C4363,Movimentacoes!$B:$B,"ENTRADA")</f>
        <v/>
      </c>
      <c r="H4363" s="13">
        <f>SUMIFS(Movimentacoes!$G:$G,Movimentacoes!$C:$C,$A4363,Movimentacoes!$E:$E,$C4363,Movimentacoes!$B:$B,"SAIDA_USO")</f>
        <v/>
      </c>
      <c r="I4363" s="13">
        <f>SUMIFS(Movimentacoes!$G:$G,Movimentacoes!$C:$C,$A4363,Movimentacoes!$E:$E,$C4363,Movimentacoes!$B:$B,"SAIDA_DESCARTE")</f>
        <v/>
      </c>
      <c r="J4363" s="13">
        <f>G4363-H4363-I4363</f>
        <v/>
      </c>
      <c r="K4363">
        <f>IF(A4363="","",IF(J4363&lt;=IFERROR(VLOOKUP(A4363,Cadastro_Produtos!$A:$E,5,FALSE),0),"ABAIXO DO MINIMO","OK"))</f>
        <v/>
      </c>
    </row>
    <row r="4364">
      <c r="B4364">
        <f>IFERROR(VLOOKUP(A4364,Cadastro_Produtos!A:B,2,FALSE),"")</f>
        <v/>
      </c>
      <c r="D4364" s="12" t="n"/>
      <c r="E4364" s="13">
        <f>IF(D4364="","",D4364-TODAY())</f>
        <v/>
      </c>
      <c r="F4364">
        <f>IF(D4364="","",IF(E4364&lt;0,"VENCIDO",IF(E4364&lt;=30,"VENCE EM &lt;= 30 DIAS",IF(E4364&lt;=60,"ATENCAO (31-60 DIAS)","OK"))))</f>
        <v/>
      </c>
      <c r="G4364" s="13">
        <f>SUMIFS(Movimentacoes!$G:$G,Movimentacoes!$C:$C,$A4364,Movimentacoes!$E:$E,$C4364,Movimentacoes!$B:$B,"ENTRADA")</f>
        <v/>
      </c>
      <c r="H4364" s="13">
        <f>SUMIFS(Movimentacoes!$G:$G,Movimentacoes!$C:$C,$A4364,Movimentacoes!$E:$E,$C4364,Movimentacoes!$B:$B,"SAIDA_USO")</f>
        <v/>
      </c>
      <c r="I4364" s="13">
        <f>SUMIFS(Movimentacoes!$G:$G,Movimentacoes!$C:$C,$A4364,Movimentacoes!$E:$E,$C4364,Movimentacoes!$B:$B,"SAIDA_DESCARTE")</f>
        <v/>
      </c>
      <c r="J4364" s="13">
        <f>G4364-H4364-I4364</f>
        <v/>
      </c>
      <c r="K4364">
        <f>IF(A4364="","",IF(J4364&lt;=IFERROR(VLOOKUP(A4364,Cadastro_Produtos!$A:$E,5,FALSE),0),"ABAIXO DO MINIMO","OK"))</f>
        <v/>
      </c>
    </row>
    <row r="4365">
      <c r="B4365">
        <f>IFERROR(VLOOKUP(A4365,Cadastro_Produtos!A:B,2,FALSE),"")</f>
        <v/>
      </c>
      <c r="D4365" s="12" t="n"/>
      <c r="E4365" s="13">
        <f>IF(D4365="","",D4365-TODAY())</f>
        <v/>
      </c>
      <c r="F4365">
        <f>IF(D4365="","",IF(E4365&lt;0,"VENCIDO",IF(E4365&lt;=30,"VENCE EM &lt;= 30 DIAS",IF(E4365&lt;=60,"ATENCAO (31-60 DIAS)","OK"))))</f>
        <v/>
      </c>
      <c r="G4365" s="13">
        <f>SUMIFS(Movimentacoes!$G:$G,Movimentacoes!$C:$C,$A4365,Movimentacoes!$E:$E,$C4365,Movimentacoes!$B:$B,"ENTRADA")</f>
        <v/>
      </c>
      <c r="H4365" s="13">
        <f>SUMIFS(Movimentacoes!$G:$G,Movimentacoes!$C:$C,$A4365,Movimentacoes!$E:$E,$C4365,Movimentacoes!$B:$B,"SAIDA_USO")</f>
        <v/>
      </c>
      <c r="I4365" s="13">
        <f>SUMIFS(Movimentacoes!$G:$G,Movimentacoes!$C:$C,$A4365,Movimentacoes!$E:$E,$C4365,Movimentacoes!$B:$B,"SAIDA_DESCARTE")</f>
        <v/>
      </c>
      <c r="J4365" s="13">
        <f>G4365-H4365-I4365</f>
        <v/>
      </c>
      <c r="K4365">
        <f>IF(A4365="","",IF(J4365&lt;=IFERROR(VLOOKUP(A4365,Cadastro_Produtos!$A:$E,5,FALSE),0),"ABAIXO DO MINIMO","OK"))</f>
        <v/>
      </c>
    </row>
    <row r="4366">
      <c r="B4366">
        <f>IFERROR(VLOOKUP(A4366,Cadastro_Produtos!A:B,2,FALSE),"")</f>
        <v/>
      </c>
      <c r="D4366" s="12" t="n"/>
      <c r="E4366" s="13">
        <f>IF(D4366="","",D4366-TODAY())</f>
        <v/>
      </c>
      <c r="F4366">
        <f>IF(D4366="","",IF(E4366&lt;0,"VENCIDO",IF(E4366&lt;=30,"VENCE EM &lt;= 30 DIAS",IF(E4366&lt;=60,"ATENCAO (31-60 DIAS)","OK"))))</f>
        <v/>
      </c>
      <c r="G4366" s="13">
        <f>SUMIFS(Movimentacoes!$G:$G,Movimentacoes!$C:$C,$A4366,Movimentacoes!$E:$E,$C4366,Movimentacoes!$B:$B,"ENTRADA")</f>
        <v/>
      </c>
      <c r="H4366" s="13">
        <f>SUMIFS(Movimentacoes!$G:$G,Movimentacoes!$C:$C,$A4366,Movimentacoes!$E:$E,$C4366,Movimentacoes!$B:$B,"SAIDA_USO")</f>
        <v/>
      </c>
      <c r="I4366" s="13">
        <f>SUMIFS(Movimentacoes!$G:$G,Movimentacoes!$C:$C,$A4366,Movimentacoes!$E:$E,$C4366,Movimentacoes!$B:$B,"SAIDA_DESCARTE")</f>
        <v/>
      </c>
      <c r="J4366" s="13">
        <f>G4366-H4366-I4366</f>
        <v/>
      </c>
      <c r="K4366">
        <f>IF(A4366="","",IF(J4366&lt;=IFERROR(VLOOKUP(A4366,Cadastro_Produtos!$A:$E,5,FALSE),0),"ABAIXO DO MINIMO","OK"))</f>
        <v/>
      </c>
    </row>
    <row r="4367">
      <c r="B4367">
        <f>IFERROR(VLOOKUP(A4367,Cadastro_Produtos!A:B,2,FALSE),"")</f>
        <v/>
      </c>
      <c r="D4367" s="12" t="n"/>
      <c r="E4367" s="13">
        <f>IF(D4367="","",D4367-TODAY())</f>
        <v/>
      </c>
      <c r="F4367">
        <f>IF(D4367="","",IF(E4367&lt;0,"VENCIDO",IF(E4367&lt;=30,"VENCE EM &lt;= 30 DIAS",IF(E4367&lt;=60,"ATENCAO (31-60 DIAS)","OK"))))</f>
        <v/>
      </c>
      <c r="G4367" s="13">
        <f>SUMIFS(Movimentacoes!$G:$G,Movimentacoes!$C:$C,$A4367,Movimentacoes!$E:$E,$C4367,Movimentacoes!$B:$B,"ENTRADA")</f>
        <v/>
      </c>
      <c r="H4367" s="13">
        <f>SUMIFS(Movimentacoes!$G:$G,Movimentacoes!$C:$C,$A4367,Movimentacoes!$E:$E,$C4367,Movimentacoes!$B:$B,"SAIDA_USO")</f>
        <v/>
      </c>
      <c r="I4367" s="13">
        <f>SUMIFS(Movimentacoes!$G:$G,Movimentacoes!$C:$C,$A4367,Movimentacoes!$E:$E,$C4367,Movimentacoes!$B:$B,"SAIDA_DESCARTE")</f>
        <v/>
      </c>
      <c r="J4367" s="13">
        <f>G4367-H4367-I4367</f>
        <v/>
      </c>
      <c r="K4367">
        <f>IF(A4367="","",IF(J4367&lt;=IFERROR(VLOOKUP(A4367,Cadastro_Produtos!$A:$E,5,FALSE),0),"ABAIXO DO MINIMO","OK"))</f>
        <v/>
      </c>
    </row>
    <row r="4368">
      <c r="B4368">
        <f>IFERROR(VLOOKUP(A4368,Cadastro_Produtos!A:B,2,FALSE),"")</f>
        <v/>
      </c>
      <c r="D4368" s="12" t="n"/>
      <c r="E4368" s="13">
        <f>IF(D4368="","",D4368-TODAY())</f>
        <v/>
      </c>
      <c r="F4368">
        <f>IF(D4368="","",IF(E4368&lt;0,"VENCIDO",IF(E4368&lt;=30,"VENCE EM &lt;= 30 DIAS",IF(E4368&lt;=60,"ATENCAO (31-60 DIAS)","OK"))))</f>
        <v/>
      </c>
      <c r="G4368" s="13">
        <f>SUMIFS(Movimentacoes!$G:$G,Movimentacoes!$C:$C,$A4368,Movimentacoes!$E:$E,$C4368,Movimentacoes!$B:$B,"ENTRADA")</f>
        <v/>
      </c>
      <c r="H4368" s="13">
        <f>SUMIFS(Movimentacoes!$G:$G,Movimentacoes!$C:$C,$A4368,Movimentacoes!$E:$E,$C4368,Movimentacoes!$B:$B,"SAIDA_USO")</f>
        <v/>
      </c>
      <c r="I4368" s="13">
        <f>SUMIFS(Movimentacoes!$G:$G,Movimentacoes!$C:$C,$A4368,Movimentacoes!$E:$E,$C4368,Movimentacoes!$B:$B,"SAIDA_DESCARTE")</f>
        <v/>
      </c>
      <c r="J4368" s="13">
        <f>G4368-H4368-I4368</f>
        <v/>
      </c>
      <c r="K4368">
        <f>IF(A4368="","",IF(J4368&lt;=IFERROR(VLOOKUP(A4368,Cadastro_Produtos!$A:$E,5,FALSE),0),"ABAIXO DO MINIMO","OK"))</f>
        <v/>
      </c>
    </row>
    <row r="4369">
      <c r="B4369">
        <f>IFERROR(VLOOKUP(A4369,Cadastro_Produtos!A:B,2,FALSE),"")</f>
        <v/>
      </c>
      <c r="D4369" s="12" t="n"/>
      <c r="E4369" s="13">
        <f>IF(D4369="","",D4369-TODAY())</f>
        <v/>
      </c>
      <c r="F4369">
        <f>IF(D4369="","",IF(E4369&lt;0,"VENCIDO",IF(E4369&lt;=30,"VENCE EM &lt;= 30 DIAS",IF(E4369&lt;=60,"ATENCAO (31-60 DIAS)","OK"))))</f>
        <v/>
      </c>
      <c r="G4369" s="13">
        <f>SUMIFS(Movimentacoes!$G:$G,Movimentacoes!$C:$C,$A4369,Movimentacoes!$E:$E,$C4369,Movimentacoes!$B:$B,"ENTRADA")</f>
        <v/>
      </c>
      <c r="H4369" s="13">
        <f>SUMIFS(Movimentacoes!$G:$G,Movimentacoes!$C:$C,$A4369,Movimentacoes!$E:$E,$C4369,Movimentacoes!$B:$B,"SAIDA_USO")</f>
        <v/>
      </c>
      <c r="I4369" s="13">
        <f>SUMIFS(Movimentacoes!$G:$G,Movimentacoes!$C:$C,$A4369,Movimentacoes!$E:$E,$C4369,Movimentacoes!$B:$B,"SAIDA_DESCARTE")</f>
        <v/>
      </c>
      <c r="J4369" s="13">
        <f>G4369-H4369-I4369</f>
        <v/>
      </c>
      <c r="K4369">
        <f>IF(A4369="","",IF(J4369&lt;=IFERROR(VLOOKUP(A4369,Cadastro_Produtos!$A:$E,5,FALSE),0),"ABAIXO DO MINIMO","OK"))</f>
        <v/>
      </c>
    </row>
    <row r="4370">
      <c r="B4370">
        <f>IFERROR(VLOOKUP(A4370,Cadastro_Produtos!A:B,2,FALSE),"")</f>
        <v/>
      </c>
      <c r="D4370" s="12" t="n"/>
      <c r="E4370" s="13">
        <f>IF(D4370="","",D4370-TODAY())</f>
        <v/>
      </c>
      <c r="F4370">
        <f>IF(D4370="","",IF(E4370&lt;0,"VENCIDO",IF(E4370&lt;=30,"VENCE EM &lt;= 30 DIAS",IF(E4370&lt;=60,"ATENCAO (31-60 DIAS)","OK"))))</f>
        <v/>
      </c>
      <c r="G4370" s="13">
        <f>SUMIFS(Movimentacoes!$G:$G,Movimentacoes!$C:$C,$A4370,Movimentacoes!$E:$E,$C4370,Movimentacoes!$B:$B,"ENTRADA")</f>
        <v/>
      </c>
      <c r="H4370" s="13">
        <f>SUMIFS(Movimentacoes!$G:$G,Movimentacoes!$C:$C,$A4370,Movimentacoes!$E:$E,$C4370,Movimentacoes!$B:$B,"SAIDA_USO")</f>
        <v/>
      </c>
      <c r="I4370" s="13">
        <f>SUMIFS(Movimentacoes!$G:$G,Movimentacoes!$C:$C,$A4370,Movimentacoes!$E:$E,$C4370,Movimentacoes!$B:$B,"SAIDA_DESCARTE")</f>
        <v/>
      </c>
      <c r="J4370" s="13">
        <f>G4370-H4370-I4370</f>
        <v/>
      </c>
      <c r="K4370">
        <f>IF(A4370="","",IF(J4370&lt;=IFERROR(VLOOKUP(A4370,Cadastro_Produtos!$A:$E,5,FALSE),0),"ABAIXO DO MINIMO","OK"))</f>
        <v/>
      </c>
    </row>
    <row r="4371">
      <c r="B4371">
        <f>IFERROR(VLOOKUP(A4371,Cadastro_Produtos!A:B,2,FALSE),"")</f>
        <v/>
      </c>
      <c r="D4371" s="12" t="n"/>
      <c r="E4371" s="13">
        <f>IF(D4371="","",D4371-TODAY())</f>
        <v/>
      </c>
      <c r="F4371">
        <f>IF(D4371="","",IF(E4371&lt;0,"VENCIDO",IF(E4371&lt;=30,"VENCE EM &lt;= 30 DIAS",IF(E4371&lt;=60,"ATENCAO (31-60 DIAS)","OK"))))</f>
        <v/>
      </c>
      <c r="G4371" s="13">
        <f>SUMIFS(Movimentacoes!$G:$G,Movimentacoes!$C:$C,$A4371,Movimentacoes!$E:$E,$C4371,Movimentacoes!$B:$B,"ENTRADA")</f>
        <v/>
      </c>
      <c r="H4371" s="13">
        <f>SUMIFS(Movimentacoes!$G:$G,Movimentacoes!$C:$C,$A4371,Movimentacoes!$E:$E,$C4371,Movimentacoes!$B:$B,"SAIDA_USO")</f>
        <v/>
      </c>
      <c r="I4371" s="13">
        <f>SUMIFS(Movimentacoes!$G:$G,Movimentacoes!$C:$C,$A4371,Movimentacoes!$E:$E,$C4371,Movimentacoes!$B:$B,"SAIDA_DESCARTE")</f>
        <v/>
      </c>
      <c r="J4371" s="13">
        <f>G4371-H4371-I4371</f>
        <v/>
      </c>
      <c r="K4371">
        <f>IF(A4371="","",IF(J4371&lt;=IFERROR(VLOOKUP(A4371,Cadastro_Produtos!$A:$E,5,FALSE),0),"ABAIXO DO MINIMO","OK"))</f>
        <v/>
      </c>
    </row>
    <row r="4372">
      <c r="B4372">
        <f>IFERROR(VLOOKUP(A4372,Cadastro_Produtos!A:B,2,FALSE),"")</f>
        <v/>
      </c>
      <c r="D4372" s="12" t="n"/>
      <c r="E4372" s="13">
        <f>IF(D4372="","",D4372-TODAY())</f>
        <v/>
      </c>
      <c r="F4372">
        <f>IF(D4372="","",IF(E4372&lt;0,"VENCIDO",IF(E4372&lt;=30,"VENCE EM &lt;= 30 DIAS",IF(E4372&lt;=60,"ATENCAO (31-60 DIAS)","OK"))))</f>
        <v/>
      </c>
      <c r="G4372" s="13">
        <f>SUMIFS(Movimentacoes!$G:$G,Movimentacoes!$C:$C,$A4372,Movimentacoes!$E:$E,$C4372,Movimentacoes!$B:$B,"ENTRADA")</f>
        <v/>
      </c>
      <c r="H4372" s="13">
        <f>SUMIFS(Movimentacoes!$G:$G,Movimentacoes!$C:$C,$A4372,Movimentacoes!$E:$E,$C4372,Movimentacoes!$B:$B,"SAIDA_USO")</f>
        <v/>
      </c>
      <c r="I4372" s="13">
        <f>SUMIFS(Movimentacoes!$G:$G,Movimentacoes!$C:$C,$A4372,Movimentacoes!$E:$E,$C4372,Movimentacoes!$B:$B,"SAIDA_DESCARTE")</f>
        <v/>
      </c>
      <c r="J4372" s="13">
        <f>G4372-H4372-I4372</f>
        <v/>
      </c>
      <c r="K4372">
        <f>IF(A4372="","",IF(J4372&lt;=IFERROR(VLOOKUP(A4372,Cadastro_Produtos!$A:$E,5,FALSE),0),"ABAIXO DO MINIMO","OK"))</f>
        <v/>
      </c>
    </row>
    <row r="4373">
      <c r="B4373">
        <f>IFERROR(VLOOKUP(A4373,Cadastro_Produtos!A:B,2,FALSE),"")</f>
        <v/>
      </c>
      <c r="D4373" s="12" t="n"/>
      <c r="E4373" s="13">
        <f>IF(D4373="","",D4373-TODAY())</f>
        <v/>
      </c>
      <c r="F4373">
        <f>IF(D4373="","",IF(E4373&lt;0,"VENCIDO",IF(E4373&lt;=30,"VENCE EM &lt;= 30 DIAS",IF(E4373&lt;=60,"ATENCAO (31-60 DIAS)","OK"))))</f>
        <v/>
      </c>
      <c r="G4373" s="13">
        <f>SUMIFS(Movimentacoes!$G:$G,Movimentacoes!$C:$C,$A4373,Movimentacoes!$E:$E,$C4373,Movimentacoes!$B:$B,"ENTRADA")</f>
        <v/>
      </c>
      <c r="H4373" s="13">
        <f>SUMIFS(Movimentacoes!$G:$G,Movimentacoes!$C:$C,$A4373,Movimentacoes!$E:$E,$C4373,Movimentacoes!$B:$B,"SAIDA_USO")</f>
        <v/>
      </c>
      <c r="I4373" s="13">
        <f>SUMIFS(Movimentacoes!$G:$G,Movimentacoes!$C:$C,$A4373,Movimentacoes!$E:$E,$C4373,Movimentacoes!$B:$B,"SAIDA_DESCARTE")</f>
        <v/>
      </c>
      <c r="J4373" s="13">
        <f>G4373-H4373-I4373</f>
        <v/>
      </c>
      <c r="K4373">
        <f>IF(A4373="","",IF(J4373&lt;=IFERROR(VLOOKUP(A4373,Cadastro_Produtos!$A:$E,5,FALSE),0),"ABAIXO DO MINIMO","OK"))</f>
        <v/>
      </c>
    </row>
    <row r="4374">
      <c r="B4374">
        <f>IFERROR(VLOOKUP(A4374,Cadastro_Produtos!A:B,2,FALSE),"")</f>
        <v/>
      </c>
      <c r="D4374" s="12" t="n"/>
      <c r="E4374" s="13">
        <f>IF(D4374="","",D4374-TODAY())</f>
        <v/>
      </c>
      <c r="F4374">
        <f>IF(D4374="","",IF(E4374&lt;0,"VENCIDO",IF(E4374&lt;=30,"VENCE EM &lt;= 30 DIAS",IF(E4374&lt;=60,"ATENCAO (31-60 DIAS)","OK"))))</f>
        <v/>
      </c>
      <c r="G4374" s="13">
        <f>SUMIFS(Movimentacoes!$G:$G,Movimentacoes!$C:$C,$A4374,Movimentacoes!$E:$E,$C4374,Movimentacoes!$B:$B,"ENTRADA")</f>
        <v/>
      </c>
      <c r="H4374" s="13">
        <f>SUMIFS(Movimentacoes!$G:$G,Movimentacoes!$C:$C,$A4374,Movimentacoes!$E:$E,$C4374,Movimentacoes!$B:$B,"SAIDA_USO")</f>
        <v/>
      </c>
      <c r="I4374" s="13">
        <f>SUMIFS(Movimentacoes!$G:$G,Movimentacoes!$C:$C,$A4374,Movimentacoes!$E:$E,$C4374,Movimentacoes!$B:$B,"SAIDA_DESCARTE")</f>
        <v/>
      </c>
      <c r="J4374" s="13">
        <f>G4374-H4374-I4374</f>
        <v/>
      </c>
      <c r="K4374">
        <f>IF(A4374="","",IF(J4374&lt;=IFERROR(VLOOKUP(A4374,Cadastro_Produtos!$A:$E,5,FALSE),0),"ABAIXO DO MINIMO","OK"))</f>
        <v/>
      </c>
    </row>
    <row r="4375">
      <c r="B4375">
        <f>IFERROR(VLOOKUP(A4375,Cadastro_Produtos!A:B,2,FALSE),"")</f>
        <v/>
      </c>
      <c r="D4375" s="12" t="n"/>
      <c r="E4375" s="13">
        <f>IF(D4375="","",D4375-TODAY())</f>
        <v/>
      </c>
      <c r="F4375">
        <f>IF(D4375="","",IF(E4375&lt;0,"VENCIDO",IF(E4375&lt;=30,"VENCE EM &lt;= 30 DIAS",IF(E4375&lt;=60,"ATENCAO (31-60 DIAS)","OK"))))</f>
        <v/>
      </c>
      <c r="G4375" s="13">
        <f>SUMIFS(Movimentacoes!$G:$G,Movimentacoes!$C:$C,$A4375,Movimentacoes!$E:$E,$C4375,Movimentacoes!$B:$B,"ENTRADA")</f>
        <v/>
      </c>
      <c r="H4375" s="13">
        <f>SUMIFS(Movimentacoes!$G:$G,Movimentacoes!$C:$C,$A4375,Movimentacoes!$E:$E,$C4375,Movimentacoes!$B:$B,"SAIDA_USO")</f>
        <v/>
      </c>
      <c r="I4375" s="13">
        <f>SUMIFS(Movimentacoes!$G:$G,Movimentacoes!$C:$C,$A4375,Movimentacoes!$E:$E,$C4375,Movimentacoes!$B:$B,"SAIDA_DESCARTE")</f>
        <v/>
      </c>
      <c r="J4375" s="13">
        <f>G4375-H4375-I4375</f>
        <v/>
      </c>
      <c r="K4375">
        <f>IF(A4375="","",IF(J4375&lt;=IFERROR(VLOOKUP(A4375,Cadastro_Produtos!$A:$E,5,FALSE),0),"ABAIXO DO MINIMO","OK"))</f>
        <v/>
      </c>
    </row>
    <row r="4376">
      <c r="B4376">
        <f>IFERROR(VLOOKUP(A4376,Cadastro_Produtos!A:B,2,FALSE),"")</f>
        <v/>
      </c>
      <c r="D4376" s="12" t="n"/>
      <c r="E4376" s="13">
        <f>IF(D4376="","",D4376-TODAY())</f>
        <v/>
      </c>
      <c r="F4376">
        <f>IF(D4376="","",IF(E4376&lt;0,"VENCIDO",IF(E4376&lt;=30,"VENCE EM &lt;= 30 DIAS",IF(E4376&lt;=60,"ATENCAO (31-60 DIAS)","OK"))))</f>
        <v/>
      </c>
      <c r="G4376" s="13">
        <f>SUMIFS(Movimentacoes!$G:$G,Movimentacoes!$C:$C,$A4376,Movimentacoes!$E:$E,$C4376,Movimentacoes!$B:$B,"ENTRADA")</f>
        <v/>
      </c>
      <c r="H4376" s="13">
        <f>SUMIFS(Movimentacoes!$G:$G,Movimentacoes!$C:$C,$A4376,Movimentacoes!$E:$E,$C4376,Movimentacoes!$B:$B,"SAIDA_USO")</f>
        <v/>
      </c>
      <c r="I4376" s="13">
        <f>SUMIFS(Movimentacoes!$G:$G,Movimentacoes!$C:$C,$A4376,Movimentacoes!$E:$E,$C4376,Movimentacoes!$B:$B,"SAIDA_DESCARTE")</f>
        <v/>
      </c>
      <c r="J4376" s="13">
        <f>G4376-H4376-I4376</f>
        <v/>
      </c>
      <c r="K4376">
        <f>IF(A4376="","",IF(J4376&lt;=IFERROR(VLOOKUP(A4376,Cadastro_Produtos!$A:$E,5,FALSE),0),"ABAIXO DO MINIMO","OK"))</f>
        <v/>
      </c>
    </row>
    <row r="4377">
      <c r="B4377">
        <f>IFERROR(VLOOKUP(A4377,Cadastro_Produtos!A:B,2,FALSE),"")</f>
        <v/>
      </c>
      <c r="D4377" s="12" t="n"/>
      <c r="E4377" s="13">
        <f>IF(D4377="","",D4377-TODAY())</f>
        <v/>
      </c>
      <c r="F4377">
        <f>IF(D4377="","",IF(E4377&lt;0,"VENCIDO",IF(E4377&lt;=30,"VENCE EM &lt;= 30 DIAS",IF(E4377&lt;=60,"ATENCAO (31-60 DIAS)","OK"))))</f>
        <v/>
      </c>
      <c r="G4377" s="13">
        <f>SUMIFS(Movimentacoes!$G:$G,Movimentacoes!$C:$C,$A4377,Movimentacoes!$E:$E,$C4377,Movimentacoes!$B:$B,"ENTRADA")</f>
        <v/>
      </c>
      <c r="H4377" s="13">
        <f>SUMIFS(Movimentacoes!$G:$G,Movimentacoes!$C:$C,$A4377,Movimentacoes!$E:$E,$C4377,Movimentacoes!$B:$B,"SAIDA_USO")</f>
        <v/>
      </c>
      <c r="I4377" s="13">
        <f>SUMIFS(Movimentacoes!$G:$G,Movimentacoes!$C:$C,$A4377,Movimentacoes!$E:$E,$C4377,Movimentacoes!$B:$B,"SAIDA_DESCARTE")</f>
        <v/>
      </c>
      <c r="J4377" s="13">
        <f>G4377-H4377-I4377</f>
        <v/>
      </c>
      <c r="K4377">
        <f>IF(A4377="","",IF(J4377&lt;=IFERROR(VLOOKUP(A4377,Cadastro_Produtos!$A:$E,5,FALSE),0),"ABAIXO DO MINIMO","OK"))</f>
        <v/>
      </c>
    </row>
    <row r="4378">
      <c r="B4378">
        <f>IFERROR(VLOOKUP(A4378,Cadastro_Produtos!A:B,2,FALSE),"")</f>
        <v/>
      </c>
      <c r="D4378" s="12" t="n"/>
      <c r="E4378" s="13">
        <f>IF(D4378="","",D4378-TODAY())</f>
        <v/>
      </c>
      <c r="F4378">
        <f>IF(D4378="","",IF(E4378&lt;0,"VENCIDO",IF(E4378&lt;=30,"VENCE EM &lt;= 30 DIAS",IF(E4378&lt;=60,"ATENCAO (31-60 DIAS)","OK"))))</f>
        <v/>
      </c>
      <c r="G4378" s="13">
        <f>SUMIFS(Movimentacoes!$G:$G,Movimentacoes!$C:$C,$A4378,Movimentacoes!$E:$E,$C4378,Movimentacoes!$B:$B,"ENTRADA")</f>
        <v/>
      </c>
      <c r="H4378" s="13">
        <f>SUMIFS(Movimentacoes!$G:$G,Movimentacoes!$C:$C,$A4378,Movimentacoes!$E:$E,$C4378,Movimentacoes!$B:$B,"SAIDA_USO")</f>
        <v/>
      </c>
      <c r="I4378" s="13">
        <f>SUMIFS(Movimentacoes!$G:$G,Movimentacoes!$C:$C,$A4378,Movimentacoes!$E:$E,$C4378,Movimentacoes!$B:$B,"SAIDA_DESCARTE")</f>
        <v/>
      </c>
      <c r="J4378" s="13">
        <f>G4378-H4378-I4378</f>
        <v/>
      </c>
      <c r="K4378">
        <f>IF(A4378="","",IF(J4378&lt;=IFERROR(VLOOKUP(A4378,Cadastro_Produtos!$A:$E,5,FALSE),0),"ABAIXO DO MINIMO","OK"))</f>
        <v/>
      </c>
    </row>
    <row r="4379">
      <c r="B4379">
        <f>IFERROR(VLOOKUP(A4379,Cadastro_Produtos!A:B,2,FALSE),"")</f>
        <v/>
      </c>
      <c r="D4379" s="12" t="n"/>
      <c r="E4379" s="13">
        <f>IF(D4379="","",D4379-TODAY())</f>
        <v/>
      </c>
      <c r="F4379">
        <f>IF(D4379="","",IF(E4379&lt;0,"VENCIDO",IF(E4379&lt;=30,"VENCE EM &lt;= 30 DIAS",IF(E4379&lt;=60,"ATENCAO (31-60 DIAS)","OK"))))</f>
        <v/>
      </c>
      <c r="G4379" s="13">
        <f>SUMIFS(Movimentacoes!$G:$G,Movimentacoes!$C:$C,$A4379,Movimentacoes!$E:$E,$C4379,Movimentacoes!$B:$B,"ENTRADA")</f>
        <v/>
      </c>
      <c r="H4379" s="13">
        <f>SUMIFS(Movimentacoes!$G:$G,Movimentacoes!$C:$C,$A4379,Movimentacoes!$E:$E,$C4379,Movimentacoes!$B:$B,"SAIDA_USO")</f>
        <v/>
      </c>
      <c r="I4379" s="13">
        <f>SUMIFS(Movimentacoes!$G:$G,Movimentacoes!$C:$C,$A4379,Movimentacoes!$E:$E,$C4379,Movimentacoes!$B:$B,"SAIDA_DESCARTE")</f>
        <v/>
      </c>
      <c r="J4379" s="13">
        <f>G4379-H4379-I4379</f>
        <v/>
      </c>
      <c r="K4379">
        <f>IF(A4379="","",IF(J4379&lt;=IFERROR(VLOOKUP(A4379,Cadastro_Produtos!$A:$E,5,FALSE),0),"ABAIXO DO MINIMO","OK"))</f>
        <v/>
      </c>
    </row>
    <row r="4380">
      <c r="B4380">
        <f>IFERROR(VLOOKUP(A4380,Cadastro_Produtos!A:B,2,FALSE),"")</f>
        <v/>
      </c>
      <c r="D4380" s="12" t="n"/>
      <c r="E4380" s="13">
        <f>IF(D4380="","",D4380-TODAY())</f>
        <v/>
      </c>
      <c r="F4380">
        <f>IF(D4380="","",IF(E4380&lt;0,"VENCIDO",IF(E4380&lt;=30,"VENCE EM &lt;= 30 DIAS",IF(E4380&lt;=60,"ATENCAO (31-60 DIAS)","OK"))))</f>
        <v/>
      </c>
      <c r="G4380" s="13">
        <f>SUMIFS(Movimentacoes!$G:$G,Movimentacoes!$C:$C,$A4380,Movimentacoes!$E:$E,$C4380,Movimentacoes!$B:$B,"ENTRADA")</f>
        <v/>
      </c>
      <c r="H4380" s="13">
        <f>SUMIFS(Movimentacoes!$G:$G,Movimentacoes!$C:$C,$A4380,Movimentacoes!$E:$E,$C4380,Movimentacoes!$B:$B,"SAIDA_USO")</f>
        <v/>
      </c>
      <c r="I4380" s="13">
        <f>SUMIFS(Movimentacoes!$G:$G,Movimentacoes!$C:$C,$A4380,Movimentacoes!$E:$E,$C4380,Movimentacoes!$B:$B,"SAIDA_DESCARTE")</f>
        <v/>
      </c>
      <c r="J4380" s="13">
        <f>G4380-H4380-I4380</f>
        <v/>
      </c>
      <c r="K4380">
        <f>IF(A4380="","",IF(J4380&lt;=IFERROR(VLOOKUP(A4380,Cadastro_Produtos!$A:$E,5,FALSE),0),"ABAIXO DO MINIMO","OK"))</f>
        <v/>
      </c>
    </row>
    <row r="4381">
      <c r="B4381">
        <f>IFERROR(VLOOKUP(A4381,Cadastro_Produtos!A:B,2,FALSE),"")</f>
        <v/>
      </c>
      <c r="D4381" s="12" t="n"/>
      <c r="E4381" s="13">
        <f>IF(D4381="","",D4381-TODAY())</f>
        <v/>
      </c>
      <c r="F4381">
        <f>IF(D4381="","",IF(E4381&lt;0,"VENCIDO",IF(E4381&lt;=30,"VENCE EM &lt;= 30 DIAS",IF(E4381&lt;=60,"ATENCAO (31-60 DIAS)","OK"))))</f>
        <v/>
      </c>
      <c r="G4381" s="13">
        <f>SUMIFS(Movimentacoes!$G:$G,Movimentacoes!$C:$C,$A4381,Movimentacoes!$E:$E,$C4381,Movimentacoes!$B:$B,"ENTRADA")</f>
        <v/>
      </c>
      <c r="H4381" s="13">
        <f>SUMIFS(Movimentacoes!$G:$G,Movimentacoes!$C:$C,$A4381,Movimentacoes!$E:$E,$C4381,Movimentacoes!$B:$B,"SAIDA_USO")</f>
        <v/>
      </c>
      <c r="I4381" s="13">
        <f>SUMIFS(Movimentacoes!$G:$G,Movimentacoes!$C:$C,$A4381,Movimentacoes!$E:$E,$C4381,Movimentacoes!$B:$B,"SAIDA_DESCARTE")</f>
        <v/>
      </c>
      <c r="J4381" s="13">
        <f>G4381-H4381-I4381</f>
        <v/>
      </c>
      <c r="K4381">
        <f>IF(A4381="","",IF(J4381&lt;=IFERROR(VLOOKUP(A4381,Cadastro_Produtos!$A:$E,5,FALSE),0),"ABAIXO DO MINIMO","OK"))</f>
        <v/>
      </c>
    </row>
    <row r="4382">
      <c r="B4382">
        <f>IFERROR(VLOOKUP(A4382,Cadastro_Produtos!A:B,2,FALSE),"")</f>
        <v/>
      </c>
      <c r="D4382" s="12" t="n"/>
      <c r="E4382" s="13">
        <f>IF(D4382="","",D4382-TODAY())</f>
        <v/>
      </c>
      <c r="F4382">
        <f>IF(D4382="","",IF(E4382&lt;0,"VENCIDO",IF(E4382&lt;=30,"VENCE EM &lt;= 30 DIAS",IF(E4382&lt;=60,"ATENCAO (31-60 DIAS)","OK"))))</f>
        <v/>
      </c>
      <c r="G4382" s="13">
        <f>SUMIFS(Movimentacoes!$G:$G,Movimentacoes!$C:$C,$A4382,Movimentacoes!$E:$E,$C4382,Movimentacoes!$B:$B,"ENTRADA")</f>
        <v/>
      </c>
      <c r="H4382" s="13">
        <f>SUMIFS(Movimentacoes!$G:$G,Movimentacoes!$C:$C,$A4382,Movimentacoes!$E:$E,$C4382,Movimentacoes!$B:$B,"SAIDA_USO")</f>
        <v/>
      </c>
      <c r="I4382" s="13">
        <f>SUMIFS(Movimentacoes!$G:$G,Movimentacoes!$C:$C,$A4382,Movimentacoes!$E:$E,$C4382,Movimentacoes!$B:$B,"SAIDA_DESCARTE")</f>
        <v/>
      </c>
      <c r="J4382" s="13">
        <f>G4382-H4382-I4382</f>
        <v/>
      </c>
      <c r="K4382">
        <f>IF(A4382="","",IF(J4382&lt;=IFERROR(VLOOKUP(A4382,Cadastro_Produtos!$A:$E,5,FALSE),0),"ABAIXO DO MINIMO","OK"))</f>
        <v/>
      </c>
    </row>
    <row r="4383">
      <c r="B4383">
        <f>IFERROR(VLOOKUP(A4383,Cadastro_Produtos!A:B,2,FALSE),"")</f>
        <v/>
      </c>
      <c r="D4383" s="12" t="n"/>
      <c r="E4383" s="13">
        <f>IF(D4383="","",D4383-TODAY())</f>
        <v/>
      </c>
      <c r="F4383">
        <f>IF(D4383="","",IF(E4383&lt;0,"VENCIDO",IF(E4383&lt;=30,"VENCE EM &lt;= 30 DIAS",IF(E4383&lt;=60,"ATENCAO (31-60 DIAS)","OK"))))</f>
        <v/>
      </c>
      <c r="G4383" s="13">
        <f>SUMIFS(Movimentacoes!$G:$G,Movimentacoes!$C:$C,$A4383,Movimentacoes!$E:$E,$C4383,Movimentacoes!$B:$B,"ENTRADA")</f>
        <v/>
      </c>
      <c r="H4383" s="13">
        <f>SUMIFS(Movimentacoes!$G:$G,Movimentacoes!$C:$C,$A4383,Movimentacoes!$E:$E,$C4383,Movimentacoes!$B:$B,"SAIDA_USO")</f>
        <v/>
      </c>
      <c r="I4383" s="13">
        <f>SUMIFS(Movimentacoes!$G:$G,Movimentacoes!$C:$C,$A4383,Movimentacoes!$E:$E,$C4383,Movimentacoes!$B:$B,"SAIDA_DESCARTE")</f>
        <v/>
      </c>
      <c r="J4383" s="13">
        <f>G4383-H4383-I4383</f>
        <v/>
      </c>
      <c r="K4383">
        <f>IF(A4383="","",IF(J4383&lt;=IFERROR(VLOOKUP(A4383,Cadastro_Produtos!$A:$E,5,FALSE),0),"ABAIXO DO MINIMO","OK"))</f>
        <v/>
      </c>
    </row>
    <row r="4384">
      <c r="B4384">
        <f>IFERROR(VLOOKUP(A4384,Cadastro_Produtos!A:B,2,FALSE),"")</f>
        <v/>
      </c>
      <c r="D4384" s="12" t="n"/>
      <c r="E4384" s="13">
        <f>IF(D4384="","",D4384-TODAY())</f>
        <v/>
      </c>
      <c r="F4384">
        <f>IF(D4384="","",IF(E4384&lt;0,"VENCIDO",IF(E4384&lt;=30,"VENCE EM &lt;= 30 DIAS",IF(E4384&lt;=60,"ATENCAO (31-60 DIAS)","OK"))))</f>
        <v/>
      </c>
      <c r="G4384" s="13">
        <f>SUMIFS(Movimentacoes!$G:$G,Movimentacoes!$C:$C,$A4384,Movimentacoes!$E:$E,$C4384,Movimentacoes!$B:$B,"ENTRADA")</f>
        <v/>
      </c>
      <c r="H4384" s="13">
        <f>SUMIFS(Movimentacoes!$G:$G,Movimentacoes!$C:$C,$A4384,Movimentacoes!$E:$E,$C4384,Movimentacoes!$B:$B,"SAIDA_USO")</f>
        <v/>
      </c>
      <c r="I4384" s="13">
        <f>SUMIFS(Movimentacoes!$G:$G,Movimentacoes!$C:$C,$A4384,Movimentacoes!$E:$E,$C4384,Movimentacoes!$B:$B,"SAIDA_DESCARTE")</f>
        <v/>
      </c>
      <c r="J4384" s="13">
        <f>G4384-H4384-I4384</f>
        <v/>
      </c>
      <c r="K4384">
        <f>IF(A4384="","",IF(J4384&lt;=IFERROR(VLOOKUP(A4384,Cadastro_Produtos!$A:$E,5,FALSE),0),"ABAIXO DO MINIMO","OK"))</f>
        <v/>
      </c>
    </row>
    <row r="4385">
      <c r="B4385">
        <f>IFERROR(VLOOKUP(A4385,Cadastro_Produtos!A:B,2,FALSE),"")</f>
        <v/>
      </c>
      <c r="D4385" s="12" t="n"/>
      <c r="E4385" s="13">
        <f>IF(D4385="","",D4385-TODAY())</f>
        <v/>
      </c>
      <c r="F4385">
        <f>IF(D4385="","",IF(E4385&lt;0,"VENCIDO",IF(E4385&lt;=30,"VENCE EM &lt;= 30 DIAS",IF(E4385&lt;=60,"ATENCAO (31-60 DIAS)","OK"))))</f>
        <v/>
      </c>
      <c r="G4385" s="13">
        <f>SUMIFS(Movimentacoes!$G:$G,Movimentacoes!$C:$C,$A4385,Movimentacoes!$E:$E,$C4385,Movimentacoes!$B:$B,"ENTRADA")</f>
        <v/>
      </c>
      <c r="H4385" s="13">
        <f>SUMIFS(Movimentacoes!$G:$G,Movimentacoes!$C:$C,$A4385,Movimentacoes!$E:$E,$C4385,Movimentacoes!$B:$B,"SAIDA_USO")</f>
        <v/>
      </c>
      <c r="I4385" s="13">
        <f>SUMIFS(Movimentacoes!$G:$G,Movimentacoes!$C:$C,$A4385,Movimentacoes!$E:$E,$C4385,Movimentacoes!$B:$B,"SAIDA_DESCARTE")</f>
        <v/>
      </c>
      <c r="J4385" s="13">
        <f>G4385-H4385-I4385</f>
        <v/>
      </c>
      <c r="K4385">
        <f>IF(A4385="","",IF(J4385&lt;=IFERROR(VLOOKUP(A4385,Cadastro_Produtos!$A:$E,5,FALSE),0),"ABAIXO DO MINIMO","OK"))</f>
        <v/>
      </c>
    </row>
    <row r="4386">
      <c r="B4386">
        <f>IFERROR(VLOOKUP(A4386,Cadastro_Produtos!A:B,2,FALSE),"")</f>
        <v/>
      </c>
      <c r="D4386" s="12" t="n"/>
      <c r="E4386" s="13">
        <f>IF(D4386="","",D4386-TODAY())</f>
        <v/>
      </c>
      <c r="F4386">
        <f>IF(D4386="","",IF(E4386&lt;0,"VENCIDO",IF(E4386&lt;=30,"VENCE EM &lt;= 30 DIAS",IF(E4386&lt;=60,"ATENCAO (31-60 DIAS)","OK"))))</f>
        <v/>
      </c>
      <c r="G4386" s="13">
        <f>SUMIFS(Movimentacoes!$G:$G,Movimentacoes!$C:$C,$A4386,Movimentacoes!$E:$E,$C4386,Movimentacoes!$B:$B,"ENTRADA")</f>
        <v/>
      </c>
      <c r="H4386" s="13">
        <f>SUMIFS(Movimentacoes!$G:$G,Movimentacoes!$C:$C,$A4386,Movimentacoes!$E:$E,$C4386,Movimentacoes!$B:$B,"SAIDA_USO")</f>
        <v/>
      </c>
      <c r="I4386" s="13">
        <f>SUMIFS(Movimentacoes!$G:$G,Movimentacoes!$C:$C,$A4386,Movimentacoes!$E:$E,$C4386,Movimentacoes!$B:$B,"SAIDA_DESCARTE")</f>
        <v/>
      </c>
      <c r="J4386" s="13">
        <f>G4386-H4386-I4386</f>
        <v/>
      </c>
      <c r="K4386">
        <f>IF(A4386="","",IF(J4386&lt;=IFERROR(VLOOKUP(A4386,Cadastro_Produtos!$A:$E,5,FALSE),0),"ABAIXO DO MINIMO","OK"))</f>
        <v/>
      </c>
    </row>
    <row r="4387">
      <c r="B4387">
        <f>IFERROR(VLOOKUP(A4387,Cadastro_Produtos!A:B,2,FALSE),"")</f>
        <v/>
      </c>
      <c r="D4387" s="12" t="n"/>
      <c r="E4387" s="13">
        <f>IF(D4387="","",D4387-TODAY())</f>
        <v/>
      </c>
      <c r="F4387">
        <f>IF(D4387="","",IF(E4387&lt;0,"VENCIDO",IF(E4387&lt;=30,"VENCE EM &lt;= 30 DIAS",IF(E4387&lt;=60,"ATENCAO (31-60 DIAS)","OK"))))</f>
        <v/>
      </c>
      <c r="G4387" s="13">
        <f>SUMIFS(Movimentacoes!$G:$G,Movimentacoes!$C:$C,$A4387,Movimentacoes!$E:$E,$C4387,Movimentacoes!$B:$B,"ENTRADA")</f>
        <v/>
      </c>
      <c r="H4387" s="13">
        <f>SUMIFS(Movimentacoes!$G:$G,Movimentacoes!$C:$C,$A4387,Movimentacoes!$E:$E,$C4387,Movimentacoes!$B:$B,"SAIDA_USO")</f>
        <v/>
      </c>
      <c r="I4387" s="13">
        <f>SUMIFS(Movimentacoes!$G:$G,Movimentacoes!$C:$C,$A4387,Movimentacoes!$E:$E,$C4387,Movimentacoes!$B:$B,"SAIDA_DESCARTE")</f>
        <v/>
      </c>
      <c r="J4387" s="13">
        <f>G4387-H4387-I4387</f>
        <v/>
      </c>
      <c r="K4387">
        <f>IF(A4387="","",IF(J4387&lt;=IFERROR(VLOOKUP(A4387,Cadastro_Produtos!$A:$E,5,FALSE),0),"ABAIXO DO MINIMO","OK"))</f>
        <v/>
      </c>
    </row>
    <row r="4388">
      <c r="B4388">
        <f>IFERROR(VLOOKUP(A4388,Cadastro_Produtos!A:B,2,FALSE),"")</f>
        <v/>
      </c>
      <c r="D4388" s="12" t="n"/>
      <c r="E4388" s="13">
        <f>IF(D4388="","",D4388-TODAY())</f>
        <v/>
      </c>
      <c r="F4388">
        <f>IF(D4388="","",IF(E4388&lt;0,"VENCIDO",IF(E4388&lt;=30,"VENCE EM &lt;= 30 DIAS",IF(E4388&lt;=60,"ATENCAO (31-60 DIAS)","OK"))))</f>
        <v/>
      </c>
      <c r="G4388" s="13">
        <f>SUMIFS(Movimentacoes!$G:$G,Movimentacoes!$C:$C,$A4388,Movimentacoes!$E:$E,$C4388,Movimentacoes!$B:$B,"ENTRADA")</f>
        <v/>
      </c>
      <c r="H4388" s="13">
        <f>SUMIFS(Movimentacoes!$G:$G,Movimentacoes!$C:$C,$A4388,Movimentacoes!$E:$E,$C4388,Movimentacoes!$B:$B,"SAIDA_USO")</f>
        <v/>
      </c>
      <c r="I4388" s="13">
        <f>SUMIFS(Movimentacoes!$G:$G,Movimentacoes!$C:$C,$A4388,Movimentacoes!$E:$E,$C4388,Movimentacoes!$B:$B,"SAIDA_DESCARTE")</f>
        <v/>
      </c>
      <c r="J4388" s="13">
        <f>G4388-H4388-I4388</f>
        <v/>
      </c>
      <c r="K4388">
        <f>IF(A4388="","",IF(J4388&lt;=IFERROR(VLOOKUP(A4388,Cadastro_Produtos!$A:$E,5,FALSE),0),"ABAIXO DO MINIMO","OK"))</f>
        <v/>
      </c>
    </row>
    <row r="4389">
      <c r="B4389">
        <f>IFERROR(VLOOKUP(A4389,Cadastro_Produtos!A:B,2,FALSE),"")</f>
        <v/>
      </c>
      <c r="D4389" s="12" t="n"/>
      <c r="E4389" s="13">
        <f>IF(D4389="","",D4389-TODAY())</f>
        <v/>
      </c>
      <c r="F4389">
        <f>IF(D4389="","",IF(E4389&lt;0,"VENCIDO",IF(E4389&lt;=30,"VENCE EM &lt;= 30 DIAS",IF(E4389&lt;=60,"ATENCAO (31-60 DIAS)","OK"))))</f>
        <v/>
      </c>
      <c r="G4389" s="13">
        <f>SUMIFS(Movimentacoes!$G:$G,Movimentacoes!$C:$C,$A4389,Movimentacoes!$E:$E,$C4389,Movimentacoes!$B:$B,"ENTRADA")</f>
        <v/>
      </c>
      <c r="H4389" s="13">
        <f>SUMIFS(Movimentacoes!$G:$G,Movimentacoes!$C:$C,$A4389,Movimentacoes!$E:$E,$C4389,Movimentacoes!$B:$B,"SAIDA_USO")</f>
        <v/>
      </c>
      <c r="I4389" s="13">
        <f>SUMIFS(Movimentacoes!$G:$G,Movimentacoes!$C:$C,$A4389,Movimentacoes!$E:$E,$C4389,Movimentacoes!$B:$B,"SAIDA_DESCARTE")</f>
        <v/>
      </c>
      <c r="J4389" s="13">
        <f>G4389-H4389-I4389</f>
        <v/>
      </c>
      <c r="K4389">
        <f>IF(A4389="","",IF(J4389&lt;=IFERROR(VLOOKUP(A4389,Cadastro_Produtos!$A:$E,5,FALSE),0),"ABAIXO DO MINIMO","OK"))</f>
        <v/>
      </c>
    </row>
    <row r="4390">
      <c r="B4390">
        <f>IFERROR(VLOOKUP(A4390,Cadastro_Produtos!A:B,2,FALSE),"")</f>
        <v/>
      </c>
      <c r="D4390" s="12" t="n"/>
      <c r="E4390" s="13">
        <f>IF(D4390="","",D4390-TODAY())</f>
        <v/>
      </c>
      <c r="F4390">
        <f>IF(D4390="","",IF(E4390&lt;0,"VENCIDO",IF(E4390&lt;=30,"VENCE EM &lt;= 30 DIAS",IF(E4390&lt;=60,"ATENCAO (31-60 DIAS)","OK"))))</f>
        <v/>
      </c>
      <c r="G4390" s="13">
        <f>SUMIFS(Movimentacoes!$G:$G,Movimentacoes!$C:$C,$A4390,Movimentacoes!$E:$E,$C4390,Movimentacoes!$B:$B,"ENTRADA")</f>
        <v/>
      </c>
      <c r="H4390" s="13">
        <f>SUMIFS(Movimentacoes!$G:$G,Movimentacoes!$C:$C,$A4390,Movimentacoes!$E:$E,$C4390,Movimentacoes!$B:$B,"SAIDA_USO")</f>
        <v/>
      </c>
      <c r="I4390" s="13">
        <f>SUMIFS(Movimentacoes!$G:$G,Movimentacoes!$C:$C,$A4390,Movimentacoes!$E:$E,$C4390,Movimentacoes!$B:$B,"SAIDA_DESCARTE")</f>
        <v/>
      </c>
      <c r="J4390" s="13">
        <f>G4390-H4390-I4390</f>
        <v/>
      </c>
      <c r="K4390">
        <f>IF(A4390="","",IF(J4390&lt;=IFERROR(VLOOKUP(A4390,Cadastro_Produtos!$A:$E,5,FALSE),0),"ABAIXO DO MINIMO","OK"))</f>
        <v/>
      </c>
    </row>
    <row r="4391">
      <c r="B4391">
        <f>IFERROR(VLOOKUP(A4391,Cadastro_Produtos!A:B,2,FALSE),"")</f>
        <v/>
      </c>
      <c r="D4391" s="12" t="n"/>
      <c r="E4391" s="13">
        <f>IF(D4391="","",D4391-TODAY())</f>
        <v/>
      </c>
      <c r="F4391">
        <f>IF(D4391="","",IF(E4391&lt;0,"VENCIDO",IF(E4391&lt;=30,"VENCE EM &lt;= 30 DIAS",IF(E4391&lt;=60,"ATENCAO (31-60 DIAS)","OK"))))</f>
        <v/>
      </c>
      <c r="G4391" s="13">
        <f>SUMIFS(Movimentacoes!$G:$G,Movimentacoes!$C:$C,$A4391,Movimentacoes!$E:$E,$C4391,Movimentacoes!$B:$B,"ENTRADA")</f>
        <v/>
      </c>
      <c r="H4391" s="13">
        <f>SUMIFS(Movimentacoes!$G:$G,Movimentacoes!$C:$C,$A4391,Movimentacoes!$E:$E,$C4391,Movimentacoes!$B:$B,"SAIDA_USO")</f>
        <v/>
      </c>
      <c r="I4391" s="13">
        <f>SUMIFS(Movimentacoes!$G:$G,Movimentacoes!$C:$C,$A4391,Movimentacoes!$E:$E,$C4391,Movimentacoes!$B:$B,"SAIDA_DESCARTE")</f>
        <v/>
      </c>
      <c r="J4391" s="13">
        <f>G4391-H4391-I4391</f>
        <v/>
      </c>
      <c r="K4391">
        <f>IF(A4391="","",IF(J4391&lt;=IFERROR(VLOOKUP(A4391,Cadastro_Produtos!$A:$E,5,FALSE),0),"ABAIXO DO MINIMO","OK"))</f>
        <v/>
      </c>
    </row>
    <row r="4392">
      <c r="B4392">
        <f>IFERROR(VLOOKUP(A4392,Cadastro_Produtos!A:B,2,FALSE),"")</f>
        <v/>
      </c>
      <c r="D4392" s="12" t="n"/>
      <c r="E4392" s="13">
        <f>IF(D4392="","",D4392-TODAY())</f>
        <v/>
      </c>
      <c r="F4392">
        <f>IF(D4392="","",IF(E4392&lt;0,"VENCIDO",IF(E4392&lt;=30,"VENCE EM &lt;= 30 DIAS",IF(E4392&lt;=60,"ATENCAO (31-60 DIAS)","OK"))))</f>
        <v/>
      </c>
      <c r="G4392" s="13">
        <f>SUMIFS(Movimentacoes!$G:$G,Movimentacoes!$C:$C,$A4392,Movimentacoes!$E:$E,$C4392,Movimentacoes!$B:$B,"ENTRADA")</f>
        <v/>
      </c>
      <c r="H4392" s="13">
        <f>SUMIFS(Movimentacoes!$G:$G,Movimentacoes!$C:$C,$A4392,Movimentacoes!$E:$E,$C4392,Movimentacoes!$B:$B,"SAIDA_USO")</f>
        <v/>
      </c>
      <c r="I4392" s="13">
        <f>SUMIFS(Movimentacoes!$G:$G,Movimentacoes!$C:$C,$A4392,Movimentacoes!$E:$E,$C4392,Movimentacoes!$B:$B,"SAIDA_DESCARTE")</f>
        <v/>
      </c>
      <c r="J4392" s="13">
        <f>G4392-H4392-I4392</f>
        <v/>
      </c>
      <c r="K4392">
        <f>IF(A4392="","",IF(J4392&lt;=IFERROR(VLOOKUP(A4392,Cadastro_Produtos!$A:$E,5,FALSE),0),"ABAIXO DO MINIMO","OK"))</f>
        <v/>
      </c>
    </row>
    <row r="4393">
      <c r="B4393">
        <f>IFERROR(VLOOKUP(A4393,Cadastro_Produtos!A:B,2,FALSE),"")</f>
        <v/>
      </c>
      <c r="D4393" s="12" t="n"/>
      <c r="E4393" s="13">
        <f>IF(D4393="","",D4393-TODAY())</f>
        <v/>
      </c>
      <c r="F4393">
        <f>IF(D4393="","",IF(E4393&lt;0,"VENCIDO",IF(E4393&lt;=30,"VENCE EM &lt;= 30 DIAS",IF(E4393&lt;=60,"ATENCAO (31-60 DIAS)","OK"))))</f>
        <v/>
      </c>
      <c r="G4393" s="13">
        <f>SUMIFS(Movimentacoes!$G:$G,Movimentacoes!$C:$C,$A4393,Movimentacoes!$E:$E,$C4393,Movimentacoes!$B:$B,"ENTRADA")</f>
        <v/>
      </c>
      <c r="H4393" s="13">
        <f>SUMIFS(Movimentacoes!$G:$G,Movimentacoes!$C:$C,$A4393,Movimentacoes!$E:$E,$C4393,Movimentacoes!$B:$B,"SAIDA_USO")</f>
        <v/>
      </c>
      <c r="I4393" s="13">
        <f>SUMIFS(Movimentacoes!$G:$G,Movimentacoes!$C:$C,$A4393,Movimentacoes!$E:$E,$C4393,Movimentacoes!$B:$B,"SAIDA_DESCARTE")</f>
        <v/>
      </c>
      <c r="J4393" s="13">
        <f>G4393-H4393-I4393</f>
        <v/>
      </c>
      <c r="K4393">
        <f>IF(A4393="","",IF(J4393&lt;=IFERROR(VLOOKUP(A4393,Cadastro_Produtos!$A:$E,5,FALSE),0),"ABAIXO DO MINIMO","OK"))</f>
        <v/>
      </c>
    </row>
    <row r="4394">
      <c r="B4394">
        <f>IFERROR(VLOOKUP(A4394,Cadastro_Produtos!A:B,2,FALSE),"")</f>
        <v/>
      </c>
      <c r="D4394" s="12" t="n"/>
      <c r="E4394" s="13">
        <f>IF(D4394="","",D4394-TODAY())</f>
        <v/>
      </c>
      <c r="F4394">
        <f>IF(D4394="","",IF(E4394&lt;0,"VENCIDO",IF(E4394&lt;=30,"VENCE EM &lt;= 30 DIAS",IF(E4394&lt;=60,"ATENCAO (31-60 DIAS)","OK"))))</f>
        <v/>
      </c>
      <c r="G4394" s="13">
        <f>SUMIFS(Movimentacoes!$G:$G,Movimentacoes!$C:$C,$A4394,Movimentacoes!$E:$E,$C4394,Movimentacoes!$B:$B,"ENTRADA")</f>
        <v/>
      </c>
      <c r="H4394" s="13">
        <f>SUMIFS(Movimentacoes!$G:$G,Movimentacoes!$C:$C,$A4394,Movimentacoes!$E:$E,$C4394,Movimentacoes!$B:$B,"SAIDA_USO")</f>
        <v/>
      </c>
      <c r="I4394" s="13">
        <f>SUMIFS(Movimentacoes!$G:$G,Movimentacoes!$C:$C,$A4394,Movimentacoes!$E:$E,$C4394,Movimentacoes!$B:$B,"SAIDA_DESCARTE")</f>
        <v/>
      </c>
      <c r="J4394" s="13">
        <f>G4394-H4394-I4394</f>
        <v/>
      </c>
      <c r="K4394">
        <f>IF(A4394="","",IF(J4394&lt;=IFERROR(VLOOKUP(A4394,Cadastro_Produtos!$A:$E,5,FALSE),0),"ABAIXO DO MINIMO","OK"))</f>
        <v/>
      </c>
    </row>
    <row r="4395">
      <c r="B4395">
        <f>IFERROR(VLOOKUP(A4395,Cadastro_Produtos!A:B,2,FALSE),"")</f>
        <v/>
      </c>
      <c r="D4395" s="12" t="n"/>
      <c r="E4395" s="13">
        <f>IF(D4395="","",D4395-TODAY())</f>
        <v/>
      </c>
      <c r="F4395">
        <f>IF(D4395="","",IF(E4395&lt;0,"VENCIDO",IF(E4395&lt;=30,"VENCE EM &lt;= 30 DIAS",IF(E4395&lt;=60,"ATENCAO (31-60 DIAS)","OK"))))</f>
        <v/>
      </c>
      <c r="G4395" s="13">
        <f>SUMIFS(Movimentacoes!$G:$G,Movimentacoes!$C:$C,$A4395,Movimentacoes!$E:$E,$C4395,Movimentacoes!$B:$B,"ENTRADA")</f>
        <v/>
      </c>
      <c r="H4395" s="13">
        <f>SUMIFS(Movimentacoes!$G:$G,Movimentacoes!$C:$C,$A4395,Movimentacoes!$E:$E,$C4395,Movimentacoes!$B:$B,"SAIDA_USO")</f>
        <v/>
      </c>
      <c r="I4395" s="13">
        <f>SUMIFS(Movimentacoes!$G:$G,Movimentacoes!$C:$C,$A4395,Movimentacoes!$E:$E,$C4395,Movimentacoes!$B:$B,"SAIDA_DESCARTE")</f>
        <v/>
      </c>
      <c r="J4395" s="13">
        <f>G4395-H4395-I4395</f>
        <v/>
      </c>
      <c r="K4395">
        <f>IF(A4395="","",IF(J4395&lt;=IFERROR(VLOOKUP(A4395,Cadastro_Produtos!$A:$E,5,FALSE),0),"ABAIXO DO MINIMO","OK"))</f>
        <v/>
      </c>
    </row>
    <row r="4396">
      <c r="B4396">
        <f>IFERROR(VLOOKUP(A4396,Cadastro_Produtos!A:B,2,FALSE),"")</f>
        <v/>
      </c>
      <c r="D4396" s="12" t="n"/>
      <c r="E4396" s="13">
        <f>IF(D4396="","",D4396-TODAY())</f>
        <v/>
      </c>
      <c r="F4396">
        <f>IF(D4396="","",IF(E4396&lt;0,"VENCIDO",IF(E4396&lt;=30,"VENCE EM &lt;= 30 DIAS",IF(E4396&lt;=60,"ATENCAO (31-60 DIAS)","OK"))))</f>
        <v/>
      </c>
      <c r="G4396" s="13">
        <f>SUMIFS(Movimentacoes!$G:$G,Movimentacoes!$C:$C,$A4396,Movimentacoes!$E:$E,$C4396,Movimentacoes!$B:$B,"ENTRADA")</f>
        <v/>
      </c>
      <c r="H4396" s="13">
        <f>SUMIFS(Movimentacoes!$G:$G,Movimentacoes!$C:$C,$A4396,Movimentacoes!$E:$E,$C4396,Movimentacoes!$B:$B,"SAIDA_USO")</f>
        <v/>
      </c>
      <c r="I4396" s="13">
        <f>SUMIFS(Movimentacoes!$G:$G,Movimentacoes!$C:$C,$A4396,Movimentacoes!$E:$E,$C4396,Movimentacoes!$B:$B,"SAIDA_DESCARTE")</f>
        <v/>
      </c>
      <c r="J4396" s="13">
        <f>G4396-H4396-I4396</f>
        <v/>
      </c>
      <c r="K4396">
        <f>IF(A4396="","",IF(J4396&lt;=IFERROR(VLOOKUP(A4396,Cadastro_Produtos!$A:$E,5,FALSE),0),"ABAIXO DO MINIMO","OK"))</f>
        <v/>
      </c>
    </row>
    <row r="4397">
      <c r="B4397">
        <f>IFERROR(VLOOKUP(A4397,Cadastro_Produtos!A:B,2,FALSE),"")</f>
        <v/>
      </c>
      <c r="D4397" s="12" t="n"/>
      <c r="E4397" s="13">
        <f>IF(D4397="","",D4397-TODAY())</f>
        <v/>
      </c>
      <c r="F4397">
        <f>IF(D4397="","",IF(E4397&lt;0,"VENCIDO",IF(E4397&lt;=30,"VENCE EM &lt;= 30 DIAS",IF(E4397&lt;=60,"ATENCAO (31-60 DIAS)","OK"))))</f>
        <v/>
      </c>
      <c r="G4397" s="13">
        <f>SUMIFS(Movimentacoes!$G:$G,Movimentacoes!$C:$C,$A4397,Movimentacoes!$E:$E,$C4397,Movimentacoes!$B:$B,"ENTRADA")</f>
        <v/>
      </c>
      <c r="H4397" s="13">
        <f>SUMIFS(Movimentacoes!$G:$G,Movimentacoes!$C:$C,$A4397,Movimentacoes!$E:$E,$C4397,Movimentacoes!$B:$B,"SAIDA_USO")</f>
        <v/>
      </c>
      <c r="I4397" s="13">
        <f>SUMIFS(Movimentacoes!$G:$G,Movimentacoes!$C:$C,$A4397,Movimentacoes!$E:$E,$C4397,Movimentacoes!$B:$B,"SAIDA_DESCARTE")</f>
        <v/>
      </c>
      <c r="J4397" s="13">
        <f>G4397-H4397-I4397</f>
        <v/>
      </c>
      <c r="K4397">
        <f>IF(A4397="","",IF(J4397&lt;=IFERROR(VLOOKUP(A4397,Cadastro_Produtos!$A:$E,5,FALSE),0),"ABAIXO DO MINIMO","OK"))</f>
        <v/>
      </c>
    </row>
    <row r="4398">
      <c r="B4398">
        <f>IFERROR(VLOOKUP(A4398,Cadastro_Produtos!A:B,2,FALSE),"")</f>
        <v/>
      </c>
      <c r="D4398" s="12" t="n"/>
      <c r="E4398" s="13">
        <f>IF(D4398="","",D4398-TODAY())</f>
        <v/>
      </c>
      <c r="F4398">
        <f>IF(D4398="","",IF(E4398&lt;0,"VENCIDO",IF(E4398&lt;=30,"VENCE EM &lt;= 30 DIAS",IF(E4398&lt;=60,"ATENCAO (31-60 DIAS)","OK"))))</f>
        <v/>
      </c>
      <c r="G4398" s="13">
        <f>SUMIFS(Movimentacoes!$G:$G,Movimentacoes!$C:$C,$A4398,Movimentacoes!$E:$E,$C4398,Movimentacoes!$B:$B,"ENTRADA")</f>
        <v/>
      </c>
      <c r="H4398" s="13">
        <f>SUMIFS(Movimentacoes!$G:$G,Movimentacoes!$C:$C,$A4398,Movimentacoes!$E:$E,$C4398,Movimentacoes!$B:$B,"SAIDA_USO")</f>
        <v/>
      </c>
      <c r="I4398" s="13">
        <f>SUMIFS(Movimentacoes!$G:$G,Movimentacoes!$C:$C,$A4398,Movimentacoes!$E:$E,$C4398,Movimentacoes!$B:$B,"SAIDA_DESCARTE")</f>
        <v/>
      </c>
      <c r="J4398" s="13">
        <f>G4398-H4398-I4398</f>
        <v/>
      </c>
      <c r="K4398">
        <f>IF(A4398="","",IF(J4398&lt;=IFERROR(VLOOKUP(A4398,Cadastro_Produtos!$A:$E,5,FALSE),0),"ABAIXO DO MINIMO","OK"))</f>
        <v/>
      </c>
    </row>
    <row r="4399">
      <c r="B4399">
        <f>IFERROR(VLOOKUP(A4399,Cadastro_Produtos!A:B,2,FALSE),"")</f>
        <v/>
      </c>
      <c r="D4399" s="12" t="n"/>
      <c r="E4399" s="13">
        <f>IF(D4399="","",D4399-TODAY())</f>
        <v/>
      </c>
      <c r="F4399">
        <f>IF(D4399="","",IF(E4399&lt;0,"VENCIDO",IF(E4399&lt;=30,"VENCE EM &lt;= 30 DIAS",IF(E4399&lt;=60,"ATENCAO (31-60 DIAS)","OK"))))</f>
        <v/>
      </c>
      <c r="G4399" s="13">
        <f>SUMIFS(Movimentacoes!$G:$G,Movimentacoes!$C:$C,$A4399,Movimentacoes!$E:$E,$C4399,Movimentacoes!$B:$B,"ENTRADA")</f>
        <v/>
      </c>
      <c r="H4399" s="13">
        <f>SUMIFS(Movimentacoes!$G:$G,Movimentacoes!$C:$C,$A4399,Movimentacoes!$E:$E,$C4399,Movimentacoes!$B:$B,"SAIDA_USO")</f>
        <v/>
      </c>
      <c r="I4399" s="13">
        <f>SUMIFS(Movimentacoes!$G:$G,Movimentacoes!$C:$C,$A4399,Movimentacoes!$E:$E,$C4399,Movimentacoes!$B:$B,"SAIDA_DESCARTE")</f>
        <v/>
      </c>
      <c r="J4399" s="13">
        <f>G4399-H4399-I4399</f>
        <v/>
      </c>
      <c r="K4399">
        <f>IF(A4399="","",IF(J4399&lt;=IFERROR(VLOOKUP(A4399,Cadastro_Produtos!$A:$E,5,FALSE),0),"ABAIXO DO MINIMO","OK"))</f>
        <v/>
      </c>
    </row>
    <row r="4400">
      <c r="B4400">
        <f>IFERROR(VLOOKUP(A4400,Cadastro_Produtos!A:B,2,FALSE),"")</f>
        <v/>
      </c>
      <c r="D4400" s="12" t="n"/>
      <c r="E4400" s="13">
        <f>IF(D4400="","",D4400-TODAY())</f>
        <v/>
      </c>
      <c r="F4400">
        <f>IF(D4400="","",IF(E4400&lt;0,"VENCIDO",IF(E4400&lt;=30,"VENCE EM &lt;= 30 DIAS",IF(E4400&lt;=60,"ATENCAO (31-60 DIAS)","OK"))))</f>
        <v/>
      </c>
      <c r="G4400" s="13">
        <f>SUMIFS(Movimentacoes!$G:$G,Movimentacoes!$C:$C,$A4400,Movimentacoes!$E:$E,$C4400,Movimentacoes!$B:$B,"ENTRADA")</f>
        <v/>
      </c>
      <c r="H4400" s="13">
        <f>SUMIFS(Movimentacoes!$G:$G,Movimentacoes!$C:$C,$A4400,Movimentacoes!$E:$E,$C4400,Movimentacoes!$B:$B,"SAIDA_USO")</f>
        <v/>
      </c>
      <c r="I4400" s="13">
        <f>SUMIFS(Movimentacoes!$G:$G,Movimentacoes!$C:$C,$A4400,Movimentacoes!$E:$E,$C4400,Movimentacoes!$B:$B,"SAIDA_DESCARTE")</f>
        <v/>
      </c>
      <c r="J4400" s="13">
        <f>G4400-H4400-I4400</f>
        <v/>
      </c>
      <c r="K4400">
        <f>IF(A4400="","",IF(J4400&lt;=IFERROR(VLOOKUP(A4400,Cadastro_Produtos!$A:$E,5,FALSE),0),"ABAIXO DO MINIMO","OK"))</f>
        <v/>
      </c>
    </row>
    <row r="4401">
      <c r="B4401">
        <f>IFERROR(VLOOKUP(A4401,Cadastro_Produtos!A:B,2,FALSE),"")</f>
        <v/>
      </c>
      <c r="D4401" s="12" t="n"/>
      <c r="E4401" s="13">
        <f>IF(D4401="","",D4401-TODAY())</f>
        <v/>
      </c>
      <c r="F4401">
        <f>IF(D4401="","",IF(E4401&lt;0,"VENCIDO",IF(E4401&lt;=30,"VENCE EM &lt;= 30 DIAS",IF(E4401&lt;=60,"ATENCAO (31-60 DIAS)","OK"))))</f>
        <v/>
      </c>
      <c r="G4401" s="13">
        <f>SUMIFS(Movimentacoes!$G:$G,Movimentacoes!$C:$C,$A4401,Movimentacoes!$E:$E,$C4401,Movimentacoes!$B:$B,"ENTRADA")</f>
        <v/>
      </c>
      <c r="H4401" s="13">
        <f>SUMIFS(Movimentacoes!$G:$G,Movimentacoes!$C:$C,$A4401,Movimentacoes!$E:$E,$C4401,Movimentacoes!$B:$B,"SAIDA_USO")</f>
        <v/>
      </c>
      <c r="I4401" s="13">
        <f>SUMIFS(Movimentacoes!$G:$G,Movimentacoes!$C:$C,$A4401,Movimentacoes!$E:$E,$C4401,Movimentacoes!$B:$B,"SAIDA_DESCARTE")</f>
        <v/>
      </c>
      <c r="J4401" s="13">
        <f>G4401-H4401-I4401</f>
        <v/>
      </c>
      <c r="K4401">
        <f>IF(A4401="","",IF(J4401&lt;=IFERROR(VLOOKUP(A4401,Cadastro_Produtos!$A:$E,5,FALSE),0),"ABAIXO DO MINIMO","OK"))</f>
        <v/>
      </c>
    </row>
    <row r="4402">
      <c r="B4402">
        <f>IFERROR(VLOOKUP(A4402,Cadastro_Produtos!A:B,2,FALSE),"")</f>
        <v/>
      </c>
      <c r="D4402" s="12" t="n"/>
      <c r="E4402" s="13">
        <f>IF(D4402="","",D4402-TODAY())</f>
        <v/>
      </c>
      <c r="F4402">
        <f>IF(D4402="","",IF(E4402&lt;0,"VENCIDO",IF(E4402&lt;=30,"VENCE EM &lt;= 30 DIAS",IF(E4402&lt;=60,"ATENCAO (31-60 DIAS)","OK"))))</f>
        <v/>
      </c>
      <c r="G4402" s="13">
        <f>SUMIFS(Movimentacoes!$G:$G,Movimentacoes!$C:$C,$A4402,Movimentacoes!$E:$E,$C4402,Movimentacoes!$B:$B,"ENTRADA")</f>
        <v/>
      </c>
      <c r="H4402" s="13">
        <f>SUMIFS(Movimentacoes!$G:$G,Movimentacoes!$C:$C,$A4402,Movimentacoes!$E:$E,$C4402,Movimentacoes!$B:$B,"SAIDA_USO")</f>
        <v/>
      </c>
      <c r="I4402" s="13">
        <f>SUMIFS(Movimentacoes!$G:$G,Movimentacoes!$C:$C,$A4402,Movimentacoes!$E:$E,$C4402,Movimentacoes!$B:$B,"SAIDA_DESCARTE")</f>
        <v/>
      </c>
      <c r="J4402" s="13">
        <f>G4402-H4402-I4402</f>
        <v/>
      </c>
      <c r="K4402">
        <f>IF(A4402="","",IF(J4402&lt;=IFERROR(VLOOKUP(A4402,Cadastro_Produtos!$A:$E,5,FALSE),0),"ABAIXO DO MINIMO","OK"))</f>
        <v/>
      </c>
    </row>
    <row r="4403">
      <c r="B4403">
        <f>IFERROR(VLOOKUP(A4403,Cadastro_Produtos!A:B,2,FALSE),"")</f>
        <v/>
      </c>
      <c r="D4403" s="12" t="n"/>
      <c r="E4403" s="13">
        <f>IF(D4403="","",D4403-TODAY())</f>
        <v/>
      </c>
      <c r="F4403">
        <f>IF(D4403="","",IF(E4403&lt;0,"VENCIDO",IF(E4403&lt;=30,"VENCE EM &lt;= 30 DIAS",IF(E4403&lt;=60,"ATENCAO (31-60 DIAS)","OK"))))</f>
        <v/>
      </c>
      <c r="G4403" s="13">
        <f>SUMIFS(Movimentacoes!$G:$G,Movimentacoes!$C:$C,$A4403,Movimentacoes!$E:$E,$C4403,Movimentacoes!$B:$B,"ENTRADA")</f>
        <v/>
      </c>
      <c r="H4403" s="13">
        <f>SUMIFS(Movimentacoes!$G:$G,Movimentacoes!$C:$C,$A4403,Movimentacoes!$E:$E,$C4403,Movimentacoes!$B:$B,"SAIDA_USO")</f>
        <v/>
      </c>
      <c r="I4403" s="13">
        <f>SUMIFS(Movimentacoes!$G:$G,Movimentacoes!$C:$C,$A4403,Movimentacoes!$E:$E,$C4403,Movimentacoes!$B:$B,"SAIDA_DESCARTE")</f>
        <v/>
      </c>
      <c r="J4403" s="13">
        <f>G4403-H4403-I4403</f>
        <v/>
      </c>
      <c r="K4403">
        <f>IF(A4403="","",IF(J4403&lt;=IFERROR(VLOOKUP(A4403,Cadastro_Produtos!$A:$E,5,FALSE),0),"ABAIXO DO MINIMO","OK"))</f>
        <v/>
      </c>
    </row>
    <row r="4404">
      <c r="B4404">
        <f>IFERROR(VLOOKUP(A4404,Cadastro_Produtos!A:B,2,FALSE),"")</f>
        <v/>
      </c>
      <c r="D4404" s="12" t="n"/>
      <c r="E4404" s="13">
        <f>IF(D4404="","",D4404-TODAY())</f>
        <v/>
      </c>
      <c r="F4404">
        <f>IF(D4404="","",IF(E4404&lt;0,"VENCIDO",IF(E4404&lt;=30,"VENCE EM &lt;= 30 DIAS",IF(E4404&lt;=60,"ATENCAO (31-60 DIAS)","OK"))))</f>
        <v/>
      </c>
      <c r="G4404" s="13">
        <f>SUMIFS(Movimentacoes!$G:$G,Movimentacoes!$C:$C,$A4404,Movimentacoes!$E:$E,$C4404,Movimentacoes!$B:$B,"ENTRADA")</f>
        <v/>
      </c>
      <c r="H4404" s="13">
        <f>SUMIFS(Movimentacoes!$G:$G,Movimentacoes!$C:$C,$A4404,Movimentacoes!$E:$E,$C4404,Movimentacoes!$B:$B,"SAIDA_USO")</f>
        <v/>
      </c>
      <c r="I4404" s="13">
        <f>SUMIFS(Movimentacoes!$G:$G,Movimentacoes!$C:$C,$A4404,Movimentacoes!$E:$E,$C4404,Movimentacoes!$B:$B,"SAIDA_DESCARTE")</f>
        <v/>
      </c>
      <c r="J4404" s="13">
        <f>G4404-H4404-I4404</f>
        <v/>
      </c>
      <c r="K4404">
        <f>IF(A4404="","",IF(J4404&lt;=IFERROR(VLOOKUP(A4404,Cadastro_Produtos!$A:$E,5,FALSE),0),"ABAIXO DO MINIMO","OK"))</f>
        <v/>
      </c>
    </row>
    <row r="4405">
      <c r="B4405">
        <f>IFERROR(VLOOKUP(A4405,Cadastro_Produtos!A:B,2,FALSE),"")</f>
        <v/>
      </c>
      <c r="D4405" s="12" t="n"/>
      <c r="E4405" s="13">
        <f>IF(D4405="","",D4405-TODAY())</f>
        <v/>
      </c>
      <c r="F4405">
        <f>IF(D4405="","",IF(E4405&lt;0,"VENCIDO",IF(E4405&lt;=30,"VENCE EM &lt;= 30 DIAS",IF(E4405&lt;=60,"ATENCAO (31-60 DIAS)","OK"))))</f>
        <v/>
      </c>
      <c r="G4405" s="13">
        <f>SUMIFS(Movimentacoes!$G:$G,Movimentacoes!$C:$C,$A4405,Movimentacoes!$E:$E,$C4405,Movimentacoes!$B:$B,"ENTRADA")</f>
        <v/>
      </c>
      <c r="H4405" s="13">
        <f>SUMIFS(Movimentacoes!$G:$G,Movimentacoes!$C:$C,$A4405,Movimentacoes!$E:$E,$C4405,Movimentacoes!$B:$B,"SAIDA_USO")</f>
        <v/>
      </c>
      <c r="I4405" s="13">
        <f>SUMIFS(Movimentacoes!$G:$G,Movimentacoes!$C:$C,$A4405,Movimentacoes!$E:$E,$C4405,Movimentacoes!$B:$B,"SAIDA_DESCARTE")</f>
        <v/>
      </c>
      <c r="J4405" s="13">
        <f>G4405-H4405-I4405</f>
        <v/>
      </c>
      <c r="K4405">
        <f>IF(A4405="","",IF(J4405&lt;=IFERROR(VLOOKUP(A4405,Cadastro_Produtos!$A:$E,5,FALSE),0),"ABAIXO DO MINIMO","OK"))</f>
        <v/>
      </c>
    </row>
    <row r="4406">
      <c r="B4406">
        <f>IFERROR(VLOOKUP(A4406,Cadastro_Produtos!A:B,2,FALSE),"")</f>
        <v/>
      </c>
      <c r="D4406" s="12" t="n"/>
      <c r="E4406" s="13">
        <f>IF(D4406="","",D4406-TODAY())</f>
        <v/>
      </c>
      <c r="F4406">
        <f>IF(D4406="","",IF(E4406&lt;0,"VENCIDO",IF(E4406&lt;=30,"VENCE EM &lt;= 30 DIAS",IF(E4406&lt;=60,"ATENCAO (31-60 DIAS)","OK"))))</f>
        <v/>
      </c>
      <c r="G4406" s="13">
        <f>SUMIFS(Movimentacoes!$G:$G,Movimentacoes!$C:$C,$A4406,Movimentacoes!$E:$E,$C4406,Movimentacoes!$B:$B,"ENTRADA")</f>
        <v/>
      </c>
      <c r="H4406" s="13">
        <f>SUMIFS(Movimentacoes!$G:$G,Movimentacoes!$C:$C,$A4406,Movimentacoes!$E:$E,$C4406,Movimentacoes!$B:$B,"SAIDA_USO")</f>
        <v/>
      </c>
      <c r="I4406" s="13">
        <f>SUMIFS(Movimentacoes!$G:$G,Movimentacoes!$C:$C,$A4406,Movimentacoes!$E:$E,$C4406,Movimentacoes!$B:$B,"SAIDA_DESCARTE")</f>
        <v/>
      </c>
      <c r="J4406" s="13">
        <f>G4406-H4406-I4406</f>
        <v/>
      </c>
      <c r="K4406">
        <f>IF(A4406="","",IF(J4406&lt;=IFERROR(VLOOKUP(A4406,Cadastro_Produtos!$A:$E,5,FALSE),0),"ABAIXO DO MINIMO","OK"))</f>
        <v/>
      </c>
    </row>
    <row r="4407">
      <c r="B4407">
        <f>IFERROR(VLOOKUP(A4407,Cadastro_Produtos!A:B,2,FALSE),"")</f>
        <v/>
      </c>
      <c r="D4407" s="12" t="n"/>
      <c r="E4407" s="13">
        <f>IF(D4407="","",D4407-TODAY())</f>
        <v/>
      </c>
      <c r="F4407">
        <f>IF(D4407="","",IF(E4407&lt;0,"VENCIDO",IF(E4407&lt;=30,"VENCE EM &lt;= 30 DIAS",IF(E4407&lt;=60,"ATENCAO (31-60 DIAS)","OK"))))</f>
        <v/>
      </c>
      <c r="G4407" s="13">
        <f>SUMIFS(Movimentacoes!$G:$G,Movimentacoes!$C:$C,$A4407,Movimentacoes!$E:$E,$C4407,Movimentacoes!$B:$B,"ENTRADA")</f>
        <v/>
      </c>
      <c r="H4407" s="13">
        <f>SUMIFS(Movimentacoes!$G:$G,Movimentacoes!$C:$C,$A4407,Movimentacoes!$E:$E,$C4407,Movimentacoes!$B:$B,"SAIDA_USO")</f>
        <v/>
      </c>
      <c r="I4407" s="13">
        <f>SUMIFS(Movimentacoes!$G:$G,Movimentacoes!$C:$C,$A4407,Movimentacoes!$E:$E,$C4407,Movimentacoes!$B:$B,"SAIDA_DESCARTE")</f>
        <v/>
      </c>
      <c r="J4407" s="13">
        <f>G4407-H4407-I4407</f>
        <v/>
      </c>
      <c r="K4407">
        <f>IF(A4407="","",IF(J4407&lt;=IFERROR(VLOOKUP(A4407,Cadastro_Produtos!$A:$E,5,FALSE),0),"ABAIXO DO MINIMO","OK"))</f>
        <v/>
      </c>
    </row>
    <row r="4408">
      <c r="B4408">
        <f>IFERROR(VLOOKUP(A4408,Cadastro_Produtos!A:B,2,FALSE),"")</f>
        <v/>
      </c>
      <c r="D4408" s="12" t="n"/>
      <c r="E4408" s="13">
        <f>IF(D4408="","",D4408-TODAY())</f>
        <v/>
      </c>
      <c r="F4408">
        <f>IF(D4408="","",IF(E4408&lt;0,"VENCIDO",IF(E4408&lt;=30,"VENCE EM &lt;= 30 DIAS",IF(E4408&lt;=60,"ATENCAO (31-60 DIAS)","OK"))))</f>
        <v/>
      </c>
      <c r="G4408" s="13">
        <f>SUMIFS(Movimentacoes!$G:$G,Movimentacoes!$C:$C,$A4408,Movimentacoes!$E:$E,$C4408,Movimentacoes!$B:$B,"ENTRADA")</f>
        <v/>
      </c>
      <c r="H4408" s="13">
        <f>SUMIFS(Movimentacoes!$G:$G,Movimentacoes!$C:$C,$A4408,Movimentacoes!$E:$E,$C4408,Movimentacoes!$B:$B,"SAIDA_USO")</f>
        <v/>
      </c>
      <c r="I4408" s="13">
        <f>SUMIFS(Movimentacoes!$G:$G,Movimentacoes!$C:$C,$A4408,Movimentacoes!$E:$E,$C4408,Movimentacoes!$B:$B,"SAIDA_DESCARTE")</f>
        <v/>
      </c>
      <c r="J4408" s="13">
        <f>G4408-H4408-I4408</f>
        <v/>
      </c>
      <c r="K4408">
        <f>IF(A4408="","",IF(J4408&lt;=IFERROR(VLOOKUP(A4408,Cadastro_Produtos!$A:$E,5,FALSE),0),"ABAIXO DO MINIMO","OK"))</f>
        <v/>
      </c>
    </row>
    <row r="4409">
      <c r="B4409">
        <f>IFERROR(VLOOKUP(A4409,Cadastro_Produtos!A:B,2,FALSE),"")</f>
        <v/>
      </c>
      <c r="D4409" s="12" t="n"/>
      <c r="E4409" s="13">
        <f>IF(D4409="","",D4409-TODAY())</f>
        <v/>
      </c>
      <c r="F4409">
        <f>IF(D4409="","",IF(E4409&lt;0,"VENCIDO",IF(E4409&lt;=30,"VENCE EM &lt;= 30 DIAS",IF(E4409&lt;=60,"ATENCAO (31-60 DIAS)","OK"))))</f>
        <v/>
      </c>
      <c r="G4409" s="13">
        <f>SUMIFS(Movimentacoes!$G:$G,Movimentacoes!$C:$C,$A4409,Movimentacoes!$E:$E,$C4409,Movimentacoes!$B:$B,"ENTRADA")</f>
        <v/>
      </c>
      <c r="H4409" s="13">
        <f>SUMIFS(Movimentacoes!$G:$G,Movimentacoes!$C:$C,$A4409,Movimentacoes!$E:$E,$C4409,Movimentacoes!$B:$B,"SAIDA_USO")</f>
        <v/>
      </c>
      <c r="I4409" s="13">
        <f>SUMIFS(Movimentacoes!$G:$G,Movimentacoes!$C:$C,$A4409,Movimentacoes!$E:$E,$C4409,Movimentacoes!$B:$B,"SAIDA_DESCARTE")</f>
        <v/>
      </c>
      <c r="J4409" s="13">
        <f>G4409-H4409-I4409</f>
        <v/>
      </c>
      <c r="K4409">
        <f>IF(A4409="","",IF(J4409&lt;=IFERROR(VLOOKUP(A4409,Cadastro_Produtos!$A:$E,5,FALSE),0),"ABAIXO DO MINIMO","OK"))</f>
        <v/>
      </c>
    </row>
    <row r="4410">
      <c r="B4410">
        <f>IFERROR(VLOOKUP(A4410,Cadastro_Produtos!A:B,2,FALSE),"")</f>
        <v/>
      </c>
      <c r="D4410" s="12" t="n"/>
      <c r="E4410" s="13">
        <f>IF(D4410="","",D4410-TODAY())</f>
        <v/>
      </c>
      <c r="F4410">
        <f>IF(D4410="","",IF(E4410&lt;0,"VENCIDO",IF(E4410&lt;=30,"VENCE EM &lt;= 30 DIAS",IF(E4410&lt;=60,"ATENCAO (31-60 DIAS)","OK"))))</f>
        <v/>
      </c>
      <c r="G4410" s="13">
        <f>SUMIFS(Movimentacoes!$G:$G,Movimentacoes!$C:$C,$A4410,Movimentacoes!$E:$E,$C4410,Movimentacoes!$B:$B,"ENTRADA")</f>
        <v/>
      </c>
      <c r="H4410" s="13">
        <f>SUMIFS(Movimentacoes!$G:$G,Movimentacoes!$C:$C,$A4410,Movimentacoes!$E:$E,$C4410,Movimentacoes!$B:$B,"SAIDA_USO")</f>
        <v/>
      </c>
      <c r="I4410" s="13">
        <f>SUMIFS(Movimentacoes!$G:$G,Movimentacoes!$C:$C,$A4410,Movimentacoes!$E:$E,$C4410,Movimentacoes!$B:$B,"SAIDA_DESCARTE")</f>
        <v/>
      </c>
      <c r="J4410" s="13">
        <f>G4410-H4410-I4410</f>
        <v/>
      </c>
      <c r="K4410">
        <f>IF(A4410="","",IF(J4410&lt;=IFERROR(VLOOKUP(A4410,Cadastro_Produtos!$A:$E,5,FALSE),0),"ABAIXO DO MINIMO","OK"))</f>
        <v/>
      </c>
    </row>
    <row r="4411">
      <c r="B4411">
        <f>IFERROR(VLOOKUP(A4411,Cadastro_Produtos!A:B,2,FALSE),"")</f>
        <v/>
      </c>
      <c r="D4411" s="12" t="n"/>
      <c r="E4411" s="13">
        <f>IF(D4411="","",D4411-TODAY())</f>
        <v/>
      </c>
      <c r="F4411">
        <f>IF(D4411="","",IF(E4411&lt;0,"VENCIDO",IF(E4411&lt;=30,"VENCE EM &lt;= 30 DIAS",IF(E4411&lt;=60,"ATENCAO (31-60 DIAS)","OK"))))</f>
        <v/>
      </c>
      <c r="G4411" s="13">
        <f>SUMIFS(Movimentacoes!$G:$G,Movimentacoes!$C:$C,$A4411,Movimentacoes!$E:$E,$C4411,Movimentacoes!$B:$B,"ENTRADA")</f>
        <v/>
      </c>
      <c r="H4411" s="13">
        <f>SUMIFS(Movimentacoes!$G:$G,Movimentacoes!$C:$C,$A4411,Movimentacoes!$E:$E,$C4411,Movimentacoes!$B:$B,"SAIDA_USO")</f>
        <v/>
      </c>
      <c r="I4411" s="13">
        <f>SUMIFS(Movimentacoes!$G:$G,Movimentacoes!$C:$C,$A4411,Movimentacoes!$E:$E,$C4411,Movimentacoes!$B:$B,"SAIDA_DESCARTE")</f>
        <v/>
      </c>
      <c r="J4411" s="13">
        <f>G4411-H4411-I4411</f>
        <v/>
      </c>
      <c r="K4411">
        <f>IF(A4411="","",IF(J4411&lt;=IFERROR(VLOOKUP(A4411,Cadastro_Produtos!$A:$E,5,FALSE),0),"ABAIXO DO MINIMO","OK"))</f>
        <v/>
      </c>
    </row>
    <row r="4412">
      <c r="B4412">
        <f>IFERROR(VLOOKUP(A4412,Cadastro_Produtos!A:B,2,FALSE),"")</f>
        <v/>
      </c>
      <c r="D4412" s="12" t="n"/>
      <c r="E4412" s="13">
        <f>IF(D4412="","",D4412-TODAY())</f>
        <v/>
      </c>
      <c r="F4412">
        <f>IF(D4412="","",IF(E4412&lt;0,"VENCIDO",IF(E4412&lt;=30,"VENCE EM &lt;= 30 DIAS",IF(E4412&lt;=60,"ATENCAO (31-60 DIAS)","OK"))))</f>
        <v/>
      </c>
      <c r="G4412" s="13">
        <f>SUMIFS(Movimentacoes!$G:$G,Movimentacoes!$C:$C,$A4412,Movimentacoes!$E:$E,$C4412,Movimentacoes!$B:$B,"ENTRADA")</f>
        <v/>
      </c>
      <c r="H4412" s="13">
        <f>SUMIFS(Movimentacoes!$G:$G,Movimentacoes!$C:$C,$A4412,Movimentacoes!$E:$E,$C4412,Movimentacoes!$B:$B,"SAIDA_USO")</f>
        <v/>
      </c>
      <c r="I4412" s="13">
        <f>SUMIFS(Movimentacoes!$G:$G,Movimentacoes!$C:$C,$A4412,Movimentacoes!$E:$E,$C4412,Movimentacoes!$B:$B,"SAIDA_DESCARTE")</f>
        <v/>
      </c>
      <c r="J4412" s="13">
        <f>G4412-H4412-I4412</f>
        <v/>
      </c>
      <c r="K4412">
        <f>IF(A4412="","",IF(J4412&lt;=IFERROR(VLOOKUP(A4412,Cadastro_Produtos!$A:$E,5,FALSE),0),"ABAIXO DO MINIMO","OK"))</f>
        <v/>
      </c>
    </row>
    <row r="4413">
      <c r="B4413">
        <f>IFERROR(VLOOKUP(A4413,Cadastro_Produtos!A:B,2,FALSE),"")</f>
        <v/>
      </c>
      <c r="D4413" s="12" t="n"/>
      <c r="E4413" s="13">
        <f>IF(D4413="","",D4413-TODAY())</f>
        <v/>
      </c>
      <c r="F4413">
        <f>IF(D4413="","",IF(E4413&lt;0,"VENCIDO",IF(E4413&lt;=30,"VENCE EM &lt;= 30 DIAS",IF(E4413&lt;=60,"ATENCAO (31-60 DIAS)","OK"))))</f>
        <v/>
      </c>
      <c r="G4413" s="13">
        <f>SUMIFS(Movimentacoes!$G:$G,Movimentacoes!$C:$C,$A4413,Movimentacoes!$E:$E,$C4413,Movimentacoes!$B:$B,"ENTRADA")</f>
        <v/>
      </c>
      <c r="H4413" s="13">
        <f>SUMIFS(Movimentacoes!$G:$G,Movimentacoes!$C:$C,$A4413,Movimentacoes!$E:$E,$C4413,Movimentacoes!$B:$B,"SAIDA_USO")</f>
        <v/>
      </c>
      <c r="I4413" s="13">
        <f>SUMIFS(Movimentacoes!$G:$G,Movimentacoes!$C:$C,$A4413,Movimentacoes!$E:$E,$C4413,Movimentacoes!$B:$B,"SAIDA_DESCARTE")</f>
        <v/>
      </c>
      <c r="J4413" s="13">
        <f>G4413-H4413-I4413</f>
        <v/>
      </c>
      <c r="K4413">
        <f>IF(A4413="","",IF(J4413&lt;=IFERROR(VLOOKUP(A4413,Cadastro_Produtos!$A:$E,5,FALSE),0),"ABAIXO DO MINIMO","OK"))</f>
        <v/>
      </c>
    </row>
    <row r="4414">
      <c r="B4414">
        <f>IFERROR(VLOOKUP(A4414,Cadastro_Produtos!A:B,2,FALSE),"")</f>
        <v/>
      </c>
      <c r="D4414" s="12" t="n"/>
      <c r="E4414" s="13">
        <f>IF(D4414="","",D4414-TODAY())</f>
        <v/>
      </c>
      <c r="F4414">
        <f>IF(D4414="","",IF(E4414&lt;0,"VENCIDO",IF(E4414&lt;=30,"VENCE EM &lt;= 30 DIAS",IF(E4414&lt;=60,"ATENCAO (31-60 DIAS)","OK"))))</f>
        <v/>
      </c>
      <c r="G4414" s="13">
        <f>SUMIFS(Movimentacoes!$G:$G,Movimentacoes!$C:$C,$A4414,Movimentacoes!$E:$E,$C4414,Movimentacoes!$B:$B,"ENTRADA")</f>
        <v/>
      </c>
      <c r="H4414" s="13">
        <f>SUMIFS(Movimentacoes!$G:$G,Movimentacoes!$C:$C,$A4414,Movimentacoes!$E:$E,$C4414,Movimentacoes!$B:$B,"SAIDA_USO")</f>
        <v/>
      </c>
      <c r="I4414" s="13">
        <f>SUMIFS(Movimentacoes!$G:$G,Movimentacoes!$C:$C,$A4414,Movimentacoes!$E:$E,$C4414,Movimentacoes!$B:$B,"SAIDA_DESCARTE")</f>
        <v/>
      </c>
      <c r="J4414" s="13">
        <f>G4414-H4414-I4414</f>
        <v/>
      </c>
      <c r="K4414">
        <f>IF(A4414="","",IF(J4414&lt;=IFERROR(VLOOKUP(A4414,Cadastro_Produtos!$A:$E,5,FALSE),0),"ABAIXO DO MINIMO","OK"))</f>
        <v/>
      </c>
    </row>
    <row r="4415">
      <c r="B4415">
        <f>IFERROR(VLOOKUP(A4415,Cadastro_Produtos!A:B,2,FALSE),"")</f>
        <v/>
      </c>
      <c r="D4415" s="12" t="n"/>
      <c r="E4415" s="13">
        <f>IF(D4415="","",D4415-TODAY())</f>
        <v/>
      </c>
      <c r="F4415">
        <f>IF(D4415="","",IF(E4415&lt;0,"VENCIDO",IF(E4415&lt;=30,"VENCE EM &lt;= 30 DIAS",IF(E4415&lt;=60,"ATENCAO (31-60 DIAS)","OK"))))</f>
        <v/>
      </c>
      <c r="G4415" s="13">
        <f>SUMIFS(Movimentacoes!$G:$G,Movimentacoes!$C:$C,$A4415,Movimentacoes!$E:$E,$C4415,Movimentacoes!$B:$B,"ENTRADA")</f>
        <v/>
      </c>
      <c r="H4415" s="13">
        <f>SUMIFS(Movimentacoes!$G:$G,Movimentacoes!$C:$C,$A4415,Movimentacoes!$E:$E,$C4415,Movimentacoes!$B:$B,"SAIDA_USO")</f>
        <v/>
      </c>
      <c r="I4415" s="13">
        <f>SUMIFS(Movimentacoes!$G:$G,Movimentacoes!$C:$C,$A4415,Movimentacoes!$E:$E,$C4415,Movimentacoes!$B:$B,"SAIDA_DESCARTE")</f>
        <v/>
      </c>
      <c r="J4415" s="13">
        <f>G4415-H4415-I4415</f>
        <v/>
      </c>
      <c r="K4415">
        <f>IF(A4415="","",IF(J4415&lt;=IFERROR(VLOOKUP(A4415,Cadastro_Produtos!$A:$E,5,FALSE),0),"ABAIXO DO MINIMO","OK"))</f>
        <v/>
      </c>
    </row>
    <row r="4416">
      <c r="B4416">
        <f>IFERROR(VLOOKUP(A4416,Cadastro_Produtos!A:B,2,FALSE),"")</f>
        <v/>
      </c>
      <c r="D4416" s="12" t="n"/>
      <c r="E4416" s="13">
        <f>IF(D4416="","",D4416-TODAY())</f>
        <v/>
      </c>
      <c r="F4416">
        <f>IF(D4416="","",IF(E4416&lt;0,"VENCIDO",IF(E4416&lt;=30,"VENCE EM &lt;= 30 DIAS",IF(E4416&lt;=60,"ATENCAO (31-60 DIAS)","OK"))))</f>
        <v/>
      </c>
      <c r="G4416" s="13">
        <f>SUMIFS(Movimentacoes!$G:$G,Movimentacoes!$C:$C,$A4416,Movimentacoes!$E:$E,$C4416,Movimentacoes!$B:$B,"ENTRADA")</f>
        <v/>
      </c>
      <c r="H4416" s="13">
        <f>SUMIFS(Movimentacoes!$G:$G,Movimentacoes!$C:$C,$A4416,Movimentacoes!$E:$E,$C4416,Movimentacoes!$B:$B,"SAIDA_USO")</f>
        <v/>
      </c>
      <c r="I4416" s="13">
        <f>SUMIFS(Movimentacoes!$G:$G,Movimentacoes!$C:$C,$A4416,Movimentacoes!$E:$E,$C4416,Movimentacoes!$B:$B,"SAIDA_DESCARTE")</f>
        <v/>
      </c>
      <c r="J4416" s="13">
        <f>G4416-H4416-I4416</f>
        <v/>
      </c>
      <c r="K4416">
        <f>IF(A4416="","",IF(J4416&lt;=IFERROR(VLOOKUP(A4416,Cadastro_Produtos!$A:$E,5,FALSE),0),"ABAIXO DO MINIMO","OK"))</f>
        <v/>
      </c>
    </row>
    <row r="4417">
      <c r="B4417">
        <f>IFERROR(VLOOKUP(A4417,Cadastro_Produtos!A:B,2,FALSE),"")</f>
        <v/>
      </c>
      <c r="D4417" s="12" t="n"/>
      <c r="E4417" s="13">
        <f>IF(D4417="","",D4417-TODAY())</f>
        <v/>
      </c>
      <c r="F4417">
        <f>IF(D4417="","",IF(E4417&lt;0,"VENCIDO",IF(E4417&lt;=30,"VENCE EM &lt;= 30 DIAS",IF(E4417&lt;=60,"ATENCAO (31-60 DIAS)","OK"))))</f>
        <v/>
      </c>
      <c r="G4417" s="13">
        <f>SUMIFS(Movimentacoes!$G:$G,Movimentacoes!$C:$C,$A4417,Movimentacoes!$E:$E,$C4417,Movimentacoes!$B:$B,"ENTRADA")</f>
        <v/>
      </c>
      <c r="H4417" s="13">
        <f>SUMIFS(Movimentacoes!$G:$G,Movimentacoes!$C:$C,$A4417,Movimentacoes!$E:$E,$C4417,Movimentacoes!$B:$B,"SAIDA_USO")</f>
        <v/>
      </c>
      <c r="I4417" s="13">
        <f>SUMIFS(Movimentacoes!$G:$G,Movimentacoes!$C:$C,$A4417,Movimentacoes!$E:$E,$C4417,Movimentacoes!$B:$B,"SAIDA_DESCARTE")</f>
        <v/>
      </c>
      <c r="J4417" s="13">
        <f>G4417-H4417-I4417</f>
        <v/>
      </c>
      <c r="K4417">
        <f>IF(A4417="","",IF(J4417&lt;=IFERROR(VLOOKUP(A4417,Cadastro_Produtos!$A:$E,5,FALSE),0),"ABAIXO DO MINIMO","OK"))</f>
        <v/>
      </c>
    </row>
    <row r="4418">
      <c r="B4418">
        <f>IFERROR(VLOOKUP(A4418,Cadastro_Produtos!A:B,2,FALSE),"")</f>
        <v/>
      </c>
      <c r="D4418" s="12" t="n"/>
      <c r="E4418" s="13">
        <f>IF(D4418="","",D4418-TODAY())</f>
        <v/>
      </c>
      <c r="F4418">
        <f>IF(D4418="","",IF(E4418&lt;0,"VENCIDO",IF(E4418&lt;=30,"VENCE EM &lt;= 30 DIAS",IF(E4418&lt;=60,"ATENCAO (31-60 DIAS)","OK"))))</f>
        <v/>
      </c>
      <c r="G4418" s="13">
        <f>SUMIFS(Movimentacoes!$G:$G,Movimentacoes!$C:$C,$A4418,Movimentacoes!$E:$E,$C4418,Movimentacoes!$B:$B,"ENTRADA")</f>
        <v/>
      </c>
      <c r="H4418" s="13">
        <f>SUMIFS(Movimentacoes!$G:$G,Movimentacoes!$C:$C,$A4418,Movimentacoes!$E:$E,$C4418,Movimentacoes!$B:$B,"SAIDA_USO")</f>
        <v/>
      </c>
      <c r="I4418" s="13">
        <f>SUMIFS(Movimentacoes!$G:$G,Movimentacoes!$C:$C,$A4418,Movimentacoes!$E:$E,$C4418,Movimentacoes!$B:$B,"SAIDA_DESCARTE")</f>
        <v/>
      </c>
      <c r="J4418" s="13">
        <f>G4418-H4418-I4418</f>
        <v/>
      </c>
      <c r="K4418">
        <f>IF(A4418="","",IF(J4418&lt;=IFERROR(VLOOKUP(A4418,Cadastro_Produtos!$A:$E,5,FALSE),0),"ABAIXO DO MINIMO","OK"))</f>
        <v/>
      </c>
    </row>
    <row r="4419">
      <c r="B4419">
        <f>IFERROR(VLOOKUP(A4419,Cadastro_Produtos!A:B,2,FALSE),"")</f>
        <v/>
      </c>
      <c r="D4419" s="12" t="n"/>
      <c r="E4419" s="13">
        <f>IF(D4419="","",D4419-TODAY())</f>
        <v/>
      </c>
      <c r="F4419">
        <f>IF(D4419="","",IF(E4419&lt;0,"VENCIDO",IF(E4419&lt;=30,"VENCE EM &lt;= 30 DIAS",IF(E4419&lt;=60,"ATENCAO (31-60 DIAS)","OK"))))</f>
        <v/>
      </c>
      <c r="G4419" s="13">
        <f>SUMIFS(Movimentacoes!$G:$G,Movimentacoes!$C:$C,$A4419,Movimentacoes!$E:$E,$C4419,Movimentacoes!$B:$B,"ENTRADA")</f>
        <v/>
      </c>
      <c r="H4419" s="13">
        <f>SUMIFS(Movimentacoes!$G:$G,Movimentacoes!$C:$C,$A4419,Movimentacoes!$E:$E,$C4419,Movimentacoes!$B:$B,"SAIDA_USO")</f>
        <v/>
      </c>
      <c r="I4419" s="13">
        <f>SUMIFS(Movimentacoes!$G:$G,Movimentacoes!$C:$C,$A4419,Movimentacoes!$E:$E,$C4419,Movimentacoes!$B:$B,"SAIDA_DESCARTE")</f>
        <v/>
      </c>
      <c r="J4419" s="13">
        <f>G4419-H4419-I4419</f>
        <v/>
      </c>
      <c r="K4419">
        <f>IF(A4419="","",IF(J4419&lt;=IFERROR(VLOOKUP(A4419,Cadastro_Produtos!$A:$E,5,FALSE),0),"ABAIXO DO MINIMO","OK"))</f>
        <v/>
      </c>
    </row>
    <row r="4420">
      <c r="B4420">
        <f>IFERROR(VLOOKUP(A4420,Cadastro_Produtos!A:B,2,FALSE),"")</f>
        <v/>
      </c>
      <c r="D4420" s="12" t="n"/>
      <c r="E4420" s="13">
        <f>IF(D4420="","",D4420-TODAY())</f>
        <v/>
      </c>
      <c r="F4420">
        <f>IF(D4420="","",IF(E4420&lt;0,"VENCIDO",IF(E4420&lt;=30,"VENCE EM &lt;= 30 DIAS",IF(E4420&lt;=60,"ATENCAO (31-60 DIAS)","OK"))))</f>
        <v/>
      </c>
      <c r="G4420" s="13">
        <f>SUMIFS(Movimentacoes!$G:$G,Movimentacoes!$C:$C,$A4420,Movimentacoes!$E:$E,$C4420,Movimentacoes!$B:$B,"ENTRADA")</f>
        <v/>
      </c>
      <c r="H4420" s="13">
        <f>SUMIFS(Movimentacoes!$G:$G,Movimentacoes!$C:$C,$A4420,Movimentacoes!$E:$E,$C4420,Movimentacoes!$B:$B,"SAIDA_USO")</f>
        <v/>
      </c>
      <c r="I4420" s="13">
        <f>SUMIFS(Movimentacoes!$G:$G,Movimentacoes!$C:$C,$A4420,Movimentacoes!$E:$E,$C4420,Movimentacoes!$B:$B,"SAIDA_DESCARTE")</f>
        <v/>
      </c>
      <c r="J4420" s="13">
        <f>G4420-H4420-I4420</f>
        <v/>
      </c>
      <c r="K4420">
        <f>IF(A4420="","",IF(J4420&lt;=IFERROR(VLOOKUP(A4420,Cadastro_Produtos!$A:$E,5,FALSE),0),"ABAIXO DO MINIMO","OK"))</f>
        <v/>
      </c>
    </row>
    <row r="4421">
      <c r="B4421">
        <f>IFERROR(VLOOKUP(A4421,Cadastro_Produtos!A:B,2,FALSE),"")</f>
        <v/>
      </c>
      <c r="D4421" s="12" t="n"/>
      <c r="E4421" s="13">
        <f>IF(D4421="","",D4421-TODAY())</f>
        <v/>
      </c>
      <c r="F4421">
        <f>IF(D4421="","",IF(E4421&lt;0,"VENCIDO",IF(E4421&lt;=30,"VENCE EM &lt;= 30 DIAS",IF(E4421&lt;=60,"ATENCAO (31-60 DIAS)","OK"))))</f>
        <v/>
      </c>
      <c r="G4421" s="13">
        <f>SUMIFS(Movimentacoes!$G:$G,Movimentacoes!$C:$C,$A4421,Movimentacoes!$E:$E,$C4421,Movimentacoes!$B:$B,"ENTRADA")</f>
        <v/>
      </c>
      <c r="H4421" s="13">
        <f>SUMIFS(Movimentacoes!$G:$G,Movimentacoes!$C:$C,$A4421,Movimentacoes!$E:$E,$C4421,Movimentacoes!$B:$B,"SAIDA_USO")</f>
        <v/>
      </c>
      <c r="I4421" s="13">
        <f>SUMIFS(Movimentacoes!$G:$G,Movimentacoes!$C:$C,$A4421,Movimentacoes!$E:$E,$C4421,Movimentacoes!$B:$B,"SAIDA_DESCARTE")</f>
        <v/>
      </c>
      <c r="J4421" s="13">
        <f>G4421-H4421-I4421</f>
        <v/>
      </c>
      <c r="K4421">
        <f>IF(A4421="","",IF(J4421&lt;=IFERROR(VLOOKUP(A4421,Cadastro_Produtos!$A:$E,5,FALSE),0),"ABAIXO DO MINIMO","OK"))</f>
        <v/>
      </c>
    </row>
    <row r="4422">
      <c r="B4422">
        <f>IFERROR(VLOOKUP(A4422,Cadastro_Produtos!A:B,2,FALSE),"")</f>
        <v/>
      </c>
      <c r="D4422" s="12" t="n"/>
      <c r="E4422" s="13">
        <f>IF(D4422="","",D4422-TODAY())</f>
        <v/>
      </c>
      <c r="F4422">
        <f>IF(D4422="","",IF(E4422&lt;0,"VENCIDO",IF(E4422&lt;=30,"VENCE EM &lt;= 30 DIAS",IF(E4422&lt;=60,"ATENCAO (31-60 DIAS)","OK"))))</f>
        <v/>
      </c>
      <c r="G4422" s="13">
        <f>SUMIFS(Movimentacoes!$G:$G,Movimentacoes!$C:$C,$A4422,Movimentacoes!$E:$E,$C4422,Movimentacoes!$B:$B,"ENTRADA")</f>
        <v/>
      </c>
      <c r="H4422" s="13">
        <f>SUMIFS(Movimentacoes!$G:$G,Movimentacoes!$C:$C,$A4422,Movimentacoes!$E:$E,$C4422,Movimentacoes!$B:$B,"SAIDA_USO")</f>
        <v/>
      </c>
      <c r="I4422" s="13">
        <f>SUMIFS(Movimentacoes!$G:$G,Movimentacoes!$C:$C,$A4422,Movimentacoes!$E:$E,$C4422,Movimentacoes!$B:$B,"SAIDA_DESCARTE")</f>
        <v/>
      </c>
      <c r="J4422" s="13">
        <f>G4422-H4422-I4422</f>
        <v/>
      </c>
      <c r="K4422">
        <f>IF(A4422="","",IF(J4422&lt;=IFERROR(VLOOKUP(A4422,Cadastro_Produtos!$A:$E,5,FALSE),0),"ABAIXO DO MINIMO","OK"))</f>
        <v/>
      </c>
    </row>
    <row r="4423">
      <c r="B4423">
        <f>IFERROR(VLOOKUP(A4423,Cadastro_Produtos!A:B,2,FALSE),"")</f>
        <v/>
      </c>
      <c r="D4423" s="12" t="n"/>
      <c r="E4423" s="13">
        <f>IF(D4423="","",D4423-TODAY())</f>
        <v/>
      </c>
      <c r="F4423">
        <f>IF(D4423="","",IF(E4423&lt;0,"VENCIDO",IF(E4423&lt;=30,"VENCE EM &lt;= 30 DIAS",IF(E4423&lt;=60,"ATENCAO (31-60 DIAS)","OK"))))</f>
        <v/>
      </c>
      <c r="G4423" s="13">
        <f>SUMIFS(Movimentacoes!$G:$G,Movimentacoes!$C:$C,$A4423,Movimentacoes!$E:$E,$C4423,Movimentacoes!$B:$B,"ENTRADA")</f>
        <v/>
      </c>
      <c r="H4423" s="13">
        <f>SUMIFS(Movimentacoes!$G:$G,Movimentacoes!$C:$C,$A4423,Movimentacoes!$E:$E,$C4423,Movimentacoes!$B:$B,"SAIDA_USO")</f>
        <v/>
      </c>
      <c r="I4423" s="13">
        <f>SUMIFS(Movimentacoes!$G:$G,Movimentacoes!$C:$C,$A4423,Movimentacoes!$E:$E,$C4423,Movimentacoes!$B:$B,"SAIDA_DESCARTE")</f>
        <v/>
      </c>
      <c r="J4423" s="13">
        <f>G4423-H4423-I4423</f>
        <v/>
      </c>
      <c r="K4423">
        <f>IF(A4423="","",IF(J4423&lt;=IFERROR(VLOOKUP(A4423,Cadastro_Produtos!$A:$E,5,FALSE),0),"ABAIXO DO MINIMO","OK"))</f>
        <v/>
      </c>
    </row>
    <row r="4424">
      <c r="B4424">
        <f>IFERROR(VLOOKUP(A4424,Cadastro_Produtos!A:B,2,FALSE),"")</f>
        <v/>
      </c>
      <c r="D4424" s="12" t="n"/>
      <c r="E4424" s="13">
        <f>IF(D4424="","",D4424-TODAY())</f>
        <v/>
      </c>
      <c r="F4424">
        <f>IF(D4424="","",IF(E4424&lt;0,"VENCIDO",IF(E4424&lt;=30,"VENCE EM &lt;= 30 DIAS",IF(E4424&lt;=60,"ATENCAO (31-60 DIAS)","OK"))))</f>
        <v/>
      </c>
      <c r="G4424" s="13">
        <f>SUMIFS(Movimentacoes!$G:$G,Movimentacoes!$C:$C,$A4424,Movimentacoes!$E:$E,$C4424,Movimentacoes!$B:$B,"ENTRADA")</f>
        <v/>
      </c>
      <c r="H4424" s="13">
        <f>SUMIFS(Movimentacoes!$G:$G,Movimentacoes!$C:$C,$A4424,Movimentacoes!$E:$E,$C4424,Movimentacoes!$B:$B,"SAIDA_USO")</f>
        <v/>
      </c>
      <c r="I4424" s="13">
        <f>SUMIFS(Movimentacoes!$G:$G,Movimentacoes!$C:$C,$A4424,Movimentacoes!$E:$E,$C4424,Movimentacoes!$B:$B,"SAIDA_DESCARTE")</f>
        <v/>
      </c>
      <c r="J4424" s="13">
        <f>G4424-H4424-I4424</f>
        <v/>
      </c>
      <c r="K4424">
        <f>IF(A4424="","",IF(J4424&lt;=IFERROR(VLOOKUP(A4424,Cadastro_Produtos!$A:$E,5,FALSE),0),"ABAIXO DO MINIMO","OK"))</f>
        <v/>
      </c>
    </row>
    <row r="4425">
      <c r="B4425">
        <f>IFERROR(VLOOKUP(A4425,Cadastro_Produtos!A:B,2,FALSE),"")</f>
        <v/>
      </c>
      <c r="D4425" s="12" t="n"/>
      <c r="E4425" s="13">
        <f>IF(D4425="","",D4425-TODAY())</f>
        <v/>
      </c>
      <c r="F4425">
        <f>IF(D4425="","",IF(E4425&lt;0,"VENCIDO",IF(E4425&lt;=30,"VENCE EM &lt;= 30 DIAS",IF(E4425&lt;=60,"ATENCAO (31-60 DIAS)","OK"))))</f>
        <v/>
      </c>
      <c r="G4425" s="13">
        <f>SUMIFS(Movimentacoes!$G:$G,Movimentacoes!$C:$C,$A4425,Movimentacoes!$E:$E,$C4425,Movimentacoes!$B:$B,"ENTRADA")</f>
        <v/>
      </c>
      <c r="H4425" s="13">
        <f>SUMIFS(Movimentacoes!$G:$G,Movimentacoes!$C:$C,$A4425,Movimentacoes!$E:$E,$C4425,Movimentacoes!$B:$B,"SAIDA_USO")</f>
        <v/>
      </c>
      <c r="I4425" s="13">
        <f>SUMIFS(Movimentacoes!$G:$G,Movimentacoes!$C:$C,$A4425,Movimentacoes!$E:$E,$C4425,Movimentacoes!$B:$B,"SAIDA_DESCARTE")</f>
        <v/>
      </c>
      <c r="J4425" s="13">
        <f>G4425-H4425-I4425</f>
        <v/>
      </c>
      <c r="K4425">
        <f>IF(A4425="","",IF(J4425&lt;=IFERROR(VLOOKUP(A4425,Cadastro_Produtos!$A:$E,5,FALSE),0),"ABAIXO DO MINIMO","OK"))</f>
        <v/>
      </c>
    </row>
    <row r="4426">
      <c r="B4426">
        <f>IFERROR(VLOOKUP(A4426,Cadastro_Produtos!A:B,2,FALSE),"")</f>
        <v/>
      </c>
      <c r="D4426" s="12" t="n"/>
      <c r="E4426" s="13">
        <f>IF(D4426="","",D4426-TODAY())</f>
        <v/>
      </c>
      <c r="F4426">
        <f>IF(D4426="","",IF(E4426&lt;0,"VENCIDO",IF(E4426&lt;=30,"VENCE EM &lt;= 30 DIAS",IF(E4426&lt;=60,"ATENCAO (31-60 DIAS)","OK"))))</f>
        <v/>
      </c>
      <c r="G4426" s="13">
        <f>SUMIFS(Movimentacoes!$G:$G,Movimentacoes!$C:$C,$A4426,Movimentacoes!$E:$E,$C4426,Movimentacoes!$B:$B,"ENTRADA")</f>
        <v/>
      </c>
      <c r="H4426" s="13">
        <f>SUMIFS(Movimentacoes!$G:$G,Movimentacoes!$C:$C,$A4426,Movimentacoes!$E:$E,$C4426,Movimentacoes!$B:$B,"SAIDA_USO")</f>
        <v/>
      </c>
      <c r="I4426" s="13">
        <f>SUMIFS(Movimentacoes!$G:$G,Movimentacoes!$C:$C,$A4426,Movimentacoes!$E:$E,$C4426,Movimentacoes!$B:$B,"SAIDA_DESCARTE")</f>
        <v/>
      </c>
      <c r="J4426" s="13">
        <f>G4426-H4426-I4426</f>
        <v/>
      </c>
      <c r="K4426">
        <f>IF(A4426="","",IF(J4426&lt;=IFERROR(VLOOKUP(A4426,Cadastro_Produtos!$A:$E,5,FALSE),0),"ABAIXO DO MINIMO","OK"))</f>
        <v/>
      </c>
    </row>
    <row r="4427">
      <c r="B4427">
        <f>IFERROR(VLOOKUP(A4427,Cadastro_Produtos!A:B,2,FALSE),"")</f>
        <v/>
      </c>
      <c r="D4427" s="12" t="n"/>
      <c r="E4427" s="13">
        <f>IF(D4427="","",D4427-TODAY())</f>
        <v/>
      </c>
      <c r="F4427">
        <f>IF(D4427="","",IF(E4427&lt;0,"VENCIDO",IF(E4427&lt;=30,"VENCE EM &lt;= 30 DIAS",IF(E4427&lt;=60,"ATENCAO (31-60 DIAS)","OK"))))</f>
        <v/>
      </c>
      <c r="G4427" s="13">
        <f>SUMIFS(Movimentacoes!$G:$G,Movimentacoes!$C:$C,$A4427,Movimentacoes!$E:$E,$C4427,Movimentacoes!$B:$B,"ENTRADA")</f>
        <v/>
      </c>
      <c r="H4427" s="13">
        <f>SUMIFS(Movimentacoes!$G:$G,Movimentacoes!$C:$C,$A4427,Movimentacoes!$E:$E,$C4427,Movimentacoes!$B:$B,"SAIDA_USO")</f>
        <v/>
      </c>
      <c r="I4427" s="13">
        <f>SUMIFS(Movimentacoes!$G:$G,Movimentacoes!$C:$C,$A4427,Movimentacoes!$E:$E,$C4427,Movimentacoes!$B:$B,"SAIDA_DESCARTE")</f>
        <v/>
      </c>
      <c r="J4427" s="13">
        <f>G4427-H4427-I4427</f>
        <v/>
      </c>
      <c r="K4427">
        <f>IF(A4427="","",IF(J4427&lt;=IFERROR(VLOOKUP(A4427,Cadastro_Produtos!$A:$E,5,FALSE),0),"ABAIXO DO MINIMO","OK"))</f>
        <v/>
      </c>
    </row>
    <row r="4428">
      <c r="B4428">
        <f>IFERROR(VLOOKUP(A4428,Cadastro_Produtos!A:B,2,FALSE),"")</f>
        <v/>
      </c>
      <c r="D4428" s="12" t="n"/>
      <c r="E4428" s="13">
        <f>IF(D4428="","",D4428-TODAY())</f>
        <v/>
      </c>
      <c r="F4428">
        <f>IF(D4428="","",IF(E4428&lt;0,"VENCIDO",IF(E4428&lt;=30,"VENCE EM &lt;= 30 DIAS",IF(E4428&lt;=60,"ATENCAO (31-60 DIAS)","OK"))))</f>
        <v/>
      </c>
      <c r="G4428" s="13">
        <f>SUMIFS(Movimentacoes!$G:$G,Movimentacoes!$C:$C,$A4428,Movimentacoes!$E:$E,$C4428,Movimentacoes!$B:$B,"ENTRADA")</f>
        <v/>
      </c>
      <c r="H4428" s="13">
        <f>SUMIFS(Movimentacoes!$G:$G,Movimentacoes!$C:$C,$A4428,Movimentacoes!$E:$E,$C4428,Movimentacoes!$B:$B,"SAIDA_USO")</f>
        <v/>
      </c>
      <c r="I4428" s="13">
        <f>SUMIFS(Movimentacoes!$G:$G,Movimentacoes!$C:$C,$A4428,Movimentacoes!$E:$E,$C4428,Movimentacoes!$B:$B,"SAIDA_DESCARTE")</f>
        <v/>
      </c>
      <c r="J4428" s="13">
        <f>G4428-H4428-I4428</f>
        <v/>
      </c>
      <c r="K4428">
        <f>IF(A4428="","",IF(J4428&lt;=IFERROR(VLOOKUP(A4428,Cadastro_Produtos!$A:$E,5,FALSE),0),"ABAIXO DO MINIMO","OK"))</f>
        <v/>
      </c>
    </row>
    <row r="4429">
      <c r="B4429">
        <f>IFERROR(VLOOKUP(A4429,Cadastro_Produtos!A:B,2,FALSE),"")</f>
        <v/>
      </c>
      <c r="D4429" s="12" t="n"/>
      <c r="E4429" s="13">
        <f>IF(D4429="","",D4429-TODAY())</f>
        <v/>
      </c>
      <c r="F4429">
        <f>IF(D4429="","",IF(E4429&lt;0,"VENCIDO",IF(E4429&lt;=30,"VENCE EM &lt;= 30 DIAS",IF(E4429&lt;=60,"ATENCAO (31-60 DIAS)","OK"))))</f>
        <v/>
      </c>
      <c r="G4429" s="13">
        <f>SUMIFS(Movimentacoes!$G:$G,Movimentacoes!$C:$C,$A4429,Movimentacoes!$E:$E,$C4429,Movimentacoes!$B:$B,"ENTRADA")</f>
        <v/>
      </c>
      <c r="H4429" s="13">
        <f>SUMIFS(Movimentacoes!$G:$G,Movimentacoes!$C:$C,$A4429,Movimentacoes!$E:$E,$C4429,Movimentacoes!$B:$B,"SAIDA_USO")</f>
        <v/>
      </c>
      <c r="I4429" s="13">
        <f>SUMIFS(Movimentacoes!$G:$G,Movimentacoes!$C:$C,$A4429,Movimentacoes!$E:$E,$C4429,Movimentacoes!$B:$B,"SAIDA_DESCARTE")</f>
        <v/>
      </c>
      <c r="J4429" s="13">
        <f>G4429-H4429-I4429</f>
        <v/>
      </c>
      <c r="K4429">
        <f>IF(A4429="","",IF(J4429&lt;=IFERROR(VLOOKUP(A4429,Cadastro_Produtos!$A:$E,5,FALSE),0),"ABAIXO DO MINIMO","OK"))</f>
        <v/>
      </c>
    </row>
    <row r="4430">
      <c r="B4430">
        <f>IFERROR(VLOOKUP(A4430,Cadastro_Produtos!A:B,2,FALSE),"")</f>
        <v/>
      </c>
      <c r="D4430" s="12" t="n"/>
      <c r="E4430" s="13">
        <f>IF(D4430="","",D4430-TODAY())</f>
        <v/>
      </c>
      <c r="F4430">
        <f>IF(D4430="","",IF(E4430&lt;0,"VENCIDO",IF(E4430&lt;=30,"VENCE EM &lt;= 30 DIAS",IF(E4430&lt;=60,"ATENCAO (31-60 DIAS)","OK"))))</f>
        <v/>
      </c>
      <c r="G4430" s="13">
        <f>SUMIFS(Movimentacoes!$G:$G,Movimentacoes!$C:$C,$A4430,Movimentacoes!$E:$E,$C4430,Movimentacoes!$B:$B,"ENTRADA")</f>
        <v/>
      </c>
      <c r="H4430" s="13">
        <f>SUMIFS(Movimentacoes!$G:$G,Movimentacoes!$C:$C,$A4430,Movimentacoes!$E:$E,$C4430,Movimentacoes!$B:$B,"SAIDA_USO")</f>
        <v/>
      </c>
      <c r="I4430" s="13">
        <f>SUMIFS(Movimentacoes!$G:$G,Movimentacoes!$C:$C,$A4430,Movimentacoes!$E:$E,$C4430,Movimentacoes!$B:$B,"SAIDA_DESCARTE")</f>
        <v/>
      </c>
      <c r="J4430" s="13">
        <f>G4430-H4430-I4430</f>
        <v/>
      </c>
      <c r="K4430">
        <f>IF(A4430="","",IF(J4430&lt;=IFERROR(VLOOKUP(A4430,Cadastro_Produtos!$A:$E,5,FALSE),0),"ABAIXO DO MINIMO","OK"))</f>
        <v/>
      </c>
    </row>
    <row r="4431">
      <c r="B4431">
        <f>IFERROR(VLOOKUP(A4431,Cadastro_Produtos!A:B,2,FALSE),"")</f>
        <v/>
      </c>
      <c r="D4431" s="12" t="n"/>
      <c r="E4431" s="13">
        <f>IF(D4431="","",D4431-TODAY())</f>
        <v/>
      </c>
      <c r="F4431">
        <f>IF(D4431="","",IF(E4431&lt;0,"VENCIDO",IF(E4431&lt;=30,"VENCE EM &lt;= 30 DIAS",IF(E4431&lt;=60,"ATENCAO (31-60 DIAS)","OK"))))</f>
        <v/>
      </c>
      <c r="G4431" s="13">
        <f>SUMIFS(Movimentacoes!$G:$G,Movimentacoes!$C:$C,$A4431,Movimentacoes!$E:$E,$C4431,Movimentacoes!$B:$B,"ENTRADA")</f>
        <v/>
      </c>
      <c r="H4431" s="13">
        <f>SUMIFS(Movimentacoes!$G:$G,Movimentacoes!$C:$C,$A4431,Movimentacoes!$E:$E,$C4431,Movimentacoes!$B:$B,"SAIDA_USO")</f>
        <v/>
      </c>
      <c r="I4431" s="13">
        <f>SUMIFS(Movimentacoes!$G:$G,Movimentacoes!$C:$C,$A4431,Movimentacoes!$E:$E,$C4431,Movimentacoes!$B:$B,"SAIDA_DESCARTE")</f>
        <v/>
      </c>
      <c r="J4431" s="13">
        <f>G4431-H4431-I4431</f>
        <v/>
      </c>
      <c r="K4431">
        <f>IF(A4431="","",IF(J4431&lt;=IFERROR(VLOOKUP(A4431,Cadastro_Produtos!$A:$E,5,FALSE),0),"ABAIXO DO MINIMO","OK"))</f>
        <v/>
      </c>
    </row>
    <row r="4432">
      <c r="B4432">
        <f>IFERROR(VLOOKUP(A4432,Cadastro_Produtos!A:B,2,FALSE),"")</f>
        <v/>
      </c>
      <c r="D4432" s="12" t="n"/>
      <c r="E4432" s="13">
        <f>IF(D4432="","",D4432-TODAY())</f>
        <v/>
      </c>
      <c r="F4432">
        <f>IF(D4432="","",IF(E4432&lt;0,"VENCIDO",IF(E4432&lt;=30,"VENCE EM &lt;= 30 DIAS",IF(E4432&lt;=60,"ATENCAO (31-60 DIAS)","OK"))))</f>
        <v/>
      </c>
      <c r="G4432" s="13">
        <f>SUMIFS(Movimentacoes!$G:$G,Movimentacoes!$C:$C,$A4432,Movimentacoes!$E:$E,$C4432,Movimentacoes!$B:$B,"ENTRADA")</f>
        <v/>
      </c>
      <c r="H4432" s="13">
        <f>SUMIFS(Movimentacoes!$G:$G,Movimentacoes!$C:$C,$A4432,Movimentacoes!$E:$E,$C4432,Movimentacoes!$B:$B,"SAIDA_USO")</f>
        <v/>
      </c>
      <c r="I4432" s="13">
        <f>SUMIFS(Movimentacoes!$G:$G,Movimentacoes!$C:$C,$A4432,Movimentacoes!$E:$E,$C4432,Movimentacoes!$B:$B,"SAIDA_DESCARTE")</f>
        <v/>
      </c>
      <c r="J4432" s="13">
        <f>G4432-H4432-I4432</f>
        <v/>
      </c>
      <c r="K4432">
        <f>IF(A4432="","",IF(J4432&lt;=IFERROR(VLOOKUP(A4432,Cadastro_Produtos!$A:$E,5,FALSE),0),"ABAIXO DO MINIMO","OK"))</f>
        <v/>
      </c>
    </row>
    <row r="4433">
      <c r="B4433">
        <f>IFERROR(VLOOKUP(A4433,Cadastro_Produtos!A:B,2,FALSE),"")</f>
        <v/>
      </c>
      <c r="D4433" s="12" t="n"/>
      <c r="E4433" s="13">
        <f>IF(D4433="","",D4433-TODAY())</f>
        <v/>
      </c>
      <c r="F4433">
        <f>IF(D4433="","",IF(E4433&lt;0,"VENCIDO",IF(E4433&lt;=30,"VENCE EM &lt;= 30 DIAS",IF(E4433&lt;=60,"ATENCAO (31-60 DIAS)","OK"))))</f>
        <v/>
      </c>
      <c r="G4433" s="13">
        <f>SUMIFS(Movimentacoes!$G:$G,Movimentacoes!$C:$C,$A4433,Movimentacoes!$E:$E,$C4433,Movimentacoes!$B:$B,"ENTRADA")</f>
        <v/>
      </c>
      <c r="H4433" s="13">
        <f>SUMIFS(Movimentacoes!$G:$G,Movimentacoes!$C:$C,$A4433,Movimentacoes!$E:$E,$C4433,Movimentacoes!$B:$B,"SAIDA_USO")</f>
        <v/>
      </c>
      <c r="I4433" s="13">
        <f>SUMIFS(Movimentacoes!$G:$G,Movimentacoes!$C:$C,$A4433,Movimentacoes!$E:$E,$C4433,Movimentacoes!$B:$B,"SAIDA_DESCARTE")</f>
        <v/>
      </c>
      <c r="J4433" s="13">
        <f>G4433-H4433-I4433</f>
        <v/>
      </c>
      <c r="K4433">
        <f>IF(A4433="","",IF(J4433&lt;=IFERROR(VLOOKUP(A4433,Cadastro_Produtos!$A:$E,5,FALSE),0),"ABAIXO DO MINIMO","OK"))</f>
        <v/>
      </c>
    </row>
    <row r="4434">
      <c r="B4434">
        <f>IFERROR(VLOOKUP(A4434,Cadastro_Produtos!A:B,2,FALSE),"")</f>
        <v/>
      </c>
      <c r="D4434" s="12" t="n"/>
      <c r="E4434" s="13">
        <f>IF(D4434="","",D4434-TODAY())</f>
        <v/>
      </c>
      <c r="F4434">
        <f>IF(D4434="","",IF(E4434&lt;0,"VENCIDO",IF(E4434&lt;=30,"VENCE EM &lt;= 30 DIAS",IF(E4434&lt;=60,"ATENCAO (31-60 DIAS)","OK"))))</f>
        <v/>
      </c>
      <c r="G4434" s="13">
        <f>SUMIFS(Movimentacoes!$G:$G,Movimentacoes!$C:$C,$A4434,Movimentacoes!$E:$E,$C4434,Movimentacoes!$B:$B,"ENTRADA")</f>
        <v/>
      </c>
      <c r="H4434" s="13">
        <f>SUMIFS(Movimentacoes!$G:$G,Movimentacoes!$C:$C,$A4434,Movimentacoes!$E:$E,$C4434,Movimentacoes!$B:$B,"SAIDA_USO")</f>
        <v/>
      </c>
      <c r="I4434" s="13">
        <f>SUMIFS(Movimentacoes!$G:$G,Movimentacoes!$C:$C,$A4434,Movimentacoes!$E:$E,$C4434,Movimentacoes!$B:$B,"SAIDA_DESCARTE")</f>
        <v/>
      </c>
      <c r="J4434" s="13">
        <f>G4434-H4434-I4434</f>
        <v/>
      </c>
      <c r="K4434">
        <f>IF(A4434="","",IF(J4434&lt;=IFERROR(VLOOKUP(A4434,Cadastro_Produtos!$A:$E,5,FALSE),0),"ABAIXO DO MINIMO","OK"))</f>
        <v/>
      </c>
    </row>
    <row r="4435">
      <c r="B4435">
        <f>IFERROR(VLOOKUP(A4435,Cadastro_Produtos!A:B,2,FALSE),"")</f>
        <v/>
      </c>
      <c r="D4435" s="12" t="n"/>
      <c r="E4435" s="13">
        <f>IF(D4435="","",D4435-TODAY())</f>
        <v/>
      </c>
      <c r="F4435">
        <f>IF(D4435="","",IF(E4435&lt;0,"VENCIDO",IF(E4435&lt;=30,"VENCE EM &lt;= 30 DIAS",IF(E4435&lt;=60,"ATENCAO (31-60 DIAS)","OK"))))</f>
        <v/>
      </c>
      <c r="G4435" s="13">
        <f>SUMIFS(Movimentacoes!$G:$G,Movimentacoes!$C:$C,$A4435,Movimentacoes!$E:$E,$C4435,Movimentacoes!$B:$B,"ENTRADA")</f>
        <v/>
      </c>
      <c r="H4435" s="13">
        <f>SUMIFS(Movimentacoes!$G:$G,Movimentacoes!$C:$C,$A4435,Movimentacoes!$E:$E,$C4435,Movimentacoes!$B:$B,"SAIDA_USO")</f>
        <v/>
      </c>
      <c r="I4435" s="13">
        <f>SUMIFS(Movimentacoes!$G:$G,Movimentacoes!$C:$C,$A4435,Movimentacoes!$E:$E,$C4435,Movimentacoes!$B:$B,"SAIDA_DESCARTE")</f>
        <v/>
      </c>
      <c r="J4435" s="13">
        <f>G4435-H4435-I4435</f>
        <v/>
      </c>
      <c r="K4435">
        <f>IF(A4435="","",IF(J4435&lt;=IFERROR(VLOOKUP(A4435,Cadastro_Produtos!$A:$E,5,FALSE),0),"ABAIXO DO MINIMO","OK"))</f>
        <v/>
      </c>
    </row>
    <row r="4436">
      <c r="B4436">
        <f>IFERROR(VLOOKUP(A4436,Cadastro_Produtos!A:B,2,FALSE),"")</f>
        <v/>
      </c>
      <c r="D4436" s="12" t="n"/>
      <c r="E4436" s="13">
        <f>IF(D4436="","",D4436-TODAY())</f>
        <v/>
      </c>
      <c r="F4436">
        <f>IF(D4436="","",IF(E4436&lt;0,"VENCIDO",IF(E4436&lt;=30,"VENCE EM &lt;= 30 DIAS",IF(E4436&lt;=60,"ATENCAO (31-60 DIAS)","OK"))))</f>
        <v/>
      </c>
      <c r="G4436" s="13">
        <f>SUMIFS(Movimentacoes!$G:$G,Movimentacoes!$C:$C,$A4436,Movimentacoes!$E:$E,$C4436,Movimentacoes!$B:$B,"ENTRADA")</f>
        <v/>
      </c>
      <c r="H4436" s="13">
        <f>SUMIFS(Movimentacoes!$G:$G,Movimentacoes!$C:$C,$A4436,Movimentacoes!$E:$E,$C4436,Movimentacoes!$B:$B,"SAIDA_USO")</f>
        <v/>
      </c>
      <c r="I4436" s="13">
        <f>SUMIFS(Movimentacoes!$G:$G,Movimentacoes!$C:$C,$A4436,Movimentacoes!$E:$E,$C4436,Movimentacoes!$B:$B,"SAIDA_DESCARTE")</f>
        <v/>
      </c>
      <c r="J4436" s="13">
        <f>G4436-H4436-I4436</f>
        <v/>
      </c>
      <c r="K4436">
        <f>IF(A4436="","",IF(J4436&lt;=IFERROR(VLOOKUP(A4436,Cadastro_Produtos!$A:$E,5,FALSE),0),"ABAIXO DO MINIMO","OK"))</f>
        <v/>
      </c>
    </row>
    <row r="4437">
      <c r="B4437">
        <f>IFERROR(VLOOKUP(A4437,Cadastro_Produtos!A:B,2,FALSE),"")</f>
        <v/>
      </c>
      <c r="D4437" s="12" t="n"/>
      <c r="E4437" s="13">
        <f>IF(D4437="","",D4437-TODAY())</f>
        <v/>
      </c>
      <c r="F4437">
        <f>IF(D4437="","",IF(E4437&lt;0,"VENCIDO",IF(E4437&lt;=30,"VENCE EM &lt;= 30 DIAS",IF(E4437&lt;=60,"ATENCAO (31-60 DIAS)","OK"))))</f>
        <v/>
      </c>
      <c r="G4437" s="13">
        <f>SUMIFS(Movimentacoes!$G:$G,Movimentacoes!$C:$C,$A4437,Movimentacoes!$E:$E,$C4437,Movimentacoes!$B:$B,"ENTRADA")</f>
        <v/>
      </c>
      <c r="H4437" s="13">
        <f>SUMIFS(Movimentacoes!$G:$G,Movimentacoes!$C:$C,$A4437,Movimentacoes!$E:$E,$C4437,Movimentacoes!$B:$B,"SAIDA_USO")</f>
        <v/>
      </c>
      <c r="I4437" s="13">
        <f>SUMIFS(Movimentacoes!$G:$G,Movimentacoes!$C:$C,$A4437,Movimentacoes!$E:$E,$C4437,Movimentacoes!$B:$B,"SAIDA_DESCARTE")</f>
        <v/>
      </c>
      <c r="J4437" s="13">
        <f>G4437-H4437-I4437</f>
        <v/>
      </c>
      <c r="K4437">
        <f>IF(A4437="","",IF(J4437&lt;=IFERROR(VLOOKUP(A4437,Cadastro_Produtos!$A:$E,5,FALSE),0),"ABAIXO DO MINIMO","OK"))</f>
        <v/>
      </c>
    </row>
    <row r="4438">
      <c r="B4438">
        <f>IFERROR(VLOOKUP(A4438,Cadastro_Produtos!A:B,2,FALSE),"")</f>
        <v/>
      </c>
      <c r="D4438" s="12" t="n"/>
      <c r="E4438" s="13">
        <f>IF(D4438="","",D4438-TODAY())</f>
        <v/>
      </c>
      <c r="F4438">
        <f>IF(D4438="","",IF(E4438&lt;0,"VENCIDO",IF(E4438&lt;=30,"VENCE EM &lt;= 30 DIAS",IF(E4438&lt;=60,"ATENCAO (31-60 DIAS)","OK"))))</f>
        <v/>
      </c>
      <c r="G4438" s="13">
        <f>SUMIFS(Movimentacoes!$G:$G,Movimentacoes!$C:$C,$A4438,Movimentacoes!$E:$E,$C4438,Movimentacoes!$B:$B,"ENTRADA")</f>
        <v/>
      </c>
      <c r="H4438" s="13">
        <f>SUMIFS(Movimentacoes!$G:$G,Movimentacoes!$C:$C,$A4438,Movimentacoes!$E:$E,$C4438,Movimentacoes!$B:$B,"SAIDA_USO")</f>
        <v/>
      </c>
      <c r="I4438" s="13">
        <f>SUMIFS(Movimentacoes!$G:$G,Movimentacoes!$C:$C,$A4438,Movimentacoes!$E:$E,$C4438,Movimentacoes!$B:$B,"SAIDA_DESCARTE")</f>
        <v/>
      </c>
      <c r="J4438" s="13">
        <f>G4438-H4438-I4438</f>
        <v/>
      </c>
      <c r="K4438">
        <f>IF(A4438="","",IF(J4438&lt;=IFERROR(VLOOKUP(A4438,Cadastro_Produtos!$A:$E,5,FALSE),0),"ABAIXO DO MINIMO","OK"))</f>
        <v/>
      </c>
    </row>
    <row r="4439">
      <c r="B4439">
        <f>IFERROR(VLOOKUP(A4439,Cadastro_Produtos!A:B,2,FALSE),"")</f>
        <v/>
      </c>
      <c r="D4439" s="12" t="n"/>
      <c r="E4439" s="13">
        <f>IF(D4439="","",D4439-TODAY())</f>
        <v/>
      </c>
      <c r="F4439">
        <f>IF(D4439="","",IF(E4439&lt;0,"VENCIDO",IF(E4439&lt;=30,"VENCE EM &lt;= 30 DIAS",IF(E4439&lt;=60,"ATENCAO (31-60 DIAS)","OK"))))</f>
        <v/>
      </c>
      <c r="G4439" s="13">
        <f>SUMIFS(Movimentacoes!$G:$G,Movimentacoes!$C:$C,$A4439,Movimentacoes!$E:$E,$C4439,Movimentacoes!$B:$B,"ENTRADA")</f>
        <v/>
      </c>
      <c r="H4439" s="13">
        <f>SUMIFS(Movimentacoes!$G:$G,Movimentacoes!$C:$C,$A4439,Movimentacoes!$E:$E,$C4439,Movimentacoes!$B:$B,"SAIDA_USO")</f>
        <v/>
      </c>
      <c r="I4439" s="13">
        <f>SUMIFS(Movimentacoes!$G:$G,Movimentacoes!$C:$C,$A4439,Movimentacoes!$E:$E,$C4439,Movimentacoes!$B:$B,"SAIDA_DESCARTE")</f>
        <v/>
      </c>
      <c r="J4439" s="13">
        <f>G4439-H4439-I4439</f>
        <v/>
      </c>
      <c r="K4439">
        <f>IF(A4439="","",IF(J4439&lt;=IFERROR(VLOOKUP(A4439,Cadastro_Produtos!$A:$E,5,FALSE),0),"ABAIXO DO MINIMO","OK"))</f>
        <v/>
      </c>
    </row>
    <row r="4440">
      <c r="B4440">
        <f>IFERROR(VLOOKUP(A4440,Cadastro_Produtos!A:B,2,FALSE),"")</f>
        <v/>
      </c>
      <c r="D4440" s="12" t="n"/>
      <c r="E4440" s="13">
        <f>IF(D4440="","",D4440-TODAY())</f>
        <v/>
      </c>
      <c r="F4440">
        <f>IF(D4440="","",IF(E4440&lt;0,"VENCIDO",IF(E4440&lt;=30,"VENCE EM &lt;= 30 DIAS",IF(E4440&lt;=60,"ATENCAO (31-60 DIAS)","OK"))))</f>
        <v/>
      </c>
      <c r="G4440" s="13">
        <f>SUMIFS(Movimentacoes!$G:$G,Movimentacoes!$C:$C,$A4440,Movimentacoes!$E:$E,$C4440,Movimentacoes!$B:$B,"ENTRADA")</f>
        <v/>
      </c>
      <c r="H4440" s="13">
        <f>SUMIFS(Movimentacoes!$G:$G,Movimentacoes!$C:$C,$A4440,Movimentacoes!$E:$E,$C4440,Movimentacoes!$B:$B,"SAIDA_USO")</f>
        <v/>
      </c>
      <c r="I4440" s="13">
        <f>SUMIFS(Movimentacoes!$G:$G,Movimentacoes!$C:$C,$A4440,Movimentacoes!$E:$E,$C4440,Movimentacoes!$B:$B,"SAIDA_DESCARTE")</f>
        <v/>
      </c>
      <c r="J4440" s="13">
        <f>G4440-H4440-I4440</f>
        <v/>
      </c>
      <c r="K4440">
        <f>IF(A4440="","",IF(J4440&lt;=IFERROR(VLOOKUP(A4440,Cadastro_Produtos!$A:$E,5,FALSE),0),"ABAIXO DO MINIMO","OK"))</f>
        <v/>
      </c>
    </row>
    <row r="4441">
      <c r="B4441">
        <f>IFERROR(VLOOKUP(A4441,Cadastro_Produtos!A:B,2,FALSE),"")</f>
        <v/>
      </c>
      <c r="D4441" s="12" t="n"/>
      <c r="E4441" s="13">
        <f>IF(D4441="","",D4441-TODAY())</f>
        <v/>
      </c>
      <c r="F4441">
        <f>IF(D4441="","",IF(E4441&lt;0,"VENCIDO",IF(E4441&lt;=30,"VENCE EM &lt;= 30 DIAS",IF(E4441&lt;=60,"ATENCAO (31-60 DIAS)","OK"))))</f>
        <v/>
      </c>
      <c r="G4441" s="13">
        <f>SUMIFS(Movimentacoes!$G:$G,Movimentacoes!$C:$C,$A4441,Movimentacoes!$E:$E,$C4441,Movimentacoes!$B:$B,"ENTRADA")</f>
        <v/>
      </c>
      <c r="H4441" s="13">
        <f>SUMIFS(Movimentacoes!$G:$G,Movimentacoes!$C:$C,$A4441,Movimentacoes!$E:$E,$C4441,Movimentacoes!$B:$B,"SAIDA_USO")</f>
        <v/>
      </c>
      <c r="I4441" s="13">
        <f>SUMIFS(Movimentacoes!$G:$G,Movimentacoes!$C:$C,$A4441,Movimentacoes!$E:$E,$C4441,Movimentacoes!$B:$B,"SAIDA_DESCARTE")</f>
        <v/>
      </c>
      <c r="J4441" s="13">
        <f>G4441-H4441-I4441</f>
        <v/>
      </c>
      <c r="K4441">
        <f>IF(A4441="","",IF(J4441&lt;=IFERROR(VLOOKUP(A4441,Cadastro_Produtos!$A:$E,5,FALSE),0),"ABAIXO DO MINIMO","OK"))</f>
        <v/>
      </c>
    </row>
    <row r="4442">
      <c r="B4442">
        <f>IFERROR(VLOOKUP(A4442,Cadastro_Produtos!A:B,2,FALSE),"")</f>
        <v/>
      </c>
      <c r="D4442" s="12" t="n"/>
      <c r="E4442" s="13">
        <f>IF(D4442="","",D4442-TODAY())</f>
        <v/>
      </c>
      <c r="F4442">
        <f>IF(D4442="","",IF(E4442&lt;0,"VENCIDO",IF(E4442&lt;=30,"VENCE EM &lt;= 30 DIAS",IF(E4442&lt;=60,"ATENCAO (31-60 DIAS)","OK"))))</f>
        <v/>
      </c>
      <c r="G4442" s="13">
        <f>SUMIFS(Movimentacoes!$G:$G,Movimentacoes!$C:$C,$A4442,Movimentacoes!$E:$E,$C4442,Movimentacoes!$B:$B,"ENTRADA")</f>
        <v/>
      </c>
      <c r="H4442" s="13">
        <f>SUMIFS(Movimentacoes!$G:$G,Movimentacoes!$C:$C,$A4442,Movimentacoes!$E:$E,$C4442,Movimentacoes!$B:$B,"SAIDA_USO")</f>
        <v/>
      </c>
      <c r="I4442" s="13">
        <f>SUMIFS(Movimentacoes!$G:$G,Movimentacoes!$C:$C,$A4442,Movimentacoes!$E:$E,$C4442,Movimentacoes!$B:$B,"SAIDA_DESCARTE")</f>
        <v/>
      </c>
      <c r="J4442" s="13">
        <f>G4442-H4442-I4442</f>
        <v/>
      </c>
      <c r="K4442">
        <f>IF(A4442="","",IF(J4442&lt;=IFERROR(VLOOKUP(A4442,Cadastro_Produtos!$A:$E,5,FALSE),0),"ABAIXO DO MINIMO","OK"))</f>
        <v/>
      </c>
    </row>
    <row r="4443">
      <c r="B4443">
        <f>IFERROR(VLOOKUP(A4443,Cadastro_Produtos!A:B,2,FALSE),"")</f>
        <v/>
      </c>
      <c r="D4443" s="12" t="n"/>
      <c r="E4443" s="13">
        <f>IF(D4443="","",D4443-TODAY())</f>
        <v/>
      </c>
      <c r="F4443">
        <f>IF(D4443="","",IF(E4443&lt;0,"VENCIDO",IF(E4443&lt;=30,"VENCE EM &lt;= 30 DIAS",IF(E4443&lt;=60,"ATENCAO (31-60 DIAS)","OK"))))</f>
        <v/>
      </c>
      <c r="G4443" s="13">
        <f>SUMIFS(Movimentacoes!$G:$G,Movimentacoes!$C:$C,$A4443,Movimentacoes!$E:$E,$C4443,Movimentacoes!$B:$B,"ENTRADA")</f>
        <v/>
      </c>
      <c r="H4443" s="13">
        <f>SUMIFS(Movimentacoes!$G:$G,Movimentacoes!$C:$C,$A4443,Movimentacoes!$E:$E,$C4443,Movimentacoes!$B:$B,"SAIDA_USO")</f>
        <v/>
      </c>
      <c r="I4443" s="13">
        <f>SUMIFS(Movimentacoes!$G:$G,Movimentacoes!$C:$C,$A4443,Movimentacoes!$E:$E,$C4443,Movimentacoes!$B:$B,"SAIDA_DESCARTE")</f>
        <v/>
      </c>
      <c r="J4443" s="13">
        <f>G4443-H4443-I4443</f>
        <v/>
      </c>
      <c r="K4443">
        <f>IF(A4443="","",IF(J4443&lt;=IFERROR(VLOOKUP(A4443,Cadastro_Produtos!$A:$E,5,FALSE),0),"ABAIXO DO MINIMO","OK"))</f>
        <v/>
      </c>
    </row>
    <row r="4444">
      <c r="B4444">
        <f>IFERROR(VLOOKUP(A4444,Cadastro_Produtos!A:B,2,FALSE),"")</f>
        <v/>
      </c>
      <c r="D4444" s="12" t="n"/>
      <c r="E4444" s="13">
        <f>IF(D4444="","",D4444-TODAY())</f>
        <v/>
      </c>
      <c r="F4444">
        <f>IF(D4444="","",IF(E4444&lt;0,"VENCIDO",IF(E4444&lt;=30,"VENCE EM &lt;= 30 DIAS",IF(E4444&lt;=60,"ATENCAO (31-60 DIAS)","OK"))))</f>
        <v/>
      </c>
      <c r="G4444" s="13">
        <f>SUMIFS(Movimentacoes!$G:$G,Movimentacoes!$C:$C,$A4444,Movimentacoes!$E:$E,$C4444,Movimentacoes!$B:$B,"ENTRADA")</f>
        <v/>
      </c>
      <c r="H4444" s="13">
        <f>SUMIFS(Movimentacoes!$G:$G,Movimentacoes!$C:$C,$A4444,Movimentacoes!$E:$E,$C4444,Movimentacoes!$B:$B,"SAIDA_USO")</f>
        <v/>
      </c>
      <c r="I4444" s="13">
        <f>SUMIFS(Movimentacoes!$G:$G,Movimentacoes!$C:$C,$A4444,Movimentacoes!$E:$E,$C4444,Movimentacoes!$B:$B,"SAIDA_DESCARTE")</f>
        <v/>
      </c>
      <c r="J4444" s="13">
        <f>G4444-H4444-I4444</f>
        <v/>
      </c>
      <c r="K4444">
        <f>IF(A4444="","",IF(J4444&lt;=IFERROR(VLOOKUP(A4444,Cadastro_Produtos!$A:$E,5,FALSE),0),"ABAIXO DO MINIMO","OK"))</f>
        <v/>
      </c>
    </row>
    <row r="4445">
      <c r="B4445">
        <f>IFERROR(VLOOKUP(A4445,Cadastro_Produtos!A:B,2,FALSE),"")</f>
        <v/>
      </c>
      <c r="D4445" s="12" t="n"/>
      <c r="E4445" s="13">
        <f>IF(D4445="","",D4445-TODAY())</f>
        <v/>
      </c>
      <c r="F4445">
        <f>IF(D4445="","",IF(E4445&lt;0,"VENCIDO",IF(E4445&lt;=30,"VENCE EM &lt;= 30 DIAS",IF(E4445&lt;=60,"ATENCAO (31-60 DIAS)","OK"))))</f>
        <v/>
      </c>
      <c r="G4445" s="13">
        <f>SUMIFS(Movimentacoes!$G:$G,Movimentacoes!$C:$C,$A4445,Movimentacoes!$E:$E,$C4445,Movimentacoes!$B:$B,"ENTRADA")</f>
        <v/>
      </c>
      <c r="H4445" s="13">
        <f>SUMIFS(Movimentacoes!$G:$G,Movimentacoes!$C:$C,$A4445,Movimentacoes!$E:$E,$C4445,Movimentacoes!$B:$B,"SAIDA_USO")</f>
        <v/>
      </c>
      <c r="I4445" s="13">
        <f>SUMIFS(Movimentacoes!$G:$G,Movimentacoes!$C:$C,$A4445,Movimentacoes!$E:$E,$C4445,Movimentacoes!$B:$B,"SAIDA_DESCARTE")</f>
        <v/>
      </c>
      <c r="J4445" s="13">
        <f>G4445-H4445-I4445</f>
        <v/>
      </c>
      <c r="K4445">
        <f>IF(A4445="","",IF(J4445&lt;=IFERROR(VLOOKUP(A4445,Cadastro_Produtos!$A:$E,5,FALSE),0),"ABAIXO DO MINIMO","OK"))</f>
        <v/>
      </c>
    </row>
    <row r="4446">
      <c r="B4446">
        <f>IFERROR(VLOOKUP(A4446,Cadastro_Produtos!A:B,2,FALSE),"")</f>
        <v/>
      </c>
      <c r="D4446" s="12" t="n"/>
      <c r="E4446" s="13">
        <f>IF(D4446="","",D4446-TODAY())</f>
        <v/>
      </c>
      <c r="F4446">
        <f>IF(D4446="","",IF(E4446&lt;0,"VENCIDO",IF(E4446&lt;=30,"VENCE EM &lt;= 30 DIAS",IF(E4446&lt;=60,"ATENCAO (31-60 DIAS)","OK"))))</f>
        <v/>
      </c>
      <c r="G4446" s="13">
        <f>SUMIFS(Movimentacoes!$G:$G,Movimentacoes!$C:$C,$A4446,Movimentacoes!$E:$E,$C4446,Movimentacoes!$B:$B,"ENTRADA")</f>
        <v/>
      </c>
      <c r="H4446" s="13">
        <f>SUMIFS(Movimentacoes!$G:$G,Movimentacoes!$C:$C,$A4446,Movimentacoes!$E:$E,$C4446,Movimentacoes!$B:$B,"SAIDA_USO")</f>
        <v/>
      </c>
      <c r="I4446" s="13">
        <f>SUMIFS(Movimentacoes!$G:$G,Movimentacoes!$C:$C,$A4446,Movimentacoes!$E:$E,$C4446,Movimentacoes!$B:$B,"SAIDA_DESCARTE")</f>
        <v/>
      </c>
      <c r="J4446" s="13">
        <f>G4446-H4446-I4446</f>
        <v/>
      </c>
      <c r="K4446">
        <f>IF(A4446="","",IF(J4446&lt;=IFERROR(VLOOKUP(A4446,Cadastro_Produtos!$A:$E,5,FALSE),0),"ABAIXO DO MINIMO","OK"))</f>
        <v/>
      </c>
    </row>
    <row r="4447">
      <c r="B4447">
        <f>IFERROR(VLOOKUP(A4447,Cadastro_Produtos!A:B,2,FALSE),"")</f>
        <v/>
      </c>
      <c r="D4447" s="12" t="n"/>
      <c r="E4447" s="13">
        <f>IF(D4447="","",D4447-TODAY())</f>
        <v/>
      </c>
      <c r="F4447">
        <f>IF(D4447="","",IF(E4447&lt;0,"VENCIDO",IF(E4447&lt;=30,"VENCE EM &lt;= 30 DIAS",IF(E4447&lt;=60,"ATENCAO (31-60 DIAS)","OK"))))</f>
        <v/>
      </c>
      <c r="G4447" s="13">
        <f>SUMIFS(Movimentacoes!$G:$G,Movimentacoes!$C:$C,$A4447,Movimentacoes!$E:$E,$C4447,Movimentacoes!$B:$B,"ENTRADA")</f>
        <v/>
      </c>
      <c r="H4447" s="13">
        <f>SUMIFS(Movimentacoes!$G:$G,Movimentacoes!$C:$C,$A4447,Movimentacoes!$E:$E,$C4447,Movimentacoes!$B:$B,"SAIDA_USO")</f>
        <v/>
      </c>
      <c r="I4447" s="13">
        <f>SUMIFS(Movimentacoes!$G:$G,Movimentacoes!$C:$C,$A4447,Movimentacoes!$E:$E,$C4447,Movimentacoes!$B:$B,"SAIDA_DESCARTE")</f>
        <v/>
      </c>
      <c r="J4447" s="13">
        <f>G4447-H4447-I4447</f>
        <v/>
      </c>
      <c r="K4447">
        <f>IF(A4447="","",IF(J4447&lt;=IFERROR(VLOOKUP(A4447,Cadastro_Produtos!$A:$E,5,FALSE),0),"ABAIXO DO MINIMO","OK"))</f>
        <v/>
      </c>
    </row>
    <row r="4448">
      <c r="B4448">
        <f>IFERROR(VLOOKUP(A4448,Cadastro_Produtos!A:B,2,FALSE),"")</f>
        <v/>
      </c>
      <c r="D4448" s="12" t="n"/>
      <c r="E4448" s="13">
        <f>IF(D4448="","",D4448-TODAY())</f>
        <v/>
      </c>
      <c r="F4448">
        <f>IF(D4448="","",IF(E4448&lt;0,"VENCIDO",IF(E4448&lt;=30,"VENCE EM &lt;= 30 DIAS",IF(E4448&lt;=60,"ATENCAO (31-60 DIAS)","OK"))))</f>
        <v/>
      </c>
      <c r="G4448" s="13">
        <f>SUMIFS(Movimentacoes!$G:$G,Movimentacoes!$C:$C,$A4448,Movimentacoes!$E:$E,$C4448,Movimentacoes!$B:$B,"ENTRADA")</f>
        <v/>
      </c>
      <c r="H4448" s="13">
        <f>SUMIFS(Movimentacoes!$G:$G,Movimentacoes!$C:$C,$A4448,Movimentacoes!$E:$E,$C4448,Movimentacoes!$B:$B,"SAIDA_USO")</f>
        <v/>
      </c>
      <c r="I4448" s="13">
        <f>SUMIFS(Movimentacoes!$G:$G,Movimentacoes!$C:$C,$A4448,Movimentacoes!$E:$E,$C4448,Movimentacoes!$B:$B,"SAIDA_DESCARTE")</f>
        <v/>
      </c>
      <c r="J4448" s="13">
        <f>G4448-H4448-I4448</f>
        <v/>
      </c>
      <c r="K4448">
        <f>IF(A4448="","",IF(J4448&lt;=IFERROR(VLOOKUP(A4448,Cadastro_Produtos!$A:$E,5,FALSE),0),"ABAIXO DO MINIMO","OK"))</f>
        <v/>
      </c>
    </row>
    <row r="4449">
      <c r="B4449">
        <f>IFERROR(VLOOKUP(A4449,Cadastro_Produtos!A:B,2,FALSE),"")</f>
        <v/>
      </c>
      <c r="D4449" s="12" t="n"/>
      <c r="E4449" s="13">
        <f>IF(D4449="","",D4449-TODAY())</f>
        <v/>
      </c>
      <c r="F4449">
        <f>IF(D4449="","",IF(E4449&lt;0,"VENCIDO",IF(E4449&lt;=30,"VENCE EM &lt;= 30 DIAS",IF(E4449&lt;=60,"ATENCAO (31-60 DIAS)","OK"))))</f>
        <v/>
      </c>
      <c r="G4449" s="13">
        <f>SUMIFS(Movimentacoes!$G:$G,Movimentacoes!$C:$C,$A4449,Movimentacoes!$E:$E,$C4449,Movimentacoes!$B:$B,"ENTRADA")</f>
        <v/>
      </c>
      <c r="H4449" s="13">
        <f>SUMIFS(Movimentacoes!$G:$G,Movimentacoes!$C:$C,$A4449,Movimentacoes!$E:$E,$C4449,Movimentacoes!$B:$B,"SAIDA_USO")</f>
        <v/>
      </c>
      <c r="I4449" s="13">
        <f>SUMIFS(Movimentacoes!$G:$G,Movimentacoes!$C:$C,$A4449,Movimentacoes!$E:$E,$C4449,Movimentacoes!$B:$B,"SAIDA_DESCARTE")</f>
        <v/>
      </c>
      <c r="J4449" s="13">
        <f>G4449-H4449-I4449</f>
        <v/>
      </c>
      <c r="K4449">
        <f>IF(A4449="","",IF(J4449&lt;=IFERROR(VLOOKUP(A4449,Cadastro_Produtos!$A:$E,5,FALSE),0),"ABAIXO DO MINIMO","OK"))</f>
        <v/>
      </c>
    </row>
    <row r="4450">
      <c r="B4450">
        <f>IFERROR(VLOOKUP(A4450,Cadastro_Produtos!A:B,2,FALSE),"")</f>
        <v/>
      </c>
      <c r="D4450" s="12" t="n"/>
      <c r="E4450" s="13">
        <f>IF(D4450="","",D4450-TODAY())</f>
        <v/>
      </c>
      <c r="F4450">
        <f>IF(D4450="","",IF(E4450&lt;0,"VENCIDO",IF(E4450&lt;=30,"VENCE EM &lt;= 30 DIAS",IF(E4450&lt;=60,"ATENCAO (31-60 DIAS)","OK"))))</f>
        <v/>
      </c>
      <c r="G4450" s="13">
        <f>SUMIFS(Movimentacoes!$G:$G,Movimentacoes!$C:$C,$A4450,Movimentacoes!$E:$E,$C4450,Movimentacoes!$B:$B,"ENTRADA")</f>
        <v/>
      </c>
      <c r="H4450" s="13">
        <f>SUMIFS(Movimentacoes!$G:$G,Movimentacoes!$C:$C,$A4450,Movimentacoes!$E:$E,$C4450,Movimentacoes!$B:$B,"SAIDA_USO")</f>
        <v/>
      </c>
      <c r="I4450" s="13">
        <f>SUMIFS(Movimentacoes!$G:$G,Movimentacoes!$C:$C,$A4450,Movimentacoes!$E:$E,$C4450,Movimentacoes!$B:$B,"SAIDA_DESCARTE")</f>
        <v/>
      </c>
      <c r="J4450" s="13">
        <f>G4450-H4450-I4450</f>
        <v/>
      </c>
      <c r="K4450">
        <f>IF(A4450="","",IF(J4450&lt;=IFERROR(VLOOKUP(A4450,Cadastro_Produtos!$A:$E,5,FALSE),0),"ABAIXO DO MINIMO","OK"))</f>
        <v/>
      </c>
    </row>
    <row r="4451">
      <c r="B4451">
        <f>IFERROR(VLOOKUP(A4451,Cadastro_Produtos!A:B,2,FALSE),"")</f>
        <v/>
      </c>
      <c r="D4451" s="12" t="n"/>
      <c r="E4451" s="13">
        <f>IF(D4451="","",D4451-TODAY())</f>
        <v/>
      </c>
      <c r="F4451">
        <f>IF(D4451="","",IF(E4451&lt;0,"VENCIDO",IF(E4451&lt;=30,"VENCE EM &lt;= 30 DIAS",IF(E4451&lt;=60,"ATENCAO (31-60 DIAS)","OK"))))</f>
        <v/>
      </c>
      <c r="G4451" s="13">
        <f>SUMIFS(Movimentacoes!$G:$G,Movimentacoes!$C:$C,$A4451,Movimentacoes!$E:$E,$C4451,Movimentacoes!$B:$B,"ENTRADA")</f>
        <v/>
      </c>
      <c r="H4451" s="13">
        <f>SUMIFS(Movimentacoes!$G:$G,Movimentacoes!$C:$C,$A4451,Movimentacoes!$E:$E,$C4451,Movimentacoes!$B:$B,"SAIDA_USO")</f>
        <v/>
      </c>
      <c r="I4451" s="13">
        <f>SUMIFS(Movimentacoes!$G:$G,Movimentacoes!$C:$C,$A4451,Movimentacoes!$E:$E,$C4451,Movimentacoes!$B:$B,"SAIDA_DESCARTE")</f>
        <v/>
      </c>
      <c r="J4451" s="13">
        <f>G4451-H4451-I4451</f>
        <v/>
      </c>
      <c r="K4451">
        <f>IF(A4451="","",IF(J4451&lt;=IFERROR(VLOOKUP(A4451,Cadastro_Produtos!$A:$E,5,FALSE),0),"ABAIXO DO MINIMO","OK"))</f>
        <v/>
      </c>
    </row>
    <row r="4452">
      <c r="B4452">
        <f>IFERROR(VLOOKUP(A4452,Cadastro_Produtos!A:B,2,FALSE),"")</f>
        <v/>
      </c>
      <c r="D4452" s="12" t="n"/>
      <c r="E4452" s="13">
        <f>IF(D4452="","",D4452-TODAY())</f>
        <v/>
      </c>
      <c r="F4452">
        <f>IF(D4452="","",IF(E4452&lt;0,"VENCIDO",IF(E4452&lt;=30,"VENCE EM &lt;= 30 DIAS",IF(E4452&lt;=60,"ATENCAO (31-60 DIAS)","OK"))))</f>
        <v/>
      </c>
      <c r="G4452" s="13">
        <f>SUMIFS(Movimentacoes!$G:$G,Movimentacoes!$C:$C,$A4452,Movimentacoes!$E:$E,$C4452,Movimentacoes!$B:$B,"ENTRADA")</f>
        <v/>
      </c>
      <c r="H4452" s="13">
        <f>SUMIFS(Movimentacoes!$G:$G,Movimentacoes!$C:$C,$A4452,Movimentacoes!$E:$E,$C4452,Movimentacoes!$B:$B,"SAIDA_USO")</f>
        <v/>
      </c>
      <c r="I4452" s="13">
        <f>SUMIFS(Movimentacoes!$G:$G,Movimentacoes!$C:$C,$A4452,Movimentacoes!$E:$E,$C4452,Movimentacoes!$B:$B,"SAIDA_DESCARTE")</f>
        <v/>
      </c>
      <c r="J4452" s="13">
        <f>G4452-H4452-I4452</f>
        <v/>
      </c>
      <c r="K4452">
        <f>IF(A4452="","",IF(J4452&lt;=IFERROR(VLOOKUP(A4452,Cadastro_Produtos!$A:$E,5,FALSE),0),"ABAIXO DO MINIMO","OK"))</f>
        <v/>
      </c>
    </row>
    <row r="4453">
      <c r="B4453">
        <f>IFERROR(VLOOKUP(A4453,Cadastro_Produtos!A:B,2,FALSE),"")</f>
        <v/>
      </c>
      <c r="D4453" s="12" t="n"/>
      <c r="E4453" s="13">
        <f>IF(D4453="","",D4453-TODAY())</f>
        <v/>
      </c>
      <c r="F4453">
        <f>IF(D4453="","",IF(E4453&lt;0,"VENCIDO",IF(E4453&lt;=30,"VENCE EM &lt;= 30 DIAS",IF(E4453&lt;=60,"ATENCAO (31-60 DIAS)","OK"))))</f>
        <v/>
      </c>
      <c r="G4453" s="13">
        <f>SUMIFS(Movimentacoes!$G:$G,Movimentacoes!$C:$C,$A4453,Movimentacoes!$E:$E,$C4453,Movimentacoes!$B:$B,"ENTRADA")</f>
        <v/>
      </c>
      <c r="H4453" s="13">
        <f>SUMIFS(Movimentacoes!$G:$G,Movimentacoes!$C:$C,$A4453,Movimentacoes!$E:$E,$C4453,Movimentacoes!$B:$B,"SAIDA_USO")</f>
        <v/>
      </c>
      <c r="I4453" s="13">
        <f>SUMIFS(Movimentacoes!$G:$G,Movimentacoes!$C:$C,$A4453,Movimentacoes!$E:$E,$C4453,Movimentacoes!$B:$B,"SAIDA_DESCARTE")</f>
        <v/>
      </c>
      <c r="J4453" s="13">
        <f>G4453-H4453-I4453</f>
        <v/>
      </c>
      <c r="K4453">
        <f>IF(A4453="","",IF(J4453&lt;=IFERROR(VLOOKUP(A4453,Cadastro_Produtos!$A:$E,5,FALSE),0),"ABAIXO DO MINIMO","OK"))</f>
        <v/>
      </c>
    </row>
    <row r="4454">
      <c r="B4454">
        <f>IFERROR(VLOOKUP(A4454,Cadastro_Produtos!A:B,2,FALSE),"")</f>
        <v/>
      </c>
      <c r="D4454" s="12" t="n"/>
      <c r="E4454" s="13">
        <f>IF(D4454="","",D4454-TODAY())</f>
        <v/>
      </c>
      <c r="F4454">
        <f>IF(D4454="","",IF(E4454&lt;0,"VENCIDO",IF(E4454&lt;=30,"VENCE EM &lt;= 30 DIAS",IF(E4454&lt;=60,"ATENCAO (31-60 DIAS)","OK"))))</f>
        <v/>
      </c>
      <c r="G4454" s="13">
        <f>SUMIFS(Movimentacoes!$G:$G,Movimentacoes!$C:$C,$A4454,Movimentacoes!$E:$E,$C4454,Movimentacoes!$B:$B,"ENTRADA")</f>
        <v/>
      </c>
      <c r="H4454" s="13">
        <f>SUMIFS(Movimentacoes!$G:$G,Movimentacoes!$C:$C,$A4454,Movimentacoes!$E:$E,$C4454,Movimentacoes!$B:$B,"SAIDA_USO")</f>
        <v/>
      </c>
      <c r="I4454" s="13">
        <f>SUMIFS(Movimentacoes!$G:$G,Movimentacoes!$C:$C,$A4454,Movimentacoes!$E:$E,$C4454,Movimentacoes!$B:$B,"SAIDA_DESCARTE")</f>
        <v/>
      </c>
      <c r="J4454" s="13">
        <f>G4454-H4454-I4454</f>
        <v/>
      </c>
      <c r="K4454">
        <f>IF(A4454="","",IF(J4454&lt;=IFERROR(VLOOKUP(A4454,Cadastro_Produtos!$A:$E,5,FALSE),0),"ABAIXO DO MINIMO","OK"))</f>
        <v/>
      </c>
    </row>
    <row r="4455">
      <c r="B4455">
        <f>IFERROR(VLOOKUP(A4455,Cadastro_Produtos!A:B,2,FALSE),"")</f>
        <v/>
      </c>
      <c r="D4455" s="12" t="n"/>
      <c r="E4455" s="13">
        <f>IF(D4455="","",D4455-TODAY())</f>
        <v/>
      </c>
      <c r="F4455">
        <f>IF(D4455="","",IF(E4455&lt;0,"VENCIDO",IF(E4455&lt;=30,"VENCE EM &lt;= 30 DIAS",IF(E4455&lt;=60,"ATENCAO (31-60 DIAS)","OK"))))</f>
        <v/>
      </c>
      <c r="G4455" s="13">
        <f>SUMIFS(Movimentacoes!$G:$G,Movimentacoes!$C:$C,$A4455,Movimentacoes!$E:$E,$C4455,Movimentacoes!$B:$B,"ENTRADA")</f>
        <v/>
      </c>
      <c r="H4455" s="13">
        <f>SUMIFS(Movimentacoes!$G:$G,Movimentacoes!$C:$C,$A4455,Movimentacoes!$E:$E,$C4455,Movimentacoes!$B:$B,"SAIDA_USO")</f>
        <v/>
      </c>
      <c r="I4455" s="13">
        <f>SUMIFS(Movimentacoes!$G:$G,Movimentacoes!$C:$C,$A4455,Movimentacoes!$E:$E,$C4455,Movimentacoes!$B:$B,"SAIDA_DESCARTE")</f>
        <v/>
      </c>
      <c r="J4455" s="13">
        <f>G4455-H4455-I4455</f>
        <v/>
      </c>
      <c r="K4455">
        <f>IF(A4455="","",IF(J4455&lt;=IFERROR(VLOOKUP(A4455,Cadastro_Produtos!$A:$E,5,FALSE),0),"ABAIXO DO MINIMO","OK"))</f>
        <v/>
      </c>
    </row>
    <row r="4456">
      <c r="B4456">
        <f>IFERROR(VLOOKUP(A4456,Cadastro_Produtos!A:B,2,FALSE),"")</f>
        <v/>
      </c>
      <c r="D4456" s="12" t="n"/>
      <c r="E4456" s="13">
        <f>IF(D4456="","",D4456-TODAY())</f>
        <v/>
      </c>
      <c r="F4456">
        <f>IF(D4456="","",IF(E4456&lt;0,"VENCIDO",IF(E4456&lt;=30,"VENCE EM &lt;= 30 DIAS",IF(E4456&lt;=60,"ATENCAO (31-60 DIAS)","OK"))))</f>
        <v/>
      </c>
      <c r="G4456" s="13">
        <f>SUMIFS(Movimentacoes!$G:$G,Movimentacoes!$C:$C,$A4456,Movimentacoes!$E:$E,$C4456,Movimentacoes!$B:$B,"ENTRADA")</f>
        <v/>
      </c>
      <c r="H4456" s="13">
        <f>SUMIFS(Movimentacoes!$G:$G,Movimentacoes!$C:$C,$A4456,Movimentacoes!$E:$E,$C4456,Movimentacoes!$B:$B,"SAIDA_USO")</f>
        <v/>
      </c>
      <c r="I4456" s="13">
        <f>SUMIFS(Movimentacoes!$G:$G,Movimentacoes!$C:$C,$A4456,Movimentacoes!$E:$E,$C4456,Movimentacoes!$B:$B,"SAIDA_DESCARTE")</f>
        <v/>
      </c>
      <c r="J4456" s="13">
        <f>G4456-H4456-I4456</f>
        <v/>
      </c>
      <c r="K4456">
        <f>IF(A4456="","",IF(J4456&lt;=IFERROR(VLOOKUP(A4456,Cadastro_Produtos!$A:$E,5,FALSE),0),"ABAIXO DO MINIMO","OK"))</f>
        <v/>
      </c>
    </row>
    <row r="4457">
      <c r="B4457">
        <f>IFERROR(VLOOKUP(A4457,Cadastro_Produtos!A:B,2,FALSE),"")</f>
        <v/>
      </c>
      <c r="D4457" s="12" t="n"/>
      <c r="E4457" s="13">
        <f>IF(D4457="","",D4457-TODAY())</f>
        <v/>
      </c>
      <c r="F4457">
        <f>IF(D4457="","",IF(E4457&lt;0,"VENCIDO",IF(E4457&lt;=30,"VENCE EM &lt;= 30 DIAS",IF(E4457&lt;=60,"ATENCAO (31-60 DIAS)","OK"))))</f>
        <v/>
      </c>
      <c r="G4457" s="13">
        <f>SUMIFS(Movimentacoes!$G:$G,Movimentacoes!$C:$C,$A4457,Movimentacoes!$E:$E,$C4457,Movimentacoes!$B:$B,"ENTRADA")</f>
        <v/>
      </c>
      <c r="H4457" s="13">
        <f>SUMIFS(Movimentacoes!$G:$G,Movimentacoes!$C:$C,$A4457,Movimentacoes!$E:$E,$C4457,Movimentacoes!$B:$B,"SAIDA_USO")</f>
        <v/>
      </c>
      <c r="I4457" s="13">
        <f>SUMIFS(Movimentacoes!$G:$G,Movimentacoes!$C:$C,$A4457,Movimentacoes!$E:$E,$C4457,Movimentacoes!$B:$B,"SAIDA_DESCARTE")</f>
        <v/>
      </c>
      <c r="J4457" s="13">
        <f>G4457-H4457-I4457</f>
        <v/>
      </c>
      <c r="K4457">
        <f>IF(A4457="","",IF(J4457&lt;=IFERROR(VLOOKUP(A4457,Cadastro_Produtos!$A:$E,5,FALSE),0),"ABAIXO DO MINIMO","OK"))</f>
        <v/>
      </c>
    </row>
    <row r="4458">
      <c r="B4458">
        <f>IFERROR(VLOOKUP(A4458,Cadastro_Produtos!A:B,2,FALSE),"")</f>
        <v/>
      </c>
      <c r="D4458" s="12" t="n"/>
      <c r="E4458" s="13">
        <f>IF(D4458="","",D4458-TODAY())</f>
        <v/>
      </c>
      <c r="F4458">
        <f>IF(D4458="","",IF(E4458&lt;0,"VENCIDO",IF(E4458&lt;=30,"VENCE EM &lt;= 30 DIAS",IF(E4458&lt;=60,"ATENCAO (31-60 DIAS)","OK"))))</f>
        <v/>
      </c>
      <c r="G4458" s="13">
        <f>SUMIFS(Movimentacoes!$G:$G,Movimentacoes!$C:$C,$A4458,Movimentacoes!$E:$E,$C4458,Movimentacoes!$B:$B,"ENTRADA")</f>
        <v/>
      </c>
      <c r="H4458" s="13">
        <f>SUMIFS(Movimentacoes!$G:$G,Movimentacoes!$C:$C,$A4458,Movimentacoes!$E:$E,$C4458,Movimentacoes!$B:$B,"SAIDA_USO")</f>
        <v/>
      </c>
      <c r="I4458" s="13">
        <f>SUMIFS(Movimentacoes!$G:$G,Movimentacoes!$C:$C,$A4458,Movimentacoes!$E:$E,$C4458,Movimentacoes!$B:$B,"SAIDA_DESCARTE")</f>
        <v/>
      </c>
      <c r="J4458" s="13">
        <f>G4458-H4458-I4458</f>
        <v/>
      </c>
      <c r="K4458">
        <f>IF(A4458="","",IF(J4458&lt;=IFERROR(VLOOKUP(A4458,Cadastro_Produtos!$A:$E,5,FALSE),0),"ABAIXO DO MINIMO","OK"))</f>
        <v/>
      </c>
    </row>
    <row r="4459">
      <c r="B4459">
        <f>IFERROR(VLOOKUP(A4459,Cadastro_Produtos!A:B,2,FALSE),"")</f>
        <v/>
      </c>
      <c r="D4459" s="12" t="n"/>
      <c r="E4459" s="13">
        <f>IF(D4459="","",D4459-TODAY())</f>
        <v/>
      </c>
      <c r="F4459">
        <f>IF(D4459="","",IF(E4459&lt;0,"VENCIDO",IF(E4459&lt;=30,"VENCE EM &lt;= 30 DIAS",IF(E4459&lt;=60,"ATENCAO (31-60 DIAS)","OK"))))</f>
        <v/>
      </c>
      <c r="G4459" s="13">
        <f>SUMIFS(Movimentacoes!$G:$G,Movimentacoes!$C:$C,$A4459,Movimentacoes!$E:$E,$C4459,Movimentacoes!$B:$B,"ENTRADA")</f>
        <v/>
      </c>
      <c r="H4459" s="13">
        <f>SUMIFS(Movimentacoes!$G:$G,Movimentacoes!$C:$C,$A4459,Movimentacoes!$E:$E,$C4459,Movimentacoes!$B:$B,"SAIDA_USO")</f>
        <v/>
      </c>
      <c r="I4459" s="13">
        <f>SUMIFS(Movimentacoes!$G:$G,Movimentacoes!$C:$C,$A4459,Movimentacoes!$E:$E,$C4459,Movimentacoes!$B:$B,"SAIDA_DESCARTE")</f>
        <v/>
      </c>
      <c r="J4459" s="13">
        <f>G4459-H4459-I4459</f>
        <v/>
      </c>
      <c r="K4459">
        <f>IF(A4459="","",IF(J4459&lt;=IFERROR(VLOOKUP(A4459,Cadastro_Produtos!$A:$E,5,FALSE),0),"ABAIXO DO MINIMO","OK"))</f>
        <v/>
      </c>
    </row>
    <row r="4460">
      <c r="B4460">
        <f>IFERROR(VLOOKUP(A4460,Cadastro_Produtos!A:B,2,FALSE),"")</f>
        <v/>
      </c>
      <c r="D4460" s="12" t="n"/>
      <c r="E4460" s="13">
        <f>IF(D4460="","",D4460-TODAY())</f>
        <v/>
      </c>
      <c r="F4460">
        <f>IF(D4460="","",IF(E4460&lt;0,"VENCIDO",IF(E4460&lt;=30,"VENCE EM &lt;= 30 DIAS",IF(E4460&lt;=60,"ATENCAO (31-60 DIAS)","OK"))))</f>
        <v/>
      </c>
      <c r="G4460" s="13">
        <f>SUMIFS(Movimentacoes!$G:$G,Movimentacoes!$C:$C,$A4460,Movimentacoes!$E:$E,$C4460,Movimentacoes!$B:$B,"ENTRADA")</f>
        <v/>
      </c>
      <c r="H4460" s="13">
        <f>SUMIFS(Movimentacoes!$G:$G,Movimentacoes!$C:$C,$A4460,Movimentacoes!$E:$E,$C4460,Movimentacoes!$B:$B,"SAIDA_USO")</f>
        <v/>
      </c>
      <c r="I4460" s="13">
        <f>SUMIFS(Movimentacoes!$G:$G,Movimentacoes!$C:$C,$A4460,Movimentacoes!$E:$E,$C4460,Movimentacoes!$B:$B,"SAIDA_DESCARTE")</f>
        <v/>
      </c>
      <c r="J4460" s="13">
        <f>G4460-H4460-I4460</f>
        <v/>
      </c>
      <c r="K4460">
        <f>IF(A4460="","",IF(J4460&lt;=IFERROR(VLOOKUP(A4460,Cadastro_Produtos!$A:$E,5,FALSE),0),"ABAIXO DO MINIMO","OK"))</f>
        <v/>
      </c>
    </row>
    <row r="4461">
      <c r="B4461">
        <f>IFERROR(VLOOKUP(A4461,Cadastro_Produtos!A:B,2,FALSE),"")</f>
        <v/>
      </c>
      <c r="D4461" s="12" t="n"/>
      <c r="E4461" s="13">
        <f>IF(D4461="","",D4461-TODAY())</f>
        <v/>
      </c>
      <c r="F4461">
        <f>IF(D4461="","",IF(E4461&lt;0,"VENCIDO",IF(E4461&lt;=30,"VENCE EM &lt;= 30 DIAS",IF(E4461&lt;=60,"ATENCAO (31-60 DIAS)","OK"))))</f>
        <v/>
      </c>
      <c r="G4461" s="13">
        <f>SUMIFS(Movimentacoes!$G:$G,Movimentacoes!$C:$C,$A4461,Movimentacoes!$E:$E,$C4461,Movimentacoes!$B:$B,"ENTRADA")</f>
        <v/>
      </c>
      <c r="H4461" s="13">
        <f>SUMIFS(Movimentacoes!$G:$G,Movimentacoes!$C:$C,$A4461,Movimentacoes!$E:$E,$C4461,Movimentacoes!$B:$B,"SAIDA_USO")</f>
        <v/>
      </c>
      <c r="I4461" s="13">
        <f>SUMIFS(Movimentacoes!$G:$G,Movimentacoes!$C:$C,$A4461,Movimentacoes!$E:$E,$C4461,Movimentacoes!$B:$B,"SAIDA_DESCARTE")</f>
        <v/>
      </c>
      <c r="J4461" s="13">
        <f>G4461-H4461-I4461</f>
        <v/>
      </c>
      <c r="K4461">
        <f>IF(A4461="","",IF(J4461&lt;=IFERROR(VLOOKUP(A4461,Cadastro_Produtos!$A:$E,5,FALSE),0),"ABAIXO DO MINIMO","OK"))</f>
        <v/>
      </c>
    </row>
    <row r="4462">
      <c r="B4462">
        <f>IFERROR(VLOOKUP(A4462,Cadastro_Produtos!A:B,2,FALSE),"")</f>
        <v/>
      </c>
      <c r="D4462" s="12" t="n"/>
      <c r="E4462" s="13">
        <f>IF(D4462="","",D4462-TODAY())</f>
        <v/>
      </c>
      <c r="F4462">
        <f>IF(D4462="","",IF(E4462&lt;0,"VENCIDO",IF(E4462&lt;=30,"VENCE EM &lt;= 30 DIAS",IF(E4462&lt;=60,"ATENCAO (31-60 DIAS)","OK"))))</f>
        <v/>
      </c>
      <c r="G4462" s="13">
        <f>SUMIFS(Movimentacoes!$G:$G,Movimentacoes!$C:$C,$A4462,Movimentacoes!$E:$E,$C4462,Movimentacoes!$B:$B,"ENTRADA")</f>
        <v/>
      </c>
      <c r="H4462" s="13">
        <f>SUMIFS(Movimentacoes!$G:$G,Movimentacoes!$C:$C,$A4462,Movimentacoes!$E:$E,$C4462,Movimentacoes!$B:$B,"SAIDA_USO")</f>
        <v/>
      </c>
      <c r="I4462" s="13">
        <f>SUMIFS(Movimentacoes!$G:$G,Movimentacoes!$C:$C,$A4462,Movimentacoes!$E:$E,$C4462,Movimentacoes!$B:$B,"SAIDA_DESCARTE")</f>
        <v/>
      </c>
      <c r="J4462" s="13">
        <f>G4462-H4462-I4462</f>
        <v/>
      </c>
      <c r="K4462">
        <f>IF(A4462="","",IF(J4462&lt;=IFERROR(VLOOKUP(A4462,Cadastro_Produtos!$A:$E,5,FALSE),0),"ABAIXO DO MINIMO","OK"))</f>
        <v/>
      </c>
    </row>
    <row r="4463">
      <c r="B4463">
        <f>IFERROR(VLOOKUP(A4463,Cadastro_Produtos!A:B,2,FALSE),"")</f>
        <v/>
      </c>
      <c r="D4463" s="12" t="n"/>
      <c r="E4463" s="13">
        <f>IF(D4463="","",D4463-TODAY())</f>
        <v/>
      </c>
      <c r="F4463">
        <f>IF(D4463="","",IF(E4463&lt;0,"VENCIDO",IF(E4463&lt;=30,"VENCE EM &lt;= 30 DIAS",IF(E4463&lt;=60,"ATENCAO (31-60 DIAS)","OK"))))</f>
        <v/>
      </c>
      <c r="G4463" s="13">
        <f>SUMIFS(Movimentacoes!$G:$G,Movimentacoes!$C:$C,$A4463,Movimentacoes!$E:$E,$C4463,Movimentacoes!$B:$B,"ENTRADA")</f>
        <v/>
      </c>
      <c r="H4463" s="13">
        <f>SUMIFS(Movimentacoes!$G:$G,Movimentacoes!$C:$C,$A4463,Movimentacoes!$E:$E,$C4463,Movimentacoes!$B:$B,"SAIDA_USO")</f>
        <v/>
      </c>
      <c r="I4463" s="13">
        <f>SUMIFS(Movimentacoes!$G:$G,Movimentacoes!$C:$C,$A4463,Movimentacoes!$E:$E,$C4463,Movimentacoes!$B:$B,"SAIDA_DESCARTE")</f>
        <v/>
      </c>
      <c r="J4463" s="13">
        <f>G4463-H4463-I4463</f>
        <v/>
      </c>
      <c r="K4463">
        <f>IF(A4463="","",IF(J4463&lt;=IFERROR(VLOOKUP(A4463,Cadastro_Produtos!$A:$E,5,FALSE),0),"ABAIXO DO MINIMO","OK"))</f>
        <v/>
      </c>
    </row>
    <row r="4464">
      <c r="B4464">
        <f>IFERROR(VLOOKUP(A4464,Cadastro_Produtos!A:B,2,FALSE),"")</f>
        <v/>
      </c>
      <c r="D4464" s="12" t="n"/>
      <c r="E4464" s="13">
        <f>IF(D4464="","",D4464-TODAY())</f>
        <v/>
      </c>
      <c r="F4464">
        <f>IF(D4464="","",IF(E4464&lt;0,"VENCIDO",IF(E4464&lt;=30,"VENCE EM &lt;= 30 DIAS",IF(E4464&lt;=60,"ATENCAO (31-60 DIAS)","OK"))))</f>
        <v/>
      </c>
      <c r="G4464" s="13">
        <f>SUMIFS(Movimentacoes!$G:$G,Movimentacoes!$C:$C,$A4464,Movimentacoes!$E:$E,$C4464,Movimentacoes!$B:$B,"ENTRADA")</f>
        <v/>
      </c>
      <c r="H4464" s="13">
        <f>SUMIFS(Movimentacoes!$G:$G,Movimentacoes!$C:$C,$A4464,Movimentacoes!$E:$E,$C4464,Movimentacoes!$B:$B,"SAIDA_USO")</f>
        <v/>
      </c>
      <c r="I4464" s="13">
        <f>SUMIFS(Movimentacoes!$G:$G,Movimentacoes!$C:$C,$A4464,Movimentacoes!$E:$E,$C4464,Movimentacoes!$B:$B,"SAIDA_DESCARTE")</f>
        <v/>
      </c>
      <c r="J4464" s="13">
        <f>G4464-H4464-I4464</f>
        <v/>
      </c>
      <c r="K4464">
        <f>IF(A4464="","",IF(J4464&lt;=IFERROR(VLOOKUP(A4464,Cadastro_Produtos!$A:$E,5,FALSE),0),"ABAIXO DO MINIMO","OK"))</f>
        <v/>
      </c>
    </row>
    <row r="4465">
      <c r="B4465">
        <f>IFERROR(VLOOKUP(A4465,Cadastro_Produtos!A:B,2,FALSE),"")</f>
        <v/>
      </c>
      <c r="D4465" s="12" t="n"/>
      <c r="E4465" s="13">
        <f>IF(D4465="","",D4465-TODAY())</f>
        <v/>
      </c>
      <c r="F4465">
        <f>IF(D4465="","",IF(E4465&lt;0,"VENCIDO",IF(E4465&lt;=30,"VENCE EM &lt;= 30 DIAS",IF(E4465&lt;=60,"ATENCAO (31-60 DIAS)","OK"))))</f>
        <v/>
      </c>
      <c r="G4465" s="13">
        <f>SUMIFS(Movimentacoes!$G:$G,Movimentacoes!$C:$C,$A4465,Movimentacoes!$E:$E,$C4465,Movimentacoes!$B:$B,"ENTRADA")</f>
        <v/>
      </c>
      <c r="H4465" s="13">
        <f>SUMIFS(Movimentacoes!$G:$G,Movimentacoes!$C:$C,$A4465,Movimentacoes!$E:$E,$C4465,Movimentacoes!$B:$B,"SAIDA_USO")</f>
        <v/>
      </c>
      <c r="I4465" s="13">
        <f>SUMIFS(Movimentacoes!$G:$G,Movimentacoes!$C:$C,$A4465,Movimentacoes!$E:$E,$C4465,Movimentacoes!$B:$B,"SAIDA_DESCARTE")</f>
        <v/>
      </c>
      <c r="J4465" s="13">
        <f>G4465-H4465-I4465</f>
        <v/>
      </c>
      <c r="K4465">
        <f>IF(A4465="","",IF(J4465&lt;=IFERROR(VLOOKUP(A4465,Cadastro_Produtos!$A:$E,5,FALSE),0),"ABAIXO DO MINIMO","OK"))</f>
        <v/>
      </c>
    </row>
    <row r="4466">
      <c r="B4466">
        <f>IFERROR(VLOOKUP(A4466,Cadastro_Produtos!A:B,2,FALSE),"")</f>
        <v/>
      </c>
      <c r="D4466" s="12" t="n"/>
      <c r="E4466" s="13">
        <f>IF(D4466="","",D4466-TODAY())</f>
        <v/>
      </c>
      <c r="F4466">
        <f>IF(D4466="","",IF(E4466&lt;0,"VENCIDO",IF(E4466&lt;=30,"VENCE EM &lt;= 30 DIAS",IF(E4466&lt;=60,"ATENCAO (31-60 DIAS)","OK"))))</f>
        <v/>
      </c>
      <c r="G4466" s="13">
        <f>SUMIFS(Movimentacoes!$G:$G,Movimentacoes!$C:$C,$A4466,Movimentacoes!$E:$E,$C4466,Movimentacoes!$B:$B,"ENTRADA")</f>
        <v/>
      </c>
      <c r="H4466" s="13">
        <f>SUMIFS(Movimentacoes!$G:$G,Movimentacoes!$C:$C,$A4466,Movimentacoes!$E:$E,$C4466,Movimentacoes!$B:$B,"SAIDA_USO")</f>
        <v/>
      </c>
      <c r="I4466" s="13">
        <f>SUMIFS(Movimentacoes!$G:$G,Movimentacoes!$C:$C,$A4466,Movimentacoes!$E:$E,$C4466,Movimentacoes!$B:$B,"SAIDA_DESCARTE")</f>
        <v/>
      </c>
      <c r="J4466" s="13">
        <f>G4466-H4466-I4466</f>
        <v/>
      </c>
      <c r="K4466">
        <f>IF(A4466="","",IF(J4466&lt;=IFERROR(VLOOKUP(A4466,Cadastro_Produtos!$A:$E,5,FALSE),0),"ABAIXO DO MINIMO","OK"))</f>
        <v/>
      </c>
    </row>
    <row r="4467">
      <c r="B4467">
        <f>IFERROR(VLOOKUP(A4467,Cadastro_Produtos!A:B,2,FALSE),"")</f>
        <v/>
      </c>
      <c r="D4467" s="12" t="n"/>
      <c r="E4467" s="13">
        <f>IF(D4467="","",D4467-TODAY())</f>
        <v/>
      </c>
      <c r="F4467">
        <f>IF(D4467="","",IF(E4467&lt;0,"VENCIDO",IF(E4467&lt;=30,"VENCE EM &lt;= 30 DIAS",IF(E4467&lt;=60,"ATENCAO (31-60 DIAS)","OK"))))</f>
        <v/>
      </c>
      <c r="G4467" s="13">
        <f>SUMIFS(Movimentacoes!$G:$G,Movimentacoes!$C:$C,$A4467,Movimentacoes!$E:$E,$C4467,Movimentacoes!$B:$B,"ENTRADA")</f>
        <v/>
      </c>
      <c r="H4467" s="13">
        <f>SUMIFS(Movimentacoes!$G:$G,Movimentacoes!$C:$C,$A4467,Movimentacoes!$E:$E,$C4467,Movimentacoes!$B:$B,"SAIDA_USO")</f>
        <v/>
      </c>
      <c r="I4467" s="13">
        <f>SUMIFS(Movimentacoes!$G:$G,Movimentacoes!$C:$C,$A4467,Movimentacoes!$E:$E,$C4467,Movimentacoes!$B:$B,"SAIDA_DESCARTE")</f>
        <v/>
      </c>
      <c r="J4467" s="13">
        <f>G4467-H4467-I4467</f>
        <v/>
      </c>
      <c r="K4467">
        <f>IF(A4467="","",IF(J4467&lt;=IFERROR(VLOOKUP(A4467,Cadastro_Produtos!$A:$E,5,FALSE),0),"ABAIXO DO MINIMO","OK"))</f>
        <v/>
      </c>
    </row>
    <row r="4468">
      <c r="B4468">
        <f>IFERROR(VLOOKUP(A4468,Cadastro_Produtos!A:B,2,FALSE),"")</f>
        <v/>
      </c>
      <c r="D4468" s="12" t="n"/>
      <c r="E4468" s="13">
        <f>IF(D4468="","",D4468-TODAY())</f>
        <v/>
      </c>
      <c r="F4468">
        <f>IF(D4468="","",IF(E4468&lt;0,"VENCIDO",IF(E4468&lt;=30,"VENCE EM &lt;= 30 DIAS",IF(E4468&lt;=60,"ATENCAO (31-60 DIAS)","OK"))))</f>
        <v/>
      </c>
      <c r="G4468" s="13">
        <f>SUMIFS(Movimentacoes!$G:$G,Movimentacoes!$C:$C,$A4468,Movimentacoes!$E:$E,$C4468,Movimentacoes!$B:$B,"ENTRADA")</f>
        <v/>
      </c>
      <c r="H4468" s="13">
        <f>SUMIFS(Movimentacoes!$G:$G,Movimentacoes!$C:$C,$A4468,Movimentacoes!$E:$E,$C4468,Movimentacoes!$B:$B,"SAIDA_USO")</f>
        <v/>
      </c>
      <c r="I4468" s="13">
        <f>SUMIFS(Movimentacoes!$G:$G,Movimentacoes!$C:$C,$A4468,Movimentacoes!$E:$E,$C4468,Movimentacoes!$B:$B,"SAIDA_DESCARTE")</f>
        <v/>
      </c>
      <c r="J4468" s="13">
        <f>G4468-H4468-I4468</f>
        <v/>
      </c>
      <c r="K4468">
        <f>IF(A4468="","",IF(J4468&lt;=IFERROR(VLOOKUP(A4468,Cadastro_Produtos!$A:$E,5,FALSE),0),"ABAIXO DO MINIMO","OK"))</f>
        <v/>
      </c>
    </row>
    <row r="4469">
      <c r="B4469">
        <f>IFERROR(VLOOKUP(A4469,Cadastro_Produtos!A:B,2,FALSE),"")</f>
        <v/>
      </c>
      <c r="D4469" s="12" t="n"/>
      <c r="E4469" s="13">
        <f>IF(D4469="","",D4469-TODAY())</f>
        <v/>
      </c>
      <c r="F4469">
        <f>IF(D4469="","",IF(E4469&lt;0,"VENCIDO",IF(E4469&lt;=30,"VENCE EM &lt;= 30 DIAS",IF(E4469&lt;=60,"ATENCAO (31-60 DIAS)","OK"))))</f>
        <v/>
      </c>
      <c r="G4469" s="13">
        <f>SUMIFS(Movimentacoes!$G:$G,Movimentacoes!$C:$C,$A4469,Movimentacoes!$E:$E,$C4469,Movimentacoes!$B:$B,"ENTRADA")</f>
        <v/>
      </c>
      <c r="H4469" s="13">
        <f>SUMIFS(Movimentacoes!$G:$G,Movimentacoes!$C:$C,$A4469,Movimentacoes!$E:$E,$C4469,Movimentacoes!$B:$B,"SAIDA_USO")</f>
        <v/>
      </c>
      <c r="I4469" s="13">
        <f>SUMIFS(Movimentacoes!$G:$G,Movimentacoes!$C:$C,$A4469,Movimentacoes!$E:$E,$C4469,Movimentacoes!$B:$B,"SAIDA_DESCARTE")</f>
        <v/>
      </c>
      <c r="J4469" s="13">
        <f>G4469-H4469-I4469</f>
        <v/>
      </c>
      <c r="K4469">
        <f>IF(A4469="","",IF(J4469&lt;=IFERROR(VLOOKUP(A4469,Cadastro_Produtos!$A:$E,5,FALSE),0),"ABAIXO DO MINIMO","OK"))</f>
        <v/>
      </c>
    </row>
    <row r="4470">
      <c r="B4470">
        <f>IFERROR(VLOOKUP(A4470,Cadastro_Produtos!A:B,2,FALSE),"")</f>
        <v/>
      </c>
      <c r="D4470" s="12" t="n"/>
      <c r="E4470" s="13">
        <f>IF(D4470="","",D4470-TODAY())</f>
        <v/>
      </c>
      <c r="F4470">
        <f>IF(D4470="","",IF(E4470&lt;0,"VENCIDO",IF(E4470&lt;=30,"VENCE EM &lt;= 30 DIAS",IF(E4470&lt;=60,"ATENCAO (31-60 DIAS)","OK"))))</f>
        <v/>
      </c>
      <c r="G4470" s="13">
        <f>SUMIFS(Movimentacoes!$G:$G,Movimentacoes!$C:$C,$A4470,Movimentacoes!$E:$E,$C4470,Movimentacoes!$B:$B,"ENTRADA")</f>
        <v/>
      </c>
      <c r="H4470" s="13">
        <f>SUMIFS(Movimentacoes!$G:$G,Movimentacoes!$C:$C,$A4470,Movimentacoes!$E:$E,$C4470,Movimentacoes!$B:$B,"SAIDA_USO")</f>
        <v/>
      </c>
      <c r="I4470" s="13">
        <f>SUMIFS(Movimentacoes!$G:$G,Movimentacoes!$C:$C,$A4470,Movimentacoes!$E:$E,$C4470,Movimentacoes!$B:$B,"SAIDA_DESCARTE")</f>
        <v/>
      </c>
      <c r="J4470" s="13">
        <f>G4470-H4470-I4470</f>
        <v/>
      </c>
      <c r="K4470">
        <f>IF(A4470="","",IF(J4470&lt;=IFERROR(VLOOKUP(A4470,Cadastro_Produtos!$A:$E,5,FALSE),0),"ABAIXO DO MINIMO","OK"))</f>
        <v/>
      </c>
    </row>
    <row r="4471">
      <c r="B4471">
        <f>IFERROR(VLOOKUP(A4471,Cadastro_Produtos!A:B,2,FALSE),"")</f>
        <v/>
      </c>
      <c r="D4471" s="12" t="n"/>
      <c r="E4471" s="13">
        <f>IF(D4471="","",D4471-TODAY())</f>
        <v/>
      </c>
      <c r="F4471">
        <f>IF(D4471="","",IF(E4471&lt;0,"VENCIDO",IF(E4471&lt;=30,"VENCE EM &lt;= 30 DIAS",IF(E4471&lt;=60,"ATENCAO (31-60 DIAS)","OK"))))</f>
        <v/>
      </c>
      <c r="G4471" s="13">
        <f>SUMIFS(Movimentacoes!$G:$G,Movimentacoes!$C:$C,$A4471,Movimentacoes!$E:$E,$C4471,Movimentacoes!$B:$B,"ENTRADA")</f>
        <v/>
      </c>
      <c r="H4471" s="13">
        <f>SUMIFS(Movimentacoes!$G:$G,Movimentacoes!$C:$C,$A4471,Movimentacoes!$E:$E,$C4471,Movimentacoes!$B:$B,"SAIDA_USO")</f>
        <v/>
      </c>
      <c r="I4471" s="13">
        <f>SUMIFS(Movimentacoes!$G:$G,Movimentacoes!$C:$C,$A4471,Movimentacoes!$E:$E,$C4471,Movimentacoes!$B:$B,"SAIDA_DESCARTE")</f>
        <v/>
      </c>
      <c r="J4471" s="13">
        <f>G4471-H4471-I4471</f>
        <v/>
      </c>
      <c r="K4471">
        <f>IF(A4471="","",IF(J4471&lt;=IFERROR(VLOOKUP(A4471,Cadastro_Produtos!$A:$E,5,FALSE),0),"ABAIXO DO MINIMO","OK"))</f>
        <v/>
      </c>
    </row>
    <row r="4472">
      <c r="B4472">
        <f>IFERROR(VLOOKUP(A4472,Cadastro_Produtos!A:B,2,FALSE),"")</f>
        <v/>
      </c>
      <c r="D4472" s="12" t="n"/>
      <c r="E4472" s="13">
        <f>IF(D4472="","",D4472-TODAY())</f>
        <v/>
      </c>
      <c r="F4472">
        <f>IF(D4472="","",IF(E4472&lt;0,"VENCIDO",IF(E4472&lt;=30,"VENCE EM &lt;= 30 DIAS",IF(E4472&lt;=60,"ATENCAO (31-60 DIAS)","OK"))))</f>
        <v/>
      </c>
      <c r="G4472" s="13">
        <f>SUMIFS(Movimentacoes!$G:$G,Movimentacoes!$C:$C,$A4472,Movimentacoes!$E:$E,$C4472,Movimentacoes!$B:$B,"ENTRADA")</f>
        <v/>
      </c>
      <c r="H4472" s="13">
        <f>SUMIFS(Movimentacoes!$G:$G,Movimentacoes!$C:$C,$A4472,Movimentacoes!$E:$E,$C4472,Movimentacoes!$B:$B,"SAIDA_USO")</f>
        <v/>
      </c>
      <c r="I4472" s="13">
        <f>SUMIFS(Movimentacoes!$G:$G,Movimentacoes!$C:$C,$A4472,Movimentacoes!$E:$E,$C4472,Movimentacoes!$B:$B,"SAIDA_DESCARTE")</f>
        <v/>
      </c>
      <c r="J4472" s="13">
        <f>G4472-H4472-I4472</f>
        <v/>
      </c>
      <c r="K4472">
        <f>IF(A4472="","",IF(J4472&lt;=IFERROR(VLOOKUP(A4472,Cadastro_Produtos!$A:$E,5,FALSE),0),"ABAIXO DO MINIMO","OK"))</f>
        <v/>
      </c>
    </row>
    <row r="4473">
      <c r="B4473">
        <f>IFERROR(VLOOKUP(A4473,Cadastro_Produtos!A:B,2,FALSE),"")</f>
        <v/>
      </c>
      <c r="D4473" s="12" t="n"/>
      <c r="E4473" s="13">
        <f>IF(D4473="","",D4473-TODAY())</f>
        <v/>
      </c>
      <c r="F4473">
        <f>IF(D4473="","",IF(E4473&lt;0,"VENCIDO",IF(E4473&lt;=30,"VENCE EM &lt;= 30 DIAS",IF(E4473&lt;=60,"ATENCAO (31-60 DIAS)","OK"))))</f>
        <v/>
      </c>
      <c r="G4473" s="13">
        <f>SUMIFS(Movimentacoes!$G:$G,Movimentacoes!$C:$C,$A4473,Movimentacoes!$E:$E,$C4473,Movimentacoes!$B:$B,"ENTRADA")</f>
        <v/>
      </c>
      <c r="H4473" s="13">
        <f>SUMIFS(Movimentacoes!$G:$G,Movimentacoes!$C:$C,$A4473,Movimentacoes!$E:$E,$C4473,Movimentacoes!$B:$B,"SAIDA_USO")</f>
        <v/>
      </c>
      <c r="I4473" s="13">
        <f>SUMIFS(Movimentacoes!$G:$G,Movimentacoes!$C:$C,$A4473,Movimentacoes!$E:$E,$C4473,Movimentacoes!$B:$B,"SAIDA_DESCARTE")</f>
        <v/>
      </c>
      <c r="J4473" s="13">
        <f>G4473-H4473-I4473</f>
        <v/>
      </c>
      <c r="K4473">
        <f>IF(A4473="","",IF(J4473&lt;=IFERROR(VLOOKUP(A4473,Cadastro_Produtos!$A:$E,5,FALSE),0),"ABAIXO DO MINIMO","OK"))</f>
        <v/>
      </c>
    </row>
    <row r="4474">
      <c r="B4474">
        <f>IFERROR(VLOOKUP(A4474,Cadastro_Produtos!A:B,2,FALSE),"")</f>
        <v/>
      </c>
      <c r="D4474" s="12" t="n"/>
      <c r="E4474" s="13">
        <f>IF(D4474="","",D4474-TODAY())</f>
        <v/>
      </c>
      <c r="F4474">
        <f>IF(D4474="","",IF(E4474&lt;0,"VENCIDO",IF(E4474&lt;=30,"VENCE EM &lt;= 30 DIAS",IF(E4474&lt;=60,"ATENCAO (31-60 DIAS)","OK"))))</f>
        <v/>
      </c>
      <c r="G4474" s="13">
        <f>SUMIFS(Movimentacoes!$G:$G,Movimentacoes!$C:$C,$A4474,Movimentacoes!$E:$E,$C4474,Movimentacoes!$B:$B,"ENTRADA")</f>
        <v/>
      </c>
      <c r="H4474" s="13">
        <f>SUMIFS(Movimentacoes!$G:$G,Movimentacoes!$C:$C,$A4474,Movimentacoes!$E:$E,$C4474,Movimentacoes!$B:$B,"SAIDA_USO")</f>
        <v/>
      </c>
      <c r="I4474" s="13">
        <f>SUMIFS(Movimentacoes!$G:$G,Movimentacoes!$C:$C,$A4474,Movimentacoes!$E:$E,$C4474,Movimentacoes!$B:$B,"SAIDA_DESCARTE")</f>
        <v/>
      </c>
      <c r="J4474" s="13">
        <f>G4474-H4474-I4474</f>
        <v/>
      </c>
      <c r="K4474">
        <f>IF(A4474="","",IF(J4474&lt;=IFERROR(VLOOKUP(A4474,Cadastro_Produtos!$A:$E,5,FALSE),0),"ABAIXO DO MINIMO","OK"))</f>
        <v/>
      </c>
    </row>
    <row r="4475">
      <c r="B4475">
        <f>IFERROR(VLOOKUP(A4475,Cadastro_Produtos!A:B,2,FALSE),"")</f>
        <v/>
      </c>
      <c r="D4475" s="12" t="n"/>
      <c r="E4475" s="13">
        <f>IF(D4475="","",D4475-TODAY())</f>
        <v/>
      </c>
      <c r="F4475">
        <f>IF(D4475="","",IF(E4475&lt;0,"VENCIDO",IF(E4475&lt;=30,"VENCE EM &lt;= 30 DIAS",IF(E4475&lt;=60,"ATENCAO (31-60 DIAS)","OK"))))</f>
        <v/>
      </c>
      <c r="G4475" s="13">
        <f>SUMIFS(Movimentacoes!$G:$G,Movimentacoes!$C:$C,$A4475,Movimentacoes!$E:$E,$C4475,Movimentacoes!$B:$B,"ENTRADA")</f>
        <v/>
      </c>
      <c r="H4475" s="13">
        <f>SUMIFS(Movimentacoes!$G:$G,Movimentacoes!$C:$C,$A4475,Movimentacoes!$E:$E,$C4475,Movimentacoes!$B:$B,"SAIDA_USO")</f>
        <v/>
      </c>
      <c r="I4475" s="13">
        <f>SUMIFS(Movimentacoes!$G:$G,Movimentacoes!$C:$C,$A4475,Movimentacoes!$E:$E,$C4475,Movimentacoes!$B:$B,"SAIDA_DESCARTE")</f>
        <v/>
      </c>
      <c r="J4475" s="13">
        <f>G4475-H4475-I4475</f>
        <v/>
      </c>
      <c r="K4475">
        <f>IF(A4475="","",IF(J4475&lt;=IFERROR(VLOOKUP(A4475,Cadastro_Produtos!$A:$E,5,FALSE),0),"ABAIXO DO MINIMO","OK"))</f>
        <v/>
      </c>
    </row>
    <row r="4476">
      <c r="B4476">
        <f>IFERROR(VLOOKUP(A4476,Cadastro_Produtos!A:B,2,FALSE),"")</f>
        <v/>
      </c>
      <c r="D4476" s="12" t="n"/>
      <c r="E4476" s="13">
        <f>IF(D4476="","",D4476-TODAY())</f>
        <v/>
      </c>
      <c r="F4476">
        <f>IF(D4476="","",IF(E4476&lt;0,"VENCIDO",IF(E4476&lt;=30,"VENCE EM &lt;= 30 DIAS",IF(E4476&lt;=60,"ATENCAO (31-60 DIAS)","OK"))))</f>
        <v/>
      </c>
      <c r="G4476" s="13">
        <f>SUMIFS(Movimentacoes!$G:$G,Movimentacoes!$C:$C,$A4476,Movimentacoes!$E:$E,$C4476,Movimentacoes!$B:$B,"ENTRADA")</f>
        <v/>
      </c>
      <c r="H4476" s="13">
        <f>SUMIFS(Movimentacoes!$G:$G,Movimentacoes!$C:$C,$A4476,Movimentacoes!$E:$E,$C4476,Movimentacoes!$B:$B,"SAIDA_USO")</f>
        <v/>
      </c>
      <c r="I4476" s="13">
        <f>SUMIFS(Movimentacoes!$G:$G,Movimentacoes!$C:$C,$A4476,Movimentacoes!$E:$E,$C4476,Movimentacoes!$B:$B,"SAIDA_DESCARTE")</f>
        <v/>
      </c>
      <c r="J4476" s="13">
        <f>G4476-H4476-I4476</f>
        <v/>
      </c>
      <c r="K4476">
        <f>IF(A4476="","",IF(J4476&lt;=IFERROR(VLOOKUP(A4476,Cadastro_Produtos!$A:$E,5,FALSE),0),"ABAIXO DO MINIMO","OK"))</f>
        <v/>
      </c>
    </row>
    <row r="4477">
      <c r="B4477">
        <f>IFERROR(VLOOKUP(A4477,Cadastro_Produtos!A:B,2,FALSE),"")</f>
        <v/>
      </c>
      <c r="D4477" s="12" t="n"/>
      <c r="E4477" s="13">
        <f>IF(D4477="","",D4477-TODAY())</f>
        <v/>
      </c>
      <c r="F4477">
        <f>IF(D4477="","",IF(E4477&lt;0,"VENCIDO",IF(E4477&lt;=30,"VENCE EM &lt;= 30 DIAS",IF(E4477&lt;=60,"ATENCAO (31-60 DIAS)","OK"))))</f>
        <v/>
      </c>
      <c r="G4477" s="13">
        <f>SUMIFS(Movimentacoes!$G:$G,Movimentacoes!$C:$C,$A4477,Movimentacoes!$E:$E,$C4477,Movimentacoes!$B:$B,"ENTRADA")</f>
        <v/>
      </c>
      <c r="H4477" s="13">
        <f>SUMIFS(Movimentacoes!$G:$G,Movimentacoes!$C:$C,$A4477,Movimentacoes!$E:$E,$C4477,Movimentacoes!$B:$B,"SAIDA_USO")</f>
        <v/>
      </c>
      <c r="I4477" s="13">
        <f>SUMIFS(Movimentacoes!$G:$G,Movimentacoes!$C:$C,$A4477,Movimentacoes!$E:$E,$C4477,Movimentacoes!$B:$B,"SAIDA_DESCARTE")</f>
        <v/>
      </c>
      <c r="J4477" s="13">
        <f>G4477-H4477-I4477</f>
        <v/>
      </c>
      <c r="K4477">
        <f>IF(A4477="","",IF(J4477&lt;=IFERROR(VLOOKUP(A4477,Cadastro_Produtos!$A:$E,5,FALSE),0),"ABAIXO DO MINIMO","OK"))</f>
        <v/>
      </c>
    </row>
    <row r="4478">
      <c r="B4478">
        <f>IFERROR(VLOOKUP(A4478,Cadastro_Produtos!A:B,2,FALSE),"")</f>
        <v/>
      </c>
      <c r="D4478" s="12" t="n"/>
      <c r="E4478" s="13">
        <f>IF(D4478="","",D4478-TODAY())</f>
        <v/>
      </c>
      <c r="F4478">
        <f>IF(D4478="","",IF(E4478&lt;0,"VENCIDO",IF(E4478&lt;=30,"VENCE EM &lt;= 30 DIAS",IF(E4478&lt;=60,"ATENCAO (31-60 DIAS)","OK"))))</f>
        <v/>
      </c>
      <c r="G4478" s="13">
        <f>SUMIFS(Movimentacoes!$G:$G,Movimentacoes!$C:$C,$A4478,Movimentacoes!$E:$E,$C4478,Movimentacoes!$B:$B,"ENTRADA")</f>
        <v/>
      </c>
      <c r="H4478" s="13">
        <f>SUMIFS(Movimentacoes!$G:$G,Movimentacoes!$C:$C,$A4478,Movimentacoes!$E:$E,$C4478,Movimentacoes!$B:$B,"SAIDA_USO")</f>
        <v/>
      </c>
      <c r="I4478" s="13">
        <f>SUMIFS(Movimentacoes!$G:$G,Movimentacoes!$C:$C,$A4478,Movimentacoes!$E:$E,$C4478,Movimentacoes!$B:$B,"SAIDA_DESCARTE")</f>
        <v/>
      </c>
      <c r="J4478" s="13">
        <f>G4478-H4478-I4478</f>
        <v/>
      </c>
      <c r="K4478">
        <f>IF(A4478="","",IF(J4478&lt;=IFERROR(VLOOKUP(A4478,Cadastro_Produtos!$A:$E,5,FALSE),0),"ABAIXO DO MINIMO","OK"))</f>
        <v/>
      </c>
    </row>
    <row r="4479">
      <c r="B4479">
        <f>IFERROR(VLOOKUP(A4479,Cadastro_Produtos!A:B,2,FALSE),"")</f>
        <v/>
      </c>
      <c r="D4479" s="12" t="n"/>
      <c r="E4479" s="13">
        <f>IF(D4479="","",D4479-TODAY())</f>
        <v/>
      </c>
      <c r="F4479">
        <f>IF(D4479="","",IF(E4479&lt;0,"VENCIDO",IF(E4479&lt;=30,"VENCE EM &lt;= 30 DIAS",IF(E4479&lt;=60,"ATENCAO (31-60 DIAS)","OK"))))</f>
        <v/>
      </c>
      <c r="G4479" s="13">
        <f>SUMIFS(Movimentacoes!$G:$G,Movimentacoes!$C:$C,$A4479,Movimentacoes!$E:$E,$C4479,Movimentacoes!$B:$B,"ENTRADA")</f>
        <v/>
      </c>
      <c r="H4479" s="13">
        <f>SUMIFS(Movimentacoes!$G:$G,Movimentacoes!$C:$C,$A4479,Movimentacoes!$E:$E,$C4479,Movimentacoes!$B:$B,"SAIDA_USO")</f>
        <v/>
      </c>
      <c r="I4479" s="13">
        <f>SUMIFS(Movimentacoes!$G:$G,Movimentacoes!$C:$C,$A4479,Movimentacoes!$E:$E,$C4479,Movimentacoes!$B:$B,"SAIDA_DESCARTE")</f>
        <v/>
      </c>
      <c r="J4479" s="13">
        <f>G4479-H4479-I4479</f>
        <v/>
      </c>
      <c r="K4479">
        <f>IF(A4479="","",IF(J4479&lt;=IFERROR(VLOOKUP(A4479,Cadastro_Produtos!$A:$E,5,FALSE),0),"ABAIXO DO MINIMO","OK"))</f>
        <v/>
      </c>
    </row>
    <row r="4480">
      <c r="B4480">
        <f>IFERROR(VLOOKUP(A4480,Cadastro_Produtos!A:B,2,FALSE),"")</f>
        <v/>
      </c>
      <c r="D4480" s="12" t="n"/>
      <c r="E4480" s="13">
        <f>IF(D4480="","",D4480-TODAY())</f>
        <v/>
      </c>
      <c r="F4480">
        <f>IF(D4480="","",IF(E4480&lt;0,"VENCIDO",IF(E4480&lt;=30,"VENCE EM &lt;= 30 DIAS",IF(E4480&lt;=60,"ATENCAO (31-60 DIAS)","OK"))))</f>
        <v/>
      </c>
      <c r="G4480" s="13">
        <f>SUMIFS(Movimentacoes!$G:$G,Movimentacoes!$C:$C,$A4480,Movimentacoes!$E:$E,$C4480,Movimentacoes!$B:$B,"ENTRADA")</f>
        <v/>
      </c>
      <c r="H4480" s="13">
        <f>SUMIFS(Movimentacoes!$G:$G,Movimentacoes!$C:$C,$A4480,Movimentacoes!$E:$E,$C4480,Movimentacoes!$B:$B,"SAIDA_USO")</f>
        <v/>
      </c>
      <c r="I4480" s="13">
        <f>SUMIFS(Movimentacoes!$G:$G,Movimentacoes!$C:$C,$A4480,Movimentacoes!$E:$E,$C4480,Movimentacoes!$B:$B,"SAIDA_DESCARTE")</f>
        <v/>
      </c>
      <c r="J4480" s="13">
        <f>G4480-H4480-I4480</f>
        <v/>
      </c>
      <c r="K4480">
        <f>IF(A4480="","",IF(J4480&lt;=IFERROR(VLOOKUP(A4480,Cadastro_Produtos!$A:$E,5,FALSE),0),"ABAIXO DO MINIMO","OK"))</f>
        <v/>
      </c>
    </row>
    <row r="4481">
      <c r="B4481">
        <f>IFERROR(VLOOKUP(A4481,Cadastro_Produtos!A:B,2,FALSE),"")</f>
        <v/>
      </c>
      <c r="D4481" s="12" t="n"/>
      <c r="E4481" s="13">
        <f>IF(D4481="","",D4481-TODAY())</f>
        <v/>
      </c>
      <c r="F4481">
        <f>IF(D4481="","",IF(E4481&lt;0,"VENCIDO",IF(E4481&lt;=30,"VENCE EM &lt;= 30 DIAS",IF(E4481&lt;=60,"ATENCAO (31-60 DIAS)","OK"))))</f>
        <v/>
      </c>
      <c r="G4481" s="13">
        <f>SUMIFS(Movimentacoes!$G:$G,Movimentacoes!$C:$C,$A4481,Movimentacoes!$E:$E,$C4481,Movimentacoes!$B:$B,"ENTRADA")</f>
        <v/>
      </c>
      <c r="H4481" s="13">
        <f>SUMIFS(Movimentacoes!$G:$G,Movimentacoes!$C:$C,$A4481,Movimentacoes!$E:$E,$C4481,Movimentacoes!$B:$B,"SAIDA_USO")</f>
        <v/>
      </c>
      <c r="I4481" s="13">
        <f>SUMIFS(Movimentacoes!$G:$G,Movimentacoes!$C:$C,$A4481,Movimentacoes!$E:$E,$C4481,Movimentacoes!$B:$B,"SAIDA_DESCARTE")</f>
        <v/>
      </c>
      <c r="J4481" s="13">
        <f>G4481-H4481-I4481</f>
        <v/>
      </c>
      <c r="K4481">
        <f>IF(A4481="","",IF(J4481&lt;=IFERROR(VLOOKUP(A4481,Cadastro_Produtos!$A:$E,5,FALSE),0),"ABAIXO DO MINIMO","OK"))</f>
        <v/>
      </c>
    </row>
    <row r="4482">
      <c r="B4482">
        <f>IFERROR(VLOOKUP(A4482,Cadastro_Produtos!A:B,2,FALSE),"")</f>
        <v/>
      </c>
      <c r="D4482" s="12" t="n"/>
      <c r="E4482" s="13">
        <f>IF(D4482="","",D4482-TODAY())</f>
        <v/>
      </c>
      <c r="F4482">
        <f>IF(D4482="","",IF(E4482&lt;0,"VENCIDO",IF(E4482&lt;=30,"VENCE EM &lt;= 30 DIAS",IF(E4482&lt;=60,"ATENCAO (31-60 DIAS)","OK"))))</f>
        <v/>
      </c>
      <c r="G4482" s="13">
        <f>SUMIFS(Movimentacoes!$G:$G,Movimentacoes!$C:$C,$A4482,Movimentacoes!$E:$E,$C4482,Movimentacoes!$B:$B,"ENTRADA")</f>
        <v/>
      </c>
      <c r="H4482" s="13">
        <f>SUMIFS(Movimentacoes!$G:$G,Movimentacoes!$C:$C,$A4482,Movimentacoes!$E:$E,$C4482,Movimentacoes!$B:$B,"SAIDA_USO")</f>
        <v/>
      </c>
      <c r="I4482" s="13">
        <f>SUMIFS(Movimentacoes!$G:$G,Movimentacoes!$C:$C,$A4482,Movimentacoes!$E:$E,$C4482,Movimentacoes!$B:$B,"SAIDA_DESCARTE")</f>
        <v/>
      </c>
      <c r="J4482" s="13">
        <f>G4482-H4482-I4482</f>
        <v/>
      </c>
      <c r="K4482">
        <f>IF(A4482="","",IF(J4482&lt;=IFERROR(VLOOKUP(A4482,Cadastro_Produtos!$A:$E,5,FALSE),0),"ABAIXO DO MINIMO","OK"))</f>
        <v/>
      </c>
    </row>
    <row r="4483">
      <c r="B4483">
        <f>IFERROR(VLOOKUP(A4483,Cadastro_Produtos!A:B,2,FALSE),"")</f>
        <v/>
      </c>
      <c r="D4483" s="12" t="n"/>
      <c r="E4483" s="13">
        <f>IF(D4483="","",D4483-TODAY())</f>
        <v/>
      </c>
      <c r="F4483">
        <f>IF(D4483="","",IF(E4483&lt;0,"VENCIDO",IF(E4483&lt;=30,"VENCE EM &lt;= 30 DIAS",IF(E4483&lt;=60,"ATENCAO (31-60 DIAS)","OK"))))</f>
        <v/>
      </c>
      <c r="G4483" s="13">
        <f>SUMIFS(Movimentacoes!$G:$G,Movimentacoes!$C:$C,$A4483,Movimentacoes!$E:$E,$C4483,Movimentacoes!$B:$B,"ENTRADA")</f>
        <v/>
      </c>
      <c r="H4483" s="13">
        <f>SUMIFS(Movimentacoes!$G:$G,Movimentacoes!$C:$C,$A4483,Movimentacoes!$E:$E,$C4483,Movimentacoes!$B:$B,"SAIDA_USO")</f>
        <v/>
      </c>
      <c r="I4483" s="13">
        <f>SUMIFS(Movimentacoes!$G:$G,Movimentacoes!$C:$C,$A4483,Movimentacoes!$E:$E,$C4483,Movimentacoes!$B:$B,"SAIDA_DESCARTE")</f>
        <v/>
      </c>
      <c r="J4483" s="13">
        <f>G4483-H4483-I4483</f>
        <v/>
      </c>
      <c r="K4483">
        <f>IF(A4483="","",IF(J4483&lt;=IFERROR(VLOOKUP(A4483,Cadastro_Produtos!$A:$E,5,FALSE),0),"ABAIXO DO MINIMO","OK"))</f>
        <v/>
      </c>
    </row>
    <row r="4484">
      <c r="B4484">
        <f>IFERROR(VLOOKUP(A4484,Cadastro_Produtos!A:B,2,FALSE),"")</f>
        <v/>
      </c>
      <c r="D4484" s="12" t="n"/>
      <c r="E4484" s="13">
        <f>IF(D4484="","",D4484-TODAY())</f>
        <v/>
      </c>
      <c r="F4484">
        <f>IF(D4484="","",IF(E4484&lt;0,"VENCIDO",IF(E4484&lt;=30,"VENCE EM &lt;= 30 DIAS",IF(E4484&lt;=60,"ATENCAO (31-60 DIAS)","OK"))))</f>
        <v/>
      </c>
      <c r="G4484" s="13">
        <f>SUMIFS(Movimentacoes!$G:$G,Movimentacoes!$C:$C,$A4484,Movimentacoes!$E:$E,$C4484,Movimentacoes!$B:$B,"ENTRADA")</f>
        <v/>
      </c>
      <c r="H4484" s="13">
        <f>SUMIFS(Movimentacoes!$G:$G,Movimentacoes!$C:$C,$A4484,Movimentacoes!$E:$E,$C4484,Movimentacoes!$B:$B,"SAIDA_USO")</f>
        <v/>
      </c>
      <c r="I4484" s="13">
        <f>SUMIFS(Movimentacoes!$G:$G,Movimentacoes!$C:$C,$A4484,Movimentacoes!$E:$E,$C4484,Movimentacoes!$B:$B,"SAIDA_DESCARTE")</f>
        <v/>
      </c>
      <c r="J4484" s="13">
        <f>G4484-H4484-I4484</f>
        <v/>
      </c>
      <c r="K4484">
        <f>IF(A4484="","",IF(J4484&lt;=IFERROR(VLOOKUP(A4484,Cadastro_Produtos!$A:$E,5,FALSE),0),"ABAIXO DO MINIMO","OK"))</f>
        <v/>
      </c>
    </row>
    <row r="4485">
      <c r="B4485">
        <f>IFERROR(VLOOKUP(A4485,Cadastro_Produtos!A:B,2,FALSE),"")</f>
        <v/>
      </c>
      <c r="D4485" s="12" t="n"/>
      <c r="E4485" s="13">
        <f>IF(D4485="","",D4485-TODAY())</f>
        <v/>
      </c>
      <c r="F4485">
        <f>IF(D4485="","",IF(E4485&lt;0,"VENCIDO",IF(E4485&lt;=30,"VENCE EM &lt;= 30 DIAS",IF(E4485&lt;=60,"ATENCAO (31-60 DIAS)","OK"))))</f>
        <v/>
      </c>
      <c r="G4485" s="13">
        <f>SUMIFS(Movimentacoes!$G:$G,Movimentacoes!$C:$C,$A4485,Movimentacoes!$E:$E,$C4485,Movimentacoes!$B:$B,"ENTRADA")</f>
        <v/>
      </c>
      <c r="H4485" s="13">
        <f>SUMIFS(Movimentacoes!$G:$G,Movimentacoes!$C:$C,$A4485,Movimentacoes!$E:$E,$C4485,Movimentacoes!$B:$B,"SAIDA_USO")</f>
        <v/>
      </c>
      <c r="I4485" s="13">
        <f>SUMIFS(Movimentacoes!$G:$G,Movimentacoes!$C:$C,$A4485,Movimentacoes!$E:$E,$C4485,Movimentacoes!$B:$B,"SAIDA_DESCARTE")</f>
        <v/>
      </c>
      <c r="J4485" s="13">
        <f>G4485-H4485-I4485</f>
        <v/>
      </c>
      <c r="K4485">
        <f>IF(A4485="","",IF(J4485&lt;=IFERROR(VLOOKUP(A4485,Cadastro_Produtos!$A:$E,5,FALSE),0),"ABAIXO DO MINIMO","OK"))</f>
        <v/>
      </c>
    </row>
    <row r="4486">
      <c r="B4486">
        <f>IFERROR(VLOOKUP(A4486,Cadastro_Produtos!A:B,2,FALSE),"")</f>
        <v/>
      </c>
      <c r="D4486" s="12" t="n"/>
      <c r="E4486" s="13">
        <f>IF(D4486="","",D4486-TODAY())</f>
        <v/>
      </c>
      <c r="F4486">
        <f>IF(D4486="","",IF(E4486&lt;0,"VENCIDO",IF(E4486&lt;=30,"VENCE EM &lt;= 30 DIAS",IF(E4486&lt;=60,"ATENCAO (31-60 DIAS)","OK"))))</f>
        <v/>
      </c>
      <c r="G4486" s="13">
        <f>SUMIFS(Movimentacoes!$G:$G,Movimentacoes!$C:$C,$A4486,Movimentacoes!$E:$E,$C4486,Movimentacoes!$B:$B,"ENTRADA")</f>
        <v/>
      </c>
      <c r="H4486" s="13">
        <f>SUMIFS(Movimentacoes!$G:$G,Movimentacoes!$C:$C,$A4486,Movimentacoes!$E:$E,$C4486,Movimentacoes!$B:$B,"SAIDA_USO")</f>
        <v/>
      </c>
      <c r="I4486" s="13">
        <f>SUMIFS(Movimentacoes!$G:$G,Movimentacoes!$C:$C,$A4486,Movimentacoes!$E:$E,$C4486,Movimentacoes!$B:$B,"SAIDA_DESCARTE")</f>
        <v/>
      </c>
      <c r="J4486" s="13">
        <f>G4486-H4486-I4486</f>
        <v/>
      </c>
      <c r="K4486">
        <f>IF(A4486="","",IF(J4486&lt;=IFERROR(VLOOKUP(A4486,Cadastro_Produtos!$A:$E,5,FALSE),0),"ABAIXO DO MINIMO","OK"))</f>
        <v/>
      </c>
    </row>
    <row r="4487">
      <c r="B4487">
        <f>IFERROR(VLOOKUP(A4487,Cadastro_Produtos!A:B,2,FALSE),"")</f>
        <v/>
      </c>
      <c r="D4487" s="12" t="n"/>
      <c r="E4487" s="13">
        <f>IF(D4487="","",D4487-TODAY())</f>
        <v/>
      </c>
      <c r="F4487">
        <f>IF(D4487="","",IF(E4487&lt;0,"VENCIDO",IF(E4487&lt;=30,"VENCE EM &lt;= 30 DIAS",IF(E4487&lt;=60,"ATENCAO (31-60 DIAS)","OK"))))</f>
        <v/>
      </c>
      <c r="G4487" s="13">
        <f>SUMIFS(Movimentacoes!$G:$G,Movimentacoes!$C:$C,$A4487,Movimentacoes!$E:$E,$C4487,Movimentacoes!$B:$B,"ENTRADA")</f>
        <v/>
      </c>
      <c r="H4487" s="13">
        <f>SUMIFS(Movimentacoes!$G:$G,Movimentacoes!$C:$C,$A4487,Movimentacoes!$E:$E,$C4487,Movimentacoes!$B:$B,"SAIDA_USO")</f>
        <v/>
      </c>
      <c r="I4487" s="13">
        <f>SUMIFS(Movimentacoes!$G:$G,Movimentacoes!$C:$C,$A4487,Movimentacoes!$E:$E,$C4487,Movimentacoes!$B:$B,"SAIDA_DESCARTE")</f>
        <v/>
      </c>
      <c r="J4487" s="13">
        <f>G4487-H4487-I4487</f>
        <v/>
      </c>
      <c r="K4487">
        <f>IF(A4487="","",IF(J4487&lt;=IFERROR(VLOOKUP(A4487,Cadastro_Produtos!$A:$E,5,FALSE),0),"ABAIXO DO MINIMO","OK"))</f>
        <v/>
      </c>
    </row>
    <row r="4488">
      <c r="B4488">
        <f>IFERROR(VLOOKUP(A4488,Cadastro_Produtos!A:B,2,FALSE),"")</f>
        <v/>
      </c>
      <c r="D4488" s="12" t="n"/>
      <c r="E4488" s="13">
        <f>IF(D4488="","",D4488-TODAY())</f>
        <v/>
      </c>
      <c r="F4488">
        <f>IF(D4488="","",IF(E4488&lt;0,"VENCIDO",IF(E4488&lt;=30,"VENCE EM &lt;= 30 DIAS",IF(E4488&lt;=60,"ATENCAO (31-60 DIAS)","OK"))))</f>
        <v/>
      </c>
      <c r="G4488" s="13">
        <f>SUMIFS(Movimentacoes!$G:$G,Movimentacoes!$C:$C,$A4488,Movimentacoes!$E:$E,$C4488,Movimentacoes!$B:$B,"ENTRADA")</f>
        <v/>
      </c>
      <c r="H4488" s="13">
        <f>SUMIFS(Movimentacoes!$G:$G,Movimentacoes!$C:$C,$A4488,Movimentacoes!$E:$E,$C4488,Movimentacoes!$B:$B,"SAIDA_USO")</f>
        <v/>
      </c>
      <c r="I4488" s="13">
        <f>SUMIFS(Movimentacoes!$G:$G,Movimentacoes!$C:$C,$A4488,Movimentacoes!$E:$E,$C4488,Movimentacoes!$B:$B,"SAIDA_DESCARTE")</f>
        <v/>
      </c>
      <c r="J4488" s="13">
        <f>G4488-H4488-I4488</f>
        <v/>
      </c>
      <c r="K4488">
        <f>IF(A4488="","",IF(J4488&lt;=IFERROR(VLOOKUP(A4488,Cadastro_Produtos!$A:$E,5,FALSE),0),"ABAIXO DO MINIMO","OK"))</f>
        <v/>
      </c>
    </row>
    <row r="4489">
      <c r="B4489">
        <f>IFERROR(VLOOKUP(A4489,Cadastro_Produtos!A:B,2,FALSE),"")</f>
        <v/>
      </c>
      <c r="D4489" s="12" t="n"/>
      <c r="E4489" s="13">
        <f>IF(D4489="","",D4489-TODAY())</f>
        <v/>
      </c>
      <c r="F4489">
        <f>IF(D4489="","",IF(E4489&lt;0,"VENCIDO",IF(E4489&lt;=30,"VENCE EM &lt;= 30 DIAS",IF(E4489&lt;=60,"ATENCAO (31-60 DIAS)","OK"))))</f>
        <v/>
      </c>
      <c r="G4489" s="13">
        <f>SUMIFS(Movimentacoes!$G:$G,Movimentacoes!$C:$C,$A4489,Movimentacoes!$E:$E,$C4489,Movimentacoes!$B:$B,"ENTRADA")</f>
        <v/>
      </c>
      <c r="H4489" s="13">
        <f>SUMIFS(Movimentacoes!$G:$G,Movimentacoes!$C:$C,$A4489,Movimentacoes!$E:$E,$C4489,Movimentacoes!$B:$B,"SAIDA_USO")</f>
        <v/>
      </c>
      <c r="I4489" s="13">
        <f>SUMIFS(Movimentacoes!$G:$G,Movimentacoes!$C:$C,$A4489,Movimentacoes!$E:$E,$C4489,Movimentacoes!$B:$B,"SAIDA_DESCARTE")</f>
        <v/>
      </c>
      <c r="J4489" s="13">
        <f>G4489-H4489-I4489</f>
        <v/>
      </c>
      <c r="K4489">
        <f>IF(A4489="","",IF(J4489&lt;=IFERROR(VLOOKUP(A4489,Cadastro_Produtos!$A:$E,5,FALSE),0),"ABAIXO DO MINIMO","OK"))</f>
        <v/>
      </c>
    </row>
    <row r="4490">
      <c r="B4490">
        <f>IFERROR(VLOOKUP(A4490,Cadastro_Produtos!A:B,2,FALSE),"")</f>
        <v/>
      </c>
      <c r="D4490" s="12" t="n"/>
      <c r="E4490" s="13">
        <f>IF(D4490="","",D4490-TODAY())</f>
        <v/>
      </c>
      <c r="F4490">
        <f>IF(D4490="","",IF(E4490&lt;0,"VENCIDO",IF(E4490&lt;=30,"VENCE EM &lt;= 30 DIAS",IF(E4490&lt;=60,"ATENCAO (31-60 DIAS)","OK"))))</f>
        <v/>
      </c>
      <c r="G4490" s="13">
        <f>SUMIFS(Movimentacoes!$G:$G,Movimentacoes!$C:$C,$A4490,Movimentacoes!$E:$E,$C4490,Movimentacoes!$B:$B,"ENTRADA")</f>
        <v/>
      </c>
      <c r="H4490" s="13">
        <f>SUMIFS(Movimentacoes!$G:$G,Movimentacoes!$C:$C,$A4490,Movimentacoes!$E:$E,$C4490,Movimentacoes!$B:$B,"SAIDA_USO")</f>
        <v/>
      </c>
      <c r="I4490" s="13">
        <f>SUMIFS(Movimentacoes!$G:$G,Movimentacoes!$C:$C,$A4490,Movimentacoes!$E:$E,$C4490,Movimentacoes!$B:$B,"SAIDA_DESCARTE")</f>
        <v/>
      </c>
      <c r="J4490" s="13">
        <f>G4490-H4490-I4490</f>
        <v/>
      </c>
      <c r="K4490">
        <f>IF(A4490="","",IF(J4490&lt;=IFERROR(VLOOKUP(A4490,Cadastro_Produtos!$A:$E,5,FALSE),0),"ABAIXO DO MINIMO","OK"))</f>
        <v/>
      </c>
    </row>
    <row r="4491">
      <c r="B4491">
        <f>IFERROR(VLOOKUP(A4491,Cadastro_Produtos!A:B,2,FALSE),"")</f>
        <v/>
      </c>
      <c r="D4491" s="12" t="n"/>
      <c r="E4491" s="13">
        <f>IF(D4491="","",D4491-TODAY())</f>
        <v/>
      </c>
      <c r="F4491">
        <f>IF(D4491="","",IF(E4491&lt;0,"VENCIDO",IF(E4491&lt;=30,"VENCE EM &lt;= 30 DIAS",IF(E4491&lt;=60,"ATENCAO (31-60 DIAS)","OK"))))</f>
        <v/>
      </c>
      <c r="G4491" s="13">
        <f>SUMIFS(Movimentacoes!$G:$G,Movimentacoes!$C:$C,$A4491,Movimentacoes!$E:$E,$C4491,Movimentacoes!$B:$B,"ENTRADA")</f>
        <v/>
      </c>
      <c r="H4491" s="13">
        <f>SUMIFS(Movimentacoes!$G:$G,Movimentacoes!$C:$C,$A4491,Movimentacoes!$E:$E,$C4491,Movimentacoes!$B:$B,"SAIDA_USO")</f>
        <v/>
      </c>
      <c r="I4491" s="13">
        <f>SUMIFS(Movimentacoes!$G:$G,Movimentacoes!$C:$C,$A4491,Movimentacoes!$E:$E,$C4491,Movimentacoes!$B:$B,"SAIDA_DESCARTE")</f>
        <v/>
      </c>
      <c r="J4491" s="13">
        <f>G4491-H4491-I4491</f>
        <v/>
      </c>
      <c r="K4491">
        <f>IF(A4491="","",IF(J4491&lt;=IFERROR(VLOOKUP(A4491,Cadastro_Produtos!$A:$E,5,FALSE),0),"ABAIXO DO MINIMO","OK"))</f>
        <v/>
      </c>
    </row>
    <row r="4492">
      <c r="B4492">
        <f>IFERROR(VLOOKUP(A4492,Cadastro_Produtos!A:B,2,FALSE),"")</f>
        <v/>
      </c>
      <c r="D4492" s="12" t="n"/>
      <c r="E4492" s="13">
        <f>IF(D4492="","",D4492-TODAY())</f>
        <v/>
      </c>
      <c r="F4492">
        <f>IF(D4492="","",IF(E4492&lt;0,"VENCIDO",IF(E4492&lt;=30,"VENCE EM &lt;= 30 DIAS",IF(E4492&lt;=60,"ATENCAO (31-60 DIAS)","OK"))))</f>
        <v/>
      </c>
      <c r="G4492" s="13">
        <f>SUMIFS(Movimentacoes!$G:$G,Movimentacoes!$C:$C,$A4492,Movimentacoes!$E:$E,$C4492,Movimentacoes!$B:$B,"ENTRADA")</f>
        <v/>
      </c>
      <c r="H4492" s="13">
        <f>SUMIFS(Movimentacoes!$G:$G,Movimentacoes!$C:$C,$A4492,Movimentacoes!$E:$E,$C4492,Movimentacoes!$B:$B,"SAIDA_USO")</f>
        <v/>
      </c>
      <c r="I4492" s="13">
        <f>SUMIFS(Movimentacoes!$G:$G,Movimentacoes!$C:$C,$A4492,Movimentacoes!$E:$E,$C4492,Movimentacoes!$B:$B,"SAIDA_DESCARTE")</f>
        <v/>
      </c>
      <c r="J4492" s="13">
        <f>G4492-H4492-I4492</f>
        <v/>
      </c>
      <c r="K4492">
        <f>IF(A4492="","",IF(J4492&lt;=IFERROR(VLOOKUP(A4492,Cadastro_Produtos!$A:$E,5,FALSE),0),"ABAIXO DO MINIMO","OK"))</f>
        <v/>
      </c>
    </row>
    <row r="4493">
      <c r="B4493">
        <f>IFERROR(VLOOKUP(A4493,Cadastro_Produtos!A:B,2,FALSE),"")</f>
        <v/>
      </c>
      <c r="D4493" s="12" t="n"/>
      <c r="E4493" s="13">
        <f>IF(D4493="","",D4493-TODAY())</f>
        <v/>
      </c>
      <c r="F4493">
        <f>IF(D4493="","",IF(E4493&lt;0,"VENCIDO",IF(E4493&lt;=30,"VENCE EM &lt;= 30 DIAS",IF(E4493&lt;=60,"ATENCAO (31-60 DIAS)","OK"))))</f>
        <v/>
      </c>
      <c r="G4493" s="13">
        <f>SUMIFS(Movimentacoes!$G:$G,Movimentacoes!$C:$C,$A4493,Movimentacoes!$E:$E,$C4493,Movimentacoes!$B:$B,"ENTRADA")</f>
        <v/>
      </c>
      <c r="H4493" s="13">
        <f>SUMIFS(Movimentacoes!$G:$G,Movimentacoes!$C:$C,$A4493,Movimentacoes!$E:$E,$C4493,Movimentacoes!$B:$B,"SAIDA_USO")</f>
        <v/>
      </c>
      <c r="I4493" s="13">
        <f>SUMIFS(Movimentacoes!$G:$G,Movimentacoes!$C:$C,$A4493,Movimentacoes!$E:$E,$C4493,Movimentacoes!$B:$B,"SAIDA_DESCARTE")</f>
        <v/>
      </c>
      <c r="J4493" s="13">
        <f>G4493-H4493-I4493</f>
        <v/>
      </c>
      <c r="K4493">
        <f>IF(A4493="","",IF(J4493&lt;=IFERROR(VLOOKUP(A4493,Cadastro_Produtos!$A:$E,5,FALSE),0),"ABAIXO DO MINIMO","OK"))</f>
        <v/>
      </c>
    </row>
    <row r="4494">
      <c r="B4494">
        <f>IFERROR(VLOOKUP(A4494,Cadastro_Produtos!A:B,2,FALSE),"")</f>
        <v/>
      </c>
      <c r="D4494" s="12" t="n"/>
      <c r="E4494" s="13">
        <f>IF(D4494="","",D4494-TODAY())</f>
        <v/>
      </c>
      <c r="F4494">
        <f>IF(D4494="","",IF(E4494&lt;0,"VENCIDO",IF(E4494&lt;=30,"VENCE EM &lt;= 30 DIAS",IF(E4494&lt;=60,"ATENCAO (31-60 DIAS)","OK"))))</f>
        <v/>
      </c>
      <c r="G4494" s="13">
        <f>SUMIFS(Movimentacoes!$G:$G,Movimentacoes!$C:$C,$A4494,Movimentacoes!$E:$E,$C4494,Movimentacoes!$B:$B,"ENTRADA")</f>
        <v/>
      </c>
      <c r="H4494" s="13">
        <f>SUMIFS(Movimentacoes!$G:$G,Movimentacoes!$C:$C,$A4494,Movimentacoes!$E:$E,$C4494,Movimentacoes!$B:$B,"SAIDA_USO")</f>
        <v/>
      </c>
      <c r="I4494" s="13">
        <f>SUMIFS(Movimentacoes!$G:$G,Movimentacoes!$C:$C,$A4494,Movimentacoes!$E:$E,$C4494,Movimentacoes!$B:$B,"SAIDA_DESCARTE")</f>
        <v/>
      </c>
      <c r="J4494" s="13">
        <f>G4494-H4494-I4494</f>
        <v/>
      </c>
      <c r="K4494">
        <f>IF(A4494="","",IF(J4494&lt;=IFERROR(VLOOKUP(A4494,Cadastro_Produtos!$A:$E,5,FALSE),0),"ABAIXO DO MINIMO","OK"))</f>
        <v/>
      </c>
    </row>
    <row r="4495">
      <c r="B4495">
        <f>IFERROR(VLOOKUP(A4495,Cadastro_Produtos!A:B,2,FALSE),"")</f>
        <v/>
      </c>
      <c r="D4495" s="12" t="n"/>
      <c r="E4495" s="13">
        <f>IF(D4495="","",D4495-TODAY())</f>
        <v/>
      </c>
      <c r="F4495">
        <f>IF(D4495="","",IF(E4495&lt;0,"VENCIDO",IF(E4495&lt;=30,"VENCE EM &lt;= 30 DIAS",IF(E4495&lt;=60,"ATENCAO (31-60 DIAS)","OK"))))</f>
        <v/>
      </c>
      <c r="G4495" s="13">
        <f>SUMIFS(Movimentacoes!$G:$G,Movimentacoes!$C:$C,$A4495,Movimentacoes!$E:$E,$C4495,Movimentacoes!$B:$B,"ENTRADA")</f>
        <v/>
      </c>
      <c r="H4495" s="13">
        <f>SUMIFS(Movimentacoes!$G:$G,Movimentacoes!$C:$C,$A4495,Movimentacoes!$E:$E,$C4495,Movimentacoes!$B:$B,"SAIDA_USO")</f>
        <v/>
      </c>
      <c r="I4495" s="13">
        <f>SUMIFS(Movimentacoes!$G:$G,Movimentacoes!$C:$C,$A4495,Movimentacoes!$E:$E,$C4495,Movimentacoes!$B:$B,"SAIDA_DESCARTE")</f>
        <v/>
      </c>
      <c r="J4495" s="13">
        <f>G4495-H4495-I4495</f>
        <v/>
      </c>
      <c r="K4495">
        <f>IF(A4495="","",IF(J4495&lt;=IFERROR(VLOOKUP(A4495,Cadastro_Produtos!$A:$E,5,FALSE),0),"ABAIXO DO MINIMO","OK"))</f>
        <v/>
      </c>
    </row>
    <row r="4496">
      <c r="B4496">
        <f>IFERROR(VLOOKUP(A4496,Cadastro_Produtos!A:B,2,FALSE),"")</f>
        <v/>
      </c>
      <c r="D4496" s="12" t="n"/>
      <c r="E4496" s="13">
        <f>IF(D4496="","",D4496-TODAY())</f>
        <v/>
      </c>
      <c r="F4496">
        <f>IF(D4496="","",IF(E4496&lt;0,"VENCIDO",IF(E4496&lt;=30,"VENCE EM &lt;= 30 DIAS",IF(E4496&lt;=60,"ATENCAO (31-60 DIAS)","OK"))))</f>
        <v/>
      </c>
      <c r="G4496" s="13">
        <f>SUMIFS(Movimentacoes!$G:$G,Movimentacoes!$C:$C,$A4496,Movimentacoes!$E:$E,$C4496,Movimentacoes!$B:$B,"ENTRADA")</f>
        <v/>
      </c>
      <c r="H4496" s="13">
        <f>SUMIFS(Movimentacoes!$G:$G,Movimentacoes!$C:$C,$A4496,Movimentacoes!$E:$E,$C4496,Movimentacoes!$B:$B,"SAIDA_USO")</f>
        <v/>
      </c>
      <c r="I4496" s="13">
        <f>SUMIFS(Movimentacoes!$G:$G,Movimentacoes!$C:$C,$A4496,Movimentacoes!$E:$E,$C4496,Movimentacoes!$B:$B,"SAIDA_DESCARTE")</f>
        <v/>
      </c>
      <c r="J4496" s="13">
        <f>G4496-H4496-I4496</f>
        <v/>
      </c>
      <c r="K4496">
        <f>IF(A4496="","",IF(J4496&lt;=IFERROR(VLOOKUP(A4496,Cadastro_Produtos!$A:$E,5,FALSE),0),"ABAIXO DO MINIMO","OK"))</f>
        <v/>
      </c>
    </row>
    <row r="4497">
      <c r="B4497">
        <f>IFERROR(VLOOKUP(A4497,Cadastro_Produtos!A:B,2,FALSE),"")</f>
        <v/>
      </c>
      <c r="D4497" s="12" t="n"/>
      <c r="E4497" s="13">
        <f>IF(D4497="","",D4497-TODAY())</f>
        <v/>
      </c>
      <c r="F4497">
        <f>IF(D4497="","",IF(E4497&lt;0,"VENCIDO",IF(E4497&lt;=30,"VENCE EM &lt;= 30 DIAS",IF(E4497&lt;=60,"ATENCAO (31-60 DIAS)","OK"))))</f>
        <v/>
      </c>
      <c r="G4497" s="13">
        <f>SUMIFS(Movimentacoes!$G:$G,Movimentacoes!$C:$C,$A4497,Movimentacoes!$E:$E,$C4497,Movimentacoes!$B:$B,"ENTRADA")</f>
        <v/>
      </c>
      <c r="H4497" s="13">
        <f>SUMIFS(Movimentacoes!$G:$G,Movimentacoes!$C:$C,$A4497,Movimentacoes!$E:$E,$C4497,Movimentacoes!$B:$B,"SAIDA_USO")</f>
        <v/>
      </c>
      <c r="I4497" s="13">
        <f>SUMIFS(Movimentacoes!$G:$G,Movimentacoes!$C:$C,$A4497,Movimentacoes!$E:$E,$C4497,Movimentacoes!$B:$B,"SAIDA_DESCARTE")</f>
        <v/>
      </c>
      <c r="J4497" s="13">
        <f>G4497-H4497-I4497</f>
        <v/>
      </c>
      <c r="K4497">
        <f>IF(A4497="","",IF(J4497&lt;=IFERROR(VLOOKUP(A4497,Cadastro_Produtos!$A:$E,5,FALSE),0),"ABAIXO DO MINIMO","OK"))</f>
        <v/>
      </c>
    </row>
    <row r="4498">
      <c r="B4498">
        <f>IFERROR(VLOOKUP(A4498,Cadastro_Produtos!A:B,2,FALSE),"")</f>
        <v/>
      </c>
      <c r="D4498" s="12" t="n"/>
      <c r="E4498" s="13">
        <f>IF(D4498="","",D4498-TODAY())</f>
        <v/>
      </c>
      <c r="F4498">
        <f>IF(D4498="","",IF(E4498&lt;0,"VENCIDO",IF(E4498&lt;=30,"VENCE EM &lt;= 30 DIAS",IF(E4498&lt;=60,"ATENCAO (31-60 DIAS)","OK"))))</f>
        <v/>
      </c>
      <c r="G4498" s="13">
        <f>SUMIFS(Movimentacoes!$G:$G,Movimentacoes!$C:$C,$A4498,Movimentacoes!$E:$E,$C4498,Movimentacoes!$B:$B,"ENTRADA")</f>
        <v/>
      </c>
      <c r="H4498" s="13">
        <f>SUMIFS(Movimentacoes!$G:$G,Movimentacoes!$C:$C,$A4498,Movimentacoes!$E:$E,$C4498,Movimentacoes!$B:$B,"SAIDA_USO")</f>
        <v/>
      </c>
      <c r="I4498" s="13">
        <f>SUMIFS(Movimentacoes!$G:$G,Movimentacoes!$C:$C,$A4498,Movimentacoes!$E:$E,$C4498,Movimentacoes!$B:$B,"SAIDA_DESCARTE")</f>
        <v/>
      </c>
      <c r="J4498" s="13">
        <f>G4498-H4498-I4498</f>
        <v/>
      </c>
      <c r="K4498">
        <f>IF(A4498="","",IF(J4498&lt;=IFERROR(VLOOKUP(A4498,Cadastro_Produtos!$A:$E,5,FALSE),0),"ABAIXO DO MINIMO","OK"))</f>
        <v/>
      </c>
    </row>
    <row r="4499">
      <c r="B4499">
        <f>IFERROR(VLOOKUP(A4499,Cadastro_Produtos!A:B,2,FALSE),"")</f>
        <v/>
      </c>
      <c r="D4499" s="12" t="n"/>
      <c r="E4499" s="13">
        <f>IF(D4499="","",D4499-TODAY())</f>
        <v/>
      </c>
      <c r="F4499">
        <f>IF(D4499="","",IF(E4499&lt;0,"VENCIDO",IF(E4499&lt;=30,"VENCE EM &lt;= 30 DIAS",IF(E4499&lt;=60,"ATENCAO (31-60 DIAS)","OK"))))</f>
        <v/>
      </c>
      <c r="G4499" s="13">
        <f>SUMIFS(Movimentacoes!$G:$G,Movimentacoes!$C:$C,$A4499,Movimentacoes!$E:$E,$C4499,Movimentacoes!$B:$B,"ENTRADA")</f>
        <v/>
      </c>
      <c r="H4499" s="13">
        <f>SUMIFS(Movimentacoes!$G:$G,Movimentacoes!$C:$C,$A4499,Movimentacoes!$E:$E,$C4499,Movimentacoes!$B:$B,"SAIDA_USO")</f>
        <v/>
      </c>
      <c r="I4499" s="13">
        <f>SUMIFS(Movimentacoes!$G:$G,Movimentacoes!$C:$C,$A4499,Movimentacoes!$E:$E,$C4499,Movimentacoes!$B:$B,"SAIDA_DESCARTE")</f>
        <v/>
      </c>
      <c r="J4499" s="13">
        <f>G4499-H4499-I4499</f>
        <v/>
      </c>
      <c r="K4499">
        <f>IF(A4499="","",IF(J4499&lt;=IFERROR(VLOOKUP(A4499,Cadastro_Produtos!$A:$E,5,FALSE),0),"ABAIXO DO MINIMO","OK"))</f>
        <v/>
      </c>
    </row>
    <row r="4500">
      <c r="B4500">
        <f>IFERROR(VLOOKUP(A4500,Cadastro_Produtos!A:B,2,FALSE),"")</f>
        <v/>
      </c>
      <c r="D4500" s="12" t="n"/>
      <c r="E4500" s="13">
        <f>IF(D4500="","",D4500-TODAY())</f>
        <v/>
      </c>
      <c r="F4500">
        <f>IF(D4500="","",IF(E4500&lt;0,"VENCIDO",IF(E4500&lt;=30,"VENCE EM &lt;= 30 DIAS",IF(E4500&lt;=60,"ATENCAO (31-60 DIAS)","OK"))))</f>
        <v/>
      </c>
      <c r="G4500" s="13">
        <f>SUMIFS(Movimentacoes!$G:$G,Movimentacoes!$C:$C,$A4500,Movimentacoes!$E:$E,$C4500,Movimentacoes!$B:$B,"ENTRADA")</f>
        <v/>
      </c>
      <c r="H4500" s="13">
        <f>SUMIFS(Movimentacoes!$G:$G,Movimentacoes!$C:$C,$A4500,Movimentacoes!$E:$E,$C4500,Movimentacoes!$B:$B,"SAIDA_USO")</f>
        <v/>
      </c>
      <c r="I4500" s="13">
        <f>SUMIFS(Movimentacoes!$G:$G,Movimentacoes!$C:$C,$A4500,Movimentacoes!$E:$E,$C4500,Movimentacoes!$B:$B,"SAIDA_DESCARTE")</f>
        <v/>
      </c>
      <c r="J4500" s="13">
        <f>G4500-H4500-I4500</f>
        <v/>
      </c>
      <c r="K4500">
        <f>IF(A4500="","",IF(J4500&lt;=IFERROR(VLOOKUP(A4500,Cadastro_Produtos!$A:$E,5,FALSE),0),"ABAIXO DO MINIMO","OK"))</f>
        <v/>
      </c>
    </row>
    <row r="4501">
      <c r="B4501">
        <f>IFERROR(VLOOKUP(A4501,Cadastro_Produtos!A:B,2,FALSE),"")</f>
        <v/>
      </c>
      <c r="D4501" s="12" t="n"/>
      <c r="E4501" s="13">
        <f>IF(D4501="","",D4501-TODAY())</f>
        <v/>
      </c>
      <c r="F4501">
        <f>IF(D4501="","",IF(E4501&lt;0,"VENCIDO",IF(E4501&lt;=30,"VENCE EM &lt;= 30 DIAS",IF(E4501&lt;=60,"ATENCAO (31-60 DIAS)","OK"))))</f>
        <v/>
      </c>
      <c r="G4501" s="13">
        <f>SUMIFS(Movimentacoes!$G:$G,Movimentacoes!$C:$C,$A4501,Movimentacoes!$E:$E,$C4501,Movimentacoes!$B:$B,"ENTRADA")</f>
        <v/>
      </c>
      <c r="H4501" s="13">
        <f>SUMIFS(Movimentacoes!$G:$G,Movimentacoes!$C:$C,$A4501,Movimentacoes!$E:$E,$C4501,Movimentacoes!$B:$B,"SAIDA_USO")</f>
        <v/>
      </c>
      <c r="I4501" s="13">
        <f>SUMIFS(Movimentacoes!$G:$G,Movimentacoes!$C:$C,$A4501,Movimentacoes!$E:$E,$C4501,Movimentacoes!$B:$B,"SAIDA_DESCARTE")</f>
        <v/>
      </c>
      <c r="J4501" s="13">
        <f>G4501-H4501-I4501</f>
        <v/>
      </c>
      <c r="K4501">
        <f>IF(A4501="","",IF(J4501&lt;=IFERROR(VLOOKUP(A4501,Cadastro_Produtos!$A:$E,5,FALSE),0),"ABAIXO DO MINIMO","OK"))</f>
        <v/>
      </c>
    </row>
    <row r="4502">
      <c r="B4502">
        <f>IFERROR(VLOOKUP(A4502,Cadastro_Produtos!A:B,2,FALSE),"")</f>
        <v/>
      </c>
      <c r="D4502" s="12" t="n"/>
      <c r="E4502" s="13">
        <f>IF(D4502="","",D4502-TODAY())</f>
        <v/>
      </c>
      <c r="F4502">
        <f>IF(D4502="","",IF(E4502&lt;0,"VENCIDO",IF(E4502&lt;=30,"VENCE EM &lt;= 30 DIAS",IF(E4502&lt;=60,"ATENCAO (31-60 DIAS)","OK"))))</f>
        <v/>
      </c>
      <c r="G4502" s="13">
        <f>SUMIFS(Movimentacoes!$G:$G,Movimentacoes!$C:$C,$A4502,Movimentacoes!$E:$E,$C4502,Movimentacoes!$B:$B,"ENTRADA")</f>
        <v/>
      </c>
      <c r="H4502" s="13">
        <f>SUMIFS(Movimentacoes!$G:$G,Movimentacoes!$C:$C,$A4502,Movimentacoes!$E:$E,$C4502,Movimentacoes!$B:$B,"SAIDA_USO")</f>
        <v/>
      </c>
      <c r="I4502" s="13">
        <f>SUMIFS(Movimentacoes!$G:$G,Movimentacoes!$C:$C,$A4502,Movimentacoes!$E:$E,$C4502,Movimentacoes!$B:$B,"SAIDA_DESCARTE")</f>
        <v/>
      </c>
      <c r="J4502" s="13">
        <f>G4502-H4502-I4502</f>
        <v/>
      </c>
      <c r="K4502">
        <f>IF(A4502="","",IF(J4502&lt;=IFERROR(VLOOKUP(A4502,Cadastro_Produtos!$A:$E,5,FALSE),0),"ABAIXO DO MINIMO","OK"))</f>
        <v/>
      </c>
    </row>
    <row r="4503">
      <c r="B4503">
        <f>IFERROR(VLOOKUP(A4503,Cadastro_Produtos!A:B,2,FALSE),"")</f>
        <v/>
      </c>
      <c r="D4503" s="12" t="n"/>
      <c r="E4503" s="13">
        <f>IF(D4503="","",D4503-TODAY())</f>
        <v/>
      </c>
      <c r="F4503">
        <f>IF(D4503="","",IF(E4503&lt;0,"VENCIDO",IF(E4503&lt;=30,"VENCE EM &lt;= 30 DIAS",IF(E4503&lt;=60,"ATENCAO (31-60 DIAS)","OK"))))</f>
        <v/>
      </c>
      <c r="G4503" s="13">
        <f>SUMIFS(Movimentacoes!$G:$G,Movimentacoes!$C:$C,$A4503,Movimentacoes!$E:$E,$C4503,Movimentacoes!$B:$B,"ENTRADA")</f>
        <v/>
      </c>
      <c r="H4503" s="13">
        <f>SUMIFS(Movimentacoes!$G:$G,Movimentacoes!$C:$C,$A4503,Movimentacoes!$E:$E,$C4503,Movimentacoes!$B:$B,"SAIDA_USO")</f>
        <v/>
      </c>
      <c r="I4503" s="13">
        <f>SUMIFS(Movimentacoes!$G:$G,Movimentacoes!$C:$C,$A4503,Movimentacoes!$E:$E,$C4503,Movimentacoes!$B:$B,"SAIDA_DESCARTE")</f>
        <v/>
      </c>
      <c r="J4503" s="13">
        <f>G4503-H4503-I4503</f>
        <v/>
      </c>
      <c r="K4503">
        <f>IF(A4503="","",IF(J4503&lt;=IFERROR(VLOOKUP(A4503,Cadastro_Produtos!$A:$E,5,FALSE),0),"ABAIXO DO MINIMO","OK"))</f>
        <v/>
      </c>
    </row>
    <row r="4504">
      <c r="B4504">
        <f>IFERROR(VLOOKUP(A4504,Cadastro_Produtos!A:B,2,FALSE),"")</f>
        <v/>
      </c>
      <c r="D4504" s="12" t="n"/>
      <c r="E4504" s="13">
        <f>IF(D4504="","",D4504-TODAY())</f>
        <v/>
      </c>
      <c r="F4504">
        <f>IF(D4504="","",IF(E4504&lt;0,"VENCIDO",IF(E4504&lt;=30,"VENCE EM &lt;= 30 DIAS",IF(E4504&lt;=60,"ATENCAO (31-60 DIAS)","OK"))))</f>
        <v/>
      </c>
      <c r="G4504" s="13">
        <f>SUMIFS(Movimentacoes!$G:$G,Movimentacoes!$C:$C,$A4504,Movimentacoes!$E:$E,$C4504,Movimentacoes!$B:$B,"ENTRADA")</f>
        <v/>
      </c>
      <c r="H4504" s="13">
        <f>SUMIFS(Movimentacoes!$G:$G,Movimentacoes!$C:$C,$A4504,Movimentacoes!$E:$E,$C4504,Movimentacoes!$B:$B,"SAIDA_USO")</f>
        <v/>
      </c>
      <c r="I4504" s="13">
        <f>SUMIFS(Movimentacoes!$G:$G,Movimentacoes!$C:$C,$A4504,Movimentacoes!$E:$E,$C4504,Movimentacoes!$B:$B,"SAIDA_DESCARTE")</f>
        <v/>
      </c>
      <c r="J4504" s="13">
        <f>G4504-H4504-I4504</f>
        <v/>
      </c>
      <c r="K4504">
        <f>IF(A4504="","",IF(J4504&lt;=IFERROR(VLOOKUP(A4504,Cadastro_Produtos!$A:$E,5,FALSE),0),"ABAIXO DO MINIMO","OK"))</f>
        <v/>
      </c>
    </row>
    <row r="4505">
      <c r="B4505">
        <f>IFERROR(VLOOKUP(A4505,Cadastro_Produtos!A:B,2,FALSE),"")</f>
        <v/>
      </c>
      <c r="D4505" s="12" t="n"/>
      <c r="E4505" s="13">
        <f>IF(D4505="","",D4505-TODAY())</f>
        <v/>
      </c>
      <c r="F4505">
        <f>IF(D4505="","",IF(E4505&lt;0,"VENCIDO",IF(E4505&lt;=30,"VENCE EM &lt;= 30 DIAS",IF(E4505&lt;=60,"ATENCAO (31-60 DIAS)","OK"))))</f>
        <v/>
      </c>
      <c r="G4505" s="13">
        <f>SUMIFS(Movimentacoes!$G:$G,Movimentacoes!$C:$C,$A4505,Movimentacoes!$E:$E,$C4505,Movimentacoes!$B:$B,"ENTRADA")</f>
        <v/>
      </c>
      <c r="H4505" s="13">
        <f>SUMIFS(Movimentacoes!$G:$G,Movimentacoes!$C:$C,$A4505,Movimentacoes!$E:$E,$C4505,Movimentacoes!$B:$B,"SAIDA_USO")</f>
        <v/>
      </c>
      <c r="I4505" s="13">
        <f>SUMIFS(Movimentacoes!$G:$G,Movimentacoes!$C:$C,$A4505,Movimentacoes!$E:$E,$C4505,Movimentacoes!$B:$B,"SAIDA_DESCARTE")</f>
        <v/>
      </c>
      <c r="J4505" s="13">
        <f>G4505-H4505-I4505</f>
        <v/>
      </c>
      <c r="K4505">
        <f>IF(A4505="","",IF(J4505&lt;=IFERROR(VLOOKUP(A4505,Cadastro_Produtos!$A:$E,5,FALSE),0),"ABAIXO DO MINIMO","OK"))</f>
        <v/>
      </c>
    </row>
    <row r="4506">
      <c r="B4506">
        <f>IFERROR(VLOOKUP(A4506,Cadastro_Produtos!A:B,2,FALSE),"")</f>
        <v/>
      </c>
      <c r="D4506" s="12" t="n"/>
      <c r="E4506" s="13">
        <f>IF(D4506="","",D4506-TODAY())</f>
        <v/>
      </c>
      <c r="F4506">
        <f>IF(D4506="","",IF(E4506&lt;0,"VENCIDO",IF(E4506&lt;=30,"VENCE EM &lt;= 30 DIAS",IF(E4506&lt;=60,"ATENCAO (31-60 DIAS)","OK"))))</f>
        <v/>
      </c>
      <c r="G4506" s="13">
        <f>SUMIFS(Movimentacoes!$G:$G,Movimentacoes!$C:$C,$A4506,Movimentacoes!$E:$E,$C4506,Movimentacoes!$B:$B,"ENTRADA")</f>
        <v/>
      </c>
      <c r="H4506" s="13">
        <f>SUMIFS(Movimentacoes!$G:$G,Movimentacoes!$C:$C,$A4506,Movimentacoes!$E:$E,$C4506,Movimentacoes!$B:$B,"SAIDA_USO")</f>
        <v/>
      </c>
      <c r="I4506" s="13">
        <f>SUMIFS(Movimentacoes!$G:$G,Movimentacoes!$C:$C,$A4506,Movimentacoes!$E:$E,$C4506,Movimentacoes!$B:$B,"SAIDA_DESCARTE")</f>
        <v/>
      </c>
      <c r="J4506" s="13">
        <f>G4506-H4506-I4506</f>
        <v/>
      </c>
      <c r="K4506">
        <f>IF(A4506="","",IF(J4506&lt;=IFERROR(VLOOKUP(A4506,Cadastro_Produtos!$A:$E,5,FALSE),0),"ABAIXO DO MINIMO","OK"))</f>
        <v/>
      </c>
    </row>
    <row r="4507">
      <c r="B4507">
        <f>IFERROR(VLOOKUP(A4507,Cadastro_Produtos!A:B,2,FALSE),"")</f>
        <v/>
      </c>
      <c r="D4507" s="12" t="n"/>
      <c r="E4507" s="13">
        <f>IF(D4507="","",D4507-TODAY())</f>
        <v/>
      </c>
      <c r="F4507">
        <f>IF(D4507="","",IF(E4507&lt;0,"VENCIDO",IF(E4507&lt;=30,"VENCE EM &lt;= 30 DIAS",IF(E4507&lt;=60,"ATENCAO (31-60 DIAS)","OK"))))</f>
        <v/>
      </c>
      <c r="G4507" s="13">
        <f>SUMIFS(Movimentacoes!$G:$G,Movimentacoes!$C:$C,$A4507,Movimentacoes!$E:$E,$C4507,Movimentacoes!$B:$B,"ENTRADA")</f>
        <v/>
      </c>
      <c r="H4507" s="13">
        <f>SUMIFS(Movimentacoes!$G:$G,Movimentacoes!$C:$C,$A4507,Movimentacoes!$E:$E,$C4507,Movimentacoes!$B:$B,"SAIDA_USO")</f>
        <v/>
      </c>
      <c r="I4507" s="13">
        <f>SUMIFS(Movimentacoes!$G:$G,Movimentacoes!$C:$C,$A4507,Movimentacoes!$E:$E,$C4507,Movimentacoes!$B:$B,"SAIDA_DESCARTE")</f>
        <v/>
      </c>
      <c r="J4507" s="13">
        <f>G4507-H4507-I4507</f>
        <v/>
      </c>
      <c r="K4507">
        <f>IF(A4507="","",IF(J4507&lt;=IFERROR(VLOOKUP(A4507,Cadastro_Produtos!$A:$E,5,FALSE),0),"ABAIXO DO MINIMO","OK"))</f>
        <v/>
      </c>
    </row>
    <row r="4508">
      <c r="B4508">
        <f>IFERROR(VLOOKUP(A4508,Cadastro_Produtos!A:B,2,FALSE),"")</f>
        <v/>
      </c>
      <c r="D4508" s="12" t="n"/>
      <c r="E4508" s="13">
        <f>IF(D4508="","",D4508-TODAY())</f>
        <v/>
      </c>
      <c r="F4508">
        <f>IF(D4508="","",IF(E4508&lt;0,"VENCIDO",IF(E4508&lt;=30,"VENCE EM &lt;= 30 DIAS",IF(E4508&lt;=60,"ATENCAO (31-60 DIAS)","OK"))))</f>
        <v/>
      </c>
      <c r="G4508" s="13">
        <f>SUMIFS(Movimentacoes!$G:$G,Movimentacoes!$C:$C,$A4508,Movimentacoes!$E:$E,$C4508,Movimentacoes!$B:$B,"ENTRADA")</f>
        <v/>
      </c>
      <c r="H4508" s="13">
        <f>SUMIFS(Movimentacoes!$G:$G,Movimentacoes!$C:$C,$A4508,Movimentacoes!$E:$E,$C4508,Movimentacoes!$B:$B,"SAIDA_USO")</f>
        <v/>
      </c>
      <c r="I4508" s="13">
        <f>SUMIFS(Movimentacoes!$G:$G,Movimentacoes!$C:$C,$A4508,Movimentacoes!$E:$E,$C4508,Movimentacoes!$B:$B,"SAIDA_DESCARTE")</f>
        <v/>
      </c>
      <c r="J4508" s="13">
        <f>G4508-H4508-I4508</f>
        <v/>
      </c>
      <c r="K4508">
        <f>IF(A4508="","",IF(J4508&lt;=IFERROR(VLOOKUP(A4508,Cadastro_Produtos!$A:$E,5,FALSE),0),"ABAIXO DO MINIMO","OK"))</f>
        <v/>
      </c>
    </row>
    <row r="4509">
      <c r="B4509">
        <f>IFERROR(VLOOKUP(A4509,Cadastro_Produtos!A:B,2,FALSE),"")</f>
        <v/>
      </c>
      <c r="D4509" s="12" t="n"/>
      <c r="E4509" s="13">
        <f>IF(D4509="","",D4509-TODAY())</f>
        <v/>
      </c>
      <c r="F4509">
        <f>IF(D4509="","",IF(E4509&lt;0,"VENCIDO",IF(E4509&lt;=30,"VENCE EM &lt;= 30 DIAS",IF(E4509&lt;=60,"ATENCAO (31-60 DIAS)","OK"))))</f>
        <v/>
      </c>
      <c r="G4509" s="13">
        <f>SUMIFS(Movimentacoes!$G:$G,Movimentacoes!$C:$C,$A4509,Movimentacoes!$E:$E,$C4509,Movimentacoes!$B:$B,"ENTRADA")</f>
        <v/>
      </c>
      <c r="H4509" s="13">
        <f>SUMIFS(Movimentacoes!$G:$G,Movimentacoes!$C:$C,$A4509,Movimentacoes!$E:$E,$C4509,Movimentacoes!$B:$B,"SAIDA_USO")</f>
        <v/>
      </c>
      <c r="I4509" s="13">
        <f>SUMIFS(Movimentacoes!$G:$G,Movimentacoes!$C:$C,$A4509,Movimentacoes!$E:$E,$C4509,Movimentacoes!$B:$B,"SAIDA_DESCARTE")</f>
        <v/>
      </c>
      <c r="J4509" s="13">
        <f>G4509-H4509-I4509</f>
        <v/>
      </c>
      <c r="K4509">
        <f>IF(A4509="","",IF(J4509&lt;=IFERROR(VLOOKUP(A4509,Cadastro_Produtos!$A:$E,5,FALSE),0),"ABAIXO DO MINIMO","OK"))</f>
        <v/>
      </c>
    </row>
    <row r="4510">
      <c r="B4510">
        <f>IFERROR(VLOOKUP(A4510,Cadastro_Produtos!A:B,2,FALSE),"")</f>
        <v/>
      </c>
      <c r="D4510" s="12" t="n"/>
      <c r="E4510" s="13">
        <f>IF(D4510="","",D4510-TODAY())</f>
        <v/>
      </c>
      <c r="F4510">
        <f>IF(D4510="","",IF(E4510&lt;0,"VENCIDO",IF(E4510&lt;=30,"VENCE EM &lt;= 30 DIAS",IF(E4510&lt;=60,"ATENCAO (31-60 DIAS)","OK"))))</f>
        <v/>
      </c>
      <c r="G4510" s="13">
        <f>SUMIFS(Movimentacoes!$G:$G,Movimentacoes!$C:$C,$A4510,Movimentacoes!$E:$E,$C4510,Movimentacoes!$B:$B,"ENTRADA")</f>
        <v/>
      </c>
      <c r="H4510" s="13">
        <f>SUMIFS(Movimentacoes!$G:$G,Movimentacoes!$C:$C,$A4510,Movimentacoes!$E:$E,$C4510,Movimentacoes!$B:$B,"SAIDA_USO")</f>
        <v/>
      </c>
      <c r="I4510" s="13">
        <f>SUMIFS(Movimentacoes!$G:$G,Movimentacoes!$C:$C,$A4510,Movimentacoes!$E:$E,$C4510,Movimentacoes!$B:$B,"SAIDA_DESCARTE")</f>
        <v/>
      </c>
      <c r="J4510" s="13">
        <f>G4510-H4510-I4510</f>
        <v/>
      </c>
      <c r="K4510">
        <f>IF(A4510="","",IF(J4510&lt;=IFERROR(VLOOKUP(A4510,Cadastro_Produtos!$A:$E,5,FALSE),0),"ABAIXO DO MINIMO","OK"))</f>
        <v/>
      </c>
    </row>
    <row r="4511">
      <c r="B4511">
        <f>IFERROR(VLOOKUP(A4511,Cadastro_Produtos!A:B,2,FALSE),"")</f>
        <v/>
      </c>
      <c r="D4511" s="12" t="n"/>
      <c r="E4511" s="13">
        <f>IF(D4511="","",D4511-TODAY())</f>
        <v/>
      </c>
      <c r="F4511">
        <f>IF(D4511="","",IF(E4511&lt;0,"VENCIDO",IF(E4511&lt;=30,"VENCE EM &lt;= 30 DIAS",IF(E4511&lt;=60,"ATENCAO (31-60 DIAS)","OK"))))</f>
        <v/>
      </c>
      <c r="G4511" s="13">
        <f>SUMIFS(Movimentacoes!$G:$G,Movimentacoes!$C:$C,$A4511,Movimentacoes!$E:$E,$C4511,Movimentacoes!$B:$B,"ENTRADA")</f>
        <v/>
      </c>
      <c r="H4511" s="13">
        <f>SUMIFS(Movimentacoes!$G:$G,Movimentacoes!$C:$C,$A4511,Movimentacoes!$E:$E,$C4511,Movimentacoes!$B:$B,"SAIDA_USO")</f>
        <v/>
      </c>
      <c r="I4511" s="13">
        <f>SUMIFS(Movimentacoes!$G:$G,Movimentacoes!$C:$C,$A4511,Movimentacoes!$E:$E,$C4511,Movimentacoes!$B:$B,"SAIDA_DESCARTE")</f>
        <v/>
      </c>
      <c r="J4511" s="13">
        <f>G4511-H4511-I4511</f>
        <v/>
      </c>
      <c r="K4511">
        <f>IF(A4511="","",IF(J4511&lt;=IFERROR(VLOOKUP(A4511,Cadastro_Produtos!$A:$E,5,FALSE),0),"ABAIXO DO MINIMO","OK"))</f>
        <v/>
      </c>
    </row>
    <row r="4512">
      <c r="B4512">
        <f>IFERROR(VLOOKUP(A4512,Cadastro_Produtos!A:B,2,FALSE),"")</f>
        <v/>
      </c>
      <c r="D4512" s="12" t="n"/>
      <c r="E4512" s="13">
        <f>IF(D4512="","",D4512-TODAY())</f>
        <v/>
      </c>
      <c r="F4512">
        <f>IF(D4512="","",IF(E4512&lt;0,"VENCIDO",IF(E4512&lt;=30,"VENCE EM &lt;= 30 DIAS",IF(E4512&lt;=60,"ATENCAO (31-60 DIAS)","OK"))))</f>
        <v/>
      </c>
      <c r="G4512" s="13">
        <f>SUMIFS(Movimentacoes!$G:$G,Movimentacoes!$C:$C,$A4512,Movimentacoes!$E:$E,$C4512,Movimentacoes!$B:$B,"ENTRADA")</f>
        <v/>
      </c>
      <c r="H4512" s="13">
        <f>SUMIFS(Movimentacoes!$G:$G,Movimentacoes!$C:$C,$A4512,Movimentacoes!$E:$E,$C4512,Movimentacoes!$B:$B,"SAIDA_USO")</f>
        <v/>
      </c>
      <c r="I4512" s="13">
        <f>SUMIFS(Movimentacoes!$G:$G,Movimentacoes!$C:$C,$A4512,Movimentacoes!$E:$E,$C4512,Movimentacoes!$B:$B,"SAIDA_DESCARTE")</f>
        <v/>
      </c>
      <c r="J4512" s="13">
        <f>G4512-H4512-I4512</f>
        <v/>
      </c>
      <c r="K4512">
        <f>IF(A4512="","",IF(J4512&lt;=IFERROR(VLOOKUP(A4512,Cadastro_Produtos!$A:$E,5,FALSE),0),"ABAIXO DO MINIMO","OK"))</f>
        <v/>
      </c>
    </row>
    <row r="4513">
      <c r="B4513">
        <f>IFERROR(VLOOKUP(A4513,Cadastro_Produtos!A:B,2,FALSE),"")</f>
        <v/>
      </c>
      <c r="D4513" s="12" t="n"/>
      <c r="E4513" s="13">
        <f>IF(D4513="","",D4513-TODAY())</f>
        <v/>
      </c>
      <c r="F4513">
        <f>IF(D4513="","",IF(E4513&lt;0,"VENCIDO",IF(E4513&lt;=30,"VENCE EM &lt;= 30 DIAS",IF(E4513&lt;=60,"ATENCAO (31-60 DIAS)","OK"))))</f>
        <v/>
      </c>
      <c r="G4513" s="13">
        <f>SUMIFS(Movimentacoes!$G:$G,Movimentacoes!$C:$C,$A4513,Movimentacoes!$E:$E,$C4513,Movimentacoes!$B:$B,"ENTRADA")</f>
        <v/>
      </c>
      <c r="H4513" s="13">
        <f>SUMIFS(Movimentacoes!$G:$G,Movimentacoes!$C:$C,$A4513,Movimentacoes!$E:$E,$C4513,Movimentacoes!$B:$B,"SAIDA_USO")</f>
        <v/>
      </c>
      <c r="I4513" s="13">
        <f>SUMIFS(Movimentacoes!$G:$G,Movimentacoes!$C:$C,$A4513,Movimentacoes!$E:$E,$C4513,Movimentacoes!$B:$B,"SAIDA_DESCARTE")</f>
        <v/>
      </c>
      <c r="J4513" s="13">
        <f>G4513-H4513-I4513</f>
        <v/>
      </c>
      <c r="K4513">
        <f>IF(A4513="","",IF(J4513&lt;=IFERROR(VLOOKUP(A4513,Cadastro_Produtos!$A:$E,5,FALSE),0),"ABAIXO DO MINIMO","OK"))</f>
        <v/>
      </c>
    </row>
    <row r="4514">
      <c r="B4514">
        <f>IFERROR(VLOOKUP(A4514,Cadastro_Produtos!A:B,2,FALSE),"")</f>
        <v/>
      </c>
      <c r="D4514" s="12" t="n"/>
      <c r="E4514" s="13">
        <f>IF(D4514="","",D4514-TODAY())</f>
        <v/>
      </c>
      <c r="F4514">
        <f>IF(D4514="","",IF(E4514&lt;0,"VENCIDO",IF(E4514&lt;=30,"VENCE EM &lt;= 30 DIAS",IF(E4514&lt;=60,"ATENCAO (31-60 DIAS)","OK"))))</f>
        <v/>
      </c>
      <c r="G4514" s="13">
        <f>SUMIFS(Movimentacoes!$G:$G,Movimentacoes!$C:$C,$A4514,Movimentacoes!$E:$E,$C4514,Movimentacoes!$B:$B,"ENTRADA")</f>
        <v/>
      </c>
      <c r="H4514" s="13">
        <f>SUMIFS(Movimentacoes!$G:$G,Movimentacoes!$C:$C,$A4514,Movimentacoes!$E:$E,$C4514,Movimentacoes!$B:$B,"SAIDA_USO")</f>
        <v/>
      </c>
      <c r="I4514" s="13">
        <f>SUMIFS(Movimentacoes!$G:$G,Movimentacoes!$C:$C,$A4514,Movimentacoes!$E:$E,$C4514,Movimentacoes!$B:$B,"SAIDA_DESCARTE")</f>
        <v/>
      </c>
      <c r="J4514" s="13">
        <f>G4514-H4514-I4514</f>
        <v/>
      </c>
      <c r="K4514">
        <f>IF(A4514="","",IF(J4514&lt;=IFERROR(VLOOKUP(A4514,Cadastro_Produtos!$A:$E,5,FALSE),0),"ABAIXO DO MINIMO","OK"))</f>
        <v/>
      </c>
    </row>
    <row r="4515">
      <c r="B4515">
        <f>IFERROR(VLOOKUP(A4515,Cadastro_Produtos!A:B,2,FALSE),"")</f>
        <v/>
      </c>
      <c r="D4515" s="12" t="n"/>
      <c r="E4515" s="13">
        <f>IF(D4515="","",D4515-TODAY())</f>
        <v/>
      </c>
      <c r="F4515">
        <f>IF(D4515="","",IF(E4515&lt;0,"VENCIDO",IF(E4515&lt;=30,"VENCE EM &lt;= 30 DIAS",IF(E4515&lt;=60,"ATENCAO (31-60 DIAS)","OK"))))</f>
        <v/>
      </c>
      <c r="G4515" s="13">
        <f>SUMIFS(Movimentacoes!$G:$G,Movimentacoes!$C:$C,$A4515,Movimentacoes!$E:$E,$C4515,Movimentacoes!$B:$B,"ENTRADA")</f>
        <v/>
      </c>
      <c r="H4515" s="13">
        <f>SUMIFS(Movimentacoes!$G:$G,Movimentacoes!$C:$C,$A4515,Movimentacoes!$E:$E,$C4515,Movimentacoes!$B:$B,"SAIDA_USO")</f>
        <v/>
      </c>
      <c r="I4515" s="13">
        <f>SUMIFS(Movimentacoes!$G:$G,Movimentacoes!$C:$C,$A4515,Movimentacoes!$E:$E,$C4515,Movimentacoes!$B:$B,"SAIDA_DESCARTE")</f>
        <v/>
      </c>
      <c r="J4515" s="13">
        <f>G4515-H4515-I4515</f>
        <v/>
      </c>
      <c r="K4515">
        <f>IF(A4515="","",IF(J4515&lt;=IFERROR(VLOOKUP(A4515,Cadastro_Produtos!$A:$E,5,FALSE),0),"ABAIXO DO MINIMO","OK"))</f>
        <v/>
      </c>
    </row>
    <row r="4516">
      <c r="B4516">
        <f>IFERROR(VLOOKUP(A4516,Cadastro_Produtos!A:B,2,FALSE),"")</f>
        <v/>
      </c>
      <c r="D4516" s="12" t="n"/>
      <c r="E4516" s="13">
        <f>IF(D4516="","",D4516-TODAY())</f>
        <v/>
      </c>
      <c r="F4516">
        <f>IF(D4516="","",IF(E4516&lt;0,"VENCIDO",IF(E4516&lt;=30,"VENCE EM &lt;= 30 DIAS",IF(E4516&lt;=60,"ATENCAO (31-60 DIAS)","OK"))))</f>
        <v/>
      </c>
      <c r="G4516" s="13">
        <f>SUMIFS(Movimentacoes!$G:$G,Movimentacoes!$C:$C,$A4516,Movimentacoes!$E:$E,$C4516,Movimentacoes!$B:$B,"ENTRADA")</f>
        <v/>
      </c>
      <c r="H4516" s="13">
        <f>SUMIFS(Movimentacoes!$G:$G,Movimentacoes!$C:$C,$A4516,Movimentacoes!$E:$E,$C4516,Movimentacoes!$B:$B,"SAIDA_USO")</f>
        <v/>
      </c>
      <c r="I4516" s="13">
        <f>SUMIFS(Movimentacoes!$G:$G,Movimentacoes!$C:$C,$A4516,Movimentacoes!$E:$E,$C4516,Movimentacoes!$B:$B,"SAIDA_DESCARTE")</f>
        <v/>
      </c>
      <c r="J4516" s="13">
        <f>G4516-H4516-I4516</f>
        <v/>
      </c>
      <c r="K4516">
        <f>IF(A4516="","",IF(J4516&lt;=IFERROR(VLOOKUP(A4516,Cadastro_Produtos!$A:$E,5,FALSE),0),"ABAIXO DO MINIMO","OK"))</f>
        <v/>
      </c>
    </row>
    <row r="4517">
      <c r="B4517">
        <f>IFERROR(VLOOKUP(A4517,Cadastro_Produtos!A:B,2,FALSE),"")</f>
        <v/>
      </c>
      <c r="D4517" s="12" t="n"/>
      <c r="E4517" s="13">
        <f>IF(D4517="","",D4517-TODAY())</f>
        <v/>
      </c>
      <c r="F4517">
        <f>IF(D4517="","",IF(E4517&lt;0,"VENCIDO",IF(E4517&lt;=30,"VENCE EM &lt;= 30 DIAS",IF(E4517&lt;=60,"ATENCAO (31-60 DIAS)","OK"))))</f>
        <v/>
      </c>
      <c r="G4517" s="13">
        <f>SUMIFS(Movimentacoes!$G:$G,Movimentacoes!$C:$C,$A4517,Movimentacoes!$E:$E,$C4517,Movimentacoes!$B:$B,"ENTRADA")</f>
        <v/>
      </c>
      <c r="H4517" s="13">
        <f>SUMIFS(Movimentacoes!$G:$G,Movimentacoes!$C:$C,$A4517,Movimentacoes!$E:$E,$C4517,Movimentacoes!$B:$B,"SAIDA_USO")</f>
        <v/>
      </c>
      <c r="I4517" s="13">
        <f>SUMIFS(Movimentacoes!$G:$G,Movimentacoes!$C:$C,$A4517,Movimentacoes!$E:$E,$C4517,Movimentacoes!$B:$B,"SAIDA_DESCARTE")</f>
        <v/>
      </c>
      <c r="J4517" s="13">
        <f>G4517-H4517-I4517</f>
        <v/>
      </c>
      <c r="K4517">
        <f>IF(A4517="","",IF(J4517&lt;=IFERROR(VLOOKUP(A4517,Cadastro_Produtos!$A:$E,5,FALSE),0),"ABAIXO DO MINIMO","OK"))</f>
        <v/>
      </c>
    </row>
    <row r="4518">
      <c r="B4518">
        <f>IFERROR(VLOOKUP(A4518,Cadastro_Produtos!A:B,2,FALSE),"")</f>
        <v/>
      </c>
      <c r="D4518" s="12" t="n"/>
      <c r="E4518" s="13">
        <f>IF(D4518="","",D4518-TODAY())</f>
        <v/>
      </c>
      <c r="F4518">
        <f>IF(D4518="","",IF(E4518&lt;0,"VENCIDO",IF(E4518&lt;=30,"VENCE EM &lt;= 30 DIAS",IF(E4518&lt;=60,"ATENCAO (31-60 DIAS)","OK"))))</f>
        <v/>
      </c>
      <c r="G4518" s="13">
        <f>SUMIFS(Movimentacoes!$G:$G,Movimentacoes!$C:$C,$A4518,Movimentacoes!$E:$E,$C4518,Movimentacoes!$B:$B,"ENTRADA")</f>
        <v/>
      </c>
      <c r="H4518" s="13">
        <f>SUMIFS(Movimentacoes!$G:$G,Movimentacoes!$C:$C,$A4518,Movimentacoes!$E:$E,$C4518,Movimentacoes!$B:$B,"SAIDA_USO")</f>
        <v/>
      </c>
      <c r="I4518" s="13">
        <f>SUMIFS(Movimentacoes!$G:$G,Movimentacoes!$C:$C,$A4518,Movimentacoes!$E:$E,$C4518,Movimentacoes!$B:$B,"SAIDA_DESCARTE")</f>
        <v/>
      </c>
      <c r="J4518" s="13">
        <f>G4518-H4518-I4518</f>
        <v/>
      </c>
      <c r="K4518">
        <f>IF(A4518="","",IF(J4518&lt;=IFERROR(VLOOKUP(A4518,Cadastro_Produtos!$A:$E,5,FALSE),0),"ABAIXO DO MINIMO","OK"))</f>
        <v/>
      </c>
    </row>
    <row r="4519">
      <c r="B4519">
        <f>IFERROR(VLOOKUP(A4519,Cadastro_Produtos!A:B,2,FALSE),"")</f>
        <v/>
      </c>
      <c r="D4519" s="12" t="n"/>
      <c r="E4519" s="13">
        <f>IF(D4519="","",D4519-TODAY())</f>
        <v/>
      </c>
      <c r="F4519">
        <f>IF(D4519="","",IF(E4519&lt;0,"VENCIDO",IF(E4519&lt;=30,"VENCE EM &lt;= 30 DIAS",IF(E4519&lt;=60,"ATENCAO (31-60 DIAS)","OK"))))</f>
        <v/>
      </c>
      <c r="G4519" s="13">
        <f>SUMIFS(Movimentacoes!$G:$G,Movimentacoes!$C:$C,$A4519,Movimentacoes!$E:$E,$C4519,Movimentacoes!$B:$B,"ENTRADA")</f>
        <v/>
      </c>
      <c r="H4519" s="13">
        <f>SUMIFS(Movimentacoes!$G:$G,Movimentacoes!$C:$C,$A4519,Movimentacoes!$E:$E,$C4519,Movimentacoes!$B:$B,"SAIDA_USO")</f>
        <v/>
      </c>
      <c r="I4519" s="13">
        <f>SUMIFS(Movimentacoes!$G:$G,Movimentacoes!$C:$C,$A4519,Movimentacoes!$E:$E,$C4519,Movimentacoes!$B:$B,"SAIDA_DESCARTE")</f>
        <v/>
      </c>
      <c r="J4519" s="13">
        <f>G4519-H4519-I4519</f>
        <v/>
      </c>
      <c r="K4519">
        <f>IF(A4519="","",IF(J4519&lt;=IFERROR(VLOOKUP(A4519,Cadastro_Produtos!$A:$E,5,FALSE),0),"ABAIXO DO MINIMO","OK"))</f>
        <v/>
      </c>
    </row>
    <row r="4520">
      <c r="B4520">
        <f>IFERROR(VLOOKUP(A4520,Cadastro_Produtos!A:B,2,FALSE),"")</f>
        <v/>
      </c>
      <c r="D4520" s="12" t="n"/>
      <c r="E4520" s="13">
        <f>IF(D4520="","",D4520-TODAY())</f>
        <v/>
      </c>
      <c r="F4520">
        <f>IF(D4520="","",IF(E4520&lt;0,"VENCIDO",IF(E4520&lt;=30,"VENCE EM &lt;= 30 DIAS",IF(E4520&lt;=60,"ATENCAO (31-60 DIAS)","OK"))))</f>
        <v/>
      </c>
      <c r="G4520" s="13">
        <f>SUMIFS(Movimentacoes!$G:$G,Movimentacoes!$C:$C,$A4520,Movimentacoes!$E:$E,$C4520,Movimentacoes!$B:$B,"ENTRADA")</f>
        <v/>
      </c>
      <c r="H4520" s="13">
        <f>SUMIFS(Movimentacoes!$G:$G,Movimentacoes!$C:$C,$A4520,Movimentacoes!$E:$E,$C4520,Movimentacoes!$B:$B,"SAIDA_USO")</f>
        <v/>
      </c>
      <c r="I4520" s="13">
        <f>SUMIFS(Movimentacoes!$G:$G,Movimentacoes!$C:$C,$A4520,Movimentacoes!$E:$E,$C4520,Movimentacoes!$B:$B,"SAIDA_DESCARTE")</f>
        <v/>
      </c>
      <c r="J4520" s="13">
        <f>G4520-H4520-I4520</f>
        <v/>
      </c>
      <c r="K4520">
        <f>IF(A4520="","",IF(J4520&lt;=IFERROR(VLOOKUP(A4520,Cadastro_Produtos!$A:$E,5,FALSE),0),"ABAIXO DO MINIMO","OK"))</f>
        <v/>
      </c>
    </row>
    <row r="4521">
      <c r="B4521">
        <f>IFERROR(VLOOKUP(A4521,Cadastro_Produtos!A:B,2,FALSE),"")</f>
        <v/>
      </c>
      <c r="D4521" s="12" t="n"/>
      <c r="E4521" s="13">
        <f>IF(D4521="","",D4521-TODAY())</f>
        <v/>
      </c>
      <c r="F4521">
        <f>IF(D4521="","",IF(E4521&lt;0,"VENCIDO",IF(E4521&lt;=30,"VENCE EM &lt;= 30 DIAS",IF(E4521&lt;=60,"ATENCAO (31-60 DIAS)","OK"))))</f>
        <v/>
      </c>
      <c r="G4521" s="13">
        <f>SUMIFS(Movimentacoes!$G:$G,Movimentacoes!$C:$C,$A4521,Movimentacoes!$E:$E,$C4521,Movimentacoes!$B:$B,"ENTRADA")</f>
        <v/>
      </c>
      <c r="H4521" s="13">
        <f>SUMIFS(Movimentacoes!$G:$G,Movimentacoes!$C:$C,$A4521,Movimentacoes!$E:$E,$C4521,Movimentacoes!$B:$B,"SAIDA_USO")</f>
        <v/>
      </c>
      <c r="I4521" s="13">
        <f>SUMIFS(Movimentacoes!$G:$G,Movimentacoes!$C:$C,$A4521,Movimentacoes!$E:$E,$C4521,Movimentacoes!$B:$B,"SAIDA_DESCARTE")</f>
        <v/>
      </c>
      <c r="J4521" s="13">
        <f>G4521-H4521-I4521</f>
        <v/>
      </c>
      <c r="K4521">
        <f>IF(A4521="","",IF(J4521&lt;=IFERROR(VLOOKUP(A4521,Cadastro_Produtos!$A:$E,5,FALSE),0),"ABAIXO DO MINIMO","OK"))</f>
        <v/>
      </c>
    </row>
    <row r="4522">
      <c r="B4522">
        <f>IFERROR(VLOOKUP(A4522,Cadastro_Produtos!A:B,2,FALSE),"")</f>
        <v/>
      </c>
      <c r="D4522" s="12" t="n"/>
      <c r="E4522" s="13">
        <f>IF(D4522="","",D4522-TODAY())</f>
        <v/>
      </c>
      <c r="F4522">
        <f>IF(D4522="","",IF(E4522&lt;0,"VENCIDO",IF(E4522&lt;=30,"VENCE EM &lt;= 30 DIAS",IF(E4522&lt;=60,"ATENCAO (31-60 DIAS)","OK"))))</f>
        <v/>
      </c>
      <c r="G4522" s="13">
        <f>SUMIFS(Movimentacoes!$G:$G,Movimentacoes!$C:$C,$A4522,Movimentacoes!$E:$E,$C4522,Movimentacoes!$B:$B,"ENTRADA")</f>
        <v/>
      </c>
      <c r="H4522" s="13">
        <f>SUMIFS(Movimentacoes!$G:$G,Movimentacoes!$C:$C,$A4522,Movimentacoes!$E:$E,$C4522,Movimentacoes!$B:$B,"SAIDA_USO")</f>
        <v/>
      </c>
      <c r="I4522" s="13">
        <f>SUMIFS(Movimentacoes!$G:$G,Movimentacoes!$C:$C,$A4522,Movimentacoes!$E:$E,$C4522,Movimentacoes!$B:$B,"SAIDA_DESCARTE")</f>
        <v/>
      </c>
      <c r="J4522" s="13">
        <f>G4522-H4522-I4522</f>
        <v/>
      </c>
      <c r="K4522">
        <f>IF(A4522="","",IF(J4522&lt;=IFERROR(VLOOKUP(A4522,Cadastro_Produtos!$A:$E,5,FALSE),0),"ABAIXO DO MINIMO","OK"))</f>
        <v/>
      </c>
    </row>
    <row r="4523">
      <c r="B4523">
        <f>IFERROR(VLOOKUP(A4523,Cadastro_Produtos!A:B,2,FALSE),"")</f>
        <v/>
      </c>
      <c r="D4523" s="12" t="n"/>
      <c r="E4523" s="13">
        <f>IF(D4523="","",D4523-TODAY())</f>
        <v/>
      </c>
      <c r="F4523">
        <f>IF(D4523="","",IF(E4523&lt;0,"VENCIDO",IF(E4523&lt;=30,"VENCE EM &lt;= 30 DIAS",IF(E4523&lt;=60,"ATENCAO (31-60 DIAS)","OK"))))</f>
        <v/>
      </c>
      <c r="G4523" s="13">
        <f>SUMIFS(Movimentacoes!$G:$G,Movimentacoes!$C:$C,$A4523,Movimentacoes!$E:$E,$C4523,Movimentacoes!$B:$B,"ENTRADA")</f>
        <v/>
      </c>
      <c r="H4523" s="13">
        <f>SUMIFS(Movimentacoes!$G:$G,Movimentacoes!$C:$C,$A4523,Movimentacoes!$E:$E,$C4523,Movimentacoes!$B:$B,"SAIDA_USO")</f>
        <v/>
      </c>
      <c r="I4523" s="13">
        <f>SUMIFS(Movimentacoes!$G:$G,Movimentacoes!$C:$C,$A4523,Movimentacoes!$E:$E,$C4523,Movimentacoes!$B:$B,"SAIDA_DESCARTE")</f>
        <v/>
      </c>
      <c r="J4523" s="13">
        <f>G4523-H4523-I4523</f>
        <v/>
      </c>
      <c r="K4523">
        <f>IF(A4523="","",IF(J4523&lt;=IFERROR(VLOOKUP(A4523,Cadastro_Produtos!$A:$E,5,FALSE),0),"ABAIXO DO MINIMO","OK"))</f>
        <v/>
      </c>
    </row>
    <row r="4524">
      <c r="B4524">
        <f>IFERROR(VLOOKUP(A4524,Cadastro_Produtos!A:B,2,FALSE),"")</f>
        <v/>
      </c>
      <c r="D4524" s="12" t="n"/>
      <c r="E4524" s="13">
        <f>IF(D4524="","",D4524-TODAY())</f>
        <v/>
      </c>
      <c r="F4524">
        <f>IF(D4524="","",IF(E4524&lt;0,"VENCIDO",IF(E4524&lt;=30,"VENCE EM &lt;= 30 DIAS",IF(E4524&lt;=60,"ATENCAO (31-60 DIAS)","OK"))))</f>
        <v/>
      </c>
      <c r="G4524" s="13">
        <f>SUMIFS(Movimentacoes!$G:$G,Movimentacoes!$C:$C,$A4524,Movimentacoes!$E:$E,$C4524,Movimentacoes!$B:$B,"ENTRADA")</f>
        <v/>
      </c>
      <c r="H4524" s="13">
        <f>SUMIFS(Movimentacoes!$G:$G,Movimentacoes!$C:$C,$A4524,Movimentacoes!$E:$E,$C4524,Movimentacoes!$B:$B,"SAIDA_USO")</f>
        <v/>
      </c>
      <c r="I4524" s="13">
        <f>SUMIFS(Movimentacoes!$G:$G,Movimentacoes!$C:$C,$A4524,Movimentacoes!$E:$E,$C4524,Movimentacoes!$B:$B,"SAIDA_DESCARTE")</f>
        <v/>
      </c>
      <c r="J4524" s="13">
        <f>G4524-H4524-I4524</f>
        <v/>
      </c>
      <c r="K4524">
        <f>IF(A4524="","",IF(J4524&lt;=IFERROR(VLOOKUP(A4524,Cadastro_Produtos!$A:$E,5,FALSE),0),"ABAIXO DO MINIMO","OK"))</f>
        <v/>
      </c>
    </row>
    <row r="4525">
      <c r="B4525">
        <f>IFERROR(VLOOKUP(A4525,Cadastro_Produtos!A:B,2,FALSE),"")</f>
        <v/>
      </c>
      <c r="D4525" s="12" t="n"/>
      <c r="E4525" s="13">
        <f>IF(D4525="","",D4525-TODAY())</f>
        <v/>
      </c>
      <c r="F4525">
        <f>IF(D4525="","",IF(E4525&lt;0,"VENCIDO",IF(E4525&lt;=30,"VENCE EM &lt;= 30 DIAS",IF(E4525&lt;=60,"ATENCAO (31-60 DIAS)","OK"))))</f>
        <v/>
      </c>
      <c r="G4525" s="13">
        <f>SUMIFS(Movimentacoes!$G:$G,Movimentacoes!$C:$C,$A4525,Movimentacoes!$E:$E,$C4525,Movimentacoes!$B:$B,"ENTRADA")</f>
        <v/>
      </c>
      <c r="H4525" s="13">
        <f>SUMIFS(Movimentacoes!$G:$G,Movimentacoes!$C:$C,$A4525,Movimentacoes!$E:$E,$C4525,Movimentacoes!$B:$B,"SAIDA_USO")</f>
        <v/>
      </c>
      <c r="I4525" s="13">
        <f>SUMIFS(Movimentacoes!$G:$G,Movimentacoes!$C:$C,$A4525,Movimentacoes!$E:$E,$C4525,Movimentacoes!$B:$B,"SAIDA_DESCARTE")</f>
        <v/>
      </c>
      <c r="J4525" s="13">
        <f>G4525-H4525-I4525</f>
        <v/>
      </c>
      <c r="K4525">
        <f>IF(A4525="","",IF(J4525&lt;=IFERROR(VLOOKUP(A4525,Cadastro_Produtos!$A:$E,5,FALSE),0),"ABAIXO DO MINIMO","OK"))</f>
        <v/>
      </c>
    </row>
    <row r="4526">
      <c r="B4526">
        <f>IFERROR(VLOOKUP(A4526,Cadastro_Produtos!A:B,2,FALSE),"")</f>
        <v/>
      </c>
      <c r="D4526" s="12" t="n"/>
      <c r="E4526" s="13">
        <f>IF(D4526="","",D4526-TODAY())</f>
        <v/>
      </c>
      <c r="F4526">
        <f>IF(D4526="","",IF(E4526&lt;0,"VENCIDO",IF(E4526&lt;=30,"VENCE EM &lt;= 30 DIAS",IF(E4526&lt;=60,"ATENCAO (31-60 DIAS)","OK"))))</f>
        <v/>
      </c>
      <c r="G4526" s="13">
        <f>SUMIFS(Movimentacoes!$G:$G,Movimentacoes!$C:$C,$A4526,Movimentacoes!$E:$E,$C4526,Movimentacoes!$B:$B,"ENTRADA")</f>
        <v/>
      </c>
      <c r="H4526" s="13">
        <f>SUMIFS(Movimentacoes!$G:$G,Movimentacoes!$C:$C,$A4526,Movimentacoes!$E:$E,$C4526,Movimentacoes!$B:$B,"SAIDA_USO")</f>
        <v/>
      </c>
      <c r="I4526" s="13">
        <f>SUMIFS(Movimentacoes!$G:$G,Movimentacoes!$C:$C,$A4526,Movimentacoes!$E:$E,$C4526,Movimentacoes!$B:$B,"SAIDA_DESCARTE")</f>
        <v/>
      </c>
      <c r="J4526" s="13">
        <f>G4526-H4526-I4526</f>
        <v/>
      </c>
      <c r="K4526">
        <f>IF(A4526="","",IF(J4526&lt;=IFERROR(VLOOKUP(A4526,Cadastro_Produtos!$A:$E,5,FALSE),0),"ABAIXO DO MINIMO","OK"))</f>
        <v/>
      </c>
    </row>
    <row r="4527">
      <c r="B4527">
        <f>IFERROR(VLOOKUP(A4527,Cadastro_Produtos!A:B,2,FALSE),"")</f>
        <v/>
      </c>
      <c r="D4527" s="12" t="n"/>
      <c r="E4527" s="13">
        <f>IF(D4527="","",D4527-TODAY())</f>
        <v/>
      </c>
      <c r="F4527">
        <f>IF(D4527="","",IF(E4527&lt;0,"VENCIDO",IF(E4527&lt;=30,"VENCE EM &lt;= 30 DIAS",IF(E4527&lt;=60,"ATENCAO (31-60 DIAS)","OK"))))</f>
        <v/>
      </c>
      <c r="G4527" s="13">
        <f>SUMIFS(Movimentacoes!$G:$G,Movimentacoes!$C:$C,$A4527,Movimentacoes!$E:$E,$C4527,Movimentacoes!$B:$B,"ENTRADA")</f>
        <v/>
      </c>
      <c r="H4527" s="13">
        <f>SUMIFS(Movimentacoes!$G:$G,Movimentacoes!$C:$C,$A4527,Movimentacoes!$E:$E,$C4527,Movimentacoes!$B:$B,"SAIDA_USO")</f>
        <v/>
      </c>
      <c r="I4527" s="13">
        <f>SUMIFS(Movimentacoes!$G:$G,Movimentacoes!$C:$C,$A4527,Movimentacoes!$E:$E,$C4527,Movimentacoes!$B:$B,"SAIDA_DESCARTE")</f>
        <v/>
      </c>
      <c r="J4527" s="13">
        <f>G4527-H4527-I4527</f>
        <v/>
      </c>
      <c r="K4527">
        <f>IF(A4527="","",IF(J4527&lt;=IFERROR(VLOOKUP(A4527,Cadastro_Produtos!$A:$E,5,FALSE),0),"ABAIXO DO MINIMO","OK"))</f>
        <v/>
      </c>
    </row>
    <row r="4528">
      <c r="B4528">
        <f>IFERROR(VLOOKUP(A4528,Cadastro_Produtos!A:B,2,FALSE),"")</f>
        <v/>
      </c>
      <c r="D4528" s="12" t="n"/>
      <c r="E4528" s="13">
        <f>IF(D4528="","",D4528-TODAY())</f>
        <v/>
      </c>
      <c r="F4528">
        <f>IF(D4528="","",IF(E4528&lt;0,"VENCIDO",IF(E4528&lt;=30,"VENCE EM &lt;= 30 DIAS",IF(E4528&lt;=60,"ATENCAO (31-60 DIAS)","OK"))))</f>
        <v/>
      </c>
      <c r="G4528" s="13">
        <f>SUMIFS(Movimentacoes!$G:$G,Movimentacoes!$C:$C,$A4528,Movimentacoes!$E:$E,$C4528,Movimentacoes!$B:$B,"ENTRADA")</f>
        <v/>
      </c>
      <c r="H4528" s="13">
        <f>SUMIFS(Movimentacoes!$G:$G,Movimentacoes!$C:$C,$A4528,Movimentacoes!$E:$E,$C4528,Movimentacoes!$B:$B,"SAIDA_USO")</f>
        <v/>
      </c>
      <c r="I4528" s="13">
        <f>SUMIFS(Movimentacoes!$G:$G,Movimentacoes!$C:$C,$A4528,Movimentacoes!$E:$E,$C4528,Movimentacoes!$B:$B,"SAIDA_DESCARTE")</f>
        <v/>
      </c>
      <c r="J4528" s="13">
        <f>G4528-H4528-I4528</f>
        <v/>
      </c>
      <c r="K4528">
        <f>IF(A4528="","",IF(J4528&lt;=IFERROR(VLOOKUP(A4528,Cadastro_Produtos!$A:$E,5,FALSE),0),"ABAIXO DO MINIMO","OK"))</f>
        <v/>
      </c>
    </row>
    <row r="4529">
      <c r="B4529">
        <f>IFERROR(VLOOKUP(A4529,Cadastro_Produtos!A:B,2,FALSE),"")</f>
        <v/>
      </c>
      <c r="D4529" s="12" t="n"/>
      <c r="E4529" s="13">
        <f>IF(D4529="","",D4529-TODAY())</f>
        <v/>
      </c>
      <c r="F4529">
        <f>IF(D4529="","",IF(E4529&lt;0,"VENCIDO",IF(E4529&lt;=30,"VENCE EM &lt;= 30 DIAS",IF(E4529&lt;=60,"ATENCAO (31-60 DIAS)","OK"))))</f>
        <v/>
      </c>
      <c r="G4529" s="13">
        <f>SUMIFS(Movimentacoes!$G:$G,Movimentacoes!$C:$C,$A4529,Movimentacoes!$E:$E,$C4529,Movimentacoes!$B:$B,"ENTRADA")</f>
        <v/>
      </c>
      <c r="H4529" s="13">
        <f>SUMIFS(Movimentacoes!$G:$G,Movimentacoes!$C:$C,$A4529,Movimentacoes!$E:$E,$C4529,Movimentacoes!$B:$B,"SAIDA_USO")</f>
        <v/>
      </c>
      <c r="I4529" s="13">
        <f>SUMIFS(Movimentacoes!$G:$G,Movimentacoes!$C:$C,$A4529,Movimentacoes!$E:$E,$C4529,Movimentacoes!$B:$B,"SAIDA_DESCARTE")</f>
        <v/>
      </c>
      <c r="J4529" s="13">
        <f>G4529-H4529-I4529</f>
        <v/>
      </c>
      <c r="K4529">
        <f>IF(A4529="","",IF(J4529&lt;=IFERROR(VLOOKUP(A4529,Cadastro_Produtos!$A:$E,5,FALSE),0),"ABAIXO DO MINIMO","OK"))</f>
        <v/>
      </c>
    </row>
    <row r="4530">
      <c r="B4530">
        <f>IFERROR(VLOOKUP(A4530,Cadastro_Produtos!A:B,2,FALSE),"")</f>
        <v/>
      </c>
      <c r="D4530" s="12" t="n"/>
      <c r="E4530" s="13">
        <f>IF(D4530="","",D4530-TODAY())</f>
        <v/>
      </c>
      <c r="F4530">
        <f>IF(D4530="","",IF(E4530&lt;0,"VENCIDO",IF(E4530&lt;=30,"VENCE EM &lt;= 30 DIAS",IF(E4530&lt;=60,"ATENCAO (31-60 DIAS)","OK"))))</f>
        <v/>
      </c>
      <c r="G4530" s="13">
        <f>SUMIFS(Movimentacoes!$G:$G,Movimentacoes!$C:$C,$A4530,Movimentacoes!$E:$E,$C4530,Movimentacoes!$B:$B,"ENTRADA")</f>
        <v/>
      </c>
      <c r="H4530" s="13">
        <f>SUMIFS(Movimentacoes!$G:$G,Movimentacoes!$C:$C,$A4530,Movimentacoes!$E:$E,$C4530,Movimentacoes!$B:$B,"SAIDA_USO")</f>
        <v/>
      </c>
      <c r="I4530" s="13">
        <f>SUMIFS(Movimentacoes!$G:$G,Movimentacoes!$C:$C,$A4530,Movimentacoes!$E:$E,$C4530,Movimentacoes!$B:$B,"SAIDA_DESCARTE")</f>
        <v/>
      </c>
      <c r="J4530" s="13">
        <f>G4530-H4530-I4530</f>
        <v/>
      </c>
      <c r="K4530">
        <f>IF(A4530="","",IF(J4530&lt;=IFERROR(VLOOKUP(A4530,Cadastro_Produtos!$A:$E,5,FALSE),0),"ABAIXO DO MINIMO","OK"))</f>
        <v/>
      </c>
    </row>
    <row r="4531">
      <c r="B4531">
        <f>IFERROR(VLOOKUP(A4531,Cadastro_Produtos!A:B,2,FALSE),"")</f>
        <v/>
      </c>
      <c r="D4531" s="12" t="n"/>
      <c r="E4531" s="13">
        <f>IF(D4531="","",D4531-TODAY())</f>
        <v/>
      </c>
      <c r="F4531">
        <f>IF(D4531="","",IF(E4531&lt;0,"VENCIDO",IF(E4531&lt;=30,"VENCE EM &lt;= 30 DIAS",IF(E4531&lt;=60,"ATENCAO (31-60 DIAS)","OK"))))</f>
        <v/>
      </c>
      <c r="G4531" s="13">
        <f>SUMIFS(Movimentacoes!$G:$G,Movimentacoes!$C:$C,$A4531,Movimentacoes!$E:$E,$C4531,Movimentacoes!$B:$B,"ENTRADA")</f>
        <v/>
      </c>
      <c r="H4531" s="13">
        <f>SUMIFS(Movimentacoes!$G:$G,Movimentacoes!$C:$C,$A4531,Movimentacoes!$E:$E,$C4531,Movimentacoes!$B:$B,"SAIDA_USO")</f>
        <v/>
      </c>
      <c r="I4531" s="13">
        <f>SUMIFS(Movimentacoes!$G:$G,Movimentacoes!$C:$C,$A4531,Movimentacoes!$E:$E,$C4531,Movimentacoes!$B:$B,"SAIDA_DESCARTE")</f>
        <v/>
      </c>
      <c r="J4531" s="13">
        <f>G4531-H4531-I4531</f>
        <v/>
      </c>
      <c r="K4531">
        <f>IF(A4531="","",IF(J4531&lt;=IFERROR(VLOOKUP(A4531,Cadastro_Produtos!$A:$E,5,FALSE),0),"ABAIXO DO MINIMO","OK"))</f>
        <v/>
      </c>
    </row>
    <row r="4532">
      <c r="B4532">
        <f>IFERROR(VLOOKUP(A4532,Cadastro_Produtos!A:B,2,FALSE),"")</f>
        <v/>
      </c>
      <c r="D4532" s="12" t="n"/>
      <c r="E4532" s="13">
        <f>IF(D4532="","",D4532-TODAY())</f>
        <v/>
      </c>
      <c r="F4532">
        <f>IF(D4532="","",IF(E4532&lt;0,"VENCIDO",IF(E4532&lt;=30,"VENCE EM &lt;= 30 DIAS",IF(E4532&lt;=60,"ATENCAO (31-60 DIAS)","OK"))))</f>
        <v/>
      </c>
      <c r="G4532" s="13">
        <f>SUMIFS(Movimentacoes!$G:$G,Movimentacoes!$C:$C,$A4532,Movimentacoes!$E:$E,$C4532,Movimentacoes!$B:$B,"ENTRADA")</f>
        <v/>
      </c>
      <c r="H4532" s="13">
        <f>SUMIFS(Movimentacoes!$G:$G,Movimentacoes!$C:$C,$A4532,Movimentacoes!$E:$E,$C4532,Movimentacoes!$B:$B,"SAIDA_USO")</f>
        <v/>
      </c>
      <c r="I4532" s="13">
        <f>SUMIFS(Movimentacoes!$G:$G,Movimentacoes!$C:$C,$A4532,Movimentacoes!$E:$E,$C4532,Movimentacoes!$B:$B,"SAIDA_DESCARTE")</f>
        <v/>
      </c>
      <c r="J4532" s="13">
        <f>G4532-H4532-I4532</f>
        <v/>
      </c>
      <c r="K4532">
        <f>IF(A4532="","",IF(J4532&lt;=IFERROR(VLOOKUP(A4532,Cadastro_Produtos!$A:$E,5,FALSE),0),"ABAIXO DO MINIMO","OK"))</f>
        <v/>
      </c>
    </row>
    <row r="4533">
      <c r="B4533">
        <f>IFERROR(VLOOKUP(A4533,Cadastro_Produtos!A:B,2,FALSE),"")</f>
        <v/>
      </c>
      <c r="D4533" s="12" t="n"/>
      <c r="E4533" s="13">
        <f>IF(D4533="","",D4533-TODAY())</f>
        <v/>
      </c>
      <c r="F4533">
        <f>IF(D4533="","",IF(E4533&lt;0,"VENCIDO",IF(E4533&lt;=30,"VENCE EM &lt;= 30 DIAS",IF(E4533&lt;=60,"ATENCAO (31-60 DIAS)","OK"))))</f>
        <v/>
      </c>
      <c r="G4533" s="13">
        <f>SUMIFS(Movimentacoes!$G:$G,Movimentacoes!$C:$C,$A4533,Movimentacoes!$E:$E,$C4533,Movimentacoes!$B:$B,"ENTRADA")</f>
        <v/>
      </c>
      <c r="H4533" s="13">
        <f>SUMIFS(Movimentacoes!$G:$G,Movimentacoes!$C:$C,$A4533,Movimentacoes!$E:$E,$C4533,Movimentacoes!$B:$B,"SAIDA_USO")</f>
        <v/>
      </c>
      <c r="I4533" s="13">
        <f>SUMIFS(Movimentacoes!$G:$G,Movimentacoes!$C:$C,$A4533,Movimentacoes!$E:$E,$C4533,Movimentacoes!$B:$B,"SAIDA_DESCARTE")</f>
        <v/>
      </c>
      <c r="J4533" s="13">
        <f>G4533-H4533-I4533</f>
        <v/>
      </c>
      <c r="K4533">
        <f>IF(A4533="","",IF(J4533&lt;=IFERROR(VLOOKUP(A4533,Cadastro_Produtos!$A:$E,5,FALSE),0),"ABAIXO DO MINIMO","OK"))</f>
        <v/>
      </c>
    </row>
    <row r="4534">
      <c r="B4534">
        <f>IFERROR(VLOOKUP(A4534,Cadastro_Produtos!A:B,2,FALSE),"")</f>
        <v/>
      </c>
      <c r="D4534" s="12" t="n"/>
      <c r="E4534" s="13">
        <f>IF(D4534="","",D4534-TODAY())</f>
        <v/>
      </c>
      <c r="F4534">
        <f>IF(D4534="","",IF(E4534&lt;0,"VENCIDO",IF(E4534&lt;=30,"VENCE EM &lt;= 30 DIAS",IF(E4534&lt;=60,"ATENCAO (31-60 DIAS)","OK"))))</f>
        <v/>
      </c>
      <c r="G4534" s="13">
        <f>SUMIFS(Movimentacoes!$G:$G,Movimentacoes!$C:$C,$A4534,Movimentacoes!$E:$E,$C4534,Movimentacoes!$B:$B,"ENTRADA")</f>
        <v/>
      </c>
      <c r="H4534" s="13">
        <f>SUMIFS(Movimentacoes!$G:$G,Movimentacoes!$C:$C,$A4534,Movimentacoes!$E:$E,$C4534,Movimentacoes!$B:$B,"SAIDA_USO")</f>
        <v/>
      </c>
      <c r="I4534" s="13">
        <f>SUMIFS(Movimentacoes!$G:$G,Movimentacoes!$C:$C,$A4534,Movimentacoes!$E:$E,$C4534,Movimentacoes!$B:$B,"SAIDA_DESCARTE")</f>
        <v/>
      </c>
      <c r="J4534" s="13">
        <f>G4534-H4534-I4534</f>
        <v/>
      </c>
      <c r="K4534">
        <f>IF(A4534="","",IF(J4534&lt;=IFERROR(VLOOKUP(A4534,Cadastro_Produtos!$A:$E,5,FALSE),0),"ABAIXO DO MINIMO","OK"))</f>
        <v/>
      </c>
    </row>
    <row r="4535">
      <c r="B4535">
        <f>IFERROR(VLOOKUP(A4535,Cadastro_Produtos!A:B,2,FALSE),"")</f>
        <v/>
      </c>
      <c r="D4535" s="12" t="n"/>
      <c r="E4535" s="13">
        <f>IF(D4535="","",D4535-TODAY())</f>
        <v/>
      </c>
      <c r="F4535">
        <f>IF(D4535="","",IF(E4535&lt;0,"VENCIDO",IF(E4535&lt;=30,"VENCE EM &lt;= 30 DIAS",IF(E4535&lt;=60,"ATENCAO (31-60 DIAS)","OK"))))</f>
        <v/>
      </c>
      <c r="G4535" s="13">
        <f>SUMIFS(Movimentacoes!$G:$G,Movimentacoes!$C:$C,$A4535,Movimentacoes!$E:$E,$C4535,Movimentacoes!$B:$B,"ENTRADA")</f>
        <v/>
      </c>
      <c r="H4535" s="13">
        <f>SUMIFS(Movimentacoes!$G:$G,Movimentacoes!$C:$C,$A4535,Movimentacoes!$E:$E,$C4535,Movimentacoes!$B:$B,"SAIDA_USO")</f>
        <v/>
      </c>
      <c r="I4535" s="13">
        <f>SUMIFS(Movimentacoes!$G:$G,Movimentacoes!$C:$C,$A4535,Movimentacoes!$E:$E,$C4535,Movimentacoes!$B:$B,"SAIDA_DESCARTE")</f>
        <v/>
      </c>
      <c r="J4535" s="13">
        <f>G4535-H4535-I4535</f>
        <v/>
      </c>
      <c r="K4535">
        <f>IF(A4535="","",IF(J4535&lt;=IFERROR(VLOOKUP(A4535,Cadastro_Produtos!$A:$E,5,FALSE),0),"ABAIXO DO MINIMO","OK"))</f>
        <v/>
      </c>
    </row>
    <row r="4536">
      <c r="B4536">
        <f>IFERROR(VLOOKUP(A4536,Cadastro_Produtos!A:B,2,FALSE),"")</f>
        <v/>
      </c>
      <c r="D4536" s="12" t="n"/>
      <c r="E4536" s="13">
        <f>IF(D4536="","",D4536-TODAY())</f>
        <v/>
      </c>
      <c r="F4536">
        <f>IF(D4536="","",IF(E4536&lt;0,"VENCIDO",IF(E4536&lt;=30,"VENCE EM &lt;= 30 DIAS",IF(E4536&lt;=60,"ATENCAO (31-60 DIAS)","OK"))))</f>
        <v/>
      </c>
      <c r="G4536" s="13">
        <f>SUMIFS(Movimentacoes!$G:$G,Movimentacoes!$C:$C,$A4536,Movimentacoes!$E:$E,$C4536,Movimentacoes!$B:$B,"ENTRADA")</f>
        <v/>
      </c>
      <c r="H4536" s="13">
        <f>SUMIFS(Movimentacoes!$G:$G,Movimentacoes!$C:$C,$A4536,Movimentacoes!$E:$E,$C4536,Movimentacoes!$B:$B,"SAIDA_USO")</f>
        <v/>
      </c>
      <c r="I4536" s="13">
        <f>SUMIFS(Movimentacoes!$G:$G,Movimentacoes!$C:$C,$A4536,Movimentacoes!$E:$E,$C4536,Movimentacoes!$B:$B,"SAIDA_DESCARTE")</f>
        <v/>
      </c>
      <c r="J4536" s="13">
        <f>G4536-H4536-I4536</f>
        <v/>
      </c>
      <c r="K4536">
        <f>IF(A4536="","",IF(J4536&lt;=IFERROR(VLOOKUP(A4536,Cadastro_Produtos!$A:$E,5,FALSE),0),"ABAIXO DO MINIMO","OK"))</f>
        <v/>
      </c>
    </row>
    <row r="4537">
      <c r="B4537">
        <f>IFERROR(VLOOKUP(A4537,Cadastro_Produtos!A:B,2,FALSE),"")</f>
        <v/>
      </c>
      <c r="D4537" s="12" t="n"/>
      <c r="E4537" s="13">
        <f>IF(D4537="","",D4537-TODAY())</f>
        <v/>
      </c>
      <c r="F4537">
        <f>IF(D4537="","",IF(E4537&lt;0,"VENCIDO",IF(E4537&lt;=30,"VENCE EM &lt;= 30 DIAS",IF(E4537&lt;=60,"ATENCAO (31-60 DIAS)","OK"))))</f>
        <v/>
      </c>
      <c r="G4537" s="13">
        <f>SUMIFS(Movimentacoes!$G:$G,Movimentacoes!$C:$C,$A4537,Movimentacoes!$E:$E,$C4537,Movimentacoes!$B:$B,"ENTRADA")</f>
        <v/>
      </c>
      <c r="H4537" s="13">
        <f>SUMIFS(Movimentacoes!$G:$G,Movimentacoes!$C:$C,$A4537,Movimentacoes!$E:$E,$C4537,Movimentacoes!$B:$B,"SAIDA_USO")</f>
        <v/>
      </c>
      <c r="I4537" s="13">
        <f>SUMIFS(Movimentacoes!$G:$G,Movimentacoes!$C:$C,$A4537,Movimentacoes!$E:$E,$C4537,Movimentacoes!$B:$B,"SAIDA_DESCARTE")</f>
        <v/>
      </c>
      <c r="J4537" s="13">
        <f>G4537-H4537-I4537</f>
        <v/>
      </c>
      <c r="K4537">
        <f>IF(A4537="","",IF(J4537&lt;=IFERROR(VLOOKUP(A4537,Cadastro_Produtos!$A:$E,5,FALSE),0),"ABAIXO DO MINIMO","OK"))</f>
        <v/>
      </c>
    </row>
    <row r="4538">
      <c r="B4538">
        <f>IFERROR(VLOOKUP(A4538,Cadastro_Produtos!A:B,2,FALSE),"")</f>
        <v/>
      </c>
      <c r="D4538" s="12" t="n"/>
      <c r="E4538" s="13">
        <f>IF(D4538="","",D4538-TODAY())</f>
        <v/>
      </c>
      <c r="F4538">
        <f>IF(D4538="","",IF(E4538&lt;0,"VENCIDO",IF(E4538&lt;=30,"VENCE EM &lt;= 30 DIAS",IF(E4538&lt;=60,"ATENCAO (31-60 DIAS)","OK"))))</f>
        <v/>
      </c>
      <c r="G4538" s="13">
        <f>SUMIFS(Movimentacoes!$G:$G,Movimentacoes!$C:$C,$A4538,Movimentacoes!$E:$E,$C4538,Movimentacoes!$B:$B,"ENTRADA")</f>
        <v/>
      </c>
      <c r="H4538" s="13">
        <f>SUMIFS(Movimentacoes!$G:$G,Movimentacoes!$C:$C,$A4538,Movimentacoes!$E:$E,$C4538,Movimentacoes!$B:$B,"SAIDA_USO")</f>
        <v/>
      </c>
      <c r="I4538" s="13">
        <f>SUMIFS(Movimentacoes!$G:$G,Movimentacoes!$C:$C,$A4538,Movimentacoes!$E:$E,$C4538,Movimentacoes!$B:$B,"SAIDA_DESCARTE")</f>
        <v/>
      </c>
      <c r="J4538" s="13">
        <f>G4538-H4538-I4538</f>
        <v/>
      </c>
      <c r="K4538">
        <f>IF(A4538="","",IF(J4538&lt;=IFERROR(VLOOKUP(A4538,Cadastro_Produtos!$A:$E,5,FALSE),0),"ABAIXO DO MINIMO","OK"))</f>
        <v/>
      </c>
    </row>
    <row r="4539">
      <c r="B4539">
        <f>IFERROR(VLOOKUP(A4539,Cadastro_Produtos!A:B,2,FALSE),"")</f>
        <v/>
      </c>
      <c r="D4539" s="12" t="n"/>
      <c r="E4539" s="13">
        <f>IF(D4539="","",D4539-TODAY())</f>
        <v/>
      </c>
      <c r="F4539">
        <f>IF(D4539="","",IF(E4539&lt;0,"VENCIDO",IF(E4539&lt;=30,"VENCE EM &lt;= 30 DIAS",IF(E4539&lt;=60,"ATENCAO (31-60 DIAS)","OK"))))</f>
        <v/>
      </c>
      <c r="G4539" s="13">
        <f>SUMIFS(Movimentacoes!$G:$G,Movimentacoes!$C:$C,$A4539,Movimentacoes!$E:$E,$C4539,Movimentacoes!$B:$B,"ENTRADA")</f>
        <v/>
      </c>
      <c r="H4539" s="13">
        <f>SUMIFS(Movimentacoes!$G:$G,Movimentacoes!$C:$C,$A4539,Movimentacoes!$E:$E,$C4539,Movimentacoes!$B:$B,"SAIDA_USO")</f>
        <v/>
      </c>
      <c r="I4539" s="13">
        <f>SUMIFS(Movimentacoes!$G:$G,Movimentacoes!$C:$C,$A4539,Movimentacoes!$E:$E,$C4539,Movimentacoes!$B:$B,"SAIDA_DESCARTE")</f>
        <v/>
      </c>
      <c r="J4539" s="13">
        <f>G4539-H4539-I4539</f>
        <v/>
      </c>
      <c r="K4539">
        <f>IF(A4539="","",IF(J4539&lt;=IFERROR(VLOOKUP(A4539,Cadastro_Produtos!$A:$E,5,FALSE),0),"ABAIXO DO MINIMO","OK"))</f>
        <v/>
      </c>
    </row>
    <row r="4540">
      <c r="B4540">
        <f>IFERROR(VLOOKUP(A4540,Cadastro_Produtos!A:B,2,FALSE),"")</f>
        <v/>
      </c>
      <c r="D4540" s="12" t="n"/>
      <c r="E4540" s="13">
        <f>IF(D4540="","",D4540-TODAY())</f>
        <v/>
      </c>
      <c r="F4540">
        <f>IF(D4540="","",IF(E4540&lt;0,"VENCIDO",IF(E4540&lt;=30,"VENCE EM &lt;= 30 DIAS",IF(E4540&lt;=60,"ATENCAO (31-60 DIAS)","OK"))))</f>
        <v/>
      </c>
      <c r="G4540" s="13">
        <f>SUMIFS(Movimentacoes!$G:$G,Movimentacoes!$C:$C,$A4540,Movimentacoes!$E:$E,$C4540,Movimentacoes!$B:$B,"ENTRADA")</f>
        <v/>
      </c>
      <c r="H4540" s="13">
        <f>SUMIFS(Movimentacoes!$G:$G,Movimentacoes!$C:$C,$A4540,Movimentacoes!$E:$E,$C4540,Movimentacoes!$B:$B,"SAIDA_USO")</f>
        <v/>
      </c>
      <c r="I4540" s="13">
        <f>SUMIFS(Movimentacoes!$G:$G,Movimentacoes!$C:$C,$A4540,Movimentacoes!$E:$E,$C4540,Movimentacoes!$B:$B,"SAIDA_DESCARTE")</f>
        <v/>
      </c>
      <c r="J4540" s="13">
        <f>G4540-H4540-I4540</f>
        <v/>
      </c>
      <c r="K4540">
        <f>IF(A4540="","",IF(J4540&lt;=IFERROR(VLOOKUP(A4540,Cadastro_Produtos!$A:$E,5,FALSE),0),"ABAIXO DO MINIMO","OK"))</f>
        <v/>
      </c>
    </row>
    <row r="4541">
      <c r="B4541">
        <f>IFERROR(VLOOKUP(A4541,Cadastro_Produtos!A:B,2,FALSE),"")</f>
        <v/>
      </c>
      <c r="D4541" s="12" t="n"/>
      <c r="E4541" s="13">
        <f>IF(D4541="","",D4541-TODAY())</f>
        <v/>
      </c>
      <c r="F4541">
        <f>IF(D4541="","",IF(E4541&lt;0,"VENCIDO",IF(E4541&lt;=30,"VENCE EM &lt;= 30 DIAS",IF(E4541&lt;=60,"ATENCAO (31-60 DIAS)","OK"))))</f>
        <v/>
      </c>
      <c r="G4541" s="13">
        <f>SUMIFS(Movimentacoes!$G:$G,Movimentacoes!$C:$C,$A4541,Movimentacoes!$E:$E,$C4541,Movimentacoes!$B:$B,"ENTRADA")</f>
        <v/>
      </c>
      <c r="H4541" s="13">
        <f>SUMIFS(Movimentacoes!$G:$G,Movimentacoes!$C:$C,$A4541,Movimentacoes!$E:$E,$C4541,Movimentacoes!$B:$B,"SAIDA_USO")</f>
        <v/>
      </c>
      <c r="I4541" s="13">
        <f>SUMIFS(Movimentacoes!$G:$G,Movimentacoes!$C:$C,$A4541,Movimentacoes!$E:$E,$C4541,Movimentacoes!$B:$B,"SAIDA_DESCARTE")</f>
        <v/>
      </c>
      <c r="J4541" s="13">
        <f>G4541-H4541-I4541</f>
        <v/>
      </c>
      <c r="K4541">
        <f>IF(A4541="","",IF(J4541&lt;=IFERROR(VLOOKUP(A4541,Cadastro_Produtos!$A:$E,5,FALSE),0),"ABAIXO DO MINIMO","OK"))</f>
        <v/>
      </c>
    </row>
    <row r="4542">
      <c r="B4542">
        <f>IFERROR(VLOOKUP(A4542,Cadastro_Produtos!A:B,2,FALSE),"")</f>
        <v/>
      </c>
      <c r="D4542" s="12" t="n"/>
      <c r="E4542" s="13">
        <f>IF(D4542="","",D4542-TODAY())</f>
        <v/>
      </c>
      <c r="F4542">
        <f>IF(D4542="","",IF(E4542&lt;0,"VENCIDO",IF(E4542&lt;=30,"VENCE EM &lt;= 30 DIAS",IF(E4542&lt;=60,"ATENCAO (31-60 DIAS)","OK"))))</f>
        <v/>
      </c>
      <c r="G4542" s="13">
        <f>SUMIFS(Movimentacoes!$G:$G,Movimentacoes!$C:$C,$A4542,Movimentacoes!$E:$E,$C4542,Movimentacoes!$B:$B,"ENTRADA")</f>
        <v/>
      </c>
      <c r="H4542" s="13">
        <f>SUMIFS(Movimentacoes!$G:$G,Movimentacoes!$C:$C,$A4542,Movimentacoes!$E:$E,$C4542,Movimentacoes!$B:$B,"SAIDA_USO")</f>
        <v/>
      </c>
      <c r="I4542" s="13">
        <f>SUMIFS(Movimentacoes!$G:$G,Movimentacoes!$C:$C,$A4542,Movimentacoes!$E:$E,$C4542,Movimentacoes!$B:$B,"SAIDA_DESCARTE")</f>
        <v/>
      </c>
      <c r="J4542" s="13">
        <f>G4542-H4542-I4542</f>
        <v/>
      </c>
      <c r="K4542">
        <f>IF(A4542="","",IF(J4542&lt;=IFERROR(VLOOKUP(A4542,Cadastro_Produtos!$A:$E,5,FALSE),0),"ABAIXO DO MINIMO","OK"))</f>
        <v/>
      </c>
    </row>
    <row r="4543">
      <c r="B4543">
        <f>IFERROR(VLOOKUP(A4543,Cadastro_Produtos!A:B,2,FALSE),"")</f>
        <v/>
      </c>
      <c r="D4543" s="12" t="n"/>
      <c r="E4543" s="13">
        <f>IF(D4543="","",D4543-TODAY())</f>
        <v/>
      </c>
      <c r="F4543">
        <f>IF(D4543="","",IF(E4543&lt;0,"VENCIDO",IF(E4543&lt;=30,"VENCE EM &lt;= 30 DIAS",IF(E4543&lt;=60,"ATENCAO (31-60 DIAS)","OK"))))</f>
        <v/>
      </c>
      <c r="G4543" s="13">
        <f>SUMIFS(Movimentacoes!$G:$G,Movimentacoes!$C:$C,$A4543,Movimentacoes!$E:$E,$C4543,Movimentacoes!$B:$B,"ENTRADA")</f>
        <v/>
      </c>
      <c r="H4543" s="13">
        <f>SUMIFS(Movimentacoes!$G:$G,Movimentacoes!$C:$C,$A4543,Movimentacoes!$E:$E,$C4543,Movimentacoes!$B:$B,"SAIDA_USO")</f>
        <v/>
      </c>
      <c r="I4543" s="13">
        <f>SUMIFS(Movimentacoes!$G:$G,Movimentacoes!$C:$C,$A4543,Movimentacoes!$E:$E,$C4543,Movimentacoes!$B:$B,"SAIDA_DESCARTE")</f>
        <v/>
      </c>
      <c r="J4543" s="13">
        <f>G4543-H4543-I4543</f>
        <v/>
      </c>
      <c r="K4543">
        <f>IF(A4543="","",IF(J4543&lt;=IFERROR(VLOOKUP(A4543,Cadastro_Produtos!$A:$E,5,FALSE),0),"ABAIXO DO MINIMO","OK"))</f>
        <v/>
      </c>
    </row>
    <row r="4544">
      <c r="B4544">
        <f>IFERROR(VLOOKUP(A4544,Cadastro_Produtos!A:B,2,FALSE),"")</f>
        <v/>
      </c>
      <c r="D4544" s="12" t="n"/>
      <c r="E4544" s="13">
        <f>IF(D4544="","",D4544-TODAY())</f>
        <v/>
      </c>
      <c r="F4544">
        <f>IF(D4544="","",IF(E4544&lt;0,"VENCIDO",IF(E4544&lt;=30,"VENCE EM &lt;= 30 DIAS",IF(E4544&lt;=60,"ATENCAO (31-60 DIAS)","OK"))))</f>
        <v/>
      </c>
      <c r="G4544" s="13">
        <f>SUMIFS(Movimentacoes!$G:$G,Movimentacoes!$C:$C,$A4544,Movimentacoes!$E:$E,$C4544,Movimentacoes!$B:$B,"ENTRADA")</f>
        <v/>
      </c>
      <c r="H4544" s="13">
        <f>SUMIFS(Movimentacoes!$G:$G,Movimentacoes!$C:$C,$A4544,Movimentacoes!$E:$E,$C4544,Movimentacoes!$B:$B,"SAIDA_USO")</f>
        <v/>
      </c>
      <c r="I4544" s="13">
        <f>SUMIFS(Movimentacoes!$G:$G,Movimentacoes!$C:$C,$A4544,Movimentacoes!$E:$E,$C4544,Movimentacoes!$B:$B,"SAIDA_DESCARTE")</f>
        <v/>
      </c>
      <c r="J4544" s="13">
        <f>G4544-H4544-I4544</f>
        <v/>
      </c>
      <c r="K4544">
        <f>IF(A4544="","",IF(J4544&lt;=IFERROR(VLOOKUP(A4544,Cadastro_Produtos!$A:$E,5,FALSE),0),"ABAIXO DO MINIMO","OK"))</f>
        <v/>
      </c>
    </row>
    <row r="4545">
      <c r="B4545">
        <f>IFERROR(VLOOKUP(A4545,Cadastro_Produtos!A:B,2,FALSE),"")</f>
        <v/>
      </c>
      <c r="D4545" s="12" t="n"/>
      <c r="E4545" s="13">
        <f>IF(D4545="","",D4545-TODAY())</f>
        <v/>
      </c>
      <c r="F4545">
        <f>IF(D4545="","",IF(E4545&lt;0,"VENCIDO",IF(E4545&lt;=30,"VENCE EM &lt;= 30 DIAS",IF(E4545&lt;=60,"ATENCAO (31-60 DIAS)","OK"))))</f>
        <v/>
      </c>
      <c r="G4545" s="13">
        <f>SUMIFS(Movimentacoes!$G:$G,Movimentacoes!$C:$C,$A4545,Movimentacoes!$E:$E,$C4545,Movimentacoes!$B:$B,"ENTRADA")</f>
        <v/>
      </c>
      <c r="H4545" s="13">
        <f>SUMIFS(Movimentacoes!$G:$G,Movimentacoes!$C:$C,$A4545,Movimentacoes!$E:$E,$C4545,Movimentacoes!$B:$B,"SAIDA_USO")</f>
        <v/>
      </c>
      <c r="I4545" s="13">
        <f>SUMIFS(Movimentacoes!$G:$G,Movimentacoes!$C:$C,$A4545,Movimentacoes!$E:$E,$C4545,Movimentacoes!$B:$B,"SAIDA_DESCARTE")</f>
        <v/>
      </c>
      <c r="J4545" s="13">
        <f>G4545-H4545-I4545</f>
        <v/>
      </c>
      <c r="K4545">
        <f>IF(A4545="","",IF(J4545&lt;=IFERROR(VLOOKUP(A4545,Cadastro_Produtos!$A:$E,5,FALSE),0),"ABAIXO DO MINIMO","OK"))</f>
        <v/>
      </c>
    </row>
    <row r="4546">
      <c r="B4546">
        <f>IFERROR(VLOOKUP(A4546,Cadastro_Produtos!A:B,2,FALSE),"")</f>
        <v/>
      </c>
      <c r="D4546" s="12" t="n"/>
      <c r="E4546" s="13">
        <f>IF(D4546="","",D4546-TODAY())</f>
        <v/>
      </c>
      <c r="F4546">
        <f>IF(D4546="","",IF(E4546&lt;0,"VENCIDO",IF(E4546&lt;=30,"VENCE EM &lt;= 30 DIAS",IF(E4546&lt;=60,"ATENCAO (31-60 DIAS)","OK"))))</f>
        <v/>
      </c>
      <c r="G4546" s="13">
        <f>SUMIFS(Movimentacoes!$G:$G,Movimentacoes!$C:$C,$A4546,Movimentacoes!$E:$E,$C4546,Movimentacoes!$B:$B,"ENTRADA")</f>
        <v/>
      </c>
      <c r="H4546" s="13">
        <f>SUMIFS(Movimentacoes!$G:$G,Movimentacoes!$C:$C,$A4546,Movimentacoes!$E:$E,$C4546,Movimentacoes!$B:$B,"SAIDA_USO")</f>
        <v/>
      </c>
      <c r="I4546" s="13">
        <f>SUMIFS(Movimentacoes!$G:$G,Movimentacoes!$C:$C,$A4546,Movimentacoes!$E:$E,$C4546,Movimentacoes!$B:$B,"SAIDA_DESCARTE")</f>
        <v/>
      </c>
      <c r="J4546" s="13">
        <f>G4546-H4546-I4546</f>
        <v/>
      </c>
      <c r="K4546">
        <f>IF(A4546="","",IF(J4546&lt;=IFERROR(VLOOKUP(A4546,Cadastro_Produtos!$A:$E,5,FALSE),0),"ABAIXO DO MINIMO","OK"))</f>
        <v/>
      </c>
    </row>
    <row r="4547">
      <c r="B4547">
        <f>IFERROR(VLOOKUP(A4547,Cadastro_Produtos!A:B,2,FALSE),"")</f>
        <v/>
      </c>
      <c r="D4547" s="12" t="n"/>
      <c r="E4547" s="13">
        <f>IF(D4547="","",D4547-TODAY())</f>
        <v/>
      </c>
      <c r="F4547">
        <f>IF(D4547="","",IF(E4547&lt;0,"VENCIDO",IF(E4547&lt;=30,"VENCE EM &lt;= 30 DIAS",IF(E4547&lt;=60,"ATENCAO (31-60 DIAS)","OK"))))</f>
        <v/>
      </c>
      <c r="G4547" s="13">
        <f>SUMIFS(Movimentacoes!$G:$G,Movimentacoes!$C:$C,$A4547,Movimentacoes!$E:$E,$C4547,Movimentacoes!$B:$B,"ENTRADA")</f>
        <v/>
      </c>
      <c r="H4547" s="13">
        <f>SUMIFS(Movimentacoes!$G:$G,Movimentacoes!$C:$C,$A4547,Movimentacoes!$E:$E,$C4547,Movimentacoes!$B:$B,"SAIDA_USO")</f>
        <v/>
      </c>
      <c r="I4547" s="13">
        <f>SUMIFS(Movimentacoes!$G:$G,Movimentacoes!$C:$C,$A4547,Movimentacoes!$E:$E,$C4547,Movimentacoes!$B:$B,"SAIDA_DESCARTE")</f>
        <v/>
      </c>
      <c r="J4547" s="13">
        <f>G4547-H4547-I4547</f>
        <v/>
      </c>
      <c r="K4547">
        <f>IF(A4547="","",IF(J4547&lt;=IFERROR(VLOOKUP(A4547,Cadastro_Produtos!$A:$E,5,FALSE),0),"ABAIXO DO MINIMO","OK"))</f>
        <v/>
      </c>
    </row>
    <row r="4548">
      <c r="B4548">
        <f>IFERROR(VLOOKUP(A4548,Cadastro_Produtos!A:B,2,FALSE),"")</f>
        <v/>
      </c>
      <c r="D4548" s="12" t="n"/>
      <c r="E4548" s="13">
        <f>IF(D4548="","",D4548-TODAY())</f>
        <v/>
      </c>
      <c r="F4548">
        <f>IF(D4548="","",IF(E4548&lt;0,"VENCIDO",IF(E4548&lt;=30,"VENCE EM &lt;= 30 DIAS",IF(E4548&lt;=60,"ATENCAO (31-60 DIAS)","OK"))))</f>
        <v/>
      </c>
      <c r="G4548" s="13">
        <f>SUMIFS(Movimentacoes!$G:$G,Movimentacoes!$C:$C,$A4548,Movimentacoes!$E:$E,$C4548,Movimentacoes!$B:$B,"ENTRADA")</f>
        <v/>
      </c>
      <c r="H4548" s="13">
        <f>SUMIFS(Movimentacoes!$G:$G,Movimentacoes!$C:$C,$A4548,Movimentacoes!$E:$E,$C4548,Movimentacoes!$B:$B,"SAIDA_USO")</f>
        <v/>
      </c>
      <c r="I4548" s="13">
        <f>SUMIFS(Movimentacoes!$G:$G,Movimentacoes!$C:$C,$A4548,Movimentacoes!$E:$E,$C4548,Movimentacoes!$B:$B,"SAIDA_DESCARTE")</f>
        <v/>
      </c>
      <c r="J4548" s="13">
        <f>G4548-H4548-I4548</f>
        <v/>
      </c>
      <c r="K4548">
        <f>IF(A4548="","",IF(J4548&lt;=IFERROR(VLOOKUP(A4548,Cadastro_Produtos!$A:$E,5,FALSE),0),"ABAIXO DO MINIMO","OK"))</f>
        <v/>
      </c>
    </row>
    <row r="4549">
      <c r="B4549">
        <f>IFERROR(VLOOKUP(A4549,Cadastro_Produtos!A:B,2,FALSE),"")</f>
        <v/>
      </c>
      <c r="D4549" s="12" t="n"/>
      <c r="E4549" s="13">
        <f>IF(D4549="","",D4549-TODAY())</f>
        <v/>
      </c>
      <c r="F4549">
        <f>IF(D4549="","",IF(E4549&lt;0,"VENCIDO",IF(E4549&lt;=30,"VENCE EM &lt;= 30 DIAS",IF(E4549&lt;=60,"ATENCAO (31-60 DIAS)","OK"))))</f>
        <v/>
      </c>
      <c r="G4549" s="13">
        <f>SUMIFS(Movimentacoes!$G:$G,Movimentacoes!$C:$C,$A4549,Movimentacoes!$E:$E,$C4549,Movimentacoes!$B:$B,"ENTRADA")</f>
        <v/>
      </c>
      <c r="H4549" s="13">
        <f>SUMIFS(Movimentacoes!$G:$G,Movimentacoes!$C:$C,$A4549,Movimentacoes!$E:$E,$C4549,Movimentacoes!$B:$B,"SAIDA_USO")</f>
        <v/>
      </c>
      <c r="I4549" s="13">
        <f>SUMIFS(Movimentacoes!$G:$G,Movimentacoes!$C:$C,$A4549,Movimentacoes!$E:$E,$C4549,Movimentacoes!$B:$B,"SAIDA_DESCARTE")</f>
        <v/>
      </c>
      <c r="J4549" s="13">
        <f>G4549-H4549-I4549</f>
        <v/>
      </c>
      <c r="K4549">
        <f>IF(A4549="","",IF(J4549&lt;=IFERROR(VLOOKUP(A4549,Cadastro_Produtos!$A:$E,5,FALSE),0),"ABAIXO DO MINIMO","OK"))</f>
        <v/>
      </c>
    </row>
    <row r="4550">
      <c r="B4550">
        <f>IFERROR(VLOOKUP(A4550,Cadastro_Produtos!A:B,2,FALSE),"")</f>
        <v/>
      </c>
      <c r="D4550" s="12" t="n"/>
      <c r="E4550" s="13">
        <f>IF(D4550="","",D4550-TODAY())</f>
        <v/>
      </c>
      <c r="F4550">
        <f>IF(D4550="","",IF(E4550&lt;0,"VENCIDO",IF(E4550&lt;=30,"VENCE EM &lt;= 30 DIAS",IF(E4550&lt;=60,"ATENCAO (31-60 DIAS)","OK"))))</f>
        <v/>
      </c>
      <c r="G4550" s="13">
        <f>SUMIFS(Movimentacoes!$G:$G,Movimentacoes!$C:$C,$A4550,Movimentacoes!$E:$E,$C4550,Movimentacoes!$B:$B,"ENTRADA")</f>
        <v/>
      </c>
      <c r="H4550" s="13">
        <f>SUMIFS(Movimentacoes!$G:$G,Movimentacoes!$C:$C,$A4550,Movimentacoes!$E:$E,$C4550,Movimentacoes!$B:$B,"SAIDA_USO")</f>
        <v/>
      </c>
      <c r="I4550" s="13">
        <f>SUMIFS(Movimentacoes!$G:$G,Movimentacoes!$C:$C,$A4550,Movimentacoes!$E:$E,$C4550,Movimentacoes!$B:$B,"SAIDA_DESCARTE")</f>
        <v/>
      </c>
      <c r="J4550" s="13">
        <f>G4550-H4550-I4550</f>
        <v/>
      </c>
      <c r="K4550">
        <f>IF(A4550="","",IF(J4550&lt;=IFERROR(VLOOKUP(A4550,Cadastro_Produtos!$A:$E,5,FALSE),0),"ABAIXO DO MINIMO","OK"))</f>
        <v/>
      </c>
    </row>
    <row r="4551">
      <c r="B4551">
        <f>IFERROR(VLOOKUP(A4551,Cadastro_Produtos!A:B,2,FALSE),"")</f>
        <v/>
      </c>
      <c r="D4551" s="12" t="n"/>
      <c r="E4551" s="13">
        <f>IF(D4551="","",D4551-TODAY())</f>
        <v/>
      </c>
      <c r="F4551">
        <f>IF(D4551="","",IF(E4551&lt;0,"VENCIDO",IF(E4551&lt;=30,"VENCE EM &lt;= 30 DIAS",IF(E4551&lt;=60,"ATENCAO (31-60 DIAS)","OK"))))</f>
        <v/>
      </c>
      <c r="G4551" s="13">
        <f>SUMIFS(Movimentacoes!$G:$G,Movimentacoes!$C:$C,$A4551,Movimentacoes!$E:$E,$C4551,Movimentacoes!$B:$B,"ENTRADA")</f>
        <v/>
      </c>
      <c r="H4551" s="13">
        <f>SUMIFS(Movimentacoes!$G:$G,Movimentacoes!$C:$C,$A4551,Movimentacoes!$E:$E,$C4551,Movimentacoes!$B:$B,"SAIDA_USO")</f>
        <v/>
      </c>
      <c r="I4551" s="13">
        <f>SUMIFS(Movimentacoes!$G:$G,Movimentacoes!$C:$C,$A4551,Movimentacoes!$E:$E,$C4551,Movimentacoes!$B:$B,"SAIDA_DESCARTE")</f>
        <v/>
      </c>
      <c r="J4551" s="13">
        <f>G4551-H4551-I4551</f>
        <v/>
      </c>
      <c r="K4551">
        <f>IF(A4551="","",IF(J4551&lt;=IFERROR(VLOOKUP(A4551,Cadastro_Produtos!$A:$E,5,FALSE),0),"ABAIXO DO MINIMO","OK"))</f>
        <v/>
      </c>
    </row>
    <row r="4552">
      <c r="B4552">
        <f>IFERROR(VLOOKUP(A4552,Cadastro_Produtos!A:B,2,FALSE),"")</f>
        <v/>
      </c>
      <c r="D4552" s="12" t="n"/>
      <c r="E4552" s="13">
        <f>IF(D4552="","",D4552-TODAY())</f>
        <v/>
      </c>
      <c r="F4552">
        <f>IF(D4552="","",IF(E4552&lt;0,"VENCIDO",IF(E4552&lt;=30,"VENCE EM &lt;= 30 DIAS",IF(E4552&lt;=60,"ATENCAO (31-60 DIAS)","OK"))))</f>
        <v/>
      </c>
      <c r="G4552" s="13">
        <f>SUMIFS(Movimentacoes!$G:$G,Movimentacoes!$C:$C,$A4552,Movimentacoes!$E:$E,$C4552,Movimentacoes!$B:$B,"ENTRADA")</f>
        <v/>
      </c>
      <c r="H4552" s="13">
        <f>SUMIFS(Movimentacoes!$G:$G,Movimentacoes!$C:$C,$A4552,Movimentacoes!$E:$E,$C4552,Movimentacoes!$B:$B,"SAIDA_USO")</f>
        <v/>
      </c>
      <c r="I4552" s="13">
        <f>SUMIFS(Movimentacoes!$G:$G,Movimentacoes!$C:$C,$A4552,Movimentacoes!$E:$E,$C4552,Movimentacoes!$B:$B,"SAIDA_DESCARTE")</f>
        <v/>
      </c>
      <c r="J4552" s="13">
        <f>G4552-H4552-I4552</f>
        <v/>
      </c>
      <c r="K4552">
        <f>IF(A4552="","",IF(J4552&lt;=IFERROR(VLOOKUP(A4552,Cadastro_Produtos!$A:$E,5,FALSE),0),"ABAIXO DO MINIMO","OK"))</f>
        <v/>
      </c>
    </row>
    <row r="4553">
      <c r="B4553">
        <f>IFERROR(VLOOKUP(A4553,Cadastro_Produtos!A:B,2,FALSE),"")</f>
        <v/>
      </c>
      <c r="D4553" s="12" t="n"/>
      <c r="E4553" s="13">
        <f>IF(D4553="","",D4553-TODAY())</f>
        <v/>
      </c>
      <c r="F4553">
        <f>IF(D4553="","",IF(E4553&lt;0,"VENCIDO",IF(E4553&lt;=30,"VENCE EM &lt;= 30 DIAS",IF(E4553&lt;=60,"ATENCAO (31-60 DIAS)","OK"))))</f>
        <v/>
      </c>
      <c r="G4553" s="13">
        <f>SUMIFS(Movimentacoes!$G:$G,Movimentacoes!$C:$C,$A4553,Movimentacoes!$E:$E,$C4553,Movimentacoes!$B:$B,"ENTRADA")</f>
        <v/>
      </c>
      <c r="H4553" s="13">
        <f>SUMIFS(Movimentacoes!$G:$G,Movimentacoes!$C:$C,$A4553,Movimentacoes!$E:$E,$C4553,Movimentacoes!$B:$B,"SAIDA_USO")</f>
        <v/>
      </c>
      <c r="I4553" s="13">
        <f>SUMIFS(Movimentacoes!$G:$G,Movimentacoes!$C:$C,$A4553,Movimentacoes!$E:$E,$C4553,Movimentacoes!$B:$B,"SAIDA_DESCARTE")</f>
        <v/>
      </c>
      <c r="J4553" s="13">
        <f>G4553-H4553-I4553</f>
        <v/>
      </c>
      <c r="K4553">
        <f>IF(A4553="","",IF(J4553&lt;=IFERROR(VLOOKUP(A4553,Cadastro_Produtos!$A:$E,5,FALSE),0),"ABAIXO DO MINIMO","OK"))</f>
        <v/>
      </c>
    </row>
    <row r="4554">
      <c r="B4554">
        <f>IFERROR(VLOOKUP(A4554,Cadastro_Produtos!A:B,2,FALSE),"")</f>
        <v/>
      </c>
      <c r="D4554" s="12" t="n"/>
      <c r="E4554" s="13">
        <f>IF(D4554="","",D4554-TODAY())</f>
        <v/>
      </c>
      <c r="F4554">
        <f>IF(D4554="","",IF(E4554&lt;0,"VENCIDO",IF(E4554&lt;=30,"VENCE EM &lt;= 30 DIAS",IF(E4554&lt;=60,"ATENCAO (31-60 DIAS)","OK"))))</f>
        <v/>
      </c>
      <c r="G4554" s="13">
        <f>SUMIFS(Movimentacoes!$G:$G,Movimentacoes!$C:$C,$A4554,Movimentacoes!$E:$E,$C4554,Movimentacoes!$B:$B,"ENTRADA")</f>
        <v/>
      </c>
      <c r="H4554" s="13">
        <f>SUMIFS(Movimentacoes!$G:$G,Movimentacoes!$C:$C,$A4554,Movimentacoes!$E:$E,$C4554,Movimentacoes!$B:$B,"SAIDA_USO")</f>
        <v/>
      </c>
      <c r="I4554" s="13">
        <f>SUMIFS(Movimentacoes!$G:$G,Movimentacoes!$C:$C,$A4554,Movimentacoes!$E:$E,$C4554,Movimentacoes!$B:$B,"SAIDA_DESCARTE")</f>
        <v/>
      </c>
      <c r="J4554" s="13">
        <f>G4554-H4554-I4554</f>
        <v/>
      </c>
      <c r="K4554">
        <f>IF(A4554="","",IF(J4554&lt;=IFERROR(VLOOKUP(A4554,Cadastro_Produtos!$A:$E,5,FALSE),0),"ABAIXO DO MINIMO","OK"))</f>
        <v/>
      </c>
    </row>
    <row r="4555">
      <c r="B4555">
        <f>IFERROR(VLOOKUP(A4555,Cadastro_Produtos!A:B,2,FALSE),"")</f>
        <v/>
      </c>
      <c r="D4555" s="12" t="n"/>
      <c r="E4555" s="13">
        <f>IF(D4555="","",D4555-TODAY())</f>
        <v/>
      </c>
      <c r="F4555">
        <f>IF(D4555="","",IF(E4555&lt;0,"VENCIDO",IF(E4555&lt;=30,"VENCE EM &lt;= 30 DIAS",IF(E4555&lt;=60,"ATENCAO (31-60 DIAS)","OK"))))</f>
        <v/>
      </c>
      <c r="G4555" s="13">
        <f>SUMIFS(Movimentacoes!$G:$G,Movimentacoes!$C:$C,$A4555,Movimentacoes!$E:$E,$C4555,Movimentacoes!$B:$B,"ENTRADA")</f>
        <v/>
      </c>
      <c r="H4555" s="13">
        <f>SUMIFS(Movimentacoes!$G:$G,Movimentacoes!$C:$C,$A4555,Movimentacoes!$E:$E,$C4555,Movimentacoes!$B:$B,"SAIDA_USO")</f>
        <v/>
      </c>
      <c r="I4555" s="13">
        <f>SUMIFS(Movimentacoes!$G:$G,Movimentacoes!$C:$C,$A4555,Movimentacoes!$E:$E,$C4555,Movimentacoes!$B:$B,"SAIDA_DESCARTE")</f>
        <v/>
      </c>
      <c r="J4555" s="13">
        <f>G4555-H4555-I4555</f>
        <v/>
      </c>
      <c r="K4555">
        <f>IF(A4555="","",IF(J4555&lt;=IFERROR(VLOOKUP(A4555,Cadastro_Produtos!$A:$E,5,FALSE),0),"ABAIXO DO MINIMO","OK"))</f>
        <v/>
      </c>
    </row>
    <row r="4556">
      <c r="B4556">
        <f>IFERROR(VLOOKUP(A4556,Cadastro_Produtos!A:B,2,FALSE),"")</f>
        <v/>
      </c>
      <c r="D4556" s="12" t="n"/>
      <c r="E4556" s="13">
        <f>IF(D4556="","",D4556-TODAY())</f>
        <v/>
      </c>
      <c r="F4556">
        <f>IF(D4556="","",IF(E4556&lt;0,"VENCIDO",IF(E4556&lt;=30,"VENCE EM &lt;= 30 DIAS",IF(E4556&lt;=60,"ATENCAO (31-60 DIAS)","OK"))))</f>
        <v/>
      </c>
      <c r="G4556" s="13">
        <f>SUMIFS(Movimentacoes!$G:$G,Movimentacoes!$C:$C,$A4556,Movimentacoes!$E:$E,$C4556,Movimentacoes!$B:$B,"ENTRADA")</f>
        <v/>
      </c>
      <c r="H4556" s="13">
        <f>SUMIFS(Movimentacoes!$G:$G,Movimentacoes!$C:$C,$A4556,Movimentacoes!$E:$E,$C4556,Movimentacoes!$B:$B,"SAIDA_USO")</f>
        <v/>
      </c>
      <c r="I4556" s="13">
        <f>SUMIFS(Movimentacoes!$G:$G,Movimentacoes!$C:$C,$A4556,Movimentacoes!$E:$E,$C4556,Movimentacoes!$B:$B,"SAIDA_DESCARTE")</f>
        <v/>
      </c>
      <c r="J4556" s="13">
        <f>G4556-H4556-I4556</f>
        <v/>
      </c>
      <c r="K4556">
        <f>IF(A4556="","",IF(J4556&lt;=IFERROR(VLOOKUP(A4556,Cadastro_Produtos!$A:$E,5,FALSE),0),"ABAIXO DO MINIMO","OK"))</f>
        <v/>
      </c>
    </row>
    <row r="4557">
      <c r="B4557">
        <f>IFERROR(VLOOKUP(A4557,Cadastro_Produtos!A:B,2,FALSE),"")</f>
        <v/>
      </c>
      <c r="D4557" s="12" t="n"/>
      <c r="E4557" s="13">
        <f>IF(D4557="","",D4557-TODAY())</f>
        <v/>
      </c>
      <c r="F4557">
        <f>IF(D4557="","",IF(E4557&lt;0,"VENCIDO",IF(E4557&lt;=30,"VENCE EM &lt;= 30 DIAS",IF(E4557&lt;=60,"ATENCAO (31-60 DIAS)","OK"))))</f>
        <v/>
      </c>
      <c r="G4557" s="13">
        <f>SUMIFS(Movimentacoes!$G:$G,Movimentacoes!$C:$C,$A4557,Movimentacoes!$E:$E,$C4557,Movimentacoes!$B:$B,"ENTRADA")</f>
        <v/>
      </c>
      <c r="H4557" s="13">
        <f>SUMIFS(Movimentacoes!$G:$G,Movimentacoes!$C:$C,$A4557,Movimentacoes!$E:$E,$C4557,Movimentacoes!$B:$B,"SAIDA_USO")</f>
        <v/>
      </c>
      <c r="I4557" s="13">
        <f>SUMIFS(Movimentacoes!$G:$G,Movimentacoes!$C:$C,$A4557,Movimentacoes!$E:$E,$C4557,Movimentacoes!$B:$B,"SAIDA_DESCARTE")</f>
        <v/>
      </c>
      <c r="J4557" s="13">
        <f>G4557-H4557-I4557</f>
        <v/>
      </c>
      <c r="K4557">
        <f>IF(A4557="","",IF(J4557&lt;=IFERROR(VLOOKUP(A4557,Cadastro_Produtos!$A:$E,5,FALSE),0),"ABAIXO DO MINIMO","OK"))</f>
        <v/>
      </c>
    </row>
    <row r="4558">
      <c r="B4558">
        <f>IFERROR(VLOOKUP(A4558,Cadastro_Produtos!A:B,2,FALSE),"")</f>
        <v/>
      </c>
      <c r="D4558" s="12" t="n"/>
      <c r="E4558" s="13">
        <f>IF(D4558="","",D4558-TODAY())</f>
        <v/>
      </c>
      <c r="F4558">
        <f>IF(D4558="","",IF(E4558&lt;0,"VENCIDO",IF(E4558&lt;=30,"VENCE EM &lt;= 30 DIAS",IF(E4558&lt;=60,"ATENCAO (31-60 DIAS)","OK"))))</f>
        <v/>
      </c>
      <c r="G4558" s="13">
        <f>SUMIFS(Movimentacoes!$G:$G,Movimentacoes!$C:$C,$A4558,Movimentacoes!$E:$E,$C4558,Movimentacoes!$B:$B,"ENTRADA")</f>
        <v/>
      </c>
      <c r="H4558" s="13">
        <f>SUMIFS(Movimentacoes!$G:$G,Movimentacoes!$C:$C,$A4558,Movimentacoes!$E:$E,$C4558,Movimentacoes!$B:$B,"SAIDA_USO")</f>
        <v/>
      </c>
      <c r="I4558" s="13">
        <f>SUMIFS(Movimentacoes!$G:$G,Movimentacoes!$C:$C,$A4558,Movimentacoes!$E:$E,$C4558,Movimentacoes!$B:$B,"SAIDA_DESCARTE")</f>
        <v/>
      </c>
      <c r="J4558" s="13">
        <f>G4558-H4558-I4558</f>
        <v/>
      </c>
      <c r="K4558">
        <f>IF(A4558="","",IF(J4558&lt;=IFERROR(VLOOKUP(A4558,Cadastro_Produtos!$A:$E,5,FALSE),0),"ABAIXO DO MINIMO","OK"))</f>
        <v/>
      </c>
    </row>
    <row r="4559">
      <c r="B4559">
        <f>IFERROR(VLOOKUP(A4559,Cadastro_Produtos!A:B,2,FALSE),"")</f>
        <v/>
      </c>
      <c r="D4559" s="12" t="n"/>
      <c r="E4559" s="13">
        <f>IF(D4559="","",D4559-TODAY())</f>
        <v/>
      </c>
      <c r="F4559">
        <f>IF(D4559="","",IF(E4559&lt;0,"VENCIDO",IF(E4559&lt;=30,"VENCE EM &lt;= 30 DIAS",IF(E4559&lt;=60,"ATENCAO (31-60 DIAS)","OK"))))</f>
        <v/>
      </c>
      <c r="G4559" s="13">
        <f>SUMIFS(Movimentacoes!$G:$G,Movimentacoes!$C:$C,$A4559,Movimentacoes!$E:$E,$C4559,Movimentacoes!$B:$B,"ENTRADA")</f>
        <v/>
      </c>
      <c r="H4559" s="13">
        <f>SUMIFS(Movimentacoes!$G:$G,Movimentacoes!$C:$C,$A4559,Movimentacoes!$E:$E,$C4559,Movimentacoes!$B:$B,"SAIDA_USO")</f>
        <v/>
      </c>
      <c r="I4559" s="13">
        <f>SUMIFS(Movimentacoes!$G:$G,Movimentacoes!$C:$C,$A4559,Movimentacoes!$E:$E,$C4559,Movimentacoes!$B:$B,"SAIDA_DESCARTE")</f>
        <v/>
      </c>
      <c r="J4559" s="13">
        <f>G4559-H4559-I4559</f>
        <v/>
      </c>
      <c r="K4559">
        <f>IF(A4559="","",IF(J4559&lt;=IFERROR(VLOOKUP(A4559,Cadastro_Produtos!$A:$E,5,FALSE),0),"ABAIXO DO MINIMO","OK"))</f>
        <v/>
      </c>
    </row>
    <row r="4560">
      <c r="B4560">
        <f>IFERROR(VLOOKUP(A4560,Cadastro_Produtos!A:B,2,FALSE),"")</f>
        <v/>
      </c>
      <c r="D4560" s="12" t="n"/>
      <c r="E4560" s="13">
        <f>IF(D4560="","",D4560-TODAY())</f>
        <v/>
      </c>
      <c r="F4560">
        <f>IF(D4560="","",IF(E4560&lt;0,"VENCIDO",IF(E4560&lt;=30,"VENCE EM &lt;= 30 DIAS",IF(E4560&lt;=60,"ATENCAO (31-60 DIAS)","OK"))))</f>
        <v/>
      </c>
      <c r="G4560" s="13">
        <f>SUMIFS(Movimentacoes!$G:$G,Movimentacoes!$C:$C,$A4560,Movimentacoes!$E:$E,$C4560,Movimentacoes!$B:$B,"ENTRADA")</f>
        <v/>
      </c>
      <c r="H4560" s="13">
        <f>SUMIFS(Movimentacoes!$G:$G,Movimentacoes!$C:$C,$A4560,Movimentacoes!$E:$E,$C4560,Movimentacoes!$B:$B,"SAIDA_USO")</f>
        <v/>
      </c>
      <c r="I4560" s="13">
        <f>SUMIFS(Movimentacoes!$G:$G,Movimentacoes!$C:$C,$A4560,Movimentacoes!$E:$E,$C4560,Movimentacoes!$B:$B,"SAIDA_DESCARTE")</f>
        <v/>
      </c>
      <c r="J4560" s="13">
        <f>G4560-H4560-I4560</f>
        <v/>
      </c>
      <c r="K4560">
        <f>IF(A4560="","",IF(J4560&lt;=IFERROR(VLOOKUP(A4560,Cadastro_Produtos!$A:$E,5,FALSE),0),"ABAIXO DO MINIMO","OK"))</f>
        <v/>
      </c>
    </row>
    <row r="4561">
      <c r="B4561">
        <f>IFERROR(VLOOKUP(A4561,Cadastro_Produtos!A:B,2,FALSE),"")</f>
        <v/>
      </c>
      <c r="D4561" s="12" t="n"/>
      <c r="E4561" s="13">
        <f>IF(D4561="","",D4561-TODAY())</f>
        <v/>
      </c>
      <c r="F4561">
        <f>IF(D4561="","",IF(E4561&lt;0,"VENCIDO",IF(E4561&lt;=30,"VENCE EM &lt;= 30 DIAS",IF(E4561&lt;=60,"ATENCAO (31-60 DIAS)","OK"))))</f>
        <v/>
      </c>
      <c r="G4561" s="13">
        <f>SUMIFS(Movimentacoes!$G:$G,Movimentacoes!$C:$C,$A4561,Movimentacoes!$E:$E,$C4561,Movimentacoes!$B:$B,"ENTRADA")</f>
        <v/>
      </c>
      <c r="H4561" s="13">
        <f>SUMIFS(Movimentacoes!$G:$G,Movimentacoes!$C:$C,$A4561,Movimentacoes!$E:$E,$C4561,Movimentacoes!$B:$B,"SAIDA_USO")</f>
        <v/>
      </c>
      <c r="I4561" s="13">
        <f>SUMIFS(Movimentacoes!$G:$G,Movimentacoes!$C:$C,$A4561,Movimentacoes!$E:$E,$C4561,Movimentacoes!$B:$B,"SAIDA_DESCARTE")</f>
        <v/>
      </c>
      <c r="J4561" s="13">
        <f>G4561-H4561-I4561</f>
        <v/>
      </c>
      <c r="K4561">
        <f>IF(A4561="","",IF(J4561&lt;=IFERROR(VLOOKUP(A4561,Cadastro_Produtos!$A:$E,5,FALSE),0),"ABAIXO DO MINIMO","OK"))</f>
        <v/>
      </c>
    </row>
    <row r="4562">
      <c r="B4562">
        <f>IFERROR(VLOOKUP(A4562,Cadastro_Produtos!A:B,2,FALSE),"")</f>
        <v/>
      </c>
      <c r="D4562" s="12" t="n"/>
      <c r="E4562" s="13">
        <f>IF(D4562="","",D4562-TODAY())</f>
        <v/>
      </c>
      <c r="F4562">
        <f>IF(D4562="","",IF(E4562&lt;0,"VENCIDO",IF(E4562&lt;=30,"VENCE EM &lt;= 30 DIAS",IF(E4562&lt;=60,"ATENCAO (31-60 DIAS)","OK"))))</f>
        <v/>
      </c>
      <c r="G4562" s="13">
        <f>SUMIFS(Movimentacoes!$G:$G,Movimentacoes!$C:$C,$A4562,Movimentacoes!$E:$E,$C4562,Movimentacoes!$B:$B,"ENTRADA")</f>
        <v/>
      </c>
      <c r="H4562" s="13">
        <f>SUMIFS(Movimentacoes!$G:$G,Movimentacoes!$C:$C,$A4562,Movimentacoes!$E:$E,$C4562,Movimentacoes!$B:$B,"SAIDA_USO")</f>
        <v/>
      </c>
      <c r="I4562" s="13">
        <f>SUMIFS(Movimentacoes!$G:$G,Movimentacoes!$C:$C,$A4562,Movimentacoes!$E:$E,$C4562,Movimentacoes!$B:$B,"SAIDA_DESCARTE")</f>
        <v/>
      </c>
      <c r="J4562" s="13">
        <f>G4562-H4562-I4562</f>
        <v/>
      </c>
      <c r="K4562">
        <f>IF(A4562="","",IF(J4562&lt;=IFERROR(VLOOKUP(A4562,Cadastro_Produtos!$A:$E,5,FALSE),0),"ABAIXO DO MINIMO","OK"))</f>
        <v/>
      </c>
    </row>
    <row r="4563">
      <c r="B4563">
        <f>IFERROR(VLOOKUP(A4563,Cadastro_Produtos!A:B,2,FALSE),"")</f>
        <v/>
      </c>
      <c r="D4563" s="12" t="n"/>
      <c r="E4563" s="13">
        <f>IF(D4563="","",D4563-TODAY())</f>
        <v/>
      </c>
      <c r="F4563">
        <f>IF(D4563="","",IF(E4563&lt;0,"VENCIDO",IF(E4563&lt;=30,"VENCE EM &lt;= 30 DIAS",IF(E4563&lt;=60,"ATENCAO (31-60 DIAS)","OK"))))</f>
        <v/>
      </c>
      <c r="G4563" s="13">
        <f>SUMIFS(Movimentacoes!$G:$G,Movimentacoes!$C:$C,$A4563,Movimentacoes!$E:$E,$C4563,Movimentacoes!$B:$B,"ENTRADA")</f>
        <v/>
      </c>
      <c r="H4563" s="13">
        <f>SUMIFS(Movimentacoes!$G:$G,Movimentacoes!$C:$C,$A4563,Movimentacoes!$E:$E,$C4563,Movimentacoes!$B:$B,"SAIDA_USO")</f>
        <v/>
      </c>
      <c r="I4563" s="13">
        <f>SUMIFS(Movimentacoes!$G:$G,Movimentacoes!$C:$C,$A4563,Movimentacoes!$E:$E,$C4563,Movimentacoes!$B:$B,"SAIDA_DESCARTE")</f>
        <v/>
      </c>
      <c r="J4563" s="13">
        <f>G4563-H4563-I4563</f>
        <v/>
      </c>
      <c r="K4563">
        <f>IF(A4563="","",IF(J4563&lt;=IFERROR(VLOOKUP(A4563,Cadastro_Produtos!$A:$E,5,FALSE),0),"ABAIXO DO MINIMO","OK"))</f>
        <v/>
      </c>
    </row>
    <row r="4564">
      <c r="B4564">
        <f>IFERROR(VLOOKUP(A4564,Cadastro_Produtos!A:B,2,FALSE),"")</f>
        <v/>
      </c>
      <c r="D4564" s="12" t="n"/>
      <c r="E4564" s="13">
        <f>IF(D4564="","",D4564-TODAY())</f>
        <v/>
      </c>
      <c r="F4564">
        <f>IF(D4564="","",IF(E4564&lt;0,"VENCIDO",IF(E4564&lt;=30,"VENCE EM &lt;= 30 DIAS",IF(E4564&lt;=60,"ATENCAO (31-60 DIAS)","OK"))))</f>
        <v/>
      </c>
      <c r="G4564" s="13">
        <f>SUMIFS(Movimentacoes!$G:$G,Movimentacoes!$C:$C,$A4564,Movimentacoes!$E:$E,$C4564,Movimentacoes!$B:$B,"ENTRADA")</f>
        <v/>
      </c>
      <c r="H4564" s="13">
        <f>SUMIFS(Movimentacoes!$G:$G,Movimentacoes!$C:$C,$A4564,Movimentacoes!$E:$E,$C4564,Movimentacoes!$B:$B,"SAIDA_USO")</f>
        <v/>
      </c>
      <c r="I4564" s="13">
        <f>SUMIFS(Movimentacoes!$G:$G,Movimentacoes!$C:$C,$A4564,Movimentacoes!$E:$E,$C4564,Movimentacoes!$B:$B,"SAIDA_DESCARTE")</f>
        <v/>
      </c>
      <c r="J4564" s="13">
        <f>G4564-H4564-I4564</f>
        <v/>
      </c>
      <c r="K4564">
        <f>IF(A4564="","",IF(J4564&lt;=IFERROR(VLOOKUP(A4564,Cadastro_Produtos!$A:$E,5,FALSE),0),"ABAIXO DO MINIMO","OK"))</f>
        <v/>
      </c>
    </row>
    <row r="4565">
      <c r="B4565">
        <f>IFERROR(VLOOKUP(A4565,Cadastro_Produtos!A:B,2,FALSE),"")</f>
        <v/>
      </c>
      <c r="D4565" s="12" t="n"/>
      <c r="E4565" s="13">
        <f>IF(D4565="","",D4565-TODAY())</f>
        <v/>
      </c>
      <c r="F4565">
        <f>IF(D4565="","",IF(E4565&lt;0,"VENCIDO",IF(E4565&lt;=30,"VENCE EM &lt;= 30 DIAS",IF(E4565&lt;=60,"ATENCAO (31-60 DIAS)","OK"))))</f>
        <v/>
      </c>
      <c r="G4565" s="13">
        <f>SUMIFS(Movimentacoes!$G:$G,Movimentacoes!$C:$C,$A4565,Movimentacoes!$E:$E,$C4565,Movimentacoes!$B:$B,"ENTRADA")</f>
        <v/>
      </c>
      <c r="H4565" s="13">
        <f>SUMIFS(Movimentacoes!$G:$G,Movimentacoes!$C:$C,$A4565,Movimentacoes!$E:$E,$C4565,Movimentacoes!$B:$B,"SAIDA_USO")</f>
        <v/>
      </c>
      <c r="I4565" s="13">
        <f>SUMIFS(Movimentacoes!$G:$G,Movimentacoes!$C:$C,$A4565,Movimentacoes!$E:$E,$C4565,Movimentacoes!$B:$B,"SAIDA_DESCARTE")</f>
        <v/>
      </c>
      <c r="J4565" s="13">
        <f>G4565-H4565-I4565</f>
        <v/>
      </c>
      <c r="K4565">
        <f>IF(A4565="","",IF(J4565&lt;=IFERROR(VLOOKUP(A4565,Cadastro_Produtos!$A:$E,5,FALSE),0),"ABAIXO DO MINIMO","OK"))</f>
        <v/>
      </c>
    </row>
    <row r="4566">
      <c r="B4566">
        <f>IFERROR(VLOOKUP(A4566,Cadastro_Produtos!A:B,2,FALSE),"")</f>
        <v/>
      </c>
      <c r="D4566" s="12" t="n"/>
      <c r="E4566" s="13">
        <f>IF(D4566="","",D4566-TODAY())</f>
        <v/>
      </c>
      <c r="F4566">
        <f>IF(D4566="","",IF(E4566&lt;0,"VENCIDO",IF(E4566&lt;=30,"VENCE EM &lt;= 30 DIAS",IF(E4566&lt;=60,"ATENCAO (31-60 DIAS)","OK"))))</f>
        <v/>
      </c>
      <c r="G4566" s="13">
        <f>SUMIFS(Movimentacoes!$G:$G,Movimentacoes!$C:$C,$A4566,Movimentacoes!$E:$E,$C4566,Movimentacoes!$B:$B,"ENTRADA")</f>
        <v/>
      </c>
      <c r="H4566" s="13">
        <f>SUMIFS(Movimentacoes!$G:$G,Movimentacoes!$C:$C,$A4566,Movimentacoes!$E:$E,$C4566,Movimentacoes!$B:$B,"SAIDA_USO")</f>
        <v/>
      </c>
      <c r="I4566" s="13">
        <f>SUMIFS(Movimentacoes!$G:$G,Movimentacoes!$C:$C,$A4566,Movimentacoes!$E:$E,$C4566,Movimentacoes!$B:$B,"SAIDA_DESCARTE")</f>
        <v/>
      </c>
      <c r="J4566" s="13">
        <f>G4566-H4566-I4566</f>
        <v/>
      </c>
      <c r="K4566">
        <f>IF(A4566="","",IF(J4566&lt;=IFERROR(VLOOKUP(A4566,Cadastro_Produtos!$A:$E,5,FALSE),0),"ABAIXO DO MINIMO","OK"))</f>
        <v/>
      </c>
    </row>
    <row r="4567">
      <c r="B4567">
        <f>IFERROR(VLOOKUP(A4567,Cadastro_Produtos!A:B,2,FALSE),"")</f>
        <v/>
      </c>
      <c r="D4567" s="12" t="n"/>
      <c r="E4567" s="13">
        <f>IF(D4567="","",D4567-TODAY())</f>
        <v/>
      </c>
      <c r="F4567">
        <f>IF(D4567="","",IF(E4567&lt;0,"VENCIDO",IF(E4567&lt;=30,"VENCE EM &lt;= 30 DIAS",IF(E4567&lt;=60,"ATENCAO (31-60 DIAS)","OK"))))</f>
        <v/>
      </c>
      <c r="G4567" s="13">
        <f>SUMIFS(Movimentacoes!$G:$G,Movimentacoes!$C:$C,$A4567,Movimentacoes!$E:$E,$C4567,Movimentacoes!$B:$B,"ENTRADA")</f>
        <v/>
      </c>
      <c r="H4567" s="13">
        <f>SUMIFS(Movimentacoes!$G:$G,Movimentacoes!$C:$C,$A4567,Movimentacoes!$E:$E,$C4567,Movimentacoes!$B:$B,"SAIDA_USO")</f>
        <v/>
      </c>
      <c r="I4567" s="13">
        <f>SUMIFS(Movimentacoes!$G:$G,Movimentacoes!$C:$C,$A4567,Movimentacoes!$E:$E,$C4567,Movimentacoes!$B:$B,"SAIDA_DESCARTE")</f>
        <v/>
      </c>
      <c r="J4567" s="13">
        <f>G4567-H4567-I4567</f>
        <v/>
      </c>
      <c r="K4567">
        <f>IF(A4567="","",IF(J4567&lt;=IFERROR(VLOOKUP(A4567,Cadastro_Produtos!$A:$E,5,FALSE),0),"ABAIXO DO MINIMO","OK"))</f>
        <v/>
      </c>
    </row>
    <row r="4568">
      <c r="B4568">
        <f>IFERROR(VLOOKUP(A4568,Cadastro_Produtos!A:B,2,FALSE),"")</f>
        <v/>
      </c>
      <c r="D4568" s="12" t="n"/>
      <c r="E4568" s="13">
        <f>IF(D4568="","",D4568-TODAY())</f>
        <v/>
      </c>
      <c r="F4568">
        <f>IF(D4568="","",IF(E4568&lt;0,"VENCIDO",IF(E4568&lt;=30,"VENCE EM &lt;= 30 DIAS",IF(E4568&lt;=60,"ATENCAO (31-60 DIAS)","OK"))))</f>
        <v/>
      </c>
      <c r="G4568" s="13">
        <f>SUMIFS(Movimentacoes!$G:$G,Movimentacoes!$C:$C,$A4568,Movimentacoes!$E:$E,$C4568,Movimentacoes!$B:$B,"ENTRADA")</f>
        <v/>
      </c>
      <c r="H4568" s="13">
        <f>SUMIFS(Movimentacoes!$G:$G,Movimentacoes!$C:$C,$A4568,Movimentacoes!$E:$E,$C4568,Movimentacoes!$B:$B,"SAIDA_USO")</f>
        <v/>
      </c>
      <c r="I4568" s="13">
        <f>SUMIFS(Movimentacoes!$G:$G,Movimentacoes!$C:$C,$A4568,Movimentacoes!$E:$E,$C4568,Movimentacoes!$B:$B,"SAIDA_DESCARTE")</f>
        <v/>
      </c>
      <c r="J4568" s="13">
        <f>G4568-H4568-I4568</f>
        <v/>
      </c>
      <c r="K4568">
        <f>IF(A4568="","",IF(J4568&lt;=IFERROR(VLOOKUP(A4568,Cadastro_Produtos!$A:$E,5,FALSE),0),"ABAIXO DO MINIMO","OK"))</f>
        <v/>
      </c>
    </row>
    <row r="4569">
      <c r="B4569">
        <f>IFERROR(VLOOKUP(A4569,Cadastro_Produtos!A:B,2,FALSE),"")</f>
        <v/>
      </c>
      <c r="D4569" s="12" t="n"/>
      <c r="E4569" s="13">
        <f>IF(D4569="","",D4569-TODAY())</f>
        <v/>
      </c>
      <c r="F4569">
        <f>IF(D4569="","",IF(E4569&lt;0,"VENCIDO",IF(E4569&lt;=30,"VENCE EM &lt;= 30 DIAS",IF(E4569&lt;=60,"ATENCAO (31-60 DIAS)","OK"))))</f>
        <v/>
      </c>
      <c r="G4569" s="13">
        <f>SUMIFS(Movimentacoes!$G:$G,Movimentacoes!$C:$C,$A4569,Movimentacoes!$E:$E,$C4569,Movimentacoes!$B:$B,"ENTRADA")</f>
        <v/>
      </c>
      <c r="H4569" s="13">
        <f>SUMIFS(Movimentacoes!$G:$G,Movimentacoes!$C:$C,$A4569,Movimentacoes!$E:$E,$C4569,Movimentacoes!$B:$B,"SAIDA_USO")</f>
        <v/>
      </c>
      <c r="I4569" s="13">
        <f>SUMIFS(Movimentacoes!$G:$G,Movimentacoes!$C:$C,$A4569,Movimentacoes!$E:$E,$C4569,Movimentacoes!$B:$B,"SAIDA_DESCARTE")</f>
        <v/>
      </c>
      <c r="J4569" s="13">
        <f>G4569-H4569-I4569</f>
        <v/>
      </c>
      <c r="K4569">
        <f>IF(A4569="","",IF(J4569&lt;=IFERROR(VLOOKUP(A4569,Cadastro_Produtos!$A:$E,5,FALSE),0),"ABAIXO DO MINIMO","OK"))</f>
        <v/>
      </c>
    </row>
    <row r="4570">
      <c r="B4570">
        <f>IFERROR(VLOOKUP(A4570,Cadastro_Produtos!A:B,2,FALSE),"")</f>
        <v/>
      </c>
      <c r="D4570" s="12" t="n"/>
      <c r="E4570" s="13">
        <f>IF(D4570="","",D4570-TODAY())</f>
        <v/>
      </c>
      <c r="F4570">
        <f>IF(D4570="","",IF(E4570&lt;0,"VENCIDO",IF(E4570&lt;=30,"VENCE EM &lt;= 30 DIAS",IF(E4570&lt;=60,"ATENCAO (31-60 DIAS)","OK"))))</f>
        <v/>
      </c>
      <c r="G4570" s="13">
        <f>SUMIFS(Movimentacoes!$G:$G,Movimentacoes!$C:$C,$A4570,Movimentacoes!$E:$E,$C4570,Movimentacoes!$B:$B,"ENTRADA")</f>
        <v/>
      </c>
      <c r="H4570" s="13">
        <f>SUMIFS(Movimentacoes!$G:$G,Movimentacoes!$C:$C,$A4570,Movimentacoes!$E:$E,$C4570,Movimentacoes!$B:$B,"SAIDA_USO")</f>
        <v/>
      </c>
      <c r="I4570" s="13">
        <f>SUMIFS(Movimentacoes!$G:$G,Movimentacoes!$C:$C,$A4570,Movimentacoes!$E:$E,$C4570,Movimentacoes!$B:$B,"SAIDA_DESCARTE")</f>
        <v/>
      </c>
      <c r="J4570" s="13">
        <f>G4570-H4570-I4570</f>
        <v/>
      </c>
      <c r="K4570">
        <f>IF(A4570="","",IF(J4570&lt;=IFERROR(VLOOKUP(A4570,Cadastro_Produtos!$A:$E,5,FALSE),0),"ABAIXO DO MINIMO","OK"))</f>
        <v/>
      </c>
    </row>
    <row r="4571">
      <c r="B4571">
        <f>IFERROR(VLOOKUP(A4571,Cadastro_Produtos!A:B,2,FALSE),"")</f>
        <v/>
      </c>
      <c r="D4571" s="12" t="n"/>
      <c r="E4571" s="13">
        <f>IF(D4571="","",D4571-TODAY())</f>
        <v/>
      </c>
      <c r="F4571">
        <f>IF(D4571="","",IF(E4571&lt;0,"VENCIDO",IF(E4571&lt;=30,"VENCE EM &lt;= 30 DIAS",IF(E4571&lt;=60,"ATENCAO (31-60 DIAS)","OK"))))</f>
        <v/>
      </c>
      <c r="G4571" s="13">
        <f>SUMIFS(Movimentacoes!$G:$G,Movimentacoes!$C:$C,$A4571,Movimentacoes!$E:$E,$C4571,Movimentacoes!$B:$B,"ENTRADA")</f>
        <v/>
      </c>
      <c r="H4571" s="13">
        <f>SUMIFS(Movimentacoes!$G:$G,Movimentacoes!$C:$C,$A4571,Movimentacoes!$E:$E,$C4571,Movimentacoes!$B:$B,"SAIDA_USO")</f>
        <v/>
      </c>
      <c r="I4571" s="13">
        <f>SUMIFS(Movimentacoes!$G:$G,Movimentacoes!$C:$C,$A4571,Movimentacoes!$E:$E,$C4571,Movimentacoes!$B:$B,"SAIDA_DESCARTE")</f>
        <v/>
      </c>
      <c r="J4571" s="13">
        <f>G4571-H4571-I4571</f>
        <v/>
      </c>
      <c r="K4571">
        <f>IF(A4571="","",IF(J4571&lt;=IFERROR(VLOOKUP(A4571,Cadastro_Produtos!$A:$E,5,FALSE),0),"ABAIXO DO MINIMO","OK"))</f>
        <v/>
      </c>
    </row>
    <row r="4572">
      <c r="B4572">
        <f>IFERROR(VLOOKUP(A4572,Cadastro_Produtos!A:B,2,FALSE),"")</f>
        <v/>
      </c>
      <c r="D4572" s="12" t="n"/>
      <c r="E4572" s="13">
        <f>IF(D4572="","",D4572-TODAY())</f>
        <v/>
      </c>
      <c r="F4572">
        <f>IF(D4572="","",IF(E4572&lt;0,"VENCIDO",IF(E4572&lt;=30,"VENCE EM &lt;= 30 DIAS",IF(E4572&lt;=60,"ATENCAO (31-60 DIAS)","OK"))))</f>
        <v/>
      </c>
      <c r="G4572" s="13">
        <f>SUMIFS(Movimentacoes!$G:$G,Movimentacoes!$C:$C,$A4572,Movimentacoes!$E:$E,$C4572,Movimentacoes!$B:$B,"ENTRADA")</f>
        <v/>
      </c>
      <c r="H4572" s="13">
        <f>SUMIFS(Movimentacoes!$G:$G,Movimentacoes!$C:$C,$A4572,Movimentacoes!$E:$E,$C4572,Movimentacoes!$B:$B,"SAIDA_USO")</f>
        <v/>
      </c>
      <c r="I4572" s="13">
        <f>SUMIFS(Movimentacoes!$G:$G,Movimentacoes!$C:$C,$A4572,Movimentacoes!$E:$E,$C4572,Movimentacoes!$B:$B,"SAIDA_DESCARTE")</f>
        <v/>
      </c>
      <c r="J4572" s="13">
        <f>G4572-H4572-I4572</f>
        <v/>
      </c>
      <c r="K4572">
        <f>IF(A4572="","",IF(J4572&lt;=IFERROR(VLOOKUP(A4572,Cadastro_Produtos!$A:$E,5,FALSE),0),"ABAIXO DO MINIMO","OK"))</f>
        <v/>
      </c>
    </row>
    <row r="4573">
      <c r="B4573">
        <f>IFERROR(VLOOKUP(A4573,Cadastro_Produtos!A:B,2,FALSE),"")</f>
        <v/>
      </c>
      <c r="D4573" s="12" t="n"/>
      <c r="E4573" s="13">
        <f>IF(D4573="","",D4573-TODAY())</f>
        <v/>
      </c>
      <c r="F4573">
        <f>IF(D4573="","",IF(E4573&lt;0,"VENCIDO",IF(E4573&lt;=30,"VENCE EM &lt;= 30 DIAS",IF(E4573&lt;=60,"ATENCAO (31-60 DIAS)","OK"))))</f>
        <v/>
      </c>
      <c r="G4573" s="13">
        <f>SUMIFS(Movimentacoes!$G:$G,Movimentacoes!$C:$C,$A4573,Movimentacoes!$E:$E,$C4573,Movimentacoes!$B:$B,"ENTRADA")</f>
        <v/>
      </c>
      <c r="H4573" s="13">
        <f>SUMIFS(Movimentacoes!$G:$G,Movimentacoes!$C:$C,$A4573,Movimentacoes!$E:$E,$C4573,Movimentacoes!$B:$B,"SAIDA_USO")</f>
        <v/>
      </c>
      <c r="I4573" s="13">
        <f>SUMIFS(Movimentacoes!$G:$G,Movimentacoes!$C:$C,$A4573,Movimentacoes!$E:$E,$C4573,Movimentacoes!$B:$B,"SAIDA_DESCARTE")</f>
        <v/>
      </c>
      <c r="J4573" s="13">
        <f>G4573-H4573-I4573</f>
        <v/>
      </c>
      <c r="K4573">
        <f>IF(A4573="","",IF(J4573&lt;=IFERROR(VLOOKUP(A4573,Cadastro_Produtos!$A:$E,5,FALSE),0),"ABAIXO DO MINIMO","OK"))</f>
        <v/>
      </c>
    </row>
    <row r="4574">
      <c r="B4574">
        <f>IFERROR(VLOOKUP(A4574,Cadastro_Produtos!A:B,2,FALSE),"")</f>
        <v/>
      </c>
      <c r="D4574" s="12" t="n"/>
      <c r="E4574" s="13">
        <f>IF(D4574="","",D4574-TODAY())</f>
        <v/>
      </c>
      <c r="F4574">
        <f>IF(D4574="","",IF(E4574&lt;0,"VENCIDO",IF(E4574&lt;=30,"VENCE EM &lt;= 30 DIAS",IF(E4574&lt;=60,"ATENCAO (31-60 DIAS)","OK"))))</f>
        <v/>
      </c>
      <c r="G4574" s="13">
        <f>SUMIFS(Movimentacoes!$G:$G,Movimentacoes!$C:$C,$A4574,Movimentacoes!$E:$E,$C4574,Movimentacoes!$B:$B,"ENTRADA")</f>
        <v/>
      </c>
      <c r="H4574" s="13">
        <f>SUMIFS(Movimentacoes!$G:$G,Movimentacoes!$C:$C,$A4574,Movimentacoes!$E:$E,$C4574,Movimentacoes!$B:$B,"SAIDA_USO")</f>
        <v/>
      </c>
      <c r="I4574" s="13">
        <f>SUMIFS(Movimentacoes!$G:$G,Movimentacoes!$C:$C,$A4574,Movimentacoes!$E:$E,$C4574,Movimentacoes!$B:$B,"SAIDA_DESCARTE")</f>
        <v/>
      </c>
      <c r="J4574" s="13">
        <f>G4574-H4574-I4574</f>
        <v/>
      </c>
      <c r="K4574">
        <f>IF(A4574="","",IF(J4574&lt;=IFERROR(VLOOKUP(A4574,Cadastro_Produtos!$A:$E,5,FALSE),0),"ABAIXO DO MINIMO","OK"))</f>
        <v/>
      </c>
    </row>
    <row r="4575">
      <c r="B4575">
        <f>IFERROR(VLOOKUP(A4575,Cadastro_Produtos!A:B,2,FALSE),"")</f>
        <v/>
      </c>
      <c r="D4575" s="12" t="n"/>
      <c r="E4575" s="13">
        <f>IF(D4575="","",D4575-TODAY())</f>
        <v/>
      </c>
      <c r="F4575">
        <f>IF(D4575="","",IF(E4575&lt;0,"VENCIDO",IF(E4575&lt;=30,"VENCE EM &lt;= 30 DIAS",IF(E4575&lt;=60,"ATENCAO (31-60 DIAS)","OK"))))</f>
        <v/>
      </c>
      <c r="G4575" s="13">
        <f>SUMIFS(Movimentacoes!$G:$G,Movimentacoes!$C:$C,$A4575,Movimentacoes!$E:$E,$C4575,Movimentacoes!$B:$B,"ENTRADA")</f>
        <v/>
      </c>
      <c r="H4575" s="13">
        <f>SUMIFS(Movimentacoes!$G:$G,Movimentacoes!$C:$C,$A4575,Movimentacoes!$E:$E,$C4575,Movimentacoes!$B:$B,"SAIDA_USO")</f>
        <v/>
      </c>
      <c r="I4575" s="13">
        <f>SUMIFS(Movimentacoes!$G:$G,Movimentacoes!$C:$C,$A4575,Movimentacoes!$E:$E,$C4575,Movimentacoes!$B:$B,"SAIDA_DESCARTE")</f>
        <v/>
      </c>
      <c r="J4575" s="13">
        <f>G4575-H4575-I4575</f>
        <v/>
      </c>
      <c r="K4575">
        <f>IF(A4575="","",IF(J4575&lt;=IFERROR(VLOOKUP(A4575,Cadastro_Produtos!$A:$E,5,FALSE),0),"ABAIXO DO MINIMO","OK"))</f>
        <v/>
      </c>
    </row>
    <row r="4576">
      <c r="B4576">
        <f>IFERROR(VLOOKUP(A4576,Cadastro_Produtos!A:B,2,FALSE),"")</f>
        <v/>
      </c>
      <c r="D4576" s="12" t="n"/>
      <c r="E4576" s="13">
        <f>IF(D4576="","",D4576-TODAY())</f>
        <v/>
      </c>
      <c r="F4576">
        <f>IF(D4576="","",IF(E4576&lt;0,"VENCIDO",IF(E4576&lt;=30,"VENCE EM &lt;= 30 DIAS",IF(E4576&lt;=60,"ATENCAO (31-60 DIAS)","OK"))))</f>
        <v/>
      </c>
      <c r="G4576" s="13">
        <f>SUMIFS(Movimentacoes!$G:$G,Movimentacoes!$C:$C,$A4576,Movimentacoes!$E:$E,$C4576,Movimentacoes!$B:$B,"ENTRADA")</f>
        <v/>
      </c>
      <c r="H4576" s="13">
        <f>SUMIFS(Movimentacoes!$G:$G,Movimentacoes!$C:$C,$A4576,Movimentacoes!$E:$E,$C4576,Movimentacoes!$B:$B,"SAIDA_USO")</f>
        <v/>
      </c>
      <c r="I4576" s="13">
        <f>SUMIFS(Movimentacoes!$G:$G,Movimentacoes!$C:$C,$A4576,Movimentacoes!$E:$E,$C4576,Movimentacoes!$B:$B,"SAIDA_DESCARTE")</f>
        <v/>
      </c>
      <c r="J4576" s="13">
        <f>G4576-H4576-I4576</f>
        <v/>
      </c>
      <c r="K4576">
        <f>IF(A4576="","",IF(J4576&lt;=IFERROR(VLOOKUP(A4576,Cadastro_Produtos!$A:$E,5,FALSE),0),"ABAIXO DO MINIMO","OK"))</f>
        <v/>
      </c>
    </row>
    <row r="4577">
      <c r="B4577">
        <f>IFERROR(VLOOKUP(A4577,Cadastro_Produtos!A:B,2,FALSE),"")</f>
        <v/>
      </c>
      <c r="D4577" s="12" t="n"/>
      <c r="E4577" s="13">
        <f>IF(D4577="","",D4577-TODAY())</f>
        <v/>
      </c>
      <c r="F4577">
        <f>IF(D4577="","",IF(E4577&lt;0,"VENCIDO",IF(E4577&lt;=30,"VENCE EM &lt;= 30 DIAS",IF(E4577&lt;=60,"ATENCAO (31-60 DIAS)","OK"))))</f>
        <v/>
      </c>
      <c r="G4577" s="13">
        <f>SUMIFS(Movimentacoes!$G:$G,Movimentacoes!$C:$C,$A4577,Movimentacoes!$E:$E,$C4577,Movimentacoes!$B:$B,"ENTRADA")</f>
        <v/>
      </c>
      <c r="H4577" s="13">
        <f>SUMIFS(Movimentacoes!$G:$G,Movimentacoes!$C:$C,$A4577,Movimentacoes!$E:$E,$C4577,Movimentacoes!$B:$B,"SAIDA_USO")</f>
        <v/>
      </c>
      <c r="I4577" s="13">
        <f>SUMIFS(Movimentacoes!$G:$G,Movimentacoes!$C:$C,$A4577,Movimentacoes!$E:$E,$C4577,Movimentacoes!$B:$B,"SAIDA_DESCARTE")</f>
        <v/>
      </c>
      <c r="J4577" s="13">
        <f>G4577-H4577-I4577</f>
        <v/>
      </c>
      <c r="K4577">
        <f>IF(A4577="","",IF(J4577&lt;=IFERROR(VLOOKUP(A4577,Cadastro_Produtos!$A:$E,5,FALSE),0),"ABAIXO DO MINIMO","OK"))</f>
        <v/>
      </c>
    </row>
    <row r="4578">
      <c r="B4578">
        <f>IFERROR(VLOOKUP(A4578,Cadastro_Produtos!A:B,2,FALSE),"")</f>
        <v/>
      </c>
      <c r="D4578" s="12" t="n"/>
      <c r="E4578" s="13">
        <f>IF(D4578="","",D4578-TODAY())</f>
        <v/>
      </c>
      <c r="F4578">
        <f>IF(D4578="","",IF(E4578&lt;0,"VENCIDO",IF(E4578&lt;=30,"VENCE EM &lt;= 30 DIAS",IF(E4578&lt;=60,"ATENCAO (31-60 DIAS)","OK"))))</f>
        <v/>
      </c>
      <c r="G4578" s="13">
        <f>SUMIFS(Movimentacoes!$G:$G,Movimentacoes!$C:$C,$A4578,Movimentacoes!$E:$E,$C4578,Movimentacoes!$B:$B,"ENTRADA")</f>
        <v/>
      </c>
      <c r="H4578" s="13">
        <f>SUMIFS(Movimentacoes!$G:$G,Movimentacoes!$C:$C,$A4578,Movimentacoes!$E:$E,$C4578,Movimentacoes!$B:$B,"SAIDA_USO")</f>
        <v/>
      </c>
      <c r="I4578" s="13">
        <f>SUMIFS(Movimentacoes!$G:$G,Movimentacoes!$C:$C,$A4578,Movimentacoes!$E:$E,$C4578,Movimentacoes!$B:$B,"SAIDA_DESCARTE")</f>
        <v/>
      </c>
      <c r="J4578" s="13">
        <f>G4578-H4578-I4578</f>
        <v/>
      </c>
      <c r="K4578">
        <f>IF(A4578="","",IF(J4578&lt;=IFERROR(VLOOKUP(A4578,Cadastro_Produtos!$A:$E,5,FALSE),0),"ABAIXO DO MINIMO","OK"))</f>
        <v/>
      </c>
    </row>
    <row r="4579">
      <c r="B4579">
        <f>IFERROR(VLOOKUP(A4579,Cadastro_Produtos!A:B,2,FALSE),"")</f>
        <v/>
      </c>
      <c r="D4579" s="12" t="n"/>
      <c r="E4579" s="13">
        <f>IF(D4579="","",D4579-TODAY())</f>
        <v/>
      </c>
      <c r="F4579">
        <f>IF(D4579="","",IF(E4579&lt;0,"VENCIDO",IF(E4579&lt;=30,"VENCE EM &lt;= 30 DIAS",IF(E4579&lt;=60,"ATENCAO (31-60 DIAS)","OK"))))</f>
        <v/>
      </c>
      <c r="G4579" s="13">
        <f>SUMIFS(Movimentacoes!$G:$G,Movimentacoes!$C:$C,$A4579,Movimentacoes!$E:$E,$C4579,Movimentacoes!$B:$B,"ENTRADA")</f>
        <v/>
      </c>
      <c r="H4579" s="13">
        <f>SUMIFS(Movimentacoes!$G:$G,Movimentacoes!$C:$C,$A4579,Movimentacoes!$E:$E,$C4579,Movimentacoes!$B:$B,"SAIDA_USO")</f>
        <v/>
      </c>
      <c r="I4579" s="13">
        <f>SUMIFS(Movimentacoes!$G:$G,Movimentacoes!$C:$C,$A4579,Movimentacoes!$E:$E,$C4579,Movimentacoes!$B:$B,"SAIDA_DESCARTE")</f>
        <v/>
      </c>
      <c r="J4579" s="13">
        <f>G4579-H4579-I4579</f>
        <v/>
      </c>
      <c r="K4579">
        <f>IF(A4579="","",IF(J4579&lt;=IFERROR(VLOOKUP(A4579,Cadastro_Produtos!$A:$E,5,FALSE),0),"ABAIXO DO MINIMO","OK"))</f>
        <v/>
      </c>
    </row>
    <row r="4580">
      <c r="B4580">
        <f>IFERROR(VLOOKUP(A4580,Cadastro_Produtos!A:B,2,FALSE),"")</f>
        <v/>
      </c>
      <c r="D4580" s="12" t="n"/>
      <c r="E4580" s="13">
        <f>IF(D4580="","",D4580-TODAY())</f>
        <v/>
      </c>
      <c r="F4580">
        <f>IF(D4580="","",IF(E4580&lt;0,"VENCIDO",IF(E4580&lt;=30,"VENCE EM &lt;= 30 DIAS",IF(E4580&lt;=60,"ATENCAO (31-60 DIAS)","OK"))))</f>
        <v/>
      </c>
      <c r="G4580" s="13">
        <f>SUMIFS(Movimentacoes!$G:$G,Movimentacoes!$C:$C,$A4580,Movimentacoes!$E:$E,$C4580,Movimentacoes!$B:$B,"ENTRADA")</f>
        <v/>
      </c>
      <c r="H4580" s="13">
        <f>SUMIFS(Movimentacoes!$G:$G,Movimentacoes!$C:$C,$A4580,Movimentacoes!$E:$E,$C4580,Movimentacoes!$B:$B,"SAIDA_USO")</f>
        <v/>
      </c>
      <c r="I4580" s="13">
        <f>SUMIFS(Movimentacoes!$G:$G,Movimentacoes!$C:$C,$A4580,Movimentacoes!$E:$E,$C4580,Movimentacoes!$B:$B,"SAIDA_DESCARTE")</f>
        <v/>
      </c>
      <c r="J4580" s="13">
        <f>G4580-H4580-I4580</f>
        <v/>
      </c>
      <c r="K4580">
        <f>IF(A4580="","",IF(J4580&lt;=IFERROR(VLOOKUP(A4580,Cadastro_Produtos!$A:$E,5,FALSE),0),"ABAIXO DO MINIMO","OK"))</f>
        <v/>
      </c>
    </row>
    <row r="4581">
      <c r="B4581">
        <f>IFERROR(VLOOKUP(A4581,Cadastro_Produtos!A:B,2,FALSE),"")</f>
        <v/>
      </c>
      <c r="D4581" s="12" t="n"/>
      <c r="E4581" s="13">
        <f>IF(D4581="","",D4581-TODAY())</f>
        <v/>
      </c>
      <c r="F4581">
        <f>IF(D4581="","",IF(E4581&lt;0,"VENCIDO",IF(E4581&lt;=30,"VENCE EM &lt;= 30 DIAS",IF(E4581&lt;=60,"ATENCAO (31-60 DIAS)","OK"))))</f>
        <v/>
      </c>
      <c r="G4581" s="13">
        <f>SUMIFS(Movimentacoes!$G:$G,Movimentacoes!$C:$C,$A4581,Movimentacoes!$E:$E,$C4581,Movimentacoes!$B:$B,"ENTRADA")</f>
        <v/>
      </c>
      <c r="H4581" s="13">
        <f>SUMIFS(Movimentacoes!$G:$G,Movimentacoes!$C:$C,$A4581,Movimentacoes!$E:$E,$C4581,Movimentacoes!$B:$B,"SAIDA_USO")</f>
        <v/>
      </c>
      <c r="I4581" s="13">
        <f>SUMIFS(Movimentacoes!$G:$G,Movimentacoes!$C:$C,$A4581,Movimentacoes!$E:$E,$C4581,Movimentacoes!$B:$B,"SAIDA_DESCARTE")</f>
        <v/>
      </c>
      <c r="J4581" s="13">
        <f>G4581-H4581-I4581</f>
        <v/>
      </c>
      <c r="K4581">
        <f>IF(A4581="","",IF(J4581&lt;=IFERROR(VLOOKUP(A4581,Cadastro_Produtos!$A:$E,5,FALSE),0),"ABAIXO DO MINIMO","OK"))</f>
        <v/>
      </c>
    </row>
    <row r="4582">
      <c r="B4582">
        <f>IFERROR(VLOOKUP(A4582,Cadastro_Produtos!A:B,2,FALSE),"")</f>
        <v/>
      </c>
      <c r="D4582" s="12" t="n"/>
      <c r="E4582" s="13">
        <f>IF(D4582="","",D4582-TODAY())</f>
        <v/>
      </c>
      <c r="F4582">
        <f>IF(D4582="","",IF(E4582&lt;0,"VENCIDO",IF(E4582&lt;=30,"VENCE EM &lt;= 30 DIAS",IF(E4582&lt;=60,"ATENCAO (31-60 DIAS)","OK"))))</f>
        <v/>
      </c>
      <c r="G4582" s="13">
        <f>SUMIFS(Movimentacoes!$G:$G,Movimentacoes!$C:$C,$A4582,Movimentacoes!$E:$E,$C4582,Movimentacoes!$B:$B,"ENTRADA")</f>
        <v/>
      </c>
      <c r="H4582" s="13">
        <f>SUMIFS(Movimentacoes!$G:$G,Movimentacoes!$C:$C,$A4582,Movimentacoes!$E:$E,$C4582,Movimentacoes!$B:$B,"SAIDA_USO")</f>
        <v/>
      </c>
      <c r="I4582" s="13">
        <f>SUMIFS(Movimentacoes!$G:$G,Movimentacoes!$C:$C,$A4582,Movimentacoes!$E:$E,$C4582,Movimentacoes!$B:$B,"SAIDA_DESCARTE")</f>
        <v/>
      </c>
      <c r="J4582" s="13">
        <f>G4582-H4582-I4582</f>
        <v/>
      </c>
      <c r="K4582">
        <f>IF(A4582="","",IF(J4582&lt;=IFERROR(VLOOKUP(A4582,Cadastro_Produtos!$A:$E,5,FALSE),0),"ABAIXO DO MINIMO","OK"))</f>
        <v/>
      </c>
    </row>
    <row r="4583">
      <c r="B4583">
        <f>IFERROR(VLOOKUP(A4583,Cadastro_Produtos!A:B,2,FALSE),"")</f>
        <v/>
      </c>
      <c r="D4583" s="12" t="n"/>
      <c r="E4583" s="13">
        <f>IF(D4583="","",D4583-TODAY())</f>
        <v/>
      </c>
      <c r="F4583">
        <f>IF(D4583="","",IF(E4583&lt;0,"VENCIDO",IF(E4583&lt;=30,"VENCE EM &lt;= 30 DIAS",IF(E4583&lt;=60,"ATENCAO (31-60 DIAS)","OK"))))</f>
        <v/>
      </c>
      <c r="G4583" s="13">
        <f>SUMIFS(Movimentacoes!$G:$G,Movimentacoes!$C:$C,$A4583,Movimentacoes!$E:$E,$C4583,Movimentacoes!$B:$B,"ENTRADA")</f>
        <v/>
      </c>
      <c r="H4583" s="13">
        <f>SUMIFS(Movimentacoes!$G:$G,Movimentacoes!$C:$C,$A4583,Movimentacoes!$E:$E,$C4583,Movimentacoes!$B:$B,"SAIDA_USO")</f>
        <v/>
      </c>
      <c r="I4583" s="13">
        <f>SUMIFS(Movimentacoes!$G:$G,Movimentacoes!$C:$C,$A4583,Movimentacoes!$E:$E,$C4583,Movimentacoes!$B:$B,"SAIDA_DESCARTE")</f>
        <v/>
      </c>
      <c r="J4583" s="13">
        <f>G4583-H4583-I4583</f>
        <v/>
      </c>
      <c r="K4583">
        <f>IF(A4583="","",IF(J4583&lt;=IFERROR(VLOOKUP(A4583,Cadastro_Produtos!$A:$E,5,FALSE),0),"ABAIXO DO MINIMO","OK"))</f>
        <v/>
      </c>
    </row>
    <row r="4584">
      <c r="B4584">
        <f>IFERROR(VLOOKUP(A4584,Cadastro_Produtos!A:B,2,FALSE),"")</f>
        <v/>
      </c>
      <c r="D4584" s="12" t="n"/>
      <c r="E4584" s="13">
        <f>IF(D4584="","",D4584-TODAY())</f>
        <v/>
      </c>
      <c r="F4584">
        <f>IF(D4584="","",IF(E4584&lt;0,"VENCIDO",IF(E4584&lt;=30,"VENCE EM &lt;= 30 DIAS",IF(E4584&lt;=60,"ATENCAO (31-60 DIAS)","OK"))))</f>
        <v/>
      </c>
      <c r="G4584" s="13">
        <f>SUMIFS(Movimentacoes!$G:$G,Movimentacoes!$C:$C,$A4584,Movimentacoes!$E:$E,$C4584,Movimentacoes!$B:$B,"ENTRADA")</f>
        <v/>
      </c>
      <c r="H4584" s="13">
        <f>SUMIFS(Movimentacoes!$G:$G,Movimentacoes!$C:$C,$A4584,Movimentacoes!$E:$E,$C4584,Movimentacoes!$B:$B,"SAIDA_USO")</f>
        <v/>
      </c>
      <c r="I4584" s="13">
        <f>SUMIFS(Movimentacoes!$G:$G,Movimentacoes!$C:$C,$A4584,Movimentacoes!$E:$E,$C4584,Movimentacoes!$B:$B,"SAIDA_DESCARTE")</f>
        <v/>
      </c>
      <c r="J4584" s="13">
        <f>G4584-H4584-I4584</f>
        <v/>
      </c>
      <c r="K4584">
        <f>IF(A4584="","",IF(J4584&lt;=IFERROR(VLOOKUP(A4584,Cadastro_Produtos!$A:$E,5,FALSE),0),"ABAIXO DO MINIMO","OK"))</f>
        <v/>
      </c>
    </row>
    <row r="4585">
      <c r="B4585">
        <f>IFERROR(VLOOKUP(A4585,Cadastro_Produtos!A:B,2,FALSE),"")</f>
        <v/>
      </c>
      <c r="D4585" s="12" t="n"/>
      <c r="E4585" s="13">
        <f>IF(D4585="","",D4585-TODAY())</f>
        <v/>
      </c>
      <c r="F4585">
        <f>IF(D4585="","",IF(E4585&lt;0,"VENCIDO",IF(E4585&lt;=30,"VENCE EM &lt;= 30 DIAS",IF(E4585&lt;=60,"ATENCAO (31-60 DIAS)","OK"))))</f>
        <v/>
      </c>
      <c r="G4585" s="13">
        <f>SUMIFS(Movimentacoes!$G:$G,Movimentacoes!$C:$C,$A4585,Movimentacoes!$E:$E,$C4585,Movimentacoes!$B:$B,"ENTRADA")</f>
        <v/>
      </c>
      <c r="H4585" s="13">
        <f>SUMIFS(Movimentacoes!$G:$G,Movimentacoes!$C:$C,$A4585,Movimentacoes!$E:$E,$C4585,Movimentacoes!$B:$B,"SAIDA_USO")</f>
        <v/>
      </c>
      <c r="I4585" s="13">
        <f>SUMIFS(Movimentacoes!$G:$G,Movimentacoes!$C:$C,$A4585,Movimentacoes!$E:$E,$C4585,Movimentacoes!$B:$B,"SAIDA_DESCARTE")</f>
        <v/>
      </c>
      <c r="J4585" s="13">
        <f>G4585-H4585-I4585</f>
        <v/>
      </c>
      <c r="K4585">
        <f>IF(A4585="","",IF(J4585&lt;=IFERROR(VLOOKUP(A4585,Cadastro_Produtos!$A:$E,5,FALSE),0),"ABAIXO DO MINIMO","OK"))</f>
        <v/>
      </c>
    </row>
    <row r="4586">
      <c r="B4586">
        <f>IFERROR(VLOOKUP(A4586,Cadastro_Produtos!A:B,2,FALSE),"")</f>
        <v/>
      </c>
      <c r="D4586" s="12" t="n"/>
      <c r="E4586" s="13">
        <f>IF(D4586="","",D4586-TODAY())</f>
        <v/>
      </c>
      <c r="F4586">
        <f>IF(D4586="","",IF(E4586&lt;0,"VENCIDO",IF(E4586&lt;=30,"VENCE EM &lt;= 30 DIAS",IF(E4586&lt;=60,"ATENCAO (31-60 DIAS)","OK"))))</f>
        <v/>
      </c>
      <c r="G4586" s="13">
        <f>SUMIFS(Movimentacoes!$G:$G,Movimentacoes!$C:$C,$A4586,Movimentacoes!$E:$E,$C4586,Movimentacoes!$B:$B,"ENTRADA")</f>
        <v/>
      </c>
      <c r="H4586" s="13">
        <f>SUMIFS(Movimentacoes!$G:$G,Movimentacoes!$C:$C,$A4586,Movimentacoes!$E:$E,$C4586,Movimentacoes!$B:$B,"SAIDA_USO")</f>
        <v/>
      </c>
      <c r="I4586" s="13">
        <f>SUMIFS(Movimentacoes!$G:$G,Movimentacoes!$C:$C,$A4586,Movimentacoes!$E:$E,$C4586,Movimentacoes!$B:$B,"SAIDA_DESCARTE")</f>
        <v/>
      </c>
      <c r="J4586" s="13">
        <f>G4586-H4586-I4586</f>
        <v/>
      </c>
      <c r="K4586">
        <f>IF(A4586="","",IF(J4586&lt;=IFERROR(VLOOKUP(A4586,Cadastro_Produtos!$A:$E,5,FALSE),0),"ABAIXO DO MINIMO","OK"))</f>
        <v/>
      </c>
    </row>
    <row r="4587">
      <c r="B4587">
        <f>IFERROR(VLOOKUP(A4587,Cadastro_Produtos!A:B,2,FALSE),"")</f>
        <v/>
      </c>
      <c r="D4587" s="12" t="n"/>
      <c r="E4587" s="13">
        <f>IF(D4587="","",D4587-TODAY())</f>
        <v/>
      </c>
      <c r="F4587">
        <f>IF(D4587="","",IF(E4587&lt;0,"VENCIDO",IF(E4587&lt;=30,"VENCE EM &lt;= 30 DIAS",IF(E4587&lt;=60,"ATENCAO (31-60 DIAS)","OK"))))</f>
        <v/>
      </c>
      <c r="G4587" s="13">
        <f>SUMIFS(Movimentacoes!$G:$G,Movimentacoes!$C:$C,$A4587,Movimentacoes!$E:$E,$C4587,Movimentacoes!$B:$B,"ENTRADA")</f>
        <v/>
      </c>
      <c r="H4587" s="13">
        <f>SUMIFS(Movimentacoes!$G:$G,Movimentacoes!$C:$C,$A4587,Movimentacoes!$E:$E,$C4587,Movimentacoes!$B:$B,"SAIDA_USO")</f>
        <v/>
      </c>
      <c r="I4587" s="13">
        <f>SUMIFS(Movimentacoes!$G:$G,Movimentacoes!$C:$C,$A4587,Movimentacoes!$E:$E,$C4587,Movimentacoes!$B:$B,"SAIDA_DESCARTE")</f>
        <v/>
      </c>
      <c r="J4587" s="13">
        <f>G4587-H4587-I4587</f>
        <v/>
      </c>
      <c r="K4587">
        <f>IF(A4587="","",IF(J4587&lt;=IFERROR(VLOOKUP(A4587,Cadastro_Produtos!$A:$E,5,FALSE),0),"ABAIXO DO MINIMO","OK"))</f>
        <v/>
      </c>
    </row>
    <row r="4588">
      <c r="B4588">
        <f>IFERROR(VLOOKUP(A4588,Cadastro_Produtos!A:B,2,FALSE),"")</f>
        <v/>
      </c>
      <c r="D4588" s="12" t="n"/>
      <c r="E4588" s="13">
        <f>IF(D4588="","",D4588-TODAY())</f>
        <v/>
      </c>
      <c r="F4588">
        <f>IF(D4588="","",IF(E4588&lt;0,"VENCIDO",IF(E4588&lt;=30,"VENCE EM &lt;= 30 DIAS",IF(E4588&lt;=60,"ATENCAO (31-60 DIAS)","OK"))))</f>
        <v/>
      </c>
      <c r="G4588" s="13">
        <f>SUMIFS(Movimentacoes!$G:$G,Movimentacoes!$C:$C,$A4588,Movimentacoes!$E:$E,$C4588,Movimentacoes!$B:$B,"ENTRADA")</f>
        <v/>
      </c>
      <c r="H4588" s="13">
        <f>SUMIFS(Movimentacoes!$G:$G,Movimentacoes!$C:$C,$A4588,Movimentacoes!$E:$E,$C4588,Movimentacoes!$B:$B,"SAIDA_USO")</f>
        <v/>
      </c>
      <c r="I4588" s="13">
        <f>SUMIFS(Movimentacoes!$G:$G,Movimentacoes!$C:$C,$A4588,Movimentacoes!$E:$E,$C4588,Movimentacoes!$B:$B,"SAIDA_DESCARTE")</f>
        <v/>
      </c>
      <c r="J4588" s="13">
        <f>G4588-H4588-I4588</f>
        <v/>
      </c>
      <c r="K4588">
        <f>IF(A4588="","",IF(J4588&lt;=IFERROR(VLOOKUP(A4588,Cadastro_Produtos!$A:$E,5,FALSE),0),"ABAIXO DO MINIMO","OK"))</f>
        <v/>
      </c>
    </row>
    <row r="4589">
      <c r="B4589">
        <f>IFERROR(VLOOKUP(A4589,Cadastro_Produtos!A:B,2,FALSE),"")</f>
        <v/>
      </c>
      <c r="D4589" s="12" t="n"/>
      <c r="E4589" s="13">
        <f>IF(D4589="","",D4589-TODAY())</f>
        <v/>
      </c>
      <c r="F4589">
        <f>IF(D4589="","",IF(E4589&lt;0,"VENCIDO",IF(E4589&lt;=30,"VENCE EM &lt;= 30 DIAS",IF(E4589&lt;=60,"ATENCAO (31-60 DIAS)","OK"))))</f>
        <v/>
      </c>
      <c r="G4589" s="13">
        <f>SUMIFS(Movimentacoes!$G:$G,Movimentacoes!$C:$C,$A4589,Movimentacoes!$E:$E,$C4589,Movimentacoes!$B:$B,"ENTRADA")</f>
        <v/>
      </c>
      <c r="H4589" s="13">
        <f>SUMIFS(Movimentacoes!$G:$G,Movimentacoes!$C:$C,$A4589,Movimentacoes!$E:$E,$C4589,Movimentacoes!$B:$B,"SAIDA_USO")</f>
        <v/>
      </c>
      <c r="I4589" s="13">
        <f>SUMIFS(Movimentacoes!$G:$G,Movimentacoes!$C:$C,$A4589,Movimentacoes!$E:$E,$C4589,Movimentacoes!$B:$B,"SAIDA_DESCARTE")</f>
        <v/>
      </c>
      <c r="J4589" s="13">
        <f>G4589-H4589-I4589</f>
        <v/>
      </c>
      <c r="K4589">
        <f>IF(A4589="","",IF(J4589&lt;=IFERROR(VLOOKUP(A4589,Cadastro_Produtos!$A:$E,5,FALSE),0),"ABAIXO DO MINIMO","OK"))</f>
        <v/>
      </c>
    </row>
    <row r="4590">
      <c r="B4590">
        <f>IFERROR(VLOOKUP(A4590,Cadastro_Produtos!A:B,2,FALSE),"")</f>
        <v/>
      </c>
      <c r="D4590" s="12" t="n"/>
      <c r="E4590" s="13">
        <f>IF(D4590="","",D4590-TODAY())</f>
        <v/>
      </c>
      <c r="F4590">
        <f>IF(D4590="","",IF(E4590&lt;0,"VENCIDO",IF(E4590&lt;=30,"VENCE EM &lt;= 30 DIAS",IF(E4590&lt;=60,"ATENCAO (31-60 DIAS)","OK"))))</f>
        <v/>
      </c>
      <c r="G4590" s="13">
        <f>SUMIFS(Movimentacoes!$G:$G,Movimentacoes!$C:$C,$A4590,Movimentacoes!$E:$E,$C4590,Movimentacoes!$B:$B,"ENTRADA")</f>
        <v/>
      </c>
      <c r="H4590" s="13">
        <f>SUMIFS(Movimentacoes!$G:$G,Movimentacoes!$C:$C,$A4590,Movimentacoes!$E:$E,$C4590,Movimentacoes!$B:$B,"SAIDA_USO")</f>
        <v/>
      </c>
      <c r="I4590" s="13">
        <f>SUMIFS(Movimentacoes!$G:$G,Movimentacoes!$C:$C,$A4590,Movimentacoes!$E:$E,$C4590,Movimentacoes!$B:$B,"SAIDA_DESCARTE")</f>
        <v/>
      </c>
      <c r="J4590" s="13">
        <f>G4590-H4590-I4590</f>
        <v/>
      </c>
      <c r="K4590">
        <f>IF(A4590="","",IF(J4590&lt;=IFERROR(VLOOKUP(A4590,Cadastro_Produtos!$A:$E,5,FALSE),0),"ABAIXO DO MINIMO","OK"))</f>
        <v/>
      </c>
    </row>
    <row r="4591">
      <c r="B4591">
        <f>IFERROR(VLOOKUP(A4591,Cadastro_Produtos!A:B,2,FALSE),"")</f>
        <v/>
      </c>
      <c r="D4591" s="12" t="n"/>
      <c r="E4591" s="13">
        <f>IF(D4591="","",D4591-TODAY())</f>
        <v/>
      </c>
      <c r="F4591">
        <f>IF(D4591="","",IF(E4591&lt;0,"VENCIDO",IF(E4591&lt;=30,"VENCE EM &lt;= 30 DIAS",IF(E4591&lt;=60,"ATENCAO (31-60 DIAS)","OK"))))</f>
        <v/>
      </c>
      <c r="G4591" s="13">
        <f>SUMIFS(Movimentacoes!$G:$G,Movimentacoes!$C:$C,$A4591,Movimentacoes!$E:$E,$C4591,Movimentacoes!$B:$B,"ENTRADA")</f>
        <v/>
      </c>
      <c r="H4591" s="13">
        <f>SUMIFS(Movimentacoes!$G:$G,Movimentacoes!$C:$C,$A4591,Movimentacoes!$E:$E,$C4591,Movimentacoes!$B:$B,"SAIDA_USO")</f>
        <v/>
      </c>
      <c r="I4591" s="13">
        <f>SUMIFS(Movimentacoes!$G:$G,Movimentacoes!$C:$C,$A4591,Movimentacoes!$E:$E,$C4591,Movimentacoes!$B:$B,"SAIDA_DESCARTE")</f>
        <v/>
      </c>
      <c r="J4591" s="13">
        <f>G4591-H4591-I4591</f>
        <v/>
      </c>
      <c r="K4591">
        <f>IF(A4591="","",IF(J4591&lt;=IFERROR(VLOOKUP(A4591,Cadastro_Produtos!$A:$E,5,FALSE),0),"ABAIXO DO MINIMO","OK"))</f>
        <v/>
      </c>
    </row>
    <row r="4592">
      <c r="B4592">
        <f>IFERROR(VLOOKUP(A4592,Cadastro_Produtos!A:B,2,FALSE),"")</f>
        <v/>
      </c>
      <c r="D4592" s="12" t="n"/>
      <c r="E4592" s="13">
        <f>IF(D4592="","",D4592-TODAY())</f>
        <v/>
      </c>
      <c r="F4592">
        <f>IF(D4592="","",IF(E4592&lt;0,"VENCIDO",IF(E4592&lt;=30,"VENCE EM &lt;= 30 DIAS",IF(E4592&lt;=60,"ATENCAO (31-60 DIAS)","OK"))))</f>
        <v/>
      </c>
      <c r="G4592" s="13">
        <f>SUMIFS(Movimentacoes!$G:$G,Movimentacoes!$C:$C,$A4592,Movimentacoes!$E:$E,$C4592,Movimentacoes!$B:$B,"ENTRADA")</f>
        <v/>
      </c>
      <c r="H4592" s="13">
        <f>SUMIFS(Movimentacoes!$G:$G,Movimentacoes!$C:$C,$A4592,Movimentacoes!$E:$E,$C4592,Movimentacoes!$B:$B,"SAIDA_USO")</f>
        <v/>
      </c>
      <c r="I4592" s="13">
        <f>SUMIFS(Movimentacoes!$G:$G,Movimentacoes!$C:$C,$A4592,Movimentacoes!$E:$E,$C4592,Movimentacoes!$B:$B,"SAIDA_DESCARTE")</f>
        <v/>
      </c>
      <c r="J4592" s="13">
        <f>G4592-H4592-I4592</f>
        <v/>
      </c>
      <c r="K4592">
        <f>IF(A4592="","",IF(J4592&lt;=IFERROR(VLOOKUP(A4592,Cadastro_Produtos!$A:$E,5,FALSE),0),"ABAIXO DO MINIMO","OK"))</f>
        <v/>
      </c>
    </row>
    <row r="4593">
      <c r="B4593">
        <f>IFERROR(VLOOKUP(A4593,Cadastro_Produtos!A:B,2,FALSE),"")</f>
        <v/>
      </c>
      <c r="D4593" s="12" t="n"/>
      <c r="E4593" s="13">
        <f>IF(D4593="","",D4593-TODAY())</f>
        <v/>
      </c>
      <c r="F4593">
        <f>IF(D4593="","",IF(E4593&lt;0,"VENCIDO",IF(E4593&lt;=30,"VENCE EM &lt;= 30 DIAS",IF(E4593&lt;=60,"ATENCAO (31-60 DIAS)","OK"))))</f>
        <v/>
      </c>
      <c r="G4593" s="13">
        <f>SUMIFS(Movimentacoes!$G:$G,Movimentacoes!$C:$C,$A4593,Movimentacoes!$E:$E,$C4593,Movimentacoes!$B:$B,"ENTRADA")</f>
        <v/>
      </c>
      <c r="H4593" s="13">
        <f>SUMIFS(Movimentacoes!$G:$G,Movimentacoes!$C:$C,$A4593,Movimentacoes!$E:$E,$C4593,Movimentacoes!$B:$B,"SAIDA_USO")</f>
        <v/>
      </c>
      <c r="I4593" s="13">
        <f>SUMIFS(Movimentacoes!$G:$G,Movimentacoes!$C:$C,$A4593,Movimentacoes!$E:$E,$C4593,Movimentacoes!$B:$B,"SAIDA_DESCARTE")</f>
        <v/>
      </c>
      <c r="J4593" s="13">
        <f>G4593-H4593-I4593</f>
        <v/>
      </c>
      <c r="K4593">
        <f>IF(A4593="","",IF(J4593&lt;=IFERROR(VLOOKUP(A4593,Cadastro_Produtos!$A:$E,5,FALSE),0),"ABAIXO DO MINIMO","OK"))</f>
        <v/>
      </c>
    </row>
    <row r="4594">
      <c r="B4594">
        <f>IFERROR(VLOOKUP(A4594,Cadastro_Produtos!A:B,2,FALSE),"")</f>
        <v/>
      </c>
      <c r="D4594" s="12" t="n"/>
      <c r="E4594" s="13">
        <f>IF(D4594="","",D4594-TODAY())</f>
        <v/>
      </c>
      <c r="F4594">
        <f>IF(D4594="","",IF(E4594&lt;0,"VENCIDO",IF(E4594&lt;=30,"VENCE EM &lt;= 30 DIAS",IF(E4594&lt;=60,"ATENCAO (31-60 DIAS)","OK"))))</f>
        <v/>
      </c>
      <c r="G4594" s="13">
        <f>SUMIFS(Movimentacoes!$G:$G,Movimentacoes!$C:$C,$A4594,Movimentacoes!$E:$E,$C4594,Movimentacoes!$B:$B,"ENTRADA")</f>
        <v/>
      </c>
      <c r="H4594" s="13">
        <f>SUMIFS(Movimentacoes!$G:$G,Movimentacoes!$C:$C,$A4594,Movimentacoes!$E:$E,$C4594,Movimentacoes!$B:$B,"SAIDA_USO")</f>
        <v/>
      </c>
      <c r="I4594" s="13">
        <f>SUMIFS(Movimentacoes!$G:$G,Movimentacoes!$C:$C,$A4594,Movimentacoes!$E:$E,$C4594,Movimentacoes!$B:$B,"SAIDA_DESCARTE")</f>
        <v/>
      </c>
      <c r="J4594" s="13">
        <f>G4594-H4594-I4594</f>
        <v/>
      </c>
      <c r="K4594">
        <f>IF(A4594="","",IF(J4594&lt;=IFERROR(VLOOKUP(A4594,Cadastro_Produtos!$A:$E,5,FALSE),0),"ABAIXO DO MINIMO","OK"))</f>
        <v/>
      </c>
    </row>
    <row r="4595">
      <c r="B4595">
        <f>IFERROR(VLOOKUP(A4595,Cadastro_Produtos!A:B,2,FALSE),"")</f>
        <v/>
      </c>
      <c r="D4595" s="12" t="n"/>
      <c r="E4595" s="13">
        <f>IF(D4595="","",D4595-TODAY())</f>
        <v/>
      </c>
      <c r="F4595">
        <f>IF(D4595="","",IF(E4595&lt;0,"VENCIDO",IF(E4595&lt;=30,"VENCE EM &lt;= 30 DIAS",IF(E4595&lt;=60,"ATENCAO (31-60 DIAS)","OK"))))</f>
        <v/>
      </c>
      <c r="G4595" s="13">
        <f>SUMIFS(Movimentacoes!$G:$G,Movimentacoes!$C:$C,$A4595,Movimentacoes!$E:$E,$C4595,Movimentacoes!$B:$B,"ENTRADA")</f>
        <v/>
      </c>
      <c r="H4595" s="13">
        <f>SUMIFS(Movimentacoes!$G:$G,Movimentacoes!$C:$C,$A4595,Movimentacoes!$E:$E,$C4595,Movimentacoes!$B:$B,"SAIDA_USO")</f>
        <v/>
      </c>
      <c r="I4595" s="13">
        <f>SUMIFS(Movimentacoes!$G:$G,Movimentacoes!$C:$C,$A4595,Movimentacoes!$E:$E,$C4595,Movimentacoes!$B:$B,"SAIDA_DESCARTE")</f>
        <v/>
      </c>
      <c r="J4595" s="13">
        <f>G4595-H4595-I4595</f>
        <v/>
      </c>
      <c r="K4595">
        <f>IF(A4595="","",IF(J4595&lt;=IFERROR(VLOOKUP(A4595,Cadastro_Produtos!$A:$E,5,FALSE),0),"ABAIXO DO MINIMO","OK"))</f>
        <v/>
      </c>
    </row>
    <row r="4596">
      <c r="B4596">
        <f>IFERROR(VLOOKUP(A4596,Cadastro_Produtos!A:B,2,FALSE),"")</f>
        <v/>
      </c>
      <c r="D4596" s="12" t="n"/>
      <c r="E4596" s="13">
        <f>IF(D4596="","",D4596-TODAY())</f>
        <v/>
      </c>
      <c r="F4596">
        <f>IF(D4596="","",IF(E4596&lt;0,"VENCIDO",IF(E4596&lt;=30,"VENCE EM &lt;= 30 DIAS",IF(E4596&lt;=60,"ATENCAO (31-60 DIAS)","OK"))))</f>
        <v/>
      </c>
      <c r="G4596" s="13">
        <f>SUMIFS(Movimentacoes!$G:$G,Movimentacoes!$C:$C,$A4596,Movimentacoes!$E:$E,$C4596,Movimentacoes!$B:$B,"ENTRADA")</f>
        <v/>
      </c>
      <c r="H4596" s="13">
        <f>SUMIFS(Movimentacoes!$G:$G,Movimentacoes!$C:$C,$A4596,Movimentacoes!$E:$E,$C4596,Movimentacoes!$B:$B,"SAIDA_USO")</f>
        <v/>
      </c>
      <c r="I4596" s="13">
        <f>SUMIFS(Movimentacoes!$G:$G,Movimentacoes!$C:$C,$A4596,Movimentacoes!$E:$E,$C4596,Movimentacoes!$B:$B,"SAIDA_DESCARTE")</f>
        <v/>
      </c>
      <c r="J4596" s="13">
        <f>G4596-H4596-I4596</f>
        <v/>
      </c>
      <c r="K4596">
        <f>IF(A4596="","",IF(J4596&lt;=IFERROR(VLOOKUP(A4596,Cadastro_Produtos!$A:$E,5,FALSE),0),"ABAIXO DO MINIMO","OK"))</f>
        <v/>
      </c>
    </row>
    <row r="4597">
      <c r="B4597">
        <f>IFERROR(VLOOKUP(A4597,Cadastro_Produtos!A:B,2,FALSE),"")</f>
        <v/>
      </c>
      <c r="D4597" s="12" t="n"/>
      <c r="E4597" s="13">
        <f>IF(D4597="","",D4597-TODAY())</f>
        <v/>
      </c>
      <c r="F4597">
        <f>IF(D4597="","",IF(E4597&lt;0,"VENCIDO",IF(E4597&lt;=30,"VENCE EM &lt;= 30 DIAS",IF(E4597&lt;=60,"ATENCAO (31-60 DIAS)","OK"))))</f>
        <v/>
      </c>
      <c r="G4597" s="13">
        <f>SUMIFS(Movimentacoes!$G:$G,Movimentacoes!$C:$C,$A4597,Movimentacoes!$E:$E,$C4597,Movimentacoes!$B:$B,"ENTRADA")</f>
        <v/>
      </c>
      <c r="H4597" s="13">
        <f>SUMIFS(Movimentacoes!$G:$G,Movimentacoes!$C:$C,$A4597,Movimentacoes!$E:$E,$C4597,Movimentacoes!$B:$B,"SAIDA_USO")</f>
        <v/>
      </c>
      <c r="I4597" s="13">
        <f>SUMIFS(Movimentacoes!$G:$G,Movimentacoes!$C:$C,$A4597,Movimentacoes!$E:$E,$C4597,Movimentacoes!$B:$B,"SAIDA_DESCARTE")</f>
        <v/>
      </c>
      <c r="J4597" s="13">
        <f>G4597-H4597-I4597</f>
        <v/>
      </c>
      <c r="K4597">
        <f>IF(A4597="","",IF(J4597&lt;=IFERROR(VLOOKUP(A4597,Cadastro_Produtos!$A:$E,5,FALSE),0),"ABAIXO DO MINIMO","OK"))</f>
        <v/>
      </c>
    </row>
    <row r="4598">
      <c r="B4598">
        <f>IFERROR(VLOOKUP(A4598,Cadastro_Produtos!A:B,2,FALSE),"")</f>
        <v/>
      </c>
      <c r="D4598" s="12" t="n"/>
      <c r="E4598" s="13">
        <f>IF(D4598="","",D4598-TODAY())</f>
        <v/>
      </c>
      <c r="F4598">
        <f>IF(D4598="","",IF(E4598&lt;0,"VENCIDO",IF(E4598&lt;=30,"VENCE EM &lt;= 30 DIAS",IF(E4598&lt;=60,"ATENCAO (31-60 DIAS)","OK"))))</f>
        <v/>
      </c>
      <c r="G4598" s="13">
        <f>SUMIFS(Movimentacoes!$G:$G,Movimentacoes!$C:$C,$A4598,Movimentacoes!$E:$E,$C4598,Movimentacoes!$B:$B,"ENTRADA")</f>
        <v/>
      </c>
      <c r="H4598" s="13">
        <f>SUMIFS(Movimentacoes!$G:$G,Movimentacoes!$C:$C,$A4598,Movimentacoes!$E:$E,$C4598,Movimentacoes!$B:$B,"SAIDA_USO")</f>
        <v/>
      </c>
      <c r="I4598" s="13">
        <f>SUMIFS(Movimentacoes!$G:$G,Movimentacoes!$C:$C,$A4598,Movimentacoes!$E:$E,$C4598,Movimentacoes!$B:$B,"SAIDA_DESCARTE")</f>
        <v/>
      </c>
      <c r="J4598" s="13">
        <f>G4598-H4598-I4598</f>
        <v/>
      </c>
      <c r="K4598">
        <f>IF(A4598="","",IF(J4598&lt;=IFERROR(VLOOKUP(A4598,Cadastro_Produtos!$A:$E,5,FALSE),0),"ABAIXO DO MINIMO","OK"))</f>
        <v/>
      </c>
    </row>
    <row r="4599">
      <c r="B4599">
        <f>IFERROR(VLOOKUP(A4599,Cadastro_Produtos!A:B,2,FALSE),"")</f>
        <v/>
      </c>
      <c r="D4599" s="12" t="n"/>
      <c r="E4599" s="13">
        <f>IF(D4599="","",D4599-TODAY())</f>
        <v/>
      </c>
      <c r="F4599">
        <f>IF(D4599="","",IF(E4599&lt;0,"VENCIDO",IF(E4599&lt;=30,"VENCE EM &lt;= 30 DIAS",IF(E4599&lt;=60,"ATENCAO (31-60 DIAS)","OK"))))</f>
        <v/>
      </c>
      <c r="G4599" s="13">
        <f>SUMIFS(Movimentacoes!$G:$G,Movimentacoes!$C:$C,$A4599,Movimentacoes!$E:$E,$C4599,Movimentacoes!$B:$B,"ENTRADA")</f>
        <v/>
      </c>
      <c r="H4599" s="13">
        <f>SUMIFS(Movimentacoes!$G:$G,Movimentacoes!$C:$C,$A4599,Movimentacoes!$E:$E,$C4599,Movimentacoes!$B:$B,"SAIDA_USO")</f>
        <v/>
      </c>
      <c r="I4599" s="13">
        <f>SUMIFS(Movimentacoes!$G:$G,Movimentacoes!$C:$C,$A4599,Movimentacoes!$E:$E,$C4599,Movimentacoes!$B:$B,"SAIDA_DESCARTE")</f>
        <v/>
      </c>
      <c r="J4599" s="13">
        <f>G4599-H4599-I4599</f>
        <v/>
      </c>
      <c r="K4599">
        <f>IF(A4599="","",IF(J4599&lt;=IFERROR(VLOOKUP(A4599,Cadastro_Produtos!$A:$E,5,FALSE),0),"ABAIXO DO MINIMO","OK"))</f>
        <v/>
      </c>
    </row>
    <row r="4600">
      <c r="B4600">
        <f>IFERROR(VLOOKUP(A4600,Cadastro_Produtos!A:B,2,FALSE),"")</f>
        <v/>
      </c>
      <c r="D4600" s="12" t="n"/>
      <c r="E4600" s="13">
        <f>IF(D4600="","",D4600-TODAY())</f>
        <v/>
      </c>
      <c r="F4600">
        <f>IF(D4600="","",IF(E4600&lt;0,"VENCIDO",IF(E4600&lt;=30,"VENCE EM &lt;= 30 DIAS",IF(E4600&lt;=60,"ATENCAO (31-60 DIAS)","OK"))))</f>
        <v/>
      </c>
      <c r="G4600" s="13">
        <f>SUMIFS(Movimentacoes!$G:$G,Movimentacoes!$C:$C,$A4600,Movimentacoes!$E:$E,$C4600,Movimentacoes!$B:$B,"ENTRADA")</f>
        <v/>
      </c>
      <c r="H4600" s="13">
        <f>SUMIFS(Movimentacoes!$G:$G,Movimentacoes!$C:$C,$A4600,Movimentacoes!$E:$E,$C4600,Movimentacoes!$B:$B,"SAIDA_USO")</f>
        <v/>
      </c>
      <c r="I4600" s="13">
        <f>SUMIFS(Movimentacoes!$G:$G,Movimentacoes!$C:$C,$A4600,Movimentacoes!$E:$E,$C4600,Movimentacoes!$B:$B,"SAIDA_DESCARTE")</f>
        <v/>
      </c>
      <c r="J4600" s="13">
        <f>G4600-H4600-I4600</f>
        <v/>
      </c>
      <c r="K4600">
        <f>IF(A4600="","",IF(J4600&lt;=IFERROR(VLOOKUP(A4600,Cadastro_Produtos!$A:$E,5,FALSE),0),"ABAIXO DO MINIMO","OK"))</f>
        <v/>
      </c>
    </row>
    <row r="4601">
      <c r="B4601">
        <f>IFERROR(VLOOKUP(A4601,Cadastro_Produtos!A:B,2,FALSE),"")</f>
        <v/>
      </c>
      <c r="D4601" s="12" t="n"/>
      <c r="E4601" s="13">
        <f>IF(D4601="","",D4601-TODAY())</f>
        <v/>
      </c>
      <c r="F4601">
        <f>IF(D4601="","",IF(E4601&lt;0,"VENCIDO",IF(E4601&lt;=30,"VENCE EM &lt;= 30 DIAS",IF(E4601&lt;=60,"ATENCAO (31-60 DIAS)","OK"))))</f>
        <v/>
      </c>
      <c r="G4601" s="13">
        <f>SUMIFS(Movimentacoes!$G:$G,Movimentacoes!$C:$C,$A4601,Movimentacoes!$E:$E,$C4601,Movimentacoes!$B:$B,"ENTRADA")</f>
        <v/>
      </c>
      <c r="H4601" s="13">
        <f>SUMIFS(Movimentacoes!$G:$G,Movimentacoes!$C:$C,$A4601,Movimentacoes!$E:$E,$C4601,Movimentacoes!$B:$B,"SAIDA_USO")</f>
        <v/>
      </c>
      <c r="I4601" s="13">
        <f>SUMIFS(Movimentacoes!$G:$G,Movimentacoes!$C:$C,$A4601,Movimentacoes!$E:$E,$C4601,Movimentacoes!$B:$B,"SAIDA_DESCARTE")</f>
        <v/>
      </c>
      <c r="J4601" s="13">
        <f>G4601-H4601-I4601</f>
        <v/>
      </c>
      <c r="K4601">
        <f>IF(A4601="","",IF(J4601&lt;=IFERROR(VLOOKUP(A4601,Cadastro_Produtos!$A:$E,5,FALSE),0),"ABAIXO DO MINIMO","OK"))</f>
        <v/>
      </c>
    </row>
    <row r="4602">
      <c r="B4602">
        <f>IFERROR(VLOOKUP(A4602,Cadastro_Produtos!A:B,2,FALSE),"")</f>
        <v/>
      </c>
      <c r="D4602" s="12" t="n"/>
      <c r="E4602" s="13">
        <f>IF(D4602="","",D4602-TODAY())</f>
        <v/>
      </c>
      <c r="F4602">
        <f>IF(D4602="","",IF(E4602&lt;0,"VENCIDO",IF(E4602&lt;=30,"VENCE EM &lt;= 30 DIAS",IF(E4602&lt;=60,"ATENCAO (31-60 DIAS)","OK"))))</f>
        <v/>
      </c>
      <c r="G4602" s="13">
        <f>SUMIFS(Movimentacoes!$G:$G,Movimentacoes!$C:$C,$A4602,Movimentacoes!$E:$E,$C4602,Movimentacoes!$B:$B,"ENTRADA")</f>
        <v/>
      </c>
      <c r="H4602" s="13">
        <f>SUMIFS(Movimentacoes!$G:$G,Movimentacoes!$C:$C,$A4602,Movimentacoes!$E:$E,$C4602,Movimentacoes!$B:$B,"SAIDA_USO")</f>
        <v/>
      </c>
      <c r="I4602" s="13">
        <f>SUMIFS(Movimentacoes!$G:$G,Movimentacoes!$C:$C,$A4602,Movimentacoes!$E:$E,$C4602,Movimentacoes!$B:$B,"SAIDA_DESCARTE")</f>
        <v/>
      </c>
      <c r="J4602" s="13">
        <f>G4602-H4602-I4602</f>
        <v/>
      </c>
      <c r="K4602">
        <f>IF(A4602="","",IF(J4602&lt;=IFERROR(VLOOKUP(A4602,Cadastro_Produtos!$A:$E,5,FALSE),0),"ABAIXO DO MINIMO","OK"))</f>
        <v/>
      </c>
    </row>
    <row r="4603">
      <c r="B4603">
        <f>IFERROR(VLOOKUP(A4603,Cadastro_Produtos!A:B,2,FALSE),"")</f>
        <v/>
      </c>
      <c r="D4603" s="12" t="n"/>
      <c r="E4603" s="13">
        <f>IF(D4603="","",D4603-TODAY())</f>
        <v/>
      </c>
      <c r="F4603">
        <f>IF(D4603="","",IF(E4603&lt;0,"VENCIDO",IF(E4603&lt;=30,"VENCE EM &lt;= 30 DIAS",IF(E4603&lt;=60,"ATENCAO (31-60 DIAS)","OK"))))</f>
        <v/>
      </c>
      <c r="G4603" s="13">
        <f>SUMIFS(Movimentacoes!$G:$G,Movimentacoes!$C:$C,$A4603,Movimentacoes!$E:$E,$C4603,Movimentacoes!$B:$B,"ENTRADA")</f>
        <v/>
      </c>
      <c r="H4603" s="13">
        <f>SUMIFS(Movimentacoes!$G:$G,Movimentacoes!$C:$C,$A4603,Movimentacoes!$E:$E,$C4603,Movimentacoes!$B:$B,"SAIDA_USO")</f>
        <v/>
      </c>
      <c r="I4603" s="13">
        <f>SUMIFS(Movimentacoes!$G:$G,Movimentacoes!$C:$C,$A4603,Movimentacoes!$E:$E,$C4603,Movimentacoes!$B:$B,"SAIDA_DESCARTE")</f>
        <v/>
      </c>
      <c r="J4603" s="13">
        <f>G4603-H4603-I4603</f>
        <v/>
      </c>
      <c r="K4603">
        <f>IF(A4603="","",IF(J4603&lt;=IFERROR(VLOOKUP(A4603,Cadastro_Produtos!$A:$E,5,FALSE),0),"ABAIXO DO MINIMO","OK"))</f>
        <v/>
      </c>
    </row>
    <row r="4604">
      <c r="B4604">
        <f>IFERROR(VLOOKUP(A4604,Cadastro_Produtos!A:B,2,FALSE),"")</f>
        <v/>
      </c>
      <c r="D4604" s="12" t="n"/>
      <c r="E4604" s="13">
        <f>IF(D4604="","",D4604-TODAY())</f>
        <v/>
      </c>
      <c r="F4604">
        <f>IF(D4604="","",IF(E4604&lt;0,"VENCIDO",IF(E4604&lt;=30,"VENCE EM &lt;= 30 DIAS",IF(E4604&lt;=60,"ATENCAO (31-60 DIAS)","OK"))))</f>
        <v/>
      </c>
      <c r="G4604" s="13">
        <f>SUMIFS(Movimentacoes!$G:$G,Movimentacoes!$C:$C,$A4604,Movimentacoes!$E:$E,$C4604,Movimentacoes!$B:$B,"ENTRADA")</f>
        <v/>
      </c>
      <c r="H4604" s="13">
        <f>SUMIFS(Movimentacoes!$G:$G,Movimentacoes!$C:$C,$A4604,Movimentacoes!$E:$E,$C4604,Movimentacoes!$B:$B,"SAIDA_USO")</f>
        <v/>
      </c>
      <c r="I4604" s="13">
        <f>SUMIFS(Movimentacoes!$G:$G,Movimentacoes!$C:$C,$A4604,Movimentacoes!$E:$E,$C4604,Movimentacoes!$B:$B,"SAIDA_DESCARTE")</f>
        <v/>
      </c>
      <c r="J4604" s="13">
        <f>G4604-H4604-I4604</f>
        <v/>
      </c>
      <c r="K4604">
        <f>IF(A4604="","",IF(J4604&lt;=IFERROR(VLOOKUP(A4604,Cadastro_Produtos!$A:$E,5,FALSE),0),"ABAIXO DO MINIMO","OK"))</f>
        <v/>
      </c>
    </row>
    <row r="4605">
      <c r="B4605">
        <f>IFERROR(VLOOKUP(A4605,Cadastro_Produtos!A:B,2,FALSE),"")</f>
        <v/>
      </c>
      <c r="D4605" s="12" t="n"/>
      <c r="E4605" s="13">
        <f>IF(D4605="","",D4605-TODAY())</f>
        <v/>
      </c>
      <c r="F4605">
        <f>IF(D4605="","",IF(E4605&lt;0,"VENCIDO",IF(E4605&lt;=30,"VENCE EM &lt;= 30 DIAS",IF(E4605&lt;=60,"ATENCAO (31-60 DIAS)","OK"))))</f>
        <v/>
      </c>
      <c r="G4605" s="13">
        <f>SUMIFS(Movimentacoes!$G:$G,Movimentacoes!$C:$C,$A4605,Movimentacoes!$E:$E,$C4605,Movimentacoes!$B:$B,"ENTRADA")</f>
        <v/>
      </c>
      <c r="H4605" s="13">
        <f>SUMIFS(Movimentacoes!$G:$G,Movimentacoes!$C:$C,$A4605,Movimentacoes!$E:$E,$C4605,Movimentacoes!$B:$B,"SAIDA_USO")</f>
        <v/>
      </c>
      <c r="I4605" s="13">
        <f>SUMIFS(Movimentacoes!$G:$G,Movimentacoes!$C:$C,$A4605,Movimentacoes!$E:$E,$C4605,Movimentacoes!$B:$B,"SAIDA_DESCARTE")</f>
        <v/>
      </c>
      <c r="J4605" s="13">
        <f>G4605-H4605-I4605</f>
        <v/>
      </c>
      <c r="K4605">
        <f>IF(A4605="","",IF(J4605&lt;=IFERROR(VLOOKUP(A4605,Cadastro_Produtos!$A:$E,5,FALSE),0),"ABAIXO DO MINIMO","OK"))</f>
        <v/>
      </c>
    </row>
    <row r="4606">
      <c r="B4606">
        <f>IFERROR(VLOOKUP(A4606,Cadastro_Produtos!A:B,2,FALSE),"")</f>
        <v/>
      </c>
      <c r="D4606" s="12" t="n"/>
      <c r="E4606" s="13">
        <f>IF(D4606="","",D4606-TODAY())</f>
        <v/>
      </c>
      <c r="F4606">
        <f>IF(D4606="","",IF(E4606&lt;0,"VENCIDO",IF(E4606&lt;=30,"VENCE EM &lt;= 30 DIAS",IF(E4606&lt;=60,"ATENCAO (31-60 DIAS)","OK"))))</f>
        <v/>
      </c>
      <c r="G4606" s="13">
        <f>SUMIFS(Movimentacoes!$G:$G,Movimentacoes!$C:$C,$A4606,Movimentacoes!$E:$E,$C4606,Movimentacoes!$B:$B,"ENTRADA")</f>
        <v/>
      </c>
      <c r="H4606" s="13">
        <f>SUMIFS(Movimentacoes!$G:$G,Movimentacoes!$C:$C,$A4606,Movimentacoes!$E:$E,$C4606,Movimentacoes!$B:$B,"SAIDA_USO")</f>
        <v/>
      </c>
      <c r="I4606" s="13">
        <f>SUMIFS(Movimentacoes!$G:$G,Movimentacoes!$C:$C,$A4606,Movimentacoes!$E:$E,$C4606,Movimentacoes!$B:$B,"SAIDA_DESCARTE")</f>
        <v/>
      </c>
      <c r="J4606" s="13">
        <f>G4606-H4606-I4606</f>
        <v/>
      </c>
      <c r="K4606">
        <f>IF(A4606="","",IF(J4606&lt;=IFERROR(VLOOKUP(A4606,Cadastro_Produtos!$A:$E,5,FALSE),0),"ABAIXO DO MINIMO","OK"))</f>
        <v/>
      </c>
    </row>
    <row r="4607">
      <c r="B4607">
        <f>IFERROR(VLOOKUP(A4607,Cadastro_Produtos!A:B,2,FALSE),"")</f>
        <v/>
      </c>
      <c r="D4607" s="12" t="n"/>
      <c r="E4607" s="13">
        <f>IF(D4607="","",D4607-TODAY())</f>
        <v/>
      </c>
      <c r="F4607">
        <f>IF(D4607="","",IF(E4607&lt;0,"VENCIDO",IF(E4607&lt;=30,"VENCE EM &lt;= 30 DIAS",IF(E4607&lt;=60,"ATENCAO (31-60 DIAS)","OK"))))</f>
        <v/>
      </c>
      <c r="G4607" s="13">
        <f>SUMIFS(Movimentacoes!$G:$G,Movimentacoes!$C:$C,$A4607,Movimentacoes!$E:$E,$C4607,Movimentacoes!$B:$B,"ENTRADA")</f>
        <v/>
      </c>
      <c r="H4607" s="13">
        <f>SUMIFS(Movimentacoes!$G:$G,Movimentacoes!$C:$C,$A4607,Movimentacoes!$E:$E,$C4607,Movimentacoes!$B:$B,"SAIDA_USO")</f>
        <v/>
      </c>
      <c r="I4607" s="13">
        <f>SUMIFS(Movimentacoes!$G:$G,Movimentacoes!$C:$C,$A4607,Movimentacoes!$E:$E,$C4607,Movimentacoes!$B:$B,"SAIDA_DESCARTE")</f>
        <v/>
      </c>
      <c r="J4607" s="13">
        <f>G4607-H4607-I4607</f>
        <v/>
      </c>
      <c r="K4607">
        <f>IF(A4607="","",IF(J4607&lt;=IFERROR(VLOOKUP(A4607,Cadastro_Produtos!$A:$E,5,FALSE),0),"ABAIXO DO MINIMO","OK"))</f>
        <v/>
      </c>
    </row>
    <row r="4608">
      <c r="B4608">
        <f>IFERROR(VLOOKUP(A4608,Cadastro_Produtos!A:B,2,FALSE),"")</f>
        <v/>
      </c>
      <c r="D4608" s="12" t="n"/>
      <c r="E4608" s="13">
        <f>IF(D4608="","",D4608-TODAY())</f>
        <v/>
      </c>
      <c r="F4608">
        <f>IF(D4608="","",IF(E4608&lt;0,"VENCIDO",IF(E4608&lt;=30,"VENCE EM &lt;= 30 DIAS",IF(E4608&lt;=60,"ATENCAO (31-60 DIAS)","OK"))))</f>
        <v/>
      </c>
      <c r="G4608" s="13">
        <f>SUMIFS(Movimentacoes!$G:$G,Movimentacoes!$C:$C,$A4608,Movimentacoes!$E:$E,$C4608,Movimentacoes!$B:$B,"ENTRADA")</f>
        <v/>
      </c>
      <c r="H4608" s="13">
        <f>SUMIFS(Movimentacoes!$G:$G,Movimentacoes!$C:$C,$A4608,Movimentacoes!$E:$E,$C4608,Movimentacoes!$B:$B,"SAIDA_USO")</f>
        <v/>
      </c>
      <c r="I4608" s="13">
        <f>SUMIFS(Movimentacoes!$G:$G,Movimentacoes!$C:$C,$A4608,Movimentacoes!$E:$E,$C4608,Movimentacoes!$B:$B,"SAIDA_DESCARTE")</f>
        <v/>
      </c>
      <c r="J4608" s="13">
        <f>G4608-H4608-I4608</f>
        <v/>
      </c>
      <c r="K4608">
        <f>IF(A4608="","",IF(J4608&lt;=IFERROR(VLOOKUP(A4608,Cadastro_Produtos!$A:$E,5,FALSE),0),"ABAIXO DO MINIMO","OK"))</f>
        <v/>
      </c>
    </row>
    <row r="4609">
      <c r="B4609">
        <f>IFERROR(VLOOKUP(A4609,Cadastro_Produtos!A:B,2,FALSE),"")</f>
        <v/>
      </c>
      <c r="D4609" s="12" t="n"/>
      <c r="E4609" s="13">
        <f>IF(D4609="","",D4609-TODAY())</f>
        <v/>
      </c>
      <c r="F4609">
        <f>IF(D4609="","",IF(E4609&lt;0,"VENCIDO",IF(E4609&lt;=30,"VENCE EM &lt;= 30 DIAS",IF(E4609&lt;=60,"ATENCAO (31-60 DIAS)","OK"))))</f>
        <v/>
      </c>
      <c r="G4609" s="13">
        <f>SUMIFS(Movimentacoes!$G:$G,Movimentacoes!$C:$C,$A4609,Movimentacoes!$E:$E,$C4609,Movimentacoes!$B:$B,"ENTRADA")</f>
        <v/>
      </c>
      <c r="H4609" s="13">
        <f>SUMIFS(Movimentacoes!$G:$G,Movimentacoes!$C:$C,$A4609,Movimentacoes!$E:$E,$C4609,Movimentacoes!$B:$B,"SAIDA_USO")</f>
        <v/>
      </c>
      <c r="I4609" s="13">
        <f>SUMIFS(Movimentacoes!$G:$G,Movimentacoes!$C:$C,$A4609,Movimentacoes!$E:$E,$C4609,Movimentacoes!$B:$B,"SAIDA_DESCARTE")</f>
        <v/>
      </c>
      <c r="J4609" s="13">
        <f>G4609-H4609-I4609</f>
        <v/>
      </c>
      <c r="K4609">
        <f>IF(A4609="","",IF(J4609&lt;=IFERROR(VLOOKUP(A4609,Cadastro_Produtos!$A:$E,5,FALSE),0),"ABAIXO DO MINIMO","OK"))</f>
        <v/>
      </c>
    </row>
    <row r="4610">
      <c r="B4610">
        <f>IFERROR(VLOOKUP(A4610,Cadastro_Produtos!A:B,2,FALSE),"")</f>
        <v/>
      </c>
      <c r="D4610" s="12" t="n"/>
      <c r="E4610" s="13">
        <f>IF(D4610="","",D4610-TODAY())</f>
        <v/>
      </c>
      <c r="F4610">
        <f>IF(D4610="","",IF(E4610&lt;0,"VENCIDO",IF(E4610&lt;=30,"VENCE EM &lt;= 30 DIAS",IF(E4610&lt;=60,"ATENCAO (31-60 DIAS)","OK"))))</f>
        <v/>
      </c>
      <c r="G4610" s="13">
        <f>SUMIFS(Movimentacoes!$G:$G,Movimentacoes!$C:$C,$A4610,Movimentacoes!$E:$E,$C4610,Movimentacoes!$B:$B,"ENTRADA")</f>
        <v/>
      </c>
      <c r="H4610" s="13">
        <f>SUMIFS(Movimentacoes!$G:$G,Movimentacoes!$C:$C,$A4610,Movimentacoes!$E:$E,$C4610,Movimentacoes!$B:$B,"SAIDA_USO")</f>
        <v/>
      </c>
      <c r="I4610" s="13">
        <f>SUMIFS(Movimentacoes!$G:$G,Movimentacoes!$C:$C,$A4610,Movimentacoes!$E:$E,$C4610,Movimentacoes!$B:$B,"SAIDA_DESCARTE")</f>
        <v/>
      </c>
      <c r="J4610" s="13">
        <f>G4610-H4610-I4610</f>
        <v/>
      </c>
      <c r="K4610">
        <f>IF(A4610="","",IF(J4610&lt;=IFERROR(VLOOKUP(A4610,Cadastro_Produtos!$A:$E,5,FALSE),0),"ABAIXO DO MINIMO","OK"))</f>
        <v/>
      </c>
    </row>
    <row r="4611">
      <c r="B4611">
        <f>IFERROR(VLOOKUP(A4611,Cadastro_Produtos!A:B,2,FALSE),"")</f>
        <v/>
      </c>
      <c r="D4611" s="12" t="n"/>
      <c r="E4611" s="13">
        <f>IF(D4611="","",D4611-TODAY())</f>
        <v/>
      </c>
      <c r="F4611">
        <f>IF(D4611="","",IF(E4611&lt;0,"VENCIDO",IF(E4611&lt;=30,"VENCE EM &lt;= 30 DIAS",IF(E4611&lt;=60,"ATENCAO (31-60 DIAS)","OK"))))</f>
        <v/>
      </c>
      <c r="G4611" s="13">
        <f>SUMIFS(Movimentacoes!$G:$G,Movimentacoes!$C:$C,$A4611,Movimentacoes!$E:$E,$C4611,Movimentacoes!$B:$B,"ENTRADA")</f>
        <v/>
      </c>
      <c r="H4611" s="13">
        <f>SUMIFS(Movimentacoes!$G:$G,Movimentacoes!$C:$C,$A4611,Movimentacoes!$E:$E,$C4611,Movimentacoes!$B:$B,"SAIDA_USO")</f>
        <v/>
      </c>
      <c r="I4611" s="13">
        <f>SUMIFS(Movimentacoes!$G:$G,Movimentacoes!$C:$C,$A4611,Movimentacoes!$E:$E,$C4611,Movimentacoes!$B:$B,"SAIDA_DESCARTE")</f>
        <v/>
      </c>
      <c r="J4611" s="13">
        <f>G4611-H4611-I4611</f>
        <v/>
      </c>
      <c r="K4611">
        <f>IF(A4611="","",IF(J4611&lt;=IFERROR(VLOOKUP(A4611,Cadastro_Produtos!$A:$E,5,FALSE),0),"ABAIXO DO MINIMO","OK"))</f>
        <v/>
      </c>
    </row>
    <row r="4612">
      <c r="B4612">
        <f>IFERROR(VLOOKUP(A4612,Cadastro_Produtos!A:B,2,FALSE),"")</f>
        <v/>
      </c>
      <c r="D4612" s="12" t="n"/>
      <c r="E4612" s="13">
        <f>IF(D4612="","",D4612-TODAY())</f>
        <v/>
      </c>
      <c r="F4612">
        <f>IF(D4612="","",IF(E4612&lt;0,"VENCIDO",IF(E4612&lt;=30,"VENCE EM &lt;= 30 DIAS",IF(E4612&lt;=60,"ATENCAO (31-60 DIAS)","OK"))))</f>
        <v/>
      </c>
      <c r="G4612" s="13">
        <f>SUMIFS(Movimentacoes!$G:$G,Movimentacoes!$C:$C,$A4612,Movimentacoes!$E:$E,$C4612,Movimentacoes!$B:$B,"ENTRADA")</f>
        <v/>
      </c>
      <c r="H4612" s="13">
        <f>SUMIFS(Movimentacoes!$G:$G,Movimentacoes!$C:$C,$A4612,Movimentacoes!$E:$E,$C4612,Movimentacoes!$B:$B,"SAIDA_USO")</f>
        <v/>
      </c>
      <c r="I4612" s="13">
        <f>SUMIFS(Movimentacoes!$G:$G,Movimentacoes!$C:$C,$A4612,Movimentacoes!$E:$E,$C4612,Movimentacoes!$B:$B,"SAIDA_DESCARTE")</f>
        <v/>
      </c>
      <c r="J4612" s="13">
        <f>G4612-H4612-I4612</f>
        <v/>
      </c>
      <c r="K4612">
        <f>IF(A4612="","",IF(J4612&lt;=IFERROR(VLOOKUP(A4612,Cadastro_Produtos!$A:$E,5,FALSE),0),"ABAIXO DO MINIMO","OK"))</f>
        <v/>
      </c>
    </row>
    <row r="4613">
      <c r="B4613">
        <f>IFERROR(VLOOKUP(A4613,Cadastro_Produtos!A:B,2,FALSE),"")</f>
        <v/>
      </c>
      <c r="D4613" s="12" t="n"/>
      <c r="E4613" s="13">
        <f>IF(D4613="","",D4613-TODAY())</f>
        <v/>
      </c>
      <c r="F4613">
        <f>IF(D4613="","",IF(E4613&lt;0,"VENCIDO",IF(E4613&lt;=30,"VENCE EM &lt;= 30 DIAS",IF(E4613&lt;=60,"ATENCAO (31-60 DIAS)","OK"))))</f>
        <v/>
      </c>
      <c r="G4613" s="13">
        <f>SUMIFS(Movimentacoes!$G:$G,Movimentacoes!$C:$C,$A4613,Movimentacoes!$E:$E,$C4613,Movimentacoes!$B:$B,"ENTRADA")</f>
        <v/>
      </c>
      <c r="H4613" s="13">
        <f>SUMIFS(Movimentacoes!$G:$G,Movimentacoes!$C:$C,$A4613,Movimentacoes!$E:$E,$C4613,Movimentacoes!$B:$B,"SAIDA_USO")</f>
        <v/>
      </c>
      <c r="I4613" s="13">
        <f>SUMIFS(Movimentacoes!$G:$G,Movimentacoes!$C:$C,$A4613,Movimentacoes!$E:$E,$C4613,Movimentacoes!$B:$B,"SAIDA_DESCARTE")</f>
        <v/>
      </c>
      <c r="J4613" s="13">
        <f>G4613-H4613-I4613</f>
        <v/>
      </c>
      <c r="K4613">
        <f>IF(A4613="","",IF(J4613&lt;=IFERROR(VLOOKUP(A4613,Cadastro_Produtos!$A:$E,5,FALSE),0),"ABAIXO DO MINIMO","OK"))</f>
        <v/>
      </c>
    </row>
    <row r="4614">
      <c r="B4614">
        <f>IFERROR(VLOOKUP(A4614,Cadastro_Produtos!A:B,2,FALSE),"")</f>
        <v/>
      </c>
      <c r="D4614" s="12" t="n"/>
      <c r="E4614" s="13">
        <f>IF(D4614="","",D4614-TODAY())</f>
        <v/>
      </c>
      <c r="F4614">
        <f>IF(D4614="","",IF(E4614&lt;0,"VENCIDO",IF(E4614&lt;=30,"VENCE EM &lt;= 30 DIAS",IF(E4614&lt;=60,"ATENCAO (31-60 DIAS)","OK"))))</f>
        <v/>
      </c>
      <c r="G4614" s="13">
        <f>SUMIFS(Movimentacoes!$G:$G,Movimentacoes!$C:$C,$A4614,Movimentacoes!$E:$E,$C4614,Movimentacoes!$B:$B,"ENTRADA")</f>
        <v/>
      </c>
      <c r="H4614" s="13">
        <f>SUMIFS(Movimentacoes!$G:$G,Movimentacoes!$C:$C,$A4614,Movimentacoes!$E:$E,$C4614,Movimentacoes!$B:$B,"SAIDA_USO")</f>
        <v/>
      </c>
      <c r="I4614" s="13">
        <f>SUMIFS(Movimentacoes!$G:$G,Movimentacoes!$C:$C,$A4614,Movimentacoes!$E:$E,$C4614,Movimentacoes!$B:$B,"SAIDA_DESCARTE")</f>
        <v/>
      </c>
      <c r="J4614" s="13">
        <f>G4614-H4614-I4614</f>
        <v/>
      </c>
      <c r="K4614">
        <f>IF(A4614="","",IF(J4614&lt;=IFERROR(VLOOKUP(A4614,Cadastro_Produtos!$A:$E,5,FALSE),0),"ABAIXO DO MINIMO","OK"))</f>
        <v/>
      </c>
    </row>
    <row r="4615">
      <c r="B4615">
        <f>IFERROR(VLOOKUP(A4615,Cadastro_Produtos!A:B,2,FALSE),"")</f>
        <v/>
      </c>
      <c r="D4615" s="12" t="n"/>
      <c r="E4615" s="13">
        <f>IF(D4615="","",D4615-TODAY())</f>
        <v/>
      </c>
      <c r="F4615">
        <f>IF(D4615="","",IF(E4615&lt;0,"VENCIDO",IF(E4615&lt;=30,"VENCE EM &lt;= 30 DIAS",IF(E4615&lt;=60,"ATENCAO (31-60 DIAS)","OK"))))</f>
        <v/>
      </c>
      <c r="G4615" s="13">
        <f>SUMIFS(Movimentacoes!$G:$G,Movimentacoes!$C:$C,$A4615,Movimentacoes!$E:$E,$C4615,Movimentacoes!$B:$B,"ENTRADA")</f>
        <v/>
      </c>
      <c r="H4615" s="13">
        <f>SUMIFS(Movimentacoes!$G:$G,Movimentacoes!$C:$C,$A4615,Movimentacoes!$E:$E,$C4615,Movimentacoes!$B:$B,"SAIDA_USO")</f>
        <v/>
      </c>
      <c r="I4615" s="13">
        <f>SUMIFS(Movimentacoes!$G:$G,Movimentacoes!$C:$C,$A4615,Movimentacoes!$E:$E,$C4615,Movimentacoes!$B:$B,"SAIDA_DESCARTE")</f>
        <v/>
      </c>
      <c r="J4615" s="13">
        <f>G4615-H4615-I4615</f>
        <v/>
      </c>
      <c r="K4615">
        <f>IF(A4615="","",IF(J4615&lt;=IFERROR(VLOOKUP(A4615,Cadastro_Produtos!$A:$E,5,FALSE),0),"ABAIXO DO MINIMO","OK"))</f>
        <v/>
      </c>
    </row>
    <row r="4616">
      <c r="B4616">
        <f>IFERROR(VLOOKUP(A4616,Cadastro_Produtos!A:B,2,FALSE),"")</f>
        <v/>
      </c>
      <c r="D4616" s="12" t="n"/>
      <c r="E4616" s="13">
        <f>IF(D4616="","",D4616-TODAY())</f>
        <v/>
      </c>
      <c r="F4616">
        <f>IF(D4616="","",IF(E4616&lt;0,"VENCIDO",IF(E4616&lt;=30,"VENCE EM &lt;= 30 DIAS",IF(E4616&lt;=60,"ATENCAO (31-60 DIAS)","OK"))))</f>
        <v/>
      </c>
      <c r="G4616" s="13">
        <f>SUMIFS(Movimentacoes!$G:$G,Movimentacoes!$C:$C,$A4616,Movimentacoes!$E:$E,$C4616,Movimentacoes!$B:$B,"ENTRADA")</f>
        <v/>
      </c>
      <c r="H4616" s="13">
        <f>SUMIFS(Movimentacoes!$G:$G,Movimentacoes!$C:$C,$A4616,Movimentacoes!$E:$E,$C4616,Movimentacoes!$B:$B,"SAIDA_USO")</f>
        <v/>
      </c>
      <c r="I4616" s="13">
        <f>SUMIFS(Movimentacoes!$G:$G,Movimentacoes!$C:$C,$A4616,Movimentacoes!$E:$E,$C4616,Movimentacoes!$B:$B,"SAIDA_DESCARTE")</f>
        <v/>
      </c>
      <c r="J4616" s="13">
        <f>G4616-H4616-I4616</f>
        <v/>
      </c>
      <c r="K4616">
        <f>IF(A4616="","",IF(J4616&lt;=IFERROR(VLOOKUP(A4616,Cadastro_Produtos!$A:$E,5,FALSE),0),"ABAIXO DO MINIMO","OK"))</f>
        <v/>
      </c>
    </row>
    <row r="4617">
      <c r="B4617">
        <f>IFERROR(VLOOKUP(A4617,Cadastro_Produtos!A:B,2,FALSE),"")</f>
        <v/>
      </c>
      <c r="D4617" s="12" t="n"/>
      <c r="E4617" s="13">
        <f>IF(D4617="","",D4617-TODAY())</f>
        <v/>
      </c>
      <c r="F4617">
        <f>IF(D4617="","",IF(E4617&lt;0,"VENCIDO",IF(E4617&lt;=30,"VENCE EM &lt;= 30 DIAS",IF(E4617&lt;=60,"ATENCAO (31-60 DIAS)","OK"))))</f>
        <v/>
      </c>
      <c r="G4617" s="13">
        <f>SUMIFS(Movimentacoes!$G:$G,Movimentacoes!$C:$C,$A4617,Movimentacoes!$E:$E,$C4617,Movimentacoes!$B:$B,"ENTRADA")</f>
        <v/>
      </c>
      <c r="H4617" s="13">
        <f>SUMIFS(Movimentacoes!$G:$G,Movimentacoes!$C:$C,$A4617,Movimentacoes!$E:$E,$C4617,Movimentacoes!$B:$B,"SAIDA_USO")</f>
        <v/>
      </c>
      <c r="I4617" s="13">
        <f>SUMIFS(Movimentacoes!$G:$G,Movimentacoes!$C:$C,$A4617,Movimentacoes!$E:$E,$C4617,Movimentacoes!$B:$B,"SAIDA_DESCARTE")</f>
        <v/>
      </c>
      <c r="J4617" s="13">
        <f>G4617-H4617-I4617</f>
        <v/>
      </c>
      <c r="K4617">
        <f>IF(A4617="","",IF(J4617&lt;=IFERROR(VLOOKUP(A4617,Cadastro_Produtos!$A:$E,5,FALSE),0),"ABAIXO DO MINIMO","OK"))</f>
        <v/>
      </c>
    </row>
    <row r="4618">
      <c r="B4618">
        <f>IFERROR(VLOOKUP(A4618,Cadastro_Produtos!A:B,2,FALSE),"")</f>
        <v/>
      </c>
      <c r="D4618" s="12" t="n"/>
      <c r="E4618" s="13">
        <f>IF(D4618="","",D4618-TODAY())</f>
        <v/>
      </c>
      <c r="F4618">
        <f>IF(D4618="","",IF(E4618&lt;0,"VENCIDO",IF(E4618&lt;=30,"VENCE EM &lt;= 30 DIAS",IF(E4618&lt;=60,"ATENCAO (31-60 DIAS)","OK"))))</f>
        <v/>
      </c>
      <c r="G4618" s="13">
        <f>SUMIFS(Movimentacoes!$G:$G,Movimentacoes!$C:$C,$A4618,Movimentacoes!$E:$E,$C4618,Movimentacoes!$B:$B,"ENTRADA")</f>
        <v/>
      </c>
      <c r="H4618" s="13">
        <f>SUMIFS(Movimentacoes!$G:$G,Movimentacoes!$C:$C,$A4618,Movimentacoes!$E:$E,$C4618,Movimentacoes!$B:$B,"SAIDA_USO")</f>
        <v/>
      </c>
      <c r="I4618" s="13">
        <f>SUMIFS(Movimentacoes!$G:$G,Movimentacoes!$C:$C,$A4618,Movimentacoes!$E:$E,$C4618,Movimentacoes!$B:$B,"SAIDA_DESCARTE")</f>
        <v/>
      </c>
      <c r="J4618" s="13">
        <f>G4618-H4618-I4618</f>
        <v/>
      </c>
      <c r="K4618">
        <f>IF(A4618="","",IF(J4618&lt;=IFERROR(VLOOKUP(A4618,Cadastro_Produtos!$A:$E,5,FALSE),0),"ABAIXO DO MINIMO","OK"))</f>
        <v/>
      </c>
    </row>
    <row r="4619">
      <c r="B4619">
        <f>IFERROR(VLOOKUP(A4619,Cadastro_Produtos!A:B,2,FALSE),"")</f>
        <v/>
      </c>
      <c r="D4619" s="12" t="n"/>
      <c r="E4619" s="13">
        <f>IF(D4619="","",D4619-TODAY())</f>
        <v/>
      </c>
      <c r="F4619">
        <f>IF(D4619="","",IF(E4619&lt;0,"VENCIDO",IF(E4619&lt;=30,"VENCE EM &lt;= 30 DIAS",IF(E4619&lt;=60,"ATENCAO (31-60 DIAS)","OK"))))</f>
        <v/>
      </c>
      <c r="G4619" s="13">
        <f>SUMIFS(Movimentacoes!$G:$G,Movimentacoes!$C:$C,$A4619,Movimentacoes!$E:$E,$C4619,Movimentacoes!$B:$B,"ENTRADA")</f>
        <v/>
      </c>
      <c r="H4619" s="13">
        <f>SUMIFS(Movimentacoes!$G:$G,Movimentacoes!$C:$C,$A4619,Movimentacoes!$E:$E,$C4619,Movimentacoes!$B:$B,"SAIDA_USO")</f>
        <v/>
      </c>
      <c r="I4619" s="13">
        <f>SUMIFS(Movimentacoes!$G:$G,Movimentacoes!$C:$C,$A4619,Movimentacoes!$E:$E,$C4619,Movimentacoes!$B:$B,"SAIDA_DESCARTE")</f>
        <v/>
      </c>
      <c r="J4619" s="13">
        <f>G4619-H4619-I4619</f>
        <v/>
      </c>
      <c r="K4619">
        <f>IF(A4619="","",IF(J4619&lt;=IFERROR(VLOOKUP(A4619,Cadastro_Produtos!$A:$E,5,FALSE),0),"ABAIXO DO MINIMO","OK"))</f>
        <v/>
      </c>
    </row>
    <row r="4620">
      <c r="B4620">
        <f>IFERROR(VLOOKUP(A4620,Cadastro_Produtos!A:B,2,FALSE),"")</f>
        <v/>
      </c>
      <c r="D4620" s="12" t="n"/>
      <c r="E4620" s="13">
        <f>IF(D4620="","",D4620-TODAY())</f>
        <v/>
      </c>
      <c r="F4620">
        <f>IF(D4620="","",IF(E4620&lt;0,"VENCIDO",IF(E4620&lt;=30,"VENCE EM &lt;= 30 DIAS",IF(E4620&lt;=60,"ATENCAO (31-60 DIAS)","OK"))))</f>
        <v/>
      </c>
      <c r="G4620" s="13">
        <f>SUMIFS(Movimentacoes!$G:$G,Movimentacoes!$C:$C,$A4620,Movimentacoes!$E:$E,$C4620,Movimentacoes!$B:$B,"ENTRADA")</f>
        <v/>
      </c>
      <c r="H4620" s="13">
        <f>SUMIFS(Movimentacoes!$G:$G,Movimentacoes!$C:$C,$A4620,Movimentacoes!$E:$E,$C4620,Movimentacoes!$B:$B,"SAIDA_USO")</f>
        <v/>
      </c>
      <c r="I4620" s="13">
        <f>SUMIFS(Movimentacoes!$G:$G,Movimentacoes!$C:$C,$A4620,Movimentacoes!$E:$E,$C4620,Movimentacoes!$B:$B,"SAIDA_DESCARTE")</f>
        <v/>
      </c>
      <c r="J4620" s="13">
        <f>G4620-H4620-I4620</f>
        <v/>
      </c>
      <c r="K4620">
        <f>IF(A4620="","",IF(J4620&lt;=IFERROR(VLOOKUP(A4620,Cadastro_Produtos!$A:$E,5,FALSE),0),"ABAIXO DO MINIMO","OK"))</f>
        <v/>
      </c>
    </row>
    <row r="4621">
      <c r="B4621">
        <f>IFERROR(VLOOKUP(A4621,Cadastro_Produtos!A:B,2,FALSE),"")</f>
        <v/>
      </c>
      <c r="D4621" s="12" t="n"/>
      <c r="E4621" s="13">
        <f>IF(D4621="","",D4621-TODAY())</f>
        <v/>
      </c>
      <c r="F4621">
        <f>IF(D4621="","",IF(E4621&lt;0,"VENCIDO",IF(E4621&lt;=30,"VENCE EM &lt;= 30 DIAS",IF(E4621&lt;=60,"ATENCAO (31-60 DIAS)","OK"))))</f>
        <v/>
      </c>
      <c r="G4621" s="13">
        <f>SUMIFS(Movimentacoes!$G:$G,Movimentacoes!$C:$C,$A4621,Movimentacoes!$E:$E,$C4621,Movimentacoes!$B:$B,"ENTRADA")</f>
        <v/>
      </c>
      <c r="H4621" s="13">
        <f>SUMIFS(Movimentacoes!$G:$G,Movimentacoes!$C:$C,$A4621,Movimentacoes!$E:$E,$C4621,Movimentacoes!$B:$B,"SAIDA_USO")</f>
        <v/>
      </c>
      <c r="I4621" s="13">
        <f>SUMIFS(Movimentacoes!$G:$G,Movimentacoes!$C:$C,$A4621,Movimentacoes!$E:$E,$C4621,Movimentacoes!$B:$B,"SAIDA_DESCARTE")</f>
        <v/>
      </c>
      <c r="J4621" s="13">
        <f>G4621-H4621-I4621</f>
        <v/>
      </c>
      <c r="K4621">
        <f>IF(A4621="","",IF(J4621&lt;=IFERROR(VLOOKUP(A4621,Cadastro_Produtos!$A:$E,5,FALSE),0),"ABAIXO DO MINIMO","OK"))</f>
        <v/>
      </c>
    </row>
    <row r="4622">
      <c r="B4622">
        <f>IFERROR(VLOOKUP(A4622,Cadastro_Produtos!A:B,2,FALSE),"")</f>
        <v/>
      </c>
      <c r="D4622" s="12" t="n"/>
      <c r="E4622" s="13">
        <f>IF(D4622="","",D4622-TODAY())</f>
        <v/>
      </c>
      <c r="F4622">
        <f>IF(D4622="","",IF(E4622&lt;0,"VENCIDO",IF(E4622&lt;=30,"VENCE EM &lt;= 30 DIAS",IF(E4622&lt;=60,"ATENCAO (31-60 DIAS)","OK"))))</f>
        <v/>
      </c>
      <c r="G4622" s="13">
        <f>SUMIFS(Movimentacoes!$G:$G,Movimentacoes!$C:$C,$A4622,Movimentacoes!$E:$E,$C4622,Movimentacoes!$B:$B,"ENTRADA")</f>
        <v/>
      </c>
      <c r="H4622" s="13">
        <f>SUMIFS(Movimentacoes!$G:$G,Movimentacoes!$C:$C,$A4622,Movimentacoes!$E:$E,$C4622,Movimentacoes!$B:$B,"SAIDA_USO")</f>
        <v/>
      </c>
      <c r="I4622" s="13">
        <f>SUMIFS(Movimentacoes!$G:$G,Movimentacoes!$C:$C,$A4622,Movimentacoes!$E:$E,$C4622,Movimentacoes!$B:$B,"SAIDA_DESCARTE")</f>
        <v/>
      </c>
      <c r="J4622" s="13">
        <f>G4622-H4622-I4622</f>
        <v/>
      </c>
      <c r="K4622">
        <f>IF(A4622="","",IF(J4622&lt;=IFERROR(VLOOKUP(A4622,Cadastro_Produtos!$A:$E,5,FALSE),0),"ABAIXO DO MINIMO","OK"))</f>
        <v/>
      </c>
    </row>
    <row r="4623">
      <c r="B4623">
        <f>IFERROR(VLOOKUP(A4623,Cadastro_Produtos!A:B,2,FALSE),"")</f>
        <v/>
      </c>
      <c r="D4623" s="12" t="n"/>
      <c r="E4623" s="13">
        <f>IF(D4623="","",D4623-TODAY())</f>
        <v/>
      </c>
      <c r="F4623">
        <f>IF(D4623="","",IF(E4623&lt;0,"VENCIDO",IF(E4623&lt;=30,"VENCE EM &lt;= 30 DIAS",IF(E4623&lt;=60,"ATENCAO (31-60 DIAS)","OK"))))</f>
        <v/>
      </c>
      <c r="G4623" s="13">
        <f>SUMIFS(Movimentacoes!$G:$G,Movimentacoes!$C:$C,$A4623,Movimentacoes!$E:$E,$C4623,Movimentacoes!$B:$B,"ENTRADA")</f>
        <v/>
      </c>
      <c r="H4623" s="13">
        <f>SUMIFS(Movimentacoes!$G:$G,Movimentacoes!$C:$C,$A4623,Movimentacoes!$E:$E,$C4623,Movimentacoes!$B:$B,"SAIDA_USO")</f>
        <v/>
      </c>
      <c r="I4623" s="13">
        <f>SUMIFS(Movimentacoes!$G:$G,Movimentacoes!$C:$C,$A4623,Movimentacoes!$E:$E,$C4623,Movimentacoes!$B:$B,"SAIDA_DESCARTE")</f>
        <v/>
      </c>
      <c r="J4623" s="13">
        <f>G4623-H4623-I4623</f>
        <v/>
      </c>
      <c r="K4623">
        <f>IF(A4623="","",IF(J4623&lt;=IFERROR(VLOOKUP(A4623,Cadastro_Produtos!$A:$E,5,FALSE),0),"ABAIXO DO MINIMO","OK"))</f>
        <v/>
      </c>
    </row>
    <row r="4624">
      <c r="B4624">
        <f>IFERROR(VLOOKUP(A4624,Cadastro_Produtos!A:B,2,FALSE),"")</f>
        <v/>
      </c>
      <c r="D4624" s="12" t="n"/>
      <c r="E4624" s="13">
        <f>IF(D4624="","",D4624-TODAY())</f>
        <v/>
      </c>
      <c r="F4624">
        <f>IF(D4624="","",IF(E4624&lt;0,"VENCIDO",IF(E4624&lt;=30,"VENCE EM &lt;= 30 DIAS",IF(E4624&lt;=60,"ATENCAO (31-60 DIAS)","OK"))))</f>
        <v/>
      </c>
      <c r="G4624" s="13">
        <f>SUMIFS(Movimentacoes!$G:$G,Movimentacoes!$C:$C,$A4624,Movimentacoes!$E:$E,$C4624,Movimentacoes!$B:$B,"ENTRADA")</f>
        <v/>
      </c>
      <c r="H4624" s="13">
        <f>SUMIFS(Movimentacoes!$G:$G,Movimentacoes!$C:$C,$A4624,Movimentacoes!$E:$E,$C4624,Movimentacoes!$B:$B,"SAIDA_USO")</f>
        <v/>
      </c>
      <c r="I4624" s="13">
        <f>SUMIFS(Movimentacoes!$G:$G,Movimentacoes!$C:$C,$A4624,Movimentacoes!$E:$E,$C4624,Movimentacoes!$B:$B,"SAIDA_DESCARTE")</f>
        <v/>
      </c>
      <c r="J4624" s="13">
        <f>G4624-H4624-I4624</f>
        <v/>
      </c>
      <c r="K4624">
        <f>IF(A4624="","",IF(J4624&lt;=IFERROR(VLOOKUP(A4624,Cadastro_Produtos!$A:$E,5,FALSE),0),"ABAIXO DO MINIMO","OK"))</f>
        <v/>
      </c>
    </row>
    <row r="4625">
      <c r="B4625">
        <f>IFERROR(VLOOKUP(A4625,Cadastro_Produtos!A:B,2,FALSE),"")</f>
        <v/>
      </c>
      <c r="D4625" s="12" t="n"/>
      <c r="E4625" s="13">
        <f>IF(D4625="","",D4625-TODAY())</f>
        <v/>
      </c>
      <c r="F4625">
        <f>IF(D4625="","",IF(E4625&lt;0,"VENCIDO",IF(E4625&lt;=30,"VENCE EM &lt;= 30 DIAS",IF(E4625&lt;=60,"ATENCAO (31-60 DIAS)","OK"))))</f>
        <v/>
      </c>
      <c r="G4625" s="13">
        <f>SUMIFS(Movimentacoes!$G:$G,Movimentacoes!$C:$C,$A4625,Movimentacoes!$E:$E,$C4625,Movimentacoes!$B:$B,"ENTRADA")</f>
        <v/>
      </c>
      <c r="H4625" s="13">
        <f>SUMIFS(Movimentacoes!$G:$G,Movimentacoes!$C:$C,$A4625,Movimentacoes!$E:$E,$C4625,Movimentacoes!$B:$B,"SAIDA_USO")</f>
        <v/>
      </c>
      <c r="I4625" s="13">
        <f>SUMIFS(Movimentacoes!$G:$G,Movimentacoes!$C:$C,$A4625,Movimentacoes!$E:$E,$C4625,Movimentacoes!$B:$B,"SAIDA_DESCARTE")</f>
        <v/>
      </c>
      <c r="J4625" s="13">
        <f>G4625-H4625-I4625</f>
        <v/>
      </c>
      <c r="K4625">
        <f>IF(A4625="","",IF(J4625&lt;=IFERROR(VLOOKUP(A4625,Cadastro_Produtos!$A:$E,5,FALSE),0),"ABAIXO DO MINIMO","OK"))</f>
        <v/>
      </c>
    </row>
    <row r="4626">
      <c r="B4626">
        <f>IFERROR(VLOOKUP(A4626,Cadastro_Produtos!A:B,2,FALSE),"")</f>
        <v/>
      </c>
      <c r="D4626" s="12" t="n"/>
      <c r="E4626" s="13">
        <f>IF(D4626="","",D4626-TODAY())</f>
        <v/>
      </c>
      <c r="F4626">
        <f>IF(D4626="","",IF(E4626&lt;0,"VENCIDO",IF(E4626&lt;=30,"VENCE EM &lt;= 30 DIAS",IF(E4626&lt;=60,"ATENCAO (31-60 DIAS)","OK"))))</f>
        <v/>
      </c>
      <c r="G4626" s="13">
        <f>SUMIFS(Movimentacoes!$G:$G,Movimentacoes!$C:$C,$A4626,Movimentacoes!$E:$E,$C4626,Movimentacoes!$B:$B,"ENTRADA")</f>
        <v/>
      </c>
      <c r="H4626" s="13">
        <f>SUMIFS(Movimentacoes!$G:$G,Movimentacoes!$C:$C,$A4626,Movimentacoes!$E:$E,$C4626,Movimentacoes!$B:$B,"SAIDA_USO")</f>
        <v/>
      </c>
      <c r="I4626" s="13">
        <f>SUMIFS(Movimentacoes!$G:$G,Movimentacoes!$C:$C,$A4626,Movimentacoes!$E:$E,$C4626,Movimentacoes!$B:$B,"SAIDA_DESCARTE")</f>
        <v/>
      </c>
      <c r="J4626" s="13">
        <f>G4626-H4626-I4626</f>
        <v/>
      </c>
      <c r="K4626">
        <f>IF(A4626="","",IF(J4626&lt;=IFERROR(VLOOKUP(A4626,Cadastro_Produtos!$A:$E,5,FALSE),0),"ABAIXO DO MINIMO","OK"))</f>
        <v/>
      </c>
    </row>
    <row r="4627">
      <c r="B4627">
        <f>IFERROR(VLOOKUP(A4627,Cadastro_Produtos!A:B,2,FALSE),"")</f>
        <v/>
      </c>
      <c r="D4627" s="12" t="n"/>
      <c r="E4627" s="13">
        <f>IF(D4627="","",D4627-TODAY())</f>
        <v/>
      </c>
      <c r="F4627">
        <f>IF(D4627="","",IF(E4627&lt;0,"VENCIDO",IF(E4627&lt;=30,"VENCE EM &lt;= 30 DIAS",IF(E4627&lt;=60,"ATENCAO (31-60 DIAS)","OK"))))</f>
        <v/>
      </c>
      <c r="G4627" s="13">
        <f>SUMIFS(Movimentacoes!$G:$G,Movimentacoes!$C:$C,$A4627,Movimentacoes!$E:$E,$C4627,Movimentacoes!$B:$B,"ENTRADA")</f>
        <v/>
      </c>
      <c r="H4627" s="13">
        <f>SUMIFS(Movimentacoes!$G:$G,Movimentacoes!$C:$C,$A4627,Movimentacoes!$E:$E,$C4627,Movimentacoes!$B:$B,"SAIDA_USO")</f>
        <v/>
      </c>
      <c r="I4627" s="13">
        <f>SUMIFS(Movimentacoes!$G:$G,Movimentacoes!$C:$C,$A4627,Movimentacoes!$E:$E,$C4627,Movimentacoes!$B:$B,"SAIDA_DESCARTE")</f>
        <v/>
      </c>
      <c r="J4627" s="13">
        <f>G4627-H4627-I4627</f>
        <v/>
      </c>
      <c r="K4627">
        <f>IF(A4627="","",IF(J4627&lt;=IFERROR(VLOOKUP(A4627,Cadastro_Produtos!$A:$E,5,FALSE),0),"ABAIXO DO MINIMO","OK"))</f>
        <v/>
      </c>
    </row>
    <row r="4628">
      <c r="B4628">
        <f>IFERROR(VLOOKUP(A4628,Cadastro_Produtos!A:B,2,FALSE),"")</f>
        <v/>
      </c>
      <c r="D4628" s="12" t="n"/>
      <c r="E4628" s="13">
        <f>IF(D4628="","",D4628-TODAY())</f>
        <v/>
      </c>
      <c r="F4628">
        <f>IF(D4628="","",IF(E4628&lt;0,"VENCIDO",IF(E4628&lt;=30,"VENCE EM &lt;= 30 DIAS",IF(E4628&lt;=60,"ATENCAO (31-60 DIAS)","OK"))))</f>
        <v/>
      </c>
      <c r="G4628" s="13">
        <f>SUMIFS(Movimentacoes!$G:$G,Movimentacoes!$C:$C,$A4628,Movimentacoes!$E:$E,$C4628,Movimentacoes!$B:$B,"ENTRADA")</f>
        <v/>
      </c>
      <c r="H4628" s="13">
        <f>SUMIFS(Movimentacoes!$G:$G,Movimentacoes!$C:$C,$A4628,Movimentacoes!$E:$E,$C4628,Movimentacoes!$B:$B,"SAIDA_USO")</f>
        <v/>
      </c>
      <c r="I4628" s="13">
        <f>SUMIFS(Movimentacoes!$G:$G,Movimentacoes!$C:$C,$A4628,Movimentacoes!$E:$E,$C4628,Movimentacoes!$B:$B,"SAIDA_DESCARTE")</f>
        <v/>
      </c>
      <c r="J4628" s="13">
        <f>G4628-H4628-I4628</f>
        <v/>
      </c>
      <c r="K4628">
        <f>IF(A4628="","",IF(J4628&lt;=IFERROR(VLOOKUP(A4628,Cadastro_Produtos!$A:$E,5,FALSE),0),"ABAIXO DO MINIMO","OK"))</f>
        <v/>
      </c>
    </row>
    <row r="4629">
      <c r="B4629">
        <f>IFERROR(VLOOKUP(A4629,Cadastro_Produtos!A:B,2,FALSE),"")</f>
        <v/>
      </c>
      <c r="D4629" s="12" t="n"/>
      <c r="E4629" s="13">
        <f>IF(D4629="","",D4629-TODAY())</f>
        <v/>
      </c>
      <c r="F4629">
        <f>IF(D4629="","",IF(E4629&lt;0,"VENCIDO",IF(E4629&lt;=30,"VENCE EM &lt;= 30 DIAS",IF(E4629&lt;=60,"ATENCAO (31-60 DIAS)","OK"))))</f>
        <v/>
      </c>
      <c r="G4629" s="13">
        <f>SUMIFS(Movimentacoes!$G:$G,Movimentacoes!$C:$C,$A4629,Movimentacoes!$E:$E,$C4629,Movimentacoes!$B:$B,"ENTRADA")</f>
        <v/>
      </c>
      <c r="H4629" s="13">
        <f>SUMIFS(Movimentacoes!$G:$G,Movimentacoes!$C:$C,$A4629,Movimentacoes!$E:$E,$C4629,Movimentacoes!$B:$B,"SAIDA_USO")</f>
        <v/>
      </c>
      <c r="I4629" s="13">
        <f>SUMIFS(Movimentacoes!$G:$G,Movimentacoes!$C:$C,$A4629,Movimentacoes!$E:$E,$C4629,Movimentacoes!$B:$B,"SAIDA_DESCARTE")</f>
        <v/>
      </c>
      <c r="J4629" s="13">
        <f>G4629-H4629-I4629</f>
        <v/>
      </c>
      <c r="K4629">
        <f>IF(A4629="","",IF(J4629&lt;=IFERROR(VLOOKUP(A4629,Cadastro_Produtos!$A:$E,5,FALSE),0),"ABAIXO DO MINIMO","OK"))</f>
        <v/>
      </c>
    </row>
    <row r="4630">
      <c r="B4630">
        <f>IFERROR(VLOOKUP(A4630,Cadastro_Produtos!A:B,2,FALSE),"")</f>
        <v/>
      </c>
      <c r="D4630" s="12" t="n"/>
      <c r="E4630" s="13">
        <f>IF(D4630="","",D4630-TODAY())</f>
        <v/>
      </c>
      <c r="F4630">
        <f>IF(D4630="","",IF(E4630&lt;0,"VENCIDO",IF(E4630&lt;=30,"VENCE EM &lt;= 30 DIAS",IF(E4630&lt;=60,"ATENCAO (31-60 DIAS)","OK"))))</f>
        <v/>
      </c>
      <c r="G4630" s="13">
        <f>SUMIFS(Movimentacoes!$G:$G,Movimentacoes!$C:$C,$A4630,Movimentacoes!$E:$E,$C4630,Movimentacoes!$B:$B,"ENTRADA")</f>
        <v/>
      </c>
      <c r="H4630" s="13">
        <f>SUMIFS(Movimentacoes!$G:$G,Movimentacoes!$C:$C,$A4630,Movimentacoes!$E:$E,$C4630,Movimentacoes!$B:$B,"SAIDA_USO")</f>
        <v/>
      </c>
      <c r="I4630" s="13">
        <f>SUMIFS(Movimentacoes!$G:$G,Movimentacoes!$C:$C,$A4630,Movimentacoes!$E:$E,$C4630,Movimentacoes!$B:$B,"SAIDA_DESCARTE")</f>
        <v/>
      </c>
      <c r="J4630" s="13">
        <f>G4630-H4630-I4630</f>
        <v/>
      </c>
      <c r="K4630">
        <f>IF(A4630="","",IF(J4630&lt;=IFERROR(VLOOKUP(A4630,Cadastro_Produtos!$A:$E,5,FALSE),0),"ABAIXO DO MINIMO","OK"))</f>
        <v/>
      </c>
    </row>
    <row r="4631">
      <c r="B4631">
        <f>IFERROR(VLOOKUP(A4631,Cadastro_Produtos!A:B,2,FALSE),"")</f>
        <v/>
      </c>
      <c r="D4631" s="12" t="n"/>
      <c r="E4631" s="13">
        <f>IF(D4631="","",D4631-TODAY())</f>
        <v/>
      </c>
      <c r="F4631">
        <f>IF(D4631="","",IF(E4631&lt;0,"VENCIDO",IF(E4631&lt;=30,"VENCE EM &lt;= 30 DIAS",IF(E4631&lt;=60,"ATENCAO (31-60 DIAS)","OK"))))</f>
        <v/>
      </c>
      <c r="G4631" s="13">
        <f>SUMIFS(Movimentacoes!$G:$G,Movimentacoes!$C:$C,$A4631,Movimentacoes!$E:$E,$C4631,Movimentacoes!$B:$B,"ENTRADA")</f>
        <v/>
      </c>
      <c r="H4631" s="13">
        <f>SUMIFS(Movimentacoes!$G:$G,Movimentacoes!$C:$C,$A4631,Movimentacoes!$E:$E,$C4631,Movimentacoes!$B:$B,"SAIDA_USO")</f>
        <v/>
      </c>
      <c r="I4631" s="13">
        <f>SUMIFS(Movimentacoes!$G:$G,Movimentacoes!$C:$C,$A4631,Movimentacoes!$E:$E,$C4631,Movimentacoes!$B:$B,"SAIDA_DESCARTE")</f>
        <v/>
      </c>
      <c r="J4631" s="13">
        <f>G4631-H4631-I4631</f>
        <v/>
      </c>
      <c r="K4631">
        <f>IF(A4631="","",IF(J4631&lt;=IFERROR(VLOOKUP(A4631,Cadastro_Produtos!$A:$E,5,FALSE),0),"ABAIXO DO MINIMO","OK"))</f>
        <v/>
      </c>
    </row>
    <row r="4632">
      <c r="B4632">
        <f>IFERROR(VLOOKUP(A4632,Cadastro_Produtos!A:B,2,FALSE),"")</f>
        <v/>
      </c>
      <c r="D4632" s="12" t="n"/>
      <c r="E4632" s="13">
        <f>IF(D4632="","",D4632-TODAY())</f>
        <v/>
      </c>
      <c r="F4632">
        <f>IF(D4632="","",IF(E4632&lt;0,"VENCIDO",IF(E4632&lt;=30,"VENCE EM &lt;= 30 DIAS",IF(E4632&lt;=60,"ATENCAO (31-60 DIAS)","OK"))))</f>
        <v/>
      </c>
      <c r="G4632" s="13">
        <f>SUMIFS(Movimentacoes!$G:$G,Movimentacoes!$C:$C,$A4632,Movimentacoes!$E:$E,$C4632,Movimentacoes!$B:$B,"ENTRADA")</f>
        <v/>
      </c>
      <c r="H4632" s="13">
        <f>SUMIFS(Movimentacoes!$G:$G,Movimentacoes!$C:$C,$A4632,Movimentacoes!$E:$E,$C4632,Movimentacoes!$B:$B,"SAIDA_USO")</f>
        <v/>
      </c>
      <c r="I4632" s="13">
        <f>SUMIFS(Movimentacoes!$G:$G,Movimentacoes!$C:$C,$A4632,Movimentacoes!$E:$E,$C4632,Movimentacoes!$B:$B,"SAIDA_DESCARTE")</f>
        <v/>
      </c>
      <c r="J4632" s="13">
        <f>G4632-H4632-I4632</f>
        <v/>
      </c>
      <c r="K4632">
        <f>IF(A4632="","",IF(J4632&lt;=IFERROR(VLOOKUP(A4632,Cadastro_Produtos!$A:$E,5,FALSE),0),"ABAIXO DO MINIMO","OK"))</f>
        <v/>
      </c>
    </row>
    <row r="4633">
      <c r="B4633">
        <f>IFERROR(VLOOKUP(A4633,Cadastro_Produtos!A:B,2,FALSE),"")</f>
        <v/>
      </c>
      <c r="D4633" s="12" t="n"/>
      <c r="E4633" s="13">
        <f>IF(D4633="","",D4633-TODAY())</f>
        <v/>
      </c>
      <c r="F4633">
        <f>IF(D4633="","",IF(E4633&lt;0,"VENCIDO",IF(E4633&lt;=30,"VENCE EM &lt;= 30 DIAS",IF(E4633&lt;=60,"ATENCAO (31-60 DIAS)","OK"))))</f>
        <v/>
      </c>
      <c r="G4633" s="13">
        <f>SUMIFS(Movimentacoes!$G:$G,Movimentacoes!$C:$C,$A4633,Movimentacoes!$E:$E,$C4633,Movimentacoes!$B:$B,"ENTRADA")</f>
        <v/>
      </c>
      <c r="H4633" s="13">
        <f>SUMIFS(Movimentacoes!$G:$G,Movimentacoes!$C:$C,$A4633,Movimentacoes!$E:$E,$C4633,Movimentacoes!$B:$B,"SAIDA_USO")</f>
        <v/>
      </c>
      <c r="I4633" s="13">
        <f>SUMIFS(Movimentacoes!$G:$G,Movimentacoes!$C:$C,$A4633,Movimentacoes!$E:$E,$C4633,Movimentacoes!$B:$B,"SAIDA_DESCARTE")</f>
        <v/>
      </c>
      <c r="J4633" s="13">
        <f>G4633-H4633-I4633</f>
        <v/>
      </c>
      <c r="K4633">
        <f>IF(A4633="","",IF(J4633&lt;=IFERROR(VLOOKUP(A4633,Cadastro_Produtos!$A:$E,5,FALSE),0),"ABAIXO DO MINIMO","OK"))</f>
        <v/>
      </c>
    </row>
    <row r="4634">
      <c r="B4634">
        <f>IFERROR(VLOOKUP(A4634,Cadastro_Produtos!A:B,2,FALSE),"")</f>
        <v/>
      </c>
      <c r="D4634" s="12" t="n"/>
      <c r="E4634" s="13">
        <f>IF(D4634="","",D4634-TODAY())</f>
        <v/>
      </c>
      <c r="F4634">
        <f>IF(D4634="","",IF(E4634&lt;0,"VENCIDO",IF(E4634&lt;=30,"VENCE EM &lt;= 30 DIAS",IF(E4634&lt;=60,"ATENCAO (31-60 DIAS)","OK"))))</f>
        <v/>
      </c>
      <c r="G4634" s="13">
        <f>SUMIFS(Movimentacoes!$G:$G,Movimentacoes!$C:$C,$A4634,Movimentacoes!$E:$E,$C4634,Movimentacoes!$B:$B,"ENTRADA")</f>
        <v/>
      </c>
      <c r="H4634" s="13">
        <f>SUMIFS(Movimentacoes!$G:$G,Movimentacoes!$C:$C,$A4634,Movimentacoes!$E:$E,$C4634,Movimentacoes!$B:$B,"SAIDA_USO")</f>
        <v/>
      </c>
      <c r="I4634" s="13">
        <f>SUMIFS(Movimentacoes!$G:$G,Movimentacoes!$C:$C,$A4634,Movimentacoes!$E:$E,$C4634,Movimentacoes!$B:$B,"SAIDA_DESCARTE")</f>
        <v/>
      </c>
      <c r="J4634" s="13">
        <f>G4634-H4634-I4634</f>
        <v/>
      </c>
      <c r="K4634">
        <f>IF(A4634="","",IF(J4634&lt;=IFERROR(VLOOKUP(A4634,Cadastro_Produtos!$A:$E,5,FALSE),0),"ABAIXO DO MINIMO","OK"))</f>
        <v/>
      </c>
    </row>
    <row r="4635">
      <c r="B4635">
        <f>IFERROR(VLOOKUP(A4635,Cadastro_Produtos!A:B,2,FALSE),"")</f>
        <v/>
      </c>
      <c r="D4635" s="12" t="n"/>
      <c r="E4635" s="13">
        <f>IF(D4635="","",D4635-TODAY())</f>
        <v/>
      </c>
      <c r="F4635">
        <f>IF(D4635="","",IF(E4635&lt;0,"VENCIDO",IF(E4635&lt;=30,"VENCE EM &lt;= 30 DIAS",IF(E4635&lt;=60,"ATENCAO (31-60 DIAS)","OK"))))</f>
        <v/>
      </c>
      <c r="G4635" s="13">
        <f>SUMIFS(Movimentacoes!$G:$G,Movimentacoes!$C:$C,$A4635,Movimentacoes!$E:$E,$C4635,Movimentacoes!$B:$B,"ENTRADA")</f>
        <v/>
      </c>
      <c r="H4635" s="13">
        <f>SUMIFS(Movimentacoes!$G:$G,Movimentacoes!$C:$C,$A4635,Movimentacoes!$E:$E,$C4635,Movimentacoes!$B:$B,"SAIDA_USO")</f>
        <v/>
      </c>
      <c r="I4635" s="13">
        <f>SUMIFS(Movimentacoes!$G:$G,Movimentacoes!$C:$C,$A4635,Movimentacoes!$E:$E,$C4635,Movimentacoes!$B:$B,"SAIDA_DESCARTE")</f>
        <v/>
      </c>
      <c r="J4635" s="13">
        <f>G4635-H4635-I4635</f>
        <v/>
      </c>
      <c r="K4635">
        <f>IF(A4635="","",IF(J4635&lt;=IFERROR(VLOOKUP(A4635,Cadastro_Produtos!$A:$E,5,FALSE),0),"ABAIXO DO MINIMO","OK"))</f>
        <v/>
      </c>
    </row>
    <row r="4636">
      <c r="B4636">
        <f>IFERROR(VLOOKUP(A4636,Cadastro_Produtos!A:B,2,FALSE),"")</f>
        <v/>
      </c>
      <c r="D4636" s="12" t="n"/>
      <c r="E4636" s="13">
        <f>IF(D4636="","",D4636-TODAY())</f>
        <v/>
      </c>
      <c r="F4636">
        <f>IF(D4636="","",IF(E4636&lt;0,"VENCIDO",IF(E4636&lt;=30,"VENCE EM &lt;= 30 DIAS",IF(E4636&lt;=60,"ATENCAO (31-60 DIAS)","OK"))))</f>
        <v/>
      </c>
      <c r="G4636" s="13">
        <f>SUMIFS(Movimentacoes!$G:$G,Movimentacoes!$C:$C,$A4636,Movimentacoes!$E:$E,$C4636,Movimentacoes!$B:$B,"ENTRADA")</f>
        <v/>
      </c>
      <c r="H4636" s="13">
        <f>SUMIFS(Movimentacoes!$G:$G,Movimentacoes!$C:$C,$A4636,Movimentacoes!$E:$E,$C4636,Movimentacoes!$B:$B,"SAIDA_USO")</f>
        <v/>
      </c>
      <c r="I4636" s="13">
        <f>SUMIFS(Movimentacoes!$G:$G,Movimentacoes!$C:$C,$A4636,Movimentacoes!$E:$E,$C4636,Movimentacoes!$B:$B,"SAIDA_DESCARTE")</f>
        <v/>
      </c>
      <c r="J4636" s="13">
        <f>G4636-H4636-I4636</f>
        <v/>
      </c>
      <c r="K4636">
        <f>IF(A4636="","",IF(J4636&lt;=IFERROR(VLOOKUP(A4636,Cadastro_Produtos!$A:$E,5,FALSE),0),"ABAIXO DO MINIMO","OK"))</f>
        <v/>
      </c>
    </row>
    <row r="4637">
      <c r="B4637">
        <f>IFERROR(VLOOKUP(A4637,Cadastro_Produtos!A:B,2,FALSE),"")</f>
        <v/>
      </c>
      <c r="D4637" s="12" t="n"/>
      <c r="E4637" s="13">
        <f>IF(D4637="","",D4637-TODAY())</f>
        <v/>
      </c>
      <c r="F4637">
        <f>IF(D4637="","",IF(E4637&lt;0,"VENCIDO",IF(E4637&lt;=30,"VENCE EM &lt;= 30 DIAS",IF(E4637&lt;=60,"ATENCAO (31-60 DIAS)","OK"))))</f>
        <v/>
      </c>
      <c r="G4637" s="13">
        <f>SUMIFS(Movimentacoes!$G:$G,Movimentacoes!$C:$C,$A4637,Movimentacoes!$E:$E,$C4637,Movimentacoes!$B:$B,"ENTRADA")</f>
        <v/>
      </c>
      <c r="H4637" s="13">
        <f>SUMIFS(Movimentacoes!$G:$G,Movimentacoes!$C:$C,$A4637,Movimentacoes!$E:$E,$C4637,Movimentacoes!$B:$B,"SAIDA_USO")</f>
        <v/>
      </c>
      <c r="I4637" s="13">
        <f>SUMIFS(Movimentacoes!$G:$G,Movimentacoes!$C:$C,$A4637,Movimentacoes!$E:$E,$C4637,Movimentacoes!$B:$B,"SAIDA_DESCARTE")</f>
        <v/>
      </c>
      <c r="J4637" s="13">
        <f>G4637-H4637-I4637</f>
        <v/>
      </c>
      <c r="K4637">
        <f>IF(A4637="","",IF(J4637&lt;=IFERROR(VLOOKUP(A4637,Cadastro_Produtos!$A:$E,5,FALSE),0),"ABAIXO DO MINIMO","OK"))</f>
        <v/>
      </c>
    </row>
    <row r="4638">
      <c r="B4638">
        <f>IFERROR(VLOOKUP(A4638,Cadastro_Produtos!A:B,2,FALSE),"")</f>
        <v/>
      </c>
      <c r="D4638" s="12" t="n"/>
      <c r="E4638" s="13">
        <f>IF(D4638="","",D4638-TODAY())</f>
        <v/>
      </c>
      <c r="F4638">
        <f>IF(D4638="","",IF(E4638&lt;0,"VENCIDO",IF(E4638&lt;=30,"VENCE EM &lt;= 30 DIAS",IF(E4638&lt;=60,"ATENCAO (31-60 DIAS)","OK"))))</f>
        <v/>
      </c>
      <c r="G4638" s="13">
        <f>SUMIFS(Movimentacoes!$G:$G,Movimentacoes!$C:$C,$A4638,Movimentacoes!$E:$E,$C4638,Movimentacoes!$B:$B,"ENTRADA")</f>
        <v/>
      </c>
      <c r="H4638" s="13">
        <f>SUMIFS(Movimentacoes!$G:$G,Movimentacoes!$C:$C,$A4638,Movimentacoes!$E:$E,$C4638,Movimentacoes!$B:$B,"SAIDA_USO")</f>
        <v/>
      </c>
      <c r="I4638" s="13">
        <f>SUMIFS(Movimentacoes!$G:$G,Movimentacoes!$C:$C,$A4638,Movimentacoes!$E:$E,$C4638,Movimentacoes!$B:$B,"SAIDA_DESCARTE")</f>
        <v/>
      </c>
      <c r="J4638" s="13">
        <f>G4638-H4638-I4638</f>
        <v/>
      </c>
      <c r="K4638">
        <f>IF(A4638="","",IF(J4638&lt;=IFERROR(VLOOKUP(A4638,Cadastro_Produtos!$A:$E,5,FALSE),0),"ABAIXO DO MINIMO","OK"))</f>
        <v/>
      </c>
    </row>
    <row r="4639">
      <c r="B4639">
        <f>IFERROR(VLOOKUP(A4639,Cadastro_Produtos!A:B,2,FALSE),"")</f>
        <v/>
      </c>
      <c r="D4639" s="12" t="n"/>
      <c r="E4639" s="13">
        <f>IF(D4639="","",D4639-TODAY())</f>
        <v/>
      </c>
      <c r="F4639">
        <f>IF(D4639="","",IF(E4639&lt;0,"VENCIDO",IF(E4639&lt;=30,"VENCE EM &lt;= 30 DIAS",IF(E4639&lt;=60,"ATENCAO (31-60 DIAS)","OK"))))</f>
        <v/>
      </c>
      <c r="G4639" s="13">
        <f>SUMIFS(Movimentacoes!$G:$G,Movimentacoes!$C:$C,$A4639,Movimentacoes!$E:$E,$C4639,Movimentacoes!$B:$B,"ENTRADA")</f>
        <v/>
      </c>
      <c r="H4639" s="13">
        <f>SUMIFS(Movimentacoes!$G:$G,Movimentacoes!$C:$C,$A4639,Movimentacoes!$E:$E,$C4639,Movimentacoes!$B:$B,"SAIDA_USO")</f>
        <v/>
      </c>
      <c r="I4639" s="13">
        <f>SUMIFS(Movimentacoes!$G:$G,Movimentacoes!$C:$C,$A4639,Movimentacoes!$E:$E,$C4639,Movimentacoes!$B:$B,"SAIDA_DESCARTE")</f>
        <v/>
      </c>
      <c r="J4639" s="13">
        <f>G4639-H4639-I4639</f>
        <v/>
      </c>
      <c r="K4639">
        <f>IF(A4639="","",IF(J4639&lt;=IFERROR(VLOOKUP(A4639,Cadastro_Produtos!$A:$E,5,FALSE),0),"ABAIXO DO MINIMO","OK"))</f>
        <v/>
      </c>
    </row>
    <row r="4640">
      <c r="B4640">
        <f>IFERROR(VLOOKUP(A4640,Cadastro_Produtos!A:B,2,FALSE),"")</f>
        <v/>
      </c>
      <c r="D4640" s="12" t="n"/>
      <c r="E4640" s="13">
        <f>IF(D4640="","",D4640-TODAY())</f>
        <v/>
      </c>
      <c r="F4640">
        <f>IF(D4640="","",IF(E4640&lt;0,"VENCIDO",IF(E4640&lt;=30,"VENCE EM &lt;= 30 DIAS",IF(E4640&lt;=60,"ATENCAO (31-60 DIAS)","OK"))))</f>
        <v/>
      </c>
      <c r="G4640" s="13">
        <f>SUMIFS(Movimentacoes!$G:$G,Movimentacoes!$C:$C,$A4640,Movimentacoes!$E:$E,$C4640,Movimentacoes!$B:$B,"ENTRADA")</f>
        <v/>
      </c>
      <c r="H4640" s="13">
        <f>SUMIFS(Movimentacoes!$G:$G,Movimentacoes!$C:$C,$A4640,Movimentacoes!$E:$E,$C4640,Movimentacoes!$B:$B,"SAIDA_USO")</f>
        <v/>
      </c>
      <c r="I4640" s="13">
        <f>SUMIFS(Movimentacoes!$G:$G,Movimentacoes!$C:$C,$A4640,Movimentacoes!$E:$E,$C4640,Movimentacoes!$B:$B,"SAIDA_DESCARTE")</f>
        <v/>
      </c>
      <c r="J4640" s="13">
        <f>G4640-H4640-I4640</f>
        <v/>
      </c>
      <c r="K4640">
        <f>IF(A4640="","",IF(J4640&lt;=IFERROR(VLOOKUP(A4640,Cadastro_Produtos!$A:$E,5,FALSE),0),"ABAIXO DO MINIMO","OK"))</f>
        <v/>
      </c>
    </row>
    <row r="4641">
      <c r="B4641">
        <f>IFERROR(VLOOKUP(A4641,Cadastro_Produtos!A:B,2,FALSE),"")</f>
        <v/>
      </c>
      <c r="D4641" s="12" t="n"/>
      <c r="E4641" s="13">
        <f>IF(D4641="","",D4641-TODAY())</f>
        <v/>
      </c>
      <c r="F4641">
        <f>IF(D4641="","",IF(E4641&lt;0,"VENCIDO",IF(E4641&lt;=30,"VENCE EM &lt;= 30 DIAS",IF(E4641&lt;=60,"ATENCAO (31-60 DIAS)","OK"))))</f>
        <v/>
      </c>
      <c r="G4641" s="13">
        <f>SUMIFS(Movimentacoes!$G:$G,Movimentacoes!$C:$C,$A4641,Movimentacoes!$E:$E,$C4641,Movimentacoes!$B:$B,"ENTRADA")</f>
        <v/>
      </c>
      <c r="H4641" s="13">
        <f>SUMIFS(Movimentacoes!$G:$G,Movimentacoes!$C:$C,$A4641,Movimentacoes!$E:$E,$C4641,Movimentacoes!$B:$B,"SAIDA_USO")</f>
        <v/>
      </c>
      <c r="I4641" s="13">
        <f>SUMIFS(Movimentacoes!$G:$G,Movimentacoes!$C:$C,$A4641,Movimentacoes!$E:$E,$C4641,Movimentacoes!$B:$B,"SAIDA_DESCARTE")</f>
        <v/>
      </c>
      <c r="J4641" s="13">
        <f>G4641-H4641-I4641</f>
        <v/>
      </c>
      <c r="K4641">
        <f>IF(A4641="","",IF(J4641&lt;=IFERROR(VLOOKUP(A4641,Cadastro_Produtos!$A:$E,5,FALSE),0),"ABAIXO DO MINIMO","OK"))</f>
        <v/>
      </c>
    </row>
    <row r="4642">
      <c r="B4642">
        <f>IFERROR(VLOOKUP(A4642,Cadastro_Produtos!A:B,2,FALSE),"")</f>
        <v/>
      </c>
      <c r="D4642" s="12" t="n"/>
      <c r="E4642" s="13">
        <f>IF(D4642="","",D4642-TODAY())</f>
        <v/>
      </c>
      <c r="F4642">
        <f>IF(D4642="","",IF(E4642&lt;0,"VENCIDO",IF(E4642&lt;=30,"VENCE EM &lt;= 30 DIAS",IF(E4642&lt;=60,"ATENCAO (31-60 DIAS)","OK"))))</f>
        <v/>
      </c>
      <c r="G4642" s="13">
        <f>SUMIFS(Movimentacoes!$G:$G,Movimentacoes!$C:$C,$A4642,Movimentacoes!$E:$E,$C4642,Movimentacoes!$B:$B,"ENTRADA")</f>
        <v/>
      </c>
      <c r="H4642" s="13">
        <f>SUMIFS(Movimentacoes!$G:$G,Movimentacoes!$C:$C,$A4642,Movimentacoes!$E:$E,$C4642,Movimentacoes!$B:$B,"SAIDA_USO")</f>
        <v/>
      </c>
      <c r="I4642" s="13">
        <f>SUMIFS(Movimentacoes!$G:$G,Movimentacoes!$C:$C,$A4642,Movimentacoes!$E:$E,$C4642,Movimentacoes!$B:$B,"SAIDA_DESCARTE")</f>
        <v/>
      </c>
      <c r="J4642" s="13">
        <f>G4642-H4642-I4642</f>
        <v/>
      </c>
      <c r="K4642">
        <f>IF(A4642="","",IF(J4642&lt;=IFERROR(VLOOKUP(A4642,Cadastro_Produtos!$A:$E,5,FALSE),0),"ABAIXO DO MINIMO","OK"))</f>
        <v/>
      </c>
    </row>
    <row r="4643">
      <c r="B4643">
        <f>IFERROR(VLOOKUP(A4643,Cadastro_Produtos!A:B,2,FALSE),"")</f>
        <v/>
      </c>
      <c r="D4643" s="12" t="n"/>
      <c r="E4643" s="13">
        <f>IF(D4643="","",D4643-TODAY())</f>
        <v/>
      </c>
      <c r="F4643">
        <f>IF(D4643="","",IF(E4643&lt;0,"VENCIDO",IF(E4643&lt;=30,"VENCE EM &lt;= 30 DIAS",IF(E4643&lt;=60,"ATENCAO (31-60 DIAS)","OK"))))</f>
        <v/>
      </c>
      <c r="G4643" s="13">
        <f>SUMIFS(Movimentacoes!$G:$G,Movimentacoes!$C:$C,$A4643,Movimentacoes!$E:$E,$C4643,Movimentacoes!$B:$B,"ENTRADA")</f>
        <v/>
      </c>
      <c r="H4643" s="13">
        <f>SUMIFS(Movimentacoes!$G:$G,Movimentacoes!$C:$C,$A4643,Movimentacoes!$E:$E,$C4643,Movimentacoes!$B:$B,"SAIDA_USO")</f>
        <v/>
      </c>
      <c r="I4643" s="13">
        <f>SUMIFS(Movimentacoes!$G:$G,Movimentacoes!$C:$C,$A4643,Movimentacoes!$E:$E,$C4643,Movimentacoes!$B:$B,"SAIDA_DESCARTE")</f>
        <v/>
      </c>
      <c r="J4643" s="13">
        <f>G4643-H4643-I4643</f>
        <v/>
      </c>
      <c r="K4643">
        <f>IF(A4643="","",IF(J4643&lt;=IFERROR(VLOOKUP(A4643,Cadastro_Produtos!$A:$E,5,FALSE),0),"ABAIXO DO MINIMO","OK"))</f>
        <v/>
      </c>
    </row>
    <row r="4644">
      <c r="B4644">
        <f>IFERROR(VLOOKUP(A4644,Cadastro_Produtos!A:B,2,FALSE),"")</f>
        <v/>
      </c>
      <c r="D4644" s="12" t="n"/>
      <c r="E4644" s="13">
        <f>IF(D4644="","",D4644-TODAY())</f>
        <v/>
      </c>
      <c r="F4644">
        <f>IF(D4644="","",IF(E4644&lt;0,"VENCIDO",IF(E4644&lt;=30,"VENCE EM &lt;= 30 DIAS",IF(E4644&lt;=60,"ATENCAO (31-60 DIAS)","OK"))))</f>
        <v/>
      </c>
      <c r="G4644" s="13">
        <f>SUMIFS(Movimentacoes!$G:$G,Movimentacoes!$C:$C,$A4644,Movimentacoes!$E:$E,$C4644,Movimentacoes!$B:$B,"ENTRADA")</f>
        <v/>
      </c>
      <c r="H4644" s="13">
        <f>SUMIFS(Movimentacoes!$G:$G,Movimentacoes!$C:$C,$A4644,Movimentacoes!$E:$E,$C4644,Movimentacoes!$B:$B,"SAIDA_USO")</f>
        <v/>
      </c>
      <c r="I4644" s="13">
        <f>SUMIFS(Movimentacoes!$G:$G,Movimentacoes!$C:$C,$A4644,Movimentacoes!$E:$E,$C4644,Movimentacoes!$B:$B,"SAIDA_DESCARTE")</f>
        <v/>
      </c>
      <c r="J4644" s="13">
        <f>G4644-H4644-I4644</f>
        <v/>
      </c>
      <c r="K4644">
        <f>IF(A4644="","",IF(J4644&lt;=IFERROR(VLOOKUP(A4644,Cadastro_Produtos!$A:$E,5,FALSE),0),"ABAIXO DO MINIMO","OK"))</f>
        <v/>
      </c>
    </row>
    <row r="4645">
      <c r="B4645">
        <f>IFERROR(VLOOKUP(A4645,Cadastro_Produtos!A:B,2,FALSE),"")</f>
        <v/>
      </c>
      <c r="D4645" s="12" t="n"/>
      <c r="E4645" s="13">
        <f>IF(D4645="","",D4645-TODAY())</f>
        <v/>
      </c>
      <c r="F4645">
        <f>IF(D4645="","",IF(E4645&lt;0,"VENCIDO",IF(E4645&lt;=30,"VENCE EM &lt;= 30 DIAS",IF(E4645&lt;=60,"ATENCAO (31-60 DIAS)","OK"))))</f>
        <v/>
      </c>
      <c r="G4645" s="13">
        <f>SUMIFS(Movimentacoes!$G:$G,Movimentacoes!$C:$C,$A4645,Movimentacoes!$E:$E,$C4645,Movimentacoes!$B:$B,"ENTRADA")</f>
        <v/>
      </c>
      <c r="H4645" s="13">
        <f>SUMIFS(Movimentacoes!$G:$G,Movimentacoes!$C:$C,$A4645,Movimentacoes!$E:$E,$C4645,Movimentacoes!$B:$B,"SAIDA_USO")</f>
        <v/>
      </c>
      <c r="I4645" s="13">
        <f>SUMIFS(Movimentacoes!$G:$G,Movimentacoes!$C:$C,$A4645,Movimentacoes!$E:$E,$C4645,Movimentacoes!$B:$B,"SAIDA_DESCARTE")</f>
        <v/>
      </c>
      <c r="J4645" s="13">
        <f>G4645-H4645-I4645</f>
        <v/>
      </c>
      <c r="K4645">
        <f>IF(A4645="","",IF(J4645&lt;=IFERROR(VLOOKUP(A4645,Cadastro_Produtos!$A:$E,5,FALSE),0),"ABAIXO DO MINIMO","OK"))</f>
        <v/>
      </c>
    </row>
    <row r="4646">
      <c r="B4646">
        <f>IFERROR(VLOOKUP(A4646,Cadastro_Produtos!A:B,2,FALSE),"")</f>
        <v/>
      </c>
      <c r="D4646" s="12" t="n"/>
      <c r="E4646" s="13">
        <f>IF(D4646="","",D4646-TODAY())</f>
        <v/>
      </c>
      <c r="F4646">
        <f>IF(D4646="","",IF(E4646&lt;0,"VENCIDO",IF(E4646&lt;=30,"VENCE EM &lt;= 30 DIAS",IF(E4646&lt;=60,"ATENCAO (31-60 DIAS)","OK"))))</f>
        <v/>
      </c>
      <c r="G4646" s="13">
        <f>SUMIFS(Movimentacoes!$G:$G,Movimentacoes!$C:$C,$A4646,Movimentacoes!$E:$E,$C4646,Movimentacoes!$B:$B,"ENTRADA")</f>
        <v/>
      </c>
      <c r="H4646" s="13">
        <f>SUMIFS(Movimentacoes!$G:$G,Movimentacoes!$C:$C,$A4646,Movimentacoes!$E:$E,$C4646,Movimentacoes!$B:$B,"SAIDA_USO")</f>
        <v/>
      </c>
      <c r="I4646" s="13">
        <f>SUMIFS(Movimentacoes!$G:$G,Movimentacoes!$C:$C,$A4646,Movimentacoes!$E:$E,$C4646,Movimentacoes!$B:$B,"SAIDA_DESCARTE")</f>
        <v/>
      </c>
      <c r="J4646" s="13">
        <f>G4646-H4646-I4646</f>
        <v/>
      </c>
      <c r="K4646">
        <f>IF(A4646="","",IF(J4646&lt;=IFERROR(VLOOKUP(A4646,Cadastro_Produtos!$A:$E,5,FALSE),0),"ABAIXO DO MINIMO","OK"))</f>
        <v/>
      </c>
    </row>
    <row r="4647">
      <c r="B4647">
        <f>IFERROR(VLOOKUP(A4647,Cadastro_Produtos!A:B,2,FALSE),"")</f>
        <v/>
      </c>
      <c r="D4647" s="12" t="n"/>
      <c r="E4647" s="13">
        <f>IF(D4647="","",D4647-TODAY())</f>
        <v/>
      </c>
      <c r="F4647">
        <f>IF(D4647="","",IF(E4647&lt;0,"VENCIDO",IF(E4647&lt;=30,"VENCE EM &lt;= 30 DIAS",IF(E4647&lt;=60,"ATENCAO (31-60 DIAS)","OK"))))</f>
        <v/>
      </c>
      <c r="G4647" s="13">
        <f>SUMIFS(Movimentacoes!$G:$G,Movimentacoes!$C:$C,$A4647,Movimentacoes!$E:$E,$C4647,Movimentacoes!$B:$B,"ENTRADA")</f>
        <v/>
      </c>
      <c r="H4647" s="13">
        <f>SUMIFS(Movimentacoes!$G:$G,Movimentacoes!$C:$C,$A4647,Movimentacoes!$E:$E,$C4647,Movimentacoes!$B:$B,"SAIDA_USO")</f>
        <v/>
      </c>
      <c r="I4647" s="13">
        <f>SUMIFS(Movimentacoes!$G:$G,Movimentacoes!$C:$C,$A4647,Movimentacoes!$E:$E,$C4647,Movimentacoes!$B:$B,"SAIDA_DESCARTE")</f>
        <v/>
      </c>
      <c r="J4647" s="13">
        <f>G4647-H4647-I4647</f>
        <v/>
      </c>
      <c r="K4647">
        <f>IF(A4647="","",IF(J4647&lt;=IFERROR(VLOOKUP(A4647,Cadastro_Produtos!$A:$E,5,FALSE),0),"ABAIXO DO MINIMO","OK"))</f>
        <v/>
      </c>
    </row>
    <row r="4648">
      <c r="B4648">
        <f>IFERROR(VLOOKUP(A4648,Cadastro_Produtos!A:B,2,FALSE),"")</f>
        <v/>
      </c>
      <c r="D4648" s="12" t="n"/>
      <c r="E4648" s="13">
        <f>IF(D4648="","",D4648-TODAY())</f>
        <v/>
      </c>
      <c r="F4648">
        <f>IF(D4648="","",IF(E4648&lt;0,"VENCIDO",IF(E4648&lt;=30,"VENCE EM &lt;= 30 DIAS",IF(E4648&lt;=60,"ATENCAO (31-60 DIAS)","OK"))))</f>
        <v/>
      </c>
      <c r="G4648" s="13">
        <f>SUMIFS(Movimentacoes!$G:$G,Movimentacoes!$C:$C,$A4648,Movimentacoes!$E:$E,$C4648,Movimentacoes!$B:$B,"ENTRADA")</f>
        <v/>
      </c>
      <c r="H4648" s="13">
        <f>SUMIFS(Movimentacoes!$G:$G,Movimentacoes!$C:$C,$A4648,Movimentacoes!$E:$E,$C4648,Movimentacoes!$B:$B,"SAIDA_USO")</f>
        <v/>
      </c>
      <c r="I4648" s="13">
        <f>SUMIFS(Movimentacoes!$G:$G,Movimentacoes!$C:$C,$A4648,Movimentacoes!$E:$E,$C4648,Movimentacoes!$B:$B,"SAIDA_DESCARTE")</f>
        <v/>
      </c>
      <c r="J4648" s="13">
        <f>G4648-H4648-I4648</f>
        <v/>
      </c>
      <c r="K4648">
        <f>IF(A4648="","",IF(J4648&lt;=IFERROR(VLOOKUP(A4648,Cadastro_Produtos!$A:$E,5,FALSE),0),"ABAIXO DO MINIMO","OK"))</f>
        <v/>
      </c>
    </row>
    <row r="4649">
      <c r="B4649">
        <f>IFERROR(VLOOKUP(A4649,Cadastro_Produtos!A:B,2,FALSE),"")</f>
        <v/>
      </c>
      <c r="D4649" s="12" t="n"/>
      <c r="E4649" s="13">
        <f>IF(D4649="","",D4649-TODAY())</f>
        <v/>
      </c>
      <c r="F4649">
        <f>IF(D4649="","",IF(E4649&lt;0,"VENCIDO",IF(E4649&lt;=30,"VENCE EM &lt;= 30 DIAS",IF(E4649&lt;=60,"ATENCAO (31-60 DIAS)","OK"))))</f>
        <v/>
      </c>
      <c r="G4649" s="13">
        <f>SUMIFS(Movimentacoes!$G:$G,Movimentacoes!$C:$C,$A4649,Movimentacoes!$E:$E,$C4649,Movimentacoes!$B:$B,"ENTRADA")</f>
        <v/>
      </c>
      <c r="H4649" s="13">
        <f>SUMIFS(Movimentacoes!$G:$G,Movimentacoes!$C:$C,$A4649,Movimentacoes!$E:$E,$C4649,Movimentacoes!$B:$B,"SAIDA_USO")</f>
        <v/>
      </c>
      <c r="I4649" s="13">
        <f>SUMIFS(Movimentacoes!$G:$G,Movimentacoes!$C:$C,$A4649,Movimentacoes!$E:$E,$C4649,Movimentacoes!$B:$B,"SAIDA_DESCARTE")</f>
        <v/>
      </c>
      <c r="J4649" s="13">
        <f>G4649-H4649-I4649</f>
        <v/>
      </c>
      <c r="K4649">
        <f>IF(A4649="","",IF(J4649&lt;=IFERROR(VLOOKUP(A4649,Cadastro_Produtos!$A:$E,5,FALSE),0),"ABAIXO DO MINIMO","OK"))</f>
        <v/>
      </c>
    </row>
    <row r="4650">
      <c r="B4650">
        <f>IFERROR(VLOOKUP(A4650,Cadastro_Produtos!A:B,2,FALSE),"")</f>
        <v/>
      </c>
      <c r="D4650" s="12" t="n"/>
      <c r="E4650" s="13">
        <f>IF(D4650="","",D4650-TODAY())</f>
        <v/>
      </c>
      <c r="F4650">
        <f>IF(D4650="","",IF(E4650&lt;0,"VENCIDO",IF(E4650&lt;=30,"VENCE EM &lt;= 30 DIAS",IF(E4650&lt;=60,"ATENCAO (31-60 DIAS)","OK"))))</f>
        <v/>
      </c>
      <c r="G4650" s="13">
        <f>SUMIFS(Movimentacoes!$G:$G,Movimentacoes!$C:$C,$A4650,Movimentacoes!$E:$E,$C4650,Movimentacoes!$B:$B,"ENTRADA")</f>
        <v/>
      </c>
      <c r="H4650" s="13">
        <f>SUMIFS(Movimentacoes!$G:$G,Movimentacoes!$C:$C,$A4650,Movimentacoes!$E:$E,$C4650,Movimentacoes!$B:$B,"SAIDA_USO")</f>
        <v/>
      </c>
      <c r="I4650" s="13">
        <f>SUMIFS(Movimentacoes!$G:$G,Movimentacoes!$C:$C,$A4650,Movimentacoes!$E:$E,$C4650,Movimentacoes!$B:$B,"SAIDA_DESCARTE")</f>
        <v/>
      </c>
      <c r="J4650" s="13">
        <f>G4650-H4650-I4650</f>
        <v/>
      </c>
      <c r="K4650">
        <f>IF(A4650="","",IF(J4650&lt;=IFERROR(VLOOKUP(A4650,Cadastro_Produtos!$A:$E,5,FALSE),0),"ABAIXO DO MINIMO","OK"))</f>
        <v/>
      </c>
    </row>
    <row r="4651">
      <c r="B4651">
        <f>IFERROR(VLOOKUP(A4651,Cadastro_Produtos!A:B,2,FALSE),"")</f>
        <v/>
      </c>
      <c r="D4651" s="12" t="n"/>
      <c r="E4651" s="13">
        <f>IF(D4651="","",D4651-TODAY())</f>
        <v/>
      </c>
      <c r="F4651">
        <f>IF(D4651="","",IF(E4651&lt;0,"VENCIDO",IF(E4651&lt;=30,"VENCE EM &lt;= 30 DIAS",IF(E4651&lt;=60,"ATENCAO (31-60 DIAS)","OK"))))</f>
        <v/>
      </c>
      <c r="G4651" s="13">
        <f>SUMIFS(Movimentacoes!$G:$G,Movimentacoes!$C:$C,$A4651,Movimentacoes!$E:$E,$C4651,Movimentacoes!$B:$B,"ENTRADA")</f>
        <v/>
      </c>
      <c r="H4651" s="13">
        <f>SUMIFS(Movimentacoes!$G:$G,Movimentacoes!$C:$C,$A4651,Movimentacoes!$E:$E,$C4651,Movimentacoes!$B:$B,"SAIDA_USO")</f>
        <v/>
      </c>
      <c r="I4651" s="13">
        <f>SUMIFS(Movimentacoes!$G:$G,Movimentacoes!$C:$C,$A4651,Movimentacoes!$E:$E,$C4651,Movimentacoes!$B:$B,"SAIDA_DESCARTE")</f>
        <v/>
      </c>
      <c r="J4651" s="13">
        <f>G4651-H4651-I4651</f>
        <v/>
      </c>
      <c r="K4651">
        <f>IF(A4651="","",IF(J4651&lt;=IFERROR(VLOOKUP(A4651,Cadastro_Produtos!$A:$E,5,FALSE),0),"ABAIXO DO MINIMO","OK"))</f>
        <v/>
      </c>
    </row>
    <row r="4652">
      <c r="B4652">
        <f>IFERROR(VLOOKUP(A4652,Cadastro_Produtos!A:B,2,FALSE),"")</f>
        <v/>
      </c>
      <c r="D4652" s="12" t="n"/>
      <c r="E4652" s="13">
        <f>IF(D4652="","",D4652-TODAY())</f>
        <v/>
      </c>
      <c r="F4652">
        <f>IF(D4652="","",IF(E4652&lt;0,"VENCIDO",IF(E4652&lt;=30,"VENCE EM &lt;= 30 DIAS",IF(E4652&lt;=60,"ATENCAO (31-60 DIAS)","OK"))))</f>
        <v/>
      </c>
      <c r="G4652" s="13">
        <f>SUMIFS(Movimentacoes!$G:$G,Movimentacoes!$C:$C,$A4652,Movimentacoes!$E:$E,$C4652,Movimentacoes!$B:$B,"ENTRADA")</f>
        <v/>
      </c>
      <c r="H4652" s="13">
        <f>SUMIFS(Movimentacoes!$G:$G,Movimentacoes!$C:$C,$A4652,Movimentacoes!$E:$E,$C4652,Movimentacoes!$B:$B,"SAIDA_USO")</f>
        <v/>
      </c>
      <c r="I4652" s="13">
        <f>SUMIFS(Movimentacoes!$G:$G,Movimentacoes!$C:$C,$A4652,Movimentacoes!$E:$E,$C4652,Movimentacoes!$B:$B,"SAIDA_DESCARTE")</f>
        <v/>
      </c>
      <c r="J4652" s="13">
        <f>G4652-H4652-I4652</f>
        <v/>
      </c>
      <c r="K4652">
        <f>IF(A4652="","",IF(J4652&lt;=IFERROR(VLOOKUP(A4652,Cadastro_Produtos!$A:$E,5,FALSE),0),"ABAIXO DO MINIMO","OK"))</f>
        <v/>
      </c>
    </row>
    <row r="4653">
      <c r="B4653">
        <f>IFERROR(VLOOKUP(A4653,Cadastro_Produtos!A:B,2,FALSE),"")</f>
        <v/>
      </c>
      <c r="D4653" s="12" t="n"/>
      <c r="E4653" s="13">
        <f>IF(D4653="","",D4653-TODAY())</f>
        <v/>
      </c>
      <c r="F4653">
        <f>IF(D4653="","",IF(E4653&lt;0,"VENCIDO",IF(E4653&lt;=30,"VENCE EM &lt;= 30 DIAS",IF(E4653&lt;=60,"ATENCAO (31-60 DIAS)","OK"))))</f>
        <v/>
      </c>
      <c r="G4653" s="13">
        <f>SUMIFS(Movimentacoes!$G:$G,Movimentacoes!$C:$C,$A4653,Movimentacoes!$E:$E,$C4653,Movimentacoes!$B:$B,"ENTRADA")</f>
        <v/>
      </c>
      <c r="H4653" s="13">
        <f>SUMIFS(Movimentacoes!$G:$G,Movimentacoes!$C:$C,$A4653,Movimentacoes!$E:$E,$C4653,Movimentacoes!$B:$B,"SAIDA_USO")</f>
        <v/>
      </c>
      <c r="I4653" s="13">
        <f>SUMIFS(Movimentacoes!$G:$G,Movimentacoes!$C:$C,$A4653,Movimentacoes!$E:$E,$C4653,Movimentacoes!$B:$B,"SAIDA_DESCARTE")</f>
        <v/>
      </c>
      <c r="J4653" s="13">
        <f>G4653-H4653-I4653</f>
        <v/>
      </c>
      <c r="K4653">
        <f>IF(A4653="","",IF(J4653&lt;=IFERROR(VLOOKUP(A4653,Cadastro_Produtos!$A:$E,5,FALSE),0),"ABAIXO DO MINIMO","OK"))</f>
        <v/>
      </c>
    </row>
    <row r="4654">
      <c r="B4654">
        <f>IFERROR(VLOOKUP(A4654,Cadastro_Produtos!A:B,2,FALSE),"")</f>
        <v/>
      </c>
      <c r="D4654" s="12" t="n"/>
      <c r="E4654" s="13">
        <f>IF(D4654="","",D4654-TODAY())</f>
        <v/>
      </c>
      <c r="F4654">
        <f>IF(D4654="","",IF(E4654&lt;0,"VENCIDO",IF(E4654&lt;=30,"VENCE EM &lt;= 30 DIAS",IF(E4654&lt;=60,"ATENCAO (31-60 DIAS)","OK"))))</f>
        <v/>
      </c>
      <c r="G4654" s="13">
        <f>SUMIFS(Movimentacoes!$G:$G,Movimentacoes!$C:$C,$A4654,Movimentacoes!$E:$E,$C4654,Movimentacoes!$B:$B,"ENTRADA")</f>
        <v/>
      </c>
      <c r="H4654" s="13">
        <f>SUMIFS(Movimentacoes!$G:$G,Movimentacoes!$C:$C,$A4654,Movimentacoes!$E:$E,$C4654,Movimentacoes!$B:$B,"SAIDA_USO")</f>
        <v/>
      </c>
      <c r="I4654" s="13">
        <f>SUMIFS(Movimentacoes!$G:$G,Movimentacoes!$C:$C,$A4654,Movimentacoes!$E:$E,$C4654,Movimentacoes!$B:$B,"SAIDA_DESCARTE")</f>
        <v/>
      </c>
      <c r="J4654" s="13">
        <f>G4654-H4654-I4654</f>
        <v/>
      </c>
      <c r="K4654">
        <f>IF(A4654="","",IF(J4654&lt;=IFERROR(VLOOKUP(A4654,Cadastro_Produtos!$A:$E,5,FALSE),0),"ABAIXO DO MINIMO","OK"))</f>
        <v/>
      </c>
    </row>
    <row r="4655">
      <c r="B4655">
        <f>IFERROR(VLOOKUP(A4655,Cadastro_Produtos!A:B,2,FALSE),"")</f>
        <v/>
      </c>
      <c r="D4655" s="12" t="n"/>
      <c r="E4655" s="13">
        <f>IF(D4655="","",D4655-TODAY())</f>
        <v/>
      </c>
      <c r="F4655">
        <f>IF(D4655="","",IF(E4655&lt;0,"VENCIDO",IF(E4655&lt;=30,"VENCE EM &lt;= 30 DIAS",IF(E4655&lt;=60,"ATENCAO (31-60 DIAS)","OK"))))</f>
        <v/>
      </c>
      <c r="G4655" s="13">
        <f>SUMIFS(Movimentacoes!$G:$G,Movimentacoes!$C:$C,$A4655,Movimentacoes!$E:$E,$C4655,Movimentacoes!$B:$B,"ENTRADA")</f>
        <v/>
      </c>
      <c r="H4655" s="13">
        <f>SUMIFS(Movimentacoes!$G:$G,Movimentacoes!$C:$C,$A4655,Movimentacoes!$E:$E,$C4655,Movimentacoes!$B:$B,"SAIDA_USO")</f>
        <v/>
      </c>
      <c r="I4655" s="13">
        <f>SUMIFS(Movimentacoes!$G:$G,Movimentacoes!$C:$C,$A4655,Movimentacoes!$E:$E,$C4655,Movimentacoes!$B:$B,"SAIDA_DESCARTE")</f>
        <v/>
      </c>
      <c r="J4655" s="13">
        <f>G4655-H4655-I4655</f>
        <v/>
      </c>
      <c r="K4655">
        <f>IF(A4655="","",IF(J4655&lt;=IFERROR(VLOOKUP(A4655,Cadastro_Produtos!$A:$E,5,FALSE),0),"ABAIXO DO MINIMO","OK"))</f>
        <v/>
      </c>
    </row>
    <row r="4656">
      <c r="B4656">
        <f>IFERROR(VLOOKUP(A4656,Cadastro_Produtos!A:B,2,FALSE),"")</f>
        <v/>
      </c>
      <c r="D4656" s="12" t="n"/>
      <c r="E4656" s="13">
        <f>IF(D4656="","",D4656-TODAY())</f>
        <v/>
      </c>
      <c r="F4656">
        <f>IF(D4656="","",IF(E4656&lt;0,"VENCIDO",IF(E4656&lt;=30,"VENCE EM &lt;= 30 DIAS",IF(E4656&lt;=60,"ATENCAO (31-60 DIAS)","OK"))))</f>
        <v/>
      </c>
      <c r="G4656" s="13">
        <f>SUMIFS(Movimentacoes!$G:$G,Movimentacoes!$C:$C,$A4656,Movimentacoes!$E:$E,$C4656,Movimentacoes!$B:$B,"ENTRADA")</f>
        <v/>
      </c>
      <c r="H4656" s="13">
        <f>SUMIFS(Movimentacoes!$G:$G,Movimentacoes!$C:$C,$A4656,Movimentacoes!$E:$E,$C4656,Movimentacoes!$B:$B,"SAIDA_USO")</f>
        <v/>
      </c>
      <c r="I4656" s="13">
        <f>SUMIFS(Movimentacoes!$G:$G,Movimentacoes!$C:$C,$A4656,Movimentacoes!$E:$E,$C4656,Movimentacoes!$B:$B,"SAIDA_DESCARTE")</f>
        <v/>
      </c>
      <c r="J4656" s="13">
        <f>G4656-H4656-I4656</f>
        <v/>
      </c>
      <c r="K4656">
        <f>IF(A4656="","",IF(J4656&lt;=IFERROR(VLOOKUP(A4656,Cadastro_Produtos!$A:$E,5,FALSE),0),"ABAIXO DO MINIMO","OK"))</f>
        <v/>
      </c>
    </row>
    <row r="4657">
      <c r="B4657">
        <f>IFERROR(VLOOKUP(A4657,Cadastro_Produtos!A:B,2,FALSE),"")</f>
        <v/>
      </c>
      <c r="D4657" s="12" t="n"/>
      <c r="E4657" s="13">
        <f>IF(D4657="","",D4657-TODAY())</f>
        <v/>
      </c>
      <c r="F4657">
        <f>IF(D4657="","",IF(E4657&lt;0,"VENCIDO",IF(E4657&lt;=30,"VENCE EM &lt;= 30 DIAS",IF(E4657&lt;=60,"ATENCAO (31-60 DIAS)","OK"))))</f>
        <v/>
      </c>
      <c r="G4657" s="13">
        <f>SUMIFS(Movimentacoes!$G:$G,Movimentacoes!$C:$C,$A4657,Movimentacoes!$E:$E,$C4657,Movimentacoes!$B:$B,"ENTRADA")</f>
        <v/>
      </c>
      <c r="H4657" s="13">
        <f>SUMIFS(Movimentacoes!$G:$G,Movimentacoes!$C:$C,$A4657,Movimentacoes!$E:$E,$C4657,Movimentacoes!$B:$B,"SAIDA_USO")</f>
        <v/>
      </c>
      <c r="I4657" s="13">
        <f>SUMIFS(Movimentacoes!$G:$G,Movimentacoes!$C:$C,$A4657,Movimentacoes!$E:$E,$C4657,Movimentacoes!$B:$B,"SAIDA_DESCARTE")</f>
        <v/>
      </c>
      <c r="J4657" s="13">
        <f>G4657-H4657-I4657</f>
        <v/>
      </c>
      <c r="K4657">
        <f>IF(A4657="","",IF(J4657&lt;=IFERROR(VLOOKUP(A4657,Cadastro_Produtos!$A:$E,5,FALSE),0),"ABAIXO DO MINIMO","OK"))</f>
        <v/>
      </c>
    </row>
    <row r="4658">
      <c r="B4658">
        <f>IFERROR(VLOOKUP(A4658,Cadastro_Produtos!A:B,2,FALSE),"")</f>
        <v/>
      </c>
      <c r="D4658" s="12" t="n"/>
      <c r="E4658" s="13">
        <f>IF(D4658="","",D4658-TODAY())</f>
        <v/>
      </c>
      <c r="F4658">
        <f>IF(D4658="","",IF(E4658&lt;0,"VENCIDO",IF(E4658&lt;=30,"VENCE EM &lt;= 30 DIAS",IF(E4658&lt;=60,"ATENCAO (31-60 DIAS)","OK"))))</f>
        <v/>
      </c>
      <c r="G4658" s="13">
        <f>SUMIFS(Movimentacoes!$G:$G,Movimentacoes!$C:$C,$A4658,Movimentacoes!$E:$E,$C4658,Movimentacoes!$B:$B,"ENTRADA")</f>
        <v/>
      </c>
      <c r="H4658" s="13">
        <f>SUMIFS(Movimentacoes!$G:$G,Movimentacoes!$C:$C,$A4658,Movimentacoes!$E:$E,$C4658,Movimentacoes!$B:$B,"SAIDA_USO")</f>
        <v/>
      </c>
      <c r="I4658" s="13">
        <f>SUMIFS(Movimentacoes!$G:$G,Movimentacoes!$C:$C,$A4658,Movimentacoes!$E:$E,$C4658,Movimentacoes!$B:$B,"SAIDA_DESCARTE")</f>
        <v/>
      </c>
      <c r="J4658" s="13">
        <f>G4658-H4658-I4658</f>
        <v/>
      </c>
      <c r="K4658">
        <f>IF(A4658="","",IF(J4658&lt;=IFERROR(VLOOKUP(A4658,Cadastro_Produtos!$A:$E,5,FALSE),0),"ABAIXO DO MINIMO","OK"))</f>
        <v/>
      </c>
    </row>
    <row r="4659">
      <c r="B4659">
        <f>IFERROR(VLOOKUP(A4659,Cadastro_Produtos!A:B,2,FALSE),"")</f>
        <v/>
      </c>
      <c r="D4659" s="12" t="n"/>
      <c r="E4659" s="13">
        <f>IF(D4659="","",D4659-TODAY())</f>
        <v/>
      </c>
      <c r="F4659">
        <f>IF(D4659="","",IF(E4659&lt;0,"VENCIDO",IF(E4659&lt;=30,"VENCE EM &lt;= 30 DIAS",IF(E4659&lt;=60,"ATENCAO (31-60 DIAS)","OK"))))</f>
        <v/>
      </c>
      <c r="G4659" s="13">
        <f>SUMIFS(Movimentacoes!$G:$G,Movimentacoes!$C:$C,$A4659,Movimentacoes!$E:$E,$C4659,Movimentacoes!$B:$B,"ENTRADA")</f>
        <v/>
      </c>
      <c r="H4659" s="13">
        <f>SUMIFS(Movimentacoes!$G:$G,Movimentacoes!$C:$C,$A4659,Movimentacoes!$E:$E,$C4659,Movimentacoes!$B:$B,"SAIDA_USO")</f>
        <v/>
      </c>
      <c r="I4659" s="13">
        <f>SUMIFS(Movimentacoes!$G:$G,Movimentacoes!$C:$C,$A4659,Movimentacoes!$E:$E,$C4659,Movimentacoes!$B:$B,"SAIDA_DESCARTE")</f>
        <v/>
      </c>
      <c r="J4659" s="13">
        <f>G4659-H4659-I4659</f>
        <v/>
      </c>
      <c r="K4659">
        <f>IF(A4659="","",IF(J4659&lt;=IFERROR(VLOOKUP(A4659,Cadastro_Produtos!$A:$E,5,FALSE),0),"ABAIXO DO MINIMO","OK"))</f>
        <v/>
      </c>
    </row>
    <row r="4660">
      <c r="B4660">
        <f>IFERROR(VLOOKUP(A4660,Cadastro_Produtos!A:B,2,FALSE),"")</f>
        <v/>
      </c>
      <c r="D4660" s="12" t="n"/>
      <c r="E4660" s="13">
        <f>IF(D4660="","",D4660-TODAY())</f>
        <v/>
      </c>
      <c r="F4660">
        <f>IF(D4660="","",IF(E4660&lt;0,"VENCIDO",IF(E4660&lt;=30,"VENCE EM &lt;= 30 DIAS",IF(E4660&lt;=60,"ATENCAO (31-60 DIAS)","OK"))))</f>
        <v/>
      </c>
      <c r="G4660" s="13">
        <f>SUMIFS(Movimentacoes!$G:$G,Movimentacoes!$C:$C,$A4660,Movimentacoes!$E:$E,$C4660,Movimentacoes!$B:$B,"ENTRADA")</f>
        <v/>
      </c>
      <c r="H4660" s="13">
        <f>SUMIFS(Movimentacoes!$G:$G,Movimentacoes!$C:$C,$A4660,Movimentacoes!$E:$E,$C4660,Movimentacoes!$B:$B,"SAIDA_USO")</f>
        <v/>
      </c>
      <c r="I4660" s="13">
        <f>SUMIFS(Movimentacoes!$G:$G,Movimentacoes!$C:$C,$A4660,Movimentacoes!$E:$E,$C4660,Movimentacoes!$B:$B,"SAIDA_DESCARTE")</f>
        <v/>
      </c>
      <c r="J4660" s="13">
        <f>G4660-H4660-I4660</f>
        <v/>
      </c>
      <c r="K4660">
        <f>IF(A4660="","",IF(J4660&lt;=IFERROR(VLOOKUP(A4660,Cadastro_Produtos!$A:$E,5,FALSE),0),"ABAIXO DO MINIMO","OK"))</f>
        <v/>
      </c>
    </row>
    <row r="4661">
      <c r="B4661">
        <f>IFERROR(VLOOKUP(A4661,Cadastro_Produtos!A:B,2,FALSE),"")</f>
        <v/>
      </c>
      <c r="D4661" s="12" t="n"/>
      <c r="E4661" s="13">
        <f>IF(D4661="","",D4661-TODAY())</f>
        <v/>
      </c>
      <c r="F4661">
        <f>IF(D4661="","",IF(E4661&lt;0,"VENCIDO",IF(E4661&lt;=30,"VENCE EM &lt;= 30 DIAS",IF(E4661&lt;=60,"ATENCAO (31-60 DIAS)","OK"))))</f>
        <v/>
      </c>
      <c r="G4661" s="13">
        <f>SUMIFS(Movimentacoes!$G:$G,Movimentacoes!$C:$C,$A4661,Movimentacoes!$E:$E,$C4661,Movimentacoes!$B:$B,"ENTRADA")</f>
        <v/>
      </c>
      <c r="H4661" s="13">
        <f>SUMIFS(Movimentacoes!$G:$G,Movimentacoes!$C:$C,$A4661,Movimentacoes!$E:$E,$C4661,Movimentacoes!$B:$B,"SAIDA_USO")</f>
        <v/>
      </c>
      <c r="I4661" s="13">
        <f>SUMIFS(Movimentacoes!$G:$G,Movimentacoes!$C:$C,$A4661,Movimentacoes!$E:$E,$C4661,Movimentacoes!$B:$B,"SAIDA_DESCARTE")</f>
        <v/>
      </c>
      <c r="J4661" s="13">
        <f>G4661-H4661-I4661</f>
        <v/>
      </c>
      <c r="K4661">
        <f>IF(A4661="","",IF(J4661&lt;=IFERROR(VLOOKUP(A4661,Cadastro_Produtos!$A:$E,5,FALSE),0),"ABAIXO DO MINIMO","OK"))</f>
        <v/>
      </c>
    </row>
    <row r="4662">
      <c r="B4662">
        <f>IFERROR(VLOOKUP(A4662,Cadastro_Produtos!A:B,2,FALSE),"")</f>
        <v/>
      </c>
      <c r="D4662" s="12" t="n"/>
      <c r="E4662" s="13">
        <f>IF(D4662="","",D4662-TODAY())</f>
        <v/>
      </c>
      <c r="F4662">
        <f>IF(D4662="","",IF(E4662&lt;0,"VENCIDO",IF(E4662&lt;=30,"VENCE EM &lt;= 30 DIAS",IF(E4662&lt;=60,"ATENCAO (31-60 DIAS)","OK"))))</f>
        <v/>
      </c>
      <c r="G4662" s="13">
        <f>SUMIFS(Movimentacoes!$G:$G,Movimentacoes!$C:$C,$A4662,Movimentacoes!$E:$E,$C4662,Movimentacoes!$B:$B,"ENTRADA")</f>
        <v/>
      </c>
      <c r="H4662" s="13">
        <f>SUMIFS(Movimentacoes!$G:$G,Movimentacoes!$C:$C,$A4662,Movimentacoes!$E:$E,$C4662,Movimentacoes!$B:$B,"SAIDA_USO")</f>
        <v/>
      </c>
      <c r="I4662" s="13">
        <f>SUMIFS(Movimentacoes!$G:$G,Movimentacoes!$C:$C,$A4662,Movimentacoes!$E:$E,$C4662,Movimentacoes!$B:$B,"SAIDA_DESCARTE")</f>
        <v/>
      </c>
      <c r="J4662" s="13">
        <f>G4662-H4662-I4662</f>
        <v/>
      </c>
      <c r="K4662">
        <f>IF(A4662="","",IF(J4662&lt;=IFERROR(VLOOKUP(A4662,Cadastro_Produtos!$A:$E,5,FALSE),0),"ABAIXO DO MINIMO","OK"))</f>
        <v/>
      </c>
    </row>
    <row r="4663">
      <c r="B4663">
        <f>IFERROR(VLOOKUP(A4663,Cadastro_Produtos!A:B,2,FALSE),"")</f>
        <v/>
      </c>
      <c r="D4663" s="12" t="n"/>
      <c r="E4663" s="13">
        <f>IF(D4663="","",D4663-TODAY())</f>
        <v/>
      </c>
      <c r="F4663">
        <f>IF(D4663="","",IF(E4663&lt;0,"VENCIDO",IF(E4663&lt;=30,"VENCE EM &lt;= 30 DIAS",IF(E4663&lt;=60,"ATENCAO (31-60 DIAS)","OK"))))</f>
        <v/>
      </c>
      <c r="G4663" s="13">
        <f>SUMIFS(Movimentacoes!$G:$G,Movimentacoes!$C:$C,$A4663,Movimentacoes!$E:$E,$C4663,Movimentacoes!$B:$B,"ENTRADA")</f>
        <v/>
      </c>
      <c r="H4663" s="13">
        <f>SUMIFS(Movimentacoes!$G:$G,Movimentacoes!$C:$C,$A4663,Movimentacoes!$E:$E,$C4663,Movimentacoes!$B:$B,"SAIDA_USO")</f>
        <v/>
      </c>
      <c r="I4663" s="13">
        <f>SUMIFS(Movimentacoes!$G:$G,Movimentacoes!$C:$C,$A4663,Movimentacoes!$E:$E,$C4663,Movimentacoes!$B:$B,"SAIDA_DESCARTE")</f>
        <v/>
      </c>
      <c r="J4663" s="13">
        <f>G4663-H4663-I4663</f>
        <v/>
      </c>
      <c r="K4663">
        <f>IF(A4663="","",IF(J4663&lt;=IFERROR(VLOOKUP(A4663,Cadastro_Produtos!$A:$E,5,FALSE),0),"ABAIXO DO MINIMO","OK"))</f>
        <v/>
      </c>
    </row>
    <row r="4664">
      <c r="B4664">
        <f>IFERROR(VLOOKUP(A4664,Cadastro_Produtos!A:B,2,FALSE),"")</f>
        <v/>
      </c>
      <c r="D4664" s="12" t="n"/>
      <c r="E4664" s="13">
        <f>IF(D4664="","",D4664-TODAY())</f>
        <v/>
      </c>
      <c r="F4664">
        <f>IF(D4664="","",IF(E4664&lt;0,"VENCIDO",IF(E4664&lt;=30,"VENCE EM &lt;= 30 DIAS",IF(E4664&lt;=60,"ATENCAO (31-60 DIAS)","OK"))))</f>
        <v/>
      </c>
      <c r="G4664" s="13">
        <f>SUMIFS(Movimentacoes!$G:$G,Movimentacoes!$C:$C,$A4664,Movimentacoes!$E:$E,$C4664,Movimentacoes!$B:$B,"ENTRADA")</f>
        <v/>
      </c>
      <c r="H4664" s="13">
        <f>SUMIFS(Movimentacoes!$G:$G,Movimentacoes!$C:$C,$A4664,Movimentacoes!$E:$E,$C4664,Movimentacoes!$B:$B,"SAIDA_USO")</f>
        <v/>
      </c>
      <c r="I4664" s="13">
        <f>SUMIFS(Movimentacoes!$G:$G,Movimentacoes!$C:$C,$A4664,Movimentacoes!$E:$E,$C4664,Movimentacoes!$B:$B,"SAIDA_DESCARTE")</f>
        <v/>
      </c>
      <c r="J4664" s="13">
        <f>G4664-H4664-I4664</f>
        <v/>
      </c>
      <c r="K4664">
        <f>IF(A4664="","",IF(J4664&lt;=IFERROR(VLOOKUP(A4664,Cadastro_Produtos!$A:$E,5,FALSE),0),"ABAIXO DO MINIMO","OK"))</f>
        <v/>
      </c>
    </row>
    <row r="4665">
      <c r="B4665">
        <f>IFERROR(VLOOKUP(A4665,Cadastro_Produtos!A:B,2,FALSE),"")</f>
        <v/>
      </c>
      <c r="D4665" s="12" t="n"/>
      <c r="E4665" s="13">
        <f>IF(D4665="","",D4665-TODAY())</f>
        <v/>
      </c>
      <c r="F4665">
        <f>IF(D4665="","",IF(E4665&lt;0,"VENCIDO",IF(E4665&lt;=30,"VENCE EM &lt;= 30 DIAS",IF(E4665&lt;=60,"ATENCAO (31-60 DIAS)","OK"))))</f>
        <v/>
      </c>
      <c r="G4665" s="13">
        <f>SUMIFS(Movimentacoes!$G:$G,Movimentacoes!$C:$C,$A4665,Movimentacoes!$E:$E,$C4665,Movimentacoes!$B:$B,"ENTRADA")</f>
        <v/>
      </c>
      <c r="H4665" s="13">
        <f>SUMIFS(Movimentacoes!$G:$G,Movimentacoes!$C:$C,$A4665,Movimentacoes!$E:$E,$C4665,Movimentacoes!$B:$B,"SAIDA_USO")</f>
        <v/>
      </c>
      <c r="I4665" s="13">
        <f>SUMIFS(Movimentacoes!$G:$G,Movimentacoes!$C:$C,$A4665,Movimentacoes!$E:$E,$C4665,Movimentacoes!$B:$B,"SAIDA_DESCARTE")</f>
        <v/>
      </c>
      <c r="J4665" s="13">
        <f>G4665-H4665-I4665</f>
        <v/>
      </c>
      <c r="K4665">
        <f>IF(A4665="","",IF(J4665&lt;=IFERROR(VLOOKUP(A4665,Cadastro_Produtos!$A:$E,5,FALSE),0),"ABAIXO DO MINIMO","OK"))</f>
        <v/>
      </c>
    </row>
    <row r="4666">
      <c r="B4666">
        <f>IFERROR(VLOOKUP(A4666,Cadastro_Produtos!A:B,2,FALSE),"")</f>
        <v/>
      </c>
      <c r="D4666" s="12" t="n"/>
      <c r="E4666" s="13">
        <f>IF(D4666="","",D4666-TODAY())</f>
        <v/>
      </c>
      <c r="F4666">
        <f>IF(D4666="","",IF(E4666&lt;0,"VENCIDO",IF(E4666&lt;=30,"VENCE EM &lt;= 30 DIAS",IF(E4666&lt;=60,"ATENCAO (31-60 DIAS)","OK"))))</f>
        <v/>
      </c>
      <c r="G4666" s="13">
        <f>SUMIFS(Movimentacoes!$G:$G,Movimentacoes!$C:$C,$A4666,Movimentacoes!$E:$E,$C4666,Movimentacoes!$B:$B,"ENTRADA")</f>
        <v/>
      </c>
      <c r="H4666" s="13">
        <f>SUMIFS(Movimentacoes!$G:$G,Movimentacoes!$C:$C,$A4666,Movimentacoes!$E:$E,$C4666,Movimentacoes!$B:$B,"SAIDA_USO")</f>
        <v/>
      </c>
      <c r="I4666" s="13">
        <f>SUMIFS(Movimentacoes!$G:$G,Movimentacoes!$C:$C,$A4666,Movimentacoes!$E:$E,$C4666,Movimentacoes!$B:$B,"SAIDA_DESCARTE")</f>
        <v/>
      </c>
      <c r="J4666" s="13">
        <f>G4666-H4666-I4666</f>
        <v/>
      </c>
      <c r="K4666">
        <f>IF(A4666="","",IF(J4666&lt;=IFERROR(VLOOKUP(A4666,Cadastro_Produtos!$A:$E,5,FALSE),0),"ABAIXO DO MINIMO","OK"))</f>
        <v/>
      </c>
    </row>
    <row r="4667">
      <c r="B4667">
        <f>IFERROR(VLOOKUP(A4667,Cadastro_Produtos!A:B,2,FALSE),"")</f>
        <v/>
      </c>
      <c r="D4667" s="12" t="n"/>
      <c r="E4667" s="13">
        <f>IF(D4667="","",D4667-TODAY())</f>
        <v/>
      </c>
      <c r="F4667">
        <f>IF(D4667="","",IF(E4667&lt;0,"VENCIDO",IF(E4667&lt;=30,"VENCE EM &lt;= 30 DIAS",IF(E4667&lt;=60,"ATENCAO (31-60 DIAS)","OK"))))</f>
        <v/>
      </c>
      <c r="G4667" s="13">
        <f>SUMIFS(Movimentacoes!$G:$G,Movimentacoes!$C:$C,$A4667,Movimentacoes!$E:$E,$C4667,Movimentacoes!$B:$B,"ENTRADA")</f>
        <v/>
      </c>
      <c r="H4667" s="13">
        <f>SUMIFS(Movimentacoes!$G:$G,Movimentacoes!$C:$C,$A4667,Movimentacoes!$E:$E,$C4667,Movimentacoes!$B:$B,"SAIDA_USO")</f>
        <v/>
      </c>
      <c r="I4667" s="13">
        <f>SUMIFS(Movimentacoes!$G:$G,Movimentacoes!$C:$C,$A4667,Movimentacoes!$E:$E,$C4667,Movimentacoes!$B:$B,"SAIDA_DESCARTE")</f>
        <v/>
      </c>
      <c r="J4667" s="13">
        <f>G4667-H4667-I4667</f>
        <v/>
      </c>
      <c r="K4667">
        <f>IF(A4667="","",IF(J4667&lt;=IFERROR(VLOOKUP(A4667,Cadastro_Produtos!$A:$E,5,FALSE),0),"ABAIXO DO MINIMO","OK"))</f>
        <v/>
      </c>
    </row>
    <row r="4668">
      <c r="B4668">
        <f>IFERROR(VLOOKUP(A4668,Cadastro_Produtos!A:B,2,FALSE),"")</f>
        <v/>
      </c>
      <c r="D4668" s="12" t="n"/>
      <c r="E4668" s="13">
        <f>IF(D4668="","",D4668-TODAY())</f>
        <v/>
      </c>
      <c r="F4668">
        <f>IF(D4668="","",IF(E4668&lt;0,"VENCIDO",IF(E4668&lt;=30,"VENCE EM &lt;= 30 DIAS",IF(E4668&lt;=60,"ATENCAO (31-60 DIAS)","OK"))))</f>
        <v/>
      </c>
      <c r="G4668" s="13">
        <f>SUMIFS(Movimentacoes!$G:$G,Movimentacoes!$C:$C,$A4668,Movimentacoes!$E:$E,$C4668,Movimentacoes!$B:$B,"ENTRADA")</f>
        <v/>
      </c>
      <c r="H4668" s="13">
        <f>SUMIFS(Movimentacoes!$G:$G,Movimentacoes!$C:$C,$A4668,Movimentacoes!$E:$E,$C4668,Movimentacoes!$B:$B,"SAIDA_USO")</f>
        <v/>
      </c>
      <c r="I4668" s="13">
        <f>SUMIFS(Movimentacoes!$G:$G,Movimentacoes!$C:$C,$A4668,Movimentacoes!$E:$E,$C4668,Movimentacoes!$B:$B,"SAIDA_DESCARTE")</f>
        <v/>
      </c>
      <c r="J4668" s="13">
        <f>G4668-H4668-I4668</f>
        <v/>
      </c>
      <c r="K4668">
        <f>IF(A4668="","",IF(J4668&lt;=IFERROR(VLOOKUP(A4668,Cadastro_Produtos!$A:$E,5,FALSE),0),"ABAIXO DO MINIMO","OK"))</f>
        <v/>
      </c>
    </row>
    <row r="4669">
      <c r="B4669">
        <f>IFERROR(VLOOKUP(A4669,Cadastro_Produtos!A:B,2,FALSE),"")</f>
        <v/>
      </c>
      <c r="D4669" s="12" t="n"/>
      <c r="E4669" s="13">
        <f>IF(D4669="","",D4669-TODAY())</f>
        <v/>
      </c>
      <c r="F4669">
        <f>IF(D4669="","",IF(E4669&lt;0,"VENCIDO",IF(E4669&lt;=30,"VENCE EM &lt;= 30 DIAS",IF(E4669&lt;=60,"ATENCAO (31-60 DIAS)","OK"))))</f>
        <v/>
      </c>
      <c r="G4669" s="13">
        <f>SUMIFS(Movimentacoes!$G:$G,Movimentacoes!$C:$C,$A4669,Movimentacoes!$E:$E,$C4669,Movimentacoes!$B:$B,"ENTRADA")</f>
        <v/>
      </c>
      <c r="H4669" s="13">
        <f>SUMIFS(Movimentacoes!$G:$G,Movimentacoes!$C:$C,$A4669,Movimentacoes!$E:$E,$C4669,Movimentacoes!$B:$B,"SAIDA_USO")</f>
        <v/>
      </c>
      <c r="I4669" s="13">
        <f>SUMIFS(Movimentacoes!$G:$G,Movimentacoes!$C:$C,$A4669,Movimentacoes!$E:$E,$C4669,Movimentacoes!$B:$B,"SAIDA_DESCARTE")</f>
        <v/>
      </c>
      <c r="J4669" s="13">
        <f>G4669-H4669-I4669</f>
        <v/>
      </c>
      <c r="K4669">
        <f>IF(A4669="","",IF(J4669&lt;=IFERROR(VLOOKUP(A4669,Cadastro_Produtos!$A:$E,5,FALSE),0),"ABAIXO DO MINIMO","OK"))</f>
        <v/>
      </c>
    </row>
    <row r="4670">
      <c r="B4670">
        <f>IFERROR(VLOOKUP(A4670,Cadastro_Produtos!A:B,2,FALSE),"")</f>
        <v/>
      </c>
      <c r="D4670" s="12" t="n"/>
      <c r="E4670" s="13">
        <f>IF(D4670="","",D4670-TODAY())</f>
        <v/>
      </c>
      <c r="F4670">
        <f>IF(D4670="","",IF(E4670&lt;0,"VENCIDO",IF(E4670&lt;=30,"VENCE EM &lt;= 30 DIAS",IF(E4670&lt;=60,"ATENCAO (31-60 DIAS)","OK"))))</f>
        <v/>
      </c>
      <c r="G4670" s="13">
        <f>SUMIFS(Movimentacoes!$G:$G,Movimentacoes!$C:$C,$A4670,Movimentacoes!$E:$E,$C4670,Movimentacoes!$B:$B,"ENTRADA")</f>
        <v/>
      </c>
      <c r="H4670" s="13">
        <f>SUMIFS(Movimentacoes!$G:$G,Movimentacoes!$C:$C,$A4670,Movimentacoes!$E:$E,$C4670,Movimentacoes!$B:$B,"SAIDA_USO")</f>
        <v/>
      </c>
      <c r="I4670" s="13">
        <f>SUMIFS(Movimentacoes!$G:$G,Movimentacoes!$C:$C,$A4670,Movimentacoes!$E:$E,$C4670,Movimentacoes!$B:$B,"SAIDA_DESCARTE")</f>
        <v/>
      </c>
      <c r="J4670" s="13">
        <f>G4670-H4670-I4670</f>
        <v/>
      </c>
      <c r="K4670">
        <f>IF(A4670="","",IF(J4670&lt;=IFERROR(VLOOKUP(A4670,Cadastro_Produtos!$A:$E,5,FALSE),0),"ABAIXO DO MINIMO","OK"))</f>
        <v/>
      </c>
    </row>
    <row r="4671">
      <c r="B4671">
        <f>IFERROR(VLOOKUP(A4671,Cadastro_Produtos!A:B,2,FALSE),"")</f>
        <v/>
      </c>
      <c r="D4671" s="12" t="n"/>
      <c r="E4671" s="13">
        <f>IF(D4671="","",D4671-TODAY())</f>
        <v/>
      </c>
      <c r="F4671">
        <f>IF(D4671="","",IF(E4671&lt;0,"VENCIDO",IF(E4671&lt;=30,"VENCE EM &lt;= 30 DIAS",IF(E4671&lt;=60,"ATENCAO (31-60 DIAS)","OK"))))</f>
        <v/>
      </c>
      <c r="G4671" s="13">
        <f>SUMIFS(Movimentacoes!$G:$G,Movimentacoes!$C:$C,$A4671,Movimentacoes!$E:$E,$C4671,Movimentacoes!$B:$B,"ENTRADA")</f>
        <v/>
      </c>
      <c r="H4671" s="13">
        <f>SUMIFS(Movimentacoes!$G:$G,Movimentacoes!$C:$C,$A4671,Movimentacoes!$E:$E,$C4671,Movimentacoes!$B:$B,"SAIDA_USO")</f>
        <v/>
      </c>
      <c r="I4671" s="13">
        <f>SUMIFS(Movimentacoes!$G:$G,Movimentacoes!$C:$C,$A4671,Movimentacoes!$E:$E,$C4671,Movimentacoes!$B:$B,"SAIDA_DESCARTE")</f>
        <v/>
      </c>
      <c r="J4671" s="13">
        <f>G4671-H4671-I4671</f>
        <v/>
      </c>
      <c r="K4671">
        <f>IF(A4671="","",IF(J4671&lt;=IFERROR(VLOOKUP(A4671,Cadastro_Produtos!$A:$E,5,FALSE),0),"ABAIXO DO MINIMO","OK"))</f>
        <v/>
      </c>
    </row>
    <row r="4672">
      <c r="B4672">
        <f>IFERROR(VLOOKUP(A4672,Cadastro_Produtos!A:B,2,FALSE),"")</f>
        <v/>
      </c>
      <c r="D4672" s="12" t="n"/>
      <c r="E4672" s="13">
        <f>IF(D4672="","",D4672-TODAY())</f>
        <v/>
      </c>
      <c r="F4672">
        <f>IF(D4672="","",IF(E4672&lt;0,"VENCIDO",IF(E4672&lt;=30,"VENCE EM &lt;= 30 DIAS",IF(E4672&lt;=60,"ATENCAO (31-60 DIAS)","OK"))))</f>
        <v/>
      </c>
      <c r="G4672" s="13">
        <f>SUMIFS(Movimentacoes!$G:$G,Movimentacoes!$C:$C,$A4672,Movimentacoes!$E:$E,$C4672,Movimentacoes!$B:$B,"ENTRADA")</f>
        <v/>
      </c>
      <c r="H4672" s="13">
        <f>SUMIFS(Movimentacoes!$G:$G,Movimentacoes!$C:$C,$A4672,Movimentacoes!$E:$E,$C4672,Movimentacoes!$B:$B,"SAIDA_USO")</f>
        <v/>
      </c>
      <c r="I4672" s="13">
        <f>SUMIFS(Movimentacoes!$G:$G,Movimentacoes!$C:$C,$A4672,Movimentacoes!$E:$E,$C4672,Movimentacoes!$B:$B,"SAIDA_DESCARTE")</f>
        <v/>
      </c>
      <c r="J4672" s="13">
        <f>G4672-H4672-I4672</f>
        <v/>
      </c>
      <c r="K4672">
        <f>IF(A4672="","",IF(J4672&lt;=IFERROR(VLOOKUP(A4672,Cadastro_Produtos!$A:$E,5,FALSE),0),"ABAIXO DO MINIMO","OK"))</f>
        <v/>
      </c>
    </row>
    <row r="4673">
      <c r="B4673">
        <f>IFERROR(VLOOKUP(A4673,Cadastro_Produtos!A:B,2,FALSE),"")</f>
        <v/>
      </c>
      <c r="D4673" s="12" t="n"/>
      <c r="E4673" s="13">
        <f>IF(D4673="","",D4673-TODAY())</f>
        <v/>
      </c>
      <c r="F4673">
        <f>IF(D4673="","",IF(E4673&lt;0,"VENCIDO",IF(E4673&lt;=30,"VENCE EM &lt;= 30 DIAS",IF(E4673&lt;=60,"ATENCAO (31-60 DIAS)","OK"))))</f>
        <v/>
      </c>
      <c r="G4673" s="13">
        <f>SUMIFS(Movimentacoes!$G:$G,Movimentacoes!$C:$C,$A4673,Movimentacoes!$E:$E,$C4673,Movimentacoes!$B:$B,"ENTRADA")</f>
        <v/>
      </c>
      <c r="H4673" s="13">
        <f>SUMIFS(Movimentacoes!$G:$G,Movimentacoes!$C:$C,$A4673,Movimentacoes!$E:$E,$C4673,Movimentacoes!$B:$B,"SAIDA_USO")</f>
        <v/>
      </c>
      <c r="I4673" s="13">
        <f>SUMIFS(Movimentacoes!$G:$G,Movimentacoes!$C:$C,$A4673,Movimentacoes!$E:$E,$C4673,Movimentacoes!$B:$B,"SAIDA_DESCARTE")</f>
        <v/>
      </c>
      <c r="J4673" s="13">
        <f>G4673-H4673-I4673</f>
        <v/>
      </c>
      <c r="K4673">
        <f>IF(A4673="","",IF(J4673&lt;=IFERROR(VLOOKUP(A4673,Cadastro_Produtos!$A:$E,5,FALSE),0),"ABAIXO DO MINIMO","OK"))</f>
        <v/>
      </c>
    </row>
    <row r="4674">
      <c r="B4674">
        <f>IFERROR(VLOOKUP(A4674,Cadastro_Produtos!A:B,2,FALSE),"")</f>
        <v/>
      </c>
      <c r="D4674" s="12" t="n"/>
      <c r="E4674" s="13">
        <f>IF(D4674="","",D4674-TODAY())</f>
        <v/>
      </c>
      <c r="F4674">
        <f>IF(D4674="","",IF(E4674&lt;0,"VENCIDO",IF(E4674&lt;=30,"VENCE EM &lt;= 30 DIAS",IF(E4674&lt;=60,"ATENCAO (31-60 DIAS)","OK"))))</f>
        <v/>
      </c>
      <c r="G4674" s="13">
        <f>SUMIFS(Movimentacoes!$G:$G,Movimentacoes!$C:$C,$A4674,Movimentacoes!$E:$E,$C4674,Movimentacoes!$B:$B,"ENTRADA")</f>
        <v/>
      </c>
      <c r="H4674" s="13">
        <f>SUMIFS(Movimentacoes!$G:$G,Movimentacoes!$C:$C,$A4674,Movimentacoes!$E:$E,$C4674,Movimentacoes!$B:$B,"SAIDA_USO")</f>
        <v/>
      </c>
      <c r="I4674" s="13">
        <f>SUMIFS(Movimentacoes!$G:$G,Movimentacoes!$C:$C,$A4674,Movimentacoes!$E:$E,$C4674,Movimentacoes!$B:$B,"SAIDA_DESCARTE")</f>
        <v/>
      </c>
      <c r="J4674" s="13">
        <f>G4674-H4674-I4674</f>
        <v/>
      </c>
      <c r="K4674">
        <f>IF(A4674="","",IF(J4674&lt;=IFERROR(VLOOKUP(A4674,Cadastro_Produtos!$A:$E,5,FALSE),0),"ABAIXO DO MINIMO","OK"))</f>
        <v/>
      </c>
    </row>
    <row r="4675">
      <c r="B4675">
        <f>IFERROR(VLOOKUP(A4675,Cadastro_Produtos!A:B,2,FALSE),"")</f>
        <v/>
      </c>
      <c r="D4675" s="12" t="n"/>
      <c r="E4675" s="13">
        <f>IF(D4675="","",D4675-TODAY())</f>
        <v/>
      </c>
      <c r="F4675">
        <f>IF(D4675="","",IF(E4675&lt;0,"VENCIDO",IF(E4675&lt;=30,"VENCE EM &lt;= 30 DIAS",IF(E4675&lt;=60,"ATENCAO (31-60 DIAS)","OK"))))</f>
        <v/>
      </c>
      <c r="G4675" s="13">
        <f>SUMIFS(Movimentacoes!$G:$G,Movimentacoes!$C:$C,$A4675,Movimentacoes!$E:$E,$C4675,Movimentacoes!$B:$B,"ENTRADA")</f>
        <v/>
      </c>
      <c r="H4675" s="13">
        <f>SUMIFS(Movimentacoes!$G:$G,Movimentacoes!$C:$C,$A4675,Movimentacoes!$E:$E,$C4675,Movimentacoes!$B:$B,"SAIDA_USO")</f>
        <v/>
      </c>
      <c r="I4675" s="13">
        <f>SUMIFS(Movimentacoes!$G:$G,Movimentacoes!$C:$C,$A4675,Movimentacoes!$E:$E,$C4675,Movimentacoes!$B:$B,"SAIDA_DESCARTE")</f>
        <v/>
      </c>
      <c r="J4675" s="13">
        <f>G4675-H4675-I4675</f>
        <v/>
      </c>
      <c r="K4675">
        <f>IF(A4675="","",IF(J4675&lt;=IFERROR(VLOOKUP(A4675,Cadastro_Produtos!$A:$E,5,FALSE),0),"ABAIXO DO MINIMO","OK"))</f>
        <v/>
      </c>
    </row>
    <row r="4676">
      <c r="B4676">
        <f>IFERROR(VLOOKUP(A4676,Cadastro_Produtos!A:B,2,FALSE),"")</f>
        <v/>
      </c>
      <c r="D4676" s="12" t="n"/>
      <c r="E4676" s="13">
        <f>IF(D4676="","",D4676-TODAY())</f>
        <v/>
      </c>
      <c r="F4676">
        <f>IF(D4676="","",IF(E4676&lt;0,"VENCIDO",IF(E4676&lt;=30,"VENCE EM &lt;= 30 DIAS",IF(E4676&lt;=60,"ATENCAO (31-60 DIAS)","OK"))))</f>
        <v/>
      </c>
      <c r="G4676" s="13">
        <f>SUMIFS(Movimentacoes!$G:$G,Movimentacoes!$C:$C,$A4676,Movimentacoes!$E:$E,$C4676,Movimentacoes!$B:$B,"ENTRADA")</f>
        <v/>
      </c>
      <c r="H4676" s="13">
        <f>SUMIFS(Movimentacoes!$G:$G,Movimentacoes!$C:$C,$A4676,Movimentacoes!$E:$E,$C4676,Movimentacoes!$B:$B,"SAIDA_USO")</f>
        <v/>
      </c>
      <c r="I4676" s="13">
        <f>SUMIFS(Movimentacoes!$G:$G,Movimentacoes!$C:$C,$A4676,Movimentacoes!$E:$E,$C4676,Movimentacoes!$B:$B,"SAIDA_DESCARTE")</f>
        <v/>
      </c>
      <c r="J4676" s="13">
        <f>G4676-H4676-I4676</f>
        <v/>
      </c>
      <c r="K4676">
        <f>IF(A4676="","",IF(J4676&lt;=IFERROR(VLOOKUP(A4676,Cadastro_Produtos!$A:$E,5,FALSE),0),"ABAIXO DO MINIMO","OK"))</f>
        <v/>
      </c>
    </row>
    <row r="4677">
      <c r="B4677">
        <f>IFERROR(VLOOKUP(A4677,Cadastro_Produtos!A:B,2,FALSE),"")</f>
        <v/>
      </c>
      <c r="D4677" s="12" t="n"/>
      <c r="E4677" s="13">
        <f>IF(D4677="","",D4677-TODAY())</f>
        <v/>
      </c>
      <c r="F4677">
        <f>IF(D4677="","",IF(E4677&lt;0,"VENCIDO",IF(E4677&lt;=30,"VENCE EM &lt;= 30 DIAS",IF(E4677&lt;=60,"ATENCAO (31-60 DIAS)","OK"))))</f>
        <v/>
      </c>
      <c r="G4677" s="13">
        <f>SUMIFS(Movimentacoes!$G:$G,Movimentacoes!$C:$C,$A4677,Movimentacoes!$E:$E,$C4677,Movimentacoes!$B:$B,"ENTRADA")</f>
        <v/>
      </c>
      <c r="H4677" s="13">
        <f>SUMIFS(Movimentacoes!$G:$G,Movimentacoes!$C:$C,$A4677,Movimentacoes!$E:$E,$C4677,Movimentacoes!$B:$B,"SAIDA_USO")</f>
        <v/>
      </c>
      <c r="I4677" s="13">
        <f>SUMIFS(Movimentacoes!$G:$G,Movimentacoes!$C:$C,$A4677,Movimentacoes!$E:$E,$C4677,Movimentacoes!$B:$B,"SAIDA_DESCARTE")</f>
        <v/>
      </c>
      <c r="J4677" s="13">
        <f>G4677-H4677-I4677</f>
        <v/>
      </c>
      <c r="K4677">
        <f>IF(A4677="","",IF(J4677&lt;=IFERROR(VLOOKUP(A4677,Cadastro_Produtos!$A:$E,5,FALSE),0),"ABAIXO DO MINIMO","OK"))</f>
        <v/>
      </c>
    </row>
    <row r="4678">
      <c r="B4678">
        <f>IFERROR(VLOOKUP(A4678,Cadastro_Produtos!A:B,2,FALSE),"")</f>
        <v/>
      </c>
      <c r="D4678" s="12" t="n"/>
      <c r="E4678" s="13">
        <f>IF(D4678="","",D4678-TODAY())</f>
        <v/>
      </c>
      <c r="F4678">
        <f>IF(D4678="","",IF(E4678&lt;0,"VENCIDO",IF(E4678&lt;=30,"VENCE EM &lt;= 30 DIAS",IF(E4678&lt;=60,"ATENCAO (31-60 DIAS)","OK"))))</f>
        <v/>
      </c>
      <c r="G4678" s="13">
        <f>SUMIFS(Movimentacoes!$G:$G,Movimentacoes!$C:$C,$A4678,Movimentacoes!$E:$E,$C4678,Movimentacoes!$B:$B,"ENTRADA")</f>
        <v/>
      </c>
      <c r="H4678" s="13">
        <f>SUMIFS(Movimentacoes!$G:$G,Movimentacoes!$C:$C,$A4678,Movimentacoes!$E:$E,$C4678,Movimentacoes!$B:$B,"SAIDA_USO")</f>
        <v/>
      </c>
      <c r="I4678" s="13">
        <f>SUMIFS(Movimentacoes!$G:$G,Movimentacoes!$C:$C,$A4678,Movimentacoes!$E:$E,$C4678,Movimentacoes!$B:$B,"SAIDA_DESCARTE")</f>
        <v/>
      </c>
      <c r="J4678" s="13">
        <f>G4678-H4678-I4678</f>
        <v/>
      </c>
      <c r="K4678">
        <f>IF(A4678="","",IF(J4678&lt;=IFERROR(VLOOKUP(A4678,Cadastro_Produtos!$A:$E,5,FALSE),0),"ABAIXO DO MINIMO","OK"))</f>
        <v/>
      </c>
    </row>
    <row r="4679">
      <c r="B4679">
        <f>IFERROR(VLOOKUP(A4679,Cadastro_Produtos!A:B,2,FALSE),"")</f>
        <v/>
      </c>
      <c r="D4679" s="12" t="n"/>
      <c r="E4679" s="13">
        <f>IF(D4679="","",D4679-TODAY())</f>
        <v/>
      </c>
      <c r="F4679">
        <f>IF(D4679="","",IF(E4679&lt;0,"VENCIDO",IF(E4679&lt;=30,"VENCE EM &lt;= 30 DIAS",IF(E4679&lt;=60,"ATENCAO (31-60 DIAS)","OK"))))</f>
        <v/>
      </c>
      <c r="G4679" s="13">
        <f>SUMIFS(Movimentacoes!$G:$G,Movimentacoes!$C:$C,$A4679,Movimentacoes!$E:$E,$C4679,Movimentacoes!$B:$B,"ENTRADA")</f>
        <v/>
      </c>
      <c r="H4679" s="13">
        <f>SUMIFS(Movimentacoes!$G:$G,Movimentacoes!$C:$C,$A4679,Movimentacoes!$E:$E,$C4679,Movimentacoes!$B:$B,"SAIDA_USO")</f>
        <v/>
      </c>
      <c r="I4679" s="13">
        <f>SUMIFS(Movimentacoes!$G:$G,Movimentacoes!$C:$C,$A4679,Movimentacoes!$E:$E,$C4679,Movimentacoes!$B:$B,"SAIDA_DESCARTE")</f>
        <v/>
      </c>
      <c r="J4679" s="13">
        <f>G4679-H4679-I4679</f>
        <v/>
      </c>
      <c r="K4679">
        <f>IF(A4679="","",IF(J4679&lt;=IFERROR(VLOOKUP(A4679,Cadastro_Produtos!$A:$E,5,FALSE),0),"ABAIXO DO MINIMO","OK"))</f>
        <v/>
      </c>
    </row>
    <row r="4680">
      <c r="B4680">
        <f>IFERROR(VLOOKUP(A4680,Cadastro_Produtos!A:B,2,FALSE),"")</f>
        <v/>
      </c>
      <c r="D4680" s="12" t="n"/>
      <c r="E4680" s="13">
        <f>IF(D4680="","",D4680-TODAY())</f>
        <v/>
      </c>
      <c r="F4680">
        <f>IF(D4680="","",IF(E4680&lt;0,"VENCIDO",IF(E4680&lt;=30,"VENCE EM &lt;= 30 DIAS",IF(E4680&lt;=60,"ATENCAO (31-60 DIAS)","OK"))))</f>
        <v/>
      </c>
      <c r="G4680" s="13">
        <f>SUMIFS(Movimentacoes!$G:$G,Movimentacoes!$C:$C,$A4680,Movimentacoes!$E:$E,$C4680,Movimentacoes!$B:$B,"ENTRADA")</f>
        <v/>
      </c>
      <c r="H4680" s="13">
        <f>SUMIFS(Movimentacoes!$G:$G,Movimentacoes!$C:$C,$A4680,Movimentacoes!$E:$E,$C4680,Movimentacoes!$B:$B,"SAIDA_USO")</f>
        <v/>
      </c>
      <c r="I4680" s="13">
        <f>SUMIFS(Movimentacoes!$G:$G,Movimentacoes!$C:$C,$A4680,Movimentacoes!$E:$E,$C4680,Movimentacoes!$B:$B,"SAIDA_DESCARTE")</f>
        <v/>
      </c>
      <c r="J4680" s="13">
        <f>G4680-H4680-I4680</f>
        <v/>
      </c>
      <c r="K4680">
        <f>IF(A4680="","",IF(J4680&lt;=IFERROR(VLOOKUP(A4680,Cadastro_Produtos!$A:$E,5,FALSE),0),"ABAIXO DO MINIMO","OK"))</f>
        <v/>
      </c>
    </row>
    <row r="4681">
      <c r="B4681">
        <f>IFERROR(VLOOKUP(A4681,Cadastro_Produtos!A:B,2,FALSE),"")</f>
        <v/>
      </c>
      <c r="D4681" s="12" t="n"/>
      <c r="E4681" s="13">
        <f>IF(D4681="","",D4681-TODAY())</f>
        <v/>
      </c>
      <c r="F4681">
        <f>IF(D4681="","",IF(E4681&lt;0,"VENCIDO",IF(E4681&lt;=30,"VENCE EM &lt;= 30 DIAS",IF(E4681&lt;=60,"ATENCAO (31-60 DIAS)","OK"))))</f>
        <v/>
      </c>
      <c r="G4681" s="13">
        <f>SUMIFS(Movimentacoes!$G:$G,Movimentacoes!$C:$C,$A4681,Movimentacoes!$E:$E,$C4681,Movimentacoes!$B:$B,"ENTRADA")</f>
        <v/>
      </c>
      <c r="H4681" s="13">
        <f>SUMIFS(Movimentacoes!$G:$G,Movimentacoes!$C:$C,$A4681,Movimentacoes!$E:$E,$C4681,Movimentacoes!$B:$B,"SAIDA_USO")</f>
        <v/>
      </c>
      <c r="I4681" s="13">
        <f>SUMIFS(Movimentacoes!$G:$G,Movimentacoes!$C:$C,$A4681,Movimentacoes!$E:$E,$C4681,Movimentacoes!$B:$B,"SAIDA_DESCARTE")</f>
        <v/>
      </c>
      <c r="J4681" s="13">
        <f>G4681-H4681-I4681</f>
        <v/>
      </c>
      <c r="K4681">
        <f>IF(A4681="","",IF(J4681&lt;=IFERROR(VLOOKUP(A4681,Cadastro_Produtos!$A:$E,5,FALSE),0),"ABAIXO DO MINIMO","OK"))</f>
        <v/>
      </c>
    </row>
    <row r="4682">
      <c r="B4682">
        <f>IFERROR(VLOOKUP(A4682,Cadastro_Produtos!A:B,2,FALSE),"")</f>
        <v/>
      </c>
      <c r="D4682" s="12" t="n"/>
      <c r="E4682" s="13">
        <f>IF(D4682="","",D4682-TODAY())</f>
        <v/>
      </c>
      <c r="F4682">
        <f>IF(D4682="","",IF(E4682&lt;0,"VENCIDO",IF(E4682&lt;=30,"VENCE EM &lt;= 30 DIAS",IF(E4682&lt;=60,"ATENCAO (31-60 DIAS)","OK"))))</f>
        <v/>
      </c>
      <c r="G4682" s="13">
        <f>SUMIFS(Movimentacoes!$G:$G,Movimentacoes!$C:$C,$A4682,Movimentacoes!$E:$E,$C4682,Movimentacoes!$B:$B,"ENTRADA")</f>
        <v/>
      </c>
      <c r="H4682" s="13">
        <f>SUMIFS(Movimentacoes!$G:$G,Movimentacoes!$C:$C,$A4682,Movimentacoes!$E:$E,$C4682,Movimentacoes!$B:$B,"SAIDA_USO")</f>
        <v/>
      </c>
      <c r="I4682" s="13">
        <f>SUMIFS(Movimentacoes!$G:$G,Movimentacoes!$C:$C,$A4682,Movimentacoes!$E:$E,$C4682,Movimentacoes!$B:$B,"SAIDA_DESCARTE")</f>
        <v/>
      </c>
      <c r="J4682" s="13">
        <f>G4682-H4682-I4682</f>
        <v/>
      </c>
      <c r="K4682">
        <f>IF(A4682="","",IF(J4682&lt;=IFERROR(VLOOKUP(A4682,Cadastro_Produtos!$A:$E,5,FALSE),0),"ABAIXO DO MINIMO","OK"))</f>
        <v/>
      </c>
    </row>
    <row r="4683">
      <c r="B4683">
        <f>IFERROR(VLOOKUP(A4683,Cadastro_Produtos!A:B,2,FALSE),"")</f>
        <v/>
      </c>
      <c r="D4683" s="12" t="n"/>
      <c r="E4683" s="13">
        <f>IF(D4683="","",D4683-TODAY())</f>
        <v/>
      </c>
      <c r="F4683">
        <f>IF(D4683="","",IF(E4683&lt;0,"VENCIDO",IF(E4683&lt;=30,"VENCE EM &lt;= 30 DIAS",IF(E4683&lt;=60,"ATENCAO (31-60 DIAS)","OK"))))</f>
        <v/>
      </c>
      <c r="G4683" s="13">
        <f>SUMIFS(Movimentacoes!$G:$G,Movimentacoes!$C:$C,$A4683,Movimentacoes!$E:$E,$C4683,Movimentacoes!$B:$B,"ENTRADA")</f>
        <v/>
      </c>
      <c r="H4683" s="13">
        <f>SUMIFS(Movimentacoes!$G:$G,Movimentacoes!$C:$C,$A4683,Movimentacoes!$E:$E,$C4683,Movimentacoes!$B:$B,"SAIDA_USO")</f>
        <v/>
      </c>
      <c r="I4683" s="13">
        <f>SUMIFS(Movimentacoes!$G:$G,Movimentacoes!$C:$C,$A4683,Movimentacoes!$E:$E,$C4683,Movimentacoes!$B:$B,"SAIDA_DESCARTE")</f>
        <v/>
      </c>
      <c r="J4683" s="13">
        <f>G4683-H4683-I4683</f>
        <v/>
      </c>
      <c r="K4683">
        <f>IF(A4683="","",IF(J4683&lt;=IFERROR(VLOOKUP(A4683,Cadastro_Produtos!$A:$E,5,FALSE),0),"ABAIXO DO MINIMO","OK"))</f>
        <v/>
      </c>
    </row>
    <row r="4684">
      <c r="B4684">
        <f>IFERROR(VLOOKUP(A4684,Cadastro_Produtos!A:B,2,FALSE),"")</f>
        <v/>
      </c>
      <c r="D4684" s="12" t="n"/>
      <c r="E4684" s="13">
        <f>IF(D4684="","",D4684-TODAY())</f>
        <v/>
      </c>
      <c r="F4684">
        <f>IF(D4684="","",IF(E4684&lt;0,"VENCIDO",IF(E4684&lt;=30,"VENCE EM &lt;= 30 DIAS",IF(E4684&lt;=60,"ATENCAO (31-60 DIAS)","OK"))))</f>
        <v/>
      </c>
      <c r="G4684" s="13">
        <f>SUMIFS(Movimentacoes!$G:$G,Movimentacoes!$C:$C,$A4684,Movimentacoes!$E:$E,$C4684,Movimentacoes!$B:$B,"ENTRADA")</f>
        <v/>
      </c>
      <c r="H4684" s="13">
        <f>SUMIFS(Movimentacoes!$G:$G,Movimentacoes!$C:$C,$A4684,Movimentacoes!$E:$E,$C4684,Movimentacoes!$B:$B,"SAIDA_USO")</f>
        <v/>
      </c>
      <c r="I4684" s="13">
        <f>SUMIFS(Movimentacoes!$G:$G,Movimentacoes!$C:$C,$A4684,Movimentacoes!$E:$E,$C4684,Movimentacoes!$B:$B,"SAIDA_DESCARTE")</f>
        <v/>
      </c>
      <c r="J4684" s="13">
        <f>G4684-H4684-I4684</f>
        <v/>
      </c>
      <c r="K4684">
        <f>IF(A4684="","",IF(J4684&lt;=IFERROR(VLOOKUP(A4684,Cadastro_Produtos!$A:$E,5,FALSE),0),"ABAIXO DO MINIMO","OK"))</f>
        <v/>
      </c>
    </row>
    <row r="4685">
      <c r="B4685">
        <f>IFERROR(VLOOKUP(A4685,Cadastro_Produtos!A:B,2,FALSE),"")</f>
        <v/>
      </c>
      <c r="D4685" s="12" t="n"/>
      <c r="E4685" s="13">
        <f>IF(D4685="","",D4685-TODAY())</f>
        <v/>
      </c>
      <c r="F4685">
        <f>IF(D4685="","",IF(E4685&lt;0,"VENCIDO",IF(E4685&lt;=30,"VENCE EM &lt;= 30 DIAS",IF(E4685&lt;=60,"ATENCAO (31-60 DIAS)","OK"))))</f>
        <v/>
      </c>
      <c r="G4685" s="13">
        <f>SUMIFS(Movimentacoes!$G:$G,Movimentacoes!$C:$C,$A4685,Movimentacoes!$E:$E,$C4685,Movimentacoes!$B:$B,"ENTRADA")</f>
        <v/>
      </c>
      <c r="H4685" s="13">
        <f>SUMIFS(Movimentacoes!$G:$G,Movimentacoes!$C:$C,$A4685,Movimentacoes!$E:$E,$C4685,Movimentacoes!$B:$B,"SAIDA_USO")</f>
        <v/>
      </c>
      <c r="I4685" s="13">
        <f>SUMIFS(Movimentacoes!$G:$G,Movimentacoes!$C:$C,$A4685,Movimentacoes!$E:$E,$C4685,Movimentacoes!$B:$B,"SAIDA_DESCARTE")</f>
        <v/>
      </c>
      <c r="J4685" s="13">
        <f>G4685-H4685-I4685</f>
        <v/>
      </c>
      <c r="K4685">
        <f>IF(A4685="","",IF(J4685&lt;=IFERROR(VLOOKUP(A4685,Cadastro_Produtos!$A:$E,5,FALSE),0),"ABAIXO DO MINIMO","OK"))</f>
        <v/>
      </c>
    </row>
    <row r="4686">
      <c r="B4686">
        <f>IFERROR(VLOOKUP(A4686,Cadastro_Produtos!A:B,2,FALSE),"")</f>
        <v/>
      </c>
      <c r="D4686" s="12" t="n"/>
      <c r="E4686" s="13">
        <f>IF(D4686="","",D4686-TODAY())</f>
        <v/>
      </c>
      <c r="F4686">
        <f>IF(D4686="","",IF(E4686&lt;0,"VENCIDO",IF(E4686&lt;=30,"VENCE EM &lt;= 30 DIAS",IF(E4686&lt;=60,"ATENCAO (31-60 DIAS)","OK"))))</f>
        <v/>
      </c>
      <c r="G4686" s="13">
        <f>SUMIFS(Movimentacoes!$G:$G,Movimentacoes!$C:$C,$A4686,Movimentacoes!$E:$E,$C4686,Movimentacoes!$B:$B,"ENTRADA")</f>
        <v/>
      </c>
      <c r="H4686" s="13">
        <f>SUMIFS(Movimentacoes!$G:$G,Movimentacoes!$C:$C,$A4686,Movimentacoes!$E:$E,$C4686,Movimentacoes!$B:$B,"SAIDA_USO")</f>
        <v/>
      </c>
      <c r="I4686" s="13">
        <f>SUMIFS(Movimentacoes!$G:$G,Movimentacoes!$C:$C,$A4686,Movimentacoes!$E:$E,$C4686,Movimentacoes!$B:$B,"SAIDA_DESCARTE")</f>
        <v/>
      </c>
      <c r="J4686" s="13">
        <f>G4686-H4686-I4686</f>
        <v/>
      </c>
      <c r="K4686">
        <f>IF(A4686="","",IF(J4686&lt;=IFERROR(VLOOKUP(A4686,Cadastro_Produtos!$A:$E,5,FALSE),0),"ABAIXO DO MINIMO","OK"))</f>
        <v/>
      </c>
    </row>
    <row r="4687">
      <c r="B4687">
        <f>IFERROR(VLOOKUP(A4687,Cadastro_Produtos!A:B,2,FALSE),"")</f>
        <v/>
      </c>
      <c r="D4687" s="12" t="n"/>
      <c r="E4687" s="13">
        <f>IF(D4687="","",D4687-TODAY())</f>
        <v/>
      </c>
      <c r="F4687">
        <f>IF(D4687="","",IF(E4687&lt;0,"VENCIDO",IF(E4687&lt;=30,"VENCE EM &lt;= 30 DIAS",IF(E4687&lt;=60,"ATENCAO (31-60 DIAS)","OK"))))</f>
        <v/>
      </c>
      <c r="G4687" s="13">
        <f>SUMIFS(Movimentacoes!$G:$G,Movimentacoes!$C:$C,$A4687,Movimentacoes!$E:$E,$C4687,Movimentacoes!$B:$B,"ENTRADA")</f>
        <v/>
      </c>
      <c r="H4687" s="13">
        <f>SUMIFS(Movimentacoes!$G:$G,Movimentacoes!$C:$C,$A4687,Movimentacoes!$E:$E,$C4687,Movimentacoes!$B:$B,"SAIDA_USO")</f>
        <v/>
      </c>
      <c r="I4687" s="13">
        <f>SUMIFS(Movimentacoes!$G:$G,Movimentacoes!$C:$C,$A4687,Movimentacoes!$E:$E,$C4687,Movimentacoes!$B:$B,"SAIDA_DESCARTE")</f>
        <v/>
      </c>
      <c r="J4687" s="13">
        <f>G4687-H4687-I4687</f>
        <v/>
      </c>
      <c r="K4687">
        <f>IF(A4687="","",IF(J4687&lt;=IFERROR(VLOOKUP(A4687,Cadastro_Produtos!$A:$E,5,FALSE),0),"ABAIXO DO MINIMO","OK"))</f>
        <v/>
      </c>
    </row>
    <row r="4688">
      <c r="B4688">
        <f>IFERROR(VLOOKUP(A4688,Cadastro_Produtos!A:B,2,FALSE),"")</f>
        <v/>
      </c>
      <c r="D4688" s="12" t="n"/>
      <c r="E4688" s="13">
        <f>IF(D4688="","",D4688-TODAY())</f>
        <v/>
      </c>
      <c r="F4688">
        <f>IF(D4688="","",IF(E4688&lt;0,"VENCIDO",IF(E4688&lt;=30,"VENCE EM &lt;= 30 DIAS",IF(E4688&lt;=60,"ATENCAO (31-60 DIAS)","OK"))))</f>
        <v/>
      </c>
      <c r="G4688" s="13">
        <f>SUMIFS(Movimentacoes!$G:$G,Movimentacoes!$C:$C,$A4688,Movimentacoes!$E:$E,$C4688,Movimentacoes!$B:$B,"ENTRADA")</f>
        <v/>
      </c>
      <c r="H4688" s="13">
        <f>SUMIFS(Movimentacoes!$G:$G,Movimentacoes!$C:$C,$A4688,Movimentacoes!$E:$E,$C4688,Movimentacoes!$B:$B,"SAIDA_USO")</f>
        <v/>
      </c>
      <c r="I4688" s="13">
        <f>SUMIFS(Movimentacoes!$G:$G,Movimentacoes!$C:$C,$A4688,Movimentacoes!$E:$E,$C4688,Movimentacoes!$B:$B,"SAIDA_DESCARTE")</f>
        <v/>
      </c>
      <c r="J4688" s="13">
        <f>G4688-H4688-I4688</f>
        <v/>
      </c>
      <c r="K4688">
        <f>IF(A4688="","",IF(J4688&lt;=IFERROR(VLOOKUP(A4688,Cadastro_Produtos!$A:$E,5,FALSE),0),"ABAIXO DO MINIMO","OK"))</f>
        <v/>
      </c>
    </row>
    <row r="4689">
      <c r="B4689">
        <f>IFERROR(VLOOKUP(A4689,Cadastro_Produtos!A:B,2,FALSE),"")</f>
        <v/>
      </c>
      <c r="D4689" s="12" t="n"/>
      <c r="E4689" s="13">
        <f>IF(D4689="","",D4689-TODAY())</f>
        <v/>
      </c>
      <c r="F4689">
        <f>IF(D4689="","",IF(E4689&lt;0,"VENCIDO",IF(E4689&lt;=30,"VENCE EM &lt;= 30 DIAS",IF(E4689&lt;=60,"ATENCAO (31-60 DIAS)","OK"))))</f>
        <v/>
      </c>
      <c r="G4689" s="13">
        <f>SUMIFS(Movimentacoes!$G:$G,Movimentacoes!$C:$C,$A4689,Movimentacoes!$E:$E,$C4689,Movimentacoes!$B:$B,"ENTRADA")</f>
        <v/>
      </c>
      <c r="H4689" s="13">
        <f>SUMIFS(Movimentacoes!$G:$G,Movimentacoes!$C:$C,$A4689,Movimentacoes!$E:$E,$C4689,Movimentacoes!$B:$B,"SAIDA_USO")</f>
        <v/>
      </c>
      <c r="I4689" s="13">
        <f>SUMIFS(Movimentacoes!$G:$G,Movimentacoes!$C:$C,$A4689,Movimentacoes!$E:$E,$C4689,Movimentacoes!$B:$B,"SAIDA_DESCARTE")</f>
        <v/>
      </c>
      <c r="J4689" s="13">
        <f>G4689-H4689-I4689</f>
        <v/>
      </c>
      <c r="K4689">
        <f>IF(A4689="","",IF(J4689&lt;=IFERROR(VLOOKUP(A4689,Cadastro_Produtos!$A:$E,5,FALSE),0),"ABAIXO DO MINIMO","OK"))</f>
        <v/>
      </c>
    </row>
    <row r="4690">
      <c r="B4690">
        <f>IFERROR(VLOOKUP(A4690,Cadastro_Produtos!A:B,2,FALSE),"")</f>
        <v/>
      </c>
      <c r="D4690" s="12" t="n"/>
      <c r="E4690" s="13">
        <f>IF(D4690="","",D4690-TODAY())</f>
        <v/>
      </c>
      <c r="F4690">
        <f>IF(D4690="","",IF(E4690&lt;0,"VENCIDO",IF(E4690&lt;=30,"VENCE EM &lt;= 30 DIAS",IF(E4690&lt;=60,"ATENCAO (31-60 DIAS)","OK"))))</f>
        <v/>
      </c>
      <c r="G4690" s="13">
        <f>SUMIFS(Movimentacoes!$G:$G,Movimentacoes!$C:$C,$A4690,Movimentacoes!$E:$E,$C4690,Movimentacoes!$B:$B,"ENTRADA")</f>
        <v/>
      </c>
      <c r="H4690" s="13">
        <f>SUMIFS(Movimentacoes!$G:$G,Movimentacoes!$C:$C,$A4690,Movimentacoes!$E:$E,$C4690,Movimentacoes!$B:$B,"SAIDA_USO")</f>
        <v/>
      </c>
      <c r="I4690" s="13">
        <f>SUMIFS(Movimentacoes!$G:$G,Movimentacoes!$C:$C,$A4690,Movimentacoes!$E:$E,$C4690,Movimentacoes!$B:$B,"SAIDA_DESCARTE")</f>
        <v/>
      </c>
      <c r="J4690" s="13">
        <f>G4690-H4690-I4690</f>
        <v/>
      </c>
      <c r="K4690">
        <f>IF(A4690="","",IF(J4690&lt;=IFERROR(VLOOKUP(A4690,Cadastro_Produtos!$A:$E,5,FALSE),0),"ABAIXO DO MINIMO","OK"))</f>
        <v/>
      </c>
    </row>
    <row r="4691">
      <c r="B4691">
        <f>IFERROR(VLOOKUP(A4691,Cadastro_Produtos!A:B,2,FALSE),"")</f>
        <v/>
      </c>
      <c r="D4691" s="12" t="n"/>
      <c r="E4691" s="13">
        <f>IF(D4691="","",D4691-TODAY())</f>
        <v/>
      </c>
      <c r="F4691">
        <f>IF(D4691="","",IF(E4691&lt;0,"VENCIDO",IF(E4691&lt;=30,"VENCE EM &lt;= 30 DIAS",IF(E4691&lt;=60,"ATENCAO (31-60 DIAS)","OK"))))</f>
        <v/>
      </c>
      <c r="G4691" s="13">
        <f>SUMIFS(Movimentacoes!$G:$G,Movimentacoes!$C:$C,$A4691,Movimentacoes!$E:$E,$C4691,Movimentacoes!$B:$B,"ENTRADA")</f>
        <v/>
      </c>
      <c r="H4691" s="13">
        <f>SUMIFS(Movimentacoes!$G:$G,Movimentacoes!$C:$C,$A4691,Movimentacoes!$E:$E,$C4691,Movimentacoes!$B:$B,"SAIDA_USO")</f>
        <v/>
      </c>
      <c r="I4691" s="13">
        <f>SUMIFS(Movimentacoes!$G:$G,Movimentacoes!$C:$C,$A4691,Movimentacoes!$E:$E,$C4691,Movimentacoes!$B:$B,"SAIDA_DESCARTE")</f>
        <v/>
      </c>
      <c r="J4691" s="13">
        <f>G4691-H4691-I4691</f>
        <v/>
      </c>
      <c r="K4691">
        <f>IF(A4691="","",IF(J4691&lt;=IFERROR(VLOOKUP(A4691,Cadastro_Produtos!$A:$E,5,FALSE),0),"ABAIXO DO MINIMO","OK"))</f>
        <v/>
      </c>
    </row>
    <row r="4692">
      <c r="B4692">
        <f>IFERROR(VLOOKUP(A4692,Cadastro_Produtos!A:B,2,FALSE),"")</f>
        <v/>
      </c>
      <c r="D4692" s="12" t="n"/>
      <c r="E4692" s="13">
        <f>IF(D4692="","",D4692-TODAY())</f>
        <v/>
      </c>
      <c r="F4692">
        <f>IF(D4692="","",IF(E4692&lt;0,"VENCIDO",IF(E4692&lt;=30,"VENCE EM &lt;= 30 DIAS",IF(E4692&lt;=60,"ATENCAO (31-60 DIAS)","OK"))))</f>
        <v/>
      </c>
      <c r="G4692" s="13">
        <f>SUMIFS(Movimentacoes!$G:$G,Movimentacoes!$C:$C,$A4692,Movimentacoes!$E:$E,$C4692,Movimentacoes!$B:$B,"ENTRADA")</f>
        <v/>
      </c>
      <c r="H4692" s="13">
        <f>SUMIFS(Movimentacoes!$G:$G,Movimentacoes!$C:$C,$A4692,Movimentacoes!$E:$E,$C4692,Movimentacoes!$B:$B,"SAIDA_USO")</f>
        <v/>
      </c>
      <c r="I4692" s="13">
        <f>SUMIFS(Movimentacoes!$G:$G,Movimentacoes!$C:$C,$A4692,Movimentacoes!$E:$E,$C4692,Movimentacoes!$B:$B,"SAIDA_DESCARTE")</f>
        <v/>
      </c>
      <c r="J4692" s="13">
        <f>G4692-H4692-I4692</f>
        <v/>
      </c>
      <c r="K4692">
        <f>IF(A4692="","",IF(J4692&lt;=IFERROR(VLOOKUP(A4692,Cadastro_Produtos!$A:$E,5,FALSE),0),"ABAIXO DO MINIMO","OK"))</f>
        <v/>
      </c>
    </row>
    <row r="4693">
      <c r="B4693">
        <f>IFERROR(VLOOKUP(A4693,Cadastro_Produtos!A:B,2,FALSE),"")</f>
        <v/>
      </c>
      <c r="D4693" s="12" t="n"/>
      <c r="E4693" s="13">
        <f>IF(D4693="","",D4693-TODAY())</f>
        <v/>
      </c>
      <c r="F4693">
        <f>IF(D4693="","",IF(E4693&lt;0,"VENCIDO",IF(E4693&lt;=30,"VENCE EM &lt;= 30 DIAS",IF(E4693&lt;=60,"ATENCAO (31-60 DIAS)","OK"))))</f>
        <v/>
      </c>
      <c r="G4693" s="13">
        <f>SUMIFS(Movimentacoes!$G:$G,Movimentacoes!$C:$C,$A4693,Movimentacoes!$E:$E,$C4693,Movimentacoes!$B:$B,"ENTRADA")</f>
        <v/>
      </c>
      <c r="H4693" s="13">
        <f>SUMIFS(Movimentacoes!$G:$G,Movimentacoes!$C:$C,$A4693,Movimentacoes!$E:$E,$C4693,Movimentacoes!$B:$B,"SAIDA_USO")</f>
        <v/>
      </c>
      <c r="I4693" s="13">
        <f>SUMIFS(Movimentacoes!$G:$G,Movimentacoes!$C:$C,$A4693,Movimentacoes!$E:$E,$C4693,Movimentacoes!$B:$B,"SAIDA_DESCARTE")</f>
        <v/>
      </c>
      <c r="J4693" s="13">
        <f>G4693-H4693-I4693</f>
        <v/>
      </c>
      <c r="K4693">
        <f>IF(A4693="","",IF(J4693&lt;=IFERROR(VLOOKUP(A4693,Cadastro_Produtos!$A:$E,5,FALSE),0),"ABAIXO DO MINIMO","OK"))</f>
        <v/>
      </c>
    </row>
    <row r="4694">
      <c r="B4694">
        <f>IFERROR(VLOOKUP(A4694,Cadastro_Produtos!A:B,2,FALSE),"")</f>
        <v/>
      </c>
      <c r="D4694" s="12" t="n"/>
      <c r="E4694" s="13">
        <f>IF(D4694="","",D4694-TODAY())</f>
        <v/>
      </c>
      <c r="F4694">
        <f>IF(D4694="","",IF(E4694&lt;0,"VENCIDO",IF(E4694&lt;=30,"VENCE EM &lt;= 30 DIAS",IF(E4694&lt;=60,"ATENCAO (31-60 DIAS)","OK"))))</f>
        <v/>
      </c>
      <c r="G4694" s="13">
        <f>SUMIFS(Movimentacoes!$G:$G,Movimentacoes!$C:$C,$A4694,Movimentacoes!$E:$E,$C4694,Movimentacoes!$B:$B,"ENTRADA")</f>
        <v/>
      </c>
      <c r="H4694" s="13">
        <f>SUMIFS(Movimentacoes!$G:$G,Movimentacoes!$C:$C,$A4694,Movimentacoes!$E:$E,$C4694,Movimentacoes!$B:$B,"SAIDA_USO")</f>
        <v/>
      </c>
      <c r="I4694" s="13">
        <f>SUMIFS(Movimentacoes!$G:$G,Movimentacoes!$C:$C,$A4694,Movimentacoes!$E:$E,$C4694,Movimentacoes!$B:$B,"SAIDA_DESCARTE")</f>
        <v/>
      </c>
      <c r="J4694" s="13">
        <f>G4694-H4694-I4694</f>
        <v/>
      </c>
      <c r="K4694">
        <f>IF(A4694="","",IF(J4694&lt;=IFERROR(VLOOKUP(A4694,Cadastro_Produtos!$A:$E,5,FALSE),0),"ABAIXO DO MINIMO","OK"))</f>
        <v/>
      </c>
    </row>
    <row r="4695">
      <c r="B4695">
        <f>IFERROR(VLOOKUP(A4695,Cadastro_Produtos!A:B,2,FALSE),"")</f>
        <v/>
      </c>
      <c r="D4695" s="12" t="n"/>
      <c r="E4695" s="13">
        <f>IF(D4695="","",D4695-TODAY())</f>
        <v/>
      </c>
      <c r="F4695">
        <f>IF(D4695="","",IF(E4695&lt;0,"VENCIDO",IF(E4695&lt;=30,"VENCE EM &lt;= 30 DIAS",IF(E4695&lt;=60,"ATENCAO (31-60 DIAS)","OK"))))</f>
        <v/>
      </c>
      <c r="G4695" s="13">
        <f>SUMIFS(Movimentacoes!$G:$G,Movimentacoes!$C:$C,$A4695,Movimentacoes!$E:$E,$C4695,Movimentacoes!$B:$B,"ENTRADA")</f>
        <v/>
      </c>
      <c r="H4695" s="13">
        <f>SUMIFS(Movimentacoes!$G:$G,Movimentacoes!$C:$C,$A4695,Movimentacoes!$E:$E,$C4695,Movimentacoes!$B:$B,"SAIDA_USO")</f>
        <v/>
      </c>
      <c r="I4695" s="13">
        <f>SUMIFS(Movimentacoes!$G:$G,Movimentacoes!$C:$C,$A4695,Movimentacoes!$E:$E,$C4695,Movimentacoes!$B:$B,"SAIDA_DESCARTE")</f>
        <v/>
      </c>
      <c r="J4695" s="13">
        <f>G4695-H4695-I4695</f>
        <v/>
      </c>
      <c r="K4695">
        <f>IF(A4695="","",IF(J4695&lt;=IFERROR(VLOOKUP(A4695,Cadastro_Produtos!$A:$E,5,FALSE),0),"ABAIXO DO MINIMO","OK"))</f>
        <v/>
      </c>
    </row>
    <row r="4696">
      <c r="B4696">
        <f>IFERROR(VLOOKUP(A4696,Cadastro_Produtos!A:B,2,FALSE),"")</f>
        <v/>
      </c>
      <c r="D4696" s="12" t="n"/>
      <c r="E4696" s="13">
        <f>IF(D4696="","",D4696-TODAY())</f>
        <v/>
      </c>
      <c r="F4696">
        <f>IF(D4696="","",IF(E4696&lt;0,"VENCIDO",IF(E4696&lt;=30,"VENCE EM &lt;= 30 DIAS",IF(E4696&lt;=60,"ATENCAO (31-60 DIAS)","OK"))))</f>
        <v/>
      </c>
      <c r="G4696" s="13">
        <f>SUMIFS(Movimentacoes!$G:$G,Movimentacoes!$C:$C,$A4696,Movimentacoes!$E:$E,$C4696,Movimentacoes!$B:$B,"ENTRADA")</f>
        <v/>
      </c>
      <c r="H4696" s="13">
        <f>SUMIFS(Movimentacoes!$G:$G,Movimentacoes!$C:$C,$A4696,Movimentacoes!$E:$E,$C4696,Movimentacoes!$B:$B,"SAIDA_USO")</f>
        <v/>
      </c>
      <c r="I4696" s="13">
        <f>SUMIFS(Movimentacoes!$G:$G,Movimentacoes!$C:$C,$A4696,Movimentacoes!$E:$E,$C4696,Movimentacoes!$B:$B,"SAIDA_DESCARTE")</f>
        <v/>
      </c>
      <c r="J4696" s="13">
        <f>G4696-H4696-I4696</f>
        <v/>
      </c>
      <c r="K4696">
        <f>IF(A4696="","",IF(J4696&lt;=IFERROR(VLOOKUP(A4696,Cadastro_Produtos!$A:$E,5,FALSE),0),"ABAIXO DO MINIMO","OK"))</f>
        <v/>
      </c>
    </row>
    <row r="4697">
      <c r="B4697">
        <f>IFERROR(VLOOKUP(A4697,Cadastro_Produtos!A:B,2,FALSE),"")</f>
        <v/>
      </c>
      <c r="D4697" s="12" t="n"/>
      <c r="E4697" s="13">
        <f>IF(D4697="","",D4697-TODAY())</f>
        <v/>
      </c>
      <c r="F4697">
        <f>IF(D4697="","",IF(E4697&lt;0,"VENCIDO",IF(E4697&lt;=30,"VENCE EM &lt;= 30 DIAS",IF(E4697&lt;=60,"ATENCAO (31-60 DIAS)","OK"))))</f>
        <v/>
      </c>
      <c r="G4697" s="13">
        <f>SUMIFS(Movimentacoes!$G:$G,Movimentacoes!$C:$C,$A4697,Movimentacoes!$E:$E,$C4697,Movimentacoes!$B:$B,"ENTRADA")</f>
        <v/>
      </c>
      <c r="H4697" s="13">
        <f>SUMIFS(Movimentacoes!$G:$G,Movimentacoes!$C:$C,$A4697,Movimentacoes!$E:$E,$C4697,Movimentacoes!$B:$B,"SAIDA_USO")</f>
        <v/>
      </c>
      <c r="I4697" s="13">
        <f>SUMIFS(Movimentacoes!$G:$G,Movimentacoes!$C:$C,$A4697,Movimentacoes!$E:$E,$C4697,Movimentacoes!$B:$B,"SAIDA_DESCARTE")</f>
        <v/>
      </c>
      <c r="J4697" s="13">
        <f>G4697-H4697-I4697</f>
        <v/>
      </c>
      <c r="K4697">
        <f>IF(A4697="","",IF(J4697&lt;=IFERROR(VLOOKUP(A4697,Cadastro_Produtos!$A:$E,5,FALSE),0),"ABAIXO DO MINIMO","OK"))</f>
        <v/>
      </c>
    </row>
    <row r="4698">
      <c r="B4698">
        <f>IFERROR(VLOOKUP(A4698,Cadastro_Produtos!A:B,2,FALSE),"")</f>
        <v/>
      </c>
      <c r="D4698" s="12" t="n"/>
      <c r="E4698" s="13">
        <f>IF(D4698="","",D4698-TODAY())</f>
        <v/>
      </c>
      <c r="F4698">
        <f>IF(D4698="","",IF(E4698&lt;0,"VENCIDO",IF(E4698&lt;=30,"VENCE EM &lt;= 30 DIAS",IF(E4698&lt;=60,"ATENCAO (31-60 DIAS)","OK"))))</f>
        <v/>
      </c>
      <c r="G4698" s="13">
        <f>SUMIFS(Movimentacoes!$G:$G,Movimentacoes!$C:$C,$A4698,Movimentacoes!$E:$E,$C4698,Movimentacoes!$B:$B,"ENTRADA")</f>
        <v/>
      </c>
      <c r="H4698" s="13">
        <f>SUMIFS(Movimentacoes!$G:$G,Movimentacoes!$C:$C,$A4698,Movimentacoes!$E:$E,$C4698,Movimentacoes!$B:$B,"SAIDA_USO")</f>
        <v/>
      </c>
      <c r="I4698" s="13">
        <f>SUMIFS(Movimentacoes!$G:$G,Movimentacoes!$C:$C,$A4698,Movimentacoes!$E:$E,$C4698,Movimentacoes!$B:$B,"SAIDA_DESCARTE")</f>
        <v/>
      </c>
      <c r="J4698" s="13">
        <f>G4698-H4698-I4698</f>
        <v/>
      </c>
      <c r="K4698">
        <f>IF(A4698="","",IF(J4698&lt;=IFERROR(VLOOKUP(A4698,Cadastro_Produtos!$A:$E,5,FALSE),0),"ABAIXO DO MINIMO","OK"))</f>
        <v/>
      </c>
    </row>
    <row r="4699">
      <c r="B4699">
        <f>IFERROR(VLOOKUP(A4699,Cadastro_Produtos!A:B,2,FALSE),"")</f>
        <v/>
      </c>
      <c r="D4699" s="12" t="n"/>
      <c r="E4699" s="13">
        <f>IF(D4699="","",D4699-TODAY())</f>
        <v/>
      </c>
      <c r="F4699">
        <f>IF(D4699="","",IF(E4699&lt;0,"VENCIDO",IF(E4699&lt;=30,"VENCE EM &lt;= 30 DIAS",IF(E4699&lt;=60,"ATENCAO (31-60 DIAS)","OK"))))</f>
        <v/>
      </c>
      <c r="G4699" s="13">
        <f>SUMIFS(Movimentacoes!$G:$G,Movimentacoes!$C:$C,$A4699,Movimentacoes!$E:$E,$C4699,Movimentacoes!$B:$B,"ENTRADA")</f>
        <v/>
      </c>
      <c r="H4699" s="13">
        <f>SUMIFS(Movimentacoes!$G:$G,Movimentacoes!$C:$C,$A4699,Movimentacoes!$E:$E,$C4699,Movimentacoes!$B:$B,"SAIDA_USO")</f>
        <v/>
      </c>
      <c r="I4699" s="13">
        <f>SUMIFS(Movimentacoes!$G:$G,Movimentacoes!$C:$C,$A4699,Movimentacoes!$E:$E,$C4699,Movimentacoes!$B:$B,"SAIDA_DESCARTE")</f>
        <v/>
      </c>
      <c r="J4699" s="13">
        <f>G4699-H4699-I4699</f>
        <v/>
      </c>
      <c r="K4699">
        <f>IF(A4699="","",IF(J4699&lt;=IFERROR(VLOOKUP(A4699,Cadastro_Produtos!$A:$E,5,FALSE),0),"ABAIXO DO MINIMO","OK"))</f>
        <v/>
      </c>
    </row>
    <row r="4700">
      <c r="B4700">
        <f>IFERROR(VLOOKUP(A4700,Cadastro_Produtos!A:B,2,FALSE),"")</f>
        <v/>
      </c>
      <c r="D4700" s="12" t="n"/>
      <c r="E4700" s="13">
        <f>IF(D4700="","",D4700-TODAY())</f>
        <v/>
      </c>
      <c r="F4700">
        <f>IF(D4700="","",IF(E4700&lt;0,"VENCIDO",IF(E4700&lt;=30,"VENCE EM &lt;= 30 DIAS",IF(E4700&lt;=60,"ATENCAO (31-60 DIAS)","OK"))))</f>
        <v/>
      </c>
      <c r="G4700" s="13">
        <f>SUMIFS(Movimentacoes!$G:$G,Movimentacoes!$C:$C,$A4700,Movimentacoes!$E:$E,$C4700,Movimentacoes!$B:$B,"ENTRADA")</f>
        <v/>
      </c>
      <c r="H4700" s="13">
        <f>SUMIFS(Movimentacoes!$G:$G,Movimentacoes!$C:$C,$A4700,Movimentacoes!$E:$E,$C4700,Movimentacoes!$B:$B,"SAIDA_USO")</f>
        <v/>
      </c>
      <c r="I4700" s="13">
        <f>SUMIFS(Movimentacoes!$G:$G,Movimentacoes!$C:$C,$A4700,Movimentacoes!$E:$E,$C4700,Movimentacoes!$B:$B,"SAIDA_DESCARTE")</f>
        <v/>
      </c>
      <c r="J4700" s="13">
        <f>G4700-H4700-I4700</f>
        <v/>
      </c>
      <c r="K4700">
        <f>IF(A4700="","",IF(J4700&lt;=IFERROR(VLOOKUP(A4700,Cadastro_Produtos!$A:$E,5,FALSE),0),"ABAIXO DO MINIMO","OK"))</f>
        <v/>
      </c>
    </row>
    <row r="4701">
      <c r="B4701">
        <f>IFERROR(VLOOKUP(A4701,Cadastro_Produtos!A:B,2,FALSE),"")</f>
        <v/>
      </c>
      <c r="D4701" s="12" t="n"/>
      <c r="E4701" s="13">
        <f>IF(D4701="","",D4701-TODAY())</f>
        <v/>
      </c>
      <c r="F4701">
        <f>IF(D4701="","",IF(E4701&lt;0,"VENCIDO",IF(E4701&lt;=30,"VENCE EM &lt;= 30 DIAS",IF(E4701&lt;=60,"ATENCAO (31-60 DIAS)","OK"))))</f>
        <v/>
      </c>
      <c r="G4701" s="13">
        <f>SUMIFS(Movimentacoes!$G:$G,Movimentacoes!$C:$C,$A4701,Movimentacoes!$E:$E,$C4701,Movimentacoes!$B:$B,"ENTRADA")</f>
        <v/>
      </c>
      <c r="H4701" s="13">
        <f>SUMIFS(Movimentacoes!$G:$G,Movimentacoes!$C:$C,$A4701,Movimentacoes!$E:$E,$C4701,Movimentacoes!$B:$B,"SAIDA_USO")</f>
        <v/>
      </c>
      <c r="I4701" s="13">
        <f>SUMIFS(Movimentacoes!$G:$G,Movimentacoes!$C:$C,$A4701,Movimentacoes!$E:$E,$C4701,Movimentacoes!$B:$B,"SAIDA_DESCARTE")</f>
        <v/>
      </c>
      <c r="J4701" s="13">
        <f>G4701-H4701-I4701</f>
        <v/>
      </c>
      <c r="K4701">
        <f>IF(A4701="","",IF(J4701&lt;=IFERROR(VLOOKUP(A4701,Cadastro_Produtos!$A:$E,5,FALSE),0),"ABAIXO DO MINIMO","OK"))</f>
        <v/>
      </c>
    </row>
    <row r="4702">
      <c r="B4702">
        <f>IFERROR(VLOOKUP(A4702,Cadastro_Produtos!A:B,2,FALSE),"")</f>
        <v/>
      </c>
      <c r="D4702" s="12" t="n"/>
      <c r="E4702" s="13">
        <f>IF(D4702="","",D4702-TODAY())</f>
        <v/>
      </c>
      <c r="F4702">
        <f>IF(D4702="","",IF(E4702&lt;0,"VENCIDO",IF(E4702&lt;=30,"VENCE EM &lt;= 30 DIAS",IF(E4702&lt;=60,"ATENCAO (31-60 DIAS)","OK"))))</f>
        <v/>
      </c>
      <c r="G4702" s="13">
        <f>SUMIFS(Movimentacoes!$G:$G,Movimentacoes!$C:$C,$A4702,Movimentacoes!$E:$E,$C4702,Movimentacoes!$B:$B,"ENTRADA")</f>
        <v/>
      </c>
      <c r="H4702" s="13">
        <f>SUMIFS(Movimentacoes!$G:$G,Movimentacoes!$C:$C,$A4702,Movimentacoes!$E:$E,$C4702,Movimentacoes!$B:$B,"SAIDA_USO")</f>
        <v/>
      </c>
      <c r="I4702" s="13">
        <f>SUMIFS(Movimentacoes!$G:$G,Movimentacoes!$C:$C,$A4702,Movimentacoes!$E:$E,$C4702,Movimentacoes!$B:$B,"SAIDA_DESCARTE")</f>
        <v/>
      </c>
      <c r="J4702" s="13">
        <f>G4702-H4702-I4702</f>
        <v/>
      </c>
      <c r="K4702">
        <f>IF(A4702="","",IF(J4702&lt;=IFERROR(VLOOKUP(A4702,Cadastro_Produtos!$A:$E,5,FALSE),0),"ABAIXO DO MINIMO","OK"))</f>
        <v/>
      </c>
    </row>
    <row r="4703">
      <c r="B4703">
        <f>IFERROR(VLOOKUP(A4703,Cadastro_Produtos!A:B,2,FALSE),"")</f>
        <v/>
      </c>
      <c r="D4703" s="12" t="n"/>
      <c r="E4703" s="13">
        <f>IF(D4703="","",D4703-TODAY())</f>
        <v/>
      </c>
      <c r="F4703">
        <f>IF(D4703="","",IF(E4703&lt;0,"VENCIDO",IF(E4703&lt;=30,"VENCE EM &lt;= 30 DIAS",IF(E4703&lt;=60,"ATENCAO (31-60 DIAS)","OK"))))</f>
        <v/>
      </c>
      <c r="G4703" s="13">
        <f>SUMIFS(Movimentacoes!$G:$G,Movimentacoes!$C:$C,$A4703,Movimentacoes!$E:$E,$C4703,Movimentacoes!$B:$B,"ENTRADA")</f>
        <v/>
      </c>
      <c r="H4703" s="13">
        <f>SUMIFS(Movimentacoes!$G:$G,Movimentacoes!$C:$C,$A4703,Movimentacoes!$E:$E,$C4703,Movimentacoes!$B:$B,"SAIDA_USO")</f>
        <v/>
      </c>
      <c r="I4703" s="13">
        <f>SUMIFS(Movimentacoes!$G:$G,Movimentacoes!$C:$C,$A4703,Movimentacoes!$E:$E,$C4703,Movimentacoes!$B:$B,"SAIDA_DESCARTE")</f>
        <v/>
      </c>
      <c r="J4703" s="13">
        <f>G4703-H4703-I4703</f>
        <v/>
      </c>
      <c r="K4703">
        <f>IF(A4703="","",IF(J4703&lt;=IFERROR(VLOOKUP(A4703,Cadastro_Produtos!$A:$E,5,FALSE),0),"ABAIXO DO MINIMO","OK"))</f>
        <v/>
      </c>
    </row>
    <row r="4704">
      <c r="B4704">
        <f>IFERROR(VLOOKUP(A4704,Cadastro_Produtos!A:B,2,FALSE),"")</f>
        <v/>
      </c>
      <c r="D4704" s="12" t="n"/>
      <c r="E4704" s="13">
        <f>IF(D4704="","",D4704-TODAY())</f>
        <v/>
      </c>
      <c r="F4704">
        <f>IF(D4704="","",IF(E4704&lt;0,"VENCIDO",IF(E4704&lt;=30,"VENCE EM &lt;= 30 DIAS",IF(E4704&lt;=60,"ATENCAO (31-60 DIAS)","OK"))))</f>
        <v/>
      </c>
      <c r="G4704" s="13">
        <f>SUMIFS(Movimentacoes!$G:$G,Movimentacoes!$C:$C,$A4704,Movimentacoes!$E:$E,$C4704,Movimentacoes!$B:$B,"ENTRADA")</f>
        <v/>
      </c>
      <c r="H4704" s="13">
        <f>SUMIFS(Movimentacoes!$G:$G,Movimentacoes!$C:$C,$A4704,Movimentacoes!$E:$E,$C4704,Movimentacoes!$B:$B,"SAIDA_USO")</f>
        <v/>
      </c>
      <c r="I4704" s="13">
        <f>SUMIFS(Movimentacoes!$G:$G,Movimentacoes!$C:$C,$A4704,Movimentacoes!$E:$E,$C4704,Movimentacoes!$B:$B,"SAIDA_DESCARTE")</f>
        <v/>
      </c>
      <c r="J4704" s="13">
        <f>G4704-H4704-I4704</f>
        <v/>
      </c>
      <c r="K4704">
        <f>IF(A4704="","",IF(J4704&lt;=IFERROR(VLOOKUP(A4704,Cadastro_Produtos!$A:$E,5,FALSE),0),"ABAIXO DO MINIMO","OK"))</f>
        <v/>
      </c>
    </row>
    <row r="4705">
      <c r="B4705">
        <f>IFERROR(VLOOKUP(A4705,Cadastro_Produtos!A:B,2,FALSE),"")</f>
        <v/>
      </c>
      <c r="D4705" s="12" t="n"/>
      <c r="E4705" s="13">
        <f>IF(D4705="","",D4705-TODAY())</f>
        <v/>
      </c>
      <c r="F4705">
        <f>IF(D4705="","",IF(E4705&lt;0,"VENCIDO",IF(E4705&lt;=30,"VENCE EM &lt;= 30 DIAS",IF(E4705&lt;=60,"ATENCAO (31-60 DIAS)","OK"))))</f>
        <v/>
      </c>
      <c r="G4705" s="13">
        <f>SUMIFS(Movimentacoes!$G:$G,Movimentacoes!$C:$C,$A4705,Movimentacoes!$E:$E,$C4705,Movimentacoes!$B:$B,"ENTRADA")</f>
        <v/>
      </c>
      <c r="H4705" s="13">
        <f>SUMIFS(Movimentacoes!$G:$G,Movimentacoes!$C:$C,$A4705,Movimentacoes!$E:$E,$C4705,Movimentacoes!$B:$B,"SAIDA_USO")</f>
        <v/>
      </c>
      <c r="I4705" s="13">
        <f>SUMIFS(Movimentacoes!$G:$G,Movimentacoes!$C:$C,$A4705,Movimentacoes!$E:$E,$C4705,Movimentacoes!$B:$B,"SAIDA_DESCARTE")</f>
        <v/>
      </c>
      <c r="J4705" s="13">
        <f>G4705-H4705-I4705</f>
        <v/>
      </c>
      <c r="K4705">
        <f>IF(A4705="","",IF(J4705&lt;=IFERROR(VLOOKUP(A4705,Cadastro_Produtos!$A:$E,5,FALSE),0),"ABAIXO DO MINIMO","OK"))</f>
        <v/>
      </c>
    </row>
    <row r="4706">
      <c r="B4706">
        <f>IFERROR(VLOOKUP(A4706,Cadastro_Produtos!A:B,2,FALSE),"")</f>
        <v/>
      </c>
      <c r="D4706" s="12" t="n"/>
      <c r="E4706" s="13">
        <f>IF(D4706="","",D4706-TODAY())</f>
        <v/>
      </c>
      <c r="F4706">
        <f>IF(D4706="","",IF(E4706&lt;0,"VENCIDO",IF(E4706&lt;=30,"VENCE EM &lt;= 30 DIAS",IF(E4706&lt;=60,"ATENCAO (31-60 DIAS)","OK"))))</f>
        <v/>
      </c>
      <c r="G4706" s="13">
        <f>SUMIFS(Movimentacoes!$G:$G,Movimentacoes!$C:$C,$A4706,Movimentacoes!$E:$E,$C4706,Movimentacoes!$B:$B,"ENTRADA")</f>
        <v/>
      </c>
      <c r="H4706" s="13">
        <f>SUMIFS(Movimentacoes!$G:$G,Movimentacoes!$C:$C,$A4706,Movimentacoes!$E:$E,$C4706,Movimentacoes!$B:$B,"SAIDA_USO")</f>
        <v/>
      </c>
      <c r="I4706" s="13">
        <f>SUMIFS(Movimentacoes!$G:$G,Movimentacoes!$C:$C,$A4706,Movimentacoes!$E:$E,$C4706,Movimentacoes!$B:$B,"SAIDA_DESCARTE")</f>
        <v/>
      </c>
      <c r="J4706" s="13">
        <f>G4706-H4706-I4706</f>
        <v/>
      </c>
      <c r="K4706">
        <f>IF(A4706="","",IF(J4706&lt;=IFERROR(VLOOKUP(A4706,Cadastro_Produtos!$A:$E,5,FALSE),0),"ABAIXO DO MINIMO","OK"))</f>
        <v/>
      </c>
    </row>
    <row r="4707">
      <c r="B4707">
        <f>IFERROR(VLOOKUP(A4707,Cadastro_Produtos!A:B,2,FALSE),"")</f>
        <v/>
      </c>
      <c r="D4707" s="12" t="n"/>
      <c r="E4707" s="13">
        <f>IF(D4707="","",D4707-TODAY())</f>
        <v/>
      </c>
      <c r="F4707">
        <f>IF(D4707="","",IF(E4707&lt;0,"VENCIDO",IF(E4707&lt;=30,"VENCE EM &lt;= 30 DIAS",IF(E4707&lt;=60,"ATENCAO (31-60 DIAS)","OK"))))</f>
        <v/>
      </c>
      <c r="G4707" s="13">
        <f>SUMIFS(Movimentacoes!$G:$G,Movimentacoes!$C:$C,$A4707,Movimentacoes!$E:$E,$C4707,Movimentacoes!$B:$B,"ENTRADA")</f>
        <v/>
      </c>
      <c r="H4707" s="13">
        <f>SUMIFS(Movimentacoes!$G:$G,Movimentacoes!$C:$C,$A4707,Movimentacoes!$E:$E,$C4707,Movimentacoes!$B:$B,"SAIDA_USO")</f>
        <v/>
      </c>
      <c r="I4707" s="13">
        <f>SUMIFS(Movimentacoes!$G:$G,Movimentacoes!$C:$C,$A4707,Movimentacoes!$E:$E,$C4707,Movimentacoes!$B:$B,"SAIDA_DESCARTE")</f>
        <v/>
      </c>
      <c r="J4707" s="13">
        <f>G4707-H4707-I4707</f>
        <v/>
      </c>
      <c r="K4707">
        <f>IF(A4707="","",IF(J4707&lt;=IFERROR(VLOOKUP(A4707,Cadastro_Produtos!$A:$E,5,FALSE),0),"ABAIXO DO MINIMO","OK"))</f>
        <v/>
      </c>
    </row>
    <row r="4708">
      <c r="B4708">
        <f>IFERROR(VLOOKUP(A4708,Cadastro_Produtos!A:B,2,FALSE),"")</f>
        <v/>
      </c>
      <c r="D4708" s="12" t="n"/>
      <c r="E4708" s="13">
        <f>IF(D4708="","",D4708-TODAY())</f>
        <v/>
      </c>
      <c r="F4708">
        <f>IF(D4708="","",IF(E4708&lt;0,"VENCIDO",IF(E4708&lt;=30,"VENCE EM &lt;= 30 DIAS",IF(E4708&lt;=60,"ATENCAO (31-60 DIAS)","OK"))))</f>
        <v/>
      </c>
      <c r="G4708" s="13">
        <f>SUMIFS(Movimentacoes!$G:$G,Movimentacoes!$C:$C,$A4708,Movimentacoes!$E:$E,$C4708,Movimentacoes!$B:$B,"ENTRADA")</f>
        <v/>
      </c>
      <c r="H4708" s="13">
        <f>SUMIFS(Movimentacoes!$G:$G,Movimentacoes!$C:$C,$A4708,Movimentacoes!$E:$E,$C4708,Movimentacoes!$B:$B,"SAIDA_USO")</f>
        <v/>
      </c>
      <c r="I4708" s="13">
        <f>SUMIFS(Movimentacoes!$G:$G,Movimentacoes!$C:$C,$A4708,Movimentacoes!$E:$E,$C4708,Movimentacoes!$B:$B,"SAIDA_DESCARTE")</f>
        <v/>
      </c>
      <c r="J4708" s="13">
        <f>G4708-H4708-I4708</f>
        <v/>
      </c>
      <c r="K4708">
        <f>IF(A4708="","",IF(J4708&lt;=IFERROR(VLOOKUP(A4708,Cadastro_Produtos!$A:$E,5,FALSE),0),"ABAIXO DO MINIMO","OK"))</f>
        <v/>
      </c>
    </row>
    <row r="4709">
      <c r="B4709">
        <f>IFERROR(VLOOKUP(A4709,Cadastro_Produtos!A:B,2,FALSE),"")</f>
        <v/>
      </c>
      <c r="D4709" s="12" t="n"/>
      <c r="E4709" s="13">
        <f>IF(D4709="","",D4709-TODAY())</f>
        <v/>
      </c>
      <c r="F4709">
        <f>IF(D4709="","",IF(E4709&lt;0,"VENCIDO",IF(E4709&lt;=30,"VENCE EM &lt;= 30 DIAS",IF(E4709&lt;=60,"ATENCAO (31-60 DIAS)","OK"))))</f>
        <v/>
      </c>
      <c r="G4709" s="13">
        <f>SUMIFS(Movimentacoes!$G:$G,Movimentacoes!$C:$C,$A4709,Movimentacoes!$E:$E,$C4709,Movimentacoes!$B:$B,"ENTRADA")</f>
        <v/>
      </c>
      <c r="H4709" s="13">
        <f>SUMIFS(Movimentacoes!$G:$G,Movimentacoes!$C:$C,$A4709,Movimentacoes!$E:$E,$C4709,Movimentacoes!$B:$B,"SAIDA_USO")</f>
        <v/>
      </c>
      <c r="I4709" s="13">
        <f>SUMIFS(Movimentacoes!$G:$G,Movimentacoes!$C:$C,$A4709,Movimentacoes!$E:$E,$C4709,Movimentacoes!$B:$B,"SAIDA_DESCARTE")</f>
        <v/>
      </c>
      <c r="J4709" s="13">
        <f>G4709-H4709-I4709</f>
        <v/>
      </c>
      <c r="K4709">
        <f>IF(A4709="","",IF(J4709&lt;=IFERROR(VLOOKUP(A4709,Cadastro_Produtos!$A:$E,5,FALSE),0),"ABAIXO DO MINIMO","OK"))</f>
        <v/>
      </c>
    </row>
    <row r="4710">
      <c r="B4710">
        <f>IFERROR(VLOOKUP(A4710,Cadastro_Produtos!A:B,2,FALSE),"")</f>
        <v/>
      </c>
      <c r="D4710" s="12" t="n"/>
      <c r="E4710" s="13">
        <f>IF(D4710="","",D4710-TODAY())</f>
        <v/>
      </c>
      <c r="F4710">
        <f>IF(D4710="","",IF(E4710&lt;0,"VENCIDO",IF(E4710&lt;=30,"VENCE EM &lt;= 30 DIAS",IF(E4710&lt;=60,"ATENCAO (31-60 DIAS)","OK"))))</f>
        <v/>
      </c>
      <c r="G4710" s="13">
        <f>SUMIFS(Movimentacoes!$G:$G,Movimentacoes!$C:$C,$A4710,Movimentacoes!$E:$E,$C4710,Movimentacoes!$B:$B,"ENTRADA")</f>
        <v/>
      </c>
      <c r="H4710" s="13">
        <f>SUMIFS(Movimentacoes!$G:$G,Movimentacoes!$C:$C,$A4710,Movimentacoes!$E:$E,$C4710,Movimentacoes!$B:$B,"SAIDA_USO")</f>
        <v/>
      </c>
      <c r="I4710" s="13">
        <f>SUMIFS(Movimentacoes!$G:$G,Movimentacoes!$C:$C,$A4710,Movimentacoes!$E:$E,$C4710,Movimentacoes!$B:$B,"SAIDA_DESCARTE")</f>
        <v/>
      </c>
      <c r="J4710" s="13">
        <f>G4710-H4710-I4710</f>
        <v/>
      </c>
      <c r="K4710">
        <f>IF(A4710="","",IF(J4710&lt;=IFERROR(VLOOKUP(A4710,Cadastro_Produtos!$A:$E,5,FALSE),0),"ABAIXO DO MINIMO","OK"))</f>
        <v/>
      </c>
    </row>
    <row r="4711">
      <c r="B4711">
        <f>IFERROR(VLOOKUP(A4711,Cadastro_Produtos!A:B,2,FALSE),"")</f>
        <v/>
      </c>
      <c r="D4711" s="12" t="n"/>
      <c r="E4711" s="13">
        <f>IF(D4711="","",D4711-TODAY())</f>
        <v/>
      </c>
      <c r="F4711">
        <f>IF(D4711="","",IF(E4711&lt;0,"VENCIDO",IF(E4711&lt;=30,"VENCE EM &lt;= 30 DIAS",IF(E4711&lt;=60,"ATENCAO (31-60 DIAS)","OK"))))</f>
        <v/>
      </c>
      <c r="G4711" s="13">
        <f>SUMIFS(Movimentacoes!$G:$G,Movimentacoes!$C:$C,$A4711,Movimentacoes!$E:$E,$C4711,Movimentacoes!$B:$B,"ENTRADA")</f>
        <v/>
      </c>
      <c r="H4711" s="13">
        <f>SUMIFS(Movimentacoes!$G:$G,Movimentacoes!$C:$C,$A4711,Movimentacoes!$E:$E,$C4711,Movimentacoes!$B:$B,"SAIDA_USO")</f>
        <v/>
      </c>
      <c r="I4711" s="13">
        <f>SUMIFS(Movimentacoes!$G:$G,Movimentacoes!$C:$C,$A4711,Movimentacoes!$E:$E,$C4711,Movimentacoes!$B:$B,"SAIDA_DESCARTE")</f>
        <v/>
      </c>
      <c r="J4711" s="13">
        <f>G4711-H4711-I4711</f>
        <v/>
      </c>
      <c r="K4711">
        <f>IF(A4711="","",IF(J4711&lt;=IFERROR(VLOOKUP(A4711,Cadastro_Produtos!$A:$E,5,FALSE),0),"ABAIXO DO MINIMO","OK"))</f>
        <v/>
      </c>
    </row>
    <row r="4712">
      <c r="B4712">
        <f>IFERROR(VLOOKUP(A4712,Cadastro_Produtos!A:B,2,FALSE),"")</f>
        <v/>
      </c>
      <c r="D4712" s="12" t="n"/>
      <c r="E4712" s="13">
        <f>IF(D4712="","",D4712-TODAY())</f>
        <v/>
      </c>
      <c r="F4712">
        <f>IF(D4712="","",IF(E4712&lt;0,"VENCIDO",IF(E4712&lt;=30,"VENCE EM &lt;= 30 DIAS",IF(E4712&lt;=60,"ATENCAO (31-60 DIAS)","OK"))))</f>
        <v/>
      </c>
      <c r="G4712" s="13">
        <f>SUMIFS(Movimentacoes!$G:$G,Movimentacoes!$C:$C,$A4712,Movimentacoes!$E:$E,$C4712,Movimentacoes!$B:$B,"ENTRADA")</f>
        <v/>
      </c>
      <c r="H4712" s="13">
        <f>SUMIFS(Movimentacoes!$G:$G,Movimentacoes!$C:$C,$A4712,Movimentacoes!$E:$E,$C4712,Movimentacoes!$B:$B,"SAIDA_USO")</f>
        <v/>
      </c>
      <c r="I4712" s="13">
        <f>SUMIFS(Movimentacoes!$G:$G,Movimentacoes!$C:$C,$A4712,Movimentacoes!$E:$E,$C4712,Movimentacoes!$B:$B,"SAIDA_DESCARTE")</f>
        <v/>
      </c>
      <c r="J4712" s="13">
        <f>G4712-H4712-I4712</f>
        <v/>
      </c>
      <c r="K4712">
        <f>IF(A4712="","",IF(J4712&lt;=IFERROR(VLOOKUP(A4712,Cadastro_Produtos!$A:$E,5,FALSE),0),"ABAIXO DO MINIMO","OK"))</f>
        <v/>
      </c>
    </row>
    <row r="4713">
      <c r="B4713">
        <f>IFERROR(VLOOKUP(A4713,Cadastro_Produtos!A:B,2,FALSE),"")</f>
        <v/>
      </c>
      <c r="D4713" s="12" t="n"/>
      <c r="E4713" s="13">
        <f>IF(D4713="","",D4713-TODAY())</f>
        <v/>
      </c>
      <c r="F4713">
        <f>IF(D4713="","",IF(E4713&lt;0,"VENCIDO",IF(E4713&lt;=30,"VENCE EM &lt;= 30 DIAS",IF(E4713&lt;=60,"ATENCAO (31-60 DIAS)","OK"))))</f>
        <v/>
      </c>
      <c r="G4713" s="13">
        <f>SUMIFS(Movimentacoes!$G:$G,Movimentacoes!$C:$C,$A4713,Movimentacoes!$E:$E,$C4713,Movimentacoes!$B:$B,"ENTRADA")</f>
        <v/>
      </c>
      <c r="H4713" s="13">
        <f>SUMIFS(Movimentacoes!$G:$G,Movimentacoes!$C:$C,$A4713,Movimentacoes!$E:$E,$C4713,Movimentacoes!$B:$B,"SAIDA_USO")</f>
        <v/>
      </c>
      <c r="I4713" s="13">
        <f>SUMIFS(Movimentacoes!$G:$G,Movimentacoes!$C:$C,$A4713,Movimentacoes!$E:$E,$C4713,Movimentacoes!$B:$B,"SAIDA_DESCARTE")</f>
        <v/>
      </c>
      <c r="J4713" s="13">
        <f>G4713-H4713-I4713</f>
        <v/>
      </c>
      <c r="K4713">
        <f>IF(A4713="","",IF(J4713&lt;=IFERROR(VLOOKUP(A4713,Cadastro_Produtos!$A:$E,5,FALSE),0),"ABAIXO DO MINIMO","OK"))</f>
        <v/>
      </c>
    </row>
    <row r="4714">
      <c r="B4714">
        <f>IFERROR(VLOOKUP(A4714,Cadastro_Produtos!A:B,2,FALSE),"")</f>
        <v/>
      </c>
      <c r="D4714" s="12" t="n"/>
      <c r="E4714" s="13">
        <f>IF(D4714="","",D4714-TODAY())</f>
        <v/>
      </c>
      <c r="F4714">
        <f>IF(D4714="","",IF(E4714&lt;0,"VENCIDO",IF(E4714&lt;=30,"VENCE EM &lt;= 30 DIAS",IF(E4714&lt;=60,"ATENCAO (31-60 DIAS)","OK"))))</f>
        <v/>
      </c>
      <c r="G4714" s="13">
        <f>SUMIFS(Movimentacoes!$G:$G,Movimentacoes!$C:$C,$A4714,Movimentacoes!$E:$E,$C4714,Movimentacoes!$B:$B,"ENTRADA")</f>
        <v/>
      </c>
      <c r="H4714" s="13">
        <f>SUMIFS(Movimentacoes!$G:$G,Movimentacoes!$C:$C,$A4714,Movimentacoes!$E:$E,$C4714,Movimentacoes!$B:$B,"SAIDA_USO")</f>
        <v/>
      </c>
      <c r="I4714" s="13">
        <f>SUMIFS(Movimentacoes!$G:$G,Movimentacoes!$C:$C,$A4714,Movimentacoes!$E:$E,$C4714,Movimentacoes!$B:$B,"SAIDA_DESCARTE")</f>
        <v/>
      </c>
      <c r="J4714" s="13">
        <f>G4714-H4714-I4714</f>
        <v/>
      </c>
      <c r="K4714">
        <f>IF(A4714="","",IF(J4714&lt;=IFERROR(VLOOKUP(A4714,Cadastro_Produtos!$A:$E,5,FALSE),0),"ABAIXO DO MINIMO","OK"))</f>
        <v/>
      </c>
    </row>
    <row r="4715">
      <c r="B4715">
        <f>IFERROR(VLOOKUP(A4715,Cadastro_Produtos!A:B,2,FALSE),"")</f>
        <v/>
      </c>
      <c r="D4715" s="12" t="n"/>
      <c r="E4715" s="13">
        <f>IF(D4715="","",D4715-TODAY())</f>
        <v/>
      </c>
      <c r="F4715">
        <f>IF(D4715="","",IF(E4715&lt;0,"VENCIDO",IF(E4715&lt;=30,"VENCE EM &lt;= 30 DIAS",IF(E4715&lt;=60,"ATENCAO (31-60 DIAS)","OK"))))</f>
        <v/>
      </c>
      <c r="G4715" s="13">
        <f>SUMIFS(Movimentacoes!$G:$G,Movimentacoes!$C:$C,$A4715,Movimentacoes!$E:$E,$C4715,Movimentacoes!$B:$B,"ENTRADA")</f>
        <v/>
      </c>
      <c r="H4715" s="13">
        <f>SUMIFS(Movimentacoes!$G:$G,Movimentacoes!$C:$C,$A4715,Movimentacoes!$E:$E,$C4715,Movimentacoes!$B:$B,"SAIDA_USO")</f>
        <v/>
      </c>
      <c r="I4715" s="13">
        <f>SUMIFS(Movimentacoes!$G:$G,Movimentacoes!$C:$C,$A4715,Movimentacoes!$E:$E,$C4715,Movimentacoes!$B:$B,"SAIDA_DESCARTE")</f>
        <v/>
      </c>
      <c r="J4715" s="13">
        <f>G4715-H4715-I4715</f>
        <v/>
      </c>
      <c r="K4715">
        <f>IF(A4715="","",IF(J4715&lt;=IFERROR(VLOOKUP(A4715,Cadastro_Produtos!$A:$E,5,FALSE),0),"ABAIXO DO MINIMO","OK"))</f>
        <v/>
      </c>
    </row>
    <row r="4716">
      <c r="B4716">
        <f>IFERROR(VLOOKUP(A4716,Cadastro_Produtos!A:B,2,FALSE),"")</f>
        <v/>
      </c>
      <c r="D4716" s="12" t="n"/>
      <c r="E4716" s="13">
        <f>IF(D4716="","",D4716-TODAY())</f>
        <v/>
      </c>
      <c r="F4716">
        <f>IF(D4716="","",IF(E4716&lt;0,"VENCIDO",IF(E4716&lt;=30,"VENCE EM &lt;= 30 DIAS",IF(E4716&lt;=60,"ATENCAO (31-60 DIAS)","OK"))))</f>
        <v/>
      </c>
      <c r="G4716" s="13">
        <f>SUMIFS(Movimentacoes!$G:$G,Movimentacoes!$C:$C,$A4716,Movimentacoes!$E:$E,$C4716,Movimentacoes!$B:$B,"ENTRADA")</f>
        <v/>
      </c>
      <c r="H4716" s="13">
        <f>SUMIFS(Movimentacoes!$G:$G,Movimentacoes!$C:$C,$A4716,Movimentacoes!$E:$E,$C4716,Movimentacoes!$B:$B,"SAIDA_USO")</f>
        <v/>
      </c>
      <c r="I4716" s="13">
        <f>SUMIFS(Movimentacoes!$G:$G,Movimentacoes!$C:$C,$A4716,Movimentacoes!$E:$E,$C4716,Movimentacoes!$B:$B,"SAIDA_DESCARTE")</f>
        <v/>
      </c>
      <c r="J4716" s="13">
        <f>G4716-H4716-I4716</f>
        <v/>
      </c>
      <c r="K4716">
        <f>IF(A4716="","",IF(J4716&lt;=IFERROR(VLOOKUP(A4716,Cadastro_Produtos!$A:$E,5,FALSE),0),"ABAIXO DO MINIMO","OK"))</f>
        <v/>
      </c>
    </row>
    <row r="4717">
      <c r="B4717">
        <f>IFERROR(VLOOKUP(A4717,Cadastro_Produtos!A:B,2,FALSE),"")</f>
        <v/>
      </c>
      <c r="D4717" s="12" t="n"/>
      <c r="E4717" s="13">
        <f>IF(D4717="","",D4717-TODAY())</f>
        <v/>
      </c>
      <c r="F4717">
        <f>IF(D4717="","",IF(E4717&lt;0,"VENCIDO",IF(E4717&lt;=30,"VENCE EM &lt;= 30 DIAS",IF(E4717&lt;=60,"ATENCAO (31-60 DIAS)","OK"))))</f>
        <v/>
      </c>
      <c r="G4717" s="13">
        <f>SUMIFS(Movimentacoes!$G:$G,Movimentacoes!$C:$C,$A4717,Movimentacoes!$E:$E,$C4717,Movimentacoes!$B:$B,"ENTRADA")</f>
        <v/>
      </c>
      <c r="H4717" s="13">
        <f>SUMIFS(Movimentacoes!$G:$G,Movimentacoes!$C:$C,$A4717,Movimentacoes!$E:$E,$C4717,Movimentacoes!$B:$B,"SAIDA_USO")</f>
        <v/>
      </c>
      <c r="I4717" s="13">
        <f>SUMIFS(Movimentacoes!$G:$G,Movimentacoes!$C:$C,$A4717,Movimentacoes!$E:$E,$C4717,Movimentacoes!$B:$B,"SAIDA_DESCARTE")</f>
        <v/>
      </c>
      <c r="J4717" s="13">
        <f>G4717-H4717-I4717</f>
        <v/>
      </c>
      <c r="K4717">
        <f>IF(A4717="","",IF(J4717&lt;=IFERROR(VLOOKUP(A4717,Cadastro_Produtos!$A:$E,5,FALSE),0),"ABAIXO DO MINIMO","OK"))</f>
        <v/>
      </c>
    </row>
    <row r="4718">
      <c r="B4718">
        <f>IFERROR(VLOOKUP(A4718,Cadastro_Produtos!A:B,2,FALSE),"")</f>
        <v/>
      </c>
      <c r="D4718" s="12" t="n"/>
      <c r="E4718" s="13">
        <f>IF(D4718="","",D4718-TODAY())</f>
        <v/>
      </c>
      <c r="F4718">
        <f>IF(D4718="","",IF(E4718&lt;0,"VENCIDO",IF(E4718&lt;=30,"VENCE EM &lt;= 30 DIAS",IF(E4718&lt;=60,"ATENCAO (31-60 DIAS)","OK"))))</f>
        <v/>
      </c>
      <c r="G4718" s="13">
        <f>SUMIFS(Movimentacoes!$G:$G,Movimentacoes!$C:$C,$A4718,Movimentacoes!$E:$E,$C4718,Movimentacoes!$B:$B,"ENTRADA")</f>
        <v/>
      </c>
      <c r="H4718" s="13">
        <f>SUMIFS(Movimentacoes!$G:$G,Movimentacoes!$C:$C,$A4718,Movimentacoes!$E:$E,$C4718,Movimentacoes!$B:$B,"SAIDA_USO")</f>
        <v/>
      </c>
      <c r="I4718" s="13">
        <f>SUMIFS(Movimentacoes!$G:$G,Movimentacoes!$C:$C,$A4718,Movimentacoes!$E:$E,$C4718,Movimentacoes!$B:$B,"SAIDA_DESCARTE")</f>
        <v/>
      </c>
      <c r="J4718" s="13">
        <f>G4718-H4718-I4718</f>
        <v/>
      </c>
      <c r="K4718">
        <f>IF(A4718="","",IF(J4718&lt;=IFERROR(VLOOKUP(A4718,Cadastro_Produtos!$A:$E,5,FALSE),0),"ABAIXO DO MINIMO","OK"))</f>
        <v/>
      </c>
    </row>
    <row r="4719">
      <c r="B4719">
        <f>IFERROR(VLOOKUP(A4719,Cadastro_Produtos!A:B,2,FALSE),"")</f>
        <v/>
      </c>
      <c r="D4719" s="12" t="n"/>
      <c r="E4719" s="13">
        <f>IF(D4719="","",D4719-TODAY())</f>
        <v/>
      </c>
      <c r="F4719">
        <f>IF(D4719="","",IF(E4719&lt;0,"VENCIDO",IF(E4719&lt;=30,"VENCE EM &lt;= 30 DIAS",IF(E4719&lt;=60,"ATENCAO (31-60 DIAS)","OK"))))</f>
        <v/>
      </c>
      <c r="G4719" s="13">
        <f>SUMIFS(Movimentacoes!$G:$G,Movimentacoes!$C:$C,$A4719,Movimentacoes!$E:$E,$C4719,Movimentacoes!$B:$B,"ENTRADA")</f>
        <v/>
      </c>
      <c r="H4719" s="13">
        <f>SUMIFS(Movimentacoes!$G:$G,Movimentacoes!$C:$C,$A4719,Movimentacoes!$E:$E,$C4719,Movimentacoes!$B:$B,"SAIDA_USO")</f>
        <v/>
      </c>
      <c r="I4719" s="13">
        <f>SUMIFS(Movimentacoes!$G:$G,Movimentacoes!$C:$C,$A4719,Movimentacoes!$E:$E,$C4719,Movimentacoes!$B:$B,"SAIDA_DESCARTE")</f>
        <v/>
      </c>
      <c r="J4719" s="13">
        <f>G4719-H4719-I4719</f>
        <v/>
      </c>
      <c r="K4719">
        <f>IF(A4719="","",IF(J4719&lt;=IFERROR(VLOOKUP(A4719,Cadastro_Produtos!$A:$E,5,FALSE),0),"ABAIXO DO MINIMO","OK"))</f>
        <v/>
      </c>
    </row>
    <row r="4720">
      <c r="B4720">
        <f>IFERROR(VLOOKUP(A4720,Cadastro_Produtos!A:B,2,FALSE),"")</f>
        <v/>
      </c>
      <c r="D4720" s="12" t="n"/>
      <c r="E4720" s="13">
        <f>IF(D4720="","",D4720-TODAY())</f>
        <v/>
      </c>
      <c r="F4720">
        <f>IF(D4720="","",IF(E4720&lt;0,"VENCIDO",IF(E4720&lt;=30,"VENCE EM &lt;= 30 DIAS",IF(E4720&lt;=60,"ATENCAO (31-60 DIAS)","OK"))))</f>
        <v/>
      </c>
      <c r="G4720" s="13">
        <f>SUMIFS(Movimentacoes!$G:$G,Movimentacoes!$C:$C,$A4720,Movimentacoes!$E:$E,$C4720,Movimentacoes!$B:$B,"ENTRADA")</f>
        <v/>
      </c>
      <c r="H4720" s="13">
        <f>SUMIFS(Movimentacoes!$G:$G,Movimentacoes!$C:$C,$A4720,Movimentacoes!$E:$E,$C4720,Movimentacoes!$B:$B,"SAIDA_USO")</f>
        <v/>
      </c>
      <c r="I4720" s="13">
        <f>SUMIFS(Movimentacoes!$G:$G,Movimentacoes!$C:$C,$A4720,Movimentacoes!$E:$E,$C4720,Movimentacoes!$B:$B,"SAIDA_DESCARTE")</f>
        <v/>
      </c>
      <c r="J4720" s="13">
        <f>G4720-H4720-I4720</f>
        <v/>
      </c>
      <c r="K4720">
        <f>IF(A4720="","",IF(J4720&lt;=IFERROR(VLOOKUP(A4720,Cadastro_Produtos!$A:$E,5,FALSE),0),"ABAIXO DO MINIMO","OK"))</f>
        <v/>
      </c>
    </row>
    <row r="4721">
      <c r="B4721">
        <f>IFERROR(VLOOKUP(A4721,Cadastro_Produtos!A:B,2,FALSE),"")</f>
        <v/>
      </c>
      <c r="D4721" s="12" t="n"/>
      <c r="E4721" s="13">
        <f>IF(D4721="","",D4721-TODAY())</f>
        <v/>
      </c>
      <c r="F4721">
        <f>IF(D4721="","",IF(E4721&lt;0,"VENCIDO",IF(E4721&lt;=30,"VENCE EM &lt;= 30 DIAS",IF(E4721&lt;=60,"ATENCAO (31-60 DIAS)","OK"))))</f>
        <v/>
      </c>
      <c r="G4721" s="13">
        <f>SUMIFS(Movimentacoes!$G:$G,Movimentacoes!$C:$C,$A4721,Movimentacoes!$E:$E,$C4721,Movimentacoes!$B:$B,"ENTRADA")</f>
        <v/>
      </c>
      <c r="H4721" s="13">
        <f>SUMIFS(Movimentacoes!$G:$G,Movimentacoes!$C:$C,$A4721,Movimentacoes!$E:$E,$C4721,Movimentacoes!$B:$B,"SAIDA_USO")</f>
        <v/>
      </c>
      <c r="I4721" s="13">
        <f>SUMIFS(Movimentacoes!$G:$G,Movimentacoes!$C:$C,$A4721,Movimentacoes!$E:$E,$C4721,Movimentacoes!$B:$B,"SAIDA_DESCARTE")</f>
        <v/>
      </c>
      <c r="J4721" s="13">
        <f>G4721-H4721-I4721</f>
        <v/>
      </c>
      <c r="K4721">
        <f>IF(A4721="","",IF(J4721&lt;=IFERROR(VLOOKUP(A4721,Cadastro_Produtos!$A:$E,5,FALSE),0),"ABAIXO DO MINIMO","OK"))</f>
        <v/>
      </c>
    </row>
    <row r="4722">
      <c r="B4722">
        <f>IFERROR(VLOOKUP(A4722,Cadastro_Produtos!A:B,2,FALSE),"")</f>
        <v/>
      </c>
      <c r="D4722" s="12" t="n"/>
      <c r="E4722" s="13">
        <f>IF(D4722="","",D4722-TODAY())</f>
        <v/>
      </c>
      <c r="F4722">
        <f>IF(D4722="","",IF(E4722&lt;0,"VENCIDO",IF(E4722&lt;=30,"VENCE EM &lt;= 30 DIAS",IF(E4722&lt;=60,"ATENCAO (31-60 DIAS)","OK"))))</f>
        <v/>
      </c>
      <c r="G4722" s="13">
        <f>SUMIFS(Movimentacoes!$G:$G,Movimentacoes!$C:$C,$A4722,Movimentacoes!$E:$E,$C4722,Movimentacoes!$B:$B,"ENTRADA")</f>
        <v/>
      </c>
      <c r="H4722" s="13">
        <f>SUMIFS(Movimentacoes!$G:$G,Movimentacoes!$C:$C,$A4722,Movimentacoes!$E:$E,$C4722,Movimentacoes!$B:$B,"SAIDA_USO")</f>
        <v/>
      </c>
      <c r="I4722" s="13">
        <f>SUMIFS(Movimentacoes!$G:$G,Movimentacoes!$C:$C,$A4722,Movimentacoes!$E:$E,$C4722,Movimentacoes!$B:$B,"SAIDA_DESCARTE")</f>
        <v/>
      </c>
      <c r="J4722" s="13">
        <f>G4722-H4722-I4722</f>
        <v/>
      </c>
      <c r="K4722">
        <f>IF(A4722="","",IF(J4722&lt;=IFERROR(VLOOKUP(A4722,Cadastro_Produtos!$A:$E,5,FALSE),0),"ABAIXO DO MINIMO","OK"))</f>
        <v/>
      </c>
    </row>
    <row r="4723">
      <c r="B4723">
        <f>IFERROR(VLOOKUP(A4723,Cadastro_Produtos!A:B,2,FALSE),"")</f>
        <v/>
      </c>
      <c r="D4723" s="12" t="n"/>
      <c r="E4723" s="13">
        <f>IF(D4723="","",D4723-TODAY())</f>
        <v/>
      </c>
      <c r="F4723">
        <f>IF(D4723="","",IF(E4723&lt;0,"VENCIDO",IF(E4723&lt;=30,"VENCE EM &lt;= 30 DIAS",IF(E4723&lt;=60,"ATENCAO (31-60 DIAS)","OK"))))</f>
        <v/>
      </c>
      <c r="G4723" s="13">
        <f>SUMIFS(Movimentacoes!$G:$G,Movimentacoes!$C:$C,$A4723,Movimentacoes!$E:$E,$C4723,Movimentacoes!$B:$B,"ENTRADA")</f>
        <v/>
      </c>
      <c r="H4723" s="13">
        <f>SUMIFS(Movimentacoes!$G:$G,Movimentacoes!$C:$C,$A4723,Movimentacoes!$E:$E,$C4723,Movimentacoes!$B:$B,"SAIDA_USO")</f>
        <v/>
      </c>
      <c r="I4723" s="13">
        <f>SUMIFS(Movimentacoes!$G:$G,Movimentacoes!$C:$C,$A4723,Movimentacoes!$E:$E,$C4723,Movimentacoes!$B:$B,"SAIDA_DESCARTE")</f>
        <v/>
      </c>
      <c r="J4723" s="13">
        <f>G4723-H4723-I4723</f>
        <v/>
      </c>
      <c r="K4723">
        <f>IF(A4723="","",IF(J4723&lt;=IFERROR(VLOOKUP(A4723,Cadastro_Produtos!$A:$E,5,FALSE),0),"ABAIXO DO MINIMO","OK"))</f>
        <v/>
      </c>
    </row>
    <row r="4724">
      <c r="B4724">
        <f>IFERROR(VLOOKUP(A4724,Cadastro_Produtos!A:B,2,FALSE),"")</f>
        <v/>
      </c>
      <c r="D4724" s="12" t="n"/>
      <c r="E4724" s="13">
        <f>IF(D4724="","",D4724-TODAY())</f>
        <v/>
      </c>
      <c r="F4724">
        <f>IF(D4724="","",IF(E4724&lt;0,"VENCIDO",IF(E4724&lt;=30,"VENCE EM &lt;= 30 DIAS",IF(E4724&lt;=60,"ATENCAO (31-60 DIAS)","OK"))))</f>
        <v/>
      </c>
      <c r="G4724" s="13">
        <f>SUMIFS(Movimentacoes!$G:$G,Movimentacoes!$C:$C,$A4724,Movimentacoes!$E:$E,$C4724,Movimentacoes!$B:$B,"ENTRADA")</f>
        <v/>
      </c>
      <c r="H4724" s="13">
        <f>SUMIFS(Movimentacoes!$G:$G,Movimentacoes!$C:$C,$A4724,Movimentacoes!$E:$E,$C4724,Movimentacoes!$B:$B,"SAIDA_USO")</f>
        <v/>
      </c>
      <c r="I4724" s="13">
        <f>SUMIFS(Movimentacoes!$G:$G,Movimentacoes!$C:$C,$A4724,Movimentacoes!$E:$E,$C4724,Movimentacoes!$B:$B,"SAIDA_DESCARTE")</f>
        <v/>
      </c>
      <c r="J4724" s="13">
        <f>G4724-H4724-I4724</f>
        <v/>
      </c>
      <c r="K4724">
        <f>IF(A4724="","",IF(J4724&lt;=IFERROR(VLOOKUP(A4724,Cadastro_Produtos!$A:$E,5,FALSE),0),"ABAIXO DO MINIMO","OK"))</f>
        <v/>
      </c>
    </row>
    <row r="4725">
      <c r="B4725">
        <f>IFERROR(VLOOKUP(A4725,Cadastro_Produtos!A:B,2,FALSE),"")</f>
        <v/>
      </c>
      <c r="D4725" s="12" t="n"/>
      <c r="E4725" s="13">
        <f>IF(D4725="","",D4725-TODAY())</f>
        <v/>
      </c>
      <c r="F4725">
        <f>IF(D4725="","",IF(E4725&lt;0,"VENCIDO",IF(E4725&lt;=30,"VENCE EM &lt;= 30 DIAS",IF(E4725&lt;=60,"ATENCAO (31-60 DIAS)","OK"))))</f>
        <v/>
      </c>
      <c r="G4725" s="13">
        <f>SUMIFS(Movimentacoes!$G:$G,Movimentacoes!$C:$C,$A4725,Movimentacoes!$E:$E,$C4725,Movimentacoes!$B:$B,"ENTRADA")</f>
        <v/>
      </c>
      <c r="H4725" s="13">
        <f>SUMIFS(Movimentacoes!$G:$G,Movimentacoes!$C:$C,$A4725,Movimentacoes!$E:$E,$C4725,Movimentacoes!$B:$B,"SAIDA_USO")</f>
        <v/>
      </c>
      <c r="I4725" s="13">
        <f>SUMIFS(Movimentacoes!$G:$G,Movimentacoes!$C:$C,$A4725,Movimentacoes!$E:$E,$C4725,Movimentacoes!$B:$B,"SAIDA_DESCARTE")</f>
        <v/>
      </c>
      <c r="J4725" s="13">
        <f>G4725-H4725-I4725</f>
        <v/>
      </c>
      <c r="K4725">
        <f>IF(A4725="","",IF(J4725&lt;=IFERROR(VLOOKUP(A4725,Cadastro_Produtos!$A:$E,5,FALSE),0),"ABAIXO DO MINIMO","OK"))</f>
        <v/>
      </c>
    </row>
    <row r="4726">
      <c r="B4726">
        <f>IFERROR(VLOOKUP(A4726,Cadastro_Produtos!A:B,2,FALSE),"")</f>
        <v/>
      </c>
      <c r="D4726" s="12" t="n"/>
      <c r="E4726" s="13">
        <f>IF(D4726="","",D4726-TODAY())</f>
        <v/>
      </c>
      <c r="F4726">
        <f>IF(D4726="","",IF(E4726&lt;0,"VENCIDO",IF(E4726&lt;=30,"VENCE EM &lt;= 30 DIAS",IF(E4726&lt;=60,"ATENCAO (31-60 DIAS)","OK"))))</f>
        <v/>
      </c>
      <c r="G4726" s="13">
        <f>SUMIFS(Movimentacoes!$G:$G,Movimentacoes!$C:$C,$A4726,Movimentacoes!$E:$E,$C4726,Movimentacoes!$B:$B,"ENTRADA")</f>
        <v/>
      </c>
      <c r="H4726" s="13">
        <f>SUMIFS(Movimentacoes!$G:$G,Movimentacoes!$C:$C,$A4726,Movimentacoes!$E:$E,$C4726,Movimentacoes!$B:$B,"SAIDA_USO")</f>
        <v/>
      </c>
      <c r="I4726" s="13">
        <f>SUMIFS(Movimentacoes!$G:$G,Movimentacoes!$C:$C,$A4726,Movimentacoes!$E:$E,$C4726,Movimentacoes!$B:$B,"SAIDA_DESCARTE")</f>
        <v/>
      </c>
      <c r="J4726" s="13">
        <f>G4726-H4726-I4726</f>
        <v/>
      </c>
      <c r="K4726">
        <f>IF(A4726="","",IF(J4726&lt;=IFERROR(VLOOKUP(A4726,Cadastro_Produtos!$A:$E,5,FALSE),0),"ABAIXO DO MINIMO","OK"))</f>
        <v/>
      </c>
    </row>
    <row r="4727">
      <c r="B4727">
        <f>IFERROR(VLOOKUP(A4727,Cadastro_Produtos!A:B,2,FALSE),"")</f>
        <v/>
      </c>
      <c r="D4727" s="12" t="n"/>
      <c r="E4727" s="13">
        <f>IF(D4727="","",D4727-TODAY())</f>
        <v/>
      </c>
      <c r="F4727">
        <f>IF(D4727="","",IF(E4727&lt;0,"VENCIDO",IF(E4727&lt;=30,"VENCE EM &lt;= 30 DIAS",IF(E4727&lt;=60,"ATENCAO (31-60 DIAS)","OK"))))</f>
        <v/>
      </c>
      <c r="G4727" s="13">
        <f>SUMIFS(Movimentacoes!$G:$G,Movimentacoes!$C:$C,$A4727,Movimentacoes!$E:$E,$C4727,Movimentacoes!$B:$B,"ENTRADA")</f>
        <v/>
      </c>
      <c r="H4727" s="13">
        <f>SUMIFS(Movimentacoes!$G:$G,Movimentacoes!$C:$C,$A4727,Movimentacoes!$E:$E,$C4727,Movimentacoes!$B:$B,"SAIDA_USO")</f>
        <v/>
      </c>
      <c r="I4727" s="13">
        <f>SUMIFS(Movimentacoes!$G:$G,Movimentacoes!$C:$C,$A4727,Movimentacoes!$E:$E,$C4727,Movimentacoes!$B:$B,"SAIDA_DESCARTE")</f>
        <v/>
      </c>
      <c r="J4727" s="13">
        <f>G4727-H4727-I4727</f>
        <v/>
      </c>
      <c r="K4727">
        <f>IF(A4727="","",IF(J4727&lt;=IFERROR(VLOOKUP(A4727,Cadastro_Produtos!$A:$E,5,FALSE),0),"ABAIXO DO MINIMO","OK"))</f>
        <v/>
      </c>
    </row>
    <row r="4728">
      <c r="B4728">
        <f>IFERROR(VLOOKUP(A4728,Cadastro_Produtos!A:B,2,FALSE),"")</f>
        <v/>
      </c>
      <c r="D4728" s="12" t="n"/>
      <c r="E4728" s="13">
        <f>IF(D4728="","",D4728-TODAY())</f>
        <v/>
      </c>
      <c r="F4728">
        <f>IF(D4728="","",IF(E4728&lt;0,"VENCIDO",IF(E4728&lt;=30,"VENCE EM &lt;= 30 DIAS",IF(E4728&lt;=60,"ATENCAO (31-60 DIAS)","OK"))))</f>
        <v/>
      </c>
      <c r="G4728" s="13">
        <f>SUMIFS(Movimentacoes!$G:$G,Movimentacoes!$C:$C,$A4728,Movimentacoes!$E:$E,$C4728,Movimentacoes!$B:$B,"ENTRADA")</f>
        <v/>
      </c>
      <c r="H4728" s="13">
        <f>SUMIFS(Movimentacoes!$G:$G,Movimentacoes!$C:$C,$A4728,Movimentacoes!$E:$E,$C4728,Movimentacoes!$B:$B,"SAIDA_USO")</f>
        <v/>
      </c>
      <c r="I4728" s="13">
        <f>SUMIFS(Movimentacoes!$G:$G,Movimentacoes!$C:$C,$A4728,Movimentacoes!$E:$E,$C4728,Movimentacoes!$B:$B,"SAIDA_DESCARTE")</f>
        <v/>
      </c>
      <c r="J4728" s="13">
        <f>G4728-H4728-I4728</f>
        <v/>
      </c>
      <c r="K4728">
        <f>IF(A4728="","",IF(J4728&lt;=IFERROR(VLOOKUP(A4728,Cadastro_Produtos!$A:$E,5,FALSE),0),"ABAIXO DO MINIMO","OK"))</f>
        <v/>
      </c>
    </row>
    <row r="4729">
      <c r="B4729">
        <f>IFERROR(VLOOKUP(A4729,Cadastro_Produtos!A:B,2,FALSE),"")</f>
        <v/>
      </c>
      <c r="D4729" s="12" t="n"/>
      <c r="E4729" s="13">
        <f>IF(D4729="","",D4729-TODAY())</f>
        <v/>
      </c>
      <c r="F4729">
        <f>IF(D4729="","",IF(E4729&lt;0,"VENCIDO",IF(E4729&lt;=30,"VENCE EM &lt;= 30 DIAS",IF(E4729&lt;=60,"ATENCAO (31-60 DIAS)","OK"))))</f>
        <v/>
      </c>
      <c r="G4729" s="13">
        <f>SUMIFS(Movimentacoes!$G:$G,Movimentacoes!$C:$C,$A4729,Movimentacoes!$E:$E,$C4729,Movimentacoes!$B:$B,"ENTRADA")</f>
        <v/>
      </c>
      <c r="H4729" s="13">
        <f>SUMIFS(Movimentacoes!$G:$G,Movimentacoes!$C:$C,$A4729,Movimentacoes!$E:$E,$C4729,Movimentacoes!$B:$B,"SAIDA_USO")</f>
        <v/>
      </c>
      <c r="I4729" s="13">
        <f>SUMIFS(Movimentacoes!$G:$G,Movimentacoes!$C:$C,$A4729,Movimentacoes!$E:$E,$C4729,Movimentacoes!$B:$B,"SAIDA_DESCARTE")</f>
        <v/>
      </c>
      <c r="J4729" s="13">
        <f>G4729-H4729-I4729</f>
        <v/>
      </c>
      <c r="K4729">
        <f>IF(A4729="","",IF(J4729&lt;=IFERROR(VLOOKUP(A4729,Cadastro_Produtos!$A:$E,5,FALSE),0),"ABAIXO DO MINIMO","OK"))</f>
        <v/>
      </c>
    </row>
    <row r="4730">
      <c r="B4730">
        <f>IFERROR(VLOOKUP(A4730,Cadastro_Produtos!A:B,2,FALSE),"")</f>
        <v/>
      </c>
      <c r="D4730" s="12" t="n"/>
      <c r="E4730" s="13">
        <f>IF(D4730="","",D4730-TODAY())</f>
        <v/>
      </c>
      <c r="F4730">
        <f>IF(D4730="","",IF(E4730&lt;0,"VENCIDO",IF(E4730&lt;=30,"VENCE EM &lt;= 30 DIAS",IF(E4730&lt;=60,"ATENCAO (31-60 DIAS)","OK"))))</f>
        <v/>
      </c>
      <c r="G4730" s="13">
        <f>SUMIFS(Movimentacoes!$G:$G,Movimentacoes!$C:$C,$A4730,Movimentacoes!$E:$E,$C4730,Movimentacoes!$B:$B,"ENTRADA")</f>
        <v/>
      </c>
      <c r="H4730" s="13">
        <f>SUMIFS(Movimentacoes!$G:$G,Movimentacoes!$C:$C,$A4730,Movimentacoes!$E:$E,$C4730,Movimentacoes!$B:$B,"SAIDA_USO")</f>
        <v/>
      </c>
      <c r="I4730" s="13">
        <f>SUMIFS(Movimentacoes!$G:$G,Movimentacoes!$C:$C,$A4730,Movimentacoes!$E:$E,$C4730,Movimentacoes!$B:$B,"SAIDA_DESCARTE")</f>
        <v/>
      </c>
      <c r="J4730" s="13">
        <f>G4730-H4730-I4730</f>
        <v/>
      </c>
      <c r="K4730">
        <f>IF(A4730="","",IF(J4730&lt;=IFERROR(VLOOKUP(A4730,Cadastro_Produtos!$A:$E,5,FALSE),0),"ABAIXO DO MINIMO","OK"))</f>
        <v/>
      </c>
    </row>
    <row r="4731">
      <c r="B4731">
        <f>IFERROR(VLOOKUP(A4731,Cadastro_Produtos!A:B,2,FALSE),"")</f>
        <v/>
      </c>
      <c r="D4731" s="12" t="n"/>
      <c r="E4731" s="13">
        <f>IF(D4731="","",D4731-TODAY())</f>
        <v/>
      </c>
      <c r="F4731">
        <f>IF(D4731="","",IF(E4731&lt;0,"VENCIDO",IF(E4731&lt;=30,"VENCE EM &lt;= 30 DIAS",IF(E4731&lt;=60,"ATENCAO (31-60 DIAS)","OK"))))</f>
        <v/>
      </c>
      <c r="G4731" s="13">
        <f>SUMIFS(Movimentacoes!$G:$G,Movimentacoes!$C:$C,$A4731,Movimentacoes!$E:$E,$C4731,Movimentacoes!$B:$B,"ENTRADA")</f>
        <v/>
      </c>
      <c r="H4731" s="13">
        <f>SUMIFS(Movimentacoes!$G:$G,Movimentacoes!$C:$C,$A4731,Movimentacoes!$E:$E,$C4731,Movimentacoes!$B:$B,"SAIDA_USO")</f>
        <v/>
      </c>
      <c r="I4731" s="13">
        <f>SUMIFS(Movimentacoes!$G:$G,Movimentacoes!$C:$C,$A4731,Movimentacoes!$E:$E,$C4731,Movimentacoes!$B:$B,"SAIDA_DESCARTE")</f>
        <v/>
      </c>
      <c r="J4731" s="13">
        <f>G4731-H4731-I4731</f>
        <v/>
      </c>
      <c r="K4731">
        <f>IF(A4731="","",IF(J4731&lt;=IFERROR(VLOOKUP(A4731,Cadastro_Produtos!$A:$E,5,FALSE),0),"ABAIXO DO MINIMO","OK"))</f>
        <v/>
      </c>
    </row>
    <row r="4732">
      <c r="B4732">
        <f>IFERROR(VLOOKUP(A4732,Cadastro_Produtos!A:B,2,FALSE),"")</f>
        <v/>
      </c>
      <c r="D4732" s="12" t="n"/>
      <c r="E4732" s="13">
        <f>IF(D4732="","",D4732-TODAY())</f>
        <v/>
      </c>
      <c r="F4732">
        <f>IF(D4732="","",IF(E4732&lt;0,"VENCIDO",IF(E4732&lt;=30,"VENCE EM &lt;= 30 DIAS",IF(E4732&lt;=60,"ATENCAO (31-60 DIAS)","OK"))))</f>
        <v/>
      </c>
      <c r="G4732" s="13">
        <f>SUMIFS(Movimentacoes!$G:$G,Movimentacoes!$C:$C,$A4732,Movimentacoes!$E:$E,$C4732,Movimentacoes!$B:$B,"ENTRADA")</f>
        <v/>
      </c>
      <c r="H4732" s="13">
        <f>SUMIFS(Movimentacoes!$G:$G,Movimentacoes!$C:$C,$A4732,Movimentacoes!$E:$E,$C4732,Movimentacoes!$B:$B,"SAIDA_USO")</f>
        <v/>
      </c>
      <c r="I4732" s="13">
        <f>SUMIFS(Movimentacoes!$G:$G,Movimentacoes!$C:$C,$A4732,Movimentacoes!$E:$E,$C4732,Movimentacoes!$B:$B,"SAIDA_DESCARTE")</f>
        <v/>
      </c>
      <c r="J4732" s="13">
        <f>G4732-H4732-I4732</f>
        <v/>
      </c>
      <c r="K4732">
        <f>IF(A4732="","",IF(J4732&lt;=IFERROR(VLOOKUP(A4732,Cadastro_Produtos!$A:$E,5,FALSE),0),"ABAIXO DO MINIMO","OK"))</f>
        <v/>
      </c>
    </row>
    <row r="4733">
      <c r="B4733">
        <f>IFERROR(VLOOKUP(A4733,Cadastro_Produtos!A:B,2,FALSE),"")</f>
        <v/>
      </c>
      <c r="D4733" s="12" t="n"/>
      <c r="E4733" s="13">
        <f>IF(D4733="","",D4733-TODAY())</f>
        <v/>
      </c>
      <c r="F4733">
        <f>IF(D4733="","",IF(E4733&lt;0,"VENCIDO",IF(E4733&lt;=30,"VENCE EM &lt;= 30 DIAS",IF(E4733&lt;=60,"ATENCAO (31-60 DIAS)","OK"))))</f>
        <v/>
      </c>
      <c r="G4733" s="13">
        <f>SUMIFS(Movimentacoes!$G:$G,Movimentacoes!$C:$C,$A4733,Movimentacoes!$E:$E,$C4733,Movimentacoes!$B:$B,"ENTRADA")</f>
        <v/>
      </c>
      <c r="H4733" s="13">
        <f>SUMIFS(Movimentacoes!$G:$G,Movimentacoes!$C:$C,$A4733,Movimentacoes!$E:$E,$C4733,Movimentacoes!$B:$B,"SAIDA_USO")</f>
        <v/>
      </c>
      <c r="I4733" s="13">
        <f>SUMIFS(Movimentacoes!$G:$G,Movimentacoes!$C:$C,$A4733,Movimentacoes!$E:$E,$C4733,Movimentacoes!$B:$B,"SAIDA_DESCARTE")</f>
        <v/>
      </c>
      <c r="J4733" s="13">
        <f>G4733-H4733-I4733</f>
        <v/>
      </c>
      <c r="K4733">
        <f>IF(A4733="","",IF(J4733&lt;=IFERROR(VLOOKUP(A4733,Cadastro_Produtos!$A:$E,5,FALSE),0),"ABAIXO DO MINIMO","OK"))</f>
        <v/>
      </c>
    </row>
    <row r="4734">
      <c r="B4734">
        <f>IFERROR(VLOOKUP(A4734,Cadastro_Produtos!A:B,2,FALSE),"")</f>
        <v/>
      </c>
      <c r="D4734" s="12" t="n"/>
      <c r="E4734" s="13">
        <f>IF(D4734="","",D4734-TODAY())</f>
        <v/>
      </c>
      <c r="F4734">
        <f>IF(D4734="","",IF(E4734&lt;0,"VENCIDO",IF(E4734&lt;=30,"VENCE EM &lt;= 30 DIAS",IF(E4734&lt;=60,"ATENCAO (31-60 DIAS)","OK"))))</f>
        <v/>
      </c>
      <c r="G4734" s="13">
        <f>SUMIFS(Movimentacoes!$G:$G,Movimentacoes!$C:$C,$A4734,Movimentacoes!$E:$E,$C4734,Movimentacoes!$B:$B,"ENTRADA")</f>
        <v/>
      </c>
      <c r="H4734" s="13">
        <f>SUMIFS(Movimentacoes!$G:$G,Movimentacoes!$C:$C,$A4734,Movimentacoes!$E:$E,$C4734,Movimentacoes!$B:$B,"SAIDA_USO")</f>
        <v/>
      </c>
      <c r="I4734" s="13">
        <f>SUMIFS(Movimentacoes!$G:$G,Movimentacoes!$C:$C,$A4734,Movimentacoes!$E:$E,$C4734,Movimentacoes!$B:$B,"SAIDA_DESCARTE")</f>
        <v/>
      </c>
      <c r="J4734" s="13">
        <f>G4734-H4734-I4734</f>
        <v/>
      </c>
      <c r="K4734">
        <f>IF(A4734="","",IF(J4734&lt;=IFERROR(VLOOKUP(A4734,Cadastro_Produtos!$A:$E,5,FALSE),0),"ABAIXO DO MINIMO","OK"))</f>
        <v/>
      </c>
    </row>
    <row r="4735">
      <c r="B4735">
        <f>IFERROR(VLOOKUP(A4735,Cadastro_Produtos!A:B,2,FALSE),"")</f>
        <v/>
      </c>
      <c r="D4735" s="12" t="n"/>
      <c r="E4735" s="13">
        <f>IF(D4735="","",D4735-TODAY())</f>
        <v/>
      </c>
      <c r="F4735">
        <f>IF(D4735="","",IF(E4735&lt;0,"VENCIDO",IF(E4735&lt;=30,"VENCE EM &lt;= 30 DIAS",IF(E4735&lt;=60,"ATENCAO (31-60 DIAS)","OK"))))</f>
        <v/>
      </c>
      <c r="G4735" s="13">
        <f>SUMIFS(Movimentacoes!$G:$G,Movimentacoes!$C:$C,$A4735,Movimentacoes!$E:$E,$C4735,Movimentacoes!$B:$B,"ENTRADA")</f>
        <v/>
      </c>
      <c r="H4735" s="13">
        <f>SUMIFS(Movimentacoes!$G:$G,Movimentacoes!$C:$C,$A4735,Movimentacoes!$E:$E,$C4735,Movimentacoes!$B:$B,"SAIDA_USO")</f>
        <v/>
      </c>
      <c r="I4735" s="13">
        <f>SUMIFS(Movimentacoes!$G:$G,Movimentacoes!$C:$C,$A4735,Movimentacoes!$E:$E,$C4735,Movimentacoes!$B:$B,"SAIDA_DESCARTE")</f>
        <v/>
      </c>
      <c r="J4735" s="13">
        <f>G4735-H4735-I4735</f>
        <v/>
      </c>
      <c r="K4735">
        <f>IF(A4735="","",IF(J4735&lt;=IFERROR(VLOOKUP(A4735,Cadastro_Produtos!$A:$E,5,FALSE),0),"ABAIXO DO MINIMO","OK"))</f>
        <v/>
      </c>
    </row>
    <row r="4736">
      <c r="B4736">
        <f>IFERROR(VLOOKUP(A4736,Cadastro_Produtos!A:B,2,FALSE),"")</f>
        <v/>
      </c>
      <c r="D4736" s="12" t="n"/>
      <c r="E4736" s="13">
        <f>IF(D4736="","",D4736-TODAY())</f>
        <v/>
      </c>
      <c r="F4736">
        <f>IF(D4736="","",IF(E4736&lt;0,"VENCIDO",IF(E4736&lt;=30,"VENCE EM &lt;= 30 DIAS",IF(E4736&lt;=60,"ATENCAO (31-60 DIAS)","OK"))))</f>
        <v/>
      </c>
      <c r="G4736" s="13">
        <f>SUMIFS(Movimentacoes!$G:$G,Movimentacoes!$C:$C,$A4736,Movimentacoes!$E:$E,$C4736,Movimentacoes!$B:$B,"ENTRADA")</f>
        <v/>
      </c>
      <c r="H4736" s="13">
        <f>SUMIFS(Movimentacoes!$G:$G,Movimentacoes!$C:$C,$A4736,Movimentacoes!$E:$E,$C4736,Movimentacoes!$B:$B,"SAIDA_USO")</f>
        <v/>
      </c>
      <c r="I4736" s="13">
        <f>SUMIFS(Movimentacoes!$G:$G,Movimentacoes!$C:$C,$A4736,Movimentacoes!$E:$E,$C4736,Movimentacoes!$B:$B,"SAIDA_DESCARTE")</f>
        <v/>
      </c>
      <c r="J4736" s="13">
        <f>G4736-H4736-I4736</f>
        <v/>
      </c>
      <c r="K4736">
        <f>IF(A4736="","",IF(J4736&lt;=IFERROR(VLOOKUP(A4736,Cadastro_Produtos!$A:$E,5,FALSE),0),"ABAIXO DO MINIMO","OK"))</f>
        <v/>
      </c>
    </row>
    <row r="4737">
      <c r="B4737">
        <f>IFERROR(VLOOKUP(A4737,Cadastro_Produtos!A:B,2,FALSE),"")</f>
        <v/>
      </c>
      <c r="D4737" s="12" t="n"/>
      <c r="E4737" s="13">
        <f>IF(D4737="","",D4737-TODAY())</f>
        <v/>
      </c>
      <c r="F4737">
        <f>IF(D4737="","",IF(E4737&lt;0,"VENCIDO",IF(E4737&lt;=30,"VENCE EM &lt;= 30 DIAS",IF(E4737&lt;=60,"ATENCAO (31-60 DIAS)","OK"))))</f>
        <v/>
      </c>
      <c r="G4737" s="13">
        <f>SUMIFS(Movimentacoes!$G:$G,Movimentacoes!$C:$C,$A4737,Movimentacoes!$E:$E,$C4737,Movimentacoes!$B:$B,"ENTRADA")</f>
        <v/>
      </c>
      <c r="H4737" s="13">
        <f>SUMIFS(Movimentacoes!$G:$G,Movimentacoes!$C:$C,$A4737,Movimentacoes!$E:$E,$C4737,Movimentacoes!$B:$B,"SAIDA_USO")</f>
        <v/>
      </c>
      <c r="I4737" s="13">
        <f>SUMIFS(Movimentacoes!$G:$G,Movimentacoes!$C:$C,$A4737,Movimentacoes!$E:$E,$C4737,Movimentacoes!$B:$B,"SAIDA_DESCARTE")</f>
        <v/>
      </c>
      <c r="J4737" s="13">
        <f>G4737-H4737-I4737</f>
        <v/>
      </c>
      <c r="K4737">
        <f>IF(A4737="","",IF(J4737&lt;=IFERROR(VLOOKUP(A4737,Cadastro_Produtos!$A:$E,5,FALSE),0),"ABAIXO DO MINIMO","OK"))</f>
        <v/>
      </c>
    </row>
    <row r="4738">
      <c r="B4738">
        <f>IFERROR(VLOOKUP(A4738,Cadastro_Produtos!A:B,2,FALSE),"")</f>
        <v/>
      </c>
      <c r="D4738" s="12" t="n"/>
      <c r="E4738" s="13">
        <f>IF(D4738="","",D4738-TODAY())</f>
        <v/>
      </c>
      <c r="F4738">
        <f>IF(D4738="","",IF(E4738&lt;0,"VENCIDO",IF(E4738&lt;=30,"VENCE EM &lt;= 30 DIAS",IF(E4738&lt;=60,"ATENCAO (31-60 DIAS)","OK"))))</f>
        <v/>
      </c>
      <c r="G4738" s="13">
        <f>SUMIFS(Movimentacoes!$G:$G,Movimentacoes!$C:$C,$A4738,Movimentacoes!$E:$E,$C4738,Movimentacoes!$B:$B,"ENTRADA")</f>
        <v/>
      </c>
      <c r="H4738" s="13">
        <f>SUMIFS(Movimentacoes!$G:$G,Movimentacoes!$C:$C,$A4738,Movimentacoes!$E:$E,$C4738,Movimentacoes!$B:$B,"SAIDA_USO")</f>
        <v/>
      </c>
      <c r="I4738" s="13">
        <f>SUMIFS(Movimentacoes!$G:$G,Movimentacoes!$C:$C,$A4738,Movimentacoes!$E:$E,$C4738,Movimentacoes!$B:$B,"SAIDA_DESCARTE")</f>
        <v/>
      </c>
      <c r="J4738" s="13">
        <f>G4738-H4738-I4738</f>
        <v/>
      </c>
      <c r="K4738">
        <f>IF(A4738="","",IF(J4738&lt;=IFERROR(VLOOKUP(A4738,Cadastro_Produtos!$A:$E,5,FALSE),0),"ABAIXO DO MINIMO","OK"))</f>
        <v/>
      </c>
    </row>
    <row r="4739">
      <c r="B4739">
        <f>IFERROR(VLOOKUP(A4739,Cadastro_Produtos!A:B,2,FALSE),"")</f>
        <v/>
      </c>
      <c r="D4739" s="12" t="n"/>
      <c r="E4739" s="13">
        <f>IF(D4739="","",D4739-TODAY())</f>
        <v/>
      </c>
      <c r="F4739">
        <f>IF(D4739="","",IF(E4739&lt;0,"VENCIDO",IF(E4739&lt;=30,"VENCE EM &lt;= 30 DIAS",IF(E4739&lt;=60,"ATENCAO (31-60 DIAS)","OK"))))</f>
        <v/>
      </c>
      <c r="G4739" s="13">
        <f>SUMIFS(Movimentacoes!$G:$G,Movimentacoes!$C:$C,$A4739,Movimentacoes!$E:$E,$C4739,Movimentacoes!$B:$B,"ENTRADA")</f>
        <v/>
      </c>
      <c r="H4739" s="13">
        <f>SUMIFS(Movimentacoes!$G:$G,Movimentacoes!$C:$C,$A4739,Movimentacoes!$E:$E,$C4739,Movimentacoes!$B:$B,"SAIDA_USO")</f>
        <v/>
      </c>
      <c r="I4739" s="13">
        <f>SUMIFS(Movimentacoes!$G:$G,Movimentacoes!$C:$C,$A4739,Movimentacoes!$E:$E,$C4739,Movimentacoes!$B:$B,"SAIDA_DESCARTE")</f>
        <v/>
      </c>
      <c r="J4739" s="13">
        <f>G4739-H4739-I4739</f>
        <v/>
      </c>
      <c r="K4739">
        <f>IF(A4739="","",IF(J4739&lt;=IFERROR(VLOOKUP(A4739,Cadastro_Produtos!$A:$E,5,FALSE),0),"ABAIXO DO MINIMO","OK"))</f>
        <v/>
      </c>
    </row>
    <row r="4740">
      <c r="B4740">
        <f>IFERROR(VLOOKUP(A4740,Cadastro_Produtos!A:B,2,FALSE),"")</f>
        <v/>
      </c>
      <c r="D4740" s="12" t="n"/>
      <c r="E4740" s="13">
        <f>IF(D4740="","",D4740-TODAY())</f>
        <v/>
      </c>
      <c r="F4740">
        <f>IF(D4740="","",IF(E4740&lt;0,"VENCIDO",IF(E4740&lt;=30,"VENCE EM &lt;= 30 DIAS",IF(E4740&lt;=60,"ATENCAO (31-60 DIAS)","OK"))))</f>
        <v/>
      </c>
      <c r="G4740" s="13">
        <f>SUMIFS(Movimentacoes!$G:$G,Movimentacoes!$C:$C,$A4740,Movimentacoes!$E:$E,$C4740,Movimentacoes!$B:$B,"ENTRADA")</f>
        <v/>
      </c>
      <c r="H4740" s="13">
        <f>SUMIFS(Movimentacoes!$G:$G,Movimentacoes!$C:$C,$A4740,Movimentacoes!$E:$E,$C4740,Movimentacoes!$B:$B,"SAIDA_USO")</f>
        <v/>
      </c>
      <c r="I4740" s="13">
        <f>SUMIFS(Movimentacoes!$G:$G,Movimentacoes!$C:$C,$A4740,Movimentacoes!$E:$E,$C4740,Movimentacoes!$B:$B,"SAIDA_DESCARTE")</f>
        <v/>
      </c>
      <c r="J4740" s="13">
        <f>G4740-H4740-I4740</f>
        <v/>
      </c>
      <c r="K4740">
        <f>IF(A4740="","",IF(J4740&lt;=IFERROR(VLOOKUP(A4740,Cadastro_Produtos!$A:$E,5,FALSE),0),"ABAIXO DO MINIMO","OK"))</f>
        <v/>
      </c>
    </row>
    <row r="4741">
      <c r="B4741">
        <f>IFERROR(VLOOKUP(A4741,Cadastro_Produtos!A:B,2,FALSE),"")</f>
        <v/>
      </c>
      <c r="D4741" s="12" t="n"/>
      <c r="E4741" s="13">
        <f>IF(D4741="","",D4741-TODAY())</f>
        <v/>
      </c>
      <c r="F4741">
        <f>IF(D4741="","",IF(E4741&lt;0,"VENCIDO",IF(E4741&lt;=30,"VENCE EM &lt;= 30 DIAS",IF(E4741&lt;=60,"ATENCAO (31-60 DIAS)","OK"))))</f>
        <v/>
      </c>
      <c r="G4741" s="13">
        <f>SUMIFS(Movimentacoes!$G:$G,Movimentacoes!$C:$C,$A4741,Movimentacoes!$E:$E,$C4741,Movimentacoes!$B:$B,"ENTRADA")</f>
        <v/>
      </c>
      <c r="H4741" s="13">
        <f>SUMIFS(Movimentacoes!$G:$G,Movimentacoes!$C:$C,$A4741,Movimentacoes!$E:$E,$C4741,Movimentacoes!$B:$B,"SAIDA_USO")</f>
        <v/>
      </c>
      <c r="I4741" s="13">
        <f>SUMIFS(Movimentacoes!$G:$G,Movimentacoes!$C:$C,$A4741,Movimentacoes!$E:$E,$C4741,Movimentacoes!$B:$B,"SAIDA_DESCARTE")</f>
        <v/>
      </c>
      <c r="J4741" s="13">
        <f>G4741-H4741-I4741</f>
        <v/>
      </c>
      <c r="K4741">
        <f>IF(A4741="","",IF(J4741&lt;=IFERROR(VLOOKUP(A4741,Cadastro_Produtos!$A:$E,5,FALSE),0),"ABAIXO DO MINIMO","OK"))</f>
        <v/>
      </c>
    </row>
    <row r="4742">
      <c r="B4742">
        <f>IFERROR(VLOOKUP(A4742,Cadastro_Produtos!A:B,2,FALSE),"")</f>
        <v/>
      </c>
      <c r="D4742" s="12" t="n"/>
      <c r="E4742" s="13">
        <f>IF(D4742="","",D4742-TODAY())</f>
        <v/>
      </c>
      <c r="F4742">
        <f>IF(D4742="","",IF(E4742&lt;0,"VENCIDO",IF(E4742&lt;=30,"VENCE EM &lt;= 30 DIAS",IF(E4742&lt;=60,"ATENCAO (31-60 DIAS)","OK"))))</f>
        <v/>
      </c>
      <c r="G4742" s="13">
        <f>SUMIFS(Movimentacoes!$G:$G,Movimentacoes!$C:$C,$A4742,Movimentacoes!$E:$E,$C4742,Movimentacoes!$B:$B,"ENTRADA")</f>
        <v/>
      </c>
      <c r="H4742" s="13">
        <f>SUMIFS(Movimentacoes!$G:$G,Movimentacoes!$C:$C,$A4742,Movimentacoes!$E:$E,$C4742,Movimentacoes!$B:$B,"SAIDA_USO")</f>
        <v/>
      </c>
      <c r="I4742" s="13">
        <f>SUMIFS(Movimentacoes!$G:$G,Movimentacoes!$C:$C,$A4742,Movimentacoes!$E:$E,$C4742,Movimentacoes!$B:$B,"SAIDA_DESCARTE")</f>
        <v/>
      </c>
      <c r="J4742" s="13">
        <f>G4742-H4742-I4742</f>
        <v/>
      </c>
      <c r="K4742">
        <f>IF(A4742="","",IF(J4742&lt;=IFERROR(VLOOKUP(A4742,Cadastro_Produtos!$A:$E,5,FALSE),0),"ABAIXO DO MINIMO","OK"))</f>
        <v/>
      </c>
    </row>
    <row r="4743">
      <c r="B4743">
        <f>IFERROR(VLOOKUP(A4743,Cadastro_Produtos!A:B,2,FALSE),"")</f>
        <v/>
      </c>
      <c r="D4743" s="12" t="n"/>
      <c r="E4743" s="13">
        <f>IF(D4743="","",D4743-TODAY())</f>
        <v/>
      </c>
      <c r="F4743">
        <f>IF(D4743="","",IF(E4743&lt;0,"VENCIDO",IF(E4743&lt;=30,"VENCE EM &lt;= 30 DIAS",IF(E4743&lt;=60,"ATENCAO (31-60 DIAS)","OK"))))</f>
        <v/>
      </c>
      <c r="G4743" s="13">
        <f>SUMIFS(Movimentacoes!$G:$G,Movimentacoes!$C:$C,$A4743,Movimentacoes!$E:$E,$C4743,Movimentacoes!$B:$B,"ENTRADA")</f>
        <v/>
      </c>
      <c r="H4743" s="13">
        <f>SUMIFS(Movimentacoes!$G:$G,Movimentacoes!$C:$C,$A4743,Movimentacoes!$E:$E,$C4743,Movimentacoes!$B:$B,"SAIDA_USO")</f>
        <v/>
      </c>
      <c r="I4743" s="13">
        <f>SUMIFS(Movimentacoes!$G:$G,Movimentacoes!$C:$C,$A4743,Movimentacoes!$E:$E,$C4743,Movimentacoes!$B:$B,"SAIDA_DESCARTE")</f>
        <v/>
      </c>
      <c r="J4743" s="13">
        <f>G4743-H4743-I4743</f>
        <v/>
      </c>
      <c r="K4743">
        <f>IF(A4743="","",IF(J4743&lt;=IFERROR(VLOOKUP(A4743,Cadastro_Produtos!$A:$E,5,FALSE),0),"ABAIXO DO MINIMO","OK"))</f>
        <v/>
      </c>
    </row>
    <row r="4744">
      <c r="B4744">
        <f>IFERROR(VLOOKUP(A4744,Cadastro_Produtos!A:B,2,FALSE),"")</f>
        <v/>
      </c>
      <c r="D4744" s="12" t="n"/>
      <c r="E4744" s="13">
        <f>IF(D4744="","",D4744-TODAY())</f>
        <v/>
      </c>
      <c r="F4744">
        <f>IF(D4744="","",IF(E4744&lt;0,"VENCIDO",IF(E4744&lt;=30,"VENCE EM &lt;= 30 DIAS",IF(E4744&lt;=60,"ATENCAO (31-60 DIAS)","OK"))))</f>
        <v/>
      </c>
      <c r="G4744" s="13">
        <f>SUMIFS(Movimentacoes!$G:$G,Movimentacoes!$C:$C,$A4744,Movimentacoes!$E:$E,$C4744,Movimentacoes!$B:$B,"ENTRADA")</f>
        <v/>
      </c>
      <c r="H4744" s="13">
        <f>SUMIFS(Movimentacoes!$G:$G,Movimentacoes!$C:$C,$A4744,Movimentacoes!$E:$E,$C4744,Movimentacoes!$B:$B,"SAIDA_USO")</f>
        <v/>
      </c>
      <c r="I4744" s="13">
        <f>SUMIFS(Movimentacoes!$G:$G,Movimentacoes!$C:$C,$A4744,Movimentacoes!$E:$E,$C4744,Movimentacoes!$B:$B,"SAIDA_DESCARTE")</f>
        <v/>
      </c>
      <c r="J4744" s="13">
        <f>G4744-H4744-I4744</f>
        <v/>
      </c>
      <c r="K4744">
        <f>IF(A4744="","",IF(J4744&lt;=IFERROR(VLOOKUP(A4744,Cadastro_Produtos!$A:$E,5,FALSE),0),"ABAIXO DO MINIMO","OK"))</f>
        <v/>
      </c>
    </row>
    <row r="4745">
      <c r="B4745">
        <f>IFERROR(VLOOKUP(A4745,Cadastro_Produtos!A:B,2,FALSE),"")</f>
        <v/>
      </c>
      <c r="D4745" s="12" t="n"/>
      <c r="E4745" s="13">
        <f>IF(D4745="","",D4745-TODAY())</f>
        <v/>
      </c>
      <c r="F4745">
        <f>IF(D4745="","",IF(E4745&lt;0,"VENCIDO",IF(E4745&lt;=30,"VENCE EM &lt;= 30 DIAS",IF(E4745&lt;=60,"ATENCAO (31-60 DIAS)","OK"))))</f>
        <v/>
      </c>
      <c r="G4745" s="13">
        <f>SUMIFS(Movimentacoes!$G:$G,Movimentacoes!$C:$C,$A4745,Movimentacoes!$E:$E,$C4745,Movimentacoes!$B:$B,"ENTRADA")</f>
        <v/>
      </c>
      <c r="H4745" s="13">
        <f>SUMIFS(Movimentacoes!$G:$G,Movimentacoes!$C:$C,$A4745,Movimentacoes!$E:$E,$C4745,Movimentacoes!$B:$B,"SAIDA_USO")</f>
        <v/>
      </c>
      <c r="I4745" s="13">
        <f>SUMIFS(Movimentacoes!$G:$G,Movimentacoes!$C:$C,$A4745,Movimentacoes!$E:$E,$C4745,Movimentacoes!$B:$B,"SAIDA_DESCARTE")</f>
        <v/>
      </c>
      <c r="J4745" s="13">
        <f>G4745-H4745-I4745</f>
        <v/>
      </c>
      <c r="K4745">
        <f>IF(A4745="","",IF(J4745&lt;=IFERROR(VLOOKUP(A4745,Cadastro_Produtos!$A:$E,5,FALSE),0),"ABAIXO DO MINIMO","OK"))</f>
        <v/>
      </c>
    </row>
    <row r="4746">
      <c r="B4746">
        <f>IFERROR(VLOOKUP(A4746,Cadastro_Produtos!A:B,2,FALSE),"")</f>
        <v/>
      </c>
      <c r="D4746" s="12" t="n"/>
      <c r="E4746" s="13">
        <f>IF(D4746="","",D4746-TODAY())</f>
        <v/>
      </c>
      <c r="F4746">
        <f>IF(D4746="","",IF(E4746&lt;0,"VENCIDO",IF(E4746&lt;=30,"VENCE EM &lt;= 30 DIAS",IF(E4746&lt;=60,"ATENCAO (31-60 DIAS)","OK"))))</f>
        <v/>
      </c>
      <c r="G4746" s="13">
        <f>SUMIFS(Movimentacoes!$G:$G,Movimentacoes!$C:$C,$A4746,Movimentacoes!$E:$E,$C4746,Movimentacoes!$B:$B,"ENTRADA")</f>
        <v/>
      </c>
      <c r="H4746" s="13">
        <f>SUMIFS(Movimentacoes!$G:$G,Movimentacoes!$C:$C,$A4746,Movimentacoes!$E:$E,$C4746,Movimentacoes!$B:$B,"SAIDA_USO")</f>
        <v/>
      </c>
      <c r="I4746" s="13">
        <f>SUMIFS(Movimentacoes!$G:$G,Movimentacoes!$C:$C,$A4746,Movimentacoes!$E:$E,$C4746,Movimentacoes!$B:$B,"SAIDA_DESCARTE")</f>
        <v/>
      </c>
      <c r="J4746" s="13">
        <f>G4746-H4746-I4746</f>
        <v/>
      </c>
      <c r="K4746">
        <f>IF(A4746="","",IF(J4746&lt;=IFERROR(VLOOKUP(A4746,Cadastro_Produtos!$A:$E,5,FALSE),0),"ABAIXO DO MINIMO","OK"))</f>
        <v/>
      </c>
    </row>
    <row r="4747">
      <c r="B4747">
        <f>IFERROR(VLOOKUP(A4747,Cadastro_Produtos!A:B,2,FALSE),"")</f>
        <v/>
      </c>
      <c r="D4747" s="12" t="n"/>
      <c r="E4747" s="13">
        <f>IF(D4747="","",D4747-TODAY())</f>
        <v/>
      </c>
      <c r="F4747">
        <f>IF(D4747="","",IF(E4747&lt;0,"VENCIDO",IF(E4747&lt;=30,"VENCE EM &lt;= 30 DIAS",IF(E4747&lt;=60,"ATENCAO (31-60 DIAS)","OK"))))</f>
        <v/>
      </c>
      <c r="G4747" s="13">
        <f>SUMIFS(Movimentacoes!$G:$G,Movimentacoes!$C:$C,$A4747,Movimentacoes!$E:$E,$C4747,Movimentacoes!$B:$B,"ENTRADA")</f>
        <v/>
      </c>
      <c r="H4747" s="13">
        <f>SUMIFS(Movimentacoes!$G:$G,Movimentacoes!$C:$C,$A4747,Movimentacoes!$E:$E,$C4747,Movimentacoes!$B:$B,"SAIDA_USO")</f>
        <v/>
      </c>
      <c r="I4747" s="13">
        <f>SUMIFS(Movimentacoes!$G:$G,Movimentacoes!$C:$C,$A4747,Movimentacoes!$E:$E,$C4747,Movimentacoes!$B:$B,"SAIDA_DESCARTE")</f>
        <v/>
      </c>
      <c r="J4747" s="13">
        <f>G4747-H4747-I4747</f>
        <v/>
      </c>
      <c r="K4747">
        <f>IF(A4747="","",IF(J4747&lt;=IFERROR(VLOOKUP(A4747,Cadastro_Produtos!$A:$E,5,FALSE),0),"ABAIXO DO MINIMO","OK"))</f>
        <v/>
      </c>
    </row>
    <row r="4748">
      <c r="B4748">
        <f>IFERROR(VLOOKUP(A4748,Cadastro_Produtos!A:B,2,FALSE),"")</f>
        <v/>
      </c>
      <c r="D4748" s="12" t="n"/>
      <c r="E4748" s="13">
        <f>IF(D4748="","",D4748-TODAY())</f>
        <v/>
      </c>
      <c r="F4748">
        <f>IF(D4748="","",IF(E4748&lt;0,"VENCIDO",IF(E4748&lt;=30,"VENCE EM &lt;= 30 DIAS",IF(E4748&lt;=60,"ATENCAO (31-60 DIAS)","OK"))))</f>
        <v/>
      </c>
      <c r="G4748" s="13">
        <f>SUMIFS(Movimentacoes!$G:$G,Movimentacoes!$C:$C,$A4748,Movimentacoes!$E:$E,$C4748,Movimentacoes!$B:$B,"ENTRADA")</f>
        <v/>
      </c>
      <c r="H4748" s="13">
        <f>SUMIFS(Movimentacoes!$G:$G,Movimentacoes!$C:$C,$A4748,Movimentacoes!$E:$E,$C4748,Movimentacoes!$B:$B,"SAIDA_USO")</f>
        <v/>
      </c>
      <c r="I4748" s="13">
        <f>SUMIFS(Movimentacoes!$G:$G,Movimentacoes!$C:$C,$A4748,Movimentacoes!$E:$E,$C4748,Movimentacoes!$B:$B,"SAIDA_DESCARTE")</f>
        <v/>
      </c>
      <c r="J4748" s="13">
        <f>G4748-H4748-I4748</f>
        <v/>
      </c>
      <c r="K4748">
        <f>IF(A4748="","",IF(J4748&lt;=IFERROR(VLOOKUP(A4748,Cadastro_Produtos!$A:$E,5,FALSE),0),"ABAIXO DO MINIMO","OK"))</f>
        <v/>
      </c>
    </row>
    <row r="4749">
      <c r="B4749">
        <f>IFERROR(VLOOKUP(A4749,Cadastro_Produtos!A:B,2,FALSE),"")</f>
        <v/>
      </c>
      <c r="D4749" s="12" t="n"/>
      <c r="E4749" s="13">
        <f>IF(D4749="","",D4749-TODAY())</f>
        <v/>
      </c>
      <c r="F4749">
        <f>IF(D4749="","",IF(E4749&lt;0,"VENCIDO",IF(E4749&lt;=30,"VENCE EM &lt;= 30 DIAS",IF(E4749&lt;=60,"ATENCAO (31-60 DIAS)","OK"))))</f>
        <v/>
      </c>
      <c r="G4749" s="13">
        <f>SUMIFS(Movimentacoes!$G:$G,Movimentacoes!$C:$C,$A4749,Movimentacoes!$E:$E,$C4749,Movimentacoes!$B:$B,"ENTRADA")</f>
        <v/>
      </c>
      <c r="H4749" s="13">
        <f>SUMIFS(Movimentacoes!$G:$G,Movimentacoes!$C:$C,$A4749,Movimentacoes!$E:$E,$C4749,Movimentacoes!$B:$B,"SAIDA_USO")</f>
        <v/>
      </c>
      <c r="I4749" s="13">
        <f>SUMIFS(Movimentacoes!$G:$G,Movimentacoes!$C:$C,$A4749,Movimentacoes!$E:$E,$C4749,Movimentacoes!$B:$B,"SAIDA_DESCARTE")</f>
        <v/>
      </c>
      <c r="J4749" s="13">
        <f>G4749-H4749-I4749</f>
        <v/>
      </c>
      <c r="K4749">
        <f>IF(A4749="","",IF(J4749&lt;=IFERROR(VLOOKUP(A4749,Cadastro_Produtos!$A:$E,5,FALSE),0),"ABAIXO DO MINIMO","OK"))</f>
        <v/>
      </c>
    </row>
    <row r="4750">
      <c r="B4750">
        <f>IFERROR(VLOOKUP(A4750,Cadastro_Produtos!A:B,2,FALSE),"")</f>
        <v/>
      </c>
      <c r="D4750" s="12" t="n"/>
      <c r="E4750" s="13">
        <f>IF(D4750="","",D4750-TODAY())</f>
        <v/>
      </c>
      <c r="F4750">
        <f>IF(D4750="","",IF(E4750&lt;0,"VENCIDO",IF(E4750&lt;=30,"VENCE EM &lt;= 30 DIAS",IF(E4750&lt;=60,"ATENCAO (31-60 DIAS)","OK"))))</f>
        <v/>
      </c>
      <c r="G4750" s="13">
        <f>SUMIFS(Movimentacoes!$G:$G,Movimentacoes!$C:$C,$A4750,Movimentacoes!$E:$E,$C4750,Movimentacoes!$B:$B,"ENTRADA")</f>
        <v/>
      </c>
      <c r="H4750" s="13">
        <f>SUMIFS(Movimentacoes!$G:$G,Movimentacoes!$C:$C,$A4750,Movimentacoes!$E:$E,$C4750,Movimentacoes!$B:$B,"SAIDA_USO")</f>
        <v/>
      </c>
      <c r="I4750" s="13">
        <f>SUMIFS(Movimentacoes!$G:$G,Movimentacoes!$C:$C,$A4750,Movimentacoes!$E:$E,$C4750,Movimentacoes!$B:$B,"SAIDA_DESCARTE")</f>
        <v/>
      </c>
      <c r="J4750" s="13">
        <f>G4750-H4750-I4750</f>
        <v/>
      </c>
      <c r="K4750">
        <f>IF(A4750="","",IF(J4750&lt;=IFERROR(VLOOKUP(A4750,Cadastro_Produtos!$A:$E,5,FALSE),0),"ABAIXO DO MINIMO","OK"))</f>
        <v/>
      </c>
    </row>
    <row r="4751">
      <c r="B4751">
        <f>IFERROR(VLOOKUP(A4751,Cadastro_Produtos!A:B,2,FALSE),"")</f>
        <v/>
      </c>
      <c r="D4751" s="12" t="n"/>
      <c r="E4751" s="13">
        <f>IF(D4751="","",D4751-TODAY())</f>
        <v/>
      </c>
      <c r="F4751">
        <f>IF(D4751="","",IF(E4751&lt;0,"VENCIDO",IF(E4751&lt;=30,"VENCE EM &lt;= 30 DIAS",IF(E4751&lt;=60,"ATENCAO (31-60 DIAS)","OK"))))</f>
        <v/>
      </c>
      <c r="G4751" s="13">
        <f>SUMIFS(Movimentacoes!$G:$G,Movimentacoes!$C:$C,$A4751,Movimentacoes!$E:$E,$C4751,Movimentacoes!$B:$B,"ENTRADA")</f>
        <v/>
      </c>
      <c r="H4751" s="13">
        <f>SUMIFS(Movimentacoes!$G:$G,Movimentacoes!$C:$C,$A4751,Movimentacoes!$E:$E,$C4751,Movimentacoes!$B:$B,"SAIDA_USO")</f>
        <v/>
      </c>
      <c r="I4751" s="13">
        <f>SUMIFS(Movimentacoes!$G:$G,Movimentacoes!$C:$C,$A4751,Movimentacoes!$E:$E,$C4751,Movimentacoes!$B:$B,"SAIDA_DESCARTE")</f>
        <v/>
      </c>
      <c r="J4751" s="13">
        <f>G4751-H4751-I4751</f>
        <v/>
      </c>
      <c r="K4751">
        <f>IF(A4751="","",IF(J4751&lt;=IFERROR(VLOOKUP(A4751,Cadastro_Produtos!$A:$E,5,FALSE),0),"ABAIXO DO MINIMO","OK"))</f>
        <v/>
      </c>
    </row>
    <row r="4752">
      <c r="B4752">
        <f>IFERROR(VLOOKUP(A4752,Cadastro_Produtos!A:B,2,FALSE),"")</f>
        <v/>
      </c>
      <c r="D4752" s="12" t="n"/>
      <c r="E4752" s="13">
        <f>IF(D4752="","",D4752-TODAY())</f>
        <v/>
      </c>
      <c r="F4752">
        <f>IF(D4752="","",IF(E4752&lt;0,"VENCIDO",IF(E4752&lt;=30,"VENCE EM &lt;= 30 DIAS",IF(E4752&lt;=60,"ATENCAO (31-60 DIAS)","OK"))))</f>
        <v/>
      </c>
      <c r="G4752" s="13">
        <f>SUMIFS(Movimentacoes!$G:$G,Movimentacoes!$C:$C,$A4752,Movimentacoes!$E:$E,$C4752,Movimentacoes!$B:$B,"ENTRADA")</f>
        <v/>
      </c>
      <c r="H4752" s="13">
        <f>SUMIFS(Movimentacoes!$G:$G,Movimentacoes!$C:$C,$A4752,Movimentacoes!$E:$E,$C4752,Movimentacoes!$B:$B,"SAIDA_USO")</f>
        <v/>
      </c>
      <c r="I4752" s="13">
        <f>SUMIFS(Movimentacoes!$G:$G,Movimentacoes!$C:$C,$A4752,Movimentacoes!$E:$E,$C4752,Movimentacoes!$B:$B,"SAIDA_DESCARTE")</f>
        <v/>
      </c>
      <c r="J4752" s="13">
        <f>G4752-H4752-I4752</f>
        <v/>
      </c>
      <c r="K4752">
        <f>IF(A4752="","",IF(J4752&lt;=IFERROR(VLOOKUP(A4752,Cadastro_Produtos!$A:$E,5,FALSE),0),"ABAIXO DO MINIMO","OK"))</f>
        <v/>
      </c>
    </row>
    <row r="4753">
      <c r="B4753">
        <f>IFERROR(VLOOKUP(A4753,Cadastro_Produtos!A:B,2,FALSE),"")</f>
        <v/>
      </c>
      <c r="D4753" s="12" t="n"/>
      <c r="E4753" s="13">
        <f>IF(D4753="","",D4753-TODAY())</f>
        <v/>
      </c>
      <c r="F4753">
        <f>IF(D4753="","",IF(E4753&lt;0,"VENCIDO",IF(E4753&lt;=30,"VENCE EM &lt;= 30 DIAS",IF(E4753&lt;=60,"ATENCAO (31-60 DIAS)","OK"))))</f>
        <v/>
      </c>
      <c r="G4753" s="13">
        <f>SUMIFS(Movimentacoes!$G:$G,Movimentacoes!$C:$C,$A4753,Movimentacoes!$E:$E,$C4753,Movimentacoes!$B:$B,"ENTRADA")</f>
        <v/>
      </c>
      <c r="H4753" s="13">
        <f>SUMIFS(Movimentacoes!$G:$G,Movimentacoes!$C:$C,$A4753,Movimentacoes!$E:$E,$C4753,Movimentacoes!$B:$B,"SAIDA_USO")</f>
        <v/>
      </c>
      <c r="I4753" s="13">
        <f>SUMIFS(Movimentacoes!$G:$G,Movimentacoes!$C:$C,$A4753,Movimentacoes!$E:$E,$C4753,Movimentacoes!$B:$B,"SAIDA_DESCARTE")</f>
        <v/>
      </c>
      <c r="J4753" s="13">
        <f>G4753-H4753-I4753</f>
        <v/>
      </c>
      <c r="K4753">
        <f>IF(A4753="","",IF(J4753&lt;=IFERROR(VLOOKUP(A4753,Cadastro_Produtos!$A:$E,5,FALSE),0),"ABAIXO DO MINIMO","OK"))</f>
        <v/>
      </c>
    </row>
    <row r="4754">
      <c r="B4754">
        <f>IFERROR(VLOOKUP(A4754,Cadastro_Produtos!A:B,2,FALSE),"")</f>
        <v/>
      </c>
      <c r="D4754" s="12" t="n"/>
      <c r="E4754" s="13">
        <f>IF(D4754="","",D4754-TODAY())</f>
        <v/>
      </c>
      <c r="F4754">
        <f>IF(D4754="","",IF(E4754&lt;0,"VENCIDO",IF(E4754&lt;=30,"VENCE EM &lt;= 30 DIAS",IF(E4754&lt;=60,"ATENCAO (31-60 DIAS)","OK"))))</f>
        <v/>
      </c>
      <c r="G4754" s="13">
        <f>SUMIFS(Movimentacoes!$G:$G,Movimentacoes!$C:$C,$A4754,Movimentacoes!$E:$E,$C4754,Movimentacoes!$B:$B,"ENTRADA")</f>
        <v/>
      </c>
      <c r="H4754" s="13">
        <f>SUMIFS(Movimentacoes!$G:$G,Movimentacoes!$C:$C,$A4754,Movimentacoes!$E:$E,$C4754,Movimentacoes!$B:$B,"SAIDA_USO")</f>
        <v/>
      </c>
      <c r="I4754" s="13">
        <f>SUMIFS(Movimentacoes!$G:$G,Movimentacoes!$C:$C,$A4754,Movimentacoes!$E:$E,$C4754,Movimentacoes!$B:$B,"SAIDA_DESCARTE")</f>
        <v/>
      </c>
      <c r="J4754" s="13">
        <f>G4754-H4754-I4754</f>
        <v/>
      </c>
      <c r="K4754">
        <f>IF(A4754="","",IF(J4754&lt;=IFERROR(VLOOKUP(A4754,Cadastro_Produtos!$A:$E,5,FALSE),0),"ABAIXO DO MINIMO","OK"))</f>
        <v/>
      </c>
    </row>
    <row r="4755">
      <c r="B4755">
        <f>IFERROR(VLOOKUP(A4755,Cadastro_Produtos!A:B,2,FALSE),"")</f>
        <v/>
      </c>
      <c r="D4755" s="12" t="n"/>
      <c r="E4755" s="13">
        <f>IF(D4755="","",D4755-TODAY())</f>
        <v/>
      </c>
      <c r="F4755">
        <f>IF(D4755="","",IF(E4755&lt;0,"VENCIDO",IF(E4755&lt;=30,"VENCE EM &lt;= 30 DIAS",IF(E4755&lt;=60,"ATENCAO (31-60 DIAS)","OK"))))</f>
        <v/>
      </c>
      <c r="G4755" s="13">
        <f>SUMIFS(Movimentacoes!$G:$G,Movimentacoes!$C:$C,$A4755,Movimentacoes!$E:$E,$C4755,Movimentacoes!$B:$B,"ENTRADA")</f>
        <v/>
      </c>
      <c r="H4755" s="13">
        <f>SUMIFS(Movimentacoes!$G:$G,Movimentacoes!$C:$C,$A4755,Movimentacoes!$E:$E,$C4755,Movimentacoes!$B:$B,"SAIDA_USO")</f>
        <v/>
      </c>
      <c r="I4755" s="13">
        <f>SUMIFS(Movimentacoes!$G:$G,Movimentacoes!$C:$C,$A4755,Movimentacoes!$E:$E,$C4755,Movimentacoes!$B:$B,"SAIDA_DESCARTE")</f>
        <v/>
      </c>
      <c r="J4755" s="13">
        <f>G4755-H4755-I4755</f>
        <v/>
      </c>
      <c r="K4755">
        <f>IF(A4755="","",IF(J4755&lt;=IFERROR(VLOOKUP(A4755,Cadastro_Produtos!$A:$E,5,FALSE),0),"ABAIXO DO MINIMO","OK"))</f>
        <v/>
      </c>
    </row>
    <row r="4756">
      <c r="B4756">
        <f>IFERROR(VLOOKUP(A4756,Cadastro_Produtos!A:B,2,FALSE),"")</f>
        <v/>
      </c>
      <c r="D4756" s="12" t="n"/>
      <c r="E4756" s="13">
        <f>IF(D4756="","",D4756-TODAY())</f>
        <v/>
      </c>
      <c r="F4756">
        <f>IF(D4756="","",IF(E4756&lt;0,"VENCIDO",IF(E4756&lt;=30,"VENCE EM &lt;= 30 DIAS",IF(E4756&lt;=60,"ATENCAO (31-60 DIAS)","OK"))))</f>
        <v/>
      </c>
      <c r="G4756" s="13">
        <f>SUMIFS(Movimentacoes!$G:$G,Movimentacoes!$C:$C,$A4756,Movimentacoes!$E:$E,$C4756,Movimentacoes!$B:$B,"ENTRADA")</f>
        <v/>
      </c>
      <c r="H4756" s="13">
        <f>SUMIFS(Movimentacoes!$G:$G,Movimentacoes!$C:$C,$A4756,Movimentacoes!$E:$E,$C4756,Movimentacoes!$B:$B,"SAIDA_USO")</f>
        <v/>
      </c>
      <c r="I4756" s="13">
        <f>SUMIFS(Movimentacoes!$G:$G,Movimentacoes!$C:$C,$A4756,Movimentacoes!$E:$E,$C4756,Movimentacoes!$B:$B,"SAIDA_DESCARTE")</f>
        <v/>
      </c>
      <c r="J4756" s="13">
        <f>G4756-H4756-I4756</f>
        <v/>
      </c>
      <c r="K4756">
        <f>IF(A4756="","",IF(J4756&lt;=IFERROR(VLOOKUP(A4756,Cadastro_Produtos!$A:$E,5,FALSE),0),"ABAIXO DO MINIMO","OK"))</f>
        <v/>
      </c>
    </row>
    <row r="4757">
      <c r="B4757">
        <f>IFERROR(VLOOKUP(A4757,Cadastro_Produtos!A:B,2,FALSE),"")</f>
        <v/>
      </c>
      <c r="D4757" s="12" t="n"/>
      <c r="E4757" s="13">
        <f>IF(D4757="","",D4757-TODAY())</f>
        <v/>
      </c>
      <c r="F4757">
        <f>IF(D4757="","",IF(E4757&lt;0,"VENCIDO",IF(E4757&lt;=30,"VENCE EM &lt;= 30 DIAS",IF(E4757&lt;=60,"ATENCAO (31-60 DIAS)","OK"))))</f>
        <v/>
      </c>
      <c r="G4757" s="13">
        <f>SUMIFS(Movimentacoes!$G:$G,Movimentacoes!$C:$C,$A4757,Movimentacoes!$E:$E,$C4757,Movimentacoes!$B:$B,"ENTRADA")</f>
        <v/>
      </c>
      <c r="H4757" s="13">
        <f>SUMIFS(Movimentacoes!$G:$G,Movimentacoes!$C:$C,$A4757,Movimentacoes!$E:$E,$C4757,Movimentacoes!$B:$B,"SAIDA_USO")</f>
        <v/>
      </c>
      <c r="I4757" s="13">
        <f>SUMIFS(Movimentacoes!$G:$G,Movimentacoes!$C:$C,$A4757,Movimentacoes!$E:$E,$C4757,Movimentacoes!$B:$B,"SAIDA_DESCARTE")</f>
        <v/>
      </c>
      <c r="J4757" s="13">
        <f>G4757-H4757-I4757</f>
        <v/>
      </c>
      <c r="K4757">
        <f>IF(A4757="","",IF(J4757&lt;=IFERROR(VLOOKUP(A4757,Cadastro_Produtos!$A:$E,5,FALSE),0),"ABAIXO DO MINIMO","OK"))</f>
        <v/>
      </c>
    </row>
    <row r="4758">
      <c r="B4758">
        <f>IFERROR(VLOOKUP(A4758,Cadastro_Produtos!A:B,2,FALSE),"")</f>
        <v/>
      </c>
      <c r="D4758" s="12" t="n"/>
      <c r="E4758" s="13">
        <f>IF(D4758="","",D4758-TODAY())</f>
        <v/>
      </c>
      <c r="F4758">
        <f>IF(D4758="","",IF(E4758&lt;0,"VENCIDO",IF(E4758&lt;=30,"VENCE EM &lt;= 30 DIAS",IF(E4758&lt;=60,"ATENCAO (31-60 DIAS)","OK"))))</f>
        <v/>
      </c>
      <c r="G4758" s="13">
        <f>SUMIFS(Movimentacoes!$G:$G,Movimentacoes!$C:$C,$A4758,Movimentacoes!$E:$E,$C4758,Movimentacoes!$B:$B,"ENTRADA")</f>
        <v/>
      </c>
      <c r="H4758" s="13">
        <f>SUMIFS(Movimentacoes!$G:$G,Movimentacoes!$C:$C,$A4758,Movimentacoes!$E:$E,$C4758,Movimentacoes!$B:$B,"SAIDA_USO")</f>
        <v/>
      </c>
      <c r="I4758" s="13">
        <f>SUMIFS(Movimentacoes!$G:$G,Movimentacoes!$C:$C,$A4758,Movimentacoes!$E:$E,$C4758,Movimentacoes!$B:$B,"SAIDA_DESCARTE")</f>
        <v/>
      </c>
      <c r="J4758" s="13">
        <f>G4758-H4758-I4758</f>
        <v/>
      </c>
      <c r="K4758">
        <f>IF(A4758="","",IF(J4758&lt;=IFERROR(VLOOKUP(A4758,Cadastro_Produtos!$A:$E,5,FALSE),0),"ABAIXO DO MINIMO","OK"))</f>
        <v/>
      </c>
    </row>
    <row r="4759">
      <c r="B4759">
        <f>IFERROR(VLOOKUP(A4759,Cadastro_Produtos!A:B,2,FALSE),"")</f>
        <v/>
      </c>
      <c r="D4759" s="12" t="n"/>
      <c r="E4759" s="13">
        <f>IF(D4759="","",D4759-TODAY())</f>
        <v/>
      </c>
      <c r="F4759">
        <f>IF(D4759="","",IF(E4759&lt;0,"VENCIDO",IF(E4759&lt;=30,"VENCE EM &lt;= 30 DIAS",IF(E4759&lt;=60,"ATENCAO (31-60 DIAS)","OK"))))</f>
        <v/>
      </c>
      <c r="G4759" s="13">
        <f>SUMIFS(Movimentacoes!$G:$G,Movimentacoes!$C:$C,$A4759,Movimentacoes!$E:$E,$C4759,Movimentacoes!$B:$B,"ENTRADA")</f>
        <v/>
      </c>
      <c r="H4759" s="13">
        <f>SUMIFS(Movimentacoes!$G:$G,Movimentacoes!$C:$C,$A4759,Movimentacoes!$E:$E,$C4759,Movimentacoes!$B:$B,"SAIDA_USO")</f>
        <v/>
      </c>
      <c r="I4759" s="13">
        <f>SUMIFS(Movimentacoes!$G:$G,Movimentacoes!$C:$C,$A4759,Movimentacoes!$E:$E,$C4759,Movimentacoes!$B:$B,"SAIDA_DESCARTE")</f>
        <v/>
      </c>
      <c r="J4759" s="13">
        <f>G4759-H4759-I4759</f>
        <v/>
      </c>
      <c r="K4759">
        <f>IF(A4759="","",IF(J4759&lt;=IFERROR(VLOOKUP(A4759,Cadastro_Produtos!$A:$E,5,FALSE),0),"ABAIXO DO MINIMO","OK"))</f>
        <v/>
      </c>
    </row>
    <row r="4760">
      <c r="B4760">
        <f>IFERROR(VLOOKUP(A4760,Cadastro_Produtos!A:B,2,FALSE),"")</f>
        <v/>
      </c>
      <c r="D4760" s="12" t="n"/>
      <c r="E4760" s="13">
        <f>IF(D4760="","",D4760-TODAY())</f>
        <v/>
      </c>
      <c r="F4760">
        <f>IF(D4760="","",IF(E4760&lt;0,"VENCIDO",IF(E4760&lt;=30,"VENCE EM &lt;= 30 DIAS",IF(E4760&lt;=60,"ATENCAO (31-60 DIAS)","OK"))))</f>
        <v/>
      </c>
      <c r="G4760" s="13">
        <f>SUMIFS(Movimentacoes!$G:$G,Movimentacoes!$C:$C,$A4760,Movimentacoes!$E:$E,$C4760,Movimentacoes!$B:$B,"ENTRADA")</f>
        <v/>
      </c>
      <c r="H4760" s="13">
        <f>SUMIFS(Movimentacoes!$G:$G,Movimentacoes!$C:$C,$A4760,Movimentacoes!$E:$E,$C4760,Movimentacoes!$B:$B,"SAIDA_USO")</f>
        <v/>
      </c>
      <c r="I4760" s="13">
        <f>SUMIFS(Movimentacoes!$G:$G,Movimentacoes!$C:$C,$A4760,Movimentacoes!$E:$E,$C4760,Movimentacoes!$B:$B,"SAIDA_DESCARTE")</f>
        <v/>
      </c>
      <c r="J4760" s="13">
        <f>G4760-H4760-I4760</f>
        <v/>
      </c>
      <c r="K4760">
        <f>IF(A4760="","",IF(J4760&lt;=IFERROR(VLOOKUP(A4760,Cadastro_Produtos!$A:$E,5,FALSE),0),"ABAIXO DO MINIMO","OK"))</f>
        <v/>
      </c>
    </row>
    <row r="4761">
      <c r="B4761">
        <f>IFERROR(VLOOKUP(A4761,Cadastro_Produtos!A:B,2,FALSE),"")</f>
        <v/>
      </c>
      <c r="D4761" s="12" t="n"/>
      <c r="E4761" s="13">
        <f>IF(D4761="","",D4761-TODAY())</f>
        <v/>
      </c>
      <c r="F4761">
        <f>IF(D4761="","",IF(E4761&lt;0,"VENCIDO",IF(E4761&lt;=30,"VENCE EM &lt;= 30 DIAS",IF(E4761&lt;=60,"ATENCAO (31-60 DIAS)","OK"))))</f>
        <v/>
      </c>
      <c r="G4761" s="13">
        <f>SUMIFS(Movimentacoes!$G:$G,Movimentacoes!$C:$C,$A4761,Movimentacoes!$E:$E,$C4761,Movimentacoes!$B:$B,"ENTRADA")</f>
        <v/>
      </c>
      <c r="H4761" s="13">
        <f>SUMIFS(Movimentacoes!$G:$G,Movimentacoes!$C:$C,$A4761,Movimentacoes!$E:$E,$C4761,Movimentacoes!$B:$B,"SAIDA_USO")</f>
        <v/>
      </c>
      <c r="I4761" s="13">
        <f>SUMIFS(Movimentacoes!$G:$G,Movimentacoes!$C:$C,$A4761,Movimentacoes!$E:$E,$C4761,Movimentacoes!$B:$B,"SAIDA_DESCARTE")</f>
        <v/>
      </c>
      <c r="J4761" s="13">
        <f>G4761-H4761-I4761</f>
        <v/>
      </c>
      <c r="K4761">
        <f>IF(A4761="","",IF(J4761&lt;=IFERROR(VLOOKUP(A4761,Cadastro_Produtos!$A:$E,5,FALSE),0),"ABAIXO DO MINIMO","OK"))</f>
        <v/>
      </c>
    </row>
    <row r="4762">
      <c r="B4762">
        <f>IFERROR(VLOOKUP(A4762,Cadastro_Produtos!A:B,2,FALSE),"")</f>
        <v/>
      </c>
      <c r="D4762" s="12" t="n"/>
      <c r="E4762" s="13">
        <f>IF(D4762="","",D4762-TODAY())</f>
        <v/>
      </c>
      <c r="F4762">
        <f>IF(D4762="","",IF(E4762&lt;0,"VENCIDO",IF(E4762&lt;=30,"VENCE EM &lt;= 30 DIAS",IF(E4762&lt;=60,"ATENCAO (31-60 DIAS)","OK"))))</f>
        <v/>
      </c>
      <c r="G4762" s="13">
        <f>SUMIFS(Movimentacoes!$G:$G,Movimentacoes!$C:$C,$A4762,Movimentacoes!$E:$E,$C4762,Movimentacoes!$B:$B,"ENTRADA")</f>
        <v/>
      </c>
      <c r="H4762" s="13">
        <f>SUMIFS(Movimentacoes!$G:$G,Movimentacoes!$C:$C,$A4762,Movimentacoes!$E:$E,$C4762,Movimentacoes!$B:$B,"SAIDA_USO")</f>
        <v/>
      </c>
      <c r="I4762" s="13">
        <f>SUMIFS(Movimentacoes!$G:$G,Movimentacoes!$C:$C,$A4762,Movimentacoes!$E:$E,$C4762,Movimentacoes!$B:$B,"SAIDA_DESCARTE")</f>
        <v/>
      </c>
      <c r="J4762" s="13">
        <f>G4762-H4762-I4762</f>
        <v/>
      </c>
      <c r="K4762">
        <f>IF(A4762="","",IF(J4762&lt;=IFERROR(VLOOKUP(A4762,Cadastro_Produtos!$A:$E,5,FALSE),0),"ABAIXO DO MINIMO","OK"))</f>
        <v/>
      </c>
    </row>
    <row r="4763">
      <c r="B4763">
        <f>IFERROR(VLOOKUP(A4763,Cadastro_Produtos!A:B,2,FALSE),"")</f>
        <v/>
      </c>
      <c r="D4763" s="12" t="n"/>
      <c r="E4763" s="13">
        <f>IF(D4763="","",D4763-TODAY())</f>
        <v/>
      </c>
      <c r="F4763">
        <f>IF(D4763="","",IF(E4763&lt;0,"VENCIDO",IF(E4763&lt;=30,"VENCE EM &lt;= 30 DIAS",IF(E4763&lt;=60,"ATENCAO (31-60 DIAS)","OK"))))</f>
        <v/>
      </c>
      <c r="G4763" s="13">
        <f>SUMIFS(Movimentacoes!$G:$G,Movimentacoes!$C:$C,$A4763,Movimentacoes!$E:$E,$C4763,Movimentacoes!$B:$B,"ENTRADA")</f>
        <v/>
      </c>
      <c r="H4763" s="13">
        <f>SUMIFS(Movimentacoes!$G:$G,Movimentacoes!$C:$C,$A4763,Movimentacoes!$E:$E,$C4763,Movimentacoes!$B:$B,"SAIDA_USO")</f>
        <v/>
      </c>
      <c r="I4763" s="13">
        <f>SUMIFS(Movimentacoes!$G:$G,Movimentacoes!$C:$C,$A4763,Movimentacoes!$E:$E,$C4763,Movimentacoes!$B:$B,"SAIDA_DESCARTE")</f>
        <v/>
      </c>
      <c r="J4763" s="13">
        <f>G4763-H4763-I4763</f>
        <v/>
      </c>
      <c r="K4763">
        <f>IF(A4763="","",IF(J4763&lt;=IFERROR(VLOOKUP(A4763,Cadastro_Produtos!$A:$E,5,FALSE),0),"ABAIXO DO MINIMO","OK"))</f>
        <v/>
      </c>
    </row>
    <row r="4764">
      <c r="B4764">
        <f>IFERROR(VLOOKUP(A4764,Cadastro_Produtos!A:B,2,FALSE),"")</f>
        <v/>
      </c>
      <c r="D4764" s="12" t="n"/>
      <c r="E4764" s="13">
        <f>IF(D4764="","",D4764-TODAY())</f>
        <v/>
      </c>
      <c r="F4764">
        <f>IF(D4764="","",IF(E4764&lt;0,"VENCIDO",IF(E4764&lt;=30,"VENCE EM &lt;= 30 DIAS",IF(E4764&lt;=60,"ATENCAO (31-60 DIAS)","OK"))))</f>
        <v/>
      </c>
      <c r="G4764" s="13">
        <f>SUMIFS(Movimentacoes!$G:$G,Movimentacoes!$C:$C,$A4764,Movimentacoes!$E:$E,$C4764,Movimentacoes!$B:$B,"ENTRADA")</f>
        <v/>
      </c>
      <c r="H4764" s="13">
        <f>SUMIFS(Movimentacoes!$G:$G,Movimentacoes!$C:$C,$A4764,Movimentacoes!$E:$E,$C4764,Movimentacoes!$B:$B,"SAIDA_USO")</f>
        <v/>
      </c>
      <c r="I4764" s="13">
        <f>SUMIFS(Movimentacoes!$G:$G,Movimentacoes!$C:$C,$A4764,Movimentacoes!$E:$E,$C4764,Movimentacoes!$B:$B,"SAIDA_DESCARTE")</f>
        <v/>
      </c>
      <c r="J4764" s="13">
        <f>G4764-H4764-I4764</f>
        <v/>
      </c>
      <c r="K4764">
        <f>IF(A4764="","",IF(J4764&lt;=IFERROR(VLOOKUP(A4764,Cadastro_Produtos!$A:$E,5,FALSE),0),"ABAIXO DO MINIMO","OK"))</f>
        <v/>
      </c>
    </row>
    <row r="4765">
      <c r="B4765">
        <f>IFERROR(VLOOKUP(A4765,Cadastro_Produtos!A:B,2,FALSE),"")</f>
        <v/>
      </c>
      <c r="D4765" s="12" t="n"/>
      <c r="E4765" s="13">
        <f>IF(D4765="","",D4765-TODAY())</f>
        <v/>
      </c>
      <c r="F4765">
        <f>IF(D4765="","",IF(E4765&lt;0,"VENCIDO",IF(E4765&lt;=30,"VENCE EM &lt;= 30 DIAS",IF(E4765&lt;=60,"ATENCAO (31-60 DIAS)","OK"))))</f>
        <v/>
      </c>
      <c r="G4765" s="13">
        <f>SUMIFS(Movimentacoes!$G:$G,Movimentacoes!$C:$C,$A4765,Movimentacoes!$E:$E,$C4765,Movimentacoes!$B:$B,"ENTRADA")</f>
        <v/>
      </c>
      <c r="H4765" s="13">
        <f>SUMIFS(Movimentacoes!$G:$G,Movimentacoes!$C:$C,$A4765,Movimentacoes!$E:$E,$C4765,Movimentacoes!$B:$B,"SAIDA_USO")</f>
        <v/>
      </c>
      <c r="I4765" s="13">
        <f>SUMIFS(Movimentacoes!$G:$G,Movimentacoes!$C:$C,$A4765,Movimentacoes!$E:$E,$C4765,Movimentacoes!$B:$B,"SAIDA_DESCARTE")</f>
        <v/>
      </c>
      <c r="J4765" s="13">
        <f>G4765-H4765-I4765</f>
        <v/>
      </c>
      <c r="K4765">
        <f>IF(A4765="","",IF(J4765&lt;=IFERROR(VLOOKUP(A4765,Cadastro_Produtos!$A:$E,5,FALSE),0),"ABAIXO DO MINIMO","OK"))</f>
        <v/>
      </c>
    </row>
    <row r="4766">
      <c r="B4766">
        <f>IFERROR(VLOOKUP(A4766,Cadastro_Produtos!A:B,2,FALSE),"")</f>
        <v/>
      </c>
      <c r="D4766" s="12" t="n"/>
      <c r="E4766" s="13">
        <f>IF(D4766="","",D4766-TODAY())</f>
        <v/>
      </c>
      <c r="F4766">
        <f>IF(D4766="","",IF(E4766&lt;0,"VENCIDO",IF(E4766&lt;=30,"VENCE EM &lt;= 30 DIAS",IF(E4766&lt;=60,"ATENCAO (31-60 DIAS)","OK"))))</f>
        <v/>
      </c>
      <c r="G4766" s="13">
        <f>SUMIFS(Movimentacoes!$G:$G,Movimentacoes!$C:$C,$A4766,Movimentacoes!$E:$E,$C4766,Movimentacoes!$B:$B,"ENTRADA")</f>
        <v/>
      </c>
      <c r="H4766" s="13">
        <f>SUMIFS(Movimentacoes!$G:$G,Movimentacoes!$C:$C,$A4766,Movimentacoes!$E:$E,$C4766,Movimentacoes!$B:$B,"SAIDA_USO")</f>
        <v/>
      </c>
      <c r="I4766" s="13">
        <f>SUMIFS(Movimentacoes!$G:$G,Movimentacoes!$C:$C,$A4766,Movimentacoes!$E:$E,$C4766,Movimentacoes!$B:$B,"SAIDA_DESCARTE")</f>
        <v/>
      </c>
      <c r="J4766" s="13">
        <f>G4766-H4766-I4766</f>
        <v/>
      </c>
      <c r="K4766">
        <f>IF(A4766="","",IF(J4766&lt;=IFERROR(VLOOKUP(A4766,Cadastro_Produtos!$A:$E,5,FALSE),0),"ABAIXO DO MINIMO","OK"))</f>
        <v/>
      </c>
    </row>
    <row r="4767">
      <c r="B4767">
        <f>IFERROR(VLOOKUP(A4767,Cadastro_Produtos!A:B,2,FALSE),"")</f>
        <v/>
      </c>
      <c r="D4767" s="12" t="n"/>
      <c r="E4767" s="13">
        <f>IF(D4767="","",D4767-TODAY())</f>
        <v/>
      </c>
      <c r="F4767">
        <f>IF(D4767="","",IF(E4767&lt;0,"VENCIDO",IF(E4767&lt;=30,"VENCE EM &lt;= 30 DIAS",IF(E4767&lt;=60,"ATENCAO (31-60 DIAS)","OK"))))</f>
        <v/>
      </c>
      <c r="G4767" s="13">
        <f>SUMIFS(Movimentacoes!$G:$G,Movimentacoes!$C:$C,$A4767,Movimentacoes!$E:$E,$C4767,Movimentacoes!$B:$B,"ENTRADA")</f>
        <v/>
      </c>
      <c r="H4767" s="13">
        <f>SUMIFS(Movimentacoes!$G:$G,Movimentacoes!$C:$C,$A4767,Movimentacoes!$E:$E,$C4767,Movimentacoes!$B:$B,"SAIDA_USO")</f>
        <v/>
      </c>
      <c r="I4767" s="13">
        <f>SUMIFS(Movimentacoes!$G:$G,Movimentacoes!$C:$C,$A4767,Movimentacoes!$E:$E,$C4767,Movimentacoes!$B:$B,"SAIDA_DESCARTE")</f>
        <v/>
      </c>
      <c r="J4767" s="13">
        <f>G4767-H4767-I4767</f>
        <v/>
      </c>
      <c r="K4767">
        <f>IF(A4767="","",IF(J4767&lt;=IFERROR(VLOOKUP(A4767,Cadastro_Produtos!$A:$E,5,FALSE),0),"ABAIXO DO MINIMO","OK"))</f>
        <v/>
      </c>
    </row>
    <row r="4768">
      <c r="B4768">
        <f>IFERROR(VLOOKUP(A4768,Cadastro_Produtos!A:B,2,FALSE),"")</f>
        <v/>
      </c>
      <c r="D4768" s="12" t="n"/>
      <c r="E4768" s="13">
        <f>IF(D4768="","",D4768-TODAY())</f>
        <v/>
      </c>
      <c r="F4768">
        <f>IF(D4768="","",IF(E4768&lt;0,"VENCIDO",IF(E4768&lt;=30,"VENCE EM &lt;= 30 DIAS",IF(E4768&lt;=60,"ATENCAO (31-60 DIAS)","OK"))))</f>
        <v/>
      </c>
      <c r="G4768" s="13">
        <f>SUMIFS(Movimentacoes!$G:$G,Movimentacoes!$C:$C,$A4768,Movimentacoes!$E:$E,$C4768,Movimentacoes!$B:$B,"ENTRADA")</f>
        <v/>
      </c>
      <c r="H4768" s="13">
        <f>SUMIFS(Movimentacoes!$G:$G,Movimentacoes!$C:$C,$A4768,Movimentacoes!$E:$E,$C4768,Movimentacoes!$B:$B,"SAIDA_USO")</f>
        <v/>
      </c>
      <c r="I4768" s="13">
        <f>SUMIFS(Movimentacoes!$G:$G,Movimentacoes!$C:$C,$A4768,Movimentacoes!$E:$E,$C4768,Movimentacoes!$B:$B,"SAIDA_DESCARTE")</f>
        <v/>
      </c>
      <c r="J4768" s="13">
        <f>G4768-H4768-I4768</f>
        <v/>
      </c>
      <c r="K4768">
        <f>IF(A4768="","",IF(J4768&lt;=IFERROR(VLOOKUP(A4768,Cadastro_Produtos!$A:$E,5,FALSE),0),"ABAIXO DO MINIMO","OK"))</f>
        <v/>
      </c>
    </row>
    <row r="4769">
      <c r="B4769">
        <f>IFERROR(VLOOKUP(A4769,Cadastro_Produtos!A:B,2,FALSE),"")</f>
        <v/>
      </c>
      <c r="D4769" s="12" t="n"/>
      <c r="E4769" s="13">
        <f>IF(D4769="","",D4769-TODAY())</f>
        <v/>
      </c>
      <c r="F4769">
        <f>IF(D4769="","",IF(E4769&lt;0,"VENCIDO",IF(E4769&lt;=30,"VENCE EM &lt;= 30 DIAS",IF(E4769&lt;=60,"ATENCAO (31-60 DIAS)","OK"))))</f>
        <v/>
      </c>
      <c r="G4769" s="13">
        <f>SUMIFS(Movimentacoes!$G:$G,Movimentacoes!$C:$C,$A4769,Movimentacoes!$E:$E,$C4769,Movimentacoes!$B:$B,"ENTRADA")</f>
        <v/>
      </c>
      <c r="H4769" s="13">
        <f>SUMIFS(Movimentacoes!$G:$G,Movimentacoes!$C:$C,$A4769,Movimentacoes!$E:$E,$C4769,Movimentacoes!$B:$B,"SAIDA_USO")</f>
        <v/>
      </c>
      <c r="I4769" s="13">
        <f>SUMIFS(Movimentacoes!$G:$G,Movimentacoes!$C:$C,$A4769,Movimentacoes!$E:$E,$C4769,Movimentacoes!$B:$B,"SAIDA_DESCARTE")</f>
        <v/>
      </c>
      <c r="J4769" s="13">
        <f>G4769-H4769-I4769</f>
        <v/>
      </c>
      <c r="K4769">
        <f>IF(A4769="","",IF(J4769&lt;=IFERROR(VLOOKUP(A4769,Cadastro_Produtos!$A:$E,5,FALSE),0),"ABAIXO DO MINIMO","OK"))</f>
        <v/>
      </c>
    </row>
    <row r="4770">
      <c r="B4770">
        <f>IFERROR(VLOOKUP(A4770,Cadastro_Produtos!A:B,2,FALSE),"")</f>
        <v/>
      </c>
      <c r="D4770" s="12" t="n"/>
      <c r="E4770" s="13">
        <f>IF(D4770="","",D4770-TODAY())</f>
        <v/>
      </c>
      <c r="F4770">
        <f>IF(D4770="","",IF(E4770&lt;0,"VENCIDO",IF(E4770&lt;=30,"VENCE EM &lt;= 30 DIAS",IF(E4770&lt;=60,"ATENCAO (31-60 DIAS)","OK"))))</f>
        <v/>
      </c>
      <c r="G4770" s="13">
        <f>SUMIFS(Movimentacoes!$G:$G,Movimentacoes!$C:$C,$A4770,Movimentacoes!$E:$E,$C4770,Movimentacoes!$B:$B,"ENTRADA")</f>
        <v/>
      </c>
      <c r="H4770" s="13">
        <f>SUMIFS(Movimentacoes!$G:$G,Movimentacoes!$C:$C,$A4770,Movimentacoes!$E:$E,$C4770,Movimentacoes!$B:$B,"SAIDA_USO")</f>
        <v/>
      </c>
      <c r="I4770" s="13">
        <f>SUMIFS(Movimentacoes!$G:$G,Movimentacoes!$C:$C,$A4770,Movimentacoes!$E:$E,$C4770,Movimentacoes!$B:$B,"SAIDA_DESCARTE")</f>
        <v/>
      </c>
      <c r="J4770" s="13">
        <f>G4770-H4770-I4770</f>
        <v/>
      </c>
      <c r="K4770">
        <f>IF(A4770="","",IF(J4770&lt;=IFERROR(VLOOKUP(A4770,Cadastro_Produtos!$A:$E,5,FALSE),0),"ABAIXO DO MINIMO","OK"))</f>
        <v/>
      </c>
    </row>
    <row r="4771">
      <c r="B4771">
        <f>IFERROR(VLOOKUP(A4771,Cadastro_Produtos!A:B,2,FALSE),"")</f>
        <v/>
      </c>
      <c r="D4771" s="12" t="n"/>
      <c r="E4771" s="13">
        <f>IF(D4771="","",D4771-TODAY())</f>
        <v/>
      </c>
      <c r="F4771">
        <f>IF(D4771="","",IF(E4771&lt;0,"VENCIDO",IF(E4771&lt;=30,"VENCE EM &lt;= 30 DIAS",IF(E4771&lt;=60,"ATENCAO (31-60 DIAS)","OK"))))</f>
        <v/>
      </c>
      <c r="G4771" s="13">
        <f>SUMIFS(Movimentacoes!$G:$G,Movimentacoes!$C:$C,$A4771,Movimentacoes!$E:$E,$C4771,Movimentacoes!$B:$B,"ENTRADA")</f>
        <v/>
      </c>
      <c r="H4771" s="13">
        <f>SUMIFS(Movimentacoes!$G:$G,Movimentacoes!$C:$C,$A4771,Movimentacoes!$E:$E,$C4771,Movimentacoes!$B:$B,"SAIDA_USO")</f>
        <v/>
      </c>
      <c r="I4771" s="13">
        <f>SUMIFS(Movimentacoes!$G:$G,Movimentacoes!$C:$C,$A4771,Movimentacoes!$E:$E,$C4771,Movimentacoes!$B:$B,"SAIDA_DESCARTE")</f>
        <v/>
      </c>
      <c r="J4771" s="13">
        <f>G4771-H4771-I4771</f>
        <v/>
      </c>
      <c r="K4771">
        <f>IF(A4771="","",IF(J4771&lt;=IFERROR(VLOOKUP(A4771,Cadastro_Produtos!$A:$E,5,FALSE),0),"ABAIXO DO MINIMO","OK"))</f>
        <v/>
      </c>
    </row>
    <row r="4772">
      <c r="B4772">
        <f>IFERROR(VLOOKUP(A4772,Cadastro_Produtos!A:B,2,FALSE),"")</f>
        <v/>
      </c>
      <c r="D4772" s="12" t="n"/>
      <c r="E4772" s="13">
        <f>IF(D4772="","",D4772-TODAY())</f>
        <v/>
      </c>
      <c r="F4772">
        <f>IF(D4772="","",IF(E4772&lt;0,"VENCIDO",IF(E4772&lt;=30,"VENCE EM &lt;= 30 DIAS",IF(E4772&lt;=60,"ATENCAO (31-60 DIAS)","OK"))))</f>
        <v/>
      </c>
      <c r="G4772" s="13">
        <f>SUMIFS(Movimentacoes!$G:$G,Movimentacoes!$C:$C,$A4772,Movimentacoes!$E:$E,$C4772,Movimentacoes!$B:$B,"ENTRADA")</f>
        <v/>
      </c>
      <c r="H4772" s="13">
        <f>SUMIFS(Movimentacoes!$G:$G,Movimentacoes!$C:$C,$A4772,Movimentacoes!$E:$E,$C4772,Movimentacoes!$B:$B,"SAIDA_USO")</f>
        <v/>
      </c>
      <c r="I4772" s="13">
        <f>SUMIFS(Movimentacoes!$G:$G,Movimentacoes!$C:$C,$A4772,Movimentacoes!$E:$E,$C4772,Movimentacoes!$B:$B,"SAIDA_DESCARTE")</f>
        <v/>
      </c>
      <c r="J4772" s="13">
        <f>G4772-H4772-I4772</f>
        <v/>
      </c>
      <c r="K4772">
        <f>IF(A4772="","",IF(J4772&lt;=IFERROR(VLOOKUP(A4772,Cadastro_Produtos!$A:$E,5,FALSE),0),"ABAIXO DO MINIMO","OK"))</f>
        <v/>
      </c>
    </row>
    <row r="4773">
      <c r="B4773">
        <f>IFERROR(VLOOKUP(A4773,Cadastro_Produtos!A:B,2,FALSE),"")</f>
        <v/>
      </c>
      <c r="D4773" s="12" t="n"/>
      <c r="E4773" s="13">
        <f>IF(D4773="","",D4773-TODAY())</f>
        <v/>
      </c>
      <c r="F4773">
        <f>IF(D4773="","",IF(E4773&lt;0,"VENCIDO",IF(E4773&lt;=30,"VENCE EM &lt;= 30 DIAS",IF(E4773&lt;=60,"ATENCAO (31-60 DIAS)","OK"))))</f>
        <v/>
      </c>
      <c r="G4773" s="13">
        <f>SUMIFS(Movimentacoes!$G:$G,Movimentacoes!$C:$C,$A4773,Movimentacoes!$E:$E,$C4773,Movimentacoes!$B:$B,"ENTRADA")</f>
        <v/>
      </c>
      <c r="H4773" s="13">
        <f>SUMIFS(Movimentacoes!$G:$G,Movimentacoes!$C:$C,$A4773,Movimentacoes!$E:$E,$C4773,Movimentacoes!$B:$B,"SAIDA_USO")</f>
        <v/>
      </c>
      <c r="I4773" s="13">
        <f>SUMIFS(Movimentacoes!$G:$G,Movimentacoes!$C:$C,$A4773,Movimentacoes!$E:$E,$C4773,Movimentacoes!$B:$B,"SAIDA_DESCARTE")</f>
        <v/>
      </c>
      <c r="J4773" s="13">
        <f>G4773-H4773-I4773</f>
        <v/>
      </c>
      <c r="K4773">
        <f>IF(A4773="","",IF(J4773&lt;=IFERROR(VLOOKUP(A4773,Cadastro_Produtos!$A:$E,5,FALSE),0),"ABAIXO DO MINIMO","OK"))</f>
        <v/>
      </c>
    </row>
    <row r="4774">
      <c r="B4774">
        <f>IFERROR(VLOOKUP(A4774,Cadastro_Produtos!A:B,2,FALSE),"")</f>
        <v/>
      </c>
      <c r="D4774" s="12" t="n"/>
      <c r="E4774" s="13">
        <f>IF(D4774="","",D4774-TODAY())</f>
        <v/>
      </c>
      <c r="F4774">
        <f>IF(D4774="","",IF(E4774&lt;0,"VENCIDO",IF(E4774&lt;=30,"VENCE EM &lt;= 30 DIAS",IF(E4774&lt;=60,"ATENCAO (31-60 DIAS)","OK"))))</f>
        <v/>
      </c>
      <c r="G4774" s="13">
        <f>SUMIFS(Movimentacoes!$G:$G,Movimentacoes!$C:$C,$A4774,Movimentacoes!$E:$E,$C4774,Movimentacoes!$B:$B,"ENTRADA")</f>
        <v/>
      </c>
      <c r="H4774" s="13">
        <f>SUMIFS(Movimentacoes!$G:$G,Movimentacoes!$C:$C,$A4774,Movimentacoes!$E:$E,$C4774,Movimentacoes!$B:$B,"SAIDA_USO")</f>
        <v/>
      </c>
      <c r="I4774" s="13">
        <f>SUMIFS(Movimentacoes!$G:$G,Movimentacoes!$C:$C,$A4774,Movimentacoes!$E:$E,$C4774,Movimentacoes!$B:$B,"SAIDA_DESCARTE")</f>
        <v/>
      </c>
      <c r="J4774" s="13">
        <f>G4774-H4774-I4774</f>
        <v/>
      </c>
      <c r="K4774">
        <f>IF(A4774="","",IF(J4774&lt;=IFERROR(VLOOKUP(A4774,Cadastro_Produtos!$A:$E,5,FALSE),0),"ABAIXO DO MINIMO","OK"))</f>
        <v/>
      </c>
    </row>
    <row r="4775">
      <c r="B4775">
        <f>IFERROR(VLOOKUP(A4775,Cadastro_Produtos!A:B,2,FALSE),"")</f>
        <v/>
      </c>
      <c r="D4775" s="12" t="n"/>
      <c r="E4775" s="13">
        <f>IF(D4775="","",D4775-TODAY())</f>
        <v/>
      </c>
      <c r="F4775">
        <f>IF(D4775="","",IF(E4775&lt;0,"VENCIDO",IF(E4775&lt;=30,"VENCE EM &lt;= 30 DIAS",IF(E4775&lt;=60,"ATENCAO (31-60 DIAS)","OK"))))</f>
        <v/>
      </c>
      <c r="G4775" s="13">
        <f>SUMIFS(Movimentacoes!$G:$G,Movimentacoes!$C:$C,$A4775,Movimentacoes!$E:$E,$C4775,Movimentacoes!$B:$B,"ENTRADA")</f>
        <v/>
      </c>
      <c r="H4775" s="13">
        <f>SUMIFS(Movimentacoes!$G:$G,Movimentacoes!$C:$C,$A4775,Movimentacoes!$E:$E,$C4775,Movimentacoes!$B:$B,"SAIDA_USO")</f>
        <v/>
      </c>
      <c r="I4775" s="13">
        <f>SUMIFS(Movimentacoes!$G:$G,Movimentacoes!$C:$C,$A4775,Movimentacoes!$E:$E,$C4775,Movimentacoes!$B:$B,"SAIDA_DESCARTE")</f>
        <v/>
      </c>
      <c r="J4775" s="13">
        <f>G4775-H4775-I4775</f>
        <v/>
      </c>
      <c r="K4775">
        <f>IF(A4775="","",IF(J4775&lt;=IFERROR(VLOOKUP(A4775,Cadastro_Produtos!$A:$E,5,FALSE),0),"ABAIXO DO MINIMO","OK"))</f>
        <v/>
      </c>
    </row>
    <row r="4776">
      <c r="B4776">
        <f>IFERROR(VLOOKUP(A4776,Cadastro_Produtos!A:B,2,FALSE),"")</f>
        <v/>
      </c>
      <c r="D4776" s="12" t="n"/>
      <c r="E4776" s="13">
        <f>IF(D4776="","",D4776-TODAY())</f>
        <v/>
      </c>
      <c r="F4776">
        <f>IF(D4776="","",IF(E4776&lt;0,"VENCIDO",IF(E4776&lt;=30,"VENCE EM &lt;= 30 DIAS",IF(E4776&lt;=60,"ATENCAO (31-60 DIAS)","OK"))))</f>
        <v/>
      </c>
      <c r="G4776" s="13">
        <f>SUMIFS(Movimentacoes!$G:$G,Movimentacoes!$C:$C,$A4776,Movimentacoes!$E:$E,$C4776,Movimentacoes!$B:$B,"ENTRADA")</f>
        <v/>
      </c>
      <c r="H4776" s="13">
        <f>SUMIFS(Movimentacoes!$G:$G,Movimentacoes!$C:$C,$A4776,Movimentacoes!$E:$E,$C4776,Movimentacoes!$B:$B,"SAIDA_USO")</f>
        <v/>
      </c>
      <c r="I4776" s="13">
        <f>SUMIFS(Movimentacoes!$G:$G,Movimentacoes!$C:$C,$A4776,Movimentacoes!$E:$E,$C4776,Movimentacoes!$B:$B,"SAIDA_DESCARTE")</f>
        <v/>
      </c>
      <c r="J4776" s="13">
        <f>G4776-H4776-I4776</f>
        <v/>
      </c>
      <c r="K4776">
        <f>IF(A4776="","",IF(J4776&lt;=IFERROR(VLOOKUP(A4776,Cadastro_Produtos!$A:$E,5,FALSE),0),"ABAIXO DO MINIMO","OK"))</f>
        <v/>
      </c>
    </row>
    <row r="4777">
      <c r="B4777">
        <f>IFERROR(VLOOKUP(A4777,Cadastro_Produtos!A:B,2,FALSE),"")</f>
        <v/>
      </c>
      <c r="D4777" s="12" t="n"/>
      <c r="E4777" s="13">
        <f>IF(D4777="","",D4777-TODAY())</f>
        <v/>
      </c>
      <c r="F4777">
        <f>IF(D4777="","",IF(E4777&lt;0,"VENCIDO",IF(E4777&lt;=30,"VENCE EM &lt;= 30 DIAS",IF(E4777&lt;=60,"ATENCAO (31-60 DIAS)","OK"))))</f>
        <v/>
      </c>
      <c r="G4777" s="13">
        <f>SUMIFS(Movimentacoes!$G:$G,Movimentacoes!$C:$C,$A4777,Movimentacoes!$E:$E,$C4777,Movimentacoes!$B:$B,"ENTRADA")</f>
        <v/>
      </c>
      <c r="H4777" s="13">
        <f>SUMIFS(Movimentacoes!$G:$G,Movimentacoes!$C:$C,$A4777,Movimentacoes!$E:$E,$C4777,Movimentacoes!$B:$B,"SAIDA_USO")</f>
        <v/>
      </c>
      <c r="I4777" s="13">
        <f>SUMIFS(Movimentacoes!$G:$G,Movimentacoes!$C:$C,$A4777,Movimentacoes!$E:$E,$C4777,Movimentacoes!$B:$B,"SAIDA_DESCARTE")</f>
        <v/>
      </c>
      <c r="J4777" s="13">
        <f>G4777-H4777-I4777</f>
        <v/>
      </c>
      <c r="K4777">
        <f>IF(A4777="","",IF(J4777&lt;=IFERROR(VLOOKUP(A4777,Cadastro_Produtos!$A:$E,5,FALSE),0),"ABAIXO DO MINIMO","OK"))</f>
        <v/>
      </c>
    </row>
    <row r="4778">
      <c r="B4778">
        <f>IFERROR(VLOOKUP(A4778,Cadastro_Produtos!A:B,2,FALSE),"")</f>
        <v/>
      </c>
      <c r="D4778" s="12" t="n"/>
      <c r="E4778" s="13">
        <f>IF(D4778="","",D4778-TODAY())</f>
        <v/>
      </c>
      <c r="F4778">
        <f>IF(D4778="","",IF(E4778&lt;0,"VENCIDO",IF(E4778&lt;=30,"VENCE EM &lt;= 30 DIAS",IF(E4778&lt;=60,"ATENCAO (31-60 DIAS)","OK"))))</f>
        <v/>
      </c>
      <c r="G4778" s="13">
        <f>SUMIFS(Movimentacoes!$G:$G,Movimentacoes!$C:$C,$A4778,Movimentacoes!$E:$E,$C4778,Movimentacoes!$B:$B,"ENTRADA")</f>
        <v/>
      </c>
      <c r="H4778" s="13">
        <f>SUMIFS(Movimentacoes!$G:$G,Movimentacoes!$C:$C,$A4778,Movimentacoes!$E:$E,$C4778,Movimentacoes!$B:$B,"SAIDA_USO")</f>
        <v/>
      </c>
      <c r="I4778" s="13">
        <f>SUMIFS(Movimentacoes!$G:$G,Movimentacoes!$C:$C,$A4778,Movimentacoes!$E:$E,$C4778,Movimentacoes!$B:$B,"SAIDA_DESCARTE")</f>
        <v/>
      </c>
      <c r="J4778" s="13">
        <f>G4778-H4778-I4778</f>
        <v/>
      </c>
      <c r="K4778">
        <f>IF(A4778="","",IF(J4778&lt;=IFERROR(VLOOKUP(A4778,Cadastro_Produtos!$A:$E,5,FALSE),0),"ABAIXO DO MINIMO","OK"))</f>
        <v/>
      </c>
    </row>
    <row r="4779">
      <c r="B4779">
        <f>IFERROR(VLOOKUP(A4779,Cadastro_Produtos!A:B,2,FALSE),"")</f>
        <v/>
      </c>
      <c r="D4779" s="12" t="n"/>
      <c r="E4779" s="13">
        <f>IF(D4779="","",D4779-TODAY())</f>
        <v/>
      </c>
      <c r="F4779">
        <f>IF(D4779="","",IF(E4779&lt;0,"VENCIDO",IF(E4779&lt;=30,"VENCE EM &lt;= 30 DIAS",IF(E4779&lt;=60,"ATENCAO (31-60 DIAS)","OK"))))</f>
        <v/>
      </c>
      <c r="G4779" s="13">
        <f>SUMIFS(Movimentacoes!$G:$G,Movimentacoes!$C:$C,$A4779,Movimentacoes!$E:$E,$C4779,Movimentacoes!$B:$B,"ENTRADA")</f>
        <v/>
      </c>
      <c r="H4779" s="13">
        <f>SUMIFS(Movimentacoes!$G:$G,Movimentacoes!$C:$C,$A4779,Movimentacoes!$E:$E,$C4779,Movimentacoes!$B:$B,"SAIDA_USO")</f>
        <v/>
      </c>
      <c r="I4779" s="13">
        <f>SUMIFS(Movimentacoes!$G:$G,Movimentacoes!$C:$C,$A4779,Movimentacoes!$E:$E,$C4779,Movimentacoes!$B:$B,"SAIDA_DESCARTE")</f>
        <v/>
      </c>
      <c r="J4779" s="13">
        <f>G4779-H4779-I4779</f>
        <v/>
      </c>
      <c r="K4779">
        <f>IF(A4779="","",IF(J4779&lt;=IFERROR(VLOOKUP(A4779,Cadastro_Produtos!$A:$E,5,FALSE),0),"ABAIXO DO MINIMO","OK"))</f>
        <v/>
      </c>
    </row>
    <row r="4780">
      <c r="B4780">
        <f>IFERROR(VLOOKUP(A4780,Cadastro_Produtos!A:B,2,FALSE),"")</f>
        <v/>
      </c>
      <c r="D4780" s="12" t="n"/>
      <c r="E4780" s="13">
        <f>IF(D4780="","",D4780-TODAY())</f>
        <v/>
      </c>
      <c r="F4780">
        <f>IF(D4780="","",IF(E4780&lt;0,"VENCIDO",IF(E4780&lt;=30,"VENCE EM &lt;= 30 DIAS",IF(E4780&lt;=60,"ATENCAO (31-60 DIAS)","OK"))))</f>
        <v/>
      </c>
      <c r="G4780" s="13">
        <f>SUMIFS(Movimentacoes!$G:$G,Movimentacoes!$C:$C,$A4780,Movimentacoes!$E:$E,$C4780,Movimentacoes!$B:$B,"ENTRADA")</f>
        <v/>
      </c>
      <c r="H4780" s="13">
        <f>SUMIFS(Movimentacoes!$G:$G,Movimentacoes!$C:$C,$A4780,Movimentacoes!$E:$E,$C4780,Movimentacoes!$B:$B,"SAIDA_USO")</f>
        <v/>
      </c>
      <c r="I4780" s="13">
        <f>SUMIFS(Movimentacoes!$G:$G,Movimentacoes!$C:$C,$A4780,Movimentacoes!$E:$E,$C4780,Movimentacoes!$B:$B,"SAIDA_DESCARTE")</f>
        <v/>
      </c>
      <c r="J4780" s="13">
        <f>G4780-H4780-I4780</f>
        <v/>
      </c>
      <c r="K4780">
        <f>IF(A4780="","",IF(J4780&lt;=IFERROR(VLOOKUP(A4780,Cadastro_Produtos!$A:$E,5,FALSE),0),"ABAIXO DO MINIMO","OK"))</f>
        <v/>
      </c>
    </row>
    <row r="4781">
      <c r="B4781">
        <f>IFERROR(VLOOKUP(A4781,Cadastro_Produtos!A:B,2,FALSE),"")</f>
        <v/>
      </c>
      <c r="D4781" s="12" t="n"/>
      <c r="E4781" s="13">
        <f>IF(D4781="","",D4781-TODAY())</f>
        <v/>
      </c>
      <c r="F4781">
        <f>IF(D4781="","",IF(E4781&lt;0,"VENCIDO",IF(E4781&lt;=30,"VENCE EM &lt;= 30 DIAS",IF(E4781&lt;=60,"ATENCAO (31-60 DIAS)","OK"))))</f>
        <v/>
      </c>
      <c r="G4781" s="13">
        <f>SUMIFS(Movimentacoes!$G:$G,Movimentacoes!$C:$C,$A4781,Movimentacoes!$E:$E,$C4781,Movimentacoes!$B:$B,"ENTRADA")</f>
        <v/>
      </c>
      <c r="H4781" s="13">
        <f>SUMIFS(Movimentacoes!$G:$G,Movimentacoes!$C:$C,$A4781,Movimentacoes!$E:$E,$C4781,Movimentacoes!$B:$B,"SAIDA_USO")</f>
        <v/>
      </c>
      <c r="I4781" s="13">
        <f>SUMIFS(Movimentacoes!$G:$G,Movimentacoes!$C:$C,$A4781,Movimentacoes!$E:$E,$C4781,Movimentacoes!$B:$B,"SAIDA_DESCARTE")</f>
        <v/>
      </c>
      <c r="J4781" s="13">
        <f>G4781-H4781-I4781</f>
        <v/>
      </c>
      <c r="K4781">
        <f>IF(A4781="","",IF(J4781&lt;=IFERROR(VLOOKUP(A4781,Cadastro_Produtos!$A:$E,5,FALSE),0),"ABAIXO DO MINIMO","OK"))</f>
        <v/>
      </c>
    </row>
    <row r="4782">
      <c r="B4782">
        <f>IFERROR(VLOOKUP(A4782,Cadastro_Produtos!A:B,2,FALSE),"")</f>
        <v/>
      </c>
      <c r="D4782" s="12" t="n"/>
      <c r="E4782" s="13">
        <f>IF(D4782="","",D4782-TODAY())</f>
        <v/>
      </c>
      <c r="F4782">
        <f>IF(D4782="","",IF(E4782&lt;0,"VENCIDO",IF(E4782&lt;=30,"VENCE EM &lt;= 30 DIAS",IF(E4782&lt;=60,"ATENCAO (31-60 DIAS)","OK"))))</f>
        <v/>
      </c>
      <c r="G4782" s="13">
        <f>SUMIFS(Movimentacoes!$G:$G,Movimentacoes!$C:$C,$A4782,Movimentacoes!$E:$E,$C4782,Movimentacoes!$B:$B,"ENTRADA")</f>
        <v/>
      </c>
      <c r="H4782" s="13">
        <f>SUMIFS(Movimentacoes!$G:$G,Movimentacoes!$C:$C,$A4782,Movimentacoes!$E:$E,$C4782,Movimentacoes!$B:$B,"SAIDA_USO")</f>
        <v/>
      </c>
      <c r="I4782" s="13">
        <f>SUMIFS(Movimentacoes!$G:$G,Movimentacoes!$C:$C,$A4782,Movimentacoes!$E:$E,$C4782,Movimentacoes!$B:$B,"SAIDA_DESCARTE")</f>
        <v/>
      </c>
      <c r="J4782" s="13">
        <f>G4782-H4782-I4782</f>
        <v/>
      </c>
      <c r="K4782">
        <f>IF(A4782="","",IF(J4782&lt;=IFERROR(VLOOKUP(A4782,Cadastro_Produtos!$A:$E,5,FALSE),0),"ABAIXO DO MINIMO","OK"))</f>
        <v/>
      </c>
    </row>
    <row r="4783">
      <c r="B4783">
        <f>IFERROR(VLOOKUP(A4783,Cadastro_Produtos!A:B,2,FALSE),"")</f>
        <v/>
      </c>
      <c r="D4783" s="12" t="n"/>
      <c r="E4783" s="13">
        <f>IF(D4783="","",D4783-TODAY())</f>
        <v/>
      </c>
      <c r="F4783">
        <f>IF(D4783="","",IF(E4783&lt;0,"VENCIDO",IF(E4783&lt;=30,"VENCE EM &lt;= 30 DIAS",IF(E4783&lt;=60,"ATENCAO (31-60 DIAS)","OK"))))</f>
        <v/>
      </c>
      <c r="G4783" s="13">
        <f>SUMIFS(Movimentacoes!$G:$G,Movimentacoes!$C:$C,$A4783,Movimentacoes!$E:$E,$C4783,Movimentacoes!$B:$B,"ENTRADA")</f>
        <v/>
      </c>
      <c r="H4783" s="13">
        <f>SUMIFS(Movimentacoes!$G:$G,Movimentacoes!$C:$C,$A4783,Movimentacoes!$E:$E,$C4783,Movimentacoes!$B:$B,"SAIDA_USO")</f>
        <v/>
      </c>
      <c r="I4783" s="13">
        <f>SUMIFS(Movimentacoes!$G:$G,Movimentacoes!$C:$C,$A4783,Movimentacoes!$E:$E,$C4783,Movimentacoes!$B:$B,"SAIDA_DESCARTE")</f>
        <v/>
      </c>
      <c r="J4783" s="13">
        <f>G4783-H4783-I4783</f>
        <v/>
      </c>
      <c r="K4783">
        <f>IF(A4783="","",IF(J4783&lt;=IFERROR(VLOOKUP(A4783,Cadastro_Produtos!$A:$E,5,FALSE),0),"ABAIXO DO MINIMO","OK"))</f>
        <v/>
      </c>
    </row>
    <row r="4784">
      <c r="B4784">
        <f>IFERROR(VLOOKUP(A4784,Cadastro_Produtos!A:B,2,FALSE),"")</f>
        <v/>
      </c>
      <c r="D4784" s="12" t="n"/>
      <c r="E4784" s="13">
        <f>IF(D4784="","",D4784-TODAY())</f>
        <v/>
      </c>
      <c r="F4784">
        <f>IF(D4784="","",IF(E4784&lt;0,"VENCIDO",IF(E4784&lt;=30,"VENCE EM &lt;= 30 DIAS",IF(E4784&lt;=60,"ATENCAO (31-60 DIAS)","OK"))))</f>
        <v/>
      </c>
      <c r="G4784" s="13">
        <f>SUMIFS(Movimentacoes!$G:$G,Movimentacoes!$C:$C,$A4784,Movimentacoes!$E:$E,$C4784,Movimentacoes!$B:$B,"ENTRADA")</f>
        <v/>
      </c>
      <c r="H4784" s="13">
        <f>SUMIFS(Movimentacoes!$G:$G,Movimentacoes!$C:$C,$A4784,Movimentacoes!$E:$E,$C4784,Movimentacoes!$B:$B,"SAIDA_USO")</f>
        <v/>
      </c>
      <c r="I4784" s="13">
        <f>SUMIFS(Movimentacoes!$G:$G,Movimentacoes!$C:$C,$A4784,Movimentacoes!$E:$E,$C4784,Movimentacoes!$B:$B,"SAIDA_DESCARTE")</f>
        <v/>
      </c>
      <c r="J4784" s="13">
        <f>G4784-H4784-I4784</f>
        <v/>
      </c>
      <c r="K4784">
        <f>IF(A4784="","",IF(J4784&lt;=IFERROR(VLOOKUP(A4784,Cadastro_Produtos!$A:$E,5,FALSE),0),"ABAIXO DO MINIMO","OK"))</f>
        <v/>
      </c>
    </row>
    <row r="4785">
      <c r="B4785">
        <f>IFERROR(VLOOKUP(A4785,Cadastro_Produtos!A:B,2,FALSE),"")</f>
        <v/>
      </c>
      <c r="D4785" s="12" t="n"/>
      <c r="E4785" s="13">
        <f>IF(D4785="","",D4785-TODAY())</f>
        <v/>
      </c>
      <c r="F4785">
        <f>IF(D4785="","",IF(E4785&lt;0,"VENCIDO",IF(E4785&lt;=30,"VENCE EM &lt;= 30 DIAS",IF(E4785&lt;=60,"ATENCAO (31-60 DIAS)","OK"))))</f>
        <v/>
      </c>
      <c r="G4785" s="13">
        <f>SUMIFS(Movimentacoes!$G:$G,Movimentacoes!$C:$C,$A4785,Movimentacoes!$E:$E,$C4785,Movimentacoes!$B:$B,"ENTRADA")</f>
        <v/>
      </c>
      <c r="H4785" s="13">
        <f>SUMIFS(Movimentacoes!$G:$G,Movimentacoes!$C:$C,$A4785,Movimentacoes!$E:$E,$C4785,Movimentacoes!$B:$B,"SAIDA_USO")</f>
        <v/>
      </c>
      <c r="I4785" s="13">
        <f>SUMIFS(Movimentacoes!$G:$G,Movimentacoes!$C:$C,$A4785,Movimentacoes!$E:$E,$C4785,Movimentacoes!$B:$B,"SAIDA_DESCARTE")</f>
        <v/>
      </c>
      <c r="J4785" s="13">
        <f>G4785-H4785-I4785</f>
        <v/>
      </c>
      <c r="K4785">
        <f>IF(A4785="","",IF(J4785&lt;=IFERROR(VLOOKUP(A4785,Cadastro_Produtos!$A:$E,5,FALSE),0),"ABAIXO DO MINIMO","OK"))</f>
        <v/>
      </c>
    </row>
    <row r="4786">
      <c r="B4786">
        <f>IFERROR(VLOOKUP(A4786,Cadastro_Produtos!A:B,2,FALSE),"")</f>
        <v/>
      </c>
      <c r="D4786" s="12" t="n"/>
      <c r="E4786" s="13">
        <f>IF(D4786="","",D4786-TODAY())</f>
        <v/>
      </c>
      <c r="F4786">
        <f>IF(D4786="","",IF(E4786&lt;0,"VENCIDO",IF(E4786&lt;=30,"VENCE EM &lt;= 30 DIAS",IF(E4786&lt;=60,"ATENCAO (31-60 DIAS)","OK"))))</f>
        <v/>
      </c>
      <c r="G4786" s="13">
        <f>SUMIFS(Movimentacoes!$G:$G,Movimentacoes!$C:$C,$A4786,Movimentacoes!$E:$E,$C4786,Movimentacoes!$B:$B,"ENTRADA")</f>
        <v/>
      </c>
      <c r="H4786" s="13">
        <f>SUMIFS(Movimentacoes!$G:$G,Movimentacoes!$C:$C,$A4786,Movimentacoes!$E:$E,$C4786,Movimentacoes!$B:$B,"SAIDA_USO")</f>
        <v/>
      </c>
      <c r="I4786" s="13">
        <f>SUMIFS(Movimentacoes!$G:$G,Movimentacoes!$C:$C,$A4786,Movimentacoes!$E:$E,$C4786,Movimentacoes!$B:$B,"SAIDA_DESCARTE")</f>
        <v/>
      </c>
      <c r="J4786" s="13">
        <f>G4786-H4786-I4786</f>
        <v/>
      </c>
      <c r="K4786">
        <f>IF(A4786="","",IF(J4786&lt;=IFERROR(VLOOKUP(A4786,Cadastro_Produtos!$A:$E,5,FALSE),0),"ABAIXO DO MINIMO","OK"))</f>
        <v/>
      </c>
    </row>
    <row r="4787">
      <c r="B4787">
        <f>IFERROR(VLOOKUP(A4787,Cadastro_Produtos!A:B,2,FALSE),"")</f>
        <v/>
      </c>
      <c r="D4787" s="12" t="n"/>
      <c r="E4787" s="13">
        <f>IF(D4787="","",D4787-TODAY())</f>
        <v/>
      </c>
      <c r="F4787">
        <f>IF(D4787="","",IF(E4787&lt;0,"VENCIDO",IF(E4787&lt;=30,"VENCE EM &lt;= 30 DIAS",IF(E4787&lt;=60,"ATENCAO (31-60 DIAS)","OK"))))</f>
        <v/>
      </c>
      <c r="G4787" s="13">
        <f>SUMIFS(Movimentacoes!$G:$G,Movimentacoes!$C:$C,$A4787,Movimentacoes!$E:$E,$C4787,Movimentacoes!$B:$B,"ENTRADA")</f>
        <v/>
      </c>
      <c r="H4787" s="13">
        <f>SUMIFS(Movimentacoes!$G:$G,Movimentacoes!$C:$C,$A4787,Movimentacoes!$E:$E,$C4787,Movimentacoes!$B:$B,"SAIDA_USO")</f>
        <v/>
      </c>
      <c r="I4787" s="13">
        <f>SUMIFS(Movimentacoes!$G:$G,Movimentacoes!$C:$C,$A4787,Movimentacoes!$E:$E,$C4787,Movimentacoes!$B:$B,"SAIDA_DESCARTE")</f>
        <v/>
      </c>
      <c r="J4787" s="13">
        <f>G4787-H4787-I4787</f>
        <v/>
      </c>
      <c r="K4787">
        <f>IF(A4787="","",IF(J4787&lt;=IFERROR(VLOOKUP(A4787,Cadastro_Produtos!$A:$E,5,FALSE),0),"ABAIXO DO MINIMO","OK"))</f>
        <v/>
      </c>
    </row>
    <row r="4788">
      <c r="B4788">
        <f>IFERROR(VLOOKUP(A4788,Cadastro_Produtos!A:B,2,FALSE),"")</f>
        <v/>
      </c>
      <c r="D4788" s="12" t="n"/>
      <c r="E4788" s="13">
        <f>IF(D4788="","",D4788-TODAY())</f>
        <v/>
      </c>
      <c r="F4788">
        <f>IF(D4788="","",IF(E4788&lt;0,"VENCIDO",IF(E4788&lt;=30,"VENCE EM &lt;= 30 DIAS",IF(E4788&lt;=60,"ATENCAO (31-60 DIAS)","OK"))))</f>
        <v/>
      </c>
      <c r="G4788" s="13">
        <f>SUMIFS(Movimentacoes!$G:$G,Movimentacoes!$C:$C,$A4788,Movimentacoes!$E:$E,$C4788,Movimentacoes!$B:$B,"ENTRADA")</f>
        <v/>
      </c>
      <c r="H4788" s="13">
        <f>SUMIFS(Movimentacoes!$G:$G,Movimentacoes!$C:$C,$A4788,Movimentacoes!$E:$E,$C4788,Movimentacoes!$B:$B,"SAIDA_USO")</f>
        <v/>
      </c>
      <c r="I4788" s="13">
        <f>SUMIFS(Movimentacoes!$G:$G,Movimentacoes!$C:$C,$A4788,Movimentacoes!$E:$E,$C4788,Movimentacoes!$B:$B,"SAIDA_DESCARTE")</f>
        <v/>
      </c>
      <c r="J4788" s="13">
        <f>G4788-H4788-I4788</f>
        <v/>
      </c>
      <c r="K4788">
        <f>IF(A4788="","",IF(J4788&lt;=IFERROR(VLOOKUP(A4788,Cadastro_Produtos!$A:$E,5,FALSE),0),"ABAIXO DO MINIMO","OK"))</f>
        <v/>
      </c>
    </row>
    <row r="4789">
      <c r="B4789">
        <f>IFERROR(VLOOKUP(A4789,Cadastro_Produtos!A:B,2,FALSE),"")</f>
        <v/>
      </c>
      <c r="D4789" s="12" t="n"/>
      <c r="E4789" s="13">
        <f>IF(D4789="","",D4789-TODAY())</f>
        <v/>
      </c>
      <c r="F4789">
        <f>IF(D4789="","",IF(E4789&lt;0,"VENCIDO",IF(E4789&lt;=30,"VENCE EM &lt;= 30 DIAS",IF(E4789&lt;=60,"ATENCAO (31-60 DIAS)","OK"))))</f>
        <v/>
      </c>
      <c r="G4789" s="13">
        <f>SUMIFS(Movimentacoes!$G:$G,Movimentacoes!$C:$C,$A4789,Movimentacoes!$E:$E,$C4789,Movimentacoes!$B:$B,"ENTRADA")</f>
        <v/>
      </c>
      <c r="H4789" s="13">
        <f>SUMIFS(Movimentacoes!$G:$G,Movimentacoes!$C:$C,$A4789,Movimentacoes!$E:$E,$C4789,Movimentacoes!$B:$B,"SAIDA_USO")</f>
        <v/>
      </c>
      <c r="I4789" s="13">
        <f>SUMIFS(Movimentacoes!$G:$G,Movimentacoes!$C:$C,$A4789,Movimentacoes!$E:$E,$C4789,Movimentacoes!$B:$B,"SAIDA_DESCARTE")</f>
        <v/>
      </c>
      <c r="J4789" s="13">
        <f>G4789-H4789-I4789</f>
        <v/>
      </c>
      <c r="K4789">
        <f>IF(A4789="","",IF(J4789&lt;=IFERROR(VLOOKUP(A4789,Cadastro_Produtos!$A:$E,5,FALSE),0),"ABAIXO DO MINIMO","OK"))</f>
        <v/>
      </c>
    </row>
    <row r="4790">
      <c r="B4790">
        <f>IFERROR(VLOOKUP(A4790,Cadastro_Produtos!A:B,2,FALSE),"")</f>
        <v/>
      </c>
      <c r="D4790" s="12" t="n"/>
      <c r="E4790" s="13">
        <f>IF(D4790="","",D4790-TODAY())</f>
        <v/>
      </c>
      <c r="F4790">
        <f>IF(D4790="","",IF(E4790&lt;0,"VENCIDO",IF(E4790&lt;=30,"VENCE EM &lt;= 30 DIAS",IF(E4790&lt;=60,"ATENCAO (31-60 DIAS)","OK"))))</f>
        <v/>
      </c>
      <c r="G4790" s="13">
        <f>SUMIFS(Movimentacoes!$G:$G,Movimentacoes!$C:$C,$A4790,Movimentacoes!$E:$E,$C4790,Movimentacoes!$B:$B,"ENTRADA")</f>
        <v/>
      </c>
      <c r="H4790" s="13">
        <f>SUMIFS(Movimentacoes!$G:$G,Movimentacoes!$C:$C,$A4790,Movimentacoes!$E:$E,$C4790,Movimentacoes!$B:$B,"SAIDA_USO")</f>
        <v/>
      </c>
      <c r="I4790" s="13">
        <f>SUMIFS(Movimentacoes!$G:$G,Movimentacoes!$C:$C,$A4790,Movimentacoes!$E:$E,$C4790,Movimentacoes!$B:$B,"SAIDA_DESCARTE")</f>
        <v/>
      </c>
      <c r="J4790" s="13">
        <f>G4790-H4790-I4790</f>
        <v/>
      </c>
      <c r="K4790">
        <f>IF(A4790="","",IF(J4790&lt;=IFERROR(VLOOKUP(A4790,Cadastro_Produtos!$A:$E,5,FALSE),0),"ABAIXO DO MINIMO","OK"))</f>
        <v/>
      </c>
    </row>
    <row r="4791">
      <c r="B4791">
        <f>IFERROR(VLOOKUP(A4791,Cadastro_Produtos!A:B,2,FALSE),"")</f>
        <v/>
      </c>
      <c r="D4791" s="12" t="n"/>
      <c r="E4791" s="13">
        <f>IF(D4791="","",D4791-TODAY())</f>
        <v/>
      </c>
      <c r="F4791">
        <f>IF(D4791="","",IF(E4791&lt;0,"VENCIDO",IF(E4791&lt;=30,"VENCE EM &lt;= 30 DIAS",IF(E4791&lt;=60,"ATENCAO (31-60 DIAS)","OK"))))</f>
        <v/>
      </c>
      <c r="G4791" s="13">
        <f>SUMIFS(Movimentacoes!$G:$G,Movimentacoes!$C:$C,$A4791,Movimentacoes!$E:$E,$C4791,Movimentacoes!$B:$B,"ENTRADA")</f>
        <v/>
      </c>
      <c r="H4791" s="13">
        <f>SUMIFS(Movimentacoes!$G:$G,Movimentacoes!$C:$C,$A4791,Movimentacoes!$E:$E,$C4791,Movimentacoes!$B:$B,"SAIDA_USO")</f>
        <v/>
      </c>
      <c r="I4791" s="13">
        <f>SUMIFS(Movimentacoes!$G:$G,Movimentacoes!$C:$C,$A4791,Movimentacoes!$E:$E,$C4791,Movimentacoes!$B:$B,"SAIDA_DESCARTE")</f>
        <v/>
      </c>
      <c r="J4791" s="13">
        <f>G4791-H4791-I4791</f>
        <v/>
      </c>
      <c r="K4791">
        <f>IF(A4791="","",IF(J4791&lt;=IFERROR(VLOOKUP(A4791,Cadastro_Produtos!$A:$E,5,FALSE),0),"ABAIXO DO MINIMO","OK"))</f>
        <v/>
      </c>
    </row>
    <row r="4792">
      <c r="B4792">
        <f>IFERROR(VLOOKUP(A4792,Cadastro_Produtos!A:B,2,FALSE),"")</f>
        <v/>
      </c>
      <c r="D4792" s="12" t="n"/>
      <c r="E4792" s="13">
        <f>IF(D4792="","",D4792-TODAY())</f>
        <v/>
      </c>
      <c r="F4792">
        <f>IF(D4792="","",IF(E4792&lt;0,"VENCIDO",IF(E4792&lt;=30,"VENCE EM &lt;= 30 DIAS",IF(E4792&lt;=60,"ATENCAO (31-60 DIAS)","OK"))))</f>
        <v/>
      </c>
      <c r="G4792" s="13">
        <f>SUMIFS(Movimentacoes!$G:$G,Movimentacoes!$C:$C,$A4792,Movimentacoes!$E:$E,$C4792,Movimentacoes!$B:$B,"ENTRADA")</f>
        <v/>
      </c>
      <c r="H4792" s="13">
        <f>SUMIFS(Movimentacoes!$G:$G,Movimentacoes!$C:$C,$A4792,Movimentacoes!$E:$E,$C4792,Movimentacoes!$B:$B,"SAIDA_USO")</f>
        <v/>
      </c>
      <c r="I4792" s="13">
        <f>SUMIFS(Movimentacoes!$G:$G,Movimentacoes!$C:$C,$A4792,Movimentacoes!$E:$E,$C4792,Movimentacoes!$B:$B,"SAIDA_DESCARTE")</f>
        <v/>
      </c>
      <c r="J4792" s="13">
        <f>G4792-H4792-I4792</f>
        <v/>
      </c>
      <c r="K4792">
        <f>IF(A4792="","",IF(J4792&lt;=IFERROR(VLOOKUP(A4792,Cadastro_Produtos!$A:$E,5,FALSE),0),"ABAIXO DO MINIMO","OK"))</f>
        <v/>
      </c>
    </row>
    <row r="4793">
      <c r="B4793">
        <f>IFERROR(VLOOKUP(A4793,Cadastro_Produtos!A:B,2,FALSE),"")</f>
        <v/>
      </c>
      <c r="D4793" s="12" t="n"/>
      <c r="E4793" s="13">
        <f>IF(D4793="","",D4793-TODAY())</f>
        <v/>
      </c>
      <c r="F4793">
        <f>IF(D4793="","",IF(E4793&lt;0,"VENCIDO",IF(E4793&lt;=30,"VENCE EM &lt;= 30 DIAS",IF(E4793&lt;=60,"ATENCAO (31-60 DIAS)","OK"))))</f>
        <v/>
      </c>
      <c r="G4793" s="13">
        <f>SUMIFS(Movimentacoes!$G:$G,Movimentacoes!$C:$C,$A4793,Movimentacoes!$E:$E,$C4793,Movimentacoes!$B:$B,"ENTRADA")</f>
        <v/>
      </c>
      <c r="H4793" s="13">
        <f>SUMIFS(Movimentacoes!$G:$G,Movimentacoes!$C:$C,$A4793,Movimentacoes!$E:$E,$C4793,Movimentacoes!$B:$B,"SAIDA_USO")</f>
        <v/>
      </c>
      <c r="I4793" s="13">
        <f>SUMIFS(Movimentacoes!$G:$G,Movimentacoes!$C:$C,$A4793,Movimentacoes!$E:$E,$C4793,Movimentacoes!$B:$B,"SAIDA_DESCARTE")</f>
        <v/>
      </c>
      <c r="J4793" s="13">
        <f>G4793-H4793-I4793</f>
        <v/>
      </c>
      <c r="K4793">
        <f>IF(A4793="","",IF(J4793&lt;=IFERROR(VLOOKUP(A4793,Cadastro_Produtos!$A:$E,5,FALSE),0),"ABAIXO DO MINIMO","OK"))</f>
        <v/>
      </c>
    </row>
    <row r="4794">
      <c r="B4794">
        <f>IFERROR(VLOOKUP(A4794,Cadastro_Produtos!A:B,2,FALSE),"")</f>
        <v/>
      </c>
      <c r="D4794" s="12" t="n"/>
      <c r="E4794" s="13">
        <f>IF(D4794="","",D4794-TODAY())</f>
        <v/>
      </c>
      <c r="F4794">
        <f>IF(D4794="","",IF(E4794&lt;0,"VENCIDO",IF(E4794&lt;=30,"VENCE EM &lt;= 30 DIAS",IF(E4794&lt;=60,"ATENCAO (31-60 DIAS)","OK"))))</f>
        <v/>
      </c>
      <c r="G4794" s="13">
        <f>SUMIFS(Movimentacoes!$G:$G,Movimentacoes!$C:$C,$A4794,Movimentacoes!$E:$E,$C4794,Movimentacoes!$B:$B,"ENTRADA")</f>
        <v/>
      </c>
      <c r="H4794" s="13">
        <f>SUMIFS(Movimentacoes!$G:$G,Movimentacoes!$C:$C,$A4794,Movimentacoes!$E:$E,$C4794,Movimentacoes!$B:$B,"SAIDA_USO")</f>
        <v/>
      </c>
      <c r="I4794" s="13">
        <f>SUMIFS(Movimentacoes!$G:$G,Movimentacoes!$C:$C,$A4794,Movimentacoes!$E:$E,$C4794,Movimentacoes!$B:$B,"SAIDA_DESCARTE")</f>
        <v/>
      </c>
      <c r="J4794" s="13">
        <f>G4794-H4794-I4794</f>
        <v/>
      </c>
      <c r="K4794">
        <f>IF(A4794="","",IF(J4794&lt;=IFERROR(VLOOKUP(A4794,Cadastro_Produtos!$A:$E,5,FALSE),0),"ABAIXO DO MINIMO","OK"))</f>
        <v/>
      </c>
    </row>
    <row r="4795">
      <c r="B4795">
        <f>IFERROR(VLOOKUP(A4795,Cadastro_Produtos!A:B,2,FALSE),"")</f>
        <v/>
      </c>
      <c r="D4795" s="12" t="n"/>
      <c r="E4795" s="13">
        <f>IF(D4795="","",D4795-TODAY())</f>
        <v/>
      </c>
      <c r="F4795">
        <f>IF(D4795="","",IF(E4795&lt;0,"VENCIDO",IF(E4795&lt;=30,"VENCE EM &lt;= 30 DIAS",IF(E4795&lt;=60,"ATENCAO (31-60 DIAS)","OK"))))</f>
        <v/>
      </c>
      <c r="G4795" s="13">
        <f>SUMIFS(Movimentacoes!$G:$G,Movimentacoes!$C:$C,$A4795,Movimentacoes!$E:$E,$C4795,Movimentacoes!$B:$B,"ENTRADA")</f>
        <v/>
      </c>
      <c r="H4795" s="13">
        <f>SUMIFS(Movimentacoes!$G:$G,Movimentacoes!$C:$C,$A4795,Movimentacoes!$E:$E,$C4795,Movimentacoes!$B:$B,"SAIDA_USO")</f>
        <v/>
      </c>
      <c r="I4795" s="13">
        <f>SUMIFS(Movimentacoes!$G:$G,Movimentacoes!$C:$C,$A4795,Movimentacoes!$E:$E,$C4795,Movimentacoes!$B:$B,"SAIDA_DESCARTE")</f>
        <v/>
      </c>
      <c r="J4795" s="13">
        <f>G4795-H4795-I4795</f>
        <v/>
      </c>
      <c r="K4795">
        <f>IF(A4795="","",IF(J4795&lt;=IFERROR(VLOOKUP(A4795,Cadastro_Produtos!$A:$E,5,FALSE),0),"ABAIXO DO MINIMO","OK"))</f>
        <v/>
      </c>
    </row>
    <row r="4796">
      <c r="B4796">
        <f>IFERROR(VLOOKUP(A4796,Cadastro_Produtos!A:B,2,FALSE),"")</f>
        <v/>
      </c>
      <c r="D4796" s="12" t="n"/>
      <c r="E4796" s="13">
        <f>IF(D4796="","",D4796-TODAY())</f>
        <v/>
      </c>
      <c r="F4796">
        <f>IF(D4796="","",IF(E4796&lt;0,"VENCIDO",IF(E4796&lt;=30,"VENCE EM &lt;= 30 DIAS",IF(E4796&lt;=60,"ATENCAO (31-60 DIAS)","OK"))))</f>
        <v/>
      </c>
      <c r="G4796" s="13">
        <f>SUMIFS(Movimentacoes!$G:$G,Movimentacoes!$C:$C,$A4796,Movimentacoes!$E:$E,$C4796,Movimentacoes!$B:$B,"ENTRADA")</f>
        <v/>
      </c>
      <c r="H4796" s="13">
        <f>SUMIFS(Movimentacoes!$G:$G,Movimentacoes!$C:$C,$A4796,Movimentacoes!$E:$E,$C4796,Movimentacoes!$B:$B,"SAIDA_USO")</f>
        <v/>
      </c>
      <c r="I4796" s="13">
        <f>SUMIFS(Movimentacoes!$G:$G,Movimentacoes!$C:$C,$A4796,Movimentacoes!$E:$E,$C4796,Movimentacoes!$B:$B,"SAIDA_DESCARTE")</f>
        <v/>
      </c>
      <c r="J4796" s="13">
        <f>G4796-H4796-I4796</f>
        <v/>
      </c>
      <c r="K4796">
        <f>IF(A4796="","",IF(J4796&lt;=IFERROR(VLOOKUP(A4796,Cadastro_Produtos!$A:$E,5,FALSE),0),"ABAIXO DO MINIMO","OK"))</f>
        <v/>
      </c>
    </row>
    <row r="4797">
      <c r="B4797">
        <f>IFERROR(VLOOKUP(A4797,Cadastro_Produtos!A:B,2,FALSE),"")</f>
        <v/>
      </c>
      <c r="D4797" s="12" t="n"/>
      <c r="E4797" s="13">
        <f>IF(D4797="","",D4797-TODAY())</f>
        <v/>
      </c>
      <c r="F4797">
        <f>IF(D4797="","",IF(E4797&lt;0,"VENCIDO",IF(E4797&lt;=30,"VENCE EM &lt;= 30 DIAS",IF(E4797&lt;=60,"ATENCAO (31-60 DIAS)","OK"))))</f>
        <v/>
      </c>
      <c r="G4797" s="13">
        <f>SUMIFS(Movimentacoes!$G:$G,Movimentacoes!$C:$C,$A4797,Movimentacoes!$E:$E,$C4797,Movimentacoes!$B:$B,"ENTRADA")</f>
        <v/>
      </c>
      <c r="H4797" s="13">
        <f>SUMIFS(Movimentacoes!$G:$G,Movimentacoes!$C:$C,$A4797,Movimentacoes!$E:$E,$C4797,Movimentacoes!$B:$B,"SAIDA_USO")</f>
        <v/>
      </c>
      <c r="I4797" s="13">
        <f>SUMIFS(Movimentacoes!$G:$G,Movimentacoes!$C:$C,$A4797,Movimentacoes!$E:$E,$C4797,Movimentacoes!$B:$B,"SAIDA_DESCARTE")</f>
        <v/>
      </c>
      <c r="J4797" s="13">
        <f>G4797-H4797-I4797</f>
        <v/>
      </c>
      <c r="K4797">
        <f>IF(A4797="","",IF(J4797&lt;=IFERROR(VLOOKUP(A4797,Cadastro_Produtos!$A:$E,5,FALSE),0),"ABAIXO DO MINIMO","OK"))</f>
        <v/>
      </c>
    </row>
    <row r="4798">
      <c r="B4798">
        <f>IFERROR(VLOOKUP(A4798,Cadastro_Produtos!A:B,2,FALSE),"")</f>
        <v/>
      </c>
      <c r="D4798" s="12" t="n"/>
      <c r="E4798" s="13">
        <f>IF(D4798="","",D4798-TODAY())</f>
        <v/>
      </c>
      <c r="F4798">
        <f>IF(D4798="","",IF(E4798&lt;0,"VENCIDO",IF(E4798&lt;=30,"VENCE EM &lt;= 30 DIAS",IF(E4798&lt;=60,"ATENCAO (31-60 DIAS)","OK"))))</f>
        <v/>
      </c>
      <c r="G4798" s="13">
        <f>SUMIFS(Movimentacoes!$G:$G,Movimentacoes!$C:$C,$A4798,Movimentacoes!$E:$E,$C4798,Movimentacoes!$B:$B,"ENTRADA")</f>
        <v/>
      </c>
      <c r="H4798" s="13">
        <f>SUMIFS(Movimentacoes!$G:$G,Movimentacoes!$C:$C,$A4798,Movimentacoes!$E:$E,$C4798,Movimentacoes!$B:$B,"SAIDA_USO")</f>
        <v/>
      </c>
      <c r="I4798" s="13">
        <f>SUMIFS(Movimentacoes!$G:$G,Movimentacoes!$C:$C,$A4798,Movimentacoes!$E:$E,$C4798,Movimentacoes!$B:$B,"SAIDA_DESCARTE")</f>
        <v/>
      </c>
      <c r="J4798" s="13">
        <f>G4798-H4798-I4798</f>
        <v/>
      </c>
      <c r="K4798">
        <f>IF(A4798="","",IF(J4798&lt;=IFERROR(VLOOKUP(A4798,Cadastro_Produtos!$A:$E,5,FALSE),0),"ABAIXO DO MINIMO","OK"))</f>
        <v/>
      </c>
    </row>
    <row r="4799">
      <c r="B4799">
        <f>IFERROR(VLOOKUP(A4799,Cadastro_Produtos!A:B,2,FALSE),"")</f>
        <v/>
      </c>
      <c r="D4799" s="12" t="n"/>
      <c r="E4799" s="13">
        <f>IF(D4799="","",D4799-TODAY())</f>
        <v/>
      </c>
      <c r="F4799">
        <f>IF(D4799="","",IF(E4799&lt;0,"VENCIDO",IF(E4799&lt;=30,"VENCE EM &lt;= 30 DIAS",IF(E4799&lt;=60,"ATENCAO (31-60 DIAS)","OK"))))</f>
        <v/>
      </c>
      <c r="G4799" s="13">
        <f>SUMIFS(Movimentacoes!$G:$G,Movimentacoes!$C:$C,$A4799,Movimentacoes!$E:$E,$C4799,Movimentacoes!$B:$B,"ENTRADA")</f>
        <v/>
      </c>
      <c r="H4799" s="13">
        <f>SUMIFS(Movimentacoes!$G:$G,Movimentacoes!$C:$C,$A4799,Movimentacoes!$E:$E,$C4799,Movimentacoes!$B:$B,"SAIDA_USO")</f>
        <v/>
      </c>
      <c r="I4799" s="13">
        <f>SUMIFS(Movimentacoes!$G:$G,Movimentacoes!$C:$C,$A4799,Movimentacoes!$E:$E,$C4799,Movimentacoes!$B:$B,"SAIDA_DESCARTE")</f>
        <v/>
      </c>
      <c r="J4799" s="13">
        <f>G4799-H4799-I4799</f>
        <v/>
      </c>
      <c r="K4799">
        <f>IF(A4799="","",IF(J4799&lt;=IFERROR(VLOOKUP(A4799,Cadastro_Produtos!$A:$E,5,FALSE),0),"ABAIXO DO MINIMO","OK"))</f>
        <v/>
      </c>
    </row>
    <row r="4800">
      <c r="B4800">
        <f>IFERROR(VLOOKUP(A4800,Cadastro_Produtos!A:B,2,FALSE),"")</f>
        <v/>
      </c>
      <c r="D4800" s="12" t="n"/>
      <c r="E4800" s="13">
        <f>IF(D4800="","",D4800-TODAY())</f>
        <v/>
      </c>
      <c r="F4800">
        <f>IF(D4800="","",IF(E4800&lt;0,"VENCIDO",IF(E4800&lt;=30,"VENCE EM &lt;= 30 DIAS",IF(E4800&lt;=60,"ATENCAO (31-60 DIAS)","OK"))))</f>
        <v/>
      </c>
      <c r="G4800" s="13">
        <f>SUMIFS(Movimentacoes!$G:$G,Movimentacoes!$C:$C,$A4800,Movimentacoes!$E:$E,$C4800,Movimentacoes!$B:$B,"ENTRADA")</f>
        <v/>
      </c>
      <c r="H4800" s="13">
        <f>SUMIFS(Movimentacoes!$G:$G,Movimentacoes!$C:$C,$A4800,Movimentacoes!$E:$E,$C4800,Movimentacoes!$B:$B,"SAIDA_USO")</f>
        <v/>
      </c>
      <c r="I4800" s="13">
        <f>SUMIFS(Movimentacoes!$G:$G,Movimentacoes!$C:$C,$A4800,Movimentacoes!$E:$E,$C4800,Movimentacoes!$B:$B,"SAIDA_DESCARTE")</f>
        <v/>
      </c>
      <c r="J4800" s="13">
        <f>G4800-H4800-I4800</f>
        <v/>
      </c>
      <c r="K4800">
        <f>IF(A4800="","",IF(J4800&lt;=IFERROR(VLOOKUP(A4800,Cadastro_Produtos!$A:$E,5,FALSE),0),"ABAIXO DO MINIMO","OK"))</f>
        <v/>
      </c>
    </row>
    <row r="4801">
      <c r="B4801">
        <f>IFERROR(VLOOKUP(A4801,Cadastro_Produtos!A:B,2,FALSE),"")</f>
        <v/>
      </c>
      <c r="D4801" s="12" t="n"/>
      <c r="E4801" s="13">
        <f>IF(D4801="","",D4801-TODAY())</f>
        <v/>
      </c>
      <c r="F4801">
        <f>IF(D4801="","",IF(E4801&lt;0,"VENCIDO",IF(E4801&lt;=30,"VENCE EM &lt;= 30 DIAS",IF(E4801&lt;=60,"ATENCAO (31-60 DIAS)","OK"))))</f>
        <v/>
      </c>
      <c r="G4801" s="13">
        <f>SUMIFS(Movimentacoes!$G:$G,Movimentacoes!$C:$C,$A4801,Movimentacoes!$E:$E,$C4801,Movimentacoes!$B:$B,"ENTRADA")</f>
        <v/>
      </c>
      <c r="H4801" s="13">
        <f>SUMIFS(Movimentacoes!$G:$G,Movimentacoes!$C:$C,$A4801,Movimentacoes!$E:$E,$C4801,Movimentacoes!$B:$B,"SAIDA_USO")</f>
        <v/>
      </c>
      <c r="I4801" s="13">
        <f>SUMIFS(Movimentacoes!$G:$G,Movimentacoes!$C:$C,$A4801,Movimentacoes!$E:$E,$C4801,Movimentacoes!$B:$B,"SAIDA_DESCARTE")</f>
        <v/>
      </c>
      <c r="J4801" s="13">
        <f>G4801-H4801-I4801</f>
        <v/>
      </c>
      <c r="K4801">
        <f>IF(A4801="","",IF(J4801&lt;=IFERROR(VLOOKUP(A4801,Cadastro_Produtos!$A:$E,5,FALSE),0),"ABAIXO DO MINIMO","OK"))</f>
        <v/>
      </c>
    </row>
    <row r="4802">
      <c r="B4802">
        <f>IFERROR(VLOOKUP(A4802,Cadastro_Produtos!A:B,2,FALSE),"")</f>
        <v/>
      </c>
      <c r="D4802" s="12" t="n"/>
      <c r="E4802" s="13">
        <f>IF(D4802="","",D4802-TODAY())</f>
        <v/>
      </c>
      <c r="F4802">
        <f>IF(D4802="","",IF(E4802&lt;0,"VENCIDO",IF(E4802&lt;=30,"VENCE EM &lt;= 30 DIAS",IF(E4802&lt;=60,"ATENCAO (31-60 DIAS)","OK"))))</f>
        <v/>
      </c>
      <c r="G4802" s="13">
        <f>SUMIFS(Movimentacoes!$G:$G,Movimentacoes!$C:$C,$A4802,Movimentacoes!$E:$E,$C4802,Movimentacoes!$B:$B,"ENTRADA")</f>
        <v/>
      </c>
      <c r="H4802" s="13">
        <f>SUMIFS(Movimentacoes!$G:$G,Movimentacoes!$C:$C,$A4802,Movimentacoes!$E:$E,$C4802,Movimentacoes!$B:$B,"SAIDA_USO")</f>
        <v/>
      </c>
      <c r="I4802" s="13">
        <f>SUMIFS(Movimentacoes!$G:$G,Movimentacoes!$C:$C,$A4802,Movimentacoes!$E:$E,$C4802,Movimentacoes!$B:$B,"SAIDA_DESCARTE")</f>
        <v/>
      </c>
      <c r="J4802" s="13">
        <f>G4802-H4802-I4802</f>
        <v/>
      </c>
      <c r="K4802">
        <f>IF(A4802="","",IF(J4802&lt;=IFERROR(VLOOKUP(A4802,Cadastro_Produtos!$A:$E,5,FALSE),0),"ABAIXO DO MINIMO","OK"))</f>
        <v/>
      </c>
    </row>
    <row r="4803">
      <c r="B4803">
        <f>IFERROR(VLOOKUP(A4803,Cadastro_Produtos!A:B,2,FALSE),"")</f>
        <v/>
      </c>
      <c r="D4803" s="12" t="n"/>
      <c r="E4803" s="13">
        <f>IF(D4803="","",D4803-TODAY())</f>
        <v/>
      </c>
      <c r="F4803">
        <f>IF(D4803="","",IF(E4803&lt;0,"VENCIDO",IF(E4803&lt;=30,"VENCE EM &lt;= 30 DIAS",IF(E4803&lt;=60,"ATENCAO (31-60 DIAS)","OK"))))</f>
        <v/>
      </c>
      <c r="G4803" s="13">
        <f>SUMIFS(Movimentacoes!$G:$G,Movimentacoes!$C:$C,$A4803,Movimentacoes!$E:$E,$C4803,Movimentacoes!$B:$B,"ENTRADA")</f>
        <v/>
      </c>
      <c r="H4803" s="13">
        <f>SUMIFS(Movimentacoes!$G:$G,Movimentacoes!$C:$C,$A4803,Movimentacoes!$E:$E,$C4803,Movimentacoes!$B:$B,"SAIDA_USO")</f>
        <v/>
      </c>
      <c r="I4803" s="13">
        <f>SUMIFS(Movimentacoes!$G:$G,Movimentacoes!$C:$C,$A4803,Movimentacoes!$E:$E,$C4803,Movimentacoes!$B:$B,"SAIDA_DESCARTE")</f>
        <v/>
      </c>
      <c r="J4803" s="13">
        <f>G4803-H4803-I4803</f>
        <v/>
      </c>
      <c r="K4803">
        <f>IF(A4803="","",IF(J4803&lt;=IFERROR(VLOOKUP(A4803,Cadastro_Produtos!$A:$E,5,FALSE),0),"ABAIXO DO MINIMO","OK"))</f>
        <v/>
      </c>
    </row>
    <row r="4804">
      <c r="B4804">
        <f>IFERROR(VLOOKUP(A4804,Cadastro_Produtos!A:B,2,FALSE),"")</f>
        <v/>
      </c>
      <c r="D4804" s="12" t="n"/>
      <c r="E4804" s="13">
        <f>IF(D4804="","",D4804-TODAY())</f>
        <v/>
      </c>
      <c r="F4804">
        <f>IF(D4804="","",IF(E4804&lt;0,"VENCIDO",IF(E4804&lt;=30,"VENCE EM &lt;= 30 DIAS",IF(E4804&lt;=60,"ATENCAO (31-60 DIAS)","OK"))))</f>
        <v/>
      </c>
      <c r="G4804" s="13">
        <f>SUMIFS(Movimentacoes!$G:$G,Movimentacoes!$C:$C,$A4804,Movimentacoes!$E:$E,$C4804,Movimentacoes!$B:$B,"ENTRADA")</f>
        <v/>
      </c>
      <c r="H4804" s="13">
        <f>SUMIFS(Movimentacoes!$G:$G,Movimentacoes!$C:$C,$A4804,Movimentacoes!$E:$E,$C4804,Movimentacoes!$B:$B,"SAIDA_USO")</f>
        <v/>
      </c>
      <c r="I4804" s="13">
        <f>SUMIFS(Movimentacoes!$G:$G,Movimentacoes!$C:$C,$A4804,Movimentacoes!$E:$E,$C4804,Movimentacoes!$B:$B,"SAIDA_DESCARTE")</f>
        <v/>
      </c>
      <c r="J4804" s="13">
        <f>G4804-H4804-I4804</f>
        <v/>
      </c>
      <c r="K4804">
        <f>IF(A4804="","",IF(J4804&lt;=IFERROR(VLOOKUP(A4804,Cadastro_Produtos!$A:$E,5,FALSE),0),"ABAIXO DO MINIMO","OK"))</f>
        <v/>
      </c>
    </row>
    <row r="4805">
      <c r="B4805">
        <f>IFERROR(VLOOKUP(A4805,Cadastro_Produtos!A:B,2,FALSE),"")</f>
        <v/>
      </c>
      <c r="D4805" s="12" t="n"/>
      <c r="E4805" s="13">
        <f>IF(D4805="","",D4805-TODAY())</f>
        <v/>
      </c>
      <c r="F4805">
        <f>IF(D4805="","",IF(E4805&lt;0,"VENCIDO",IF(E4805&lt;=30,"VENCE EM &lt;= 30 DIAS",IF(E4805&lt;=60,"ATENCAO (31-60 DIAS)","OK"))))</f>
        <v/>
      </c>
      <c r="G4805" s="13">
        <f>SUMIFS(Movimentacoes!$G:$G,Movimentacoes!$C:$C,$A4805,Movimentacoes!$E:$E,$C4805,Movimentacoes!$B:$B,"ENTRADA")</f>
        <v/>
      </c>
      <c r="H4805" s="13">
        <f>SUMIFS(Movimentacoes!$G:$G,Movimentacoes!$C:$C,$A4805,Movimentacoes!$E:$E,$C4805,Movimentacoes!$B:$B,"SAIDA_USO")</f>
        <v/>
      </c>
      <c r="I4805" s="13">
        <f>SUMIFS(Movimentacoes!$G:$G,Movimentacoes!$C:$C,$A4805,Movimentacoes!$E:$E,$C4805,Movimentacoes!$B:$B,"SAIDA_DESCARTE")</f>
        <v/>
      </c>
      <c r="J4805" s="13">
        <f>G4805-H4805-I4805</f>
        <v/>
      </c>
      <c r="K4805">
        <f>IF(A4805="","",IF(J4805&lt;=IFERROR(VLOOKUP(A4805,Cadastro_Produtos!$A:$E,5,FALSE),0),"ABAIXO DO MINIMO","OK"))</f>
        <v/>
      </c>
    </row>
    <row r="4806">
      <c r="B4806">
        <f>IFERROR(VLOOKUP(A4806,Cadastro_Produtos!A:B,2,FALSE),"")</f>
        <v/>
      </c>
      <c r="D4806" s="12" t="n"/>
      <c r="E4806" s="13">
        <f>IF(D4806="","",D4806-TODAY())</f>
        <v/>
      </c>
      <c r="F4806">
        <f>IF(D4806="","",IF(E4806&lt;0,"VENCIDO",IF(E4806&lt;=30,"VENCE EM &lt;= 30 DIAS",IF(E4806&lt;=60,"ATENCAO (31-60 DIAS)","OK"))))</f>
        <v/>
      </c>
      <c r="G4806" s="13">
        <f>SUMIFS(Movimentacoes!$G:$G,Movimentacoes!$C:$C,$A4806,Movimentacoes!$E:$E,$C4806,Movimentacoes!$B:$B,"ENTRADA")</f>
        <v/>
      </c>
      <c r="H4806" s="13">
        <f>SUMIFS(Movimentacoes!$G:$G,Movimentacoes!$C:$C,$A4806,Movimentacoes!$E:$E,$C4806,Movimentacoes!$B:$B,"SAIDA_USO")</f>
        <v/>
      </c>
      <c r="I4806" s="13">
        <f>SUMIFS(Movimentacoes!$G:$G,Movimentacoes!$C:$C,$A4806,Movimentacoes!$E:$E,$C4806,Movimentacoes!$B:$B,"SAIDA_DESCARTE")</f>
        <v/>
      </c>
      <c r="J4806" s="13">
        <f>G4806-H4806-I4806</f>
        <v/>
      </c>
      <c r="K4806">
        <f>IF(A4806="","",IF(J4806&lt;=IFERROR(VLOOKUP(A4806,Cadastro_Produtos!$A:$E,5,FALSE),0),"ABAIXO DO MINIMO","OK"))</f>
        <v/>
      </c>
    </row>
    <row r="4807">
      <c r="B4807">
        <f>IFERROR(VLOOKUP(A4807,Cadastro_Produtos!A:B,2,FALSE),"")</f>
        <v/>
      </c>
      <c r="D4807" s="12" t="n"/>
      <c r="E4807" s="13">
        <f>IF(D4807="","",D4807-TODAY())</f>
        <v/>
      </c>
      <c r="F4807">
        <f>IF(D4807="","",IF(E4807&lt;0,"VENCIDO",IF(E4807&lt;=30,"VENCE EM &lt;= 30 DIAS",IF(E4807&lt;=60,"ATENCAO (31-60 DIAS)","OK"))))</f>
        <v/>
      </c>
      <c r="G4807" s="13">
        <f>SUMIFS(Movimentacoes!$G:$G,Movimentacoes!$C:$C,$A4807,Movimentacoes!$E:$E,$C4807,Movimentacoes!$B:$B,"ENTRADA")</f>
        <v/>
      </c>
      <c r="H4807" s="13">
        <f>SUMIFS(Movimentacoes!$G:$G,Movimentacoes!$C:$C,$A4807,Movimentacoes!$E:$E,$C4807,Movimentacoes!$B:$B,"SAIDA_USO")</f>
        <v/>
      </c>
      <c r="I4807" s="13">
        <f>SUMIFS(Movimentacoes!$G:$G,Movimentacoes!$C:$C,$A4807,Movimentacoes!$E:$E,$C4807,Movimentacoes!$B:$B,"SAIDA_DESCARTE")</f>
        <v/>
      </c>
      <c r="J4807" s="13">
        <f>G4807-H4807-I4807</f>
        <v/>
      </c>
      <c r="K4807">
        <f>IF(A4807="","",IF(J4807&lt;=IFERROR(VLOOKUP(A4807,Cadastro_Produtos!$A:$E,5,FALSE),0),"ABAIXO DO MINIMO","OK"))</f>
        <v/>
      </c>
    </row>
    <row r="4808">
      <c r="B4808">
        <f>IFERROR(VLOOKUP(A4808,Cadastro_Produtos!A:B,2,FALSE),"")</f>
        <v/>
      </c>
      <c r="D4808" s="12" t="n"/>
      <c r="E4808" s="13">
        <f>IF(D4808="","",D4808-TODAY())</f>
        <v/>
      </c>
      <c r="F4808">
        <f>IF(D4808="","",IF(E4808&lt;0,"VENCIDO",IF(E4808&lt;=30,"VENCE EM &lt;= 30 DIAS",IF(E4808&lt;=60,"ATENCAO (31-60 DIAS)","OK"))))</f>
        <v/>
      </c>
      <c r="G4808" s="13">
        <f>SUMIFS(Movimentacoes!$G:$G,Movimentacoes!$C:$C,$A4808,Movimentacoes!$E:$E,$C4808,Movimentacoes!$B:$B,"ENTRADA")</f>
        <v/>
      </c>
      <c r="H4808" s="13">
        <f>SUMIFS(Movimentacoes!$G:$G,Movimentacoes!$C:$C,$A4808,Movimentacoes!$E:$E,$C4808,Movimentacoes!$B:$B,"SAIDA_USO")</f>
        <v/>
      </c>
      <c r="I4808" s="13">
        <f>SUMIFS(Movimentacoes!$G:$G,Movimentacoes!$C:$C,$A4808,Movimentacoes!$E:$E,$C4808,Movimentacoes!$B:$B,"SAIDA_DESCARTE")</f>
        <v/>
      </c>
      <c r="J4808" s="13">
        <f>G4808-H4808-I4808</f>
        <v/>
      </c>
      <c r="K4808">
        <f>IF(A4808="","",IF(J4808&lt;=IFERROR(VLOOKUP(A4808,Cadastro_Produtos!$A:$E,5,FALSE),0),"ABAIXO DO MINIMO","OK"))</f>
        <v/>
      </c>
    </row>
    <row r="4809">
      <c r="B4809">
        <f>IFERROR(VLOOKUP(A4809,Cadastro_Produtos!A:B,2,FALSE),"")</f>
        <v/>
      </c>
      <c r="D4809" s="12" t="n"/>
      <c r="E4809" s="13">
        <f>IF(D4809="","",D4809-TODAY())</f>
        <v/>
      </c>
      <c r="F4809">
        <f>IF(D4809="","",IF(E4809&lt;0,"VENCIDO",IF(E4809&lt;=30,"VENCE EM &lt;= 30 DIAS",IF(E4809&lt;=60,"ATENCAO (31-60 DIAS)","OK"))))</f>
        <v/>
      </c>
      <c r="G4809" s="13">
        <f>SUMIFS(Movimentacoes!$G:$G,Movimentacoes!$C:$C,$A4809,Movimentacoes!$E:$E,$C4809,Movimentacoes!$B:$B,"ENTRADA")</f>
        <v/>
      </c>
      <c r="H4809" s="13">
        <f>SUMIFS(Movimentacoes!$G:$G,Movimentacoes!$C:$C,$A4809,Movimentacoes!$E:$E,$C4809,Movimentacoes!$B:$B,"SAIDA_USO")</f>
        <v/>
      </c>
      <c r="I4809" s="13">
        <f>SUMIFS(Movimentacoes!$G:$G,Movimentacoes!$C:$C,$A4809,Movimentacoes!$E:$E,$C4809,Movimentacoes!$B:$B,"SAIDA_DESCARTE")</f>
        <v/>
      </c>
      <c r="J4809" s="13">
        <f>G4809-H4809-I4809</f>
        <v/>
      </c>
      <c r="K4809">
        <f>IF(A4809="","",IF(J4809&lt;=IFERROR(VLOOKUP(A4809,Cadastro_Produtos!$A:$E,5,FALSE),0),"ABAIXO DO MINIMO","OK"))</f>
        <v/>
      </c>
    </row>
    <row r="4810">
      <c r="B4810">
        <f>IFERROR(VLOOKUP(A4810,Cadastro_Produtos!A:B,2,FALSE),"")</f>
        <v/>
      </c>
      <c r="D4810" s="12" t="n"/>
      <c r="E4810" s="13">
        <f>IF(D4810="","",D4810-TODAY())</f>
        <v/>
      </c>
      <c r="F4810">
        <f>IF(D4810="","",IF(E4810&lt;0,"VENCIDO",IF(E4810&lt;=30,"VENCE EM &lt;= 30 DIAS",IF(E4810&lt;=60,"ATENCAO (31-60 DIAS)","OK"))))</f>
        <v/>
      </c>
      <c r="G4810" s="13">
        <f>SUMIFS(Movimentacoes!$G:$G,Movimentacoes!$C:$C,$A4810,Movimentacoes!$E:$E,$C4810,Movimentacoes!$B:$B,"ENTRADA")</f>
        <v/>
      </c>
      <c r="H4810" s="13">
        <f>SUMIFS(Movimentacoes!$G:$G,Movimentacoes!$C:$C,$A4810,Movimentacoes!$E:$E,$C4810,Movimentacoes!$B:$B,"SAIDA_USO")</f>
        <v/>
      </c>
      <c r="I4810" s="13">
        <f>SUMIFS(Movimentacoes!$G:$G,Movimentacoes!$C:$C,$A4810,Movimentacoes!$E:$E,$C4810,Movimentacoes!$B:$B,"SAIDA_DESCARTE")</f>
        <v/>
      </c>
      <c r="J4810" s="13">
        <f>G4810-H4810-I4810</f>
        <v/>
      </c>
      <c r="K4810">
        <f>IF(A4810="","",IF(J4810&lt;=IFERROR(VLOOKUP(A4810,Cadastro_Produtos!$A:$E,5,FALSE),0),"ABAIXO DO MINIMO","OK"))</f>
        <v/>
      </c>
    </row>
    <row r="4811">
      <c r="B4811">
        <f>IFERROR(VLOOKUP(A4811,Cadastro_Produtos!A:B,2,FALSE),"")</f>
        <v/>
      </c>
      <c r="D4811" s="12" t="n"/>
      <c r="E4811" s="13">
        <f>IF(D4811="","",D4811-TODAY())</f>
        <v/>
      </c>
      <c r="F4811">
        <f>IF(D4811="","",IF(E4811&lt;0,"VENCIDO",IF(E4811&lt;=30,"VENCE EM &lt;= 30 DIAS",IF(E4811&lt;=60,"ATENCAO (31-60 DIAS)","OK"))))</f>
        <v/>
      </c>
      <c r="G4811" s="13">
        <f>SUMIFS(Movimentacoes!$G:$G,Movimentacoes!$C:$C,$A4811,Movimentacoes!$E:$E,$C4811,Movimentacoes!$B:$B,"ENTRADA")</f>
        <v/>
      </c>
      <c r="H4811" s="13">
        <f>SUMIFS(Movimentacoes!$G:$G,Movimentacoes!$C:$C,$A4811,Movimentacoes!$E:$E,$C4811,Movimentacoes!$B:$B,"SAIDA_USO")</f>
        <v/>
      </c>
      <c r="I4811" s="13">
        <f>SUMIFS(Movimentacoes!$G:$G,Movimentacoes!$C:$C,$A4811,Movimentacoes!$E:$E,$C4811,Movimentacoes!$B:$B,"SAIDA_DESCARTE")</f>
        <v/>
      </c>
      <c r="J4811" s="13">
        <f>G4811-H4811-I4811</f>
        <v/>
      </c>
      <c r="K4811">
        <f>IF(A4811="","",IF(J4811&lt;=IFERROR(VLOOKUP(A4811,Cadastro_Produtos!$A:$E,5,FALSE),0),"ABAIXO DO MINIMO","OK"))</f>
        <v/>
      </c>
    </row>
    <row r="4812">
      <c r="B4812">
        <f>IFERROR(VLOOKUP(A4812,Cadastro_Produtos!A:B,2,FALSE),"")</f>
        <v/>
      </c>
      <c r="D4812" s="12" t="n"/>
      <c r="E4812" s="13">
        <f>IF(D4812="","",D4812-TODAY())</f>
        <v/>
      </c>
      <c r="F4812">
        <f>IF(D4812="","",IF(E4812&lt;0,"VENCIDO",IF(E4812&lt;=30,"VENCE EM &lt;= 30 DIAS",IF(E4812&lt;=60,"ATENCAO (31-60 DIAS)","OK"))))</f>
        <v/>
      </c>
      <c r="G4812" s="13">
        <f>SUMIFS(Movimentacoes!$G:$G,Movimentacoes!$C:$C,$A4812,Movimentacoes!$E:$E,$C4812,Movimentacoes!$B:$B,"ENTRADA")</f>
        <v/>
      </c>
      <c r="H4812" s="13">
        <f>SUMIFS(Movimentacoes!$G:$G,Movimentacoes!$C:$C,$A4812,Movimentacoes!$E:$E,$C4812,Movimentacoes!$B:$B,"SAIDA_USO")</f>
        <v/>
      </c>
      <c r="I4812" s="13">
        <f>SUMIFS(Movimentacoes!$G:$G,Movimentacoes!$C:$C,$A4812,Movimentacoes!$E:$E,$C4812,Movimentacoes!$B:$B,"SAIDA_DESCARTE")</f>
        <v/>
      </c>
      <c r="J4812" s="13">
        <f>G4812-H4812-I4812</f>
        <v/>
      </c>
      <c r="K4812">
        <f>IF(A4812="","",IF(J4812&lt;=IFERROR(VLOOKUP(A4812,Cadastro_Produtos!$A:$E,5,FALSE),0),"ABAIXO DO MINIMO","OK"))</f>
        <v/>
      </c>
    </row>
    <row r="4813">
      <c r="B4813">
        <f>IFERROR(VLOOKUP(A4813,Cadastro_Produtos!A:B,2,FALSE),"")</f>
        <v/>
      </c>
      <c r="D4813" s="12" t="n"/>
      <c r="E4813" s="13">
        <f>IF(D4813="","",D4813-TODAY())</f>
        <v/>
      </c>
      <c r="F4813">
        <f>IF(D4813="","",IF(E4813&lt;0,"VENCIDO",IF(E4813&lt;=30,"VENCE EM &lt;= 30 DIAS",IF(E4813&lt;=60,"ATENCAO (31-60 DIAS)","OK"))))</f>
        <v/>
      </c>
      <c r="G4813" s="13">
        <f>SUMIFS(Movimentacoes!$G:$G,Movimentacoes!$C:$C,$A4813,Movimentacoes!$E:$E,$C4813,Movimentacoes!$B:$B,"ENTRADA")</f>
        <v/>
      </c>
      <c r="H4813" s="13">
        <f>SUMIFS(Movimentacoes!$G:$G,Movimentacoes!$C:$C,$A4813,Movimentacoes!$E:$E,$C4813,Movimentacoes!$B:$B,"SAIDA_USO")</f>
        <v/>
      </c>
      <c r="I4813" s="13">
        <f>SUMIFS(Movimentacoes!$G:$G,Movimentacoes!$C:$C,$A4813,Movimentacoes!$E:$E,$C4813,Movimentacoes!$B:$B,"SAIDA_DESCARTE")</f>
        <v/>
      </c>
      <c r="J4813" s="13">
        <f>G4813-H4813-I4813</f>
        <v/>
      </c>
      <c r="K4813">
        <f>IF(A4813="","",IF(J4813&lt;=IFERROR(VLOOKUP(A4813,Cadastro_Produtos!$A:$E,5,FALSE),0),"ABAIXO DO MINIMO","OK"))</f>
        <v/>
      </c>
    </row>
    <row r="4814">
      <c r="B4814">
        <f>IFERROR(VLOOKUP(A4814,Cadastro_Produtos!A:B,2,FALSE),"")</f>
        <v/>
      </c>
      <c r="D4814" s="12" t="n"/>
      <c r="E4814" s="13">
        <f>IF(D4814="","",D4814-TODAY())</f>
        <v/>
      </c>
      <c r="F4814">
        <f>IF(D4814="","",IF(E4814&lt;0,"VENCIDO",IF(E4814&lt;=30,"VENCE EM &lt;= 30 DIAS",IF(E4814&lt;=60,"ATENCAO (31-60 DIAS)","OK"))))</f>
        <v/>
      </c>
      <c r="G4814" s="13">
        <f>SUMIFS(Movimentacoes!$G:$G,Movimentacoes!$C:$C,$A4814,Movimentacoes!$E:$E,$C4814,Movimentacoes!$B:$B,"ENTRADA")</f>
        <v/>
      </c>
      <c r="H4814" s="13">
        <f>SUMIFS(Movimentacoes!$G:$G,Movimentacoes!$C:$C,$A4814,Movimentacoes!$E:$E,$C4814,Movimentacoes!$B:$B,"SAIDA_USO")</f>
        <v/>
      </c>
      <c r="I4814" s="13">
        <f>SUMIFS(Movimentacoes!$G:$G,Movimentacoes!$C:$C,$A4814,Movimentacoes!$E:$E,$C4814,Movimentacoes!$B:$B,"SAIDA_DESCARTE")</f>
        <v/>
      </c>
      <c r="J4814" s="13">
        <f>G4814-H4814-I4814</f>
        <v/>
      </c>
      <c r="K4814">
        <f>IF(A4814="","",IF(J4814&lt;=IFERROR(VLOOKUP(A4814,Cadastro_Produtos!$A:$E,5,FALSE),0),"ABAIXO DO MINIMO","OK"))</f>
        <v/>
      </c>
    </row>
    <row r="4815">
      <c r="B4815">
        <f>IFERROR(VLOOKUP(A4815,Cadastro_Produtos!A:B,2,FALSE),"")</f>
        <v/>
      </c>
      <c r="D4815" s="12" t="n"/>
      <c r="E4815" s="13">
        <f>IF(D4815="","",D4815-TODAY())</f>
        <v/>
      </c>
      <c r="F4815">
        <f>IF(D4815="","",IF(E4815&lt;0,"VENCIDO",IF(E4815&lt;=30,"VENCE EM &lt;= 30 DIAS",IF(E4815&lt;=60,"ATENCAO (31-60 DIAS)","OK"))))</f>
        <v/>
      </c>
      <c r="G4815" s="13">
        <f>SUMIFS(Movimentacoes!$G:$G,Movimentacoes!$C:$C,$A4815,Movimentacoes!$E:$E,$C4815,Movimentacoes!$B:$B,"ENTRADA")</f>
        <v/>
      </c>
      <c r="H4815" s="13">
        <f>SUMIFS(Movimentacoes!$G:$G,Movimentacoes!$C:$C,$A4815,Movimentacoes!$E:$E,$C4815,Movimentacoes!$B:$B,"SAIDA_USO")</f>
        <v/>
      </c>
      <c r="I4815" s="13">
        <f>SUMIFS(Movimentacoes!$G:$G,Movimentacoes!$C:$C,$A4815,Movimentacoes!$E:$E,$C4815,Movimentacoes!$B:$B,"SAIDA_DESCARTE")</f>
        <v/>
      </c>
      <c r="J4815" s="13">
        <f>G4815-H4815-I4815</f>
        <v/>
      </c>
      <c r="K4815">
        <f>IF(A4815="","",IF(J4815&lt;=IFERROR(VLOOKUP(A4815,Cadastro_Produtos!$A:$E,5,FALSE),0),"ABAIXO DO MINIMO","OK"))</f>
        <v/>
      </c>
    </row>
    <row r="4816">
      <c r="B4816">
        <f>IFERROR(VLOOKUP(A4816,Cadastro_Produtos!A:B,2,FALSE),"")</f>
        <v/>
      </c>
      <c r="D4816" s="12" t="n"/>
      <c r="E4816" s="13">
        <f>IF(D4816="","",D4816-TODAY())</f>
        <v/>
      </c>
      <c r="F4816">
        <f>IF(D4816="","",IF(E4816&lt;0,"VENCIDO",IF(E4816&lt;=30,"VENCE EM &lt;= 30 DIAS",IF(E4816&lt;=60,"ATENCAO (31-60 DIAS)","OK"))))</f>
        <v/>
      </c>
      <c r="G4816" s="13">
        <f>SUMIFS(Movimentacoes!$G:$G,Movimentacoes!$C:$C,$A4816,Movimentacoes!$E:$E,$C4816,Movimentacoes!$B:$B,"ENTRADA")</f>
        <v/>
      </c>
      <c r="H4816" s="13">
        <f>SUMIFS(Movimentacoes!$G:$G,Movimentacoes!$C:$C,$A4816,Movimentacoes!$E:$E,$C4816,Movimentacoes!$B:$B,"SAIDA_USO")</f>
        <v/>
      </c>
      <c r="I4816" s="13">
        <f>SUMIFS(Movimentacoes!$G:$G,Movimentacoes!$C:$C,$A4816,Movimentacoes!$E:$E,$C4816,Movimentacoes!$B:$B,"SAIDA_DESCARTE")</f>
        <v/>
      </c>
      <c r="J4816" s="13">
        <f>G4816-H4816-I4816</f>
        <v/>
      </c>
      <c r="K4816">
        <f>IF(A4816="","",IF(J4816&lt;=IFERROR(VLOOKUP(A4816,Cadastro_Produtos!$A:$E,5,FALSE),0),"ABAIXO DO MINIMO","OK"))</f>
        <v/>
      </c>
    </row>
    <row r="4817">
      <c r="B4817">
        <f>IFERROR(VLOOKUP(A4817,Cadastro_Produtos!A:B,2,FALSE),"")</f>
        <v/>
      </c>
      <c r="D4817" s="12" t="n"/>
      <c r="E4817" s="13">
        <f>IF(D4817="","",D4817-TODAY())</f>
        <v/>
      </c>
      <c r="F4817">
        <f>IF(D4817="","",IF(E4817&lt;0,"VENCIDO",IF(E4817&lt;=30,"VENCE EM &lt;= 30 DIAS",IF(E4817&lt;=60,"ATENCAO (31-60 DIAS)","OK"))))</f>
        <v/>
      </c>
      <c r="G4817" s="13">
        <f>SUMIFS(Movimentacoes!$G:$G,Movimentacoes!$C:$C,$A4817,Movimentacoes!$E:$E,$C4817,Movimentacoes!$B:$B,"ENTRADA")</f>
        <v/>
      </c>
      <c r="H4817" s="13">
        <f>SUMIFS(Movimentacoes!$G:$G,Movimentacoes!$C:$C,$A4817,Movimentacoes!$E:$E,$C4817,Movimentacoes!$B:$B,"SAIDA_USO")</f>
        <v/>
      </c>
      <c r="I4817" s="13">
        <f>SUMIFS(Movimentacoes!$G:$G,Movimentacoes!$C:$C,$A4817,Movimentacoes!$E:$E,$C4817,Movimentacoes!$B:$B,"SAIDA_DESCARTE")</f>
        <v/>
      </c>
      <c r="J4817" s="13">
        <f>G4817-H4817-I4817</f>
        <v/>
      </c>
      <c r="K4817">
        <f>IF(A4817="","",IF(J4817&lt;=IFERROR(VLOOKUP(A4817,Cadastro_Produtos!$A:$E,5,FALSE),0),"ABAIXO DO MINIMO","OK"))</f>
        <v/>
      </c>
    </row>
    <row r="4818">
      <c r="B4818">
        <f>IFERROR(VLOOKUP(A4818,Cadastro_Produtos!A:B,2,FALSE),"")</f>
        <v/>
      </c>
      <c r="D4818" s="12" t="n"/>
      <c r="E4818" s="13">
        <f>IF(D4818="","",D4818-TODAY())</f>
        <v/>
      </c>
      <c r="F4818">
        <f>IF(D4818="","",IF(E4818&lt;0,"VENCIDO",IF(E4818&lt;=30,"VENCE EM &lt;= 30 DIAS",IF(E4818&lt;=60,"ATENCAO (31-60 DIAS)","OK"))))</f>
        <v/>
      </c>
      <c r="G4818" s="13">
        <f>SUMIFS(Movimentacoes!$G:$G,Movimentacoes!$C:$C,$A4818,Movimentacoes!$E:$E,$C4818,Movimentacoes!$B:$B,"ENTRADA")</f>
        <v/>
      </c>
      <c r="H4818" s="13">
        <f>SUMIFS(Movimentacoes!$G:$G,Movimentacoes!$C:$C,$A4818,Movimentacoes!$E:$E,$C4818,Movimentacoes!$B:$B,"SAIDA_USO")</f>
        <v/>
      </c>
      <c r="I4818" s="13">
        <f>SUMIFS(Movimentacoes!$G:$G,Movimentacoes!$C:$C,$A4818,Movimentacoes!$E:$E,$C4818,Movimentacoes!$B:$B,"SAIDA_DESCARTE")</f>
        <v/>
      </c>
      <c r="J4818" s="13">
        <f>G4818-H4818-I4818</f>
        <v/>
      </c>
      <c r="K4818">
        <f>IF(A4818="","",IF(J4818&lt;=IFERROR(VLOOKUP(A4818,Cadastro_Produtos!$A:$E,5,FALSE),0),"ABAIXO DO MINIMO","OK"))</f>
        <v/>
      </c>
    </row>
    <row r="4819">
      <c r="B4819">
        <f>IFERROR(VLOOKUP(A4819,Cadastro_Produtos!A:B,2,FALSE),"")</f>
        <v/>
      </c>
      <c r="D4819" s="12" t="n"/>
      <c r="E4819" s="13">
        <f>IF(D4819="","",D4819-TODAY())</f>
        <v/>
      </c>
      <c r="F4819">
        <f>IF(D4819="","",IF(E4819&lt;0,"VENCIDO",IF(E4819&lt;=30,"VENCE EM &lt;= 30 DIAS",IF(E4819&lt;=60,"ATENCAO (31-60 DIAS)","OK"))))</f>
        <v/>
      </c>
      <c r="G4819" s="13">
        <f>SUMIFS(Movimentacoes!$G:$G,Movimentacoes!$C:$C,$A4819,Movimentacoes!$E:$E,$C4819,Movimentacoes!$B:$B,"ENTRADA")</f>
        <v/>
      </c>
      <c r="H4819" s="13">
        <f>SUMIFS(Movimentacoes!$G:$G,Movimentacoes!$C:$C,$A4819,Movimentacoes!$E:$E,$C4819,Movimentacoes!$B:$B,"SAIDA_USO")</f>
        <v/>
      </c>
      <c r="I4819" s="13">
        <f>SUMIFS(Movimentacoes!$G:$G,Movimentacoes!$C:$C,$A4819,Movimentacoes!$E:$E,$C4819,Movimentacoes!$B:$B,"SAIDA_DESCARTE")</f>
        <v/>
      </c>
      <c r="J4819" s="13">
        <f>G4819-H4819-I4819</f>
        <v/>
      </c>
      <c r="K4819">
        <f>IF(A4819="","",IF(J4819&lt;=IFERROR(VLOOKUP(A4819,Cadastro_Produtos!$A:$E,5,FALSE),0),"ABAIXO DO MINIMO","OK"))</f>
        <v/>
      </c>
    </row>
    <row r="4820">
      <c r="B4820">
        <f>IFERROR(VLOOKUP(A4820,Cadastro_Produtos!A:B,2,FALSE),"")</f>
        <v/>
      </c>
      <c r="D4820" s="12" t="n"/>
      <c r="E4820" s="13">
        <f>IF(D4820="","",D4820-TODAY())</f>
        <v/>
      </c>
      <c r="F4820">
        <f>IF(D4820="","",IF(E4820&lt;0,"VENCIDO",IF(E4820&lt;=30,"VENCE EM &lt;= 30 DIAS",IF(E4820&lt;=60,"ATENCAO (31-60 DIAS)","OK"))))</f>
        <v/>
      </c>
      <c r="G4820" s="13">
        <f>SUMIFS(Movimentacoes!$G:$G,Movimentacoes!$C:$C,$A4820,Movimentacoes!$E:$E,$C4820,Movimentacoes!$B:$B,"ENTRADA")</f>
        <v/>
      </c>
      <c r="H4820" s="13">
        <f>SUMIFS(Movimentacoes!$G:$G,Movimentacoes!$C:$C,$A4820,Movimentacoes!$E:$E,$C4820,Movimentacoes!$B:$B,"SAIDA_USO")</f>
        <v/>
      </c>
      <c r="I4820" s="13">
        <f>SUMIFS(Movimentacoes!$G:$G,Movimentacoes!$C:$C,$A4820,Movimentacoes!$E:$E,$C4820,Movimentacoes!$B:$B,"SAIDA_DESCARTE")</f>
        <v/>
      </c>
      <c r="J4820" s="13">
        <f>G4820-H4820-I4820</f>
        <v/>
      </c>
      <c r="K4820">
        <f>IF(A4820="","",IF(J4820&lt;=IFERROR(VLOOKUP(A4820,Cadastro_Produtos!$A:$E,5,FALSE),0),"ABAIXO DO MINIMO","OK"))</f>
        <v/>
      </c>
    </row>
    <row r="4821">
      <c r="B4821">
        <f>IFERROR(VLOOKUP(A4821,Cadastro_Produtos!A:B,2,FALSE),"")</f>
        <v/>
      </c>
      <c r="D4821" s="12" t="n"/>
      <c r="E4821" s="13">
        <f>IF(D4821="","",D4821-TODAY())</f>
        <v/>
      </c>
      <c r="F4821">
        <f>IF(D4821="","",IF(E4821&lt;0,"VENCIDO",IF(E4821&lt;=30,"VENCE EM &lt;= 30 DIAS",IF(E4821&lt;=60,"ATENCAO (31-60 DIAS)","OK"))))</f>
        <v/>
      </c>
      <c r="G4821" s="13">
        <f>SUMIFS(Movimentacoes!$G:$G,Movimentacoes!$C:$C,$A4821,Movimentacoes!$E:$E,$C4821,Movimentacoes!$B:$B,"ENTRADA")</f>
        <v/>
      </c>
      <c r="H4821" s="13">
        <f>SUMIFS(Movimentacoes!$G:$G,Movimentacoes!$C:$C,$A4821,Movimentacoes!$E:$E,$C4821,Movimentacoes!$B:$B,"SAIDA_USO")</f>
        <v/>
      </c>
      <c r="I4821" s="13">
        <f>SUMIFS(Movimentacoes!$G:$G,Movimentacoes!$C:$C,$A4821,Movimentacoes!$E:$E,$C4821,Movimentacoes!$B:$B,"SAIDA_DESCARTE")</f>
        <v/>
      </c>
      <c r="J4821" s="13">
        <f>G4821-H4821-I4821</f>
        <v/>
      </c>
      <c r="K4821">
        <f>IF(A4821="","",IF(J4821&lt;=IFERROR(VLOOKUP(A4821,Cadastro_Produtos!$A:$E,5,FALSE),0),"ABAIXO DO MINIMO","OK"))</f>
        <v/>
      </c>
    </row>
    <row r="4822">
      <c r="B4822">
        <f>IFERROR(VLOOKUP(A4822,Cadastro_Produtos!A:B,2,FALSE),"")</f>
        <v/>
      </c>
      <c r="D4822" s="12" t="n"/>
      <c r="E4822" s="13">
        <f>IF(D4822="","",D4822-TODAY())</f>
        <v/>
      </c>
      <c r="F4822">
        <f>IF(D4822="","",IF(E4822&lt;0,"VENCIDO",IF(E4822&lt;=30,"VENCE EM &lt;= 30 DIAS",IF(E4822&lt;=60,"ATENCAO (31-60 DIAS)","OK"))))</f>
        <v/>
      </c>
      <c r="G4822" s="13">
        <f>SUMIFS(Movimentacoes!$G:$G,Movimentacoes!$C:$C,$A4822,Movimentacoes!$E:$E,$C4822,Movimentacoes!$B:$B,"ENTRADA")</f>
        <v/>
      </c>
      <c r="H4822" s="13">
        <f>SUMIFS(Movimentacoes!$G:$G,Movimentacoes!$C:$C,$A4822,Movimentacoes!$E:$E,$C4822,Movimentacoes!$B:$B,"SAIDA_USO")</f>
        <v/>
      </c>
      <c r="I4822" s="13">
        <f>SUMIFS(Movimentacoes!$G:$G,Movimentacoes!$C:$C,$A4822,Movimentacoes!$E:$E,$C4822,Movimentacoes!$B:$B,"SAIDA_DESCARTE")</f>
        <v/>
      </c>
      <c r="J4822" s="13">
        <f>G4822-H4822-I4822</f>
        <v/>
      </c>
      <c r="K4822">
        <f>IF(A4822="","",IF(J4822&lt;=IFERROR(VLOOKUP(A4822,Cadastro_Produtos!$A:$E,5,FALSE),0),"ABAIXO DO MINIMO","OK"))</f>
        <v/>
      </c>
    </row>
    <row r="4823">
      <c r="B4823">
        <f>IFERROR(VLOOKUP(A4823,Cadastro_Produtos!A:B,2,FALSE),"")</f>
        <v/>
      </c>
      <c r="D4823" s="12" t="n"/>
      <c r="E4823" s="13">
        <f>IF(D4823="","",D4823-TODAY())</f>
        <v/>
      </c>
      <c r="F4823">
        <f>IF(D4823="","",IF(E4823&lt;0,"VENCIDO",IF(E4823&lt;=30,"VENCE EM &lt;= 30 DIAS",IF(E4823&lt;=60,"ATENCAO (31-60 DIAS)","OK"))))</f>
        <v/>
      </c>
      <c r="G4823" s="13">
        <f>SUMIFS(Movimentacoes!$G:$G,Movimentacoes!$C:$C,$A4823,Movimentacoes!$E:$E,$C4823,Movimentacoes!$B:$B,"ENTRADA")</f>
        <v/>
      </c>
      <c r="H4823" s="13">
        <f>SUMIFS(Movimentacoes!$G:$G,Movimentacoes!$C:$C,$A4823,Movimentacoes!$E:$E,$C4823,Movimentacoes!$B:$B,"SAIDA_USO")</f>
        <v/>
      </c>
      <c r="I4823" s="13">
        <f>SUMIFS(Movimentacoes!$G:$G,Movimentacoes!$C:$C,$A4823,Movimentacoes!$E:$E,$C4823,Movimentacoes!$B:$B,"SAIDA_DESCARTE")</f>
        <v/>
      </c>
      <c r="J4823" s="13">
        <f>G4823-H4823-I4823</f>
        <v/>
      </c>
      <c r="K4823">
        <f>IF(A4823="","",IF(J4823&lt;=IFERROR(VLOOKUP(A4823,Cadastro_Produtos!$A:$E,5,FALSE),0),"ABAIXO DO MINIMO","OK"))</f>
        <v/>
      </c>
    </row>
    <row r="4824">
      <c r="B4824">
        <f>IFERROR(VLOOKUP(A4824,Cadastro_Produtos!A:B,2,FALSE),"")</f>
        <v/>
      </c>
      <c r="D4824" s="12" t="n"/>
      <c r="E4824" s="13">
        <f>IF(D4824="","",D4824-TODAY())</f>
        <v/>
      </c>
      <c r="F4824">
        <f>IF(D4824="","",IF(E4824&lt;0,"VENCIDO",IF(E4824&lt;=30,"VENCE EM &lt;= 30 DIAS",IF(E4824&lt;=60,"ATENCAO (31-60 DIAS)","OK"))))</f>
        <v/>
      </c>
      <c r="G4824" s="13">
        <f>SUMIFS(Movimentacoes!$G:$G,Movimentacoes!$C:$C,$A4824,Movimentacoes!$E:$E,$C4824,Movimentacoes!$B:$B,"ENTRADA")</f>
        <v/>
      </c>
      <c r="H4824" s="13">
        <f>SUMIFS(Movimentacoes!$G:$G,Movimentacoes!$C:$C,$A4824,Movimentacoes!$E:$E,$C4824,Movimentacoes!$B:$B,"SAIDA_USO")</f>
        <v/>
      </c>
      <c r="I4824" s="13">
        <f>SUMIFS(Movimentacoes!$G:$G,Movimentacoes!$C:$C,$A4824,Movimentacoes!$E:$E,$C4824,Movimentacoes!$B:$B,"SAIDA_DESCARTE")</f>
        <v/>
      </c>
      <c r="J4824" s="13">
        <f>G4824-H4824-I4824</f>
        <v/>
      </c>
      <c r="K4824">
        <f>IF(A4824="","",IF(J4824&lt;=IFERROR(VLOOKUP(A4824,Cadastro_Produtos!$A:$E,5,FALSE),0),"ABAIXO DO MINIMO","OK"))</f>
        <v/>
      </c>
    </row>
    <row r="4825">
      <c r="B4825">
        <f>IFERROR(VLOOKUP(A4825,Cadastro_Produtos!A:B,2,FALSE),"")</f>
        <v/>
      </c>
      <c r="D4825" s="12" t="n"/>
      <c r="E4825" s="13">
        <f>IF(D4825="","",D4825-TODAY())</f>
        <v/>
      </c>
      <c r="F4825">
        <f>IF(D4825="","",IF(E4825&lt;0,"VENCIDO",IF(E4825&lt;=30,"VENCE EM &lt;= 30 DIAS",IF(E4825&lt;=60,"ATENCAO (31-60 DIAS)","OK"))))</f>
        <v/>
      </c>
      <c r="G4825" s="13">
        <f>SUMIFS(Movimentacoes!$G:$G,Movimentacoes!$C:$C,$A4825,Movimentacoes!$E:$E,$C4825,Movimentacoes!$B:$B,"ENTRADA")</f>
        <v/>
      </c>
      <c r="H4825" s="13">
        <f>SUMIFS(Movimentacoes!$G:$G,Movimentacoes!$C:$C,$A4825,Movimentacoes!$E:$E,$C4825,Movimentacoes!$B:$B,"SAIDA_USO")</f>
        <v/>
      </c>
      <c r="I4825" s="13">
        <f>SUMIFS(Movimentacoes!$G:$G,Movimentacoes!$C:$C,$A4825,Movimentacoes!$E:$E,$C4825,Movimentacoes!$B:$B,"SAIDA_DESCARTE")</f>
        <v/>
      </c>
      <c r="J4825" s="13">
        <f>G4825-H4825-I4825</f>
        <v/>
      </c>
      <c r="K4825">
        <f>IF(A4825="","",IF(J4825&lt;=IFERROR(VLOOKUP(A4825,Cadastro_Produtos!$A:$E,5,FALSE),0),"ABAIXO DO MINIMO","OK"))</f>
        <v/>
      </c>
    </row>
    <row r="4826">
      <c r="B4826">
        <f>IFERROR(VLOOKUP(A4826,Cadastro_Produtos!A:B,2,FALSE),"")</f>
        <v/>
      </c>
      <c r="D4826" s="12" t="n"/>
      <c r="E4826" s="13">
        <f>IF(D4826="","",D4826-TODAY())</f>
        <v/>
      </c>
      <c r="F4826">
        <f>IF(D4826="","",IF(E4826&lt;0,"VENCIDO",IF(E4826&lt;=30,"VENCE EM &lt;= 30 DIAS",IF(E4826&lt;=60,"ATENCAO (31-60 DIAS)","OK"))))</f>
        <v/>
      </c>
      <c r="G4826" s="13">
        <f>SUMIFS(Movimentacoes!$G:$G,Movimentacoes!$C:$C,$A4826,Movimentacoes!$E:$E,$C4826,Movimentacoes!$B:$B,"ENTRADA")</f>
        <v/>
      </c>
      <c r="H4826" s="13">
        <f>SUMIFS(Movimentacoes!$G:$G,Movimentacoes!$C:$C,$A4826,Movimentacoes!$E:$E,$C4826,Movimentacoes!$B:$B,"SAIDA_USO")</f>
        <v/>
      </c>
      <c r="I4826" s="13">
        <f>SUMIFS(Movimentacoes!$G:$G,Movimentacoes!$C:$C,$A4826,Movimentacoes!$E:$E,$C4826,Movimentacoes!$B:$B,"SAIDA_DESCARTE")</f>
        <v/>
      </c>
      <c r="J4826" s="13">
        <f>G4826-H4826-I4826</f>
        <v/>
      </c>
      <c r="K4826">
        <f>IF(A4826="","",IF(J4826&lt;=IFERROR(VLOOKUP(A4826,Cadastro_Produtos!$A:$E,5,FALSE),0),"ABAIXO DO MINIMO","OK"))</f>
        <v/>
      </c>
    </row>
    <row r="4827">
      <c r="B4827">
        <f>IFERROR(VLOOKUP(A4827,Cadastro_Produtos!A:B,2,FALSE),"")</f>
        <v/>
      </c>
      <c r="D4827" s="12" t="n"/>
      <c r="E4827" s="13">
        <f>IF(D4827="","",D4827-TODAY())</f>
        <v/>
      </c>
      <c r="F4827">
        <f>IF(D4827="","",IF(E4827&lt;0,"VENCIDO",IF(E4827&lt;=30,"VENCE EM &lt;= 30 DIAS",IF(E4827&lt;=60,"ATENCAO (31-60 DIAS)","OK"))))</f>
        <v/>
      </c>
      <c r="G4827" s="13">
        <f>SUMIFS(Movimentacoes!$G:$G,Movimentacoes!$C:$C,$A4827,Movimentacoes!$E:$E,$C4827,Movimentacoes!$B:$B,"ENTRADA")</f>
        <v/>
      </c>
      <c r="H4827" s="13">
        <f>SUMIFS(Movimentacoes!$G:$G,Movimentacoes!$C:$C,$A4827,Movimentacoes!$E:$E,$C4827,Movimentacoes!$B:$B,"SAIDA_USO")</f>
        <v/>
      </c>
      <c r="I4827" s="13">
        <f>SUMIFS(Movimentacoes!$G:$G,Movimentacoes!$C:$C,$A4827,Movimentacoes!$E:$E,$C4827,Movimentacoes!$B:$B,"SAIDA_DESCARTE")</f>
        <v/>
      </c>
      <c r="J4827" s="13">
        <f>G4827-H4827-I4827</f>
        <v/>
      </c>
      <c r="K4827">
        <f>IF(A4827="","",IF(J4827&lt;=IFERROR(VLOOKUP(A4827,Cadastro_Produtos!$A:$E,5,FALSE),0),"ABAIXO DO MINIMO","OK"))</f>
        <v/>
      </c>
    </row>
    <row r="4828">
      <c r="B4828">
        <f>IFERROR(VLOOKUP(A4828,Cadastro_Produtos!A:B,2,FALSE),"")</f>
        <v/>
      </c>
      <c r="D4828" s="12" t="n"/>
      <c r="E4828" s="13">
        <f>IF(D4828="","",D4828-TODAY())</f>
        <v/>
      </c>
      <c r="F4828">
        <f>IF(D4828="","",IF(E4828&lt;0,"VENCIDO",IF(E4828&lt;=30,"VENCE EM &lt;= 30 DIAS",IF(E4828&lt;=60,"ATENCAO (31-60 DIAS)","OK"))))</f>
        <v/>
      </c>
      <c r="G4828" s="13">
        <f>SUMIFS(Movimentacoes!$G:$G,Movimentacoes!$C:$C,$A4828,Movimentacoes!$E:$E,$C4828,Movimentacoes!$B:$B,"ENTRADA")</f>
        <v/>
      </c>
      <c r="H4828" s="13">
        <f>SUMIFS(Movimentacoes!$G:$G,Movimentacoes!$C:$C,$A4828,Movimentacoes!$E:$E,$C4828,Movimentacoes!$B:$B,"SAIDA_USO")</f>
        <v/>
      </c>
      <c r="I4828" s="13">
        <f>SUMIFS(Movimentacoes!$G:$G,Movimentacoes!$C:$C,$A4828,Movimentacoes!$E:$E,$C4828,Movimentacoes!$B:$B,"SAIDA_DESCARTE")</f>
        <v/>
      </c>
      <c r="J4828" s="13">
        <f>G4828-H4828-I4828</f>
        <v/>
      </c>
      <c r="K4828">
        <f>IF(A4828="","",IF(J4828&lt;=IFERROR(VLOOKUP(A4828,Cadastro_Produtos!$A:$E,5,FALSE),0),"ABAIXO DO MINIMO","OK"))</f>
        <v/>
      </c>
    </row>
    <row r="4829">
      <c r="B4829">
        <f>IFERROR(VLOOKUP(A4829,Cadastro_Produtos!A:B,2,FALSE),"")</f>
        <v/>
      </c>
      <c r="D4829" s="12" t="n"/>
      <c r="E4829" s="13">
        <f>IF(D4829="","",D4829-TODAY())</f>
        <v/>
      </c>
      <c r="F4829">
        <f>IF(D4829="","",IF(E4829&lt;0,"VENCIDO",IF(E4829&lt;=30,"VENCE EM &lt;= 30 DIAS",IF(E4829&lt;=60,"ATENCAO (31-60 DIAS)","OK"))))</f>
        <v/>
      </c>
      <c r="G4829" s="13">
        <f>SUMIFS(Movimentacoes!$G:$G,Movimentacoes!$C:$C,$A4829,Movimentacoes!$E:$E,$C4829,Movimentacoes!$B:$B,"ENTRADA")</f>
        <v/>
      </c>
      <c r="H4829" s="13">
        <f>SUMIFS(Movimentacoes!$G:$G,Movimentacoes!$C:$C,$A4829,Movimentacoes!$E:$E,$C4829,Movimentacoes!$B:$B,"SAIDA_USO")</f>
        <v/>
      </c>
      <c r="I4829" s="13">
        <f>SUMIFS(Movimentacoes!$G:$G,Movimentacoes!$C:$C,$A4829,Movimentacoes!$E:$E,$C4829,Movimentacoes!$B:$B,"SAIDA_DESCARTE")</f>
        <v/>
      </c>
      <c r="J4829" s="13">
        <f>G4829-H4829-I4829</f>
        <v/>
      </c>
      <c r="K4829">
        <f>IF(A4829="","",IF(J4829&lt;=IFERROR(VLOOKUP(A4829,Cadastro_Produtos!$A:$E,5,FALSE),0),"ABAIXO DO MINIMO","OK"))</f>
        <v/>
      </c>
    </row>
    <row r="4830">
      <c r="B4830">
        <f>IFERROR(VLOOKUP(A4830,Cadastro_Produtos!A:B,2,FALSE),"")</f>
        <v/>
      </c>
      <c r="D4830" s="12" t="n"/>
      <c r="E4830" s="13">
        <f>IF(D4830="","",D4830-TODAY())</f>
        <v/>
      </c>
      <c r="F4830">
        <f>IF(D4830="","",IF(E4830&lt;0,"VENCIDO",IF(E4830&lt;=30,"VENCE EM &lt;= 30 DIAS",IF(E4830&lt;=60,"ATENCAO (31-60 DIAS)","OK"))))</f>
        <v/>
      </c>
      <c r="G4830" s="13">
        <f>SUMIFS(Movimentacoes!$G:$G,Movimentacoes!$C:$C,$A4830,Movimentacoes!$E:$E,$C4830,Movimentacoes!$B:$B,"ENTRADA")</f>
        <v/>
      </c>
      <c r="H4830" s="13">
        <f>SUMIFS(Movimentacoes!$G:$G,Movimentacoes!$C:$C,$A4830,Movimentacoes!$E:$E,$C4830,Movimentacoes!$B:$B,"SAIDA_USO")</f>
        <v/>
      </c>
      <c r="I4830" s="13">
        <f>SUMIFS(Movimentacoes!$G:$G,Movimentacoes!$C:$C,$A4830,Movimentacoes!$E:$E,$C4830,Movimentacoes!$B:$B,"SAIDA_DESCARTE")</f>
        <v/>
      </c>
      <c r="J4830" s="13">
        <f>G4830-H4830-I4830</f>
        <v/>
      </c>
      <c r="K4830">
        <f>IF(A4830="","",IF(J4830&lt;=IFERROR(VLOOKUP(A4830,Cadastro_Produtos!$A:$E,5,FALSE),0),"ABAIXO DO MINIMO","OK"))</f>
        <v/>
      </c>
    </row>
    <row r="4831">
      <c r="B4831">
        <f>IFERROR(VLOOKUP(A4831,Cadastro_Produtos!A:B,2,FALSE),"")</f>
        <v/>
      </c>
      <c r="D4831" s="12" t="n"/>
      <c r="E4831" s="13">
        <f>IF(D4831="","",D4831-TODAY())</f>
        <v/>
      </c>
      <c r="F4831">
        <f>IF(D4831="","",IF(E4831&lt;0,"VENCIDO",IF(E4831&lt;=30,"VENCE EM &lt;= 30 DIAS",IF(E4831&lt;=60,"ATENCAO (31-60 DIAS)","OK"))))</f>
        <v/>
      </c>
      <c r="G4831" s="13">
        <f>SUMIFS(Movimentacoes!$G:$G,Movimentacoes!$C:$C,$A4831,Movimentacoes!$E:$E,$C4831,Movimentacoes!$B:$B,"ENTRADA")</f>
        <v/>
      </c>
      <c r="H4831" s="13">
        <f>SUMIFS(Movimentacoes!$G:$G,Movimentacoes!$C:$C,$A4831,Movimentacoes!$E:$E,$C4831,Movimentacoes!$B:$B,"SAIDA_USO")</f>
        <v/>
      </c>
      <c r="I4831" s="13">
        <f>SUMIFS(Movimentacoes!$G:$G,Movimentacoes!$C:$C,$A4831,Movimentacoes!$E:$E,$C4831,Movimentacoes!$B:$B,"SAIDA_DESCARTE")</f>
        <v/>
      </c>
      <c r="J4831" s="13">
        <f>G4831-H4831-I4831</f>
        <v/>
      </c>
      <c r="K4831">
        <f>IF(A4831="","",IF(J4831&lt;=IFERROR(VLOOKUP(A4831,Cadastro_Produtos!$A:$E,5,FALSE),0),"ABAIXO DO MINIMO","OK"))</f>
        <v/>
      </c>
    </row>
    <row r="4832">
      <c r="B4832">
        <f>IFERROR(VLOOKUP(A4832,Cadastro_Produtos!A:B,2,FALSE),"")</f>
        <v/>
      </c>
      <c r="D4832" s="12" t="n"/>
      <c r="E4832" s="13">
        <f>IF(D4832="","",D4832-TODAY())</f>
        <v/>
      </c>
      <c r="F4832">
        <f>IF(D4832="","",IF(E4832&lt;0,"VENCIDO",IF(E4832&lt;=30,"VENCE EM &lt;= 30 DIAS",IF(E4832&lt;=60,"ATENCAO (31-60 DIAS)","OK"))))</f>
        <v/>
      </c>
      <c r="G4832" s="13">
        <f>SUMIFS(Movimentacoes!$G:$G,Movimentacoes!$C:$C,$A4832,Movimentacoes!$E:$E,$C4832,Movimentacoes!$B:$B,"ENTRADA")</f>
        <v/>
      </c>
      <c r="H4832" s="13">
        <f>SUMIFS(Movimentacoes!$G:$G,Movimentacoes!$C:$C,$A4832,Movimentacoes!$E:$E,$C4832,Movimentacoes!$B:$B,"SAIDA_USO")</f>
        <v/>
      </c>
      <c r="I4832" s="13">
        <f>SUMIFS(Movimentacoes!$G:$G,Movimentacoes!$C:$C,$A4832,Movimentacoes!$E:$E,$C4832,Movimentacoes!$B:$B,"SAIDA_DESCARTE")</f>
        <v/>
      </c>
      <c r="J4832" s="13">
        <f>G4832-H4832-I4832</f>
        <v/>
      </c>
      <c r="K4832">
        <f>IF(A4832="","",IF(J4832&lt;=IFERROR(VLOOKUP(A4832,Cadastro_Produtos!$A:$E,5,FALSE),0),"ABAIXO DO MINIMO","OK"))</f>
        <v/>
      </c>
    </row>
    <row r="4833">
      <c r="B4833">
        <f>IFERROR(VLOOKUP(A4833,Cadastro_Produtos!A:B,2,FALSE),"")</f>
        <v/>
      </c>
      <c r="D4833" s="12" t="n"/>
      <c r="E4833" s="13">
        <f>IF(D4833="","",D4833-TODAY())</f>
        <v/>
      </c>
      <c r="F4833">
        <f>IF(D4833="","",IF(E4833&lt;0,"VENCIDO",IF(E4833&lt;=30,"VENCE EM &lt;= 30 DIAS",IF(E4833&lt;=60,"ATENCAO (31-60 DIAS)","OK"))))</f>
        <v/>
      </c>
      <c r="G4833" s="13">
        <f>SUMIFS(Movimentacoes!$G:$G,Movimentacoes!$C:$C,$A4833,Movimentacoes!$E:$E,$C4833,Movimentacoes!$B:$B,"ENTRADA")</f>
        <v/>
      </c>
      <c r="H4833" s="13">
        <f>SUMIFS(Movimentacoes!$G:$G,Movimentacoes!$C:$C,$A4833,Movimentacoes!$E:$E,$C4833,Movimentacoes!$B:$B,"SAIDA_USO")</f>
        <v/>
      </c>
      <c r="I4833" s="13">
        <f>SUMIFS(Movimentacoes!$G:$G,Movimentacoes!$C:$C,$A4833,Movimentacoes!$E:$E,$C4833,Movimentacoes!$B:$B,"SAIDA_DESCARTE")</f>
        <v/>
      </c>
      <c r="J4833" s="13">
        <f>G4833-H4833-I4833</f>
        <v/>
      </c>
      <c r="K4833">
        <f>IF(A4833="","",IF(J4833&lt;=IFERROR(VLOOKUP(A4833,Cadastro_Produtos!$A:$E,5,FALSE),0),"ABAIXO DO MINIMO","OK"))</f>
        <v/>
      </c>
    </row>
    <row r="4834">
      <c r="B4834">
        <f>IFERROR(VLOOKUP(A4834,Cadastro_Produtos!A:B,2,FALSE),"")</f>
        <v/>
      </c>
      <c r="D4834" s="12" t="n"/>
      <c r="E4834" s="13">
        <f>IF(D4834="","",D4834-TODAY())</f>
        <v/>
      </c>
      <c r="F4834">
        <f>IF(D4834="","",IF(E4834&lt;0,"VENCIDO",IF(E4834&lt;=30,"VENCE EM &lt;= 30 DIAS",IF(E4834&lt;=60,"ATENCAO (31-60 DIAS)","OK"))))</f>
        <v/>
      </c>
      <c r="G4834" s="13">
        <f>SUMIFS(Movimentacoes!$G:$G,Movimentacoes!$C:$C,$A4834,Movimentacoes!$E:$E,$C4834,Movimentacoes!$B:$B,"ENTRADA")</f>
        <v/>
      </c>
      <c r="H4834" s="13">
        <f>SUMIFS(Movimentacoes!$G:$G,Movimentacoes!$C:$C,$A4834,Movimentacoes!$E:$E,$C4834,Movimentacoes!$B:$B,"SAIDA_USO")</f>
        <v/>
      </c>
      <c r="I4834" s="13">
        <f>SUMIFS(Movimentacoes!$G:$G,Movimentacoes!$C:$C,$A4834,Movimentacoes!$E:$E,$C4834,Movimentacoes!$B:$B,"SAIDA_DESCARTE")</f>
        <v/>
      </c>
      <c r="J4834" s="13">
        <f>G4834-H4834-I4834</f>
        <v/>
      </c>
      <c r="K4834">
        <f>IF(A4834="","",IF(J4834&lt;=IFERROR(VLOOKUP(A4834,Cadastro_Produtos!$A:$E,5,FALSE),0),"ABAIXO DO MINIMO","OK"))</f>
        <v/>
      </c>
    </row>
    <row r="4835">
      <c r="B4835">
        <f>IFERROR(VLOOKUP(A4835,Cadastro_Produtos!A:B,2,FALSE),"")</f>
        <v/>
      </c>
      <c r="D4835" s="12" t="n"/>
      <c r="E4835" s="13">
        <f>IF(D4835="","",D4835-TODAY())</f>
        <v/>
      </c>
      <c r="F4835">
        <f>IF(D4835="","",IF(E4835&lt;0,"VENCIDO",IF(E4835&lt;=30,"VENCE EM &lt;= 30 DIAS",IF(E4835&lt;=60,"ATENCAO (31-60 DIAS)","OK"))))</f>
        <v/>
      </c>
      <c r="G4835" s="13">
        <f>SUMIFS(Movimentacoes!$G:$G,Movimentacoes!$C:$C,$A4835,Movimentacoes!$E:$E,$C4835,Movimentacoes!$B:$B,"ENTRADA")</f>
        <v/>
      </c>
      <c r="H4835" s="13">
        <f>SUMIFS(Movimentacoes!$G:$G,Movimentacoes!$C:$C,$A4835,Movimentacoes!$E:$E,$C4835,Movimentacoes!$B:$B,"SAIDA_USO")</f>
        <v/>
      </c>
      <c r="I4835" s="13">
        <f>SUMIFS(Movimentacoes!$G:$G,Movimentacoes!$C:$C,$A4835,Movimentacoes!$E:$E,$C4835,Movimentacoes!$B:$B,"SAIDA_DESCARTE")</f>
        <v/>
      </c>
      <c r="J4835" s="13">
        <f>G4835-H4835-I4835</f>
        <v/>
      </c>
      <c r="K4835">
        <f>IF(A4835="","",IF(J4835&lt;=IFERROR(VLOOKUP(A4835,Cadastro_Produtos!$A:$E,5,FALSE),0),"ABAIXO DO MINIMO","OK"))</f>
        <v/>
      </c>
    </row>
    <row r="4836">
      <c r="B4836">
        <f>IFERROR(VLOOKUP(A4836,Cadastro_Produtos!A:B,2,FALSE),"")</f>
        <v/>
      </c>
      <c r="D4836" s="12" t="n"/>
      <c r="E4836" s="13">
        <f>IF(D4836="","",D4836-TODAY())</f>
        <v/>
      </c>
      <c r="F4836">
        <f>IF(D4836="","",IF(E4836&lt;0,"VENCIDO",IF(E4836&lt;=30,"VENCE EM &lt;= 30 DIAS",IF(E4836&lt;=60,"ATENCAO (31-60 DIAS)","OK"))))</f>
        <v/>
      </c>
      <c r="G4836" s="13">
        <f>SUMIFS(Movimentacoes!$G:$G,Movimentacoes!$C:$C,$A4836,Movimentacoes!$E:$E,$C4836,Movimentacoes!$B:$B,"ENTRADA")</f>
        <v/>
      </c>
      <c r="H4836" s="13">
        <f>SUMIFS(Movimentacoes!$G:$G,Movimentacoes!$C:$C,$A4836,Movimentacoes!$E:$E,$C4836,Movimentacoes!$B:$B,"SAIDA_USO")</f>
        <v/>
      </c>
      <c r="I4836" s="13">
        <f>SUMIFS(Movimentacoes!$G:$G,Movimentacoes!$C:$C,$A4836,Movimentacoes!$E:$E,$C4836,Movimentacoes!$B:$B,"SAIDA_DESCARTE")</f>
        <v/>
      </c>
      <c r="J4836" s="13">
        <f>G4836-H4836-I4836</f>
        <v/>
      </c>
      <c r="K4836">
        <f>IF(A4836="","",IF(J4836&lt;=IFERROR(VLOOKUP(A4836,Cadastro_Produtos!$A:$E,5,FALSE),0),"ABAIXO DO MINIMO","OK"))</f>
        <v/>
      </c>
    </row>
    <row r="4837">
      <c r="B4837">
        <f>IFERROR(VLOOKUP(A4837,Cadastro_Produtos!A:B,2,FALSE),"")</f>
        <v/>
      </c>
      <c r="D4837" s="12" t="n"/>
      <c r="E4837" s="13">
        <f>IF(D4837="","",D4837-TODAY())</f>
        <v/>
      </c>
      <c r="F4837">
        <f>IF(D4837="","",IF(E4837&lt;0,"VENCIDO",IF(E4837&lt;=30,"VENCE EM &lt;= 30 DIAS",IF(E4837&lt;=60,"ATENCAO (31-60 DIAS)","OK"))))</f>
        <v/>
      </c>
      <c r="G4837" s="13">
        <f>SUMIFS(Movimentacoes!$G:$G,Movimentacoes!$C:$C,$A4837,Movimentacoes!$E:$E,$C4837,Movimentacoes!$B:$B,"ENTRADA")</f>
        <v/>
      </c>
      <c r="H4837" s="13">
        <f>SUMIFS(Movimentacoes!$G:$G,Movimentacoes!$C:$C,$A4837,Movimentacoes!$E:$E,$C4837,Movimentacoes!$B:$B,"SAIDA_USO")</f>
        <v/>
      </c>
      <c r="I4837" s="13">
        <f>SUMIFS(Movimentacoes!$G:$G,Movimentacoes!$C:$C,$A4837,Movimentacoes!$E:$E,$C4837,Movimentacoes!$B:$B,"SAIDA_DESCARTE")</f>
        <v/>
      </c>
      <c r="J4837" s="13">
        <f>G4837-H4837-I4837</f>
        <v/>
      </c>
      <c r="K4837">
        <f>IF(A4837="","",IF(J4837&lt;=IFERROR(VLOOKUP(A4837,Cadastro_Produtos!$A:$E,5,FALSE),0),"ABAIXO DO MINIMO","OK"))</f>
        <v/>
      </c>
    </row>
    <row r="4838">
      <c r="B4838">
        <f>IFERROR(VLOOKUP(A4838,Cadastro_Produtos!A:B,2,FALSE),"")</f>
        <v/>
      </c>
      <c r="D4838" s="12" t="n"/>
      <c r="E4838" s="13">
        <f>IF(D4838="","",D4838-TODAY())</f>
        <v/>
      </c>
      <c r="F4838">
        <f>IF(D4838="","",IF(E4838&lt;0,"VENCIDO",IF(E4838&lt;=30,"VENCE EM &lt;= 30 DIAS",IF(E4838&lt;=60,"ATENCAO (31-60 DIAS)","OK"))))</f>
        <v/>
      </c>
      <c r="G4838" s="13">
        <f>SUMIFS(Movimentacoes!$G:$G,Movimentacoes!$C:$C,$A4838,Movimentacoes!$E:$E,$C4838,Movimentacoes!$B:$B,"ENTRADA")</f>
        <v/>
      </c>
      <c r="H4838" s="13">
        <f>SUMIFS(Movimentacoes!$G:$G,Movimentacoes!$C:$C,$A4838,Movimentacoes!$E:$E,$C4838,Movimentacoes!$B:$B,"SAIDA_USO")</f>
        <v/>
      </c>
      <c r="I4838" s="13">
        <f>SUMIFS(Movimentacoes!$G:$G,Movimentacoes!$C:$C,$A4838,Movimentacoes!$E:$E,$C4838,Movimentacoes!$B:$B,"SAIDA_DESCARTE")</f>
        <v/>
      </c>
      <c r="J4838" s="13">
        <f>G4838-H4838-I4838</f>
        <v/>
      </c>
      <c r="K4838">
        <f>IF(A4838="","",IF(J4838&lt;=IFERROR(VLOOKUP(A4838,Cadastro_Produtos!$A:$E,5,FALSE),0),"ABAIXO DO MINIMO","OK"))</f>
        <v/>
      </c>
    </row>
    <row r="4839">
      <c r="B4839">
        <f>IFERROR(VLOOKUP(A4839,Cadastro_Produtos!A:B,2,FALSE),"")</f>
        <v/>
      </c>
      <c r="D4839" s="12" t="n"/>
      <c r="E4839" s="13">
        <f>IF(D4839="","",D4839-TODAY())</f>
        <v/>
      </c>
      <c r="F4839">
        <f>IF(D4839="","",IF(E4839&lt;0,"VENCIDO",IF(E4839&lt;=30,"VENCE EM &lt;= 30 DIAS",IF(E4839&lt;=60,"ATENCAO (31-60 DIAS)","OK"))))</f>
        <v/>
      </c>
      <c r="G4839" s="13">
        <f>SUMIFS(Movimentacoes!$G:$G,Movimentacoes!$C:$C,$A4839,Movimentacoes!$E:$E,$C4839,Movimentacoes!$B:$B,"ENTRADA")</f>
        <v/>
      </c>
      <c r="H4839" s="13">
        <f>SUMIFS(Movimentacoes!$G:$G,Movimentacoes!$C:$C,$A4839,Movimentacoes!$E:$E,$C4839,Movimentacoes!$B:$B,"SAIDA_USO")</f>
        <v/>
      </c>
      <c r="I4839" s="13">
        <f>SUMIFS(Movimentacoes!$G:$G,Movimentacoes!$C:$C,$A4839,Movimentacoes!$E:$E,$C4839,Movimentacoes!$B:$B,"SAIDA_DESCARTE")</f>
        <v/>
      </c>
      <c r="J4839" s="13">
        <f>G4839-H4839-I4839</f>
        <v/>
      </c>
      <c r="K4839">
        <f>IF(A4839="","",IF(J4839&lt;=IFERROR(VLOOKUP(A4839,Cadastro_Produtos!$A:$E,5,FALSE),0),"ABAIXO DO MINIMO","OK"))</f>
        <v/>
      </c>
    </row>
    <row r="4840">
      <c r="B4840">
        <f>IFERROR(VLOOKUP(A4840,Cadastro_Produtos!A:B,2,FALSE),"")</f>
        <v/>
      </c>
      <c r="D4840" s="12" t="n"/>
      <c r="E4840" s="13">
        <f>IF(D4840="","",D4840-TODAY())</f>
        <v/>
      </c>
      <c r="F4840">
        <f>IF(D4840="","",IF(E4840&lt;0,"VENCIDO",IF(E4840&lt;=30,"VENCE EM &lt;= 30 DIAS",IF(E4840&lt;=60,"ATENCAO (31-60 DIAS)","OK"))))</f>
        <v/>
      </c>
      <c r="G4840" s="13">
        <f>SUMIFS(Movimentacoes!$G:$G,Movimentacoes!$C:$C,$A4840,Movimentacoes!$E:$E,$C4840,Movimentacoes!$B:$B,"ENTRADA")</f>
        <v/>
      </c>
      <c r="H4840" s="13">
        <f>SUMIFS(Movimentacoes!$G:$G,Movimentacoes!$C:$C,$A4840,Movimentacoes!$E:$E,$C4840,Movimentacoes!$B:$B,"SAIDA_USO")</f>
        <v/>
      </c>
      <c r="I4840" s="13">
        <f>SUMIFS(Movimentacoes!$G:$G,Movimentacoes!$C:$C,$A4840,Movimentacoes!$E:$E,$C4840,Movimentacoes!$B:$B,"SAIDA_DESCARTE")</f>
        <v/>
      </c>
      <c r="J4840" s="13">
        <f>G4840-H4840-I4840</f>
        <v/>
      </c>
      <c r="K4840">
        <f>IF(A4840="","",IF(J4840&lt;=IFERROR(VLOOKUP(A4840,Cadastro_Produtos!$A:$E,5,FALSE),0),"ABAIXO DO MINIMO","OK"))</f>
        <v/>
      </c>
    </row>
    <row r="4841">
      <c r="B4841">
        <f>IFERROR(VLOOKUP(A4841,Cadastro_Produtos!A:B,2,FALSE),"")</f>
        <v/>
      </c>
      <c r="D4841" s="12" t="n"/>
      <c r="E4841" s="13">
        <f>IF(D4841="","",D4841-TODAY())</f>
        <v/>
      </c>
      <c r="F4841">
        <f>IF(D4841="","",IF(E4841&lt;0,"VENCIDO",IF(E4841&lt;=30,"VENCE EM &lt;= 30 DIAS",IF(E4841&lt;=60,"ATENCAO (31-60 DIAS)","OK"))))</f>
        <v/>
      </c>
      <c r="G4841" s="13">
        <f>SUMIFS(Movimentacoes!$G:$G,Movimentacoes!$C:$C,$A4841,Movimentacoes!$E:$E,$C4841,Movimentacoes!$B:$B,"ENTRADA")</f>
        <v/>
      </c>
      <c r="H4841" s="13">
        <f>SUMIFS(Movimentacoes!$G:$G,Movimentacoes!$C:$C,$A4841,Movimentacoes!$E:$E,$C4841,Movimentacoes!$B:$B,"SAIDA_USO")</f>
        <v/>
      </c>
      <c r="I4841" s="13">
        <f>SUMIFS(Movimentacoes!$G:$G,Movimentacoes!$C:$C,$A4841,Movimentacoes!$E:$E,$C4841,Movimentacoes!$B:$B,"SAIDA_DESCARTE")</f>
        <v/>
      </c>
      <c r="J4841" s="13">
        <f>G4841-H4841-I4841</f>
        <v/>
      </c>
      <c r="K4841">
        <f>IF(A4841="","",IF(J4841&lt;=IFERROR(VLOOKUP(A4841,Cadastro_Produtos!$A:$E,5,FALSE),0),"ABAIXO DO MINIMO","OK"))</f>
        <v/>
      </c>
    </row>
    <row r="4842">
      <c r="B4842">
        <f>IFERROR(VLOOKUP(A4842,Cadastro_Produtos!A:B,2,FALSE),"")</f>
        <v/>
      </c>
      <c r="D4842" s="12" t="n"/>
      <c r="E4842" s="13">
        <f>IF(D4842="","",D4842-TODAY())</f>
        <v/>
      </c>
      <c r="F4842">
        <f>IF(D4842="","",IF(E4842&lt;0,"VENCIDO",IF(E4842&lt;=30,"VENCE EM &lt;= 30 DIAS",IF(E4842&lt;=60,"ATENCAO (31-60 DIAS)","OK"))))</f>
        <v/>
      </c>
      <c r="G4842" s="13">
        <f>SUMIFS(Movimentacoes!$G:$G,Movimentacoes!$C:$C,$A4842,Movimentacoes!$E:$E,$C4842,Movimentacoes!$B:$B,"ENTRADA")</f>
        <v/>
      </c>
      <c r="H4842" s="13">
        <f>SUMIFS(Movimentacoes!$G:$G,Movimentacoes!$C:$C,$A4842,Movimentacoes!$E:$E,$C4842,Movimentacoes!$B:$B,"SAIDA_USO")</f>
        <v/>
      </c>
      <c r="I4842" s="13">
        <f>SUMIFS(Movimentacoes!$G:$G,Movimentacoes!$C:$C,$A4842,Movimentacoes!$E:$E,$C4842,Movimentacoes!$B:$B,"SAIDA_DESCARTE")</f>
        <v/>
      </c>
      <c r="J4842" s="13">
        <f>G4842-H4842-I4842</f>
        <v/>
      </c>
      <c r="K4842">
        <f>IF(A4842="","",IF(J4842&lt;=IFERROR(VLOOKUP(A4842,Cadastro_Produtos!$A:$E,5,FALSE),0),"ABAIXO DO MINIMO","OK"))</f>
        <v/>
      </c>
    </row>
    <row r="4843">
      <c r="B4843">
        <f>IFERROR(VLOOKUP(A4843,Cadastro_Produtos!A:B,2,FALSE),"")</f>
        <v/>
      </c>
      <c r="D4843" s="12" t="n"/>
      <c r="E4843" s="13">
        <f>IF(D4843="","",D4843-TODAY())</f>
        <v/>
      </c>
      <c r="F4843">
        <f>IF(D4843="","",IF(E4843&lt;0,"VENCIDO",IF(E4843&lt;=30,"VENCE EM &lt;= 30 DIAS",IF(E4843&lt;=60,"ATENCAO (31-60 DIAS)","OK"))))</f>
        <v/>
      </c>
      <c r="G4843" s="13">
        <f>SUMIFS(Movimentacoes!$G:$G,Movimentacoes!$C:$C,$A4843,Movimentacoes!$E:$E,$C4843,Movimentacoes!$B:$B,"ENTRADA")</f>
        <v/>
      </c>
      <c r="H4843" s="13">
        <f>SUMIFS(Movimentacoes!$G:$G,Movimentacoes!$C:$C,$A4843,Movimentacoes!$E:$E,$C4843,Movimentacoes!$B:$B,"SAIDA_USO")</f>
        <v/>
      </c>
      <c r="I4843" s="13">
        <f>SUMIFS(Movimentacoes!$G:$G,Movimentacoes!$C:$C,$A4843,Movimentacoes!$E:$E,$C4843,Movimentacoes!$B:$B,"SAIDA_DESCARTE")</f>
        <v/>
      </c>
      <c r="J4843" s="13">
        <f>G4843-H4843-I4843</f>
        <v/>
      </c>
      <c r="K4843">
        <f>IF(A4843="","",IF(J4843&lt;=IFERROR(VLOOKUP(A4843,Cadastro_Produtos!$A:$E,5,FALSE),0),"ABAIXO DO MINIMO","OK"))</f>
        <v/>
      </c>
    </row>
    <row r="4844">
      <c r="B4844">
        <f>IFERROR(VLOOKUP(A4844,Cadastro_Produtos!A:B,2,FALSE),"")</f>
        <v/>
      </c>
      <c r="D4844" s="12" t="n"/>
      <c r="E4844" s="13">
        <f>IF(D4844="","",D4844-TODAY())</f>
        <v/>
      </c>
      <c r="F4844">
        <f>IF(D4844="","",IF(E4844&lt;0,"VENCIDO",IF(E4844&lt;=30,"VENCE EM &lt;= 30 DIAS",IF(E4844&lt;=60,"ATENCAO (31-60 DIAS)","OK"))))</f>
        <v/>
      </c>
      <c r="G4844" s="13">
        <f>SUMIFS(Movimentacoes!$G:$G,Movimentacoes!$C:$C,$A4844,Movimentacoes!$E:$E,$C4844,Movimentacoes!$B:$B,"ENTRADA")</f>
        <v/>
      </c>
      <c r="H4844" s="13">
        <f>SUMIFS(Movimentacoes!$G:$G,Movimentacoes!$C:$C,$A4844,Movimentacoes!$E:$E,$C4844,Movimentacoes!$B:$B,"SAIDA_USO")</f>
        <v/>
      </c>
      <c r="I4844" s="13">
        <f>SUMIFS(Movimentacoes!$G:$G,Movimentacoes!$C:$C,$A4844,Movimentacoes!$E:$E,$C4844,Movimentacoes!$B:$B,"SAIDA_DESCARTE")</f>
        <v/>
      </c>
      <c r="J4844" s="13">
        <f>G4844-H4844-I4844</f>
        <v/>
      </c>
      <c r="K4844">
        <f>IF(A4844="","",IF(J4844&lt;=IFERROR(VLOOKUP(A4844,Cadastro_Produtos!$A:$E,5,FALSE),0),"ABAIXO DO MINIMO","OK"))</f>
        <v/>
      </c>
    </row>
    <row r="4845">
      <c r="B4845">
        <f>IFERROR(VLOOKUP(A4845,Cadastro_Produtos!A:B,2,FALSE),"")</f>
        <v/>
      </c>
      <c r="D4845" s="12" t="n"/>
      <c r="E4845" s="13">
        <f>IF(D4845="","",D4845-TODAY())</f>
        <v/>
      </c>
      <c r="F4845">
        <f>IF(D4845="","",IF(E4845&lt;0,"VENCIDO",IF(E4845&lt;=30,"VENCE EM &lt;= 30 DIAS",IF(E4845&lt;=60,"ATENCAO (31-60 DIAS)","OK"))))</f>
        <v/>
      </c>
      <c r="G4845" s="13">
        <f>SUMIFS(Movimentacoes!$G:$G,Movimentacoes!$C:$C,$A4845,Movimentacoes!$E:$E,$C4845,Movimentacoes!$B:$B,"ENTRADA")</f>
        <v/>
      </c>
      <c r="H4845" s="13">
        <f>SUMIFS(Movimentacoes!$G:$G,Movimentacoes!$C:$C,$A4845,Movimentacoes!$E:$E,$C4845,Movimentacoes!$B:$B,"SAIDA_USO")</f>
        <v/>
      </c>
      <c r="I4845" s="13">
        <f>SUMIFS(Movimentacoes!$G:$G,Movimentacoes!$C:$C,$A4845,Movimentacoes!$E:$E,$C4845,Movimentacoes!$B:$B,"SAIDA_DESCARTE")</f>
        <v/>
      </c>
      <c r="J4845" s="13">
        <f>G4845-H4845-I4845</f>
        <v/>
      </c>
      <c r="K4845">
        <f>IF(A4845="","",IF(J4845&lt;=IFERROR(VLOOKUP(A4845,Cadastro_Produtos!$A:$E,5,FALSE),0),"ABAIXO DO MINIMO","OK"))</f>
        <v/>
      </c>
    </row>
    <row r="4846">
      <c r="B4846">
        <f>IFERROR(VLOOKUP(A4846,Cadastro_Produtos!A:B,2,FALSE),"")</f>
        <v/>
      </c>
      <c r="D4846" s="12" t="n"/>
      <c r="E4846" s="13">
        <f>IF(D4846="","",D4846-TODAY())</f>
        <v/>
      </c>
      <c r="F4846">
        <f>IF(D4846="","",IF(E4846&lt;0,"VENCIDO",IF(E4846&lt;=30,"VENCE EM &lt;= 30 DIAS",IF(E4846&lt;=60,"ATENCAO (31-60 DIAS)","OK"))))</f>
        <v/>
      </c>
      <c r="G4846" s="13">
        <f>SUMIFS(Movimentacoes!$G:$G,Movimentacoes!$C:$C,$A4846,Movimentacoes!$E:$E,$C4846,Movimentacoes!$B:$B,"ENTRADA")</f>
        <v/>
      </c>
      <c r="H4846" s="13">
        <f>SUMIFS(Movimentacoes!$G:$G,Movimentacoes!$C:$C,$A4846,Movimentacoes!$E:$E,$C4846,Movimentacoes!$B:$B,"SAIDA_USO")</f>
        <v/>
      </c>
      <c r="I4846" s="13">
        <f>SUMIFS(Movimentacoes!$G:$G,Movimentacoes!$C:$C,$A4846,Movimentacoes!$E:$E,$C4846,Movimentacoes!$B:$B,"SAIDA_DESCARTE")</f>
        <v/>
      </c>
      <c r="J4846" s="13">
        <f>G4846-H4846-I4846</f>
        <v/>
      </c>
      <c r="K4846">
        <f>IF(A4846="","",IF(J4846&lt;=IFERROR(VLOOKUP(A4846,Cadastro_Produtos!$A:$E,5,FALSE),0),"ABAIXO DO MINIMO","OK"))</f>
        <v/>
      </c>
    </row>
    <row r="4847">
      <c r="B4847">
        <f>IFERROR(VLOOKUP(A4847,Cadastro_Produtos!A:B,2,FALSE),"")</f>
        <v/>
      </c>
      <c r="D4847" s="12" t="n"/>
      <c r="E4847" s="13">
        <f>IF(D4847="","",D4847-TODAY())</f>
        <v/>
      </c>
      <c r="F4847">
        <f>IF(D4847="","",IF(E4847&lt;0,"VENCIDO",IF(E4847&lt;=30,"VENCE EM &lt;= 30 DIAS",IF(E4847&lt;=60,"ATENCAO (31-60 DIAS)","OK"))))</f>
        <v/>
      </c>
      <c r="G4847" s="13">
        <f>SUMIFS(Movimentacoes!$G:$G,Movimentacoes!$C:$C,$A4847,Movimentacoes!$E:$E,$C4847,Movimentacoes!$B:$B,"ENTRADA")</f>
        <v/>
      </c>
      <c r="H4847" s="13">
        <f>SUMIFS(Movimentacoes!$G:$G,Movimentacoes!$C:$C,$A4847,Movimentacoes!$E:$E,$C4847,Movimentacoes!$B:$B,"SAIDA_USO")</f>
        <v/>
      </c>
      <c r="I4847" s="13">
        <f>SUMIFS(Movimentacoes!$G:$G,Movimentacoes!$C:$C,$A4847,Movimentacoes!$E:$E,$C4847,Movimentacoes!$B:$B,"SAIDA_DESCARTE")</f>
        <v/>
      </c>
      <c r="J4847" s="13">
        <f>G4847-H4847-I4847</f>
        <v/>
      </c>
      <c r="K4847">
        <f>IF(A4847="","",IF(J4847&lt;=IFERROR(VLOOKUP(A4847,Cadastro_Produtos!$A:$E,5,FALSE),0),"ABAIXO DO MINIMO","OK"))</f>
        <v/>
      </c>
    </row>
    <row r="4848">
      <c r="B4848">
        <f>IFERROR(VLOOKUP(A4848,Cadastro_Produtos!A:B,2,FALSE),"")</f>
        <v/>
      </c>
      <c r="D4848" s="12" t="n"/>
      <c r="E4848" s="13">
        <f>IF(D4848="","",D4848-TODAY())</f>
        <v/>
      </c>
      <c r="F4848">
        <f>IF(D4848="","",IF(E4848&lt;0,"VENCIDO",IF(E4848&lt;=30,"VENCE EM &lt;= 30 DIAS",IF(E4848&lt;=60,"ATENCAO (31-60 DIAS)","OK"))))</f>
        <v/>
      </c>
      <c r="G4848" s="13">
        <f>SUMIFS(Movimentacoes!$G:$G,Movimentacoes!$C:$C,$A4848,Movimentacoes!$E:$E,$C4848,Movimentacoes!$B:$B,"ENTRADA")</f>
        <v/>
      </c>
      <c r="H4848" s="13">
        <f>SUMIFS(Movimentacoes!$G:$G,Movimentacoes!$C:$C,$A4848,Movimentacoes!$E:$E,$C4848,Movimentacoes!$B:$B,"SAIDA_USO")</f>
        <v/>
      </c>
      <c r="I4848" s="13">
        <f>SUMIFS(Movimentacoes!$G:$G,Movimentacoes!$C:$C,$A4848,Movimentacoes!$E:$E,$C4848,Movimentacoes!$B:$B,"SAIDA_DESCARTE")</f>
        <v/>
      </c>
      <c r="J4848" s="13">
        <f>G4848-H4848-I4848</f>
        <v/>
      </c>
      <c r="K4848">
        <f>IF(A4848="","",IF(J4848&lt;=IFERROR(VLOOKUP(A4848,Cadastro_Produtos!$A:$E,5,FALSE),0),"ABAIXO DO MINIMO","OK"))</f>
        <v/>
      </c>
    </row>
    <row r="4849">
      <c r="B4849">
        <f>IFERROR(VLOOKUP(A4849,Cadastro_Produtos!A:B,2,FALSE),"")</f>
        <v/>
      </c>
      <c r="D4849" s="12" t="n"/>
      <c r="E4849" s="13">
        <f>IF(D4849="","",D4849-TODAY())</f>
        <v/>
      </c>
      <c r="F4849">
        <f>IF(D4849="","",IF(E4849&lt;0,"VENCIDO",IF(E4849&lt;=30,"VENCE EM &lt;= 30 DIAS",IF(E4849&lt;=60,"ATENCAO (31-60 DIAS)","OK"))))</f>
        <v/>
      </c>
      <c r="G4849" s="13">
        <f>SUMIFS(Movimentacoes!$G:$G,Movimentacoes!$C:$C,$A4849,Movimentacoes!$E:$E,$C4849,Movimentacoes!$B:$B,"ENTRADA")</f>
        <v/>
      </c>
      <c r="H4849" s="13">
        <f>SUMIFS(Movimentacoes!$G:$G,Movimentacoes!$C:$C,$A4849,Movimentacoes!$E:$E,$C4849,Movimentacoes!$B:$B,"SAIDA_USO")</f>
        <v/>
      </c>
      <c r="I4849" s="13">
        <f>SUMIFS(Movimentacoes!$G:$G,Movimentacoes!$C:$C,$A4849,Movimentacoes!$E:$E,$C4849,Movimentacoes!$B:$B,"SAIDA_DESCARTE")</f>
        <v/>
      </c>
      <c r="J4849" s="13">
        <f>G4849-H4849-I4849</f>
        <v/>
      </c>
      <c r="K4849">
        <f>IF(A4849="","",IF(J4849&lt;=IFERROR(VLOOKUP(A4849,Cadastro_Produtos!$A:$E,5,FALSE),0),"ABAIXO DO MINIMO","OK"))</f>
        <v/>
      </c>
    </row>
    <row r="4850">
      <c r="B4850">
        <f>IFERROR(VLOOKUP(A4850,Cadastro_Produtos!A:B,2,FALSE),"")</f>
        <v/>
      </c>
      <c r="D4850" s="12" t="n"/>
      <c r="E4850" s="13">
        <f>IF(D4850="","",D4850-TODAY())</f>
        <v/>
      </c>
      <c r="F4850">
        <f>IF(D4850="","",IF(E4850&lt;0,"VENCIDO",IF(E4850&lt;=30,"VENCE EM &lt;= 30 DIAS",IF(E4850&lt;=60,"ATENCAO (31-60 DIAS)","OK"))))</f>
        <v/>
      </c>
      <c r="G4850" s="13">
        <f>SUMIFS(Movimentacoes!$G:$G,Movimentacoes!$C:$C,$A4850,Movimentacoes!$E:$E,$C4850,Movimentacoes!$B:$B,"ENTRADA")</f>
        <v/>
      </c>
      <c r="H4850" s="13">
        <f>SUMIFS(Movimentacoes!$G:$G,Movimentacoes!$C:$C,$A4850,Movimentacoes!$E:$E,$C4850,Movimentacoes!$B:$B,"SAIDA_USO")</f>
        <v/>
      </c>
      <c r="I4850" s="13">
        <f>SUMIFS(Movimentacoes!$G:$G,Movimentacoes!$C:$C,$A4850,Movimentacoes!$E:$E,$C4850,Movimentacoes!$B:$B,"SAIDA_DESCARTE")</f>
        <v/>
      </c>
      <c r="J4850" s="13">
        <f>G4850-H4850-I4850</f>
        <v/>
      </c>
      <c r="K4850">
        <f>IF(A4850="","",IF(J4850&lt;=IFERROR(VLOOKUP(A4850,Cadastro_Produtos!$A:$E,5,FALSE),0),"ABAIXO DO MINIMO","OK"))</f>
        <v/>
      </c>
    </row>
    <row r="4851">
      <c r="B4851">
        <f>IFERROR(VLOOKUP(A4851,Cadastro_Produtos!A:B,2,FALSE),"")</f>
        <v/>
      </c>
      <c r="D4851" s="12" t="n"/>
      <c r="E4851" s="13">
        <f>IF(D4851="","",D4851-TODAY())</f>
        <v/>
      </c>
      <c r="F4851">
        <f>IF(D4851="","",IF(E4851&lt;0,"VENCIDO",IF(E4851&lt;=30,"VENCE EM &lt;= 30 DIAS",IF(E4851&lt;=60,"ATENCAO (31-60 DIAS)","OK"))))</f>
        <v/>
      </c>
      <c r="G4851" s="13">
        <f>SUMIFS(Movimentacoes!$G:$G,Movimentacoes!$C:$C,$A4851,Movimentacoes!$E:$E,$C4851,Movimentacoes!$B:$B,"ENTRADA")</f>
        <v/>
      </c>
      <c r="H4851" s="13">
        <f>SUMIFS(Movimentacoes!$G:$G,Movimentacoes!$C:$C,$A4851,Movimentacoes!$E:$E,$C4851,Movimentacoes!$B:$B,"SAIDA_USO")</f>
        <v/>
      </c>
      <c r="I4851" s="13">
        <f>SUMIFS(Movimentacoes!$G:$G,Movimentacoes!$C:$C,$A4851,Movimentacoes!$E:$E,$C4851,Movimentacoes!$B:$B,"SAIDA_DESCARTE")</f>
        <v/>
      </c>
      <c r="J4851" s="13">
        <f>G4851-H4851-I4851</f>
        <v/>
      </c>
      <c r="K4851">
        <f>IF(A4851="","",IF(J4851&lt;=IFERROR(VLOOKUP(A4851,Cadastro_Produtos!$A:$E,5,FALSE),0),"ABAIXO DO MINIMO","OK"))</f>
        <v/>
      </c>
    </row>
    <row r="4852">
      <c r="B4852">
        <f>IFERROR(VLOOKUP(A4852,Cadastro_Produtos!A:B,2,FALSE),"")</f>
        <v/>
      </c>
      <c r="D4852" s="12" t="n"/>
      <c r="E4852" s="13">
        <f>IF(D4852="","",D4852-TODAY())</f>
        <v/>
      </c>
      <c r="F4852">
        <f>IF(D4852="","",IF(E4852&lt;0,"VENCIDO",IF(E4852&lt;=30,"VENCE EM &lt;= 30 DIAS",IF(E4852&lt;=60,"ATENCAO (31-60 DIAS)","OK"))))</f>
        <v/>
      </c>
      <c r="G4852" s="13">
        <f>SUMIFS(Movimentacoes!$G:$G,Movimentacoes!$C:$C,$A4852,Movimentacoes!$E:$E,$C4852,Movimentacoes!$B:$B,"ENTRADA")</f>
        <v/>
      </c>
      <c r="H4852" s="13">
        <f>SUMIFS(Movimentacoes!$G:$G,Movimentacoes!$C:$C,$A4852,Movimentacoes!$E:$E,$C4852,Movimentacoes!$B:$B,"SAIDA_USO")</f>
        <v/>
      </c>
      <c r="I4852" s="13">
        <f>SUMIFS(Movimentacoes!$G:$G,Movimentacoes!$C:$C,$A4852,Movimentacoes!$E:$E,$C4852,Movimentacoes!$B:$B,"SAIDA_DESCARTE")</f>
        <v/>
      </c>
      <c r="J4852" s="13">
        <f>G4852-H4852-I4852</f>
        <v/>
      </c>
      <c r="K4852">
        <f>IF(A4852="","",IF(J4852&lt;=IFERROR(VLOOKUP(A4852,Cadastro_Produtos!$A:$E,5,FALSE),0),"ABAIXO DO MINIMO","OK"))</f>
        <v/>
      </c>
    </row>
    <row r="4853">
      <c r="B4853">
        <f>IFERROR(VLOOKUP(A4853,Cadastro_Produtos!A:B,2,FALSE),"")</f>
        <v/>
      </c>
      <c r="D4853" s="12" t="n"/>
      <c r="E4853" s="13">
        <f>IF(D4853="","",D4853-TODAY())</f>
        <v/>
      </c>
      <c r="F4853">
        <f>IF(D4853="","",IF(E4853&lt;0,"VENCIDO",IF(E4853&lt;=30,"VENCE EM &lt;= 30 DIAS",IF(E4853&lt;=60,"ATENCAO (31-60 DIAS)","OK"))))</f>
        <v/>
      </c>
      <c r="G4853" s="13">
        <f>SUMIFS(Movimentacoes!$G:$G,Movimentacoes!$C:$C,$A4853,Movimentacoes!$E:$E,$C4853,Movimentacoes!$B:$B,"ENTRADA")</f>
        <v/>
      </c>
      <c r="H4853" s="13">
        <f>SUMIFS(Movimentacoes!$G:$G,Movimentacoes!$C:$C,$A4853,Movimentacoes!$E:$E,$C4853,Movimentacoes!$B:$B,"SAIDA_USO")</f>
        <v/>
      </c>
      <c r="I4853" s="13">
        <f>SUMIFS(Movimentacoes!$G:$G,Movimentacoes!$C:$C,$A4853,Movimentacoes!$E:$E,$C4853,Movimentacoes!$B:$B,"SAIDA_DESCARTE")</f>
        <v/>
      </c>
      <c r="J4853" s="13">
        <f>G4853-H4853-I4853</f>
        <v/>
      </c>
      <c r="K4853">
        <f>IF(A4853="","",IF(J4853&lt;=IFERROR(VLOOKUP(A4853,Cadastro_Produtos!$A:$E,5,FALSE),0),"ABAIXO DO MINIMO","OK"))</f>
        <v/>
      </c>
    </row>
    <row r="4854">
      <c r="B4854">
        <f>IFERROR(VLOOKUP(A4854,Cadastro_Produtos!A:B,2,FALSE),"")</f>
        <v/>
      </c>
      <c r="D4854" s="12" t="n"/>
      <c r="E4854" s="13">
        <f>IF(D4854="","",D4854-TODAY())</f>
        <v/>
      </c>
      <c r="F4854">
        <f>IF(D4854="","",IF(E4854&lt;0,"VENCIDO",IF(E4854&lt;=30,"VENCE EM &lt;= 30 DIAS",IF(E4854&lt;=60,"ATENCAO (31-60 DIAS)","OK"))))</f>
        <v/>
      </c>
      <c r="G4854" s="13">
        <f>SUMIFS(Movimentacoes!$G:$G,Movimentacoes!$C:$C,$A4854,Movimentacoes!$E:$E,$C4854,Movimentacoes!$B:$B,"ENTRADA")</f>
        <v/>
      </c>
      <c r="H4854" s="13">
        <f>SUMIFS(Movimentacoes!$G:$G,Movimentacoes!$C:$C,$A4854,Movimentacoes!$E:$E,$C4854,Movimentacoes!$B:$B,"SAIDA_USO")</f>
        <v/>
      </c>
      <c r="I4854" s="13">
        <f>SUMIFS(Movimentacoes!$G:$G,Movimentacoes!$C:$C,$A4854,Movimentacoes!$E:$E,$C4854,Movimentacoes!$B:$B,"SAIDA_DESCARTE")</f>
        <v/>
      </c>
      <c r="J4854" s="13">
        <f>G4854-H4854-I4854</f>
        <v/>
      </c>
      <c r="K4854">
        <f>IF(A4854="","",IF(J4854&lt;=IFERROR(VLOOKUP(A4854,Cadastro_Produtos!$A:$E,5,FALSE),0),"ABAIXO DO MINIMO","OK"))</f>
        <v/>
      </c>
    </row>
    <row r="4855">
      <c r="B4855">
        <f>IFERROR(VLOOKUP(A4855,Cadastro_Produtos!A:B,2,FALSE),"")</f>
        <v/>
      </c>
      <c r="D4855" s="12" t="n"/>
      <c r="E4855" s="13">
        <f>IF(D4855="","",D4855-TODAY())</f>
        <v/>
      </c>
      <c r="F4855">
        <f>IF(D4855="","",IF(E4855&lt;0,"VENCIDO",IF(E4855&lt;=30,"VENCE EM &lt;= 30 DIAS",IF(E4855&lt;=60,"ATENCAO (31-60 DIAS)","OK"))))</f>
        <v/>
      </c>
      <c r="G4855" s="13">
        <f>SUMIFS(Movimentacoes!$G:$G,Movimentacoes!$C:$C,$A4855,Movimentacoes!$E:$E,$C4855,Movimentacoes!$B:$B,"ENTRADA")</f>
        <v/>
      </c>
      <c r="H4855" s="13">
        <f>SUMIFS(Movimentacoes!$G:$G,Movimentacoes!$C:$C,$A4855,Movimentacoes!$E:$E,$C4855,Movimentacoes!$B:$B,"SAIDA_USO")</f>
        <v/>
      </c>
      <c r="I4855" s="13">
        <f>SUMIFS(Movimentacoes!$G:$G,Movimentacoes!$C:$C,$A4855,Movimentacoes!$E:$E,$C4855,Movimentacoes!$B:$B,"SAIDA_DESCARTE")</f>
        <v/>
      </c>
      <c r="J4855" s="13">
        <f>G4855-H4855-I4855</f>
        <v/>
      </c>
      <c r="K4855">
        <f>IF(A4855="","",IF(J4855&lt;=IFERROR(VLOOKUP(A4855,Cadastro_Produtos!$A:$E,5,FALSE),0),"ABAIXO DO MINIMO","OK"))</f>
        <v/>
      </c>
    </row>
    <row r="4856">
      <c r="B4856">
        <f>IFERROR(VLOOKUP(A4856,Cadastro_Produtos!A:B,2,FALSE),"")</f>
        <v/>
      </c>
      <c r="D4856" s="12" t="n"/>
      <c r="E4856" s="13">
        <f>IF(D4856="","",D4856-TODAY())</f>
        <v/>
      </c>
      <c r="F4856">
        <f>IF(D4856="","",IF(E4856&lt;0,"VENCIDO",IF(E4856&lt;=30,"VENCE EM &lt;= 30 DIAS",IF(E4856&lt;=60,"ATENCAO (31-60 DIAS)","OK"))))</f>
        <v/>
      </c>
      <c r="G4856" s="13">
        <f>SUMIFS(Movimentacoes!$G:$G,Movimentacoes!$C:$C,$A4856,Movimentacoes!$E:$E,$C4856,Movimentacoes!$B:$B,"ENTRADA")</f>
        <v/>
      </c>
      <c r="H4856" s="13">
        <f>SUMIFS(Movimentacoes!$G:$G,Movimentacoes!$C:$C,$A4856,Movimentacoes!$E:$E,$C4856,Movimentacoes!$B:$B,"SAIDA_USO")</f>
        <v/>
      </c>
      <c r="I4856" s="13">
        <f>SUMIFS(Movimentacoes!$G:$G,Movimentacoes!$C:$C,$A4856,Movimentacoes!$E:$E,$C4856,Movimentacoes!$B:$B,"SAIDA_DESCARTE")</f>
        <v/>
      </c>
      <c r="J4856" s="13">
        <f>G4856-H4856-I4856</f>
        <v/>
      </c>
      <c r="K4856">
        <f>IF(A4856="","",IF(J4856&lt;=IFERROR(VLOOKUP(A4856,Cadastro_Produtos!$A:$E,5,FALSE),0),"ABAIXO DO MINIMO","OK"))</f>
        <v/>
      </c>
    </row>
    <row r="4857">
      <c r="B4857">
        <f>IFERROR(VLOOKUP(A4857,Cadastro_Produtos!A:B,2,FALSE),"")</f>
        <v/>
      </c>
      <c r="D4857" s="12" t="n"/>
      <c r="E4857" s="13">
        <f>IF(D4857="","",D4857-TODAY())</f>
        <v/>
      </c>
      <c r="F4857">
        <f>IF(D4857="","",IF(E4857&lt;0,"VENCIDO",IF(E4857&lt;=30,"VENCE EM &lt;= 30 DIAS",IF(E4857&lt;=60,"ATENCAO (31-60 DIAS)","OK"))))</f>
        <v/>
      </c>
      <c r="G4857" s="13">
        <f>SUMIFS(Movimentacoes!$G:$G,Movimentacoes!$C:$C,$A4857,Movimentacoes!$E:$E,$C4857,Movimentacoes!$B:$B,"ENTRADA")</f>
        <v/>
      </c>
      <c r="H4857" s="13">
        <f>SUMIFS(Movimentacoes!$G:$G,Movimentacoes!$C:$C,$A4857,Movimentacoes!$E:$E,$C4857,Movimentacoes!$B:$B,"SAIDA_USO")</f>
        <v/>
      </c>
      <c r="I4857" s="13">
        <f>SUMIFS(Movimentacoes!$G:$G,Movimentacoes!$C:$C,$A4857,Movimentacoes!$E:$E,$C4857,Movimentacoes!$B:$B,"SAIDA_DESCARTE")</f>
        <v/>
      </c>
      <c r="J4857" s="13">
        <f>G4857-H4857-I4857</f>
        <v/>
      </c>
      <c r="K4857">
        <f>IF(A4857="","",IF(J4857&lt;=IFERROR(VLOOKUP(A4857,Cadastro_Produtos!$A:$E,5,FALSE),0),"ABAIXO DO MINIMO","OK"))</f>
        <v/>
      </c>
    </row>
    <row r="4858">
      <c r="B4858">
        <f>IFERROR(VLOOKUP(A4858,Cadastro_Produtos!A:B,2,FALSE),"")</f>
        <v/>
      </c>
      <c r="D4858" s="12" t="n"/>
      <c r="E4858" s="13">
        <f>IF(D4858="","",D4858-TODAY())</f>
        <v/>
      </c>
      <c r="F4858">
        <f>IF(D4858="","",IF(E4858&lt;0,"VENCIDO",IF(E4858&lt;=30,"VENCE EM &lt;= 30 DIAS",IF(E4858&lt;=60,"ATENCAO (31-60 DIAS)","OK"))))</f>
        <v/>
      </c>
      <c r="G4858" s="13">
        <f>SUMIFS(Movimentacoes!$G:$G,Movimentacoes!$C:$C,$A4858,Movimentacoes!$E:$E,$C4858,Movimentacoes!$B:$B,"ENTRADA")</f>
        <v/>
      </c>
      <c r="H4858" s="13">
        <f>SUMIFS(Movimentacoes!$G:$G,Movimentacoes!$C:$C,$A4858,Movimentacoes!$E:$E,$C4858,Movimentacoes!$B:$B,"SAIDA_USO")</f>
        <v/>
      </c>
      <c r="I4858" s="13">
        <f>SUMIFS(Movimentacoes!$G:$G,Movimentacoes!$C:$C,$A4858,Movimentacoes!$E:$E,$C4858,Movimentacoes!$B:$B,"SAIDA_DESCARTE")</f>
        <v/>
      </c>
      <c r="J4858" s="13">
        <f>G4858-H4858-I4858</f>
        <v/>
      </c>
      <c r="K4858">
        <f>IF(A4858="","",IF(J4858&lt;=IFERROR(VLOOKUP(A4858,Cadastro_Produtos!$A:$E,5,FALSE),0),"ABAIXO DO MINIMO","OK"))</f>
        <v/>
      </c>
    </row>
    <row r="4859">
      <c r="B4859">
        <f>IFERROR(VLOOKUP(A4859,Cadastro_Produtos!A:B,2,FALSE),"")</f>
        <v/>
      </c>
      <c r="D4859" s="12" t="n"/>
      <c r="E4859" s="13">
        <f>IF(D4859="","",D4859-TODAY())</f>
        <v/>
      </c>
      <c r="F4859">
        <f>IF(D4859="","",IF(E4859&lt;0,"VENCIDO",IF(E4859&lt;=30,"VENCE EM &lt;= 30 DIAS",IF(E4859&lt;=60,"ATENCAO (31-60 DIAS)","OK"))))</f>
        <v/>
      </c>
      <c r="G4859" s="13">
        <f>SUMIFS(Movimentacoes!$G:$G,Movimentacoes!$C:$C,$A4859,Movimentacoes!$E:$E,$C4859,Movimentacoes!$B:$B,"ENTRADA")</f>
        <v/>
      </c>
      <c r="H4859" s="13">
        <f>SUMIFS(Movimentacoes!$G:$G,Movimentacoes!$C:$C,$A4859,Movimentacoes!$E:$E,$C4859,Movimentacoes!$B:$B,"SAIDA_USO")</f>
        <v/>
      </c>
      <c r="I4859" s="13">
        <f>SUMIFS(Movimentacoes!$G:$G,Movimentacoes!$C:$C,$A4859,Movimentacoes!$E:$E,$C4859,Movimentacoes!$B:$B,"SAIDA_DESCARTE")</f>
        <v/>
      </c>
      <c r="J4859" s="13">
        <f>G4859-H4859-I4859</f>
        <v/>
      </c>
      <c r="K4859">
        <f>IF(A4859="","",IF(J4859&lt;=IFERROR(VLOOKUP(A4859,Cadastro_Produtos!$A:$E,5,FALSE),0),"ABAIXO DO MINIMO","OK"))</f>
        <v/>
      </c>
    </row>
    <row r="4860">
      <c r="B4860">
        <f>IFERROR(VLOOKUP(A4860,Cadastro_Produtos!A:B,2,FALSE),"")</f>
        <v/>
      </c>
      <c r="D4860" s="12" t="n"/>
      <c r="E4860" s="13">
        <f>IF(D4860="","",D4860-TODAY())</f>
        <v/>
      </c>
      <c r="F4860">
        <f>IF(D4860="","",IF(E4860&lt;0,"VENCIDO",IF(E4860&lt;=30,"VENCE EM &lt;= 30 DIAS",IF(E4860&lt;=60,"ATENCAO (31-60 DIAS)","OK"))))</f>
        <v/>
      </c>
      <c r="G4860" s="13">
        <f>SUMIFS(Movimentacoes!$G:$G,Movimentacoes!$C:$C,$A4860,Movimentacoes!$E:$E,$C4860,Movimentacoes!$B:$B,"ENTRADA")</f>
        <v/>
      </c>
      <c r="H4860" s="13">
        <f>SUMIFS(Movimentacoes!$G:$G,Movimentacoes!$C:$C,$A4860,Movimentacoes!$E:$E,$C4860,Movimentacoes!$B:$B,"SAIDA_USO")</f>
        <v/>
      </c>
      <c r="I4860" s="13">
        <f>SUMIFS(Movimentacoes!$G:$G,Movimentacoes!$C:$C,$A4860,Movimentacoes!$E:$E,$C4860,Movimentacoes!$B:$B,"SAIDA_DESCARTE")</f>
        <v/>
      </c>
      <c r="J4860" s="13">
        <f>G4860-H4860-I4860</f>
        <v/>
      </c>
      <c r="K4860">
        <f>IF(A4860="","",IF(J4860&lt;=IFERROR(VLOOKUP(A4860,Cadastro_Produtos!$A:$E,5,FALSE),0),"ABAIXO DO MINIMO","OK"))</f>
        <v/>
      </c>
    </row>
    <row r="4861">
      <c r="B4861">
        <f>IFERROR(VLOOKUP(A4861,Cadastro_Produtos!A:B,2,FALSE),"")</f>
        <v/>
      </c>
      <c r="D4861" s="12" t="n"/>
      <c r="E4861" s="13">
        <f>IF(D4861="","",D4861-TODAY())</f>
        <v/>
      </c>
      <c r="F4861">
        <f>IF(D4861="","",IF(E4861&lt;0,"VENCIDO",IF(E4861&lt;=30,"VENCE EM &lt;= 30 DIAS",IF(E4861&lt;=60,"ATENCAO (31-60 DIAS)","OK"))))</f>
        <v/>
      </c>
      <c r="G4861" s="13">
        <f>SUMIFS(Movimentacoes!$G:$G,Movimentacoes!$C:$C,$A4861,Movimentacoes!$E:$E,$C4861,Movimentacoes!$B:$B,"ENTRADA")</f>
        <v/>
      </c>
      <c r="H4861" s="13">
        <f>SUMIFS(Movimentacoes!$G:$G,Movimentacoes!$C:$C,$A4861,Movimentacoes!$E:$E,$C4861,Movimentacoes!$B:$B,"SAIDA_USO")</f>
        <v/>
      </c>
      <c r="I4861" s="13">
        <f>SUMIFS(Movimentacoes!$G:$G,Movimentacoes!$C:$C,$A4861,Movimentacoes!$E:$E,$C4861,Movimentacoes!$B:$B,"SAIDA_DESCARTE")</f>
        <v/>
      </c>
      <c r="J4861" s="13">
        <f>G4861-H4861-I4861</f>
        <v/>
      </c>
      <c r="K4861">
        <f>IF(A4861="","",IF(J4861&lt;=IFERROR(VLOOKUP(A4861,Cadastro_Produtos!$A:$E,5,FALSE),0),"ABAIXO DO MINIMO","OK"))</f>
        <v/>
      </c>
    </row>
    <row r="4862">
      <c r="B4862">
        <f>IFERROR(VLOOKUP(A4862,Cadastro_Produtos!A:B,2,FALSE),"")</f>
        <v/>
      </c>
      <c r="D4862" s="12" t="n"/>
      <c r="E4862" s="13">
        <f>IF(D4862="","",D4862-TODAY())</f>
        <v/>
      </c>
      <c r="F4862">
        <f>IF(D4862="","",IF(E4862&lt;0,"VENCIDO",IF(E4862&lt;=30,"VENCE EM &lt;= 30 DIAS",IF(E4862&lt;=60,"ATENCAO (31-60 DIAS)","OK"))))</f>
        <v/>
      </c>
      <c r="G4862" s="13">
        <f>SUMIFS(Movimentacoes!$G:$G,Movimentacoes!$C:$C,$A4862,Movimentacoes!$E:$E,$C4862,Movimentacoes!$B:$B,"ENTRADA")</f>
        <v/>
      </c>
      <c r="H4862" s="13">
        <f>SUMIFS(Movimentacoes!$G:$G,Movimentacoes!$C:$C,$A4862,Movimentacoes!$E:$E,$C4862,Movimentacoes!$B:$B,"SAIDA_USO")</f>
        <v/>
      </c>
      <c r="I4862" s="13">
        <f>SUMIFS(Movimentacoes!$G:$G,Movimentacoes!$C:$C,$A4862,Movimentacoes!$E:$E,$C4862,Movimentacoes!$B:$B,"SAIDA_DESCARTE")</f>
        <v/>
      </c>
      <c r="J4862" s="13">
        <f>G4862-H4862-I4862</f>
        <v/>
      </c>
      <c r="K4862">
        <f>IF(A4862="","",IF(J4862&lt;=IFERROR(VLOOKUP(A4862,Cadastro_Produtos!$A:$E,5,FALSE),0),"ABAIXO DO MINIMO","OK"))</f>
        <v/>
      </c>
    </row>
    <row r="4863">
      <c r="B4863">
        <f>IFERROR(VLOOKUP(A4863,Cadastro_Produtos!A:B,2,FALSE),"")</f>
        <v/>
      </c>
      <c r="D4863" s="12" t="n"/>
      <c r="E4863" s="13">
        <f>IF(D4863="","",D4863-TODAY())</f>
        <v/>
      </c>
      <c r="F4863">
        <f>IF(D4863="","",IF(E4863&lt;0,"VENCIDO",IF(E4863&lt;=30,"VENCE EM &lt;= 30 DIAS",IF(E4863&lt;=60,"ATENCAO (31-60 DIAS)","OK"))))</f>
        <v/>
      </c>
      <c r="G4863" s="13">
        <f>SUMIFS(Movimentacoes!$G:$G,Movimentacoes!$C:$C,$A4863,Movimentacoes!$E:$E,$C4863,Movimentacoes!$B:$B,"ENTRADA")</f>
        <v/>
      </c>
      <c r="H4863" s="13">
        <f>SUMIFS(Movimentacoes!$G:$G,Movimentacoes!$C:$C,$A4863,Movimentacoes!$E:$E,$C4863,Movimentacoes!$B:$B,"SAIDA_USO")</f>
        <v/>
      </c>
      <c r="I4863" s="13">
        <f>SUMIFS(Movimentacoes!$G:$G,Movimentacoes!$C:$C,$A4863,Movimentacoes!$E:$E,$C4863,Movimentacoes!$B:$B,"SAIDA_DESCARTE")</f>
        <v/>
      </c>
      <c r="J4863" s="13">
        <f>G4863-H4863-I4863</f>
        <v/>
      </c>
      <c r="K4863">
        <f>IF(A4863="","",IF(J4863&lt;=IFERROR(VLOOKUP(A4863,Cadastro_Produtos!$A:$E,5,FALSE),0),"ABAIXO DO MINIMO","OK"))</f>
        <v/>
      </c>
    </row>
    <row r="4864">
      <c r="B4864">
        <f>IFERROR(VLOOKUP(A4864,Cadastro_Produtos!A:B,2,FALSE),"")</f>
        <v/>
      </c>
      <c r="D4864" s="12" t="n"/>
      <c r="E4864" s="13">
        <f>IF(D4864="","",D4864-TODAY())</f>
        <v/>
      </c>
      <c r="F4864">
        <f>IF(D4864="","",IF(E4864&lt;0,"VENCIDO",IF(E4864&lt;=30,"VENCE EM &lt;= 30 DIAS",IF(E4864&lt;=60,"ATENCAO (31-60 DIAS)","OK"))))</f>
        <v/>
      </c>
      <c r="G4864" s="13">
        <f>SUMIFS(Movimentacoes!$G:$G,Movimentacoes!$C:$C,$A4864,Movimentacoes!$E:$E,$C4864,Movimentacoes!$B:$B,"ENTRADA")</f>
        <v/>
      </c>
      <c r="H4864" s="13">
        <f>SUMIFS(Movimentacoes!$G:$G,Movimentacoes!$C:$C,$A4864,Movimentacoes!$E:$E,$C4864,Movimentacoes!$B:$B,"SAIDA_USO")</f>
        <v/>
      </c>
      <c r="I4864" s="13">
        <f>SUMIFS(Movimentacoes!$G:$G,Movimentacoes!$C:$C,$A4864,Movimentacoes!$E:$E,$C4864,Movimentacoes!$B:$B,"SAIDA_DESCARTE")</f>
        <v/>
      </c>
      <c r="J4864" s="13">
        <f>G4864-H4864-I4864</f>
        <v/>
      </c>
      <c r="K4864">
        <f>IF(A4864="","",IF(J4864&lt;=IFERROR(VLOOKUP(A4864,Cadastro_Produtos!$A:$E,5,FALSE),0),"ABAIXO DO MINIMO","OK"))</f>
        <v/>
      </c>
    </row>
    <row r="4865">
      <c r="B4865">
        <f>IFERROR(VLOOKUP(A4865,Cadastro_Produtos!A:B,2,FALSE),"")</f>
        <v/>
      </c>
      <c r="D4865" s="12" t="n"/>
      <c r="E4865" s="13">
        <f>IF(D4865="","",D4865-TODAY())</f>
        <v/>
      </c>
      <c r="F4865">
        <f>IF(D4865="","",IF(E4865&lt;0,"VENCIDO",IF(E4865&lt;=30,"VENCE EM &lt;= 30 DIAS",IF(E4865&lt;=60,"ATENCAO (31-60 DIAS)","OK"))))</f>
        <v/>
      </c>
      <c r="G4865" s="13">
        <f>SUMIFS(Movimentacoes!$G:$G,Movimentacoes!$C:$C,$A4865,Movimentacoes!$E:$E,$C4865,Movimentacoes!$B:$B,"ENTRADA")</f>
        <v/>
      </c>
      <c r="H4865" s="13">
        <f>SUMIFS(Movimentacoes!$G:$G,Movimentacoes!$C:$C,$A4865,Movimentacoes!$E:$E,$C4865,Movimentacoes!$B:$B,"SAIDA_USO")</f>
        <v/>
      </c>
      <c r="I4865" s="13">
        <f>SUMIFS(Movimentacoes!$G:$G,Movimentacoes!$C:$C,$A4865,Movimentacoes!$E:$E,$C4865,Movimentacoes!$B:$B,"SAIDA_DESCARTE")</f>
        <v/>
      </c>
      <c r="J4865" s="13">
        <f>G4865-H4865-I4865</f>
        <v/>
      </c>
      <c r="K4865">
        <f>IF(A4865="","",IF(J4865&lt;=IFERROR(VLOOKUP(A4865,Cadastro_Produtos!$A:$E,5,FALSE),0),"ABAIXO DO MINIMO","OK"))</f>
        <v/>
      </c>
    </row>
    <row r="4866">
      <c r="B4866">
        <f>IFERROR(VLOOKUP(A4866,Cadastro_Produtos!A:B,2,FALSE),"")</f>
        <v/>
      </c>
      <c r="D4866" s="12" t="n"/>
      <c r="E4866" s="13">
        <f>IF(D4866="","",D4866-TODAY())</f>
        <v/>
      </c>
      <c r="F4866">
        <f>IF(D4866="","",IF(E4866&lt;0,"VENCIDO",IF(E4866&lt;=30,"VENCE EM &lt;= 30 DIAS",IF(E4866&lt;=60,"ATENCAO (31-60 DIAS)","OK"))))</f>
        <v/>
      </c>
      <c r="G4866" s="13">
        <f>SUMIFS(Movimentacoes!$G:$G,Movimentacoes!$C:$C,$A4866,Movimentacoes!$E:$E,$C4866,Movimentacoes!$B:$B,"ENTRADA")</f>
        <v/>
      </c>
      <c r="H4866" s="13">
        <f>SUMIFS(Movimentacoes!$G:$G,Movimentacoes!$C:$C,$A4866,Movimentacoes!$E:$E,$C4866,Movimentacoes!$B:$B,"SAIDA_USO")</f>
        <v/>
      </c>
      <c r="I4866" s="13">
        <f>SUMIFS(Movimentacoes!$G:$G,Movimentacoes!$C:$C,$A4866,Movimentacoes!$E:$E,$C4866,Movimentacoes!$B:$B,"SAIDA_DESCARTE")</f>
        <v/>
      </c>
      <c r="J4866" s="13">
        <f>G4866-H4866-I4866</f>
        <v/>
      </c>
      <c r="K4866">
        <f>IF(A4866="","",IF(J4866&lt;=IFERROR(VLOOKUP(A4866,Cadastro_Produtos!$A:$E,5,FALSE),0),"ABAIXO DO MINIMO","OK"))</f>
        <v/>
      </c>
    </row>
    <row r="4867">
      <c r="B4867">
        <f>IFERROR(VLOOKUP(A4867,Cadastro_Produtos!A:B,2,FALSE),"")</f>
        <v/>
      </c>
      <c r="D4867" s="12" t="n"/>
      <c r="E4867" s="13">
        <f>IF(D4867="","",D4867-TODAY())</f>
        <v/>
      </c>
      <c r="F4867">
        <f>IF(D4867="","",IF(E4867&lt;0,"VENCIDO",IF(E4867&lt;=30,"VENCE EM &lt;= 30 DIAS",IF(E4867&lt;=60,"ATENCAO (31-60 DIAS)","OK"))))</f>
        <v/>
      </c>
      <c r="G4867" s="13">
        <f>SUMIFS(Movimentacoes!$G:$G,Movimentacoes!$C:$C,$A4867,Movimentacoes!$E:$E,$C4867,Movimentacoes!$B:$B,"ENTRADA")</f>
        <v/>
      </c>
      <c r="H4867" s="13">
        <f>SUMIFS(Movimentacoes!$G:$G,Movimentacoes!$C:$C,$A4867,Movimentacoes!$E:$E,$C4867,Movimentacoes!$B:$B,"SAIDA_USO")</f>
        <v/>
      </c>
      <c r="I4867" s="13">
        <f>SUMIFS(Movimentacoes!$G:$G,Movimentacoes!$C:$C,$A4867,Movimentacoes!$E:$E,$C4867,Movimentacoes!$B:$B,"SAIDA_DESCARTE")</f>
        <v/>
      </c>
      <c r="J4867" s="13">
        <f>G4867-H4867-I4867</f>
        <v/>
      </c>
      <c r="K4867">
        <f>IF(A4867="","",IF(J4867&lt;=IFERROR(VLOOKUP(A4867,Cadastro_Produtos!$A:$E,5,FALSE),0),"ABAIXO DO MINIMO","OK"))</f>
        <v/>
      </c>
    </row>
    <row r="4868">
      <c r="B4868">
        <f>IFERROR(VLOOKUP(A4868,Cadastro_Produtos!A:B,2,FALSE),"")</f>
        <v/>
      </c>
      <c r="D4868" s="12" t="n"/>
      <c r="E4868" s="13">
        <f>IF(D4868="","",D4868-TODAY())</f>
        <v/>
      </c>
      <c r="F4868">
        <f>IF(D4868="","",IF(E4868&lt;0,"VENCIDO",IF(E4868&lt;=30,"VENCE EM &lt;= 30 DIAS",IF(E4868&lt;=60,"ATENCAO (31-60 DIAS)","OK"))))</f>
        <v/>
      </c>
      <c r="G4868" s="13">
        <f>SUMIFS(Movimentacoes!$G:$G,Movimentacoes!$C:$C,$A4868,Movimentacoes!$E:$E,$C4868,Movimentacoes!$B:$B,"ENTRADA")</f>
        <v/>
      </c>
      <c r="H4868" s="13">
        <f>SUMIFS(Movimentacoes!$G:$G,Movimentacoes!$C:$C,$A4868,Movimentacoes!$E:$E,$C4868,Movimentacoes!$B:$B,"SAIDA_USO")</f>
        <v/>
      </c>
      <c r="I4868" s="13">
        <f>SUMIFS(Movimentacoes!$G:$G,Movimentacoes!$C:$C,$A4868,Movimentacoes!$E:$E,$C4868,Movimentacoes!$B:$B,"SAIDA_DESCARTE")</f>
        <v/>
      </c>
      <c r="J4868" s="13">
        <f>G4868-H4868-I4868</f>
        <v/>
      </c>
      <c r="K4868">
        <f>IF(A4868="","",IF(J4868&lt;=IFERROR(VLOOKUP(A4868,Cadastro_Produtos!$A:$E,5,FALSE),0),"ABAIXO DO MINIMO","OK"))</f>
        <v/>
      </c>
    </row>
    <row r="4869">
      <c r="B4869">
        <f>IFERROR(VLOOKUP(A4869,Cadastro_Produtos!A:B,2,FALSE),"")</f>
        <v/>
      </c>
      <c r="D4869" s="12" t="n"/>
      <c r="E4869" s="13">
        <f>IF(D4869="","",D4869-TODAY())</f>
        <v/>
      </c>
      <c r="F4869">
        <f>IF(D4869="","",IF(E4869&lt;0,"VENCIDO",IF(E4869&lt;=30,"VENCE EM &lt;= 30 DIAS",IF(E4869&lt;=60,"ATENCAO (31-60 DIAS)","OK"))))</f>
        <v/>
      </c>
      <c r="G4869" s="13">
        <f>SUMIFS(Movimentacoes!$G:$G,Movimentacoes!$C:$C,$A4869,Movimentacoes!$E:$E,$C4869,Movimentacoes!$B:$B,"ENTRADA")</f>
        <v/>
      </c>
      <c r="H4869" s="13">
        <f>SUMIFS(Movimentacoes!$G:$G,Movimentacoes!$C:$C,$A4869,Movimentacoes!$E:$E,$C4869,Movimentacoes!$B:$B,"SAIDA_USO")</f>
        <v/>
      </c>
      <c r="I4869" s="13">
        <f>SUMIFS(Movimentacoes!$G:$G,Movimentacoes!$C:$C,$A4869,Movimentacoes!$E:$E,$C4869,Movimentacoes!$B:$B,"SAIDA_DESCARTE")</f>
        <v/>
      </c>
      <c r="J4869" s="13">
        <f>G4869-H4869-I4869</f>
        <v/>
      </c>
      <c r="K4869">
        <f>IF(A4869="","",IF(J4869&lt;=IFERROR(VLOOKUP(A4869,Cadastro_Produtos!$A:$E,5,FALSE),0),"ABAIXO DO MINIMO","OK"))</f>
        <v/>
      </c>
    </row>
    <row r="4870">
      <c r="B4870">
        <f>IFERROR(VLOOKUP(A4870,Cadastro_Produtos!A:B,2,FALSE),"")</f>
        <v/>
      </c>
      <c r="D4870" s="12" t="n"/>
      <c r="E4870" s="13">
        <f>IF(D4870="","",D4870-TODAY())</f>
        <v/>
      </c>
      <c r="F4870">
        <f>IF(D4870="","",IF(E4870&lt;0,"VENCIDO",IF(E4870&lt;=30,"VENCE EM &lt;= 30 DIAS",IF(E4870&lt;=60,"ATENCAO (31-60 DIAS)","OK"))))</f>
        <v/>
      </c>
      <c r="G4870" s="13">
        <f>SUMIFS(Movimentacoes!$G:$G,Movimentacoes!$C:$C,$A4870,Movimentacoes!$E:$E,$C4870,Movimentacoes!$B:$B,"ENTRADA")</f>
        <v/>
      </c>
      <c r="H4870" s="13">
        <f>SUMIFS(Movimentacoes!$G:$G,Movimentacoes!$C:$C,$A4870,Movimentacoes!$E:$E,$C4870,Movimentacoes!$B:$B,"SAIDA_USO")</f>
        <v/>
      </c>
      <c r="I4870" s="13">
        <f>SUMIFS(Movimentacoes!$G:$G,Movimentacoes!$C:$C,$A4870,Movimentacoes!$E:$E,$C4870,Movimentacoes!$B:$B,"SAIDA_DESCARTE")</f>
        <v/>
      </c>
      <c r="J4870" s="13">
        <f>G4870-H4870-I4870</f>
        <v/>
      </c>
      <c r="K4870">
        <f>IF(A4870="","",IF(J4870&lt;=IFERROR(VLOOKUP(A4870,Cadastro_Produtos!$A:$E,5,FALSE),0),"ABAIXO DO MINIMO","OK"))</f>
        <v/>
      </c>
    </row>
    <row r="4871">
      <c r="B4871">
        <f>IFERROR(VLOOKUP(A4871,Cadastro_Produtos!A:B,2,FALSE),"")</f>
        <v/>
      </c>
      <c r="D4871" s="12" t="n"/>
      <c r="E4871" s="13">
        <f>IF(D4871="","",D4871-TODAY())</f>
        <v/>
      </c>
      <c r="F4871">
        <f>IF(D4871="","",IF(E4871&lt;0,"VENCIDO",IF(E4871&lt;=30,"VENCE EM &lt;= 30 DIAS",IF(E4871&lt;=60,"ATENCAO (31-60 DIAS)","OK"))))</f>
        <v/>
      </c>
      <c r="G4871" s="13">
        <f>SUMIFS(Movimentacoes!$G:$G,Movimentacoes!$C:$C,$A4871,Movimentacoes!$E:$E,$C4871,Movimentacoes!$B:$B,"ENTRADA")</f>
        <v/>
      </c>
      <c r="H4871" s="13">
        <f>SUMIFS(Movimentacoes!$G:$G,Movimentacoes!$C:$C,$A4871,Movimentacoes!$E:$E,$C4871,Movimentacoes!$B:$B,"SAIDA_USO")</f>
        <v/>
      </c>
      <c r="I4871" s="13">
        <f>SUMIFS(Movimentacoes!$G:$G,Movimentacoes!$C:$C,$A4871,Movimentacoes!$E:$E,$C4871,Movimentacoes!$B:$B,"SAIDA_DESCARTE")</f>
        <v/>
      </c>
      <c r="J4871" s="13">
        <f>G4871-H4871-I4871</f>
        <v/>
      </c>
      <c r="K4871">
        <f>IF(A4871="","",IF(J4871&lt;=IFERROR(VLOOKUP(A4871,Cadastro_Produtos!$A:$E,5,FALSE),0),"ABAIXO DO MINIMO","OK"))</f>
        <v/>
      </c>
    </row>
    <row r="4872">
      <c r="B4872">
        <f>IFERROR(VLOOKUP(A4872,Cadastro_Produtos!A:B,2,FALSE),"")</f>
        <v/>
      </c>
      <c r="D4872" s="12" t="n"/>
      <c r="E4872" s="13">
        <f>IF(D4872="","",D4872-TODAY())</f>
        <v/>
      </c>
      <c r="F4872">
        <f>IF(D4872="","",IF(E4872&lt;0,"VENCIDO",IF(E4872&lt;=30,"VENCE EM &lt;= 30 DIAS",IF(E4872&lt;=60,"ATENCAO (31-60 DIAS)","OK"))))</f>
        <v/>
      </c>
      <c r="G4872" s="13">
        <f>SUMIFS(Movimentacoes!$G:$G,Movimentacoes!$C:$C,$A4872,Movimentacoes!$E:$E,$C4872,Movimentacoes!$B:$B,"ENTRADA")</f>
        <v/>
      </c>
      <c r="H4872" s="13">
        <f>SUMIFS(Movimentacoes!$G:$G,Movimentacoes!$C:$C,$A4872,Movimentacoes!$E:$E,$C4872,Movimentacoes!$B:$B,"SAIDA_USO")</f>
        <v/>
      </c>
      <c r="I4872" s="13">
        <f>SUMIFS(Movimentacoes!$G:$G,Movimentacoes!$C:$C,$A4872,Movimentacoes!$E:$E,$C4872,Movimentacoes!$B:$B,"SAIDA_DESCARTE")</f>
        <v/>
      </c>
      <c r="J4872" s="13">
        <f>G4872-H4872-I4872</f>
        <v/>
      </c>
      <c r="K4872">
        <f>IF(A4872="","",IF(J4872&lt;=IFERROR(VLOOKUP(A4872,Cadastro_Produtos!$A:$E,5,FALSE),0),"ABAIXO DO MINIMO","OK"))</f>
        <v/>
      </c>
    </row>
    <row r="4873">
      <c r="B4873">
        <f>IFERROR(VLOOKUP(A4873,Cadastro_Produtos!A:B,2,FALSE),"")</f>
        <v/>
      </c>
      <c r="D4873" s="12" t="n"/>
      <c r="E4873" s="13">
        <f>IF(D4873="","",D4873-TODAY())</f>
        <v/>
      </c>
      <c r="F4873">
        <f>IF(D4873="","",IF(E4873&lt;0,"VENCIDO",IF(E4873&lt;=30,"VENCE EM &lt;= 30 DIAS",IF(E4873&lt;=60,"ATENCAO (31-60 DIAS)","OK"))))</f>
        <v/>
      </c>
      <c r="G4873" s="13">
        <f>SUMIFS(Movimentacoes!$G:$G,Movimentacoes!$C:$C,$A4873,Movimentacoes!$E:$E,$C4873,Movimentacoes!$B:$B,"ENTRADA")</f>
        <v/>
      </c>
      <c r="H4873" s="13">
        <f>SUMIFS(Movimentacoes!$G:$G,Movimentacoes!$C:$C,$A4873,Movimentacoes!$E:$E,$C4873,Movimentacoes!$B:$B,"SAIDA_USO")</f>
        <v/>
      </c>
      <c r="I4873" s="13">
        <f>SUMIFS(Movimentacoes!$G:$G,Movimentacoes!$C:$C,$A4873,Movimentacoes!$E:$E,$C4873,Movimentacoes!$B:$B,"SAIDA_DESCARTE")</f>
        <v/>
      </c>
      <c r="J4873" s="13">
        <f>G4873-H4873-I4873</f>
        <v/>
      </c>
      <c r="K4873">
        <f>IF(A4873="","",IF(J4873&lt;=IFERROR(VLOOKUP(A4873,Cadastro_Produtos!$A:$E,5,FALSE),0),"ABAIXO DO MINIMO","OK"))</f>
        <v/>
      </c>
    </row>
    <row r="4874">
      <c r="B4874">
        <f>IFERROR(VLOOKUP(A4874,Cadastro_Produtos!A:B,2,FALSE),"")</f>
        <v/>
      </c>
      <c r="D4874" s="12" t="n"/>
      <c r="E4874" s="13">
        <f>IF(D4874="","",D4874-TODAY())</f>
        <v/>
      </c>
      <c r="F4874">
        <f>IF(D4874="","",IF(E4874&lt;0,"VENCIDO",IF(E4874&lt;=30,"VENCE EM &lt;= 30 DIAS",IF(E4874&lt;=60,"ATENCAO (31-60 DIAS)","OK"))))</f>
        <v/>
      </c>
      <c r="G4874" s="13">
        <f>SUMIFS(Movimentacoes!$G:$G,Movimentacoes!$C:$C,$A4874,Movimentacoes!$E:$E,$C4874,Movimentacoes!$B:$B,"ENTRADA")</f>
        <v/>
      </c>
      <c r="H4874" s="13">
        <f>SUMIFS(Movimentacoes!$G:$G,Movimentacoes!$C:$C,$A4874,Movimentacoes!$E:$E,$C4874,Movimentacoes!$B:$B,"SAIDA_USO")</f>
        <v/>
      </c>
      <c r="I4874" s="13">
        <f>SUMIFS(Movimentacoes!$G:$G,Movimentacoes!$C:$C,$A4874,Movimentacoes!$E:$E,$C4874,Movimentacoes!$B:$B,"SAIDA_DESCARTE")</f>
        <v/>
      </c>
      <c r="J4874" s="13">
        <f>G4874-H4874-I4874</f>
        <v/>
      </c>
      <c r="K4874">
        <f>IF(A4874="","",IF(J4874&lt;=IFERROR(VLOOKUP(A4874,Cadastro_Produtos!$A:$E,5,FALSE),0),"ABAIXO DO MINIMO","OK"))</f>
        <v/>
      </c>
    </row>
    <row r="4875">
      <c r="B4875">
        <f>IFERROR(VLOOKUP(A4875,Cadastro_Produtos!A:B,2,FALSE),"")</f>
        <v/>
      </c>
      <c r="D4875" s="12" t="n"/>
      <c r="E4875" s="13">
        <f>IF(D4875="","",D4875-TODAY())</f>
        <v/>
      </c>
      <c r="F4875">
        <f>IF(D4875="","",IF(E4875&lt;0,"VENCIDO",IF(E4875&lt;=30,"VENCE EM &lt;= 30 DIAS",IF(E4875&lt;=60,"ATENCAO (31-60 DIAS)","OK"))))</f>
        <v/>
      </c>
      <c r="G4875" s="13">
        <f>SUMIFS(Movimentacoes!$G:$G,Movimentacoes!$C:$C,$A4875,Movimentacoes!$E:$E,$C4875,Movimentacoes!$B:$B,"ENTRADA")</f>
        <v/>
      </c>
      <c r="H4875" s="13">
        <f>SUMIFS(Movimentacoes!$G:$G,Movimentacoes!$C:$C,$A4875,Movimentacoes!$E:$E,$C4875,Movimentacoes!$B:$B,"SAIDA_USO")</f>
        <v/>
      </c>
      <c r="I4875" s="13">
        <f>SUMIFS(Movimentacoes!$G:$G,Movimentacoes!$C:$C,$A4875,Movimentacoes!$E:$E,$C4875,Movimentacoes!$B:$B,"SAIDA_DESCARTE")</f>
        <v/>
      </c>
      <c r="J4875" s="13">
        <f>G4875-H4875-I4875</f>
        <v/>
      </c>
      <c r="K4875">
        <f>IF(A4875="","",IF(J4875&lt;=IFERROR(VLOOKUP(A4875,Cadastro_Produtos!$A:$E,5,FALSE),0),"ABAIXO DO MINIMO","OK"))</f>
        <v/>
      </c>
    </row>
    <row r="4876">
      <c r="B4876">
        <f>IFERROR(VLOOKUP(A4876,Cadastro_Produtos!A:B,2,FALSE),"")</f>
        <v/>
      </c>
      <c r="D4876" s="12" t="n"/>
      <c r="E4876" s="13">
        <f>IF(D4876="","",D4876-TODAY())</f>
        <v/>
      </c>
      <c r="F4876">
        <f>IF(D4876="","",IF(E4876&lt;0,"VENCIDO",IF(E4876&lt;=30,"VENCE EM &lt;= 30 DIAS",IF(E4876&lt;=60,"ATENCAO (31-60 DIAS)","OK"))))</f>
        <v/>
      </c>
      <c r="G4876" s="13">
        <f>SUMIFS(Movimentacoes!$G:$G,Movimentacoes!$C:$C,$A4876,Movimentacoes!$E:$E,$C4876,Movimentacoes!$B:$B,"ENTRADA")</f>
        <v/>
      </c>
      <c r="H4876" s="13">
        <f>SUMIFS(Movimentacoes!$G:$G,Movimentacoes!$C:$C,$A4876,Movimentacoes!$E:$E,$C4876,Movimentacoes!$B:$B,"SAIDA_USO")</f>
        <v/>
      </c>
      <c r="I4876" s="13">
        <f>SUMIFS(Movimentacoes!$G:$G,Movimentacoes!$C:$C,$A4876,Movimentacoes!$E:$E,$C4876,Movimentacoes!$B:$B,"SAIDA_DESCARTE")</f>
        <v/>
      </c>
      <c r="J4876" s="13">
        <f>G4876-H4876-I4876</f>
        <v/>
      </c>
      <c r="K4876">
        <f>IF(A4876="","",IF(J4876&lt;=IFERROR(VLOOKUP(A4876,Cadastro_Produtos!$A:$E,5,FALSE),0),"ABAIXO DO MINIMO","OK"))</f>
        <v/>
      </c>
    </row>
    <row r="4877">
      <c r="B4877">
        <f>IFERROR(VLOOKUP(A4877,Cadastro_Produtos!A:B,2,FALSE),"")</f>
        <v/>
      </c>
      <c r="D4877" s="12" t="n"/>
      <c r="E4877" s="13">
        <f>IF(D4877="","",D4877-TODAY())</f>
        <v/>
      </c>
      <c r="F4877">
        <f>IF(D4877="","",IF(E4877&lt;0,"VENCIDO",IF(E4877&lt;=30,"VENCE EM &lt;= 30 DIAS",IF(E4877&lt;=60,"ATENCAO (31-60 DIAS)","OK"))))</f>
        <v/>
      </c>
      <c r="G4877" s="13">
        <f>SUMIFS(Movimentacoes!$G:$G,Movimentacoes!$C:$C,$A4877,Movimentacoes!$E:$E,$C4877,Movimentacoes!$B:$B,"ENTRADA")</f>
        <v/>
      </c>
      <c r="H4877" s="13">
        <f>SUMIFS(Movimentacoes!$G:$G,Movimentacoes!$C:$C,$A4877,Movimentacoes!$E:$E,$C4877,Movimentacoes!$B:$B,"SAIDA_USO")</f>
        <v/>
      </c>
      <c r="I4877" s="13">
        <f>SUMIFS(Movimentacoes!$G:$G,Movimentacoes!$C:$C,$A4877,Movimentacoes!$E:$E,$C4877,Movimentacoes!$B:$B,"SAIDA_DESCARTE")</f>
        <v/>
      </c>
      <c r="J4877" s="13">
        <f>G4877-H4877-I4877</f>
        <v/>
      </c>
      <c r="K4877">
        <f>IF(A4877="","",IF(J4877&lt;=IFERROR(VLOOKUP(A4877,Cadastro_Produtos!$A:$E,5,FALSE),0),"ABAIXO DO MINIMO","OK"))</f>
        <v/>
      </c>
    </row>
    <row r="4878">
      <c r="B4878">
        <f>IFERROR(VLOOKUP(A4878,Cadastro_Produtos!A:B,2,FALSE),"")</f>
        <v/>
      </c>
      <c r="D4878" s="12" t="n"/>
      <c r="E4878" s="13">
        <f>IF(D4878="","",D4878-TODAY())</f>
        <v/>
      </c>
      <c r="F4878">
        <f>IF(D4878="","",IF(E4878&lt;0,"VENCIDO",IF(E4878&lt;=30,"VENCE EM &lt;= 30 DIAS",IF(E4878&lt;=60,"ATENCAO (31-60 DIAS)","OK"))))</f>
        <v/>
      </c>
      <c r="G4878" s="13">
        <f>SUMIFS(Movimentacoes!$G:$G,Movimentacoes!$C:$C,$A4878,Movimentacoes!$E:$E,$C4878,Movimentacoes!$B:$B,"ENTRADA")</f>
        <v/>
      </c>
      <c r="H4878" s="13">
        <f>SUMIFS(Movimentacoes!$G:$G,Movimentacoes!$C:$C,$A4878,Movimentacoes!$E:$E,$C4878,Movimentacoes!$B:$B,"SAIDA_USO")</f>
        <v/>
      </c>
      <c r="I4878" s="13">
        <f>SUMIFS(Movimentacoes!$G:$G,Movimentacoes!$C:$C,$A4878,Movimentacoes!$E:$E,$C4878,Movimentacoes!$B:$B,"SAIDA_DESCARTE")</f>
        <v/>
      </c>
      <c r="J4878" s="13">
        <f>G4878-H4878-I4878</f>
        <v/>
      </c>
      <c r="K4878">
        <f>IF(A4878="","",IF(J4878&lt;=IFERROR(VLOOKUP(A4878,Cadastro_Produtos!$A:$E,5,FALSE),0),"ABAIXO DO MINIMO","OK"))</f>
        <v/>
      </c>
    </row>
    <row r="4879">
      <c r="B4879">
        <f>IFERROR(VLOOKUP(A4879,Cadastro_Produtos!A:B,2,FALSE),"")</f>
        <v/>
      </c>
      <c r="D4879" s="12" t="n"/>
      <c r="E4879" s="13">
        <f>IF(D4879="","",D4879-TODAY())</f>
        <v/>
      </c>
      <c r="F4879">
        <f>IF(D4879="","",IF(E4879&lt;0,"VENCIDO",IF(E4879&lt;=30,"VENCE EM &lt;= 30 DIAS",IF(E4879&lt;=60,"ATENCAO (31-60 DIAS)","OK"))))</f>
        <v/>
      </c>
      <c r="G4879" s="13">
        <f>SUMIFS(Movimentacoes!$G:$G,Movimentacoes!$C:$C,$A4879,Movimentacoes!$E:$E,$C4879,Movimentacoes!$B:$B,"ENTRADA")</f>
        <v/>
      </c>
      <c r="H4879" s="13">
        <f>SUMIFS(Movimentacoes!$G:$G,Movimentacoes!$C:$C,$A4879,Movimentacoes!$E:$E,$C4879,Movimentacoes!$B:$B,"SAIDA_USO")</f>
        <v/>
      </c>
      <c r="I4879" s="13">
        <f>SUMIFS(Movimentacoes!$G:$G,Movimentacoes!$C:$C,$A4879,Movimentacoes!$E:$E,$C4879,Movimentacoes!$B:$B,"SAIDA_DESCARTE")</f>
        <v/>
      </c>
      <c r="J4879" s="13">
        <f>G4879-H4879-I4879</f>
        <v/>
      </c>
      <c r="K4879">
        <f>IF(A4879="","",IF(J4879&lt;=IFERROR(VLOOKUP(A4879,Cadastro_Produtos!$A:$E,5,FALSE),0),"ABAIXO DO MINIMO","OK"))</f>
        <v/>
      </c>
    </row>
    <row r="4880">
      <c r="B4880">
        <f>IFERROR(VLOOKUP(A4880,Cadastro_Produtos!A:B,2,FALSE),"")</f>
        <v/>
      </c>
      <c r="D4880" s="12" t="n"/>
      <c r="E4880" s="13">
        <f>IF(D4880="","",D4880-TODAY())</f>
        <v/>
      </c>
      <c r="F4880">
        <f>IF(D4880="","",IF(E4880&lt;0,"VENCIDO",IF(E4880&lt;=30,"VENCE EM &lt;= 30 DIAS",IF(E4880&lt;=60,"ATENCAO (31-60 DIAS)","OK"))))</f>
        <v/>
      </c>
      <c r="G4880" s="13">
        <f>SUMIFS(Movimentacoes!$G:$G,Movimentacoes!$C:$C,$A4880,Movimentacoes!$E:$E,$C4880,Movimentacoes!$B:$B,"ENTRADA")</f>
        <v/>
      </c>
      <c r="H4880" s="13">
        <f>SUMIFS(Movimentacoes!$G:$G,Movimentacoes!$C:$C,$A4880,Movimentacoes!$E:$E,$C4880,Movimentacoes!$B:$B,"SAIDA_USO")</f>
        <v/>
      </c>
      <c r="I4880" s="13">
        <f>SUMIFS(Movimentacoes!$G:$G,Movimentacoes!$C:$C,$A4880,Movimentacoes!$E:$E,$C4880,Movimentacoes!$B:$B,"SAIDA_DESCARTE")</f>
        <v/>
      </c>
      <c r="J4880" s="13">
        <f>G4880-H4880-I4880</f>
        <v/>
      </c>
      <c r="K4880">
        <f>IF(A4880="","",IF(J4880&lt;=IFERROR(VLOOKUP(A4880,Cadastro_Produtos!$A:$E,5,FALSE),0),"ABAIXO DO MINIMO","OK"))</f>
        <v/>
      </c>
    </row>
    <row r="4881">
      <c r="B4881">
        <f>IFERROR(VLOOKUP(A4881,Cadastro_Produtos!A:B,2,FALSE),"")</f>
        <v/>
      </c>
      <c r="D4881" s="12" t="n"/>
      <c r="E4881" s="13">
        <f>IF(D4881="","",D4881-TODAY())</f>
        <v/>
      </c>
      <c r="F4881">
        <f>IF(D4881="","",IF(E4881&lt;0,"VENCIDO",IF(E4881&lt;=30,"VENCE EM &lt;= 30 DIAS",IF(E4881&lt;=60,"ATENCAO (31-60 DIAS)","OK"))))</f>
        <v/>
      </c>
      <c r="G4881" s="13">
        <f>SUMIFS(Movimentacoes!$G:$G,Movimentacoes!$C:$C,$A4881,Movimentacoes!$E:$E,$C4881,Movimentacoes!$B:$B,"ENTRADA")</f>
        <v/>
      </c>
      <c r="H4881" s="13">
        <f>SUMIFS(Movimentacoes!$G:$G,Movimentacoes!$C:$C,$A4881,Movimentacoes!$E:$E,$C4881,Movimentacoes!$B:$B,"SAIDA_USO")</f>
        <v/>
      </c>
      <c r="I4881" s="13">
        <f>SUMIFS(Movimentacoes!$G:$G,Movimentacoes!$C:$C,$A4881,Movimentacoes!$E:$E,$C4881,Movimentacoes!$B:$B,"SAIDA_DESCARTE")</f>
        <v/>
      </c>
      <c r="J4881" s="13">
        <f>G4881-H4881-I4881</f>
        <v/>
      </c>
      <c r="K4881">
        <f>IF(A4881="","",IF(J4881&lt;=IFERROR(VLOOKUP(A4881,Cadastro_Produtos!$A:$E,5,FALSE),0),"ABAIXO DO MINIMO","OK"))</f>
        <v/>
      </c>
    </row>
    <row r="4882">
      <c r="B4882">
        <f>IFERROR(VLOOKUP(A4882,Cadastro_Produtos!A:B,2,FALSE),"")</f>
        <v/>
      </c>
      <c r="D4882" s="12" t="n"/>
      <c r="E4882" s="13">
        <f>IF(D4882="","",D4882-TODAY())</f>
        <v/>
      </c>
      <c r="F4882">
        <f>IF(D4882="","",IF(E4882&lt;0,"VENCIDO",IF(E4882&lt;=30,"VENCE EM &lt;= 30 DIAS",IF(E4882&lt;=60,"ATENCAO (31-60 DIAS)","OK"))))</f>
        <v/>
      </c>
      <c r="G4882" s="13">
        <f>SUMIFS(Movimentacoes!$G:$G,Movimentacoes!$C:$C,$A4882,Movimentacoes!$E:$E,$C4882,Movimentacoes!$B:$B,"ENTRADA")</f>
        <v/>
      </c>
      <c r="H4882" s="13">
        <f>SUMIFS(Movimentacoes!$G:$G,Movimentacoes!$C:$C,$A4882,Movimentacoes!$E:$E,$C4882,Movimentacoes!$B:$B,"SAIDA_USO")</f>
        <v/>
      </c>
      <c r="I4882" s="13">
        <f>SUMIFS(Movimentacoes!$G:$G,Movimentacoes!$C:$C,$A4882,Movimentacoes!$E:$E,$C4882,Movimentacoes!$B:$B,"SAIDA_DESCARTE")</f>
        <v/>
      </c>
      <c r="J4882" s="13">
        <f>G4882-H4882-I4882</f>
        <v/>
      </c>
      <c r="K4882">
        <f>IF(A4882="","",IF(J4882&lt;=IFERROR(VLOOKUP(A4882,Cadastro_Produtos!$A:$E,5,FALSE),0),"ABAIXO DO MINIMO","OK"))</f>
        <v/>
      </c>
    </row>
    <row r="4883">
      <c r="B4883">
        <f>IFERROR(VLOOKUP(A4883,Cadastro_Produtos!A:B,2,FALSE),"")</f>
        <v/>
      </c>
      <c r="D4883" s="12" t="n"/>
      <c r="E4883" s="13">
        <f>IF(D4883="","",D4883-TODAY())</f>
        <v/>
      </c>
      <c r="F4883">
        <f>IF(D4883="","",IF(E4883&lt;0,"VENCIDO",IF(E4883&lt;=30,"VENCE EM &lt;= 30 DIAS",IF(E4883&lt;=60,"ATENCAO (31-60 DIAS)","OK"))))</f>
        <v/>
      </c>
      <c r="G4883" s="13">
        <f>SUMIFS(Movimentacoes!$G:$G,Movimentacoes!$C:$C,$A4883,Movimentacoes!$E:$E,$C4883,Movimentacoes!$B:$B,"ENTRADA")</f>
        <v/>
      </c>
      <c r="H4883" s="13">
        <f>SUMIFS(Movimentacoes!$G:$G,Movimentacoes!$C:$C,$A4883,Movimentacoes!$E:$E,$C4883,Movimentacoes!$B:$B,"SAIDA_USO")</f>
        <v/>
      </c>
      <c r="I4883" s="13">
        <f>SUMIFS(Movimentacoes!$G:$G,Movimentacoes!$C:$C,$A4883,Movimentacoes!$E:$E,$C4883,Movimentacoes!$B:$B,"SAIDA_DESCARTE")</f>
        <v/>
      </c>
      <c r="J4883" s="13">
        <f>G4883-H4883-I4883</f>
        <v/>
      </c>
      <c r="K4883">
        <f>IF(A4883="","",IF(J4883&lt;=IFERROR(VLOOKUP(A4883,Cadastro_Produtos!$A:$E,5,FALSE),0),"ABAIXO DO MINIMO","OK"))</f>
        <v/>
      </c>
    </row>
    <row r="4884">
      <c r="B4884">
        <f>IFERROR(VLOOKUP(A4884,Cadastro_Produtos!A:B,2,FALSE),"")</f>
        <v/>
      </c>
      <c r="D4884" s="12" t="n"/>
      <c r="E4884" s="13">
        <f>IF(D4884="","",D4884-TODAY())</f>
        <v/>
      </c>
      <c r="F4884">
        <f>IF(D4884="","",IF(E4884&lt;0,"VENCIDO",IF(E4884&lt;=30,"VENCE EM &lt;= 30 DIAS",IF(E4884&lt;=60,"ATENCAO (31-60 DIAS)","OK"))))</f>
        <v/>
      </c>
      <c r="G4884" s="13">
        <f>SUMIFS(Movimentacoes!$G:$G,Movimentacoes!$C:$C,$A4884,Movimentacoes!$E:$E,$C4884,Movimentacoes!$B:$B,"ENTRADA")</f>
        <v/>
      </c>
      <c r="H4884" s="13">
        <f>SUMIFS(Movimentacoes!$G:$G,Movimentacoes!$C:$C,$A4884,Movimentacoes!$E:$E,$C4884,Movimentacoes!$B:$B,"SAIDA_USO")</f>
        <v/>
      </c>
      <c r="I4884" s="13">
        <f>SUMIFS(Movimentacoes!$G:$G,Movimentacoes!$C:$C,$A4884,Movimentacoes!$E:$E,$C4884,Movimentacoes!$B:$B,"SAIDA_DESCARTE")</f>
        <v/>
      </c>
      <c r="J4884" s="13">
        <f>G4884-H4884-I4884</f>
        <v/>
      </c>
      <c r="K4884">
        <f>IF(A4884="","",IF(J4884&lt;=IFERROR(VLOOKUP(A4884,Cadastro_Produtos!$A:$E,5,FALSE),0),"ABAIXO DO MINIMO","OK"))</f>
        <v/>
      </c>
    </row>
    <row r="4885">
      <c r="B4885">
        <f>IFERROR(VLOOKUP(A4885,Cadastro_Produtos!A:B,2,FALSE),"")</f>
        <v/>
      </c>
      <c r="D4885" s="12" t="n"/>
      <c r="E4885" s="13">
        <f>IF(D4885="","",D4885-TODAY())</f>
        <v/>
      </c>
      <c r="F4885">
        <f>IF(D4885="","",IF(E4885&lt;0,"VENCIDO",IF(E4885&lt;=30,"VENCE EM &lt;= 30 DIAS",IF(E4885&lt;=60,"ATENCAO (31-60 DIAS)","OK"))))</f>
        <v/>
      </c>
      <c r="G4885" s="13">
        <f>SUMIFS(Movimentacoes!$G:$G,Movimentacoes!$C:$C,$A4885,Movimentacoes!$E:$E,$C4885,Movimentacoes!$B:$B,"ENTRADA")</f>
        <v/>
      </c>
      <c r="H4885" s="13">
        <f>SUMIFS(Movimentacoes!$G:$G,Movimentacoes!$C:$C,$A4885,Movimentacoes!$E:$E,$C4885,Movimentacoes!$B:$B,"SAIDA_USO")</f>
        <v/>
      </c>
      <c r="I4885" s="13">
        <f>SUMIFS(Movimentacoes!$G:$G,Movimentacoes!$C:$C,$A4885,Movimentacoes!$E:$E,$C4885,Movimentacoes!$B:$B,"SAIDA_DESCARTE")</f>
        <v/>
      </c>
      <c r="J4885" s="13">
        <f>G4885-H4885-I4885</f>
        <v/>
      </c>
      <c r="K4885">
        <f>IF(A4885="","",IF(J4885&lt;=IFERROR(VLOOKUP(A4885,Cadastro_Produtos!$A:$E,5,FALSE),0),"ABAIXO DO MINIMO","OK"))</f>
        <v/>
      </c>
    </row>
    <row r="4886">
      <c r="B4886">
        <f>IFERROR(VLOOKUP(A4886,Cadastro_Produtos!A:B,2,FALSE),"")</f>
        <v/>
      </c>
      <c r="D4886" s="12" t="n"/>
      <c r="E4886" s="13">
        <f>IF(D4886="","",D4886-TODAY())</f>
        <v/>
      </c>
      <c r="F4886">
        <f>IF(D4886="","",IF(E4886&lt;0,"VENCIDO",IF(E4886&lt;=30,"VENCE EM &lt;= 30 DIAS",IF(E4886&lt;=60,"ATENCAO (31-60 DIAS)","OK"))))</f>
        <v/>
      </c>
      <c r="G4886" s="13">
        <f>SUMIFS(Movimentacoes!$G:$G,Movimentacoes!$C:$C,$A4886,Movimentacoes!$E:$E,$C4886,Movimentacoes!$B:$B,"ENTRADA")</f>
        <v/>
      </c>
      <c r="H4886" s="13">
        <f>SUMIFS(Movimentacoes!$G:$G,Movimentacoes!$C:$C,$A4886,Movimentacoes!$E:$E,$C4886,Movimentacoes!$B:$B,"SAIDA_USO")</f>
        <v/>
      </c>
      <c r="I4886" s="13">
        <f>SUMIFS(Movimentacoes!$G:$G,Movimentacoes!$C:$C,$A4886,Movimentacoes!$E:$E,$C4886,Movimentacoes!$B:$B,"SAIDA_DESCARTE")</f>
        <v/>
      </c>
      <c r="J4886" s="13">
        <f>G4886-H4886-I4886</f>
        <v/>
      </c>
      <c r="K4886">
        <f>IF(A4886="","",IF(J4886&lt;=IFERROR(VLOOKUP(A4886,Cadastro_Produtos!$A:$E,5,FALSE),0),"ABAIXO DO MINIMO","OK"))</f>
        <v/>
      </c>
    </row>
    <row r="4887">
      <c r="B4887">
        <f>IFERROR(VLOOKUP(A4887,Cadastro_Produtos!A:B,2,FALSE),"")</f>
        <v/>
      </c>
      <c r="D4887" s="12" t="n"/>
      <c r="E4887" s="13">
        <f>IF(D4887="","",D4887-TODAY())</f>
        <v/>
      </c>
      <c r="F4887">
        <f>IF(D4887="","",IF(E4887&lt;0,"VENCIDO",IF(E4887&lt;=30,"VENCE EM &lt;= 30 DIAS",IF(E4887&lt;=60,"ATENCAO (31-60 DIAS)","OK"))))</f>
        <v/>
      </c>
      <c r="G4887" s="13">
        <f>SUMIFS(Movimentacoes!$G:$G,Movimentacoes!$C:$C,$A4887,Movimentacoes!$E:$E,$C4887,Movimentacoes!$B:$B,"ENTRADA")</f>
        <v/>
      </c>
      <c r="H4887" s="13">
        <f>SUMIFS(Movimentacoes!$G:$G,Movimentacoes!$C:$C,$A4887,Movimentacoes!$E:$E,$C4887,Movimentacoes!$B:$B,"SAIDA_USO")</f>
        <v/>
      </c>
      <c r="I4887" s="13">
        <f>SUMIFS(Movimentacoes!$G:$G,Movimentacoes!$C:$C,$A4887,Movimentacoes!$E:$E,$C4887,Movimentacoes!$B:$B,"SAIDA_DESCARTE")</f>
        <v/>
      </c>
      <c r="J4887" s="13">
        <f>G4887-H4887-I4887</f>
        <v/>
      </c>
      <c r="K4887">
        <f>IF(A4887="","",IF(J4887&lt;=IFERROR(VLOOKUP(A4887,Cadastro_Produtos!$A:$E,5,FALSE),0),"ABAIXO DO MINIMO","OK"))</f>
        <v/>
      </c>
    </row>
    <row r="4888">
      <c r="B4888">
        <f>IFERROR(VLOOKUP(A4888,Cadastro_Produtos!A:B,2,FALSE),"")</f>
        <v/>
      </c>
      <c r="D4888" s="12" t="n"/>
      <c r="E4888" s="13">
        <f>IF(D4888="","",D4888-TODAY())</f>
        <v/>
      </c>
      <c r="F4888">
        <f>IF(D4888="","",IF(E4888&lt;0,"VENCIDO",IF(E4888&lt;=30,"VENCE EM &lt;= 30 DIAS",IF(E4888&lt;=60,"ATENCAO (31-60 DIAS)","OK"))))</f>
        <v/>
      </c>
      <c r="G4888" s="13">
        <f>SUMIFS(Movimentacoes!$G:$G,Movimentacoes!$C:$C,$A4888,Movimentacoes!$E:$E,$C4888,Movimentacoes!$B:$B,"ENTRADA")</f>
        <v/>
      </c>
      <c r="H4888" s="13">
        <f>SUMIFS(Movimentacoes!$G:$G,Movimentacoes!$C:$C,$A4888,Movimentacoes!$E:$E,$C4888,Movimentacoes!$B:$B,"SAIDA_USO")</f>
        <v/>
      </c>
      <c r="I4888" s="13">
        <f>SUMIFS(Movimentacoes!$G:$G,Movimentacoes!$C:$C,$A4888,Movimentacoes!$E:$E,$C4888,Movimentacoes!$B:$B,"SAIDA_DESCARTE")</f>
        <v/>
      </c>
      <c r="J4888" s="13">
        <f>G4888-H4888-I4888</f>
        <v/>
      </c>
      <c r="K4888">
        <f>IF(A4888="","",IF(J4888&lt;=IFERROR(VLOOKUP(A4888,Cadastro_Produtos!$A:$E,5,FALSE),0),"ABAIXO DO MINIMO","OK"))</f>
        <v/>
      </c>
    </row>
    <row r="4889">
      <c r="B4889">
        <f>IFERROR(VLOOKUP(A4889,Cadastro_Produtos!A:B,2,FALSE),"")</f>
        <v/>
      </c>
      <c r="D4889" s="12" t="n"/>
      <c r="E4889" s="13">
        <f>IF(D4889="","",D4889-TODAY())</f>
        <v/>
      </c>
      <c r="F4889">
        <f>IF(D4889="","",IF(E4889&lt;0,"VENCIDO",IF(E4889&lt;=30,"VENCE EM &lt;= 30 DIAS",IF(E4889&lt;=60,"ATENCAO (31-60 DIAS)","OK"))))</f>
        <v/>
      </c>
      <c r="G4889" s="13">
        <f>SUMIFS(Movimentacoes!$G:$G,Movimentacoes!$C:$C,$A4889,Movimentacoes!$E:$E,$C4889,Movimentacoes!$B:$B,"ENTRADA")</f>
        <v/>
      </c>
      <c r="H4889" s="13">
        <f>SUMIFS(Movimentacoes!$G:$G,Movimentacoes!$C:$C,$A4889,Movimentacoes!$E:$E,$C4889,Movimentacoes!$B:$B,"SAIDA_USO")</f>
        <v/>
      </c>
      <c r="I4889" s="13">
        <f>SUMIFS(Movimentacoes!$G:$G,Movimentacoes!$C:$C,$A4889,Movimentacoes!$E:$E,$C4889,Movimentacoes!$B:$B,"SAIDA_DESCARTE")</f>
        <v/>
      </c>
      <c r="J4889" s="13">
        <f>G4889-H4889-I4889</f>
        <v/>
      </c>
      <c r="K4889">
        <f>IF(A4889="","",IF(J4889&lt;=IFERROR(VLOOKUP(A4889,Cadastro_Produtos!$A:$E,5,FALSE),0),"ABAIXO DO MINIMO","OK"))</f>
        <v/>
      </c>
    </row>
    <row r="4890">
      <c r="B4890">
        <f>IFERROR(VLOOKUP(A4890,Cadastro_Produtos!A:B,2,FALSE),"")</f>
        <v/>
      </c>
      <c r="D4890" s="12" t="n"/>
      <c r="E4890" s="13">
        <f>IF(D4890="","",D4890-TODAY())</f>
        <v/>
      </c>
      <c r="F4890">
        <f>IF(D4890="","",IF(E4890&lt;0,"VENCIDO",IF(E4890&lt;=30,"VENCE EM &lt;= 30 DIAS",IF(E4890&lt;=60,"ATENCAO (31-60 DIAS)","OK"))))</f>
        <v/>
      </c>
      <c r="G4890" s="13">
        <f>SUMIFS(Movimentacoes!$G:$G,Movimentacoes!$C:$C,$A4890,Movimentacoes!$E:$E,$C4890,Movimentacoes!$B:$B,"ENTRADA")</f>
        <v/>
      </c>
      <c r="H4890" s="13">
        <f>SUMIFS(Movimentacoes!$G:$G,Movimentacoes!$C:$C,$A4890,Movimentacoes!$E:$E,$C4890,Movimentacoes!$B:$B,"SAIDA_USO")</f>
        <v/>
      </c>
      <c r="I4890" s="13">
        <f>SUMIFS(Movimentacoes!$G:$G,Movimentacoes!$C:$C,$A4890,Movimentacoes!$E:$E,$C4890,Movimentacoes!$B:$B,"SAIDA_DESCARTE")</f>
        <v/>
      </c>
      <c r="J4890" s="13">
        <f>G4890-H4890-I4890</f>
        <v/>
      </c>
      <c r="K4890">
        <f>IF(A4890="","",IF(J4890&lt;=IFERROR(VLOOKUP(A4890,Cadastro_Produtos!$A:$E,5,FALSE),0),"ABAIXO DO MINIMO","OK"))</f>
        <v/>
      </c>
    </row>
    <row r="4891">
      <c r="B4891">
        <f>IFERROR(VLOOKUP(A4891,Cadastro_Produtos!A:B,2,FALSE),"")</f>
        <v/>
      </c>
      <c r="D4891" s="12" t="n"/>
      <c r="E4891" s="13">
        <f>IF(D4891="","",D4891-TODAY())</f>
        <v/>
      </c>
      <c r="F4891">
        <f>IF(D4891="","",IF(E4891&lt;0,"VENCIDO",IF(E4891&lt;=30,"VENCE EM &lt;= 30 DIAS",IF(E4891&lt;=60,"ATENCAO (31-60 DIAS)","OK"))))</f>
        <v/>
      </c>
      <c r="G4891" s="13">
        <f>SUMIFS(Movimentacoes!$G:$G,Movimentacoes!$C:$C,$A4891,Movimentacoes!$E:$E,$C4891,Movimentacoes!$B:$B,"ENTRADA")</f>
        <v/>
      </c>
      <c r="H4891" s="13">
        <f>SUMIFS(Movimentacoes!$G:$G,Movimentacoes!$C:$C,$A4891,Movimentacoes!$E:$E,$C4891,Movimentacoes!$B:$B,"SAIDA_USO")</f>
        <v/>
      </c>
      <c r="I4891" s="13">
        <f>SUMIFS(Movimentacoes!$G:$G,Movimentacoes!$C:$C,$A4891,Movimentacoes!$E:$E,$C4891,Movimentacoes!$B:$B,"SAIDA_DESCARTE")</f>
        <v/>
      </c>
      <c r="J4891" s="13">
        <f>G4891-H4891-I4891</f>
        <v/>
      </c>
      <c r="K4891">
        <f>IF(A4891="","",IF(J4891&lt;=IFERROR(VLOOKUP(A4891,Cadastro_Produtos!$A:$E,5,FALSE),0),"ABAIXO DO MINIMO","OK"))</f>
        <v/>
      </c>
    </row>
    <row r="4892">
      <c r="B4892">
        <f>IFERROR(VLOOKUP(A4892,Cadastro_Produtos!A:B,2,FALSE),"")</f>
        <v/>
      </c>
      <c r="D4892" s="12" t="n"/>
      <c r="E4892" s="13">
        <f>IF(D4892="","",D4892-TODAY())</f>
        <v/>
      </c>
      <c r="F4892">
        <f>IF(D4892="","",IF(E4892&lt;0,"VENCIDO",IF(E4892&lt;=30,"VENCE EM &lt;= 30 DIAS",IF(E4892&lt;=60,"ATENCAO (31-60 DIAS)","OK"))))</f>
        <v/>
      </c>
      <c r="G4892" s="13">
        <f>SUMIFS(Movimentacoes!$G:$G,Movimentacoes!$C:$C,$A4892,Movimentacoes!$E:$E,$C4892,Movimentacoes!$B:$B,"ENTRADA")</f>
        <v/>
      </c>
      <c r="H4892" s="13">
        <f>SUMIFS(Movimentacoes!$G:$G,Movimentacoes!$C:$C,$A4892,Movimentacoes!$E:$E,$C4892,Movimentacoes!$B:$B,"SAIDA_USO")</f>
        <v/>
      </c>
      <c r="I4892" s="13">
        <f>SUMIFS(Movimentacoes!$G:$G,Movimentacoes!$C:$C,$A4892,Movimentacoes!$E:$E,$C4892,Movimentacoes!$B:$B,"SAIDA_DESCARTE")</f>
        <v/>
      </c>
      <c r="J4892" s="13">
        <f>G4892-H4892-I4892</f>
        <v/>
      </c>
      <c r="K4892">
        <f>IF(A4892="","",IF(J4892&lt;=IFERROR(VLOOKUP(A4892,Cadastro_Produtos!$A:$E,5,FALSE),0),"ABAIXO DO MINIMO","OK"))</f>
        <v/>
      </c>
    </row>
    <row r="4893">
      <c r="B4893">
        <f>IFERROR(VLOOKUP(A4893,Cadastro_Produtos!A:B,2,FALSE),"")</f>
        <v/>
      </c>
      <c r="D4893" s="12" t="n"/>
      <c r="E4893" s="13">
        <f>IF(D4893="","",D4893-TODAY())</f>
        <v/>
      </c>
      <c r="F4893">
        <f>IF(D4893="","",IF(E4893&lt;0,"VENCIDO",IF(E4893&lt;=30,"VENCE EM &lt;= 30 DIAS",IF(E4893&lt;=60,"ATENCAO (31-60 DIAS)","OK"))))</f>
        <v/>
      </c>
      <c r="G4893" s="13">
        <f>SUMIFS(Movimentacoes!$G:$G,Movimentacoes!$C:$C,$A4893,Movimentacoes!$E:$E,$C4893,Movimentacoes!$B:$B,"ENTRADA")</f>
        <v/>
      </c>
      <c r="H4893" s="13">
        <f>SUMIFS(Movimentacoes!$G:$G,Movimentacoes!$C:$C,$A4893,Movimentacoes!$E:$E,$C4893,Movimentacoes!$B:$B,"SAIDA_USO")</f>
        <v/>
      </c>
      <c r="I4893" s="13">
        <f>SUMIFS(Movimentacoes!$G:$G,Movimentacoes!$C:$C,$A4893,Movimentacoes!$E:$E,$C4893,Movimentacoes!$B:$B,"SAIDA_DESCARTE")</f>
        <v/>
      </c>
      <c r="J4893" s="13">
        <f>G4893-H4893-I4893</f>
        <v/>
      </c>
      <c r="K4893">
        <f>IF(A4893="","",IF(J4893&lt;=IFERROR(VLOOKUP(A4893,Cadastro_Produtos!$A:$E,5,FALSE),0),"ABAIXO DO MINIMO","OK"))</f>
        <v/>
      </c>
    </row>
    <row r="4894">
      <c r="B4894">
        <f>IFERROR(VLOOKUP(A4894,Cadastro_Produtos!A:B,2,FALSE),"")</f>
        <v/>
      </c>
      <c r="D4894" s="12" t="n"/>
      <c r="E4894" s="13">
        <f>IF(D4894="","",D4894-TODAY())</f>
        <v/>
      </c>
      <c r="F4894">
        <f>IF(D4894="","",IF(E4894&lt;0,"VENCIDO",IF(E4894&lt;=30,"VENCE EM &lt;= 30 DIAS",IF(E4894&lt;=60,"ATENCAO (31-60 DIAS)","OK"))))</f>
        <v/>
      </c>
      <c r="G4894" s="13">
        <f>SUMIFS(Movimentacoes!$G:$G,Movimentacoes!$C:$C,$A4894,Movimentacoes!$E:$E,$C4894,Movimentacoes!$B:$B,"ENTRADA")</f>
        <v/>
      </c>
      <c r="H4894" s="13">
        <f>SUMIFS(Movimentacoes!$G:$G,Movimentacoes!$C:$C,$A4894,Movimentacoes!$E:$E,$C4894,Movimentacoes!$B:$B,"SAIDA_USO")</f>
        <v/>
      </c>
      <c r="I4894" s="13">
        <f>SUMIFS(Movimentacoes!$G:$G,Movimentacoes!$C:$C,$A4894,Movimentacoes!$E:$E,$C4894,Movimentacoes!$B:$B,"SAIDA_DESCARTE")</f>
        <v/>
      </c>
      <c r="J4894" s="13">
        <f>G4894-H4894-I4894</f>
        <v/>
      </c>
      <c r="K4894">
        <f>IF(A4894="","",IF(J4894&lt;=IFERROR(VLOOKUP(A4894,Cadastro_Produtos!$A:$E,5,FALSE),0),"ABAIXO DO MINIMO","OK"))</f>
        <v/>
      </c>
    </row>
    <row r="4895">
      <c r="B4895">
        <f>IFERROR(VLOOKUP(A4895,Cadastro_Produtos!A:B,2,FALSE),"")</f>
        <v/>
      </c>
      <c r="D4895" s="12" t="n"/>
      <c r="E4895" s="13">
        <f>IF(D4895="","",D4895-TODAY())</f>
        <v/>
      </c>
      <c r="F4895">
        <f>IF(D4895="","",IF(E4895&lt;0,"VENCIDO",IF(E4895&lt;=30,"VENCE EM &lt;= 30 DIAS",IF(E4895&lt;=60,"ATENCAO (31-60 DIAS)","OK"))))</f>
        <v/>
      </c>
      <c r="G4895" s="13">
        <f>SUMIFS(Movimentacoes!$G:$G,Movimentacoes!$C:$C,$A4895,Movimentacoes!$E:$E,$C4895,Movimentacoes!$B:$B,"ENTRADA")</f>
        <v/>
      </c>
      <c r="H4895" s="13">
        <f>SUMIFS(Movimentacoes!$G:$G,Movimentacoes!$C:$C,$A4895,Movimentacoes!$E:$E,$C4895,Movimentacoes!$B:$B,"SAIDA_USO")</f>
        <v/>
      </c>
      <c r="I4895" s="13">
        <f>SUMIFS(Movimentacoes!$G:$G,Movimentacoes!$C:$C,$A4895,Movimentacoes!$E:$E,$C4895,Movimentacoes!$B:$B,"SAIDA_DESCARTE")</f>
        <v/>
      </c>
      <c r="J4895" s="13">
        <f>G4895-H4895-I4895</f>
        <v/>
      </c>
      <c r="K4895">
        <f>IF(A4895="","",IF(J4895&lt;=IFERROR(VLOOKUP(A4895,Cadastro_Produtos!$A:$E,5,FALSE),0),"ABAIXO DO MINIMO","OK"))</f>
        <v/>
      </c>
    </row>
    <row r="4896">
      <c r="B4896">
        <f>IFERROR(VLOOKUP(A4896,Cadastro_Produtos!A:B,2,FALSE),"")</f>
        <v/>
      </c>
      <c r="D4896" s="12" t="n"/>
      <c r="E4896" s="13">
        <f>IF(D4896="","",D4896-TODAY())</f>
        <v/>
      </c>
      <c r="F4896">
        <f>IF(D4896="","",IF(E4896&lt;0,"VENCIDO",IF(E4896&lt;=30,"VENCE EM &lt;= 30 DIAS",IF(E4896&lt;=60,"ATENCAO (31-60 DIAS)","OK"))))</f>
        <v/>
      </c>
      <c r="G4896" s="13">
        <f>SUMIFS(Movimentacoes!$G:$G,Movimentacoes!$C:$C,$A4896,Movimentacoes!$E:$E,$C4896,Movimentacoes!$B:$B,"ENTRADA")</f>
        <v/>
      </c>
      <c r="H4896" s="13">
        <f>SUMIFS(Movimentacoes!$G:$G,Movimentacoes!$C:$C,$A4896,Movimentacoes!$E:$E,$C4896,Movimentacoes!$B:$B,"SAIDA_USO")</f>
        <v/>
      </c>
      <c r="I4896" s="13">
        <f>SUMIFS(Movimentacoes!$G:$G,Movimentacoes!$C:$C,$A4896,Movimentacoes!$E:$E,$C4896,Movimentacoes!$B:$B,"SAIDA_DESCARTE")</f>
        <v/>
      </c>
      <c r="J4896" s="13">
        <f>G4896-H4896-I4896</f>
        <v/>
      </c>
      <c r="K4896">
        <f>IF(A4896="","",IF(J4896&lt;=IFERROR(VLOOKUP(A4896,Cadastro_Produtos!$A:$E,5,FALSE),0),"ABAIXO DO MINIMO","OK"))</f>
        <v/>
      </c>
    </row>
    <row r="4897">
      <c r="B4897">
        <f>IFERROR(VLOOKUP(A4897,Cadastro_Produtos!A:B,2,FALSE),"")</f>
        <v/>
      </c>
      <c r="D4897" s="12" t="n"/>
      <c r="E4897" s="13">
        <f>IF(D4897="","",D4897-TODAY())</f>
        <v/>
      </c>
      <c r="F4897">
        <f>IF(D4897="","",IF(E4897&lt;0,"VENCIDO",IF(E4897&lt;=30,"VENCE EM &lt;= 30 DIAS",IF(E4897&lt;=60,"ATENCAO (31-60 DIAS)","OK"))))</f>
        <v/>
      </c>
      <c r="G4897" s="13">
        <f>SUMIFS(Movimentacoes!$G:$G,Movimentacoes!$C:$C,$A4897,Movimentacoes!$E:$E,$C4897,Movimentacoes!$B:$B,"ENTRADA")</f>
        <v/>
      </c>
      <c r="H4897" s="13">
        <f>SUMIFS(Movimentacoes!$G:$G,Movimentacoes!$C:$C,$A4897,Movimentacoes!$E:$E,$C4897,Movimentacoes!$B:$B,"SAIDA_USO")</f>
        <v/>
      </c>
      <c r="I4897" s="13">
        <f>SUMIFS(Movimentacoes!$G:$G,Movimentacoes!$C:$C,$A4897,Movimentacoes!$E:$E,$C4897,Movimentacoes!$B:$B,"SAIDA_DESCARTE")</f>
        <v/>
      </c>
      <c r="J4897" s="13">
        <f>G4897-H4897-I4897</f>
        <v/>
      </c>
      <c r="K4897">
        <f>IF(A4897="","",IF(J4897&lt;=IFERROR(VLOOKUP(A4897,Cadastro_Produtos!$A:$E,5,FALSE),0),"ABAIXO DO MINIMO","OK"))</f>
        <v/>
      </c>
    </row>
    <row r="4898">
      <c r="B4898">
        <f>IFERROR(VLOOKUP(A4898,Cadastro_Produtos!A:B,2,FALSE),"")</f>
        <v/>
      </c>
      <c r="D4898" s="12" t="n"/>
      <c r="E4898" s="13">
        <f>IF(D4898="","",D4898-TODAY())</f>
        <v/>
      </c>
      <c r="F4898">
        <f>IF(D4898="","",IF(E4898&lt;0,"VENCIDO",IF(E4898&lt;=30,"VENCE EM &lt;= 30 DIAS",IF(E4898&lt;=60,"ATENCAO (31-60 DIAS)","OK"))))</f>
        <v/>
      </c>
      <c r="G4898" s="13">
        <f>SUMIFS(Movimentacoes!$G:$G,Movimentacoes!$C:$C,$A4898,Movimentacoes!$E:$E,$C4898,Movimentacoes!$B:$B,"ENTRADA")</f>
        <v/>
      </c>
      <c r="H4898" s="13">
        <f>SUMIFS(Movimentacoes!$G:$G,Movimentacoes!$C:$C,$A4898,Movimentacoes!$E:$E,$C4898,Movimentacoes!$B:$B,"SAIDA_USO")</f>
        <v/>
      </c>
      <c r="I4898" s="13">
        <f>SUMIFS(Movimentacoes!$G:$G,Movimentacoes!$C:$C,$A4898,Movimentacoes!$E:$E,$C4898,Movimentacoes!$B:$B,"SAIDA_DESCARTE")</f>
        <v/>
      </c>
      <c r="J4898" s="13">
        <f>G4898-H4898-I4898</f>
        <v/>
      </c>
      <c r="K4898">
        <f>IF(A4898="","",IF(J4898&lt;=IFERROR(VLOOKUP(A4898,Cadastro_Produtos!$A:$E,5,FALSE),0),"ABAIXO DO MINIMO","OK"))</f>
        <v/>
      </c>
    </row>
    <row r="4899">
      <c r="B4899">
        <f>IFERROR(VLOOKUP(A4899,Cadastro_Produtos!A:B,2,FALSE),"")</f>
        <v/>
      </c>
      <c r="D4899" s="12" t="n"/>
      <c r="E4899" s="13">
        <f>IF(D4899="","",D4899-TODAY())</f>
        <v/>
      </c>
      <c r="F4899">
        <f>IF(D4899="","",IF(E4899&lt;0,"VENCIDO",IF(E4899&lt;=30,"VENCE EM &lt;= 30 DIAS",IF(E4899&lt;=60,"ATENCAO (31-60 DIAS)","OK"))))</f>
        <v/>
      </c>
      <c r="G4899" s="13">
        <f>SUMIFS(Movimentacoes!$G:$G,Movimentacoes!$C:$C,$A4899,Movimentacoes!$E:$E,$C4899,Movimentacoes!$B:$B,"ENTRADA")</f>
        <v/>
      </c>
      <c r="H4899" s="13">
        <f>SUMIFS(Movimentacoes!$G:$G,Movimentacoes!$C:$C,$A4899,Movimentacoes!$E:$E,$C4899,Movimentacoes!$B:$B,"SAIDA_USO")</f>
        <v/>
      </c>
      <c r="I4899" s="13">
        <f>SUMIFS(Movimentacoes!$G:$G,Movimentacoes!$C:$C,$A4899,Movimentacoes!$E:$E,$C4899,Movimentacoes!$B:$B,"SAIDA_DESCARTE")</f>
        <v/>
      </c>
      <c r="J4899" s="13">
        <f>G4899-H4899-I4899</f>
        <v/>
      </c>
      <c r="K4899">
        <f>IF(A4899="","",IF(J4899&lt;=IFERROR(VLOOKUP(A4899,Cadastro_Produtos!$A:$E,5,FALSE),0),"ABAIXO DO MINIMO","OK"))</f>
        <v/>
      </c>
    </row>
    <row r="4900">
      <c r="B4900">
        <f>IFERROR(VLOOKUP(A4900,Cadastro_Produtos!A:B,2,FALSE),"")</f>
        <v/>
      </c>
      <c r="D4900" s="12" t="n"/>
      <c r="E4900" s="13">
        <f>IF(D4900="","",D4900-TODAY())</f>
        <v/>
      </c>
      <c r="F4900">
        <f>IF(D4900="","",IF(E4900&lt;0,"VENCIDO",IF(E4900&lt;=30,"VENCE EM &lt;= 30 DIAS",IF(E4900&lt;=60,"ATENCAO (31-60 DIAS)","OK"))))</f>
        <v/>
      </c>
      <c r="G4900" s="13">
        <f>SUMIFS(Movimentacoes!$G:$G,Movimentacoes!$C:$C,$A4900,Movimentacoes!$E:$E,$C4900,Movimentacoes!$B:$B,"ENTRADA")</f>
        <v/>
      </c>
      <c r="H4900" s="13">
        <f>SUMIFS(Movimentacoes!$G:$G,Movimentacoes!$C:$C,$A4900,Movimentacoes!$E:$E,$C4900,Movimentacoes!$B:$B,"SAIDA_USO")</f>
        <v/>
      </c>
      <c r="I4900" s="13">
        <f>SUMIFS(Movimentacoes!$G:$G,Movimentacoes!$C:$C,$A4900,Movimentacoes!$E:$E,$C4900,Movimentacoes!$B:$B,"SAIDA_DESCARTE")</f>
        <v/>
      </c>
      <c r="J4900" s="13">
        <f>G4900-H4900-I4900</f>
        <v/>
      </c>
      <c r="K4900">
        <f>IF(A4900="","",IF(J4900&lt;=IFERROR(VLOOKUP(A4900,Cadastro_Produtos!$A:$E,5,FALSE),0),"ABAIXO DO MINIMO","OK"))</f>
        <v/>
      </c>
    </row>
    <row r="4901">
      <c r="B4901">
        <f>IFERROR(VLOOKUP(A4901,Cadastro_Produtos!A:B,2,FALSE),"")</f>
        <v/>
      </c>
      <c r="D4901" s="12" t="n"/>
      <c r="E4901" s="13">
        <f>IF(D4901="","",D4901-TODAY())</f>
        <v/>
      </c>
      <c r="F4901">
        <f>IF(D4901="","",IF(E4901&lt;0,"VENCIDO",IF(E4901&lt;=30,"VENCE EM &lt;= 30 DIAS",IF(E4901&lt;=60,"ATENCAO (31-60 DIAS)","OK"))))</f>
        <v/>
      </c>
      <c r="G4901" s="13">
        <f>SUMIFS(Movimentacoes!$G:$G,Movimentacoes!$C:$C,$A4901,Movimentacoes!$E:$E,$C4901,Movimentacoes!$B:$B,"ENTRADA")</f>
        <v/>
      </c>
      <c r="H4901" s="13">
        <f>SUMIFS(Movimentacoes!$G:$G,Movimentacoes!$C:$C,$A4901,Movimentacoes!$E:$E,$C4901,Movimentacoes!$B:$B,"SAIDA_USO")</f>
        <v/>
      </c>
      <c r="I4901" s="13">
        <f>SUMIFS(Movimentacoes!$G:$G,Movimentacoes!$C:$C,$A4901,Movimentacoes!$E:$E,$C4901,Movimentacoes!$B:$B,"SAIDA_DESCARTE")</f>
        <v/>
      </c>
      <c r="J4901" s="13">
        <f>G4901-H4901-I4901</f>
        <v/>
      </c>
      <c r="K4901">
        <f>IF(A4901="","",IF(J4901&lt;=IFERROR(VLOOKUP(A4901,Cadastro_Produtos!$A:$E,5,FALSE),0),"ABAIXO DO MINIMO","OK"))</f>
        <v/>
      </c>
    </row>
    <row r="4902">
      <c r="B4902">
        <f>IFERROR(VLOOKUP(A4902,Cadastro_Produtos!A:B,2,FALSE),"")</f>
        <v/>
      </c>
      <c r="D4902" s="12" t="n"/>
      <c r="E4902" s="13">
        <f>IF(D4902="","",D4902-TODAY())</f>
        <v/>
      </c>
      <c r="F4902">
        <f>IF(D4902="","",IF(E4902&lt;0,"VENCIDO",IF(E4902&lt;=30,"VENCE EM &lt;= 30 DIAS",IF(E4902&lt;=60,"ATENCAO (31-60 DIAS)","OK"))))</f>
        <v/>
      </c>
      <c r="G4902" s="13">
        <f>SUMIFS(Movimentacoes!$G:$G,Movimentacoes!$C:$C,$A4902,Movimentacoes!$E:$E,$C4902,Movimentacoes!$B:$B,"ENTRADA")</f>
        <v/>
      </c>
      <c r="H4902" s="13">
        <f>SUMIFS(Movimentacoes!$G:$G,Movimentacoes!$C:$C,$A4902,Movimentacoes!$E:$E,$C4902,Movimentacoes!$B:$B,"SAIDA_USO")</f>
        <v/>
      </c>
      <c r="I4902" s="13">
        <f>SUMIFS(Movimentacoes!$G:$G,Movimentacoes!$C:$C,$A4902,Movimentacoes!$E:$E,$C4902,Movimentacoes!$B:$B,"SAIDA_DESCARTE")</f>
        <v/>
      </c>
      <c r="J4902" s="13">
        <f>G4902-H4902-I4902</f>
        <v/>
      </c>
      <c r="K4902">
        <f>IF(A4902="","",IF(J4902&lt;=IFERROR(VLOOKUP(A4902,Cadastro_Produtos!$A:$E,5,FALSE),0),"ABAIXO DO MINIMO","OK"))</f>
        <v/>
      </c>
    </row>
    <row r="4903">
      <c r="B4903">
        <f>IFERROR(VLOOKUP(A4903,Cadastro_Produtos!A:B,2,FALSE),"")</f>
        <v/>
      </c>
      <c r="D4903" s="12" t="n"/>
      <c r="E4903" s="13">
        <f>IF(D4903="","",D4903-TODAY())</f>
        <v/>
      </c>
      <c r="F4903">
        <f>IF(D4903="","",IF(E4903&lt;0,"VENCIDO",IF(E4903&lt;=30,"VENCE EM &lt;= 30 DIAS",IF(E4903&lt;=60,"ATENCAO (31-60 DIAS)","OK"))))</f>
        <v/>
      </c>
      <c r="G4903" s="13">
        <f>SUMIFS(Movimentacoes!$G:$G,Movimentacoes!$C:$C,$A4903,Movimentacoes!$E:$E,$C4903,Movimentacoes!$B:$B,"ENTRADA")</f>
        <v/>
      </c>
      <c r="H4903" s="13">
        <f>SUMIFS(Movimentacoes!$G:$G,Movimentacoes!$C:$C,$A4903,Movimentacoes!$E:$E,$C4903,Movimentacoes!$B:$B,"SAIDA_USO")</f>
        <v/>
      </c>
      <c r="I4903" s="13">
        <f>SUMIFS(Movimentacoes!$G:$G,Movimentacoes!$C:$C,$A4903,Movimentacoes!$E:$E,$C4903,Movimentacoes!$B:$B,"SAIDA_DESCARTE")</f>
        <v/>
      </c>
      <c r="J4903" s="13">
        <f>G4903-H4903-I4903</f>
        <v/>
      </c>
      <c r="K4903">
        <f>IF(A4903="","",IF(J4903&lt;=IFERROR(VLOOKUP(A4903,Cadastro_Produtos!$A:$E,5,FALSE),0),"ABAIXO DO MINIMO","OK"))</f>
        <v/>
      </c>
    </row>
    <row r="4904">
      <c r="B4904">
        <f>IFERROR(VLOOKUP(A4904,Cadastro_Produtos!A:B,2,FALSE),"")</f>
        <v/>
      </c>
      <c r="D4904" s="12" t="n"/>
      <c r="E4904" s="13">
        <f>IF(D4904="","",D4904-TODAY())</f>
        <v/>
      </c>
      <c r="F4904">
        <f>IF(D4904="","",IF(E4904&lt;0,"VENCIDO",IF(E4904&lt;=30,"VENCE EM &lt;= 30 DIAS",IF(E4904&lt;=60,"ATENCAO (31-60 DIAS)","OK"))))</f>
        <v/>
      </c>
      <c r="G4904" s="13">
        <f>SUMIFS(Movimentacoes!$G:$G,Movimentacoes!$C:$C,$A4904,Movimentacoes!$E:$E,$C4904,Movimentacoes!$B:$B,"ENTRADA")</f>
        <v/>
      </c>
      <c r="H4904" s="13">
        <f>SUMIFS(Movimentacoes!$G:$G,Movimentacoes!$C:$C,$A4904,Movimentacoes!$E:$E,$C4904,Movimentacoes!$B:$B,"SAIDA_USO")</f>
        <v/>
      </c>
      <c r="I4904" s="13">
        <f>SUMIFS(Movimentacoes!$G:$G,Movimentacoes!$C:$C,$A4904,Movimentacoes!$E:$E,$C4904,Movimentacoes!$B:$B,"SAIDA_DESCARTE")</f>
        <v/>
      </c>
      <c r="J4904" s="13">
        <f>G4904-H4904-I4904</f>
        <v/>
      </c>
      <c r="K4904">
        <f>IF(A4904="","",IF(J4904&lt;=IFERROR(VLOOKUP(A4904,Cadastro_Produtos!$A:$E,5,FALSE),0),"ABAIXO DO MINIMO","OK"))</f>
        <v/>
      </c>
    </row>
    <row r="4905">
      <c r="B4905">
        <f>IFERROR(VLOOKUP(A4905,Cadastro_Produtos!A:B,2,FALSE),"")</f>
        <v/>
      </c>
      <c r="D4905" s="12" t="n"/>
      <c r="E4905" s="13">
        <f>IF(D4905="","",D4905-TODAY())</f>
        <v/>
      </c>
      <c r="F4905">
        <f>IF(D4905="","",IF(E4905&lt;0,"VENCIDO",IF(E4905&lt;=30,"VENCE EM &lt;= 30 DIAS",IF(E4905&lt;=60,"ATENCAO (31-60 DIAS)","OK"))))</f>
        <v/>
      </c>
      <c r="G4905" s="13">
        <f>SUMIFS(Movimentacoes!$G:$G,Movimentacoes!$C:$C,$A4905,Movimentacoes!$E:$E,$C4905,Movimentacoes!$B:$B,"ENTRADA")</f>
        <v/>
      </c>
      <c r="H4905" s="13">
        <f>SUMIFS(Movimentacoes!$G:$G,Movimentacoes!$C:$C,$A4905,Movimentacoes!$E:$E,$C4905,Movimentacoes!$B:$B,"SAIDA_USO")</f>
        <v/>
      </c>
      <c r="I4905" s="13">
        <f>SUMIFS(Movimentacoes!$G:$G,Movimentacoes!$C:$C,$A4905,Movimentacoes!$E:$E,$C4905,Movimentacoes!$B:$B,"SAIDA_DESCARTE")</f>
        <v/>
      </c>
      <c r="J4905" s="13">
        <f>G4905-H4905-I4905</f>
        <v/>
      </c>
      <c r="K4905">
        <f>IF(A4905="","",IF(J4905&lt;=IFERROR(VLOOKUP(A4905,Cadastro_Produtos!$A:$E,5,FALSE),0),"ABAIXO DO MINIMO","OK"))</f>
        <v/>
      </c>
    </row>
    <row r="4906">
      <c r="B4906">
        <f>IFERROR(VLOOKUP(A4906,Cadastro_Produtos!A:B,2,FALSE),"")</f>
        <v/>
      </c>
      <c r="D4906" s="12" t="n"/>
      <c r="E4906" s="13">
        <f>IF(D4906="","",D4906-TODAY())</f>
        <v/>
      </c>
      <c r="F4906">
        <f>IF(D4906="","",IF(E4906&lt;0,"VENCIDO",IF(E4906&lt;=30,"VENCE EM &lt;= 30 DIAS",IF(E4906&lt;=60,"ATENCAO (31-60 DIAS)","OK"))))</f>
        <v/>
      </c>
      <c r="G4906" s="13">
        <f>SUMIFS(Movimentacoes!$G:$G,Movimentacoes!$C:$C,$A4906,Movimentacoes!$E:$E,$C4906,Movimentacoes!$B:$B,"ENTRADA")</f>
        <v/>
      </c>
      <c r="H4906" s="13">
        <f>SUMIFS(Movimentacoes!$G:$G,Movimentacoes!$C:$C,$A4906,Movimentacoes!$E:$E,$C4906,Movimentacoes!$B:$B,"SAIDA_USO")</f>
        <v/>
      </c>
      <c r="I4906" s="13">
        <f>SUMIFS(Movimentacoes!$G:$G,Movimentacoes!$C:$C,$A4906,Movimentacoes!$E:$E,$C4906,Movimentacoes!$B:$B,"SAIDA_DESCARTE")</f>
        <v/>
      </c>
      <c r="J4906" s="13">
        <f>G4906-H4906-I4906</f>
        <v/>
      </c>
      <c r="K4906">
        <f>IF(A4906="","",IF(J4906&lt;=IFERROR(VLOOKUP(A4906,Cadastro_Produtos!$A:$E,5,FALSE),0),"ABAIXO DO MINIMO","OK"))</f>
        <v/>
      </c>
    </row>
    <row r="4907">
      <c r="B4907">
        <f>IFERROR(VLOOKUP(A4907,Cadastro_Produtos!A:B,2,FALSE),"")</f>
        <v/>
      </c>
      <c r="D4907" s="12" t="n"/>
      <c r="E4907" s="13">
        <f>IF(D4907="","",D4907-TODAY())</f>
        <v/>
      </c>
      <c r="F4907">
        <f>IF(D4907="","",IF(E4907&lt;0,"VENCIDO",IF(E4907&lt;=30,"VENCE EM &lt;= 30 DIAS",IF(E4907&lt;=60,"ATENCAO (31-60 DIAS)","OK"))))</f>
        <v/>
      </c>
      <c r="G4907" s="13">
        <f>SUMIFS(Movimentacoes!$G:$G,Movimentacoes!$C:$C,$A4907,Movimentacoes!$E:$E,$C4907,Movimentacoes!$B:$B,"ENTRADA")</f>
        <v/>
      </c>
      <c r="H4907" s="13">
        <f>SUMIFS(Movimentacoes!$G:$G,Movimentacoes!$C:$C,$A4907,Movimentacoes!$E:$E,$C4907,Movimentacoes!$B:$B,"SAIDA_USO")</f>
        <v/>
      </c>
      <c r="I4907" s="13">
        <f>SUMIFS(Movimentacoes!$G:$G,Movimentacoes!$C:$C,$A4907,Movimentacoes!$E:$E,$C4907,Movimentacoes!$B:$B,"SAIDA_DESCARTE")</f>
        <v/>
      </c>
      <c r="J4907" s="13">
        <f>G4907-H4907-I4907</f>
        <v/>
      </c>
      <c r="K4907">
        <f>IF(A4907="","",IF(J4907&lt;=IFERROR(VLOOKUP(A4907,Cadastro_Produtos!$A:$E,5,FALSE),0),"ABAIXO DO MINIMO","OK"))</f>
        <v/>
      </c>
    </row>
    <row r="4908">
      <c r="B4908">
        <f>IFERROR(VLOOKUP(A4908,Cadastro_Produtos!A:B,2,FALSE),"")</f>
        <v/>
      </c>
      <c r="D4908" s="12" t="n"/>
      <c r="E4908" s="13">
        <f>IF(D4908="","",D4908-TODAY())</f>
        <v/>
      </c>
      <c r="F4908">
        <f>IF(D4908="","",IF(E4908&lt;0,"VENCIDO",IF(E4908&lt;=30,"VENCE EM &lt;= 30 DIAS",IF(E4908&lt;=60,"ATENCAO (31-60 DIAS)","OK"))))</f>
        <v/>
      </c>
      <c r="G4908" s="13">
        <f>SUMIFS(Movimentacoes!$G:$G,Movimentacoes!$C:$C,$A4908,Movimentacoes!$E:$E,$C4908,Movimentacoes!$B:$B,"ENTRADA")</f>
        <v/>
      </c>
      <c r="H4908" s="13">
        <f>SUMIFS(Movimentacoes!$G:$G,Movimentacoes!$C:$C,$A4908,Movimentacoes!$E:$E,$C4908,Movimentacoes!$B:$B,"SAIDA_USO")</f>
        <v/>
      </c>
      <c r="I4908" s="13">
        <f>SUMIFS(Movimentacoes!$G:$G,Movimentacoes!$C:$C,$A4908,Movimentacoes!$E:$E,$C4908,Movimentacoes!$B:$B,"SAIDA_DESCARTE")</f>
        <v/>
      </c>
      <c r="J4908" s="13">
        <f>G4908-H4908-I4908</f>
        <v/>
      </c>
      <c r="K4908">
        <f>IF(A4908="","",IF(J4908&lt;=IFERROR(VLOOKUP(A4908,Cadastro_Produtos!$A:$E,5,FALSE),0),"ABAIXO DO MINIMO","OK"))</f>
        <v/>
      </c>
    </row>
    <row r="4909">
      <c r="B4909">
        <f>IFERROR(VLOOKUP(A4909,Cadastro_Produtos!A:B,2,FALSE),"")</f>
        <v/>
      </c>
      <c r="D4909" s="12" t="n"/>
      <c r="E4909" s="13">
        <f>IF(D4909="","",D4909-TODAY())</f>
        <v/>
      </c>
      <c r="F4909">
        <f>IF(D4909="","",IF(E4909&lt;0,"VENCIDO",IF(E4909&lt;=30,"VENCE EM &lt;= 30 DIAS",IF(E4909&lt;=60,"ATENCAO (31-60 DIAS)","OK"))))</f>
        <v/>
      </c>
      <c r="G4909" s="13">
        <f>SUMIFS(Movimentacoes!$G:$G,Movimentacoes!$C:$C,$A4909,Movimentacoes!$E:$E,$C4909,Movimentacoes!$B:$B,"ENTRADA")</f>
        <v/>
      </c>
      <c r="H4909" s="13">
        <f>SUMIFS(Movimentacoes!$G:$G,Movimentacoes!$C:$C,$A4909,Movimentacoes!$E:$E,$C4909,Movimentacoes!$B:$B,"SAIDA_USO")</f>
        <v/>
      </c>
      <c r="I4909" s="13">
        <f>SUMIFS(Movimentacoes!$G:$G,Movimentacoes!$C:$C,$A4909,Movimentacoes!$E:$E,$C4909,Movimentacoes!$B:$B,"SAIDA_DESCARTE")</f>
        <v/>
      </c>
      <c r="J4909" s="13">
        <f>G4909-H4909-I4909</f>
        <v/>
      </c>
      <c r="K4909">
        <f>IF(A4909="","",IF(J4909&lt;=IFERROR(VLOOKUP(A4909,Cadastro_Produtos!$A:$E,5,FALSE),0),"ABAIXO DO MINIMO","OK"))</f>
        <v/>
      </c>
    </row>
    <row r="4910">
      <c r="B4910">
        <f>IFERROR(VLOOKUP(A4910,Cadastro_Produtos!A:B,2,FALSE),"")</f>
        <v/>
      </c>
      <c r="D4910" s="12" t="n"/>
      <c r="E4910" s="13">
        <f>IF(D4910="","",D4910-TODAY())</f>
        <v/>
      </c>
      <c r="F4910">
        <f>IF(D4910="","",IF(E4910&lt;0,"VENCIDO",IF(E4910&lt;=30,"VENCE EM &lt;= 30 DIAS",IF(E4910&lt;=60,"ATENCAO (31-60 DIAS)","OK"))))</f>
        <v/>
      </c>
      <c r="G4910" s="13">
        <f>SUMIFS(Movimentacoes!$G:$G,Movimentacoes!$C:$C,$A4910,Movimentacoes!$E:$E,$C4910,Movimentacoes!$B:$B,"ENTRADA")</f>
        <v/>
      </c>
      <c r="H4910" s="13">
        <f>SUMIFS(Movimentacoes!$G:$G,Movimentacoes!$C:$C,$A4910,Movimentacoes!$E:$E,$C4910,Movimentacoes!$B:$B,"SAIDA_USO")</f>
        <v/>
      </c>
      <c r="I4910" s="13">
        <f>SUMIFS(Movimentacoes!$G:$G,Movimentacoes!$C:$C,$A4910,Movimentacoes!$E:$E,$C4910,Movimentacoes!$B:$B,"SAIDA_DESCARTE")</f>
        <v/>
      </c>
      <c r="J4910" s="13">
        <f>G4910-H4910-I4910</f>
        <v/>
      </c>
      <c r="K4910">
        <f>IF(A4910="","",IF(J4910&lt;=IFERROR(VLOOKUP(A4910,Cadastro_Produtos!$A:$E,5,FALSE),0),"ABAIXO DO MINIMO","OK"))</f>
        <v/>
      </c>
    </row>
    <row r="4911">
      <c r="B4911">
        <f>IFERROR(VLOOKUP(A4911,Cadastro_Produtos!A:B,2,FALSE),"")</f>
        <v/>
      </c>
      <c r="D4911" s="12" t="n"/>
      <c r="E4911" s="13">
        <f>IF(D4911="","",D4911-TODAY())</f>
        <v/>
      </c>
      <c r="F4911">
        <f>IF(D4911="","",IF(E4911&lt;0,"VENCIDO",IF(E4911&lt;=30,"VENCE EM &lt;= 30 DIAS",IF(E4911&lt;=60,"ATENCAO (31-60 DIAS)","OK"))))</f>
        <v/>
      </c>
      <c r="G4911" s="13">
        <f>SUMIFS(Movimentacoes!$G:$G,Movimentacoes!$C:$C,$A4911,Movimentacoes!$E:$E,$C4911,Movimentacoes!$B:$B,"ENTRADA")</f>
        <v/>
      </c>
      <c r="H4911" s="13">
        <f>SUMIFS(Movimentacoes!$G:$G,Movimentacoes!$C:$C,$A4911,Movimentacoes!$E:$E,$C4911,Movimentacoes!$B:$B,"SAIDA_USO")</f>
        <v/>
      </c>
      <c r="I4911" s="13">
        <f>SUMIFS(Movimentacoes!$G:$G,Movimentacoes!$C:$C,$A4911,Movimentacoes!$E:$E,$C4911,Movimentacoes!$B:$B,"SAIDA_DESCARTE")</f>
        <v/>
      </c>
      <c r="J4911" s="13">
        <f>G4911-H4911-I4911</f>
        <v/>
      </c>
      <c r="K4911">
        <f>IF(A4911="","",IF(J4911&lt;=IFERROR(VLOOKUP(A4911,Cadastro_Produtos!$A:$E,5,FALSE),0),"ABAIXO DO MINIMO","OK"))</f>
        <v/>
      </c>
    </row>
    <row r="4912">
      <c r="B4912">
        <f>IFERROR(VLOOKUP(A4912,Cadastro_Produtos!A:B,2,FALSE),"")</f>
        <v/>
      </c>
      <c r="D4912" s="12" t="n"/>
      <c r="E4912" s="13">
        <f>IF(D4912="","",D4912-TODAY())</f>
        <v/>
      </c>
      <c r="F4912">
        <f>IF(D4912="","",IF(E4912&lt;0,"VENCIDO",IF(E4912&lt;=30,"VENCE EM &lt;= 30 DIAS",IF(E4912&lt;=60,"ATENCAO (31-60 DIAS)","OK"))))</f>
        <v/>
      </c>
      <c r="G4912" s="13">
        <f>SUMIFS(Movimentacoes!$G:$G,Movimentacoes!$C:$C,$A4912,Movimentacoes!$E:$E,$C4912,Movimentacoes!$B:$B,"ENTRADA")</f>
        <v/>
      </c>
      <c r="H4912" s="13">
        <f>SUMIFS(Movimentacoes!$G:$G,Movimentacoes!$C:$C,$A4912,Movimentacoes!$E:$E,$C4912,Movimentacoes!$B:$B,"SAIDA_USO")</f>
        <v/>
      </c>
      <c r="I4912" s="13">
        <f>SUMIFS(Movimentacoes!$G:$G,Movimentacoes!$C:$C,$A4912,Movimentacoes!$E:$E,$C4912,Movimentacoes!$B:$B,"SAIDA_DESCARTE")</f>
        <v/>
      </c>
      <c r="J4912" s="13">
        <f>G4912-H4912-I4912</f>
        <v/>
      </c>
      <c r="K4912">
        <f>IF(A4912="","",IF(J4912&lt;=IFERROR(VLOOKUP(A4912,Cadastro_Produtos!$A:$E,5,FALSE),0),"ABAIXO DO MINIMO","OK"))</f>
        <v/>
      </c>
    </row>
    <row r="4913">
      <c r="B4913">
        <f>IFERROR(VLOOKUP(A4913,Cadastro_Produtos!A:B,2,FALSE),"")</f>
        <v/>
      </c>
      <c r="D4913" s="12" t="n"/>
      <c r="E4913" s="13">
        <f>IF(D4913="","",D4913-TODAY())</f>
        <v/>
      </c>
      <c r="F4913">
        <f>IF(D4913="","",IF(E4913&lt;0,"VENCIDO",IF(E4913&lt;=30,"VENCE EM &lt;= 30 DIAS",IF(E4913&lt;=60,"ATENCAO (31-60 DIAS)","OK"))))</f>
        <v/>
      </c>
      <c r="G4913" s="13">
        <f>SUMIFS(Movimentacoes!$G:$G,Movimentacoes!$C:$C,$A4913,Movimentacoes!$E:$E,$C4913,Movimentacoes!$B:$B,"ENTRADA")</f>
        <v/>
      </c>
      <c r="H4913" s="13">
        <f>SUMIFS(Movimentacoes!$G:$G,Movimentacoes!$C:$C,$A4913,Movimentacoes!$E:$E,$C4913,Movimentacoes!$B:$B,"SAIDA_USO")</f>
        <v/>
      </c>
      <c r="I4913" s="13">
        <f>SUMIFS(Movimentacoes!$G:$G,Movimentacoes!$C:$C,$A4913,Movimentacoes!$E:$E,$C4913,Movimentacoes!$B:$B,"SAIDA_DESCARTE")</f>
        <v/>
      </c>
      <c r="J4913" s="13">
        <f>G4913-H4913-I4913</f>
        <v/>
      </c>
      <c r="K4913">
        <f>IF(A4913="","",IF(J4913&lt;=IFERROR(VLOOKUP(A4913,Cadastro_Produtos!$A:$E,5,FALSE),0),"ABAIXO DO MINIMO","OK"))</f>
        <v/>
      </c>
    </row>
    <row r="4914">
      <c r="B4914">
        <f>IFERROR(VLOOKUP(A4914,Cadastro_Produtos!A:B,2,FALSE),"")</f>
        <v/>
      </c>
      <c r="D4914" s="12" t="n"/>
      <c r="E4914" s="13">
        <f>IF(D4914="","",D4914-TODAY())</f>
        <v/>
      </c>
      <c r="F4914">
        <f>IF(D4914="","",IF(E4914&lt;0,"VENCIDO",IF(E4914&lt;=30,"VENCE EM &lt;= 30 DIAS",IF(E4914&lt;=60,"ATENCAO (31-60 DIAS)","OK"))))</f>
        <v/>
      </c>
      <c r="G4914" s="13">
        <f>SUMIFS(Movimentacoes!$G:$G,Movimentacoes!$C:$C,$A4914,Movimentacoes!$E:$E,$C4914,Movimentacoes!$B:$B,"ENTRADA")</f>
        <v/>
      </c>
      <c r="H4914" s="13">
        <f>SUMIFS(Movimentacoes!$G:$G,Movimentacoes!$C:$C,$A4914,Movimentacoes!$E:$E,$C4914,Movimentacoes!$B:$B,"SAIDA_USO")</f>
        <v/>
      </c>
      <c r="I4914" s="13">
        <f>SUMIFS(Movimentacoes!$G:$G,Movimentacoes!$C:$C,$A4914,Movimentacoes!$E:$E,$C4914,Movimentacoes!$B:$B,"SAIDA_DESCARTE")</f>
        <v/>
      </c>
      <c r="J4914" s="13">
        <f>G4914-H4914-I4914</f>
        <v/>
      </c>
      <c r="K4914">
        <f>IF(A4914="","",IF(J4914&lt;=IFERROR(VLOOKUP(A4914,Cadastro_Produtos!$A:$E,5,FALSE),0),"ABAIXO DO MINIMO","OK"))</f>
        <v/>
      </c>
    </row>
    <row r="4915">
      <c r="B4915">
        <f>IFERROR(VLOOKUP(A4915,Cadastro_Produtos!A:B,2,FALSE),"")</f>
        <v/>
      </c>
      <c r="D4915" s="12" t="n"/>
      <c r="E4915" s="13">
        <f>IF(D4915="","",D4915-TODAY())</f>
        <v/>
      </c>
      <c r="F4915">
        <f>IF(D4915="","",IF(E4915&lt;0,"VENCIDO",IF(E4915&lt;=30,"VENCE EM &lt;= 30 DIAS",IF(E4915&lt;=60,"ATENCAO (31-60 DIAS)","OK"))))</f>
        <v/>
      </c>
      <c r="G4915" s="13">
        <f>SUMIFS(Movimentacoes!$G:$G,Movimentacoes!$C:$C,$A4915,Movimentacoes!$E:$E,$C4915,Movimentacoes!$B:$B,"ENTRADA")</f>
        <v/>
      </c>
      <c r="H4915" s="13">
        <f>SUMIFS(Movimentacoes!$G:$G,Movimentacoes!$C:$C,$A4915,Movimentacoes!$E:$E,$C4915,Movimentacoes!$B:$B,"SAIDA_USO")</f>
        <v/>
      </c>
      <c r="I4915" s="13">
        <f>SUMIFS(Movimentacoes!$G:$G,Movimentacoes!$C:$C,$A4915,Movimentacoes!$E:$E,$C4915,Movimentacoes!$B:$B,"SAIDA_DESCARTE")</f>
        <v/>
      </c>
      <c r="J4915" s="13">
        <f>G4915-H4915-I4915</f>
        <v/>
      </c>
      <c r="K4915">
        <f>IF(A4915="","",IF(J4915&lt;=IFERROR(VLOOKUP(A4915,Cadastro_Produtos!$A:$E,5,FALSE),0),"ABAIXO DO MINIMO","OK"))</f>
        <v/>
      </c>
    </row>
    <row r="4916">
      <c r="B4916">
        <f>IFERROR(VLOOKUP(A4916,Cadastro_Produtos!A:B,2,FALSE),"")</f>
        <v/>
      </c>
      <c r="D4916" s="12" t="n"/>
      <c r="E4916" s="13">
        <f>IF(D4916="","",D4916-TODAY())</f>
        <v/>
      </c>
      <c r="F4916">
        <f>IF(D4916="","",IF(E4916&lt;0,"VENCIDO",IF(E4916&lt;=30,"VENCE EM &lt;= 30 DIAS",IF(E4916&lt;=60,"ATENCAO (31-60 DIAS)","OK"))))</f>
        <v/>
      </c>
      <c r="G4916" s="13">
        <f>SUMIFS(Movimentacoes!$G:$G,Movimentacoes!$C:$C,$A4916,Movimentacoes!$E:$E,$C4916,Movimentacoes!$B:$B,"ENTRADA")</f>
        <v/>
      </c>
      <c r="H4916" s="13">
        <f>SUMIFS(Movimentacoes!$G:$G,Movimentacoes!$C:$C,$A4916,Movimentacoes!$E:$E,$C4916,Movimentacoes!$B:$B,"SAIDA_USO")</f>
        <v/>
      </c>
      <c r="I4916" s="13">
        <f>SUMIFS(Movimentacoes!$G:$G,Movimentacoes!$C:$C,$A4916,Movimentacoes!$E:$E,$C4916,Movimentacoes!$B:$B,"SAIDA_DESCARTE")</f>
        <v/>
      </c>
      <c r="J4916" s="13">
        <f>G4916-H4916-I4916</f>
        <v/>
      </c>
      <c r="K4916">
        <f>IF(A4916="","",IF(J4916&lt;=IFERROR(VLOOKUP(A4916,Cadastro_Produtos!$A:$E,5,FALSE),0),"ABAIXO DO MINIMO","OK"))</f>
        <v/>
      </c>
    </row>
    <row r="4917">
      <c r="B4917">
        <f>IFERROR(VLOOKUP(A4917,Cadastro_Produtos!A:B,2,FALSE),"")</f>
        <v/>
      </c>
      <c r="D4917" s="12" t="n"/>
      <c r="E4917" s="13">
        <f>IF(D4917="","",D4917-TODAY())</f>
        <v/>
      </c>
      <c r="F4917">
        <f>IF(D4917="","",IF(E4917&lt;0,"VENCIDO",IF(E4917&lt;=30,"VENCE EM &lt;= 30 DIAS",IF(E4917&lt;=60,"ATENCAO (31-60 DIAS)","OK"))))</f>
        <v/>
      </c>
      <c r="G4917" s="13">
        <f>SUMIFS(Movimentacoes!$G:$G,Movimentacoes!$C:$C,$A4917,Movimentacoes!$E:$E,$C4917,Movimentacoes!$B:$B,"ENTRADA")</f>
        <v/>
      </c>
      <c r="H4917" s="13">
        <f>SUMIFS(Movimentacoes!$G:$G,Movimentacoes!$C:$C,$A4917,Movimentacoes!$E:$E,$C4917,Movimentacoes!$B:$B,"SAIDA_USO")</f>
        <v/>
      </c>
      <c r="I4917" s="13">
        <f>SUMIFS(Movimentacoes!$G:$G,Movimentacoes!$C:$C,$A4917,Movimentacoes!$E:$E,$C4917,Movimentacoes!$B:$B,"SAIDA_DESCARTE")</f>
        <v/>
      </c>
      <c r="J4917" s="13">
        <f>G4917-H4917-I4917</f>
        <v/>
      </c>
      <c r="K4917">
        <f>IF(A4917="","",IF(J4917&lt;=IFERROR(VLOOKUP(A4917,Cadastro_Produtos!$A:$E,5,FALSE),0),"ABAIXO DO MINIMO","OK"))</f>
        <v/>
      </c>
    </row>
    <row r="4918">
      <c r="B4918">
        <f>IFERROR(VLOOKUP(A4918,Cadastro_Produtos!A:B,2,FALSE),"")</f>
        <v/>
      </c>
      <c r="D4918" s="12" t="n"/>
      <c r="E4918" s="13">
        <f>IF(D4918="","",D4918-TODAY())</f>
        <v/>
      </c>
      <c r="F4918">
        <f>IF(D4918="","",IF(E4918&lt;0,"VENCIDO",IF(E4918&lt;=30,"VENCE EM &lt;= 30 DIAS",IF(E4918&lt;=60,"ATENCAO (31-60 DIAS)","OK"))))</f>
        <v/>
      </c>
      <c r="G4918" s="13">
        <f>SUMIFS(Movimentacoes!$G:$G,Movimentacoes!$C:$C,$A4918,Movimentacoes!$E:$E,$C4918,Movimentacoes!$B:$B,"ENTRADA")</f>
        <v/>
      </c>
      <c r="H4918" s="13">
        <f>SUMIFS(Movimentacoes!$G:$G,Movimentacoes!$C:$C,$A4918,Movimentacoes!$E:$E,$C4918,Movimentacoes!$B:$B,"SAIDA_USO")</f>
        <v/>
      </c>
      <c r="I4918" s="13">
        <f>SUMIFS(Movimentacoes!$G:$G,Movimentacoes!$C:$C,$A4918,Movimentacoes!$E:$E,$C4918,Movimentacoes!$B:$B,"SAIDA_DESCARTE")</f>
        <v/>
      </c>
      <c r="J4918" s="13">
        <f>G4918-H4918-I4918</f>
        <v/>
      </c>
      <c r="K4918">
        <f>IF(A4918="","",IF(J4918&lt;=IFERROR(VLOOKUP(A4918,Cadastro_Produtos!$A:$E,5,FALSE),0),"ABAIXO DO MINIMO","OK"))</f>
        <v/>
      </c>
    </row>
    <row r="4919">
      <c r="B4919">
        <f>IFERROR(VLOOKUP(A4919,Cadastro_Produtos!A:B,2,FALSE),"")</f>
        <v/>
      </c>
      <c r="D4919" s="12" t="n"/>
      <c r="E4919" s="13">
        <f>IF(D4919="","",D4919-TODAY())</f>
        <v/>
      </c>
      <c r="F4919">
        <f>IF(D4919="","",IF(E4919&lt;0,"VENCIDO",IF(E4919&lt;=30,"VENCE EM &lt;= 30 DIAS",IF(E4919&lt;=60,"ATENCAO (31-60 DIAS)","OK"))))</f>
        <v/>
      </c>
      <c r="G4919" s="13">
        <f>SUMIFS(Movimentacoes!$G:$G,Movimentacoes!$C:$C,$A4919,Movimentacoes!$E:$E,$C4919,Movimentacoes!$B:$B,"ENTRADA")</f>
        <v/>
      </c>
      <c r="H4919" s="13">
        <f>SUMIFS(Movimentacoes!$G:$G,Movimentacoes!$C:$C,$A4919,Movimentacoes!$E:$E,$C4919,Movimentacoes!$B:$B,"SAIDA_USO")</f>
        <v/>
      </c>
      <c r="I4919" s="13">
        <f>SUMIFS(Movimentacoes!$G:$G,Movimentacoes!$C:$C,$A4919,Movimentacoes!$E:$E,$C4919,Movimentacoes!$B:$B,"SAIDA_DESCARTE")</f>
        <v/>
      </c>
      <c r="J4919" s="13">
        <f>G4919-H4919-I4919</f>
        <v/>
      </c>
      <c r="K4919">
        <f>IF(A4919="","",IF(J4919&lt;=IFERROR(VLOOKUP(A4919,Cadastro_Produtos!$A:$E,5,FALSE),0),"ABAIXO DO MINIMO","OK"))</f>
        <v/>
      </c>
    </row>
    <row r="4920">
      <c r="B4920">
        <f>IFERROR(VLOOKUP(A4920,Cadastro_Produtos!A:B,2,FALSE),"")</f>
        <v/>
      </c>
      <c r="D4920" s="12" t="n"/>
      <c r="E4920" s="13">
        <f>IF(D4920="","",D4920-TODAY())</f>
        <v/>
      </c>
      <c r="F4920">
        <f>IF(D4920="","",IF(E4920&lt;0,"VENCIDO",IF(E4920&lt;=30,"VENCE EM &lt;= 30 DIAS",IF(E4920&lt;=60,"ATENCAO (31-60 DIAS)","OK"))))</f>
        <v/>
      </c>
      <c r="G4920" s="13">
        <f>SUMIFS(Movimentacoes!$G:$G,Movimentacoes!$C:$C,$A4920,Movimentacoes!$E:$E,$C4920,Movimentacoes!$B:$B,"ENTRADA")</f>
        <v/>
      </c>
      <c r="H4920" s="13">
        <f>SUMIFS(Movimentacoes!$G:$G,Movimentacoes!$C:$C,$A4920,Movimentacoes!$E:$E,$C4920,Movimentacoes!$B:$B,"SAIDA_USO")</f>
        <v/>
      </c>
      <c r="I4920" s="13">
        <f>SUMIFS(Movimentacoes!$G:$G,Movimentacoes!$C:$C,$A4920,Movimentacoes!$E:$E,$C4920,Movimentacoes!$B:$B,"SAIDA_DESCARTE")</f>
        <v/>
      </c>
      <c r="J4920" s="13">
        <f>G4920-H4920-I4920</f>
        <v/>
      </c>
      <c r="K4920">
        <f>IF(A4920="","",IF(J4920&lt;=IFERROR(VLOOKUP(A4920,Cadastro_Produtos!$A:$E,5,FALSE),0),"ABAIXO DO MINIMO","OK"))</f>
        <v/>
      </c>
    </row>
    <row r="4921">
      <c r="B4921">
        <f>IFERROR(VLOOKUP(A4921,Cadastro_Produtos!A:B,2,FALSE),"")</f>
        <v/>
      </c>
      <c r="D4921" s="12" t="n"/>
      <c r="E4921" s="13">
        <f>IF(D4921="","",D4921-TODAY())</f>
        <v/>
      </c>
      <c r="F4921">
        <f>IF(D4921="","",IF(E4921&lt;0,"VENCIDO",IF(E4921&lt;=30,"VENCE EM &lt;= 30 DIAS",IF(E4921&lt;=60,"ATENCAO (31-60 DIAS)","OK"))))</f>
        <v/>
      </c>
      <c r="G4921" s="13">
        <f>SUMIFS(Movimentacoes!$G:$G,Movimentacoes!$C:$C,$A4921,Movimentacoes!$E:$E,$C4921,Movimentacoes!$B:$B,"ENTRADA")</f>
        <v/>
      </c>
      <c r="H4921" s="13">
        <f>SUMIFS(Movimentacoes!$G:$G,Movimentacoes!$C:$C,$A4921,Movimentacoes!$E:$E,$C4921,Movimentacoes!$B:$B,"SAIDA_USO")</f>
        <v/>
      </c>
      <c r="I4921" s="13">
        <f>SUMIFS(Movimentacoes!$G:$G,Movimentacoes!$C:$C,$A4921,Movimentacoes!$E:$E,$C4921,Movimentacoes!$B:$B,"SAIDA_DESCARTE")</f>
        <v/>
      </c>
      <c r="J4921" s="13">
        <f>G4921-H4921-I4921</f>
        <v/>
      </c>
      <c r="K4921">
        <f>IF(A4921="","",IF(J4921&lt;=IFERROR(VLOOKUP(A4921,Cadastro_Produtos!$A:$E,5,FALSE),0),"ABAIXO DO MINIMO","OK"))</f>
        <v/>
      </c>
    </row>
    <row r="4922">
      <c r="B4922">
        <f>IFERROR(VLOOKUP(A4922,Cadastro_Produtos!A:B,2,FALSE),"")</f>
        <v/>
      </c>
      <c r="D4922" s="12" t="n"/>
      <c r="E4922" s="13">
        <f>IF(D4922="","",D4922-TODAY())</f>
        <v/>
      </c>
      <c r="F4922">
        <f>IF(D4922="","",IF(E4922&lt;0,"VENCIDO",IF(E4922&lt;=30,"VENCE EM &lt;= 30 DIAS",IF(E4922&lt;=60,"ATENCAO (31-60 DIAS)","OK"))))</f>
        <v/>
      </c>
      <c r="G4922" s="13">
        <f>SUMIFS(Movimentacoes!$G:$G,Movimentacoes!$C:$C,$A4922,Movimentacoes!$E:$E,$C4922,Movimentacoes!$B:$B,"ENTRADA")</f>
        <v/>
      </c>
      <c r="H4922" s="13">
        <f>SUMIFS(Movimentacoes!$G:$G,Movimentacoes!$C:$C,$A4922,Movimentacoes!$E:$E,$C4922,Movimentacoes!$B:$B,"SAIDA_USO")</f>
        <v/>
      </c>
      <c r="I4922" s="13">
        <f>SUMIFS(Movimentacoes!$G:$G,Movimentacoes!$C:$C,$A4922,Movimentacoes!$E:$E,$C4922,Movimentacoes!$B:$B,"SAIDA_DESCARTE")</f>
        <v/>
      </c>
      <c r="J4922" s="13">
        <f>G4922-H4922-I4922</f>
        <v/>
      </c>
      <c r="K4922">
        <f>IF(A4922="","",IF(J4922&lt;=IFERROR(VLOOKUP(A4922,Cadastro_Produtos!$A:$E,5,FALSE),0),"ABAIXO DO MINIMO","OK"))</f>
        <v/>
      </c>
    </row>
    <row r="4923">
      <c r="B4923">
        <f>IFERROR(VLOOKUP(A4923,Cadastro_Produtos!A:B,2,FALSE),"")</f>
        <v/>
      </c>
      <c r="D4923" s="12" t="n"/>
      <c r="E4923" s="13">
        <f>IF(D4923="","",D4923-TODAY())</f>
        <v/>
      </c>
      <c r="F4923">
        <f>IF(D4923="","",IF(E4923&lt;0,"VENCIDO",IF(E4923&lt;=30,"VENCE EM &lt;= 30 DIAS",IF(E4923&lt;=60,"ATENCAO (31-60 DIAS)","OK"))))</f>
        <v/>
      </c>
      <c r="G4923" s="13">
        <f>SUMIFS(Movimentacoes!$G:$G,Movimentacoes!$C:$C,$A4923,Movimentacoes!$E:$E,$C4923,Movimentacoes!$B:$B,"ENTRADA")</f>
        <v/>
      </c>
      <c r="H4923" s="13">
        <f>SUMIFS(Movimentacoes!$G:$G,Movimentacoes!$C:$C,$A4923,Movimentacoes!$E:$E,$C4923,Movimentacoes!$B:$B,"SAIDA_USO")</f>
        <v/>
      </c>
      <c r="I4923" s="13">
        <f>SUMIFS(Movimentacoes!$G:$G,Movimentacoes!$C:$C,$A4923,Movimentacoes!$E:$E,$C4923,Movimentacoes!$B:$B,"SAIDA_DESCARTE")</f>
        <v/>
      </c>
      <c r="J4923" s="13">
        <f>G4923-H4923-I4923</f>
        <v/>
      </c>
      <c r="K4923">
        <f>IF(A4923="","",IF(J4923&lt;=IFERROR(VLOOKUP(A4923,Cadastro_Produtos!$A:$E,5,FALSE),0),"ABAIXO DO MINIMO","OK"))</f>
        <v/>
      </c>
    </row>
    <row r="4924">
      <c r="B4924">
        <f>IFERROR(VLOOKUP(A4924,Cadastro_Produtos!A:B,2,FALSE),"")</f>
        <v/>
      </c>
      <c r="D4924" s="12" t="n"/>
      <c r="E4924" s="13">
        <f>IF(D4924="","",D4924-TODAY())</f>
        <v/>
      </c>
      <c r="F4924">
        <f>IF(D4924="","",IF(E4924&lt;0,"VENCIDO",IF(E4924&lt;=30,"VENCE EM &lt;= 30 DIAS",IF(E4924&lt;=60,"ATENCAO (31-60 DIAS)","OK"))))</f>
        <v/>
      </c>
      <c r="G4924" s="13">
        <f>SUMIFS(Movimentacoes!$G:$G,Movimentacoes!$C:$C,$A4924,Movimentacoes!$E:$E,$C4924,Movimentacoes!$B:$B,"ENTRADA")</f>
        <v/>
      </c>
      <c r="H4924" s="13">
        <f>SUMIFS(Movimentacoes!$G:$G,Movimentacoes!$C:$C,$A4924,Movimentacoes!$E:$E,$C4924,Movimentacoes!$B:$B,"SAIDA_USO")</f>
        <v/>
      </c>
      <c r="I4924" s="13">
        <f>SUMIFS(Movimentacoes!$G:$G,Movimentacoes!$C:$C,$A4924,Movimentacoes!$E:$E,$C4924,Movimentacoes!$B:$B,"SAIDA_DESCARTE")</f>
        <v/>
      </c>
      <c r="J4924" s="13">
        <f>G4924-H4924-I4924</f>
        <v/>
      </c>
      <c r="K4924">
        <f>IF(A4924="","",IF(J4924&lt;=IFERROR(VLOOKUP(A4924,Cadastro_Produtos!$A:$E,5,FALSE),0),"ABAIXO DO MINIMO","OK"))</f>
        <v/>
      </c>
    </row>
    <row r="4925">
      <c r="B4925">
        <f>IFERROR(VLOOKUP(A4925,Cadastro_Produtos!A:B,2,FALSE),"")</f>
        <v/>
      </c>
      <c r="D4925" s="12" t="n"/>
      <c r="E4925" s="13">
        <f>IF(D4925="","",D4925-TODAY())</f>
        <v/>
      </c>
      <c r="F4925">
        <f>IF(D4925="","",IF(E4925&lt;0,"VENCIDO",IF(E4925&lt;=30,"VENCE EM &lt;= 30 DIAS",IF(E4925&lt;=60,"ATENCAO (31-60 DIAS)","OK"))))</f>
        <v/>
      </c>
      <c r="G4925" s="13">
        <f>SUMIFS(Movimentacoes!$G:$G,Movimentacoes!$C:$C,$A4925,Movimentacoes!$E:$E,$C4925,Movimentacoes!$B:$B,"ENTRADA")</f>
        <v/>
      </c>
      <c r="H4925" s="13">
        <f>SUMIFS(Movimentacoes!$G:$G,Movimentacoes!$C:$C,$A4925,Movimentacoes!$E:$E,$C4925,Movimentacoes!$B:$B,"SAIDA_USO")</f>
        <v/>
      </c>
      <c r="I4925" s="13">
        <f>SUMIFS(Movimentacoes!$G:$G,Movimentacoes!$C:$C,$A4925,Movimentacoes!$E:$E,$C4925,Movimentacoes!$B:$B,"SAIDA_DESCARTE")</f>
        <v/>
      </c>
      <c r="J4925" s="13">
        <f>G4925-H4925-I4925</f>
        <v/>
      </c>
      <c r="K4925">
        <f>IF(A4925="","",IF(J4925&lt;=IFERROR(VLOOKUP(A4925,Cadastro_Produtos!$A:$E,5,FALSE),0),"ABAIXO DO MINIMO","OK"))</f>
        <v/>
      </c>
    </row>
    <row r="4926">
      <c r="B4926">
        <f>IFERROR(VLOOKUP(A4926,Cadastro_Produtos!A:B,2,FALSE),"")</f>
        <v/>
      </c>
      <c r="D4926" s="12" t="n"/>
      <c r="E4926" s="13">
        <f>IF(D4926="","",D4926-TODAY())</f>
        <v/>
      </c>
      <c r="F4926">
        <f>IF(D4926="","",IF(E4926&lt;0,"VENCIDO",IF(E4926&lt;=30,"VENCE EM &lt;= 30 DIAS",IF(E4926&lt;=60,"ATENCAO (31-60 DIAS)","OK"))))</f>
        <v/>
      </c>
      <c r="G4926" s="13">
        <f>SUMIFS(Movimentacoes!$G:$G,Movimentacoes!$C:$C,$A4926,Movimentacoes!$E:$E,$C4926,Movimentacoes!$B:$B,"ENTRADA")</f>
        <v/>
      </c>
      <c r="H4926" s="13">
        <f>SUMIFS(Movimentacoes!$G:$G,Movimentacoes!$C:$C,$A4926,Movimentacoes!$E:$E,$C4926,Movimentacoes!$B:$B,"SAIDA_USO")</f>
        <v/>
      </c>
      <c r="I4926" s="13">
        <f>SUMIFS(Movimentacoes!$G:$G,Movimentacoes!$C:$C,$A4926,Movimentacoes!$E:$E,$C4926,Movimentacoes!$B:$B,"SAIDA_DESCARTE")</f>
        <v/>
      </c>
      <c r="J4926" s="13">
        <f>G4926-H4926-I4926</f>
        <v/>
      </c>
      <c r="K4926">
        <f>IF(A4926="","",IF(J4926&lt;=IFERROR(VLOOKUP(A4926,Cadastro_Produtos!$A:$E,5,FALSE),0),"ABAIXO DO MINIMO","OK"))</f>
        <v/>
      </c>
    </row>
    <row r="4927">
      <c r="B4927">
        <f>IFERROR(VLOOKUP(A4927,Cadastro_Produtos!A:B,2,FALSE),"")</f>
        <v/>
      </c>
      <c r="D4927" s="12" t="n"/>
      <c r="E4927" s="13">
        <f>IF(D4927="","",D4927-TODAY())</f>
        <v/>
      </c>
      <c r="F4927">
        <f>IF(D4927="","",IF(E4927&lt;0,"VENCIDO",IF(E4927&lt;=30,"VENCE EM &lt;= 30 DIAS",IF(E4927&lt;=60,"ATENCAO (31-60 DIAS)","OK"))))</f>
        <v/>
      </c>
      <c r="G4927" s="13">
        <f>SUMIFS(Movimentacoes!$G:$G,Movimentacoes!$C:$C,$A4927,Movimentacoes!$E:$E,$C4927,Movimentacoes!$B:$B,"ENTRADA")</f>
        <v/>
      </c>
      <c r="H4927" s="13">
        <f>SUMIFS(Movimentacoes!$G:$G,Movimentacoes!$C:$C,$A4927,Movimentacoes!$E:$E,$C4927,Movimentacoes!$B:$B,"SAIDA_USO")</f>
        <v/>
      </c>
      <c r="I4927" s="13">
        <f>SUMIFS(Movimentacoes!$G:$G,Movimentacoes!$C:$C,$A4927,Movimentacoes!$E:$E,$C4927,Movimentacoes!$B:$B,"SAIDA_DESCARTE")</f>
        <v/>
      </c>
      <c r="J4927" s="13">
        <f>G4927-H4927-I4927</f>
        <v/>
      </c>
      <c r="K4927">
        <f>IF(A4927="","",IF(J4927&lt;=IFERROR(VLOOKUP(A4927,Cadastro_Produtos!$A:$E,5,FALSE),0),"ABAIXO DO MINIMO","OK"))</f>
        <v/>
      </c>
    </row>
    <row r="4928">
      <c r="B4928">
        <f>IFERROR(VLOOKUP(A4928,Cadastro_Produtos!A:B,2,FALSE),"")</f>
        <v/>
      </c>
      <c r="D4928" s="12" t="n"/>
      <c r="E4928" s="13">
        <f>IF(D4928="","",D4928-TODAY())</f>
        <v/>
      </c>
      <c r="F4928">
        <f>IF(D4928="","",IF(E4928&lt;0,"VENCIDO",IF(E4928&lt;=30,"VENCE EM &lt;= 30 DIAS",IF(E4928&lt;=60,"ATENCAO (31-60 DIAS)","OK"))))</f>
        <v/>
      </c>
      <c r="G4928" s="13">
        <f>SUMIFS(Movimentacoes!$G:$G,Movimentacoes!$C:$C,$A4928,Movimentacoes!$E:$E,$C4928,Movimentacoes!$B:$B,"ENTRADA")</f>
        <v/>
      </c>
      <c r="H4928" s="13">
        <f>SUMIFS(Movimentacoes!$G:$G,Movimentacoes!$C:$C,$A4928,Movimentacoes!$E:$E,$C4928,Movimentacoes!$B:$B,"SAIDA_USO")</f>
        <v/>
      </c>
      <c r="I4928" s="13">
        <f>SUMIFS(Movimentacoes!$G:$G,Movimentacoes!$C:$C,$A4928,Movimentacoes!$E:$E,$C4928,Movimentacoes!$B:$B,"SAIDA_DESCARTE")</f>
        <v/>
      </c>
      <c r="J4928" s="13">
        <f>G4928-H4928-I4928</f>
        <v/>
      </c>
      <c r="K4928">
        <f>IF(A4928="","",IF(J4928&lt;=IFERROR(VLOOKUP(A4928,Cadastro_Produtos!$A:$E,5,FALSE),0),"ABAIXO DO MINIMO","OK"))</f>
        <v/>
      </c>
    </row>
    <row r="4929">
      <c r="B4929">
        <f>IFERROR(VLOOKUP(A4929,Cadastro_Produtos!A:B,2,FALSE),"")</f>
        <v/>
      </c>
      <c r="D4929" s="12" t="n"/>
      <c r="E4929" s="13">
        <f>IF(D4929="","",D4929-TODAY())</f>
        <v/>
      </c>
      <c r="F4929">
        <f>IF(D4929="","",IF(E4929&lt;0,"VENCIDO",IF(E4929&lt;=30,"VENCE EM &lt;= 30 DIAS",IF(E4929&lt;=60,"ATENCAO (31-60 DIAS)","OK"))))</f>
        <v/>
      </c>
      <c r="G4929" s="13">
        <f>SUMIFS(Movimentacoes!$G:$G,Movimentacoes!$C:$C,$A4929,Movimentacoes!$E:$E,$C4929,Movimentacoes!$B:$B,"ENTRADA")</f>
        <v/>
      </c>
      <c r="H4929" s="13">
        <f>SUMIFS(Movimentacoes!$G:$G,Movimentacoes!$C:$C,$A4929,Movimentacoes!$E:$E,$C4929,Movimentacoes!$B:$B,"SAIDA_USO")</f>
        <v/>
      </c>
      <c r="I4929" s="13">
        <f>SUMIFS(Movimentacoes!$G:$G,Movimentacoes!$C:$C,$A4929,Movimentacoes!$E:$E,$C4929,Movimentacoes!$B:$B,"SAIDA_DESCARTE")</f>
        <v/>
      </c>
      <c r="J4929" s="13">
        <f>G4929-H4929-I4929</f>
        <v/>
      </c>
      <c r="K4929">
        <f>IF(A4929="","",IF(J4929&lt;=IFERROR(VLOOKUP(A4929,Cadastro_Produtos!$A:$E,5,FALSE),0),"ABAIXO DO MINIMO","OK"))</f>
        <v/>
      </c>
    </row>
    <row r="4930">
      <c r="B4930">
        <f>IFERROR(VLOOKUP(A4930,Cadastro_Produtos!A:B,2,FALSE),"")</f>
        <v/>
      </c>
      <c r="D4930" s="12" t="n"/>
      <c r="E4930" s="13">
        <f>IF(D4930="","",D4930-TODAY())</f>
        <v/>
      </c>
      <c r="F4930">
        <f>IF(D4930="","",IF(E4930&lt;0,"VENCIDO",IF(E4930&lt;=30,"VENCE EM &lt;= 30 DIAS",IF(E4930&lt;=60,"ATENCAO (31-60 DIAS)","OK"))))</f>
        <v/>
      </c>
      <c r="G4930" s="13">
        <f>SUMIFS(Movimentacoes!$G:$G,Movimentacoes!$C:$C,$A4930,Movimentacoes!$E:$E,$C4930,Movimentacoes!$B:$B,"ENTRADA")</f>
        <v/>
      </c>
      <c r="H4930" s="13">
        <f>SUMIFS(Movimentacoes!$G:$G,Movimentacoes!$C:$C,$A4930,Movimentacoes!$E:$E,$C4930,Movimentacoes!$B:$B,"SAIDA_USO")</f>
        <v/>
      </c>
      <c r="I4930" s="13">
        <f>SUMIFS(Movimentacoes!$G:$G,Movimentacoes!$C:$C,$A4930,Movimentacoes!$E:$E,$C4930,Movimentacoes!$B:$B,"SAIDA_DESCARTE")</f>
        <v/>
      </c>
      <c r="J4930" s="13">
        <f>G4930-H4930-I4930</f>
        <v/>
      </c>
      <c r="K4930">
        <f>IF(A4930="","",IF(J4930&lt;=IFERROR(VLOOKUP(A4930,Cadastro_Produtos!$A:$E,5,FALSE),0),"ABAIXO DO MINIMO","OK"))</f>
        <v/>
      </c>
    </row>
    <row r="4931">
      <c r="B4931">
        <f>IFERROR(VLOOKUP(A4931,Cadastro_Produtos!A:B,2,FALSE),"")</f>
        <v/>
      </c>
      <c r="D4931" s="12" t="n"/>
      <c r="E4931" s="13">
        <f>IF(D4931="","",D4931-TODAY())</f>
        <v/>
      </c>
      <c r="F4931">
        <f>IF(D4931="","",IF(E4931&lt;0,"VENCIDO",IF(E4931&lt;=30,"VENCE EM &lt;= 30 DIAS",IF(E4931&lt;=60,"ATENCAO (31-60 DIAS)","OK"))))</f>
        <v/>
      </c>
      <c r="G4931" s="13">
        <f>SUMIFS(Movimentacoes!$G:$G,Movimentacoes!$C:$C,$A4931,Movimentacoes!$E:$E,$C4931,Movimentacoes!$B:$B,"ENTRADA")</f>
        <v/>
      </c>
      <c r="H4931" s="13">
        <f>SUMIFS(Movimentacoes!$G:$G,Movimentacoes!$C:$C,$A4931,Movimentacoes!$E:$E,$C4931,Movimentacoes!$B:$B,"SAIDA_USO")</f>
        <v/>
      </c>
      <c r="I4931" s="13">
        <f>SUMIFS(Movimentacoes!$G:$G,Movimentacoes!$C:$C,$A4931,Movimentacoes!$E:$E,$C4931,Movimentacoes!$B:$B,"SAIDA_DESCARTE")</f>
        <v/>
      </c>
      <c r="J4931" s="13">
        <f>G4931-H4931-I4931</f>
        <v/>
      </c>
      <c r="K4931">
        <f>IF(A4931="","",IF(J4931&lt;=IFERROR(VLOOKUP(A4931,Cadastro_Produtos!$A:$E,5,FALSE),0),"ABAIXO DO MINIMO","OK"))</f>
        <v/>
      </c>
    </row>
    <row r="4932">
      <c r="B4932">
        <f>IFERROR(VLOOKUP(A4932,Cadastro_Produtos!A:B,2,FALSE),"")</f>
        <v/>
      </c>
      <c r="D4932" s="12" t="n"/>
      <c r="E4932" s="13">
        <f>IF(D4932="","",D4932-TODAY())</f>
        <v/>
      </c>
      <c r="F4932">
        <f>IF(D4932="","",IF(E4932&lt;0,"VENCIDO",IF(E4932&lt;=30,"VENCE EM &lt;= 30 DIAS",IF(E4932&lt;=60,"ATENCAO (31-60 DIAS)","OK"))))</f>
        <v/>
      </c>
      <c r="G4932" s="13">
        <f>SUMIFS(Movimentacoes!$G:$G,Movimentacoes!$C:$C,$A4932,Movimentacoes!$E:$E,$C4932,Movimentacoes!$B:$B,"ENTRADA")</f>
        <v/>
      </c>
      <c r="H4932" s="13">
        <f>SUMIFS(Movimentacoes!$G:$G,Movimentacoes!$C:$C,$A4932,Movimentacoes!$E:$E,$C4932,Movimentacoes!$B:$B,"SAIDA_USO")</f>
        <v/>
      </c>
      <c r="I4932" s="13">
        <f>SUMIFS(Movimentacoes!$G:$G,Movimentacoes!$C:$C,$A4932,Movimentacoes!$E:$E,$C4932,Movimentacoes!$B:$B,"SAIDA_DESCARTE")</f>
        <v/>
      </c>
      <c r="J4932" s="13">
        <f>G4932-H4932-I4932</f>
        <v/>
      </c>
      <c r="K4932">
        <f>IF(A4932="","",IF(J4932&lt;=IFERROR(VLOOKUP(A4932,Cadastro_Produtos!$A:$E,5,FALSE),0),"ABAIXO DO MINIMO","OK"))</f>
        <v/>
      </c>
    </row>
    <row r="4933">
      <c r="B4933">
        <f>IFERROR(VLOOKUP(A4933,Cadastro_Produtos!A:B,2,FALSE),"")</f>
        <v/>
      </c>
      <c r="D4933" s="12" t="n"/>
      <c r="E4933" s="13">
        <f>IF(D4933="","",D4933-TODAY())</f>
        <v/>
      </c>
      <c r="F4933">
        <f>IF(D4933="","",IF(E4933&lt;0,"VENCIDO",IF(E4933&lt;=30,"VENCE EM &lt;= 30 DIAS",IF(E4933&lt;=60,"ATENCAO (31-60 DIAS)","OK"))))</f>
        <v/>
      </c>
      <c r="G4933" s="13">
        <f>SUMIFS(Movimentacoes!$G:$G,Movimentacoes!$C:$C,$A4933,Movimentacoes!$E:$E,$C4933,Movimentacoes!$B:$B,"ENTRADA")</f>
        <v/>
      </c>
      <c r="H4933" s="13">
        <f>SUMIFS(Movimentacoes!$G:$G,Movimentacoes!$C:$C,$A4933,Movimentacoes!$E:$E,$C4933,Movimentacoes!$B:$B,"SAIDA_USO")</f>
        <v/>
      </c>
      <c r="I4933" s="13">
        <f>SUMIFS(Movimentacoes!$G:$G,Movimentacoes!$C:$C,$A4933,Movimentacoes!$E:$E,$C4933,Movimentacoes!$B:$B,"SAIDA_DESCARTE")</f>
        <v/>
      </c>
      <c r="J4933" s="13">
        <f>G4933-H4933-I4933</f>
        <v/>
      </c>
      <c r="K4933">
        <f>IF(A4933="","",IF(J4933&lt;=IFERROR(VLOOKUP(A4933,Cadastro_Produtos!$A:$E,5,FALSE),0),"ABAIXO DO MINIMO","OK"))</f>
        <v/>
      </c>
    </row>
    <row r="4934">
      <c r="B4934">
        <f>IFERROR(VLOOKUP(A4934,Cadastro_Produtos!A:B,2,FALSE),"")</f>
        <v/>
      </c>
      <c r="D4934" s="12" t="n"/>
      <c r="E4934" s="13">
        <f>IF(D4934="","",D4934-TODAY())</f>
        <v/>
      </c>
      <c r="F4934">
        <f>IF(D4934="","",IF(E4934&lt;0,"VENCIDO",IF(E4934&lt;=30,"VENCE EM &lt;= 30 DIAS",IF(E4934&lt;=60,"ATENCAO (31-60 DIAS)","OK"))))</f>
        <v/>
      </c>
      <c r="G4934" s="13">
        <f>SUMIFS(Movimentacoes!$G:$G,Movimentacoes!$C:$C,$A4934,Movimentacoes!$E:$E,$C4934,Movimentacoes!$B:$B,"ENTRADA")</f>
        <v/>
      </c>
      <c r="H4934" s="13">
        <f>SUMIFS(Movimentacoes!$G:$G,Movimentacoes!$C:$C,$A4934,Movimentacoes!$E:$E,$C4934,Movimentacoes!$B:$B,"SAIDA_USO")</f>
        <v/>
      </c>
      <c r="I4934" s="13">
        <f>SUMIFS(Movimentacoes!$G:$G,Movimentacoes!$C:$C,$A4934,Movimentacoes!$E:$E,$C4934,Movimentacoes!$B:$B,"SAIDA_DESCARTE")</f>
        <v/>
      </c>
      <c r="J4934" s="13">
        <f>G4934-H4934-I4934</f>
        <v/>
      </c>
      <c r="K4934">
        <f>IF(A4934="","",IF(J4934&lt;=IFERROR(VLOOKUP(A4934,Cadastro_Produtos!$A:$E,5,FALSE),0),"ABAIXO DO MINIMO","OK"))</f>
        <v/>
      </c>
    </row>
    <row r="4935">
      <c r="B4935">
        <f>IFERROR(VLOOKUP(A4935,Cadastro_Produtos!A:B,2,FALSE),"")</f>
        <v/>
      </c>
      <c r="D4935" s="12" t="n"/>
      <c r="E4935" s="13">
        <f>IF(D4935="","",D4935-TODAY())</f>
        <v/>
      </c>
      <c r="F4935">
        <f>IF(D4935="","",IF(E4935&lt;0,"VENCIDO",IF(E4935&lt;=30,"VENCE EM &lt;= 30 DIAS",IF(E4935&lt;=60,"ATENCAO (31-60 DIAS)","OK"))))</f>
        <v/>
      </c>
      <c r="G4935" s="13">
        <f>SUMIFS(Movimentacoes!$G:$G,Movimentacoes!$C:$C,$A4935,Movimentacoes!$E:$E,$C4935,Movimentacoes!$B:$B,"ENTRADA")</f>
        <v/>
      </c>
      <c r="H4935" s="13">
        <f>SUMIFS(Movimentacoes!$G:$G,Movimentacoes!$C:$C,$A4935,Movimentacoes!$E:$E,$C4935,Movimentacoes!$B:$B,"SAIDA_USO")</f>
        <v/>
      </c>
      <c r="I4935" s="13">
        <f>SUMIFS(Movimentacoes!$G:$G,Movimentacoes!$C:$C,$A4935,Movimentacoes!$E:$E,$C4935,Movimentacoes!$B:$B,"SAIDA_DESCARTE")</f>
        <v/>
      </c>
      <c r="J4935" s="13">
        <f>G4935-H4935-I4935</f>
        <v/>
      </c>
      <c r="K4935">
        <f>IF(A4935="","",IF(J4935&lt;=IFERROR(VLOOKUP(A4935,Cadastro_Produtos!$A:$E,5,FALSE),0),"ABAIXO DO MINIMO","OK"))</f>
        <v/>
      </c>
    </row>
    <row r="4936">
      <c r="B4936">
        <f>IFERROR(VLOOKUP(A4936,Cadastro_Produtos!A:B,2,FALSE),"")</f>
        <v/>
      </c>
      <c r="D4936" s="12" t="n"/>
      <c r="E4936" s="13">
        <f>IF(D4936="","",D4936-TODAY())</f>
        <v/>
      </c>
      <c r="F4936">
        <f>IF(D4936="","",IF(E4936&lt;0,"VENCIDO",IF(E4936&lt;=30,"VENCE EM &lt;= 30 DIAS",IF(E4936&lt;=60,"ATENCAO (31-60 DIAS)","OK"))))</f>
        <v/>
      </c>
      <c r="G4936" s="13">
        <f>SUMIFS(Movimentacoes!$G:$G,Movimentacoes!$C:$C,$A4936,Movimentacoes!$E:$E,$C4936,Movimentacoes!$B:$B,"ENTRADA")</f>
        <v/>
      </c>
      <c r="H4936" s="13">
        <f>SUMIFS(Movimentacoes!$G:$G,Movimentacoes!$C:$C,$A4936,Movimentacoes!$E:$E,$C4936,Movimentacoes!$B:$B,"SAIDA_USO")</f>
        <v/>
      </c>
      <c r="I4936" s="13">
        <f>SUMIFS(Movimentacoes!$G:$G,Movimentacoes!$C:$C,$A4936,Movimentacoes!$E:$E,$C4936,Movimentacoes!$B:$B,"SAIDA_DESCARTE")</f>
        <v/>
      </c>
      <c r="J4936" s="13">
        <f>G4936-H4936-I4936</f>
        <v/>
      </c>
      <c r="K4936">
        <f>IF(A4936="","",IF(J4936&lt;=IFERROR(VLOOKUP(A4936,Cadastro_Produtos!$A:$E,5,FALSE),0),"ABAIXO DO MINIMO","OK"))</f>
        <v/>
      </c>
    </row>
    <row r="4937">
      <c r="B4937">
        <f>IFERROR(VLOOKUP(A4937,Cadastro_Produtos!A:B,2,FALSE),"")</f>
        <v/>
      </c>
      <c r="D4937" s="12" t="n"/>
      <c r="E4937" s="13">
        <f>IF(D4937="","",D4937-TODAY())</f>
        <v/>
      </c>
      <c r="F4937">
        <f>IF(D4937="","",IF(E4937&lt;0,"VENCIDO",IF(E4937&lt;=30,"VENCE EM &lt;= 30 DIAS",IF(E4937&lt;=60,"ATENCAO (31-60 DIAS)","OK"))))</f>
        <v/>
      </c>
      <c r="G4937" s="13">
        <f>SUMIFS(Movimentacoes!$G:$G,Movimentacoes!$C:$C,$A4937,Movimentacoes!$E:$E,$C4937,Movimentacoes!$B:$B,"ENTRADA")</f>
        <v/>
      </c>
      <c r="H4937" s="13">
        <f>SUMIFS(Movimentacoes!$G:$G,Movimentacoes!$C:$C,$A4937,Movimentacoes!$E:$E,$C4937,Movimentacoes!$B:$B,"SAIDA_USO")</f>
        <v/>
      </c>
      <c r="I4937" s="13">
        <f>SUMIFS(Movimentacoes!$G:$G,Movimentacoes!$C:$C,$A4937,Movimentacoes!$E:$E,$C4937,Movimentacoes!$B:$B,"SAIDA_DESCARTE")</f>
        <v/>
      </c>
      <c r="J4937" s="13">
        <f>G4937-H4937-I4937</f>
        <v/>
      </c>
      <c r="K4937">
        <f>IF(A4937="","",IF(J4937&lt;=IFERROR(VLOOKUP(A4937,Cadastro_Produtos!$A:$E,5,FALSE),0),"ABAIXO DO MINIMO","OK"))</f>
        <v/>
      </c>
    </row>
    <row r="4938">
      <c r="B4938">
        <f>IFERROR(VLOOKUP(A4938,Cadastro_Produtos!A:B,2,FALSE),"")</f>
        <v/>
      </c>
      <c r="D4938" s="12" t="n"/>
      <c r="E4938" s="13">
        <f>IF(D4938="","",D4938-TODAY())</f>
        <v/>
      </c>
      <c r="F4938">
        <f>IF(D4938="","",IF(E4938&lt;0,"VENCIDO",IF(E4938&lt;=30,"VENCE EM &lt;= 30 DIAS",IF(E4938&lt;=60,"ATENCAO (31-60 DIAS)","OK"))))</f>
        <v/>
      </c>
      <c r="G4938" s="13">
        <f>SUMIFS(Movimentacoes!$G:$G,Movimentacoes!$C:$C,$A4938,Movimentacoes!$E:$E,$C4938,Movimentacoes!$B:$B,"ENTRADA")</f>
        <v/>
      </c>
      <c r="H4938" s="13">
        <f>SUMIFS(Movimentacoes!$G:$G,Movimentacoes!$C:$C,$A4938,Movimentacoes!$E:$E,$C4938,Movimentacoes!$B:$B,"SAIDA_USO")</f>
        <v/>
      </c>
      <c r="I4938" s="13">
        <f>SUMIFS(Movimentacoes!$G:$G,Movimentacoes!$C:$C,$A4938,Movimentacoes!$E:$E,$C4938,Movimentacoes!$B:$B,"SAIDA_DESCARTE")</f>
        <v/>
      </c>
      <c r="J4938" s="13">
        <f>G4938-H4938-I4938</f>
        <v/>
      </c>
      <c r="K4938">
        <f>IF(A4938="","",IF(J4938&lt;=IFERROR(VLOOKUP(A4938,Cadastro_Produtos!$A:$E,5,FALSE),0),"ABAIXO DO MINIMO","OK"))</f>
        <v/>
      </c>
    </row>
    <row r="4939">
      <c r="B4939">
        <f>IFERROR(VLOOKUP(A4939,Cadastro_Produtos!A:B,2,FALSE),"")</f>
        <v/>
      </c>
      <c r="D4939" s="12" t="n"/>
      <c r="E4939" s="13">
        <f>IF(D4939="","",D4939-TODAY())</f>
        <v/>
      </c>
      <c r="F4939">
        <f>IF(D4939="","",IF(E4939&lt;0,"VENCIDO",IF(E4939&lt;=30,"VENCE EM &lt;= 30 DIAS",IF(E4939&lt;=60,"ATENCAO (31-60 DIAS)","OK"))))</f>
        <v/>
      </c>
      <c r="G4939" s="13">
        <f>SUMIFS(Movimentacoes!$G:$G,Movimentacoes!$C:$C,$A4939,Movimentacoes!$E:$E,$C4939,Movimentacoes!$B:$B,"ENTRADA")</f>
        <v/>
      </c>
      <c r="H4939" s="13">
        <f>SUMIFS(Movimentacoes!$G:$G,Movimentacoes!$C:$C,$A4939,Movimentacoes!$E:$E,$C4939,Movimentacoes!$B:$B,"SAIDA_USO")</f>
        <v/>
      </c>
      <c r="I4939" s="13">
        <f>SUMIFS(Movimentacoes!$G:$G,Movimentacoes!$C:$C,$A4939,Movimentacoes!$E:$E,$C4939,Movimentacoes!$B:$B,"SAIDA_DESCARTE")</f>
        <v/>
      </c>
      <c r="J4939" s="13">
        <f>G4939-H4939-I4939</f>
        <v/>
      </c>
      <c r="K4939">
        <f>IF(A4939="","",IF(J4939&lt;=IFERROR(VLOOKUP(A4939,Cadastro_Produtos!$A:$E,5,FALSE),0),"ABAIXO DO MINIMO","OK"))</f>
        <v/>
      </c>
    </row>
    <row r="4940">
      <c r="B4940">
        <f>IFERROR(VLOOKUP(A4940,Cadastro_Produtos!A:B,2,FALSE),"")</f>
        <v/>
      </c>
      <c r="D4940" s="12" t="n"/>
      <c r="E4940" s="13">
        <f>IF(D4940="","",D4940-TODAY())</f>
        <v/>
      </c>
      <c r="F4940">
        <f>IF(D4940="","",IF(E4940&lt;0,"VENCIDO",IF(E4940&lt;=30,"VENCE EM &lt;= 30 DIAS",IF(E4940&lt;=60,"ATENCAO (31-60 DIAS)","OK"))))</f>
        <v/>
      </c>
      <c r="G4940" s="13">
        <f>SUMIFS(Movimentacoes!$G:$G,Movimentacoes!$C:$C,$A4940,Movimentacoes!$E:$E,$C4940,Movimentacoes!$B:$B,"ENTRADA")</f>
        <v/>
      </c>
      <c r="H4940" s="13">
        <f>SUMIFS(Movimentacoes!$G:$G,Movimentacoes!$C:$C,$A4940,Movimentacoes!$E:$E,$C4940,Movimentacoes!$B:$B,"SAIDA_USO")</f>
        <v/>
      </c>
      <c r="I4940" s="13">
        <f>SUMIFS(Movimentacoes!$G:$G,Movimentacoes!$C:$C,$A4940,Movimentacoes!$E:$E,$C4940,Movimentacoes!$B:$B,"SAIDA_DESCARTE")</f>
        <v/>
      </c>
      <c r="J4940" s="13">
        <f>G4940-H4940-I4940</f>
        <v/>
      </c>
      <c r="K4940">
        <f>IF(A4940="","",IF(J4940&lt;=IFERROR(VLOOKUP(A4940,Cadastro_Produtos!$A:$E,5,FALSE),0),"ABAIXO DO MINIMO","OK"))</f>
        <v/>
      </c>
    </row>
    <row r="4941">
      <c r="B4941">
        <f>IFERROR(VLOOKUP(A4941,Cadastro_Produtos!A:B,2,FALSE),"")</f>
        <v/>
      </c>
      <c r="D4941" s="12" t="n"/>
      <c r="E4941" s="13">
        <f>IF(D4941="","",D4941-TODAY())</f>
        <v/>
      </c>
      <c r="F4941">
        <f>IF(D4941="","",IF(E4941&lt;0,"VENCIDO",IF(E4941&lt;=30,"VENCE EM &lt;= 30 DIAS",IF(E4941&lt;=60,"ATENCAO (31-60 DIAS)","OK"))))</f>
        <v/>
      </c>
      <c r="G4941" s="13">
        <f>SUMIFS(Movimentacoes!$G:$G,Movimentacoes!$C:$C,$A4941,Movimentacoes!$E:$E,$C4941,Movimentacoes!$B:$B,"ENTRADA")</f>
        <v/>
      </c>
      <c r="H4941" s="13">
        <f>SUMIFS(Movimentacoes!$G:$G,Movimentacoes!$C:$C,$A4941,Movimentacoes!$E:$E,$C4941,Movimentacoes!$B:$B,"SAIDA_USO")</f>
        <v/>
      </c>
      <c r="I4941" s="13">
        <f>SUMIFS(Movimentacoes!$G:$G,Movimentacoes!$C:$C,$A4941,Movimentacoes!$E:$E,$C4941,Movimentacoes!$B:$B,"SAIDA_DESCARTE")</f>
        <v/>
      </c>
      <c r="J4941" s="13">
        <f>G4941-H4941-I4941</f>
        <v/>
      </c>
      <c r="K4941">
        <f>IF(A4941="","",IF(J4941&lt;=IFERROR(VLOOKUP(A4941,Cadastro_Produtos!$A:$E,5,FALSE),0),"ABAIXO DO MINIMO","OK"))</f>
        <v/>
      </c>
    </row>
    <row r="4942">
      <c r="B4942">
        <f>IFERROR(VLOOKUP(A4942,Cadastro_Produtos!A:B,2,FALSE),"")</f>
        <v/>
      </c>
      <c r="D4942" s="12" t="n"/>
      <c r="E4942" s="13">
        <f>IF(D4942="","",D4942-TODAY())</f>
        <v/>
      </c>
      <c r="F4942">
        <f>IF(D4942="","",IF(E4942&lt;0,"VENCIDO",IF(E4942&lt;=30,"VENCE EM &lt;= 30 DIAS",IF(E4942&lt;=60,"ATENCAO (31-60 DIAS)","OK"))))</f>
        <v/>
      </c>
      <c r="G4942" s="13">
        <f>SUMIFS(Movimentacoes!$G:$G,Movimentacoes!$C:$C,$A4942,Movimentacoes!$E:$E,$C4942,Movimentacoes!$B:$B,"ENTRADA")</f>
        <v/>
      </c>
      <c r="H4942" s="13">
        <f>SUMIFS(Movimentacoes!$G:$G,Movimentacoes!$C:$C,$A4942,Movimentacoes!$E:$E,$C4942,Movimentacoes!$B:$B,"SAIDA_USO")</f>
        <v/>
      </c>
      <c r="I4942" s="13">
        <f>SUMIFS(Movimentacoes!$G:$G,Movimentacoes!$C:$C,$A4942,Movimentacoes!$E:$E,$C4942,Movimentacoes!$B:$B,"SAIDA_DESCARTE")</f>
        <v/>
      </c>
      <c r="J4942" s="13">
        <f>G4942-H4942-I4942</f>
        <v/>
      </c>
      <c r="K4942">
        <f>IF(A4942="","",IF(J4942&lt;=IFERROR(VLOOKUP(A4942,Cadastro_Produtos!$A:$E,5,FALSE),0),"ABAIXO DO MINIMO","OK"))</f>
        <v/>
      </c>
    </row>
    <row r="4943">
      <c r="B4943">
        <f>IFERROR(VLOOKUP(A4943,Cadastro_Produtos!A:B,2,FALSE),"")</f>
        <v/>
      </c>
      <c r="D4943" s="12" t="n"/>
      <c r="E4943" s="13">
        <f>IF(D4943="","",D4943-TODAY())</f>
        <v/>
      </c>
      <c r="F4943">
        <f>IF(D4943="","",IF(E4943&lt;0,"VENCIDO",IF(E4943&lt;=30,"VENCE EM &lt;= 30 DIAS",IF(E4943&lt;=60,"ATENCAO (31-60 DIAS)","OK"))))</f>
        <v/>
      </c>
      <c r="G4943" s="13">
        <f>SUMIFS(Movimentacoes!$G:$G,Movimentacoes!$C:$C,$A4943,Movimentacoes!$E:$E,$C4943,Movimentacoes!$B:$B,"ENTRADA")</f>
        <v/>
      </c>
      <c r="H4943" s="13">
        <f>SUMIFS(Movimentacoes!$G:$G,Movimentacoes!$C:$C,$A4943,Movimentacoes!$E:$E,$C4943,Movimentacoes!$B:$B,"SAIDA_USO")</f>
        <v/>
      </c>
      <c r="I4943" s="13">
        <f>SUMIFS(Movimentacoes!$G:$G,Movimentacoes!$C:$C,$A4943,Movimentacoes!$E:$E,$C4943,Movimentacoes!$B:$B,"SAIDA_DESCARTE")</f>
        <v/>
      </c>
      <c r="J4943" s="13">
        <f>G4943-H4943-I4943</f>
        <v/>
      </c>
      <c r="K4943">
        <f>IF(A4943="","",IF(J4943&lt;=IFERROR(VLOOKUP(A4943,Cadastro_Produtos!$A:$E,5,FALSE),0),"ABAIXO DO MINIMO","OK"))</f>
        <v/>
      </c>
    </row>
    <row r="4944">
      <c r="B4944">
        <f>IFERROR(VLOOKUP(A4944,Cadastro_Produtos!A:B,2,FALSE),"")</f>
        <v/>
      </c>
      <c r="D4944" s="12" t="n"/>
      <c r="E4944" s="13">
        <f>IF(D4944="","",D4944-TODAY())</f>
        <v/>
      </c>
      <c r="F4944">
        <f>IF(D4944="","",IF(E4944&lt;0,"VENCIDO",IF(E4944&lt;=30,"VENCE EM &lt;= 30 DIAS",IF(E4944&lt;=60,"ATENCAO (31-60 DIAS)","OK"))))</f>
        <v/>
      </c>
      <c r="G4944" s="13">
        <f>SUMIFS(Movimentacoes!$G:$G,Movimentacoes!$C:$C,$A4944,Movimentacoes!$E:$E,$C4944,Movimentacoes!$B:$B,"ENTRADA")</f>
        <v/>
      </c>
      <c r="H4944" s="13">
        <f>SUMIFS(Movimentacoes!$G:$G,Movimentacoes!$C:$C,$A4944,Movimentacoes!$E:$E,$C4944,Movimentacoes!$B:$B,"SAIDA_USO")</f>
        <v/>
      </c>
      <c r="I4944" s="13">
        <f>SUMIFS(Movimentacoes!$G:$G,Movimentacoes!$C:$C,$A4944,Movimentacoes!$E:$E,$C4944,Movimentacoes!$B:$B,"SAIDA_DESCARTE")</f>
        <v/>
      </c>
      <c r="J4944" s="13">
        <f>G4944-H4944-I4944</f>
        <v/>
      </c>
      <c r="K4944">
        <f>IF(A4944="","",IF(J4944&lt;=IFERROR(VLOOKUP(A4944,Cadastro_Produtos!$A:$E,5,FALSE),0),"ABAIXO DO MINIMO","OK"))</f>
        <v/>
      </c>
    </row>
    <row r="4945">
      <c r="B4945">
        <f>IFERROR(VLOOKUP(A4945,Cadastro_Produtos!A:B,2,FALSE),"")</f>
        <v/>
      </c>
      <c r="D4945" s="12" t="n"/>
      <c r="E4945" s="13">
        <f>IF(D4945="","",D4945-TODAY())</f>
        <v/>
      </c>
      <c r="F4945">
        <f>IF(D4945="","",IF(E4945&lt;0,"VENCIDO",IF(E4945&lt;=30,"VENCE EM &lt;= 30 DIAS",IF(E4945&lt;=60,"ATENCAO (31-60 DIAS)","OK"))))</f>
        <v/>
      </c>
      <c r="G4945" s="13">
        <f>SUMIFS(Movimentacoes!$G:$G,Movimentacoes!$C:$C,$A4945,Movimentacoes!$E:$E,$C4945,Movimentacoes!$B:$B,"ENTRADA")</f>
        <v/>
      </c>
      <c r="H4945" s="13">
        <f>SUMIFS(Movimentacoes!$G:$G,Movimentacoes!$C:$C,$A4945,Movimentacoes!$E:$E,$C4945,Movimentacoes!$B:$B,"SAIDA_USO")</f>
        <v/>
      </c>
      <c r="I4945" s="13">
        <f>SUMIFS(Movimentacoes!$G:$G,Movimentacoes!$C:$C,$A4945,Movimentacoes!$E:$E,$C4945,Movimentacoes!$B:$B,"SAIDA_DESCARTE")</f>
        <v/>
      </c>
      <c r="J4945" s="13">
        <f>G4945-H4945-I4945</f>
        <v/>
      </c>
      <c r="K4945">
        <f>IF(A4945="","",IF(J4945&lt;=IFERROR(VLOOKUP(A4945,Cadastro_Produtos!$A:$E,5,FALSE),0),"ABAIXO DO MINIMO","OK"))</f>
        <v/>
      </c>
    </row>
    <row r="4946">
      <c r="B4946">
        <f>IFERROR(VLOOKUP(A4946,Cadastro_Produtos!A:B,2,FALSE),"")</f>
        <v/>
      </c>
      <c r="D4946" s="12" t="n"/>
      <c r="E4946" s="13">
        <f>IF(D4946="","",D4946-TODAY())</f>
        <v/>
      </c>
      <c r="F4946">
        <f>IF(D4946="","",IF(E4946&lt;0,"VENCIDO",IF(E4946&lt;=30,"VENCE EM &lt;= 30 DIAS",IF(E4946&lt;=60,"ATENCAO (31-60 DIAS)","OK"))))</f>
        <v/>
      </c>
      <c r="G4946" s="13">
        <f>SUMIFS(Movimentacoes!$G:$G,Movimentacoes!$C:$C,$A4946,Movimentacoes!$E:$E,$C4946,Movimentacoes!$B:$B,"ENTRADA")</f>
        <v/>
      </c>
      <c r="H4946" s="13">
        <f>SUMIFS(Movimentacoes!$G:$G,Movimentacoes!$C:$C,$A4946,Movimentacoes!$E:$E,$C4946,Movimentacoes!$B:$B,"SAIDA_USO")</f>
        <v/>
      </c>
      <c r="I4946" s="13">
        <f>SUMIFS(Movimentacoes!$G:$G,Movimentacoes!$C:$C,$A4946,Movimentacoes!$E:$E,$C4946,Movimentacoes!$B:$B,"SAIDA_DESCARTE")</f>
        <v/>
      </c>
      <c r="J4946" s="13">
        <f>G4946-H4946-I4946</f>
        <v/>
      </c>
      <c r="K4946">
        <f>IF(A4946="","",IF(J4946&lt;=IFERROR(VLOOKUP(A4946,Cadastro_Produtos!$A:$E,5,FALSE),0),"ABAIXO DO MINIMO","OK"))</f>
        <v/>
      </c>
    </row>
    <row r="4947">
      <c r="B4947">
        <f>IFERROR(VLOOKUP(A4947,Cadastro_Produtos!A:B,2,FALSE),"")</f>
        <v/>
      </c>
      <c r="D4947" s="12" t="n"/>
      <c r="E4947" s="13">
        <f>IF(D4947="","",D4947-TODAY())</f>
        <v/>
      </c>
      <c r="F4947">
        <f>IF(D4947="","",IF(E4947&lt;0,"VENCIDO",IF(E4947&lt;=30,"VENCE EM &lt;= 30 DIAS",IF(E4947&lt;=60,"ATENCAO (31-60 DIAS)","OK"))))</f>
        <v/>
      </c>
      <c r="G4947" s="13">
        <f>SUMIFS(Movimentacoes!$G:$G,Movimentacoes!$C:$C,$A4947,Movimentacoes!$E:$E,$C4947,Movimentacoes!$B:$B,"ENTRADA")</f>
        <v/>
      </c>
      <c r="H4947" s="13">
        <f>SUMIFS(Movimentacoes!$G:$G,Movimentacoes!$C:$C,$A4947,Movimentacoes!$E:$E,$C4947,Movimentacoes!$B:$B,"SAIDA_USO")</f>
        <v/>
      </c>
      <c r="I4947" s="13">
        <f>SUMIFS(Movimentacoes!$G:$G,Movimentacoes!$C:$C,$A4947,Movimentacoes!$E:$E,$C4947,Movimentacoes!$B:$B,"SAIDA_DESCARTE")</f>
        <v/>
      </c>
      <c r="J4947" s="13">
        <f>G4947-H4947-I4947</f>
        <v/>
      </c>
      <c r="K4947">
        <f>IF(A4947="","",IF(J4947&lt;=IFERROR(VLOOKUP(A4947,Cadastro_Produtos!$A:$E,5,FALSE),0),"ABAIXO DO MINIMO","OK"))</f>
        <v/>
      </c>
    </row>
    <row r="4948">
      <c r="B4948">
        <f>IFERROR(VLOOKUP(A4948,Cadastro_Produtos!A:B,2,FALSE),"")</f>
        <v/>
      </c>
      <c r="D4948" s="12" t="n"/>
      <c r="E4948" s="13">
        <f>IF(D4948="","",D4948-TODAY())</f>
        <v/>
      </c>
      <c r="F4948">
        <f>IF(D4948="","",IF(E4948&lt;0,"VENCIDO",IF(E4948&lt;=30,"VENCE EM &lt;= 30 DIAS",IF(E4948&lt;=60,"ATENCAO (31-60 DIAS)","OK"))))</f>
        <v/>
      </c>
      <c r="G4948" s="13">
        <f>SUMIFS(Movimentacoes!$G:$G,Movimentacoes!$C:$C,$A4948,Movimentacoes!$E:$E,$C4948,Movimentacoes!$B:$B,"ENTRADA")</f>
        <v/>
      </c>
      <c r="H4948" s="13">
        <f>SUMIFS(Movimentacoes!$G:$G,Movimentacoes!$C:$C,$A4948,Movimentacoes!$E:$E,$C4948,Movimentacoes!$B:$B,"SAIDA_USO")</f>
        <v/>
      </c>
      <c r="I4948" s="13">
        <f>SUMIFS(Movimentacoes!$G:$G,Movimentacoes!$C:$C,$A4948,Movimentacoes!$E:$E,$C4948,Movimentacoes!$B:$B,"SAIDA_DESCARTE")</f>
        <v/>
      </c>
      <c r="J4948" s="13">
        <f>G4948-H4948-I4948</f>
        <v/>
      </c>
      <c r="K4948">
        <f>IF(A4948="","",IF(J4948&lt;=IFERROR(VLOOKUP(A4948,Cadastro_Produtos!$A:$E,5,FALSE),0),"ABAIXO DO MINIMO","OK"))</f>
        <v/>
      </c>
    </row>
    <row r="4949">
      <c r="B4949">
        <f>IFERROR(VLOOKUP(A4949,Cadastro_Produtos!A:B,2,FALSE),"")</f>
        <v/>
      </c>
      <c r="D4949" s="12" t="n"/>
      <c r="E4949" s="13">
        <f>IF(D4949="","",D4949-TODAY())</f>
        <v/>
      </c>
      <c r="F4949">
        <f>IF(D4949="","",IF(E4949&lt;0,"VENCIDO",IF(E4949&lt;=30,"VENCE EM &lt;= 30 DIAS",IF(E4949&lt;=60,"ATENCAO (31-60 DIAS)","OK"))))</f>
        <v/>
      </c>
      <c r="G4949" s="13">
        <f>SUMIFS(Movimentacoes!$G:$G,Movimentacoes!$C:$C,$A4949,Movimentacoes!$E:$E,$C4949,Movimentacoes!$B:$B,"ENTRADA")</f>
        <v/>
      </c>
      <c r="H4949" s="13">
        <f>SUMIFS(Movimentacoes!$G:$G,Movimentacoes!$C:$C,$A4949,Movimentacoes!$E:$E,$C4949,Movimentacoes!$B:$B,"SAIDA_USO")</f>
        <v/>
      </c>
      <c r="I4949" s="13">
        <f>SUMIFS(Movimentacoes!$G:$G,Movimentacoes!$C:$C,$A4949,Movimentacoes!$E:$E,$C4949,Movimentacoes!$B:$B,"SAIDA_DESCARTE")</f>
        <v/>
      </c>
      <c r="J4949" s="13">
        <f>G4949-H4949-I4949</f>
        <v/>
      </c>
      <c r="K4949">
        <f>IF(A4949="","",IF(J4949&lt;=IFERROR(VLOOKUP(A4949,Cadastro_Produtos!$A:$E,5,FALSE),0),"ABAIXO DO MINIMO","OK"))</f>
        <v/>
      </c>
    </row>
    <row r="4950">
      <c r="B4950">
        <f>IFERROR(VLOOKUP(A4950,Cadastro_Produtos!A:B,2,FALSE),"")</f>
        <v/>
      </c>
      <c r="D4950" s="12" t="n"/>
      <c r="E4950" s="13">
        <f>IF(D4950="","",D4950-TODAY())</f>
        <v/>
      </c>
      <c r="F4950">
        <f>IF(D4950="","",IF(E4950&lt;0,"VENCIDO",IF(E4950&lt;=30,"VENCE EM &lt;= 30 DIAS",IF(E4950&lt;=60,"ATENCAO (31-60 DIAS)","OK"))))</f>
        <v/>
      </c>
      <c r="G4950" s="13">
        <f>SUMIFS(Movimentacoes!$G:$G,Movimentacoes!$C:$C,$A4950,Movimentacoes!$E:$E,$C4950,Movimentacoes!$B:$B,"ENTRADA")</f>
        <v/>
      </c>
      <c r="H4950" s="13">
        <f>SUMIFS(Movimentacoes!$G:$G,Movimentacoes!$C:$C,$A4950,Movimentacoes!$E:$E,$C4950,Movimentacoes!$B:$B,"SAIDA_USO")</f>
        <v/>
      </c>
      <c r="I4950" s="13">
        <f>SUMIFS(Movimentacoes!$G:$G,Movimentacoes!$C:$C,$A4950,Movimentacoes!$E:$E,$C4950,Movimentacoes!$B:$B,"SAIDA_DESCARTE")</f>
        <v/>
      </c>
      <c r="J4950" s="13">
        <f>G4950-H4950-I4950</f>
        <v/>
      </c>
      <c r="K4950">
        <f>IF(A4950="","",IF(J4950&lt;=IFERROR(VLOOKUP(A4950,Cadastro_Produtos!$A:$E,5,FALSE),0),"ABAIXO DO MINIMO","OK"))</f>
        <v/>
      </c>
    </row>
    <row r="4951">
      <c r="B4951">
        <f>IFERROR(VLOOKUP(A4951,Cadastro_Produtos!A:B,2,FALSE),"")</f>
        <v/>
      </c>
      <c r="D4951" s="12" t="n"/>
      <c r="E4951" s="13">
        <f>IF(D4951="","",D4951-TODAY())</f>
        <v/>
      </c>
      <c r="F4951">
        <f>IF(D4951="","",IF(E4951&lt;0,"VENCIDO",IF(E4951&lt;=30,"VENCE EM &lt;= 30 DIAS",IF(E4951&lt;=60,"ATENCAO (31-60 DIAS)","OK"))))</f>
        <v/>
      </c>
      <c r="G4951" s="13">
        <f>SUMIFS(Movimentacoes!$G:$G,Movimentacoes!$C:$C,$A4951,Movimentacoes!$E:$E,$C4951,Movimentacoes!$B:$B,"ENTRADA")</f>
        <v/>
      </c>
      <c r="H4951" s="13">
        <f>SUMIFS(Movimentacoes!$G:$G,Movimentacoes!$C:$C,$A4951,Movimentacoes!$E:$E,$C4951,Movimentacoes!$B:$B,"SAIDA_USO")</f>
        <v/>
      </c>
      <c r="I4951" s="13">
        <f>SUMIFS(Movimentacoes!$G:$G,Movimentacoes!$C:$C,$A4951,Movimentacoes!$E:$E,$C4951,Movimentacoes!$B:$B,"SAIDA_DESCARTE")</f>
        <v/>
      </c>
      <c r="J4951" s="13">
        <f>G4951-H4951-I4951</f>
        <v/>
      </c>
      <c r="K4951">
        <f>IF(A4951="","",IF(J4951&lt;=IFERROR(VLOOKUP(A4951,Cadastro_Produtos!$A:$E,5,FALSE),0),"ABAIXO DO MINIMO","OK"))</f>
        <v/>
      </c>
    </row>
    <row r="4952">
      <c r="B4952">
        <f>IFERROR(VLOOKUP(A4952,Cadastro_Produtos!A:B,2,FALSE),"")</f>
        <v/>
      </c>
      <c r="D4952" s="12" t="n"/>
      <c r="E4952" s="13">
        <f>IF(D4952="","",D4952-TODAY())</f>
        <v/>
      </c>
      <c r="F4952">
        <f>IF(D4952="","",IF(E4952&lt;0,"VENCIDO",IF(E4952&lt;=30,"VENCE EM &lt;= 30 DIAS",IF(E4952&lt;=60,"ATENCAO (31-60 DIAS)","OK"))))</f>
        <v/>
      </c>
      <c r="G4952" s="13">
        <f>SUMIFS(Movimentacoes!$G:$G,Movimentacoes!$C:$C,$A4952,Movimentacoes!$E:$E,$C4952,Movimentacoes!$B:$B,"ENTRADA")</f>
        <v/>
      </c>
      <c r="H4952" s="13">
        <f>SUMIFS(Movimentacoes!$G:$G,Movimentacoes!$C:$C,$A4952,Movimentacoes!$E:$E,$C4952,Movimentacoes!$B:$B,"SAIDA_USO")</f>
        <v/>
      </c>
      <c r="I4952" s="13">
        <f>SUMIFS(Movimentacoes!$G:$G,Movimentacoes!$C:$C,$A4952,Movimentacoes!$E:$E,$C4952,Movimentacoes!$B:$B,"SAIDA_DESCARTE")</f>
        <v/>
      </c>
      <c r="J4952" s="13">
        <f>G4952-H4952-I4952</f>
        <v/>
      </c>
      <c r="K4952">
        <f>IF(A4952="","",IF(J4952&lt;=IFERROR(VLOOKUP(A4952,Cadastro_Produtos!$A:$E,5,FALSE),0),"ABAIXO DO MINIMO","OK"))</f>
        <v/>
      </c>
    </row>
    <row r="4953">
      <c r="B4953">
        <f>IFERROR(VLOOKUP(A4953,Cadastro_Produtos!A:B,2,FALSE),"")</f>
        <v/>
      </c>
      <c r="D4953" s="12" t="n"/>
      <c r="E4953" s="13">
        <f>IF(D4953="","",D4953-TODAY())</f>
        <v/>
      </c>
      <c r="F4953">
        <f>IF(D4953="","",IF(E4953&lt;0,"VENCIDO",IF(E4953&lt;=30,"VENCE EM &lt;= 30 DIAS",IF(E4953&lt;=60,"ATENCAO (31-60 DIAS)","OK"))))</f>
        <v/>
      </c>
      <c r="G4953" s="13">
        <f>SUMIFS(Movimentacoes!$G:$G,Movimentacoes!$C:$C,$A4953,Movimentacoes!$E:$E,$C4953,Movimentacoes!$B:$B,"ENTRADA")</f>
        <v/>
      </c>
      <c r="H4953" s="13">
        <f>SUMIFS(Movimentacoes!$G:$G,Movimentacoes!$C:$C,$A4953,Movimentacoes!$E:$E,$C4953,Movimentacoes!$B:$B,"SAIDA_USO")</f>
        <v/>
      </c>
      <c r="I4953" s="13">
        <f>SUMIFS(Movimentacoes!$G:$G,Movimentacoes!$C:$C,$A4953,Movimentacoes!$E:$E,$C4953,Movimentacoes!$B:$B,"SAIDA_DESCARTE")</f>
        <v/>
      </c>
      <c r="J4953" s="13">
        <f>G4953-H4953-I4953</f>
        <v/>
      </c>
      <c r="K4953">
        <f>IF(A4953="","",IF(J4953&lt;=IFERROR(VLOOKUP(A4953,Cadastro_Produtos!$A:$E,5,FALSE),0),"ABAIXO DO MINIMO","OK"))</f>
        <v/>
      </c>
    </row>
    <row r="4954">
      <c r="B4954">
        <f>IFERROR(VLOOKUP(A4954,Cadastro_Produtos!A:B,2,FALSE),"")</f>
        <v/>
      </c>
      <c r="D4954" s="12" t="n"/>
      <c r="E4954" s="13">
        <f>IF(D4954="","",D4954-TODAY())</f>
        <v/>
      </c>
      <c r="F4954">
        <f>IF(D4954="","",IF(E4954&lt;0,"VENCIDO",IF(E4954&lt;=30,"VENCE EM &lt;= 30 DIAS",IF(E4954&lt;=60,"ATENCAO (31-60 DIAS)","OK"))))</f>
        <v/>
      </c>
      <c r="G4954" s="13">
        <f>SUMIFS(Movimentacoes!$G:$G,Movimentacoes!$C:$C,$A4954,Movimentacoes!$E:$E,$C4954,Movimentacoes!$B:$B,"ENTRADA")</f>
        <v/>
      </c>
      <c r="H4954" s="13">
        <f>SUMIFS(Movimentacoes!$G:$G,Movimentacoes!$C:$C,$A4954,Movimentacoes!$E:$E,$C4954,Movimentacoes!$B:$B,"SAIDA_USO")</f>
        <v/>
      </c>
      <c r="I4954" s="13">
        <f>SUMIFS(Movimentacoes!$G:$G,Movimentacoes!$C:$C,$A4954,Movimentacoes!$E:$E,$C4954,Movimentacoes!$B:$B,"SAIDA_DESCARTE")</f>
        <v/>
      </c>
      <c r="J4954" s="13">
        <f>G4954-H4954-I4954</f>
        <v/>
      </c>
      <c r="K4954">
        <f>IF(A4954="","",IF(J4954&lt;=IFERROR(VLOOKUP(A4954,Cadastro_Produtos!$A:$E,5,FALSE),0),"ABAIXO DO MINIMO","OK"))</f>
        <v/>
      </c>
    </row>
    <row r="4955">
      <c r="B4955">
        <f>IFERROR(VLOOKUP(A4955,Cadastro_Produtos!A:B,2,FALSE),"")</f>
        <v/>
      </c>
      <c r="D4955" s="12" t="n"/>
      <c r="E4955" s="13">
        <f>IF(D4955="","",D4955-TODAY())</f>
        <v/>
      </c>
      <c r="F4955">
        <f>IF(D4955="","",IF(E4955&lt;0,"VENCIDO",IF(E4955&lt;=30,"VENCE EM &lt;= 30 DIAS",IF(E4955&lt;=60,"ATENCAO (31-60 DIAS)","OK"))))</f>
        <v/>
      </c>
      <c r="G4955" s="13">
        <f>SUMIFS(Movimentacoes!$G:$G,Movimentacoes!$C:$C,$A4955,Movimentacoes!$E:$E,$C4955,Movimentacoes!$B:$B,"ENTRADA")</f>
        <v/>
      </c>
      <c r="H4955" s="13">
        <f>SUMIFS(Movimentacoes!$G:$G,Movimentacoes!$C:$C,$A4955,Movimentacoes!$E:$E,$C4955,Movimentacoes!$B:$B,"SAIDA_USO")</f>
        <v/>
      </c>
      <c r="I4955" s="13">
        <f>SUMIFS(Movimentacoes!$G:$G,Movimentacoes!$C:$C,$A4955,Movimentacoes!$E:$E,$C4955,Movimentacoes!$B:$B,"SAIDA_DESCARTE")</f>
        <v/>
      </c>
      <c r="J4955" s="13">
        <f>G4955-H4955-I4955</f>
        <v/>
      </c>
      <c r="K4955">
        <f>IF(A4955="","",IF(J4955&lt;=IFERROR(VLOOKUP(A4955,Cadastro_Produtos!$A:$E,5,FALSE),0),"ABAIXO DO MINIMO","OK"))</f>
        <v/>
      </c>
    </row>
    <row r="4956">
      <c r="B4956">
        <f>IFERROR(VLOOKUP(A4956,Cadastro_Produtos!A:B,2,FALSE),"")</f>
        <v/>
      </c>
      <c r="D4956" s="12" t="n"/>
      <c r="E4956" s="13">
        <f>IF(D4956="","",D4956-TODAY())</f>
        <v/>
      </c>
      <c r="F4956">
        <f>IF(D4956="","",IF(E4956&lt;0,"VENCIDO",IF(E4956&lt;=30,"VENCE EM &lt;= 30 DIAS",IF(E4956&lt;=60,"ATENCAO (31-60 DIAS)","OK"))))</f>
        <v/>
      </c>
      <c r="G4956" s="13">
        <f>SUMIFS(Movimentacoes!$G:$G,Movimentacoes!$C:$C,$A4956,Movimentacoes!$E:$E,$C4956,Movimentacoes!$B:$B,"ENTRADA")</f>
        <v/>
      </c>
      <c r="H4956" s="13">
        <f>SUMIFS(Movimentacoes!$G:$G,Movimentacoes!$C:$C,$A4956,Movimentacoes!$E:$E,$C4956,Movimentacoes!$B:$B,"SAIDA_USO")</f>
        <v/>
      </c>
      <c r="I4956" s="13">
        <f>SUMIFS(Movimentacoes!$G:$G,Movimentacoes!$C:$C,$A4956,Movimentacoes!$E:$E,$C4956,Movimentacoes!$B:$B,"SAIDA_DESCARTE")</f>
        <v/>
      </c>
      <c r="J4956" s="13">
        <f>G4956-H4956-I4956</f>
        <v/>
      </c>
      <c r="K4956">
        <f>IF(A4956="","",IF(J4956&lt;=IFERROR(VLOOKUP(A4956,Cadastro_Produtos!$A:$E,5,FALSE),0),"ABAIXO DO MINIMO","OK"))</f>
        <v/>
      </c>
    </row>
    <row r="4957">
      <c r="B4957">
        <f>IFERROR(VLOOKUP(A4957,Cadastro_Produtos!A:B,2,FALSE),"")</f>
        <v/>
      </c>
      <c r="D4957" s="12" t="n"/>
      <c r="E4957" s="13">
        <f>IF(D4957="","",D4957-TODAY())</f>
        <v/>
      </c>
      <c r="F4957">
        <f>IF(D4957="","",IF(E4957&lt;0,"VENCIDO",IF(E4957&lt;=30,"VENCE EM &lt;= 30 DIAS",IF(E4957&lt;=60,"ATENCAO (31-60 DIAS)","OK"))))</f>
        <v/>
      </c>
      <c r="G4957" s="13">
        <f>SUMIFS(Movimentacoes!$G:$G,Movimentacoes!$C:$C,$A4957,Movimentacoes!$E:$E,$C4957,Movimentacoes!$B:$B,"ENTRADA")</f>
        <v/>
      </c>
      <c r="H4957" s="13">
        <f>SUMIFS(Movimentacoes!$G:$G,Movimentacoes!$C:$C,$A4957,Movimentacoes!$E:$E,$C4957,Movimentacoes!$B:$B,"SAIDA_USO")</f>
        <v/>
      </c>
      <c r="I4957" s="13">
        <f>SUMIFS(Movimentacoes!$G:$G,Movimentacoes!$C:$C,$A4957,Movimentacoes!$E:$E,$C4957,Movimentacoes!$B:$B,"SAIDA_DESCARTE")</f>
        <v/>
      </c>
      <c r="J4957" s="13">
        <f>G4957-H4957-I4957</f>
        <v/>
      </c>
      <c r="K4957">
        <f>IF(A4957="","",IF(J4957&lt;=IFERROR(VLOOKUP(A4957,Cadastro_Produtos!$A:$E,5,FALSE),0),"ABAIXO DO MINIMO","OK"))</f>
        <v/>
      </c>
    </row>
    <row r="4958">
      <c r="B4958">
        <f>IFERROR(VLOOKUP(A4958,Cadastro_Produtos!A:B,2,FALSE),"")</f>
        <v/>
      </c>
      <c r="D4958" s="12" t="n"/>
      <c r="E4958" s="13">
        <f>IF(D4958="","",D4958-TODAY())</f>
        <v/>
      </c>
      <c r="F4958">
        <f>IF(D4958="","",IF(E4958&lt;0,"VENCIDO",IF(E4958&lt;=30,"VENCE EM &lt;= 30 DIAS",IF(E4958&lt;=60,"ATENCAO (31-60 DIAS)","OK"))))</f>
        <v/>
      </c>
      <c r="G4958" s="13">
        <f>SUMIFS(Movimentacoes!$G:$G,Movimentacoes!$C:$C,$A4958,Movimentacoes!$E:$E,$C4958,Movimentacoes!$B:$B,"ENTRADA")</f>
        <v/>
      </c>
      <c r="H4958" s="13">
        <f>SUMIFS(Movimentacoes!$G:$G,Movimentacoes!$C:$C,$A4958,Movimentacoes!$E:$E,$C4958,Movimentacoes!$B:$B,"SAIDA_USO")</f>
        <v/>
      </c>
      <c r="I4958" s="13">
        <f>SUMIFS(Movimentacoes!$G:$G,Movimentacoes!$C:$C,$A4958,Movimentacoes!$E:$E,$C4958,Movimentacoes!$B:$B,"SAIDA_DESCARTE")</f>
        <v/>
      </c>
      <c r="J4958" s="13">
        <f>G4958-H4958-I4958</f>
        <v/>
      </c>
      <c r="K4958">
        <f>IF(A4958="","",IF(J4958&lt;=IFERROR(VLOOKUP(A4958,Cadastro_Produtos!$A:$E,5,FALSE),0),"ABAIXO DO MINIMO","OK"))</f>
        <v/>
      </c>
    </row>
    <row r="4959">
      <c r="B4959">
        <f>IFERROR(VLOOKUP(A4959,Cadastro_Produtos!A:B,2,FALSE),"")</f>
        <v/>
      </c>
      <c r="D4959" s="12" t="n"/>
      <c r="E4959" s="13">
        <f>IF(D4959="","",D4959-TODAY())</f>
        <v/>
      </c>
      <c r="F4959">
        <f>IF(D4959="","",IF(E4959&lt;0,"VENCIDO",IF(E4959&lt;=30,"VENCE EM &lt;= 30 DIAS",IF(E4959&lt;=60,"ATENCAO (31-60 DIAS)","OK"))))</f>
        <v/>
      </c>
      <c r="G4959" s="13">
        <f>SUMIFS(Movimentacoes!$G:$G,Movimentacoes!$C:$C,$A4959,Movimentacoes!$E:$E,$C4959,Movimentacoes!$B:$B,"ENTRADA")</f>
        <v/>
      </c>
      <c r="H4959" s="13">
        <f>SUMIFS(Movimentacoes!$G:$G,Movimentacoes!$C:$C,$A4959,Movimentacoes!$E:$E,$C4959,Movimentacoes!$B:$B,"SAIDA_USO")</f>
        <v/>
      </c>
      <c r="I4959" s="13">
        <f>SUMIFS(Movimentacoes!$G:$G,Movimentacoes!$C:$C,$A4959,Movimentacoes!$E:$E,$C4959,Movimentacoes!$B:$B,"SAIDA_DESCARTE")</f>
        <v/>
      </c>
      <c r="J4959" s="13">
        <f>G4959-H4959-I4959</f>
        <v/>
      </c>
      <c r="K4959">
        <f>IF(A4959="","",IF(J4959&lt;=IFERROR(VLOOKUP(A4959,Cadastro_Produtos!$A:$E,5,FALSE),0),"ABAIXO DO MINIMO","OK"))</f>
        <v/>
      </c>
    </row>
    <row r="4960">
      <c r="B4960">
        <f>IFERROR(VLOOKUP(A4960,Cadastro_Produtos!A:B,2,FALSE),"")</f>
        <v/>
      </c>
      <c r="D4960" s="12" t="n"/>
      <c r="E4960" s="13">
        <f>IF(D4960="","",D4960-TODAY())</f>
        <v/>
      </c>
      <c r="F4960">
        <f>IF(D4960="","",IF(E4960&lt;0,"VENCIDO",IF(E4960&lt;=30,"VENCE EM &lt;= 30 DIAS",IF(E4960&lt;=60,"ATENCAO (31-60 DIAS)","OK"))))</f>
        <v/>
      </c>
      <c r="G4960" s="13">
        <f>SUMIFS(Movimentacoes!$G:$G,Movimentacoes!$C:$C,$A4960,Movimentacoes!$E:$E,$C4960,Movimentacoes!$B:$B,"ENTRADA")</f>
        <v/>
      </c>
      <c r="H4960" s="13">
        <f>SUMIFS(Movimentacoes!$G:$G,Movimentacoes!$C:$C,$A4960,Movimentacoes!$E:$E,$C4960,Movimentacoes!$B:$B,"SAIDA_USO")</f>
        <v/>
      </c>
      <c r="I4960" s="13">
        <f>SUMIFS(Movimentacoes!$G:$G,Movimentacoes!$C:$C,$A4960,Movimentacoes!$E:$E,$C4960,Movimentacoes!$B:$B,"SAIDA_DESCARTE")</f>
        <v/>
      </c>
      <c r="J4960" s="13">
        <f>G4960-H4960-I4960</f>
        <v/>
      </c>
      <c r="K4960">
        <f>IF(A4960="","",IF(J4960&lt;=IFERROR(VLOOKUP(A4960,Cadastro_Produtos!$A:$E,5,FALSE),0),"ABAIXO DO MINIMO","OK"))</f>
        <v/>
      </c>
    </row>
    <row r="4961">
      <c r="B4961">
        <f>IFERROR(VLOOKUP(A4961,Cadastro_Produtos!A:B,2,FALSE),"")</f>
        <v/>
      </c>
      <c r="D4961" s="12" t="n"/>
      <c r="E4961" s="13">
        <f>IF(D4961="","",D4961-TODAY())</f>
        <v/>
      </c>
      <c r="F4961">
        <f>IF(D4961="","",IF(E4961&lt;0,"VENCIDO",IF(E4961&lt;=30,"VENCE EM &lt;= 30 DIAS",IF(E4961&lt;=60,"ATENCAO (31-60 DIAS)","OK"))))</f>
        <v/>
      </c>
      <c r="G4961" s="13">
        <f>SUMIFS(Movimentacoes!$G:$G,Movimentacoes!$C:$C,$A4961,Movimentacoes!$E:$E,$C4961,Movimentacoes!$B:$B,"ENTRADA")</f>
        <v/>
      </c>
      <c r="H4961" s="13">
        <f>SUMIFS(Movimentacoes!$G:$G,Movimentacoes!$C:$C,$A4961,Movimentacoes!$E:$E,$C4961,Movimentacoes!$B:$B,"SAIDA_USO")</f>
        <v/>
      </c>
      <c r="I4961" s="13">
        <f>SUMIFS(Movimentacoes!$G:$G,Movimentacoes!$C:$C,$A4961,Movimentacoes!$E:$E,$C4961,Movimentacoes!$B:$B,"SAIDA_DESCARTE")</f>
        <v/>
      </c>
      <c r="J4961" s="13">
        <f>G4961-H4961-I4961</f>
        <v/>
      </c>
      <c r="K4961">
        <f>IF(A4961="","",IF(J4961&lt;=IFERROR(VLOOKUP(A4961,Cadastro_Produtos!$A:$E,5,FALSE),0),"ABAIXO DO MINIMO","OK"))</f>
        <v/>
      </c>
    </row>
    <row r="4962">
      <c r="B4962">
        <f>IFERROR(VLOOKUP(A4962,Cadastro_Produtos!A:B,2,FALSE),"")</f>
        <v/>
      </c>
      <c r="D4962" s="12" t="n"/>
      <c r="E4962" s="13">
        <f>IF(D4962="","",D4962-TODAY())</f>
        <v/>
      </c>
      <c r="F4962">
        <f>IF(D4962="","",IF(E4962&lt;0,"VENCIDO",IF(E4962&lt;=30,"VENCE EM &lt;= 30 DIAS",IF(E4962&lt;=60,"ATENCAO (31-60 DIAS)","OK"))))</f>
        <v/>
      </c>
      <c r="G4962" s="13">
        <f>SUMIFS(Movimentacoes!$G:$G,Movimentacoes!$C:$C,$A4962,Movimentacoes!$E:$E,$C4962,Movimentacoes!$B:$B,"ENTRADA")</f>
        <v/>
      </c>
      <c r="H4962" s="13">
        <f>SUMIFS(Movimentacoes!$G:$G,Movimentacoes!$C:$C,$A4962,Movimentacoes!$E:$E,$C4962,Movimentacoes!$B:$B,"SAIDA_USO")</f>
        <v/>
      </c>
      <c r="I4962" s="13">
        <f>SUMIFS(Movimentacoes!$G:$G,Movimentacoes!$C:$C,$A4962,Movimentacoes!$E:$E,$C4962,Movimentacoes!$B:$B,"SAIDA_DESCARTE")</f>
        <v/>
      </c>
      <c r="J4962" s="13">
        <f>G4962-H4962-I4962</f>
        <v/>
      </c>
      <c r="K4962">
        <f>IF(A4962="","",IF(J4962&lt;=IFERROR(VLOOKUP(A4962,Cadastro_Produtos!$A:$E,5,FALSE),0),"ABAIXO DO MINIMO","OK"))</f>
        <v/>
      </c>
    </row>
    <row r="4963">
      <c r="B4963">
        <f>IFERROR(VLOOKUP(A4963,Cadastro_Produtos!A:B,2,FALSE),"")</f>
        <v/>
      </c>
      <c r="D4963" s="12" t="n"/>
      <c r="E4963" s="13">
        <f>IF(D4963="","",D4963-TODAY())</f>
        <v/>
      </c>
      <c r="F4963">
        <f>IF(D4963="","",IF(E4963&lt;0,"VENCIDO",IF(E4963&lt;=30,"VENCE EM &lt;= 30 DIAS",IF(E4963&lt;=60,"ATENCAO (31-60 DIAS)","OK"))))</f>
        <v/>
      </c>
      <c r="G4963" s="13">
        <f>SUMIFS(Movimentacoes!$G:$G,Movimentacoes!$C:$C,$A4963,Movimentacoes!$E:$E,$C4963,Movimentacoes!$B:$B,"ENTRADA")</f>
        <v/>
      </c>
      <c r="H4963" s="13">
        <f>SUMIFS(Movimentacoes!$G:$G,Movimentacoes!$C:$C,$A4963,Movimentacoes!$E:$E,$C4963,Movimentacoes!$B:$B,"SAIDA_USO")</f>
        <v/>
      </c>
      <c r="I4963" s="13">
        <f>SUMIFS(Movimentacoes!$G:$G,Movimentacoes!$C:$C,$A4963,Movimentacoes!$E:$E,$C4963,Movimentacoes!$B:$B,"SAIDA_DESCARTE")</f>
        <v/>
      </c>
      <c r="J4963" s="13">
        <f>G4963-H4963-I4963</f>
        <v/>
      </c>
      <c r="K4963">
        <f>IF(A4963="","",IF(J4963&lt;=IFERROR(VLOOKUP(A4963,Cadastro_Produtos!$A:$E,5,FALSE),0),"ABAIXO DO MINIMO","OK"))</f>
        <v/>
      </c>
    </row>
    <row r="4964">
      <c r="B4964">
        <f>IFERROR(VLOOKUP(A4964,Cadastro_Produtos!A:B,2,FALSE),"")</f>
        <v/>
      </c>
      <c r="D4964" s="12" t="n"/>
      <c r="E4964" s="13">
        <f>IF(D4964="","",D4964-TODAY())</f>
        <v/>
      </c>
      <c r="F4964">
        <f>IF(D4964="","",IF(E4964&lt;0,"VENCIDO",IF(E4964&lt;=30,"VENCE EM &lt;= 30 DIAS",IF(E4964&lt;=60,"ATENCAO (31-60 DIAS)","OK"))))</f>
        <v/>
      </c>
      <c r="G4964" s="13">
        <f>SUMIFS(Movimentacoes!$G:$G,Movimentacoes!$C:$C,$A4964,Movimentacoes!$E:$E,$C4964,Movimentacoes!$B:$B,"ENTRADA")</f>
        <v/>
      </c>
      <c r="H4964" s="13">
        <f>SUMIFS(Movimentacoes!$G:$G,Movimentacoes!$C:$C,$A4964,Movimentacoes!$E:$E,$C4964,Movimentacoes!$B:$B,"SAIDA_USO")</f>
        <v/>
      </c>
      <c r="I4964" s="13">
        <f>SUMIFS(Movimentacoes!$G:$G,Movimentacoes!$C:$C,$A4964,Movimentacoes!$E:$E,$C4964,Movimentacoes!$B:$B,"SAIDA_DESCARTE")</f>
        <v/>
      </c>
      <c r="J4964" s="13">
        <f>G4964-H4964-I4964</f>
        <v/>
      </c>
      <c r="K4964">
        <f>IF(A4964="","",IF(J4964&lt;=IFERROR(VLOOKUP(A4964,Cadastro_Produtos!$A:$E,5,FALSE),0),"ABAIXO DO MINIMO","OK"))</f>
        <v/>
      </c>
    </row>
    <row r="4965">
      <c r="B4965">
        <f>IFERROR(VLOOKUP(A4965,Cadastro_Produtos!A:B,2,FALSE),"")</f>
        <v/>
      </c>
      <c r="D4965" s="12" t="n"/>
      <c r="E4965" s="13">
        <f>IF(D4965="","",D4965-TODAY())</f>
        <v/>
      </c>
      <c r="F4965">
        <f>IF(D4965="","",IF(E4965&lt;0,"VENCIDO",IF(E4965&lt;=30,"VENCE EM &lt;= 30 DIAS",IF(E4965&lt;=60,"ATENCAO (31-60 DIAS)","OK"))))</f>
        <v/>
      </c>
      <c r="G4965" s="13">
        <f>SUMIFS(Movimentacoes!$G:$G,Movimentacoes!$C:$C,$A4965,Movimentacoes!$E:$E,$C4965,Movimentacoes!$B:$B,"ENTRADA")</f>
        <v/>
      </c>
      <c r="H4965" s="13">
        <f>SUMIFS(Movimentacoes!$G:$G,Movimentacoes!$C:$C,$A4965,Movimentacoes!$E:$E,$C4965,Movimentacoes!$B:$B,"SAIDA_USO")</f>
        <v/>
      </c>
      <c r="I4965" s="13">
        <f>SUMIFS(Movimentacoes!$G:$G,Movimentacoes!$C:$C,$A4965,Movimentacoes!$E:$E,$C4965,Movimentacoes!$B:$B,"SAIDA_DESCARTE")</f>
        <v/>
      </c>
      <c r="J4965" s="13">
        <f>G4965-H4965-I4965</f>
        <v/>
      </c>
      <c r="K4965">
        <f>IF(A4965="","",IF(J4965&lt;=IFERROR(VLOOKUP(A4965,Cadastro_Produtos!$A:$E,5,FALSE),0),"ABAIXO DO MINIMO","OK"))</f>
        <v/>
      </c>
    </row>
    <row r="4966">
      <c r="B4966">
        <f>IFERROR(VLOOKUP(A4966,Cadastro_Produtos!A:B,2,FALSE),"")</f>
        <v/>
      </c>
      <c r="D4966" s="12" t="n"/>
      <c r="E4966" s="13">
        <f>IF(D4966="","",D4966-TODAY())</f>
        <v/>
      </c>
      <c r="F4966">
        <f>IF(D4966="","",IF(E4966&lt;0,"VENCIDO",IF(E4966&lt;=30,"VENCE EM &lt;= 30 DIAS",IF(E4966&lt;=60,"ATENCAO (31-60 DIAS)","OK"))))</f>
        <v/>
      </c>
      <c r="G4966" s="13">
        <f>SUMIFS(Movimentacoes!$G:$G,Movimentacoes!$C:$C,$A4966,Movimentacoes!$E:$E,$C4966,Movimentacoes!$B:$B,"ENTRADA")</f>
        <v/>
      </c>
      <c r="H4966" s="13">
        <f>SUMIFS(Movimentacoes!$G:$G,Movimentacoes!$C:$C,$A4966,Movimentacoes!$E:$E,$C4966,Movimentacoes!$B:$B,"SAIDA_USO")</f>
        <v/>
      </c>
      <c r="I4966" s="13">
        <f>SUMIFS(Movimentacoes!$G:$G,Movimentacoes!$C:$C,$A4966,Movimentacoes!$E:$E,$C4966,Movimentacoes!$B:$B,"SAIDA_DESCARTE")</f>
        <v/>
      </c>
      <c r="J4966" s="13">
        <f>G4966-H4966-I4966</f>
        <v/>
      </c>
      <c r="K4966">
        <f>IF(A4966="","",IF(J4966&lt;=IFERROR(VLOOKUP(A4966,Cadastro_Produtos!$A:$E,5,FALSE),0),"ABAIXO DO MINIMO","OK"))</f>
        <v/>
      </c>
    </row>
    <row r="4967">
      <c r="B4967">
        <f>IFERROR(VLOOKUP(A4967,Cadastro_Produtos!A:B,2,FALSE),"")</f>
        <v/>
      </c>
      <c r="D4967" s="12" t="n"/>
      <c r="E4967" s="13">
        <f>IF(D4967="","",D4967-TODAY())</f>
        <v/>
      </c>
      <c r="F4967">
        <f>IF(D4967="","",IF(E4967&lt;0,"VENCIDO",IF(E4967&lt;=30,"VENCE EM &lt;= 30 DIAS",IF(E4967&lt;=60,"ATENCAO (31-60 DIAS)","OK"))))</f>
        <v/>
      </c>
      <c r="G4967" s="13">
        <f>SUMIFS(Movimentacoes!$G:$G,Movimentacoes!$C:$C,$A4967,Movimentacoes!$E:$E,$C4967,Movimentacoes!$B:$B,"ENTRADA")</f>
        <v/>
      </c>
      <c r="H4967" s="13">
        <f>SUMIFS(Movimentacoes!$G:$G,Movimentacoes!$C:$C,$A4967,Movimentacoes!$E:$E,$C4967,Movimentacoes!$B:$B,"SAIDA_USO")</f>
        <v/>
      </c>
      <c r="I4967" s="13">
        <f>SUMIFS(Movimentacoes!$G:$G,Movimentacoes!$C:$C,$A4967,Movimentacoes!$E:$E,$C4967,Movimentacoes!$B:$B,"SAIDA_DESCARTE")</f>
        <v/>
      </c>
      <c r="J4967" s="13">
        <f>G4967-H4967-I4967</f>
        <v/>
      </c>
      <c r="K4967">
        <f>IF(A4967="","",IF(J4967&lt;=IFERROR(VLOOKUP(A4967,Cadastro_Produtos!$A:$E,5,FALSE),0),"ABAIXO DO MINIMO","OK"))</f>
        <v/>
      </c>
    </row>
    <row r="4968">
      <c r="B4968">
        <f>IFERROR(VLOOKUP(A4968,Cadastro_Produtos!A:B,2,FALSE),"")</f>
        <v/>
      </c>
      <c r="D4968" s="12" t="n"/>
      <c r="E4968" s="13">
        <f>IF(D4968="","",D4968-TODAY())</f>
        <v/>
      </c>
      <c r="F4968">
        <f>IF(D4968="","",IF(E4968&lt;0,"VENCIDO",IF(E4968&lt;=30,"VENCE EM &lt;= 30 DIAS",IF(E4968&lt;=60,"ATENCAO (31-60 DIAS)","OK"))))</f>
        <v/>
      </c>
      <c r="G4968" s="13">
        <f>SUMIFS(Movimentacoes!$G:$G,Movimentacoes!$C:$C,$A4968,Movimentacoes!$E:$E,$C4968,Movimentacoes!$B:$B,"ENTRADA")</f>
        <v/>
      </c>
      <c r="H4968" s="13">
        <f>SUMIFS(Movimentacoes!$G:$G,Movimentacoes!$C:$C,$A4968,Movimentacoes!$E:$E,$C4968,Movimentacoes!$B:$B,"SAIDA_USO")</f>
        <v/>
      </c>
      <c r="I4968" s="13">
        <f>SUMIFS(Movimentacoes!$G:$G,Movimentacoes!$C:$C,$A4968,Movimentacoes!$E:$E,$C4968,Movimentacoes!$B:$B,"SAIDA_DESCARTE")</f>
        <v/>
      </c>
      <c r="J4968" s="13">
        <f>G4968-H4968-I4968</f>
        <v/>
      </c>
      <c r="K4968">
        <f>IF(A4968="","",IF(J4968&lt;=IFERROR(VLOOKUP(A4968,Cadastro_Produtos!$A:$E,5,FALSE),0),"ABAIXO DO MINIMO","OK"))</f>
        <v/>
      </c>
    </row>
    <row r="4969">
      <c r="B4969">
        <f>IFERROR(VLOOKUP(A4969,Cadastro_Produtos!A:B,2,FALSE),"")</f>
        <v/>
      </c>
      <c r="D4969" s="12" t="n"/>
      <c r="E4969" s="13">
        <f>IF(D4969="","",D4969-TODAY())</f>
        <v/>
      </c>
      <c r="F4969">
        <f>IF(D4969="","",IF(E4969&lt;0,"VENCIDO",IF(E4969&lt;=30,"VENCE EM &lt;= 30 DIAS",IF(E4969&lt;=60,"ATENCAO (31-60 DIAS)","OK"))))</f>
        <v/>
      </c>
      <c r="G4969" s="13">
        <f>SUMIFS(Movimentacoes!$G:$G,Movimentacoes!$C:$C,$A4969,Movimentacoes!$E:$E,$C4969,Movimentacoes!$B:$B,"ENTRADA")</f>
        <v/>
      </c>
      <c r="H4969" s="13">
        <f>SUMIFS(Movimentacoes!$G:$G,Movimentacoes!$C:$C,$A4969,Movimentacoes!$E:$E,$C4969,Movimentacoes!$B:$B,"SAIDA_USO")</f>
        <v/>
      </c>
      <c r="I4969" s="13">
        <f>SUMIFS(Movimentacoes!$G:$G,Movimentacoes!$C:$C,$A4969,Movimentacoes!$E:$E,$C4969,Movimentacoes!$B:$B,"SAIDA_DESCARTE")</f>
        <v/>
      </c>
      <c r="J4969" s="13">
        <f>G4969-H4969-I4969</f>
        <v/>
      </c>
      <c r="K4969">
        <f>IF(A4969="","",IF(J4969&lt;=IFERROR(VLOOKUP(A4969,Cadastro_Produtos!$A:$E,5,FALSE),0),"ABAIXO DO MINIMO","OK"))</f>
        <v/>
      </c>
    </row>
    <row r="4970">
      <c r="B4970">
        <f>IFERROR(VLOOKUP(A4970,Cadastro_Produtos!A:B,2,FALSE),"")</f>
        <v/>
      </c>
      <c r="D4970" s="12" t="n"/>
      <c r="E4970" s="13">
        <f>IF(D4970="","",D4970-TODAY())</f>
        <v/>
      </c>
      <c r="F4970">
        <f>IF(D4970="","",IF(E4970&lt;0,"VENCIDO",IF(E4970&lt;=30,"VENCE EM &lt;= 30 DIAS",IF(E4970&lt;=60,"ATENCAO (31-60 DIAS)","OK"))))</f>
        <v/>
      </c>
      <c r="G4970" s="13">
        <f>SUMIFS(Movimentacoes!$G:$G,Movimentacoes!$C:$C,$A4970,Movimentacoes!$E:$E,$C4970,Movimentacoes!$B:$B,"ENTRADA")</f>
        <v/>
      </c>
      <c r="H4970" s="13">
        <f>SUMIFS(Movimentacoes!$G:$G,Movimentacoes!$C:$C,$A4970,Movimentacoes!$E:$E,$C4970,Movimentacoes!$B:$B,"SAIDA_USO")</f>
        <v/>
      </c>
      <c r="I4970" s="13">
        <f>SUMIFS(Movimentacoes!$G:$G,Movimentacoes!$C:$C,$A4970,Movimentacoes!$E:$E,$C4970,Movimentacoes!$B:$B,"SAIDA_DESCARTE")</f>
        <v/>
      </c>
      <c r="J4970" s="13">
        <f>G4970-H4970-I4970</f>
        <v/>
      </c>
      <c r="K4970">
        <f>IF(A4970="","",IF(J4970&lt;=IFERROR(VLOOKUP(A4970,Cadastro_Produtos!$A:$E,5,FALSE),0),"ABAIXO DO MINIMO","OK"))</f>
        <v/>
      </c>
    </row>
    <row r="4971">
      <c r="B4971">
        <f>IFERROR(VLOOKUP(A4971,Cadastro_Produtos!A:B,2,FALSE),"")</f>
        <v/>
      </c>
      <c r="D4971" s="12" t="n"/>
      <c r="E4971" s="13">
        <f>IF(D4971="","",D4971-TODAY())</f>
        <v/>
      </c>
      <c r="F4971">
        <f>IF(D4971="","",IF(E4971&lt;0,"VENCIDO",IF(E4971&lt;=30,"VENCE EM &lt;= 30 DIAS",IF(E4971&lt;=60,"ATENCAO (31-60 DIAS)","OK"))))</f>
        <v/>
      </c>
      <c r="G4971" s="13">
        <f>SUMIFS(Movimentacoes!$G:$G,Movimentacoes!$C:$C,$A4971,Movimentacoes!$E:$E,$C4971,Movimentacoes!$B:$B,"ENTRADA")</f>
        <v/>
      </c>
      <c r="H4971" s="13">
        <f>SUMIFS(Movimentacoes!$G:$G,Movimentacoes!$C:$C,$A4971,Movimentacoes!$E:$E,$C4971,Movimentacoes!$B:$B,"SAIDA_USO")</f>
        <v/>
      </c>
      <c r="I4971" s="13">
        <f>SUMIFS(Movimentacoes!$G:$G,Movimentacoes!$C:$C,$A4971,Movimentacoes!$E:$E,$C4971,Movimentacoes!$B:$B,"SAIDA_DESCARTE")</f>
        <v/>
      </c>
      <c r="J4971" s="13">
        <f>G4971-H4971-I4971</f>
        <v/>
      </c>
      <c r="K4971">
        <f>IF(A4971="","",IF(J4971&lt;=IFERROR(VLOOKUP(A4971,Cadastro_Produtos!$A:$E,5,FALSE),0),"ABAIXO DO MINIMO","OK"))</f>
        <v/>
      </c>
    </row>
    <row r="4972">
      <c r="B4972">
        <f>IFERROR(VLOOKUP(A4972,Cadastro_Produtos!A:B,2,FALSE),"")</f>
        <v/>
      </c>
      <c r="D4972" s="12" t="n"/>
      <c r="E4972" s="13">
        <f>IF(D4972="","",D4972-TODAY())</f>
        <v/>
      </c>
      <c r="F4972">
        <f>IF(D4972="","",IF(E4972&lt;0,"VENCIDO",IF(E4972&lt;=30,"VENCE EM &lt;= 30 DIAS",IF(E4972&lt;=60,"ATENCAO (31-60 DIAS)","OK"))))</f>
        <v/>
      </c>
      <c r="G4972" s="13">
        <f>SUMIFS(Movimentacoes!$G:$G,Movimentacoes!$C:$C,$A4972,Movimentacoes!$E:$E,$C4972,Movimentacoes!$B:$B,"ENTRADA")</f>
        <v/>
      </c>
      <c r="H4972" s="13">
        <f>SUMIFS(Movimentacoes!$G:$G,Movimentacoes!$C:$C,$A4972,Movimentacoes!$E:$E,$C4972,Movimentacoes!$B:$B,"SAIDA_USO")</f>
        <v/>
      </c>
      <c r="I4972" s="13">
        <f>SUMIFS(Movimentacoes!$G:$G,Movimentacoes!$C:$C,$A4972,Movimentacoes!$E:$E,$C4972,Movimentacoes!$B:$B,"SAIDA_DESCARTE")</f>
        <v/>
      </c>
      <c r="J4972" s="13">
        <f>G4972-H4972-I4972</f>
        <v/>
      </c>
      <c r="K4972">
        <f>IF(A4972="","",IF(J4972&lt;=IFERROR(VLOOKUP(A4972,Cadastro_Produtos!$A:$E,5,FALSE),0),"ABAIXO DO MINIMO","OK"))</f>
        <v/>
      </c>
    </row>
    <row r="4973">
      <c r="B4973">
        <f>IFERROR(VLOOKUP(A4973,Cadastro_Produtos!A:B,2,FALSE),"")</f>
        <v/>
      </c>
      <c r="D4973" s="12" t="n"/>
      <c r="E4973" s="13">
        <f>IF(D4973="","",D4973-TODAY())</f>
        <v/>
      </c>
      <c r="F4973">
        <f>IF(D4973="","",IF(E4973&lt;0,"VENCIDO",IF(E4973&lt;=30,"VENCE EM &lt;= 30 DIAS",IF(E4973&lt;=60,"ATENCAO (31-60 DIAS)","OK"))))</f>
        <v/>
      </c>
      <c r="G4973" s="13">
        <f>SUMIFS(Movimentacoes!$G:$G,Movimentacoes!$C:$C,$A4973,Movimentacoes!$E:$E,$C4973,Movimentacoes!$B:$B,"ENTRADA")</f>
        <v/>
      </c>
      <c r="H4973" s="13">
        <f>SUMIFS(Movimentacoes!$G:$G,Movimentacoes!$C:$C,$A4973,Movimentacoes!$E:$E,$C4973,Movimentacoes!$B:$B,"SAIDA_USO")</f>
        <v/>
      </c>
      <c r="I4973" s="13">
        <f>SUMIFS(Movimentacoes!$G:$G,Movimentacoes!$C:$C,$A4973,Movimentacoes!$E:$E,$C4973,Movimentacoes!$B:$B,"SAIDA_DESCARTE")</f>
        <v/>
      </c>
      <c r="J4973" s="13">
        <f>G4973-H4973-I4973</f>
        <v/>
      </c>
      <c r="K4973">
        <f>IF(A4973="","",IF(J4973&lt;=IFERROR(VLOOKUP(A4973,Cadastro_Produtos!$A:$E,5,FALSE),0),"ABAIXO DO MINIMO","OK"))</f>
        <v/>
      </c>
    </row>
    <row r="4974">
      <c r="B4974">
        <f>IFERROR(VLOOKUP(A4974,Cadastro_Produtos!A:B,2,FALSE),"")</f>
        <v/>
      </c>
      <c r="D4974" s="12" t="n"/>
      <c r="E4974" s="13">
        <f>IF(D4974="","",D4974-TODAY())</f>
        <v/>
      </c>
      <c r="F4974">
        <f>IF(D4974="","",IF(E4974&lt;0,"VENCIDO",IF(E4974&lt;=30,"VENCE EM &lt;= 30 DIAS",IF(E4974&lt;=60,"ATENCAO (31-60 DIAS)","OK"))))</f>
        <v/>
      </c>
      <c r="G4974" s="13">
        <f>SUMIFS(Movimentacoes!$G:$G,Movimentacoes!$C:$C,$A4974,Movimentacoes!$E:$E,$C4974,Movimentacoes!$B:$B,"ENTRADA")</f>
        <v/>
      </c>
      <c r="H4974" s="13">
        <f>SUMIFS(Movimentacoes!$G:$G,Movimentacoes!$C:$C,$A4974,Movimentacoes!$E:$E,$C4974,Movimentacoes!$B:$B,"SAIDA_USO")</f>
        <v/>
      </c>
      <c r="I4974" s="13">
        <f>SUMIFS(Movimentacoes!$G:$G,Movimentacoes!$C:$C,$A4974,Movimentacoes!$E:$E,$C4974,Movimentacoes!$B:$B,"SAIDA_DESCARTE")</f>
        <v/>
      </c>
      <c r="J4974" s="13">
        <f>G4974-H4974-I4974</f>
        <v/>
      </c>
      <c r="K4974">
        <f>IF(A4974="","",IF(J4974&lt;=IFERROR(VLOOKUP(A4974,Cadastro_Produtos!$A:$E,5,FALSE),0),"ABAIXO DO MINIMO","OK"))</f>
        <v/>
      </c>
    </row>
    <row r="4975">
      <c r="B4975">
        <f>IFERROR(VLOOKUP(A4975,Cadastro_Produtos!A:B,2,FALSE),"")</f>
        <v/>
      </c>
      <c r="D4975" s="12" t="n"/>
      <c r="E4975" s="13">
        <f>IF(D4975="","",D4975-TODAY())</f>
        <v/>
      </c>
      <c r="F4975">
        <f>IF(D4975="","",IF(E4975&lt;0,"VENCIDO",IF(E4975&lt;=30,"VENCE EM &lt;= 30 DIAS",IF(E4975&lt;=60,"ATENCAO (31-60 DIAS)","OK"))))</f>
        <v/>
      </c>
      <c r="G4975" s="13">
        <f>SUMIFS(Movimentacoes!$G:$G,Movimentacoes!$C:$C,$A4975,Movimentacoes!$E:$E,$C4975,Movimentacoes!$B:$B,"ENTRADA")</f>
        <v/>
      </c>
      <c r="H4975" s="13">
        <f>SUMIFS(Movimentacoes!$G:$G,Movimentacoes!$C:$C,$A4975,Movimentacoes!$E:$E,$C4975,Movimentacoes!$B:$B,"SAIDA_USO")</f>
        <v/>
      </c>
      <c r="I4975" s="13">
        <f>SUMIFS(Movimentacoes!$G:$G,Movimentacoes!$C:$C,$A4975,Movimentacoes!$E:$E,$C4975,Movimentacoes!$B:$B,"SAIDA_DESCARTE")</f>
        <v/>
      </c>
      <c r="J4975" s="13">
        <f>G4975-H4975-I4975</f>
        <v/>
      </c>
      <c r="K4975">
        <f>IF(A4975="","",IF(J4975&lt;=IFERROR(VLOOKUP(A4975,Cadastro_Produtos!$A:$E,5,FALSE),0),"ABAIXO DO MINIMO","OK"))</f>
        <v/>
      </c>
    </row>
    <row r="4976">
      <c r="B4976">
        <f>IFERROR(VLOOKUP(A4976,Cadastro_Produtos!A:B,2,FALSE),"")</f>
        <v/>
      </c>
      <c r="D4976" s="12" t="n"/>
      <c r="E4976" s="13">
        <f>IF(D4976="","",D4976-TODAY())</f>
        <v/>
      </c>
      <c r="F4976">
        <f>IF(D4976="","",IF(E4976&lt;0,"VENCIDO",IF(E4976&lt;=30,"VENCE EM &lt;= 30 DIAS",IF(E4976&lt;=60,"ATENCAO (31-60 DIAS)","OK"))))</f>
        <v/>
      </c>
      <c r="G4976" s="13">
        <f>SUMIFS(Movimentacoes!$G:$G,Movimentacoes!$C:$C,$A4976,Movimentacoes!$E:$E,$C4976,Movimentacoes!$B:$B,"ENTRADA")</f>
        <v/>
      </c>
      <c r="H4976" s="13">
        <f>SUMIFS(Movimentacoes!$G:$G,Movimentacoes!$C:$C,$A4976,Movimentacoes!$E:$E,$C4976,Movimentacoes!$B:$B,"SAIDA_USO")</f>
        <v/>
      </c>
      <c r="I4976" s="13">
        <f>SUMIFS(Movimentacoes!$G:$G,Movimentacoes!$C:$C,$A4976,Movimentacoes!$E:$E,$C4976,Movimentacoes!$B:$B,"SAIDA_DESCARTE")</f>
        <v/>
      </c>
      <c r="J4976" s="13">
        <f>G4976-H4976-I4976</f>
        <v/>
      </c>
      <c r="K4976">
        <f>IF(A4976="","",IF(J4976&lt;=IFERROR(VLOOKUP(A4976,Cadastro_Produtos!$A:$E,5,FALSE),0),"ABAIXO DO MINIMO","OK"))</f>
        <v/>
      </c>
    </row>
    <row r="4977">
      <c r="B4977">
        <f>IFERROR(VLOOKUP(A4977,Cadastro_Produtos!A:B,2,FALSE),"")</f>
        <v/>
      </c>
      <c r="D4977" s="12" t="n"/>
      <c r="E4977" s="13">
        <f>IF(D4977="","",D4977-TODAY())</f>
        <v/>
      </c>
      <c r="F4977">
        <f>IF(D4977="","",IF(E4977&lt;0,"VENCIDO",IF(E4977&lt;=30,"VENCE EM &lt;= 30 DIAS",IF(E4977&lt;=60,"ATENCAO (31-60 DIAS)","OK"))))</f>
        <v/>
      </c>
      <c r="G4977" s="13">
        <f>SUMIFS(Movimentacoes!$G:$G,Movimentacoes!$C:$C,$A4977,Movimentacoes!$E:$E,$C4977,Movimentacoes!$B:$B,"ENTRADA")</f>
        <v/>
      </c>
      <c r="H4977" s="13">
        <f>SUMIFS(Movimentacoes!$G:$G,Movimentacoes!$C:$C,$A4977,Movimentacoes!$E:$E,$C4977,Movimentacoes!$B:$B,"SAIDA_USO")</f>
        <v/>
      </c>
      <c r="I4977" s="13">
        <f>SUMIFS(Movimentacoes!$G:$G,Movimentacoes!$C:$C,$A4977,Movimentacoes!$E:$E,$C4977,Movimentacoes!$B:$B,"SAIDA_DESCARTE")</f>
        <v/>
      </c>
      <c r="J4977" s="13">
        <f>G4977-H4977-I4977</f>
        <v/>
      </c>
      <c r="K4977">
        <f>IF(A4977="","",IF(J4977&lt;=IFERROR(VLOOKUP(A4977,Cadastro_Produtos!$A:$E,5,FALSE),0),"ABAIXO DO MINIMO","OK"))</f>
        <v/>
      </c>
    </row>
    <row r="4978">
      <c r="B4978">
        <f>IFERROR(VLOOKUP(A4978,Cadastro_Produtos!A:B,2,FALSE),"")</f>
        <v/>
      </c>
      <c r="D4978" s="12" t="n"/>
      <c r="E4978" s="13">
        <f>IF(D4978="","",D4978-TODAY())</f>
        <v/>
      </c>
      <c r="F4978">
        <f>IF(D4978="","",IF(E4978&lt;0,"VENCIDO",IF(E4978&lt;=30,"VENCE EM &lt;= 30 DIAS",IF(E4978&lt;=60,"ATENCAO (31-60 DIAS)","OK"))))</f>
        <v/>
      </c>
      <c r="G4978" s="13">
        <f>SUMIFS(Movimentacoes!$G:$G,Movimentacoes!$C:$C,$A4978,Movimentacoes!$E:$E,$C4978,Movimentacoes!$B:$B,"ENTRADA")</f>
        <v/>
      </c>
      <c r="H4978" s="13">
        <f>SUMIFS(Movimentacoes!$G:$G,Movimentacoes!$C:$C,$A4978,Movimentacoes!$E:$E,$C4978,Movimentacoes!$B:$B,"SAIDA_USO")</f>
        <v/>
      </c>
      <c r="I4978" s="13">
        <f>SUMIFS(Movimentacoes!$G:$G,Movimentacoes!$C:$C,$A4978,Movimentacoes!$E:$E,$C4978,Movimentacoes!$B:$B,"SAIDA_DESCARTE")</f>
        <v/>
      </c>
      <c r="J4978" s="13">
        <f>G4978-H4978-I4978</f>
        <v/>
      </c>
      <c r="K4978">
        <f>IF(A4978="","",IF(J4978&lt;=IFERROR(VLOOKUP(A4978,Cadastro_Produtos!$A:$E,5,FALSE),0),"ABAIXO DO MINIMO","OK"))</f>
        <v/>
      </c>
    </row>
    <row r="4979">
      <c r="B4979">
        <f>IFERROR(VLOOKUP(A4979,Cadastro_Produtos!A:B,2,FALSE),"")</f>
        <v/>
      </c>
      <c r="D4979" s="12" t="n"/>
      <c r="E4979" s="13">
        <f>IF(D4979="","",D4979-TODAY())</f>
        <v/>
      </c>
      <c r="F4979">
        <f>IF(D4979="","",IF(E4979&lt;0,"VENCIDO",IF(E4979&lt;=30,"VENCE EM &lt;= 30 DIAS",IF(E4979&lt;=60,"ATENCAO (31-60 DIAS)","OK"))))</f>
        <v/>
      </c>
      <c r="G4979" s="13">
        <f>SUMIFS(Movimentacoes!$G:$G,Movimentacoes!$C:$C,$A4979,Movimentacoes!$E:$E,$C4979,Movimentacoes!$B:$B,"ENTRADA")</f>
        <v/>
      </c>
      <c r="H4979" s="13">
        <f>SUMIFS(Movimentacoes!$G:$G,Movimentacoes!$C:$C,$A4979,Movimentacoes!$E:$E,$C4979,Movimentacoes!$B:$B,"SAIDA_USO")</f>
        <v/>
      </c>
      <c r="I4979" s="13">
        <f>SUMIFS(Movimentacoes!$G:$G,Movimentacoes!$C:$C,$A4979,Movimentacoes!$E:$E,$C4979,Movimentacoes!$B:$B,"SAIDA_DESCARTE")</f>
        <v/>
      </c>
      <c r="J4979" s="13">
        <f>G4979-H4979-I4979</f>
        <v/>
      </c>
      <c r="K4979">
        <f>IF(A4979="","",IF(J4979&lt;=IFERROR(VLOOKUP(A4979,Cadastro_Produtos!$A:$E,5,FALSE),0),"ABAIXO DO MINIMO","OK"))</f>
        <v/>
      </c>
    </row>
    <row r="4980">
      <c r="B4980">
        <f>IFERROR(VLOOKUP(A4980,Cadastro_Produtos!A:B,2,FALSE),"")</f>
        <v/>
      </c>
      <c r="D4980" s="12" t="n"/>
      <c r="E4980" s="13">
        <f>IF(D4980="","",D4980-TODAY())</f>
        <v/>
      </c>
      <c r="F4980">
        <f>IF(D4980="","",IF(E4980&lt;0,"VENCIDO",IF(E4980&lt;=30,"VENCE EM &lt;= 30 DIAS",IF(E4980&lt;=60,"ATENCAO (31-60 DIAS)","OK"))))</f>
        <v/>
      </c>
      <c r="G4980" s="13">
        <f>SUMIFS(Movimentacoes!$G:$G,Movimentacoes!$C:$C,$A4980,Movimentacoes!$E:$E,$C4980,Movimentacoes!$B:$B,"ENTRADA")</f>
        <v/>
      </c>
      <c r="H4980" s="13">
        <f>SUMIFS(Movimentacoes!$G:$G,Movimentacoes!$C:$C,$A4980,Movimentacoes!$E:$E,$C4980,Movimentacoes!$B:$B,"SAIDA_USO")</f>
        <v/>
      </c>
      <c r="I4980" s="13">
        <f>SUMIFS(Movimentacoes!$G:$G,Movimentacoes!$C:$C,$A4980,Movimentacoes!$E:$E,$C4980,Movimentacoes!$B:$B,"SAIDA_DESCARTE")</f>
        <v/>
      </c>
      <c r="J4980" s="13">
        <f>G4980-H4980-I4980</f>
        <v/>
      </c>
      <c r="K4980">
        <f>IF(A4980="","",IF(J4980&lt;=IFERROR(VLOOKUP(A4980,Cadastro_Produtos!$A:$E,5,FALSE),0),"ABAIXO DO MINIMO","OK"))</f>
        <v/>
      </c>
    </row>
    <row r="4981">
      <c r="B4981">
        <f>IFERROR(VLOOKUP(A4981,Cadastro_Produtos!A:B,2,FALSE),"")</f>
        <v/>
      </c>
      <c r="D4981" s="12" t="n"/>
      <c r="E4981" s="13">
        <f>IF(D4981="","",D4981-TODAY())</f>
        <v/>
      </c>
      <c r="F4981">
        <f>IF(D4981="","",IF(E4981&lt;0,"VENCIDO",IF(E4981&lt;=30,"VENCE EM &lt;= 30 DIAS",IF(E4981&lt;=60,"ATENCAO (31-60 DIAS)","OK"))))</f>
        <v/>
      </c>
      <c r="G4981" s="13">
        <f>SUMIFS(Movimentacoes!$G:$G,Movimentacoes!$C:$C,$A4981,Movimentacoes!$E:$E,$C4981,Movimentacoes!$B:$B,"ENTRADA")</f>
        <v/>
      </c>
      <c r="H4981" s="13">
        <f>SUMIFS(Movimentacoes!$G:$G,Movimentacoes!$C:$C,$A4981,Movimentacoes!$E:$E,$C4981,Movimentacoes!$B:$B,"SAIDA_USO")</f>
        <v/>
      </c>
      <c r="I4981" s="13">
        <f>SUMIFS(Movimentacoes!$G:$G,Movimentacoes!$C:$C,$A4981,Movimentacoes!$E:$E,$C4981,Movimentacoes!$B:$B,"SAIDA_DESCARTE")</f>
        <v/>
      </c>
      <c r="J4981" s="13">
        <f>G4981-H4981-I4981</f>
        <v/>
      </c>
      <c r="K4981">
        <f>IF(A4981="","",IF(J4981&lt;=IFERROR(VLOOKUP(A4981,Cadastro_Produtos!$A:$E,5,FALSE),0),"ABAIXO DO MINIMO","OK"))</f>
        <v/>
      </c>
    </row>
    <row r="4982">
      <c r="B4982">
        <f>IFERROR(VLOOKUP(A4982,Cadastro_Produtos!A:B,2,FALSE),"")</f>
        <v/>
      </c>
      <c r="D4982" s="12" t="n"/>
      <c r="E4982" s="13">
        <f>IF(D4982="","",D4982-TODAY())</f>
        <v/>
      </c>
      <c r="F4982">
        <f>IF(D4982="","",IF(E4982&lt;0,"VENCIDO",IF(E4982&lt;=30,"VENCE EM &lt;= 30 DIAS",IF(E4982&lt;=60,"ATENCAO (31-60 DIAS)","OK"))))</f>
        <v/>
      </c>
      <c r="G4982" s="13">
        <f>SUMIFS(Movimentacoes!$G:$G,Movimentacoes!$C:$C,$A4982,Movimentacoes!$E:$E,$C4982,Movimentacoes!$B:$B,"ENTRADA")</f>
        <v/>
      </c>
      <c r="H4982" s="13">
        <f>SUMIFS(Movimentacoes!$G:$G,Movimentacoes!$C:$C,$A4982,Movimentacoes!$E:$E,$C4982,Movimentacoes!$B:$B,"SAIDA_USO")</f>
        <v/>
      </c>
      <c r="I4982" s="13">
        <f>SUMIFS(Movimentacoes!$G:$G,Movimentacoes!$C:$C,$A4982,Movimentacoes!$E:$E,$C4982,Movimentacoes!$B:$B,"SAIDA_DESCARTE")</f>
        <v/>
      </c>
      <c r="J4982" s="13">
        <f>G4982-H4982-I4982</f>
        <v/>
      </c>
      <c r="K4982">
        <f>IF(A4982="","",IF(J4982&lt;=IFERROR(VLOOKUP(A4982,Cadastro_Produtos!$A:$E,5,FALSE),0),"ABAIXO DO MINIMO","OK"))</f>
        <v/>
      </c>
    </row>
    <row r="4983">
      <c r="B4983">
        <f>IFERROR(VLOOKUP(A4983,Cadastro_Produtos!A:B,2,FALSE),"")</f>
        <v/>
      </c>
      <c r="D4983" s="12" t="n"/>
      <c r="E4983" s="13">
        <f>IF(D4983="","",D4983-TODAY())</f>
        <v/>
      </c>
      <c r="F4983">
        <f>IF(D4983="","",IF(E4983&lt;0,"VENCIDO",IF(E4983&lt;=30,"VENCE EM &lt;= 30 DIAS",IF(E4983&lt;=60,"ATENCAO (31-60 DIAS)","OK"))))</f>
        <v/>
      </c>
      <c r="G4983" s="13">
        <f>SUMIFS(Movimentacoes!$G:$G,Movimentacoes!$C:$C,$A4983,Movimentacoes!$E:$E,$C4983,Movimentacoes!$B:$B,"ENTRADA")</f>
        <v/>
      </c>
      <c r="H4983" s="13">
        <f>SUMIFS(Movimentacoes!$G:$G,Movimentacoes!$C:$C,$A4983,Movimentacoes!$E:$E,$C4983,Movimentacoes!$B:$B,"SAIDA_USO")</f>
        <v/>
      </c>
      <c r="I4983" s="13">
        <f>SUMIFS(Movimentacoes!$G:$G,Movimentacoes!$C:$C,$A4983,Movimentacoes!$E:$E,$C4983,Movimentacoes!$B:$B,"SAIDA_DESCARTE")</f>
        <v/>
      </c>
      <c r="J4983" s="13">
        <f>G4983-H4983-I4983</f>
        <v/>
      </c>
      <c r="K4983">
        <f>IF(A4983="","",IF(J4983&lt;=IFERROR(VLOOKUP(A4983,Cadastro_Produtos!$A:$E,5,FALSE),0),"ABAIXO DO MINIMO","OK"))</f>
        <v/>
      </c>
    </row>
    <row r="4984">
      <c r="B4984">
        <f>IFERROR(VLOOKUP(A4984,Cadastro_Produtos!A:B,2,FALSE),"")</f>
        <v/>
      </c>
      <c r="D4984" s="12" t="n"/>
      <c r="E4984" s="13">
        <f>IF(D4984="","",D4984-TODAY())</f>
        <v/>
      </c>
      <c r="F4984">
        <f>IF(D4984="","",IF(E4984&lt;0,"VENCIDO",IF(E4984&lt;=30,"VENCE EM &lt;= 30 DIAS",IF(E4984&lt;=60,"ATENCAO (31-60 DIAS)","OK"))))</f>
        <v/>
      </c>
      <c r="G4984" s="13">
        <f>SUMIFS(Movimentacoes!$G:$G,Movimentacoes!$C:$C,$A4984,Movimentacoes!$E:$E,$C4984,Movimentacoes!$B:$B,"ENTRADA")</f>
        <v/>
      </c>
      <c r="H4984" s="13">
        <f>SUMIFS(Movimentacoes!$G:$G,Movimentacoes!$C:$C,$A4984,Movimentacoes!$E:$E,$C4984,Movimentacoes!$B:$B,"SAIDA_USO")</f>
        <v/>
      </c>
      <c r="I4984" s="13">
        <f>SUMIFS(Movimentacoes!$G:$G,Movimentacoes!$C:$C,$A4984,Movimentacoes!$E:$E,$C4984,Movimentacoes!$B:$B,"SAIDA_DESCARTE")</f>
        <v/>
      </c>
      <c r="J4984" s="13">
        <f>G4984-H4984-I4984</f>
        <v/>
      </c>
      <c r="K4984">
        <f>IF(A4984="","",IF(J4984&lt;=IFERROR(VLOOKUP(A4984,Cadastro_Produtos!$A:$E,5,FALSE),0),"ABAIXO DO MINIMO","OK"))</f>
        <v/>
      </c>
    </row>
    <row r="4985">
      <c r="B4985">
        <f>IFERROR(VLOOKUP(A4985,Cadastro_Produtos!A:B,2,FALSE),"")</f>
        <v/>
      </c>
      <c r="D4985" s="12" t="n"/>
      <c r="E4985" s="13">
        <f>IF(D4985="","",D4985-TODAY())</f>
        <v/>
      </c>
      <c r="F4985">
        <f>IF(D4985="","",IF(E4985&lt;0,"VENCIDO",IF(E4985&lt;=30,"VENCE EM &lt;= 30 DIAS",IF(E4985&lt;=60,"ATENCAO (31-60 DIAS)","OK"))))</f>
        <v/>
      </c>
      <c r="G4985" s="13">
        <f>SUMIFS(Movimentacoes!$G:$G,Movimentacoes!$C:$C,$A4985,Movimentacoes!$E:$E,$C4985,Movimentacoes!$B:$B,"ENTRADA")</f>
        <v/>
      </c>
      <c r="H4985" s="13">
        <f>SUMIFS(Movimentacoes!$G:$G,Movimentacoes!$C:$C,$A4985,Movimentacoes!$E:$E,$C4985,Movimentacoes!$B:$B,"SAIDA_USO")</f>
        <v/>
      </c>
      <c r="I4985" s="13">
        <f>SUMIFS(Movimentacoes!$G:$G,Movimentacoes!$C:$C,$A4985,Movimentacoes!$E:$E,$C4985,Movimentacoes!$B:$B,"SAIDA_DESCARTE")</f>
        <v/>
      </c>
      <c r="J4985" s="13">
        <f>G4985-H4985-I4985</f>
        <v/>
      </c>
      <c r="K4985">
        <f>IF(A4985="","",IF(J4985&lt;=IFERROR(VLOOKUP(A4985,Cadastro_Produtos!$A:$E,5,FALSE),0),"ABAIXO DO MINIMO","OK"))</f>
        <v/>
      </c>
    </row>
    <row r="4986">
      <c r="B4986">
        <f>IFERROR(VLOOKUP(A4986,Cadastro_Produtos!A:B,2,FALSE),"")</f>
        <v/>
      </c>
      <c r="D4986" s="12" t="n"/>
      <c r="E4986" s="13">
        <f>IF(D4986="","",D4986-TODAY())</f>
        <v/>
      </c>
      <c r="F4986">
        <f>IF(D4986="","",IF(E4986&lt;0,"VENCIDO",IF(E4986&lt;=30,"VENCE EM &lt;= 30 DIAS",IF(E4986&lt;=60,"ATENCAO (31-60 DIAS)","OK"))))</f>
        <v/>
      </c>
      <c r="G4986" s="13">
        <f>SUMIFS(Movimentacoes!$G:$G,Movimentacoes!$C:$C,$A4986,Movimentacoes!$E:$E,$C4986,Movimentacoes!$B:$B,"ENTRADA")</f>
        <v/>
      </c>
      <c r="H4986" s="13">
        <f>SUMIFS(Movimentacoes!$G:$G,Movimentacoes!$C:$C,$A4986,Movimentacoes!$E:$E,$C4986,Movimentacoes!$B:$B,"SAIDA_USO")</f>
        <v/>
      </c>
      <c r="I4986" s="13">
        <f>SUMIFS(Movimentacoes!$G:$G,Movimentacoes!$C:$C,$A4986,Movimentacoes!$E:$E,$C4986,Movimentacoes!$B:$B,"SAIDA_DESCARTE")</f>
        <v/>
      </c>
      <c r="J4986" s="13">
        <f>G4986-H4986-I4986</f>
        <v/>
      </c>
      <c r="K4986">
        <f>IF(A4986="","",IF(J4986&lt;=IFERROR(VLOOKUP(A4986,Cadastro_Produtos!$A:$E,5,FALSE),0),"ABAIXO DO MINIMO","OK"))</f>
        <v/>
      </c>
    </row>
    <row r="4987">
      <c r="B4987">
        <f>IFERROR(VLOOKUP(A4987,Cadastro_Produtos!A:B,2,FALSE),"")</f>
        <v/>
      </c>
      <c r="D4987" s="12" t="n"/>
      <c r="E4987" s="13">
        <f>IF(D4987="","",D4987-TODAY())</f>
        <v/>
      </c>
      <c r="F4987">
        <f>IF(D4987="","",IF(E4987&lt;0,"VENCIDO",IF(E4987&lt;=30,"VENCE EM &lt;= 30 DIAS",IF(E4987&lt;=60,"ATENCAO (31-60 DIAS)","OK"))))</f>
        <v/>
      </c>
      <c r="G4987" s="13">
        <f>SUMIFS(Movimentacoes!$G:$G,Movimentacoes!$C:$C,$A4987,Movimentacoes!$E:$E,$C4987,Movimentacoes!$B:$B,"ENTRADA")</f>
        <v/>
      </c>
      <c r="H4987" s="13">
        <f>SUMIFS(Movimentacoes!$G:$G,Movimentacoes!$C:$C,$A4987,Movimentacoes!$E:$E,$C4987,Movimentacoes!$B:$B,"SAIDA_USO")</f>
        <v/>
      </c>
      <c r="I4987" s="13">
        <f>SUMIFS(Movimentacoes!$G:$G,Movimentacoes!$C:$C,$A4987,Movimentacoes!$E:$E,$C4987,Movimentacoes!$B:$B,"SAIDA_DESCARTE")</f>
        <v/>
      </c>
      <c r="J4987" s="13">
        <f>G4987-H4987-I4987</f>
        <v/>
      </c>
      <c r="K4987">
        <f>IF(A4987="","",IF(J4987&lt;=IFERROR(VLOOKUP(A4987,Cadastro_Produtos!$A:$E,5,FALSE),0),"ABAIXO DO MINIMO","OK"))</f>
        <v/>
      </c>
    </row>
    <row r="4988">
      <c r="B4988">
        <f>IFERROR(VLOOKUP(A4988,Cadastro_Produtos!A:B,2,FALSE),"")</f>
        <v/>
      </c>
      <c r="D4988" s="12" t="n"/>
      <c r="E4988" s="13">
        <f>IF(D4988="","",D4988-TODAY())</f>
        <v/>
      </c>
      <c r="F4988">
        <f>IF(D4988="","",IF(E4988&lt;0,"VENCIDO",IF(E4988&lt;=30,"VENCE EM &lt;= 30 DIAS",IF(E4988&lt;=60,"ATENCAO (31-60 DIAS)","OK"))))</f>
        <v/>
      </c>
      <c r="G4988" s="13">
        <f>SUMIFS(Movimentacoes!$G:$G,Movimentacoes!$C:$C,$A4988,Movimentacoes!$E:$E,$C4988,Movimentacoes!$B:$B,"ENTRADA")</f>
        <v/>
      </c>
      <c r="H4988" s="13">
        <f>SUMIFS(Movimentacoes!$G:$G,Movimentacoes!$C:$C,$A4988,Movimentacoes!$E:$E,$C4988,Movimentacoes!$B:$B,"SAIDA_USO")</f>
        <v/>
      </c>
      <c r="I4988" s="13">
        <f>SUMIFS(Movimentacoes!$G:$G,Movimentacoes!$C:$C,$A4988,Movimentacoes!$E:$E,$C4988,Movimentacoes!$B:$B,"SAIDA_DESCARTE")</f>
        <v/>
      </c>
      <c r="J4988" s="13">
        <f>G4988-H4988-I4988</f>
        <v/>
      </c>
      <c r="K4988">
        <f>IF(A4988="","",IF(J4988&lt;=IFERROR(VLOOKUP(A4988,Cadastro_Produtos!$A:$E,5,FALSE),0),"ABAIXO DO MINIMO","OK"))</f>
        <v/>
      </c>
    </row>
    <row r="4989">
      <c r="B4989">
        <f>IFERROR(VLOOKUP(A4989,Cadastro_Produtos!A:B,2,FALSE),"")</f>
        <v/>
      </c>
      <c r="D4989" s="12" t="n"/>
      <c r="E4989" s="13">
        <f>IF(D4989="","",D4989-TODAY())</f>
        <v/>
      </c>
      <c r="F4989">
        <f>IF(D4989="","",IF(E4989&lt;0,"VENCIDO",IF(E4989&lt;=30,"VENCE EM &lt;= 30 DIAS",IF(E4989&lt;=60,"ATENCAO (31-60 DIAS)","OK"))))</f>
        <v/>
      </c>
      <c r="G4989" s="13">
        <f>SUMIFS(Movimentacoes!$G:$G,Movimentacoes!$C:$C,$A4989,Movimentacoes!$E:$E,$C4989,Movimentacoes!$B:$B,"ENTRADA")</f>
        <v/>
      </c>
      <c r="H4989" s="13">
        <f>SUMIFS(Movimentacoes!$G:$G,Movimentacoes!$C:$C,$A4989,Movimentacoes!$E:$E,$C4989,Movimentacoes!$B:$B,"SAIDA_USO")</f>
        <v/>
      </c>
      <c r="I4989" s="13">
        <f>SUMIFS(Movimentacoes!$G:$G,Movimentacoes!$C:$C,$A4989,Movimentacoes!$E:$E,$C4989,Movimentacoes!$B:$B,"SAIDA_DESCARTE")</f>
        <v/>
      </c>
      <c r="J4989" s="13">
        <f>G4989-H4989-I4989</f>
        <v/>
      </c>
      <c r="K4989">
        <f>IF(A4989="","",IF(J4989&lt;=IFERROR(VLOOKUP(A4989,Cadastro_Produtos!$A:$E,5,FALSE),0),"ABAIXO DO MINIMO","OK"))</f>
        <v/>
      </c>
    </row>
    <row r="4990">
      <c r="B4990">
        <f>IFERROR(VLOOKUP(A4990,Cadastro_Produtos!A:B,2,FALSE),"")</f>
        <v/>
      </c>
      <c r="D4990" s="12" t="n"/>
      <c r="E4990" s="13">
        <f>IF(D4990="","",D4990-TODAY())</f>
        <v/>
      </c>
      <c r="F4990">
        <f>IF(D4990="","",IF(E4990&lt;0,"VENCIDO",IF(E4990&lt;=30,"VENCE EM &lt;= 30 DIAS",IF(E4990&lt;=60,"ATENCAO (31-60 DIAS)","OK"))))</f>
        <v/>
      </c>
      <c r="G4990" s="13">
        <f>SUMIFS(Movimentacoes!$G:$G,Movimentacoes!$C:$C,$A4990,Movimentacoes!$E:$E,$C4990,Movimentacoes!$B:$B,"ENTRADA")</f>
        <v/>
      </c>
      <c r="H4990" s="13">
        <f>SUMIFS(Movimentacoes!$G:$G,Movimentacoes!$C:$C,$A4990,Movimentacoes!$E:$E,$C4990,Movimentacoes!$B:$B,"SAIDA_USO")</f>
        <v/>
      </c>
      <c r="I4990" s="13">
        <f>SUMIFS(Movimentacoes!$G:$G,Movimentacoes!$C:$C,$A4990,Movimentacoes!$E:$E,$C4990,Movimentacoes!$B:$B,"SAIDA_DESCARTE")</f>
        <v/>
      </c>
      <c r="J4990" s="13">
        <f>G4990-H4990-I4990</f>
        <v/>
      </c>
      <c r="K4990">
        <f>IF(A4990="","",IF(J4990&lt;=IFERROR(VLOOKUP(A4990,Cadastro_Produtos!$A:$E,5,FALSE),0),"ABAIXO DO MINIMO","OK"))</f>
        <v/>
      </c>
    </row>
    <row r="4991">
      <c r="B4991">
        <f>IFERROR(VLOOKUP(A4991,Cadastro_Produtos!A:B,2,FALSE),"")</f>
        <v/>
      </c>
      <c r="D4991" s="12" t="n"/>
      <c r="E4991" s="13">
        <f>IF(D4991="","",D4991-TODAY())</f>
        <v/>
      </c>
      <c r="F4991">
        <f>IF(D4991="","",IF(E4991&lt;0,"VENCIDO",IF(E4991&lt;=30,"VENCE EM &lt;= 30 DIAS",IF(E4991&lt;=60,"ATENCAO (31-60 DIAS)","OK"))))</f>
        <v/>
      </c>
      <c r="G4991" s="13">
        <f>SUMIFS(Movimentacoes!$G:$G,Movimentacoes!$C:$C,$A4991,Movimentacoes!$E:$E,$C4991,Movimentacoes!$B:$B,"ENTRADA")</f>
        <v/>
      </c>
      <c r="H4991" s="13">
        <f>SUMIFS(Movimentacoes!$G:$G,Movimentacoes!$C:$C,$A4991,Movimentacoes!$E:$E,$C4991,Movimentacoes!$B:$B,"SAIDA_USO")</f>
        <v/>
      </c>
      <c r="I4991" s="13">
        <f>SUMIFS(Movimentacoes!$G:$G,Movimentacoes!$C:$C,$A4991,Movimentacoes!$E:$E,$C4991,Movimentacoes!$B:$B,"SAIDA_DESCARTE")</f>
        <v/>
      </c>
      <c r="J4991" s="13">
        <f>G4991-H4991-I4991</f>
        <v/>
      </c>
      <c r="K4991">
        <f>IF(A4991="","",IF(J4991&lt;=IFERROR(VLOOKUP(A4991,Cadastro_Produtos!$A:$E,5,FALSE),0),"ABAIXO DO MINIMO","OK"))</f>
        <v/>
      </c>
    </row>
    <row r="4992">
      <c r="B4992">
        <f>IFERROR(VLOOKUP(A4992,Cadastro_Produtos!A:B,2,FALSE),"")</f>
        <v/>
      </c>
      <c r="D4992" s="12" t="n"/>
      <c r="E4992" s="13">
        <f>IF(D4992="","",D4992-TODAY())</f>
        <v/>
      </c>
      <c r="F4992">
        <f>IF(D4992="","",IF(E4992&lt;0,"VENCIDO",IF(E4992&lt;=30,"VENCE EM &lt;= 30 DIAS",IF(E4992&lt;=60,"ATENCAO (31-60 DIAS)","OK"))))</f>
        <v/>
      </c>
      <c r="G4992" s="13">
        <f>SUMIFS(Movimentacoes!$G:$G,Movimentacoes!$C:$C,$A4992,Movimentacoes!$E:$E,$C4992,Movimentacoes!$B:$B,"ENTRADA")</f>
        <v/>
      </c>
      <c r="H4992" s="13">
        <f>SUMIFS(Movimentacoes!$G:$G,Movimentacoes!$C:$C,$A4992,Movimentacoes!$E:$E,$C4992,Movimentacoes!$B:$B,"SAIDA_USO")</f>
        <v/>
      </c>
      <c r="I4992" s="13">
        <f>SUMIFS(Movimentacoes!$G:$G,Movimentacoes!$C:$C,$A4992,Movimentacoes!$E:$E,$C4992,Movimentacoes!$B:$B,"SAIDA_DESCARTE")</f>
        <v/>
      </c>
      <c r="J4992" s="13">
        <f>G4992-H4992-I4992</f>
        <v/>
      </c>
      <c r="K4992">
        <f>IF(A4992="","",IF(J4992&lt;=IFERROR(VLOOKUP(A4992,Cadastro_Produtos!$A:$E,5,FALSE),0),"ABAIXO DO MINIMO","OK"))</f>
        <v/>
      </c>
    </row>
    <row r="4993">
      <c r="B4993">
        <f>IFERROR(VLOOKUP(A4993,Cadastro_Produtos!A:B,2,FALSE),"")</f>
        <v/>
      </c>
      <c r="D4993" s="12" t="n"/>
      <c r="E4993" s="13">
        <f>IF(D4993="","",D4993-TODAY())</f>
        <v/>
      </c>
      <c r="F4993">
        <f>IF(D4993="","",IF(E4993&lt;0,"VENCIDO",IF(E4993&lt;=30,"VENCE EM &lt;= 30 DIAS",IF(E4993&lt;=60,"ATENCAO (31-60 DIAS)","OK"))))</f>
        <v/>
      </c>
      <c r="G4993" s="13">
        <f>SUMIFS(Movimentacoes!$G:$G,Movimentacoes!$C:$C,$A4993,Movimentacoes!$E:$E,$C4993,Movimentacoes!$B:$B,"ENTRADA")</f>
        <v/>
      </c>
      <c r="H4993" s="13">
        <f>SUMIFS(Movimentacoes!$G:$G,Movimentacoes!$C:$C,$A4993,Movimentacoes!$E:$E,$C4993,Movimentacoes!$B:$B,"SAIDA_USO")</f>
        <v/>
      </c>
      <c r="I4993" s="13">
        <f>SUMIFS(Movimentacoes!$G:$G,Movimentacoes!$C:$C,$A4993,Movimentacoes!$E:$E,$C4993,Movimentacoes!$B:$B,"SAIDA_DESCARTE")</f>
        <v/>
      </c>
      <c r="J4993" s="13">
        <f>G4993-H4993-I4993</f>
        <v/>
      </c>
      <c r="K4993">
        <f>IF(A4993="","",IF(J4993&lt;=IFERROR(VLOOKUP(A4993,Cadastro_Produtos!$A:$E,5,FALSE),0),"ABAIXO DO MINIMO","OK"))</f>
        <v/>
      </c>
    </row>
    <row r="4994">
      <c r="B4994">
        <f>IFERROR(VLOOKUP(A4994,Cadastro_Produtos!A:B,2,FALSE),"")</f>
        <v/>
      </c>
      <c r="D4994" s="12" t="n"/>
      <c r="E4994" s="13">
        <f>IF(D4994="","",D4994-TODAY())</f>
        <v/>
      </c>
      <c r="F4994">
        <f>IF(D4994="","",IF(E4994&lt;0,"VENCIDO",IF(E4994&lt;=30,"VENCE EM &lt;= 30 DIAS",IF(E4994&lt;=60,"ATENCAO (31-60 DIAS)","OK"))))</f>
        <v/>
      </c>
      <c r="G4994" s="13">
        <f>SUMIFS(Movimentacoes!$G:$G,Movimentacoes!$C:$C,$A4994,Movimentacoes!$E:$E,$C4994,Movimentacoes!$B:$B,"ENTRADA")</f>
        <v/>
      </c>
      <c r="H4994" s="13">
        <f>SUMIFS(Movimentacoes!$G:$G,Movimentacoes!$C:$C,$A4994,Movimentacoes!$E:$E,$C4994,Movimentacoes!$B:$B,"SAIDA_USO")</f>
        <v/>
      </c>
      <c r="I4994" s="13">
        <f>SUMIFS(Movimentacoes!$G:$G,Movimentacoes!$C:$C,$A4994,Movimentacoes!$E:$E,$C4994,Movimentacoes!$B:$B,"SAIDA_DESCARTE")</f>
        <v/>
      </c>
      <c r="J4994" s="13">
        <f>G4994-H4994-I4994</f>
        <v/>
      </c>
      <c r="K4994">
        <f>IF(A4994="","",IF(J4994&lt;=IFERROR(VLOOKUP(A4994,Cadastro_Produtos!$A:$E,5,FALSE),0),"ABAIXO DO MINIMO","OK"))</f>
        <v/>
      </c>
    </row>
    <row r="4995">
      <c r="B4995">
        <f>IFERROR(VLOOKUP(A4995,Cadastro_Produtos!A:B,2,FALSE),"")</f>
        <v/>
      </c>
      <c r="D4995" s="12" t="n"/>
      <c r="E4995" s="13">
        <f>IF(D4995="","",D4995-TODAY())</f>
        <v/>
      </c>
      <c r="F4995">
        <f>IF(D4995="","",IF(E4995&lt;0,"VENCIDO",IF(E4995&lt;=30,"VENCE EM &lt;= 30 DIAS",IF(E4995&lt;=60,"ATENCAO (31-60 DIAS)","OK"))))</f>
        <v/>
      </c>
      <c r="G4995" s="13">
        <f>SUMIFS(Movimentacoes!$G:$G,Movimentacoes!$C:$C,$A4995,Movimentacoes!$E:$E,$C4995,Movimentacoes!$B:$B,"ENTRADA")</f>
        <v/>
      </c>
      <c r="H4995" s="13">
        <f>SUMIFS(Movimentacoes!$G:$G,Movimentacoes!$C:$C,$A4995,Movimentacoes!$E:$E,$C4995,Movimentacoes!$B:$B,"SAIDA_USO")</f>
        <v/>
      </c>
      <c r="I4995" s="13">
        <f>SUMIFS(Movimentacoes!$G:$G,Movimentacoes!$C:$C,$A4995,Movimentacoes!$E:$E,$C4995,Movimentacoes!$B:$B,"SAIDA_DESCARTE")</f>
        <v/>
      </c>
      <c r="J4995" s="13">
        <f>G4995-H4995-I4995</f>
        <v/>
      </c>
      <c r="K4995">
        <f>IF(A4995="","",IF(J4995&lt;=IFERROR(VLOOKUP(A4995,Cadastro_Produtos!$A:$E,5,FALSE),0),"ABAIXO DO MINIMO","OK"))</f>
        <v/>
      </c>
    </row>
    <row r="4996">
      <c r="B4996">
        <f>IFERROR(VLOOKUP(A4996,Cadastro_Produtos!A:B,2,FALSE),"")</f>
        <v/>
      </c>
      <c r="D4996" s="12" t="n"/>
      <c r="E4996" s="13">
        <f>IF(D4996="","",D4996-TODAY())</f>
        <v/>
      </c>
      <c r="F4996">
        <f>IF(D4996="","",IF(E4996&lt;0,"VENCIDO",IF(E4996&lt;=30,"VENCE EM &lt;= 30 DIAS",IF(E4996&lt;=60,"ATENCAO (31-60 DIAS)","OK"))))</f>
        <v/>
      </c>
      <c r="G4996" s="13">
        <f>SUMIFS(Movimentacoes!$G:$G,Movimentacoes!$C:$C,$A4996,Movimentacoes!$E:$E,$C4996,Movimentacoes!$B:$B,"ENTRADA")</f>
        <v/>
      </c>
      <c r="H4996" s="13">
        <f>SUMIFS(Movimentacoes!$G:$G,Movimentacoes!$C:$C,$A4996,Movimentacoes!$E:$E,$C4996,Movimentacoes!$B:$B,"SAIDA_USO")</f>
        <v/>
      </c>
      <c r="I4996" s="13">
        <f>SUMIFS(Movimentacoes!$G:$G,Movimentacoes!$C:$C,$A4996,Movimentacoes!$E:$E,$C4996,Movimentacoes!$B:$B,"SAIDA_DESCARTE")</f>
        <v/>
      </c>
      <c r="J4996" s="13">
        <f>G4996-H4996-I4996</f>
        <v/>
      </c>
      <c r="K4996">
        <f>IF(A4996="","",IF(J4996&lt;=IFERROR(VLOOKUP(A4996,Cadastro_Produtos!$A:$E,5,FALSE),0),"ABAIXO DO MINIMO","OK"))</f>
        <v/>
      </c>
    </row>
    <row r="4997">
      <c r="B4997">
        <f>IFERROR(VLOOKUP(A4997,Cadastro_Produtos!A:B,2,FALSE),"")</f>
        <v/>
      </c>
      <c r="D4997" s="12" t="n"/>
      <c r="E4997" s="13">
        <f>IF(D4997="","",D4997-TODAY())</f>
        <v/>
      </c>
      <c r="F4997">
        <f>IF(D4997="","",IF(E4997&lt;0,"VENCIDO",IF(E4997&lt;=30,"VENCE EM &lt;= 30 DIAS",IF(E4997&lt;=60,"ATENCAO (31-60 DIAS)","OK"))))</f>
        <v/>
      </c>
      <c r="G4997" s="13">
        <f>SUMIFS(Movimentacoes!$G:$G,Movimentacoes!$C:$C,$A4997,Movimentacoes!$E:$E,$C4997,Movimentacoes!$B:$B,"ENTRADA")</f>
        <v/>
      </c>
      <c r="H4997" s="13">
        <f>SUMIFS(Movimentacoes!$G:$G,Movimentacoes!$C:$C,$A4997,Movimentacoes!$E:$E,$C4997,Movimentacoes!$B:$B,"SAIDA_USO")</f>
        <v/>
      </c>
      <c r="I4997" s="13">
        <f>SUMIFS(Movimentacoes!$G:$G,Movimentacoes!$C:$C,$A4997,Movimentacoes!$E:$E,$C4997,Movimentacoes!$B:$B,"SAIDA_DESCARTE")</f>
        <v/>
      </c>
      <c r="J4997" s="13">
        <f>G4997-H4997-I4997</f>
        <v/>
      </c>
      <c r="K4997">
        <f>IF(A4997="","",IF(J4997&lt;=IFERROR(VLOOKUP(A4997,Cadastro_Produtos!$A:$E,5,FALSE),0),"ABAIXO DO MINIMO","OK"))</f>
        <v/>
      </c>
    </row>
    <row r="4998">
      <c r="B4998">
        <f>IFERROR(VLOOKUP(A4998,Cadastro_Produtos!A:B,2,FALSE),"")</f>
        <v/>
      </c>
      <c r="D4998" s="12" t="n"/>
      <c r="E4998" s="13">
        <f>IF(D4998="","",D4998-TODAY())</f>
        <v/>
      </c>
      <c r="F4998">
        <f>IF(D4998="","",IF(E4998&lt;0,"VENCIDO",IF(E4998&lt;=30,"VENCE EM &lt;= 30 DIAS",IF(E4998&lt;=60,"ATENCAO (31-60 DIAS)","OK"))))</f>
        <v/>
      </c>
      <c r="G4998" s="13">
        <f>SUMIFS(Movimentacoes!$G:$G,Movimentacoes!$C:$C,$A4998,Movimentacoes!$E:$E,$C4998,Movimentacoes!$B:$B,"ENTRADA")</f>
        <v/>
      </c>
      <c r="H4998" s="13">
        <f>SUMIFS(Movimentacoes!$G:$G,Movimentacoes!$C:$C,$A4998,Movimentacoes!$E:$E,$C4998,Movimentacoes!$B:$B,"SAIDA_USO")</f>
        <v/>
      </c>
      <c r="I4998" s="13">
        <f>SUMIFS(Movimentacoes!$G:$G,Movimentacoes!$C:$C,$A4998,Movimentacoes!$E:$E,$C4998,Movimentacoes!$B:$B,"SAIDA_DESCARTE")</f>
        <v/>
      </c>
      <c r="J4998" s="13">
        <f>G4998-H4998-I4998</f>
        <v/>
      </c>
      <c r="K4998">
        <f>IF(A4998="","",IF(J4998&lt;=IFERROR(VLOOKUP(A4998,Cadastro_Produtos!$A:$E,5,FALSE),0),"ABAIXO DO MINIMO","OK"))</f>
        <v/>
      </c>
    </row>
    <row r="4999">
      <c r="B4999">
        <f>IFERROR(VLOOKUP(A4999,Cadastro_Produtos!A:B,2,FALSE),"")</f>
        <v/>
      </c>
      <c r="D4999" s="12" t="n"/>
      <c r="E4999" s="13">
        <f>IF(D4999="","",D4999-TODAY())</f>
        <v/>
      </c>
      <c r="F4999">
        <f>IF(D4999="","",IF(E4999&lt;0,"VENCIDO",IF(E4999&lt;=30,"VENCE EM &lt;= 30 DIAS",IF(E4999&lt;=60,"ATENCAO (31-60 DIAS)","OK"))))</f>
        <v/>
      </c>
      <c r="G4999" s="13">
        <f>SUMIFS(Movimentacoes!$G:$G,Movimentacoes!$C:$C,$A4999,Movimentacoes!$E:$E,$C4999,Movimentacoes!$B:$B,"ENTRADA")</f>
        <v/>
      </c>
      <c r="H4999" s="13">
        <f>SUMIFS(Movimentacoes!$G:$G,Movimentacoes!$C:$C,$A4999,Movimentacoes!$E:$E,$C4999,Movimentacoes!$B:$B,"SAIDA_USO")</f>
        <v/>
      </c>
      <c r="I4999" s="13">
        <f>SUMIFS(Movimentacoes!$G:$G,Movimentacoes!$C:$C,$A4999,Movimentacoes!$E:$E,$C4999,Movimentacoes!$B:$B,"SAIDA_DESCARTE")</f>
        <v/>
      </c>
      <c r="J4999" s="13">
        <f>G4999-H4999-I4999</f>
        <v/>
      </c>
      <c r="K4999">
        <f>IF(A4999="","",IF(J4999&lt;=IFERROR(VLOOKUP(A4999,Cadastro_Produtos!$A:$E,5,FALSE),0),"ABAIXO DO MINIMO","OK"))</f>
        <v/>
      </c>
    </row>
    <row r="5000">
      <c r="B5000">
        <f>IFERROR(VLOOKUP(A5000,Cadastro_Produtos!A:B,2,FALSE),"")</f>
        <v/>
      </c>
      <c r="D5000" s="12" t="n"/>
      <c r="E5000" s="13">
        <f>IF(D5000="","",D5000-TODAY())</f>
        <v/>
      </c>
      <c r="F5000">
        <f>IF(D5000="","",IF(E5000&lt;0,"VENCIDO",IF(E5000&lt;=30,"VENCE EM &lt;= 30 DIAS",IF(E5000&lt;=60,"ATENCAO (31-60 DIAS)","OK"))))</f>
        <v/>
      </c>
      <c r="G5000" s="13">
        <f>SUMIFS(Movimentacoes!$G:$G,Movimentacoes!$C:$C,$A5000,Movimentacoes!$E:$E,$C5000,Movimentacoes!$B:$B,"ENTRADA")</f>
        <v/>
      </c>
      <c r="H5000" s="13">
        <f>SUMIFS(Movimentacoes!$G:$G,Movimentacoes!$C:$C,$A5000,Movimentacoes!$E:$E,$C5000,Movimentacoes!$B:$B,"SAIDA_USO")</f>
        <v/>
      </c>
      <c r="I5000" s="13">
        <f>SUMIFS(Movimentacoes!$G:$G,Movimentacoes!$C:$C,$A5000,Movimentacoes!$E:$E,$C5000,Movimentacoes!$B:$B,"SAIDA_DESCARTE")</f>
        <v/>
      </c>
      <c r="J5000" s="13">
        <f>G5000-H5000-I5000</f>
        <v/>
      </c>
      <c r="K5000">
        <f>IF(A5000="","",IF(J5000&lt;=IFERROR(VLOOKUP(A5000,Cadastro_Produtos!$A:$E,5,FALSE),0),"ABAIXO DO MINIMO","OK"))</f>
        <v/>
      </c>
    </row>
  </sheetData>
  <autoFilter ref="A5:K5000"/>
  <mergeCells count="1">
    <mergeCell ref="A1:K1"/>
  </mergeCells>
  <conditionalFormatting sqref="A6:K5000">
    <cfRule type="expression" priority="1" dxfId="0">
      <formula>$F6="VENCIDO"</formula>
    </cfRule>
    <cfRule type="expression" priority="2" dxfId="1">
      <formula>$F6="VENCE EM &lt;= 30 DIAS"</formula>
    </cfRule>
    <cfRule type="expression" priority="3" dxfId="2">
      <formula>$F6="ATENCAO (31-60 DIAS)"</formula>
    </cfRule>
    <cfRule type="expression" priority="4" dxfId="3">
      <formula>$K6="ABAIXO DO MINIMO"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INSTRUCOES DE USO</t>
        </is>
      </c>
    </row>
    <row r="3">
      <c r="A3" s="5" t="inlineStr">
        <is>
          <t>Fluxo recomendado</t>
        </is>
      </c>
    </row>
    <row r="5">
      <c r="A5" s="14" t="inlineStr">
        <is>
          <t>1) Aba Cadastro_Produtos: cadastre todos os itens (ID unico, nome, categoria e estoque minimo).</t>
        </is>
      </c>
    </row>
    <row r="6">
      <c r="A6" s="14" t="inlineStr">
        <is>
          <t>2) Aba Estoque_Validades: cadastre cada lote (ID produto + lote + validade), uma linha por lote.</t>
        </is>
      </c>
    </row>
    <row r="7">
      <c r="A7" s="14" t="inlineStr">
        <is>
          <t>3) Aba Movimentacoes: registre toda ENTRADA, SAIDA_USO e SAIDA_DESCARTE com data, lote e quantidade.</t>
        </is>
      </c>
    </row>
    <row r="8">
      <c r="A8" s="14" t="inlineStr">
        <is>
          <t>4) O saldo por lote e os alertas sao automaticos na aba Estoque_Validades.</t>
        </is>
      </c>
    </row>
    <row r="9">
      <c r="A9" s="14" t="inlineStr">
        <is>
          <t>5) Alertas de validade: VENCIDO (vermelho), VENCE EM &lt;= 30 DIAS (amarelo), ATENCAO 31-60 dias (laranja claro).</t>
        </is>
      </c>
    </row>
    <row r="10">
      <c r="A10" s="14" t="inlineStr">
        <is>
          <t>6) Alerta de estoque minimo: coluna Alerta_Estoque marca ABAIXO DO MINIMO.</t>
        </is>
      </c>
    </row>
    <row r="11">
      <c r="A11" s="14" t="inlineStr">
        <is>
          <t>7) Aba Painel: use os botoes verdes para navegar e acompanhar os indicadores gerais.</t>
        </is>
      </c>
    </row>
    <row r="12">
      <c r="A12" s="14" t="inlineStr">
        <is>
          <t>8) Recomendacao operacional: registre a movimentacao no mesmo dia para manter o saldo correto.</t>
        </is>
      </c>
    </row>
    <row r="13">
      <c r="A13" s="14" t="inlineStr">
        <is>
          <t>9) Para novos produtos, sempre crie o cadastro antes de lancar lote/movimentacao.</t>
        </is>
      </c>
    </row>
    <row r="14">
      <c r="A14" s="14" t="inlineStr">
        <is>
          <t>10) Nao altere formulas nas colunas calculadas (Produto, Dias, Status, Entradas, Saidas, Saldo e Alertas).</t>
        </is>
      </c>
    </row>
    <row r="18">
      <c r="A18" s="15" t="inlineStr">
        <is>
          <t>Dica: filtre as tabelas por status para priorizar produtos vencidos e proximos do vencimento.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2026-03-10T19:21:01Z</dcterms:created>
  <dcterms:modified xsi:type="dcterms:W3CDTF">2026-03-10T19:21:02Z</dcterms:modified>
</cp:coreProperties>
</file>